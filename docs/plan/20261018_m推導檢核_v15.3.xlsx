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0_說明" sheetId="1" state="visible" r:id="rId3"/>
    <sheet name="1_總覽" sheetId="2" state="visible" r:id="rId4"/>
    <sheet name="2_輸入" sheetId="3" state="visible" r:id="rId5"/>
    <sheet name="3_m重算" sheetId="4" state="visible" r:id="rId6"/>
    <sheet name="4_持有成本" sheetId="5" state="visible" r:id="rId7"/>
    <sheet name="5_每GW產出" sheetId="6" state="visible" r:id="rId8"/>
    <sheet name="6_敏感度" sheetId="7" state="visible" r:id="rId9"/>
    <sheet name="7_不確定_搜尋" sheetId="8" state="visible" r:id="rId10"/>
    <sheet name="8_不確定_實地調研" sheetId="9" state="visible" r:id="rId11"/>
    <sheet name="9_前置格清單" sheetId="10" state="visible" r:id="rId12"/>
  </sheets>
  <definedNames>
    <definedName function="false" hidden="true" localSheetId="9" name="_xlnm._FilterDatabase" vbProcedure="false">9_前置格清單!$A$4:$H$2997</definedName>
    <definedName function="false" hidden="false" name="IN_Act_A" vbProcedure="false">2_輸入!$D$79</definedName>
    <definedName function="false" hidden="false" name="IN_Act_L" vbProcedure="false">2_輸入!$D$77</definedName>
    <definedName function="false" hidden="false" name="IN_Act_S" vbProcedure="false">2_輸入!$D$78</definedName>
    <definedName function="false" hidden="false" name="IN_AF_A" vbProcedure="false">2_輸入!$D$100</definedName>
    <definedName function="false" hidden="false" name="IN_AF_L" vbProcedure="false">2_輸入!$D$98</definedName>
    <definedName function="false" hidden="false" name="IN_AF_S" vbProcedure="false">2_輸入!$D$99</definedName>
    <definedName function="false" hidden="false" name="IN_APIratio" vbProcedure="false">2_輸入!$D$29</definedName>
    <definedName function="false" hidden="false" name="IN_APItpm" vbProcedure="false">2_輸入!$D$28</definedName>
    <definedName function="false" hidden="false" name="IN_Bldg" vbProcedure="false">2_輸入!$D$134</definedName>
    <definedName function="false" hidden="false" name="IN_BW_G" vbProcedure="false">2_輸入!$D$59</definedName>
    <definedName function="false" hidden="false" name="IN_BW_H" vbProcedure="false">2_輸入!$D$58</definedName>
    <definedName function="false" hidden="false" name="IN_Chi" vbProcedure="false">2_輸入!$D$34</definedName>
    <definedName function="false" hidden="false" name="IN_Cmp_A" vbProcedure="false">2_輸入!$D$109</definedName>
    <definedName function="false" hidden="false" name="IN_Cmp_L" vbProcedure="false">2_輸入!$D$107</definedName>
    <definedName function="false" hidden="false" name="IN_Cmp_S" vbProcedure="false">2_輸入!$D$108</definedName>
    <definedName function="false" hidden="false" name="IN_Disc" vbProcedure="false">2_輸入!$D$20</definedName>
    <definedName function="false" hidden="false" name="IN_Dm_A" vbProcedure="false">2_輸入!$D$85</definedName>
    <definedName function="false" hidden="false" name="IN_Dm_L" vbProcedure="false">2_輸入!$D$83</definedName>
    <definedName function="false" hidden="false" name="IN_Dm_S" vbProcedure="false">2_輸入!$D$84</definedName>
    <definedName function="false" hidden="false" name="IN_EB_G" vbProcedure="false">2_輸入!$D$65</definedName>
    <definedName function="false" hidden="false" name="IN_EB_H" vbProcedure="false">2_輸入!$D$64</definedName>
    <definedName function="false" hidden="false" name="IN_Ecap" vbProcedure="false">2_輸入!$D$39</definedName>
    <definedName function="false" hidden="false" name="IN_Elec" vbProcedure="false">2_輸入!$D$130</definedName>
    <definedName function="false" hidden="false" name="IN_EPBW_G" vbProcedure="false">2_輸入!$D$61</definedName>
    <definedName function="false" hidden="false" name="IN_EPBW_H" vbProcedure="false">2_輸入!$D$60</definedName>
    <definedName function="false" hidden="false" name="IN_EPbytes" vbProcedure="false">2_輸入!$D$40</definedName>
    <definedName function="false" hidden="false" name="IN_EPeff" vbProcedure="false">2_輸入!$D$42</definedName>
    <definedName function="false" hidden="false" name="IN_EPW_G" vbProcedure="false">2_輸入!$D$63</definedName>
    <definedName function="false" hidden="false" name="IN_EPW_H" vbProcedure="false">2_輸入!$D$62</definedName>
    <definedName function="false" hidden="false" name="IN_EP_A" vbProcedure="false">2_輸入!$D$94</definedName>
    <definedName function="false" hidden="false" name="IN_EP_L" vbProcedure="false">2_輸入!$D$92</definedName>
    <definedName function="false" hidden="false" name="IN_EP_S" vbProcedure="false">2_輸入!$D$93</definedName>
    <definedName function="false" hidden="false" name="IN_EtaD0" vbProcedure="false">2_輸入!$D$44</definedName>
    <definedName function="false" hidden="false" name="IN_EtaDm_G" vbProcedure="false">2_輸入!$D$48</definedName>
    <definedName function="false" hidden="false" name="IN_EtaDm_H" vbProcedure="false">2_輸入!$D$47</definedName>
    <definedName function="false" hidden="false" name="IN_EtaP0" vbProcedure="false">2_輸入!$D$46</definedName>
    <definedName function="false" hidden="false" name="IN_EtaPm_G" vbProcedure="false">2_輸入!$D$52</definedName>
    <definedName function="false" hidden="false" name="IN_EtaPm_H" vbProcedure="false">2_輸入!$D$51</definedName>
    <definedName function="false" hidden="false" name="IN_Exp_A" vbProcedure="false">2_輸入!$D$88</definedName>
    <definedName function="false" hidden="false" name="IN_Exp_L" vbProcedure="false">2_輸入!$D$86</definedName>
    <definedName function="false" hidden="false" name="IN_Exp_S" vbProcedure="false">2_輸入!$D$87</definedName>
    <definedName function="false" hidden="false" name="IN_FA_A" vbProcedure="false">2_輸入!$D$103</definedName>
    <definedName function="false" hidden="false" name="IN_FA_L" vbProcedure="false">2_輸入!$D$101</definedName>
    <definedName function="false" hidden="false" name="IN_FA_S" vbProcedure="false">2_輸入!$D$102</definedName>
    <definedName function="false" hidden="false" name="IN_Fib" vbProcedure="false">2_輸入!$D$137</definedName>
    <definedName function="false" hidden="false" name="IN_Fmaint" vbProcedure="false">2_輸入!$D$146</definedName>
    <definedName function="false" hidden="false" name="IN_FreeShare" vbProcedure="false">2_輸入!$D$32</definedName>
    <definedName function="false" hidden="false" name="IN_GPR_G" vbProcedure="false">2_輸入!$D$71</definedName>
    <definedName function="false" hidden="false" name="IN_GPR_H" vbProcedure="false">2_輸入!$D$70</definedName>
    <definedName function="false" hidden="false" name="IN_HBMres" vbProcedure="false">2_輸入!$D$37</definedName>
    <definedName function="false" hidden="false" name="IN_HBM_G" vbProcedure="false">2_輸入!$D$57</definedName>
    <definedName function="false" hidden="false" name="IN_HBM_H" vbProcedure="false">2_輸入!$D$56</definedName>
    <definedName function="false" hidden="false" name="IN_ISL_A" vbProcedure="false">2_輸入!$D$122</definedName>
    <definedName function="false" hidden="false" name="IN_ISL_L" vbProcedure="false">2_輸入!$D$120</definedName>
    <definedName function="false" hidden="false" name="IN_ISL_S" vbProcedure="false">2_輸入!$D$121</definedName>
    <definedName function="false" hidden="false" name="IN_ITlife" vbProcedure="false">2_輸入!$D$139</definedName>
    <definedName function="false" hidden="false" name="IN_ITmaint" vbProcedure="false">2_輸入!$D$145</definedName>
    <definedName function="false" hidden="false" name="IN_ITout" vbProcedure="false">2_輸入!$D$127</definedName>
    <definedName function="false" hidden="false" name="IN_Kappa" vbProcedure="false">2_輸入!$D$12</definedName>
    <definedName function="false" hidden="false" name="IN_KVeff" vbProcedure="false">2_輸入!$D$41</definedName>
    <definedName function="false" hidden="false" name="IN_KV_A" vbProcedure="false">2_輸入!$D$97</definedName>
    <definedName function="false" hidden="false" name="IN_KV_L" vbProcedure="false">2_輸入!$D$95</definedName>
    <definedName function="false" hidden="false" name="IN_KV_S" vbProcedure="false">2_輸入!$D$96</definedName>
    <definedName function="false" hidden="false" name="IN_Land" vbProcedure="false">2_輸入!$D$133</definedName>
    <definedName function="false" hidden="false" name="IN_Lat0" vbProcedure="false">2_輸入!$D$45</definedName>
    <definedName function="false" hidden="false" name="IN_Latm_G" vbProcedure="false">2_輸入!$D$50</definedName>
    <definedName function="false" hidden="false" name="IN_Latm_H" vbProcedure="false">2_輸入!$D$49</definedName>
    <definedName function="false" hidden="false" name="IN_Lay_A" vbProcedure="false">2_輸入!$D$82</definedName>
    <definedName function="false" hidden="false" name="IN_Lay_L" vbProcedure="false">2_輸入!$D$80</definedName>
    <definedName function="false" hidden="false" name="IN_Lay_S" vbProcedure="false">2_輸入!$D$81</definedName>
    <definedName function="false" hidden="false" name="IN_Load" vbProcedure="false">2_輸入!$D$129</definedName>
    <definedName function="false" hidden="false" name="IN_L_bldg" vbProcedure="false">2_輸入!$D$140</definedName>
    <definedName function="false" hidden="false" name="IN_L_fib" vbProcedure="false">2_輸入!$D$143</definedName>
    <definedName function="false" hidden="false" name="IN_L_mech" vbProcedure="false">2_輸入!$D$142</definedName>
    <definedName function="false" hidden="false" name="IN_L_pwr" vbProcedure="false">2_輸入!$D$141</definedName>
    <definedName function="false" hidden="false" name="IN_Mech" vbProcedure="false">2_輸入!$D$136</definedName>
    <definedName function="false" hidden="false" name="IN_MixF_A" vbProcedure="false">2_輸入!$D$26</definedName>
    <definedName function="false" hidden="false" name="IN_MixF_L" vbProcedure="false">2_輸入!$D$24</definedName>
    <definedName function="false" hidden="false" name="IN_MixF_S" vbProcedure="false">2_輸入!$D$25</definedName>
    <definedName function="false" hidden="false" name="IN_MixP_A" vbProcedure="false">2_輸入!$D$23</definedName>
    <definedName function="false" hidden="false" name="IN_MixP_L" vbProcedure="false">2_輸入!$D$21</definedName>
    <definedName function="false" hidden="false" name="IN_MixP_S" vbProcedure="false">2_輸入!$D$22</definedName>
    <definedName function="false" hidden="false" name="IN_MTP_a" vbProcedure="false">2_輸入!$D$36</definedName>
    <definedName function="false" hidden="false" name="IN_MTP_N" vbProcedure="false">2_輸入!$D$35</definedName>
    <definedName function="false" hidden="false" name="IN_NEB_G" vbProcedure="false">2_輸入!$D$67</definedName>
    <definedName function="false" hidden="false" name="IN_NEB_H" vbProcedure="false">2_輸入!$D$66</definedName>
    <definedName function="false" hidden="false" name="IN_NEcap" vbProcedure="false">2_輸入!$D$38</definedName>
    <definedName function="false" hidden="false" name="IN_NEP_A" vbProcedure="false">2_輸入!$D$91</definedName>
    <definedName function="false" hidden="false" name="IN_NEP_L" vbProcedure="false">2_輸入!$D$89</definedName>
    <definedName function="false" hidden="false" name="IN_NEP_S" vbProcedure="false">2_輸入!$D$90</definedName>
    <definedName function="false" hidden="false" name="IN_Net" vbProcedure="false">2_輸入!$D$131</definedName>
    <definedName function="false" hidden="false" name="IN_OSL_A" vbProcedure="false">2_輸入!$D$125</definedName>
    <definedName function="false" hidden="false" name="IN_OSL_L" vbProcedure="false">2_輸入!$D$123</definedName>
    <definedName function="false" hidden="false" name="IN_OSL_S" vbProcedure="false">2_輸入!$D$124</definedName>
    <definedName function="false" hidden="false" name="IN_Peak_G" vbProcedure="false">2_輸入!$D$55</definedName>
    <definedName function="false" hidden="false" name="IN_Peak_H" vbProcedure="false">2_輸入!$D$54</definedName>
    <definedName function="false" hidden="false" name="IN_PFG_G" vbProcedure="false">2_輸入!$D$69</definedName>
    <definedName function="false" hidden="false" name="IN_PFG_H" vbProcedure="false">2_輸入!$D$68</definedName>
    <definedName function="false" hidden="false" name="IN_ProdDerate" vbProcedure="false">2_輸入!$D$14</definedName>
    <definedName function="false" hidden="false" name="IN_Prompts" vbProcedure="false">2_輸入!$D$30</definedName>
    <definedName function="false" hidden="false" name="IN_PUE" vbProcedure="false">2_輸入!$D$128</definedName>
    <definedName function="false" hidden="false" name="IN_Pwr" vbProcedure="false">2_輸入!$D$135</definedName>
    <definedName function="false" hidden="false" name="IN_Px_A" vbProcedure="false">2_輸入!$D$19</definedName>
    <definedName function="false" hidden="false" name="IN_Px_L" vbProcedure="false">2_輸入!$D$17</definedName>
    <definedName function="false" hidden="false" name="IN_Px_S" vbProcedure="false">2_輸入!$D$18</definedName>
    <definedName function="false" hidden="false" name="IN_RackKW_G" vbProcedure="false">2_輸入!$D$73</definedName>
    <definedName function="false" hidden="false" name="IN_RackKW_H" vbProcedure="false">2_輸入!$D$72</definedName>
    <definedName function="false" hidden="false" name="IN_RackPx_G" vbProcedure="false">2_輸入!$D$75</definedName>
    <definedName function="false" hidden="false" name="IN_RackPx_H" vbProcedure="false">2_輸入!$D$74</definedName>
    <definedName function="false" hidden="false" name="IN_Rev" vbProcedure="false">2_輸入!$D$6</definedName>
    <definedName function="false" hidden="false" name="IN_ShareG" vbProcedure="false">2_輸入!$D$10</definedName>
    <definedName function="false" hidden="false" name="IN_ShareH" vbProcedure="false">2_輸入!$D$9</definedName>
    <definedName function="false" hidden="false" name="IN_SLO_A" vbProcedure="false">2_輸入!$D$116</definedName>
    <definedName function="false" hidden="false" name="IN_SLO_L" vbProcedure="false">2_輸入!$D$114</definedName>
    <definedName function="false" hidden="false" name="IN_SLO_S" vbProcedure="false">2_輸入!$D$115</definedName>
    <definedName function="false" hidden="false" name="IN_Soft" vbProcedure="false">2_輸入!$D$138</definedName>
    <definedName function="false" hidden="false" name="IN_Span_A" vbProcedure="false">2_輸入!$D$106</definedName>
    <definedName function="false" hidden="false" name="IN_Span_L" vbProcedure="false">2_輸入!$D$104</definedName>
    <definedName function="false" hidden="false" name="IN_Span_S" vbProcedure="false">2_輸入!$D$105</definedName>
    <definedName function="false" hidden="false" name="IN_Spend" vbProcedure="false">2_輸入!$D$7</definedName>
    <definedName function="false" hidden="false" name="IN_SpendBasis" vbProcedure="false">2_輸入!$D$11</definedName>
    <definedName function="false" hidden="false" name="IN_Staff" vbProcedure="false">2_輸入!$D$147</definedName>
    <definedName function="false" hidden="false" name="IN_Stor" vbProcedure="false">2_輸入!$D$132</definedName>
    <definedName function="false" hidden="false" name="IN_SW" vbProcedure="false">2_輸入!$D$148</definedName>
    <definedName function="false" hidden="false" name="IN_Tau" vbProcedure="false">2_輸入!$D$31</definedName>
    <definedName function="false" hidden="false" name="IN_Tax" vbProcedure="false">2_輸入!$D$150</definedName>
    <definedName function="false" hidden="false" name="IN_TTFT_A" vbProcedure="false">2_輸入!$D$119</definedName>
    <definedName function="false" hidden="false" name="IN_TTFT_L" vbProcedure="false">2_輸入!$D$117</definedName>
    <definedName function="false" hidden="false" name="IN_TTFT_S" vbProcedure="false">2_輸入!$D$118</definedName>
    <definedName function="false" hidden="false" name="IN_Util" vbProcedure="false">2_輸入!$D$15</definedName>
    <definedName function="false" hidden="false" name="IN_UtilAct" vbProcedure="false">2_輸入!$D$13</definedName>
    <definedName function="false" hidden="false" name="IN_WACC" vbProcedure="false">2_輸入!$D$144</definedName>
    <definedName function="false" hidden="false" name="IN_Water" vbProcedure="false">2_輸入!$D$149</definedName>
    <definedName function="false" hidden="false" name="IN_Win_A" vbProcedure="false">2_輸入!$D$112</definedName>
    <definedName function="false" hidden="false" name="IN_Win_L" vbProcedure="false">2_輸入!$D$110</definedName>
    <definedName function="false" hidden="false" name="IN_Win_S" vbProcedure="false">2_輸入!$D$111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<sst xmlns="http://schemas.openxmlformats.org/spreadsheetml/2006/main" count="16692" uniqueCount="4850">
  <si>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推導檢核（</t>
    </r>
    <r>
      <rPr>
        <b val="true"/>
        <sz val="13"/>
        <rFont val="Arial"/>
        <family val="0"/>
        <charset val="1"/>
      </rPr>
      <t xml:space="preserve">Tokenomics v15.3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</si>
  <si>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建立：</t>
    </r>
    <r>
      <rPr>
        <sz val="9"/>
        <color rgb="FF555555"/>
        <rFont val="Arial"/>
        <family val="0"/>
        <charset val="1"/>
      </rPr>
      <t xml:space="preserve">2026-10-18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chat </t>
    </r>
    <r>
      <rPr>
        <sz val="9"/>
        <color rgb="FF555555"/>
        <rFont val="Noto Sans CJK SC"/>
        <family val="2"/>
      </rPr>
      <t xml:space="preserve">端（</t>
    </r>
    <r>
      <rPr>
        <sz val="9"/>
        <color rgb="FF555555"/>
        <rFont val="Arial"/>
        <family val="0"/>
        <charset val="1"/>
      </rPr>
      <t xml:space="preserve">Claude</t>
    </r>
    <r>
      <rPr>
        <sz val="9"/>
        <color rgb="FF555555"/>
        <rFont val="Noto Sans CJK SC"/>
        <family val="2"/>
      </rPr>
      <t xml:space="preserve">）。用途：讓 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自行檢核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從總覽到最細的數學推導。</t>
    </r>
  </si>
  <si>
    <t xml:space="preserve">分頁</t>
  </si>
  <si>
    <r>
      <rPr>
        <sz val="10"/>
        <color rgb="FF000000"/>
        <rFont val="Arial"/>
        <family val="0"/>
        <charset val="1"/>
      </rPr>
      <t xml:space="preserve">1_</t>
    </r>
    <r>
      <rPr>
        <sz val="10"/>
        <color rgb="FF000000"/>
        <rFont val="Noto Sans CJK SC"/>
        <family val="2"/>
      </rPr>
      <t xml:space="preserve">總覽：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的一句話定義、五層結構、閉式解（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約掉）、彈性、驗證、最不確定的五項。</t>
    </r>
  </si>
  <si>
    <r>
      <rPr>
        <sz val="10"/>
        <color rgb="FF000000"/>
        <rFont val="Arial"/>
        <family val="0"/>
        <charset val="1"/>
      </rPr>
      <t xml:space="preserve">2_</t>
    </r>
    <r>
      <rPr>
        <sz val="10"/>
        <color rgb="FF000000"/>
        <rFont val="Noto Sans CJK SC"/>
        <family val="2"/>
      </rPr>
      <t xml:space="preserve">輸入：全部輸入（藍字，可改）。黃底＝不確定度「高」。每列附標記（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）、區間、原活頁簿位置與說明。</t>
    </r>
  </si>
  <si>
    <r>
      <rPr>
        <sz val="10"/>
        <color rgb="FF000000"/>
        <rFont val="Arial"/>
        <family val="0"/>
        <charset val="1"/>
      </rPr>
      <t xml:space="preserve">3_m</t>
    </r>
    <r>
      <rPr>
        <sz val="10"/>
        <color rgb="FF000000"/>
        <rFont val="Noto Sans CJK SC"/>
        <family val="2"/>
      </rPr>
      <t xml:space="preserve">重算：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的逐步計算（</t>
    </r>
    <r>
      <rPr>
        <sz val="10"/>
        <color rgb="FF000000"/>
        <rFont val="Arial"/>
        <family val="0"/>
        <charset val="1"/>
      </rPr>
      <t xml:space="preserve">S1–S19 → m</t>
    </r>
    <r>
      <rPr>
        <sz val="10"/>
        <color rgb="FF000000"/>
        <rFont val="Noto Sans CJK SC"/>
        <family val="2"/>
      </rPr>
      <t xml:space="preserve">），每步附白話說明、原活頁簿格與原值、差異。</t>
    </r>
  </si>
  <si>
    <r>
      <rPr>
        <sz val="10"/>
        <color rgb="FF000000"/>
        <rFont val="Arial"/>
        <family val="0"/>
        <charset val="1"/>
      </rPr>
      <t xml:space="preserve">4_</t>
    </r>
    <r>
      <rPr>
        <sz val="10"/>
        <color rgb="FF000000"/>
        <rFont val="Noto Sans CJK SC"/>
        <family val="2"/>
      </rPr>
      <t xml:space="preserve">持有成本：每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），資本回收年金＋營運費用。</t>
    </r>
  </si>
  <si>
    <r>
      <rPr>
        <sz val="10"/>
        <color rgb="FF000000"/>
        <rFont val="Arial"/>
        <family val="0"/>
        <charset val="1"/>
      </rPr>
      <t xml:space="preserve">5_</t>
    </r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產出：</t>
    </r>
    <r>
      <rPr>
        <sz val="10"/>
        <color rgb="FF000000"/>
        <rFont val="Arial"/>
        <family val="0"/>
        <charset val="1"/>
      </rPr>
      <t xml:space="preserve">roofline——</t>
    </r>
    <r>
      <rPr>
        <sz val="10"/>
        <color rgb="FF000000"/>
        <rFont val="Noto Sans CJK SC"/>
        <family val="2"/>
      </rPr>
      <t xml:space="preserve">由規格、架構、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與校準係數推出每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個案例）。</t>
    </r>
  </si>
  <si>
    <r>
      <rPr>
        <sz val="10"/>
        <color rgb="FF000000"/>
        <rFont val="Arial"/>
        <family val="0"/>
        <charset val="1"/>
      </rPr>
      <t xml:space="preserve">6_</t>
    </r>
    <r>
      <rPr>
        <sz val="10"/>
        <color rgb="FF000000"/>
        <rFont val="Noto Sans CJK SC"/>
        <family val="2"/>
      </rPr>
      <t xml:space="preserve">敏感度：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個輸入的單變數敏感度（</t>
    </r>
    <r>
      <rPr>
        <sz val="10"/>
        <color rgb="FF000000"/>
        <rFont val="Arial"/>
        <family val="0"/>
        <charset val="1"/>
      </rPr>
      <t xml:space="preserve">v15.3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LibreOffice </t>
    </r>
    <r>
      <rPr>
        <sz val="10"/>
        <color rgb="FF000000"/>
        <rFont val="Noto Sans CJK SC"/>
        <family val="2"/>
      </rPr>
      <t xml:space="preserve">整本重算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次）。</t>
    </r>
  </si>
  <si>
    <r>
      <rPr>
        <sz val="10"/>
        <color rgb="FF000000"/>
        <rFont val="Arial"/>
        <family val="0"/>
        <charset val="1"/>
      </rPr>
      <t xml:space="preserve">7_</t>
    </r>
    <r>
      <rPr>
        <sz val="10"/>
        <color rgb="FF000000"/>
        <rFont val="Noto Sans CJK SC"/>
        <family val="2"/>
      </rPr>
      <t xml:space="preserve">不確定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搜尋：可以搜尋（公開或付費）解決的最不確定假設，附要找的證據與來源。</t>
    </r>
  </si>
  <si>
    <r>
      <rPr>
        <sz val="10"/>
        <color rgb="FF000000"/>
        <rFont val="Arial"/>
        <family val="0"/>
        <charset val="1"/>
      </rPr>
      <t xml:space="preserve">8_</t>
    </r>
    <r>
      <rPr>
        <sz val="10"/>
        <color rgb="FF000000"/>
        <rFont val="Noto Sans CJK SC"/>
        <family val="2"/>
      </rPr>
      <t xml:space="preserve">不確定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實地調研：需要訪談或供應鏈查核的假設，附可直接使用的訪談問題。</t>
    </r>
  </si>
  <si>
    <r>
      <rPr>
        <sz val="10"/>
        <color rgb="FF000000"/>
        <rFont val="Arial"/>
        <family val="0"/>
        <charset val="1"/>
      </rPr>
      <t xml:space="preserve">9_</t>
    </r>
    <r>
      <rPr>
        <sz val="10"/>
        <color rgb="FF000000"/>
        <rFont val="Noto Sans CJK SC"/>
        <family val="2"/>
      </rPr>
      <t xml:space="preserve">前置格清單：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中的全部 </t>
    </r>
    <r>
      <rPr>
        <sz val="10"/>
        <color rgb="FF000000"/>
        <rFont val="Arial"/>
        <family val="0"/>
        <charset val="1"/>
      </rPr>
      <t xml:space="preserve">2,993 </t>
    </r>
    <r>
      <rPr>
        <sz val="10"/>
        <color rgb="FF000000"/>
        <rFont val="Noto Sans CJK SC"/>
        <family val="2"/>
      </rPr>
      <t xml:space="preserve">個前置格（含 </t>
    </r>
    <r>
      <rPr>
        <sz val="10"/>
        <color rgb="FF000000"/>
        <rFont val="Arial"/>
        <family val="0"/>
        <charset val="1"/>
      </rPr>
      <t xml:space="preserve">426 </t>
    </r>
    <r>
      <rPr>
        <sz val="10"/>
        <color rgb="FF000000"/>
        <rFont val="Noto Sans CJK SC"/>
        <family val="2"/>
      </rPr>
      <t xml:space="preserve">個常數輸入），供查找原式。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</si>
  <si>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</si>
  <si>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藍字＝輸入或外部結果（可改）；黑字＝本簿公式；綠字＝連結到其他分頁；黃底＝最不確定、優先調研；淺綠底＝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</si>
  <si>
    <t xml:space="preserve">範圍與限制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</si>
  <si>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本簿重寫了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的計算鏈到「規格、架構、校準係數、成本輸入」這一層；更底層的校準擬合（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頁以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實測聯立解出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與每層延遲）以擬合結果作為輸入，未重寫。</t>
    </r>
  </si>
  <si>
    <r>
      <rPr>
        <sz val="10"/>
        <color rgb="FF000000"/>
        <rFont val="Arial"/>
        <family val="0"/>
        <charset val="1"/>
      </rPr>
      <t xml:space="preserve">2. 2025 </t>
    </r>
    <r>
      <rPr>
        <sz val="10"/>
        <color rgb="FF000000"/>
        <rFont val="Noto Sans CJK SC"/>
        <family val="2"/>
      </rPr>
      <t xml:space="preserve">服務世代只有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占比為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），所以只列這兩個世代；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的「層級不可達」旗標在基準下全部為可達，本簿未重寫旗標邏輯。</t>
    </r>
  </si>
  <si>
    <r>
      <rPr>
        <sz val="10"/>
        <color rgb="FF000000"/>
        <rFont val="Arial"/>
        <family val="0"/>
        <charset val="1"/>
      </rPr>
      <t xml:space="preserve">3. m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MAX(m, </t>
    </r>
    <r>
      <rPr>
        <sz val="10"/>
        <color rgb="FF000000"/>
        <rFont val="Noto Sans CJK SC"/>
        <family val="2"/>
      </rPr>
      <t xml:space="preserve">物理下限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輸出；基準下 </t>
    </r>
    <r>
      <rPr>
        <sz val="10"/>
        <color rgb="FF000000"/>
        <rFont val="Arial"/>
        <family val="0"/>
        <charset val="1"/>
      </rPr>
      <t xml:space="preserve">m 0.460 </t>
    </r>
    <r>
      <rPr>
        <sz val="10"/>
        <color rgb="FF000000"/>
        <rFont val="Noto Sans CJK SC"/>
        <family val="2"/>
      </rPr>
      <t xml:space="preserve">高於下限 </t>
    </r>
    <r>
      <rPr>
        <sz val="10"/>
        <color rgb="FF000000"/>
        <rFont val="Arial"/>
        <family val="0"/>
        <charset val="1"/>
      </rPr>
      <t xml:space="preserve">0.339</t>
    </r>
    <r>
      <rPr>
        <sz val="10"/>
        <color rgb="FF000000"/>
        <rFont val="Noto Sans CJK SC"/>
        <family val="2"/>
      </rPr>
      <t xml:space="preserve">，下限不綁定。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</si>
  <si>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敏感度為單變數測試，未測交互作用；兩種組合（世代、層級）沒有正式區間，為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端暫設。</t>
    </r>
  </si>
  <si>
    <r>
      <rPr>
        <sz val="10"/>
        <color rgb="FF000000"/>
        <rFont val="Arial"/>
        <family val="0"/>
        <charset val="1"/>
      </rPr>
      <t xml:space="preserve">5. </t>
    </r>
    <r>
      <rPr>
        <sz val="10"/>
        <color rgb="FF000000"/>
        <rFont val="Noto Sans CJK SC"/>
        <family val="2"/>
      </rPr>
      <t xml:space="preserve">回本判讀不在本簿範圍：回本由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（壽命期價格係數）與恆等式所需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決定，不經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v15.3 </t>
    </r>
    <r>
      <rPr>
        <sz val="10"/>
        <color rgb="FF000000"/>
        <rFont val="Noto Sans CJK SC"/>
        <family val="2"/>
      </rPr>
      <t xml:space="preserve">判讀「未定」）。</t>
    </r>
  </si>
  <si>
    <r>
      <rPr>
        <b val="true"/>
        <sz val="15"/>
        <rFont val="Arial"/>
        <family val="0"/>
        <charset val="1"/>
      </rPr>
      <t xml:space="preserve">m</t>
    </r>
    <r>
      <rPr>
        <b val="true"/>
        <sz val="15"/>
        <rFont val="Noto Sans CJK SC"/>
        <family val="2"/>
      </rPr>
      <t xml:space="preserve">（機隊變現率）推導總覽</t>
    </r>
  </si>
  <si>
    <r>
      <rPr>
        <sz val="9"/>
        <color rgb="FF555555"/>
        <rFont val="Arial"/>
        <family val="0"/>
        <charset val="1"/>
      </rPr>
      <t xml:space="preserve">Tokenomics v15.3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PR #126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與已合併的 </t>
    </r>
    <r>
      <rPr>
        <sz val="9"/>
        <color rgb="FF555555"/>
        <rFont val="Arial"/>
        <family val="0"/>
        <charset val="1"/>
      </rPr>
      <t xml:space="preserve">v15.2 </t>
    </r>
    <r>
      <rPr>
        <sz val="9"/>
        <color rgb="FF555555"/>
        <rFont val="Noto Sans CJK SC"/>
        <family val="2"/>
      </rPr>
      <t xml:space="preserve">相同）。本頁數字全部連結到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重算，改 </t>
    </r>
    <r>
      <rPr>
        <sz val="9"/>
        <color rgb="FF555555"/>
        <rFont val="Arial"/>
        <family val="0"/>
        <charset val="1"/>
      </rPr>
      <t xml:space="preserve">2_</t>
    </r>
    <r>
      <rPr>
        <sz val="9"/>
        <color rgb="FF555555"/>
        <rFont val="Noto Sans CJK SC"/>
        <family val="2"/>
      </rPr>
      <t xml:space="preserve">輸入 會一起變。</t>
    </r>
  </si>
  <si>
    <t xml:space="preserve">一句話</t>
  </si>
  <si>
    <r>
      <rPr>
        <sz val="11"/>
        <color theme="1"/>
        <rFont val="Arial"/>
        <family val="0"/>
        <charset val="1"/>
      </rPr>
      <t xml:space="preserve">m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Arial"/>
        <family val="0"/>
        <charset val="1"/>
      </rPr>
      <t xml:space="preserve">OpenAI 2025 </t>
    </r>
    <r>
      <rPr>
        <sz val="11"/>
        <color theme="1"/>
        <rFont val="Noto Sans CJK SC"/>
        <family val="2"/>
      </rPr>
      <t xml:space="preserve">營收能「買到」的 </t>
    </r>
    <r>
      <rPr>
        <sz val="11"/>
        <color theme="1"/>
        <rFont val="Arial"/>
        <family val="0"/>
        <charset val="1"/>
      </rPr>
      <t xml:space="preserve">token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牌價扣折扣）</t>
    </r>
    <r>
      <rPr>
        <sz val="11"/>
        <color theme="1"/>
        <rFont val="Arial"/>
        <family val="0"/>
        <charset val="1"/>
      </rPr>
      <t xml:space="preserve">÷ OpenAI </t>
    </r>
    <r>
      <rPr>
        <sz val="11"/>
        <color theme="1"/>
        <rFont val="Noto Sans CJK SC"/>
        <family val="2"/>
      </rPr>
      <t xml:space="preserve">機隊實際產出的付費 </t>
    </r>
    <r>
      <rPr>
        <sz val="11"/>
        <color theme="1"/>
        <rFont val="Arial"/>
        <family val="0"/>
        <charset val="1"/>
      </rPr>
      <t xml:space="preserve">token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Arial"/>
        <family val="0"/>
        <charset val="1"/>
      </rPr>
      <t xml:space="preserve">m &lt; 1 </t>
    </r>
    <r>
      <rPr>
        <sz val="11"/>
        <color theme="1"/>
        <rFont val="Noto Sans CJK SC"/>
        <family val="2"/>
      </rPr>
      <t xml:space="preserve">表示機隊產出的付費 </t>
    </r>
    <r>
      <rPr>
        <sz val="11"/>
        <color theme="1"/>
        <rFont val="Arial"/>
        <family val="0"/>
        <charset val="1"/>
      </rPr>
      <t xml:space="preserve">token </t>
    </r>
    <r>
      <rPr>
        <sz val="11"/>
        <color theme="1"/>
        <rFont val="Noto Sans CJK SC"/>
        <family val="2"/>
      </rPr>
      <t xml:space="preserve">比營收按牌價折算的多——每個 </t>
    </r>
    <r>
      <rPr>
        <sz val="11"/>
        <color theme="1"/>
        <rFont val="Arial"/>
        <family val="0"/>
        <charset val="1"/>
      </rPr>
      <t xml:space="preserve">token </t>
    </r>
    <r>
      <rPr>
        <sz val="11"/>
        <color theme="1"/>
        <rFont val="Noto Sans CJK SC"/>
        <family val="2"/>
      </rPr>
      <t xml:space="preserve">實收低於牌價（訂閱、免費額度、折扣），或模型高估了機隊產出。</t>
    </r>
  </si>
  <si>
    <t xml:space="preserve">層級與項目</t>
  </si>
  <si>
    <t xml:space="preserve">值</t>
  </si>
  <si>
    <t xml:space="preserve">單位</t>
  </si>
  <si>
    <t xml:space="preserve">怎麼算（細節頁）</t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</si>
  <si>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層：</t>
    </r>
    <r>
      <rPr>
        <b val="true"/>
        <sz val="10"/>
        <rFont val="Arial"/>
        <family val="0"/>
        <charset val="1"/>
      </rPr>
      <t xml:space="preserve">m</t>
    </r>
  </si>
  <si>
    <t xml:space="preserve">x</t>
  </si>
  <si>
    <r>
      <rPr>
        <sz val="9"/>
        <color rgb="FF555555"/>
        <rFont val="Noto Sans CJK SC"/>
        <family val="2"/>
      </rPr>
      <t xml:space="preserve">＝ 營收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（機隊付費 </t>
    </r>
    <r>
      <rPr>
        <sz val="9"/>
        <color rgb="FF555555"/>
        <rFont val="Arial"/>
        <family val="0"/>
        <charset val="1"/>
      </rPr>
      <t xml:space="preserve">token × </t>
    </r>
    <r>
      <rPr>
        <sz val="9"/>
        <color rgb="FF555555"/>
        <rFont val="Noto Sans CJK SC"/>
        <family val="2"/>
      </rPr>
      <t xml:space="preserve">混合有效單價）（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步驟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）</t>
    </r>
  </si>
  <si>
    <t xml:space="preserve">　營收</t>
  </si>
  <si>
    <t xml:space="preserve">$B</t>
  </si>
  <si>
    <r>
      <rPr>
        <sz val="9"/>
        <color rgb="FF555555"/>
        <rFont val="Arial"/>
        <family val="0"/>
        <charset val="1"/>
      </rPr>
      <t xml:space="preserve">SRC_DEM_007</t>
    </r>
    <r>
      <rPr>
        <sz val="9"/>
        <color rgb="FF555555"/>
        <rFont val="Noto Sans CJK SC"/>
        <family val="2"/>
      </rPr>
      <t xml:space="preserve">，查核財報</t>
    </r>
  </si>
  <si>
    <r>
      <rPr>
        <sz val="10"/>
        <color rgb="FF000000"/>
        <rFont val="Noto Sans CJK SC"/>
        <family val="2"/>
      </rPr>
      <t xml:space="preserve">　營收折合的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</si>
  <si>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</si>
  <si>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55555"/>
        <rFont val="Noto Sans CJK SC"/>
        <family val="2"/>
      </rPr>
      <t xml:space="preserve">營收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混合有效單價（步驟 </t>
    </r>
    <r>
      <rPr>
        <sz val="9"/>
        <color rgb="FF555555"/>
        <rFont val="Arial"/>
        <family val="0"/>
        <charset val="1"/>
      </rPr>
      <t xml:space="preserve">S19</t>
    </r>
    <r>
      <rPr>
        <sz val="9"/>
        <color rgb="FF555555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</si>
  <si>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　機隊付費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</si>
  <si>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有效服務 </t>
    </r>
    <r>
      <rPr>
        <sz val="9"/>
        <color rgb="FF555555"/>
        <rFont val="Arial"/>
        <family val="0"/>
        <charset val="1"/>
      </rPr>
      <t xml:space="preserve">GW × </t>
    </r>
    <r>
      <rPr>
        <sz val="9"/>
        <color rgb="FF555555"/>
        <rFont val="Noto Sans CJK SC"/>
        <family val="2"/>
      </rPr>
      <t xml:space="preserve">利用率修正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1/</t>
    </r>
    <r>
      <rPr>
        <sz val="9"/>
        <color rgb="FF555555"/>
        <rFont val="Noto Sans CJK SC"/>
        <family val="2"/>
      </rPr>
      <t xml:space="preserve">付費產能 ＋ </t>
    </r>
    <r>
      <rPr>
        <sz val="9"/>
        <color rgb="FF555555"/>
        <rFont val="Arial"/>
        <family val="0"/>
        <charset val="1"/>
      </rPr>
      <t xml:space="preserve">r/</t>
    </r>
    <r>
      <rPr>
        <sz val="9"/>
        <color rgb="FF555555"/>
        <rFont val="Noto Sans CJK SC"/>
        <family val="2"/>
      </rPr>
      <t xml:space="preserve">免費產能）（步驟 </t>
    </r>
    <r>
      <rPr>
        <sz val="9"/>
        <color rgb="FF555555"/>
        <rFont val="Arial"/>
        <family val="0"/>
        <charset val="1"/>
      </rPr>
      <t xml:space="preserve">S16</t>
    </r>
    <r>
      <rPr>
        <sz val="9"/>
        <color rgb="FF555555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</si>
  <si>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層：單價</t>
    </r>
  </si>
  <si>
    <t xml:space="preserve">$/M tok</t>
  </si>
  <si>
    <r>
      <rPr>
        <sz val="9"/>
        <color rgb="FF555555"/>
        <rFont val="Noto Sans CJK SC"/>
        <family val="2"/>
      </rPr>
      <t xml:space="preserve">付費層級組合 </t>
    </r>
    <r>
      <rPr>
        <sz val="9"/>
        <color rgb="FF555555"/>
        <rFont val="Arial"/>
        <family val="0"/>
        <charset val="1"/>
      </rPr>
      <t xml:space="preserve">× 2025 </t>
    </r>
    <r>
      <rPr>
        <sz val="9"/>
        <color rgb="FF555555"/>
        <rFont val="Noto Sans CJK SC"/>
        <family val="2"/>
      </rPr>
      <t xml:space="preserve">層級單價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折扣）（步驟 </t>
    </r>
    <r>
      <rPr>
        <sz val="9"/>
        <color rgb="FF555555"/>
        <rFont val="Arial"/>
        <family val="0"/>
        <charset val="1"/>
      </rPr>
      <t xml:space="preserve">S17–S18</t>
    </r>
    <r>
      <rPr>
        <sz val="9"/>
        <color rgb="FF555555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</si>
  <si>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層：有效服務 </t>
    </r>
    <r>
      <rPr>
        <b val="true"/>
        <sz val="10"/>
        <rFont val="Arial"/>
        <family val="0"/>
        <charset val="1"/>
      </rPr>
      <t xml:space="preserve">GW</t>
    </r>
  </si>
  <si>
    <t xml:space="preserve">GW</t>
  </si>
  <si>
    <r>
      <rPr>
        <sz val="9"/>
        <color rgb="FF555555"/>
        <rFont val="Noto Sans CJK SC"/>
        <family val="2"/>
      </rPr>
      <t xml:space="preserve">推論支出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持有成本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計價倍數 </t>
    </r>
    <r>
      <rPr>
        <sz val="9"/>
        <color rgb="FF555555"/>
        <rFont val="Arial"/>
        <family val="0"/>
        <charset val="1"/>
      </rPr>
      <t xml:space="preserve">× κ</t>
    </r>
    <r>
      <rPr>
        <sz val="9"/>
        <color rgb="FF555555"/>
        <rFont val="Noto Sans CJK SC"/>
        <family val="2"/>
      </rPr>
      <t xml:space="preserve">（步驟 </t>
    </r>
    <r>
      <rPr>
        <sz val="9"/>
        <color rgb="FF555555"/>
        <rFont val="Arial"/>
        <family val="0"/>
        <charset val="1"/>
      </rPr>
      <t xml:space="preserve">S12–S14</t>
    </r>
    <r>
      <rPr>
        <sz val="9"/>
        <color rgb="FF555555"/>
        <rFont val="Noto Sans CJK SC"/>
        <family val="2"/>
      </rPr>
      <t xml:space="preserve">；持有成本見 </t>
    </r>
    <r>
      <rPr>
        <sz val="9"/>
        <color rgb="FF555555"/>
        <rFont val="Arial"/>
        <family val="0"/>
        <charset val="1"/>
      </rPr>
      <t xml:space="preserve">4_</t>
    </r>
    <r>
      <rPr>
        <sz val="9"/>
        <color rgb="FF555555"/>
        <rFont val="Noto Sans CJK SC"/>
        <family val="2"/>
      </rPr>
      <t xml:space="preserve">持有成本）</t>
    </r>
  </si>
  <si>
    <t xml:space="preserve">　推論支出</t>
  </si>
  <si>
    <r>
      <rPr>
        <sz val="9"/>
        <color rgb="FF555555"/>
        <rFont val="Arial"/>
        <family val="0"/>
        <charset val="1"/>
      </rPr>
      <t xml:space="preserve">SRC_DEM_004</t>
    </r>
    <r>
      <rPr>
        <sz val="9"/>
        <color rgb="FF555555"/>
        <rFont val="Noto Sans CJK SC"/>
        <family val="2"/>
      </rPr>
      <t xml:space="preserve">（主口徑 </t>
    </r>
    <r>
      <rPr>
        <sz val="9"/>
        <color rgb="FF555555"/>
        <rFont val="Arial"/>
        <family val="0"/>
        <charset val="1"/>
      </rPr>
      <t xml:space="preserve">84 </t>
    </r>
    <r>
      <rPr>
        <sz val="9"/>
        <color rgb="FF555555"/>
        <rFont val="Noto Sans CJK SC"/>
        <family val="2"/>
      </rPr>
      <t xml:space="preserve">億；</t>
    </r>
    <r>
      <rPr>
        <sz val="9"/>
        <color rgb="FF555555"/>
        <rFont val="Arial"/>
        <family val="0"/>
        <charset val="1"/>
      </rPr>
      <t xml:space="preserve">126 </t>
    </r>
    <r>
      <rPr>
        <sz val="9"/>
        <color rgb="FF555555"/>
        <rFont val="Noto Sans CJK SC"/>
        <family val="2"/>
      </rPr>
      <t xml:space="preserve">億為對照）</t>
    </r>
  </si>
  <si>
    <r>
      <rPr>
        <sz val="10"/>
        <color rgb="FF000000"/>
        <rFont val="Noto Sans CJK SC"/>
        <family val="2"/>
      </rPr>
      <t xml:space="preserve">　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</t>
    </r>
  </si>
  <si>
    <r>
      <rPr>
        <sz val="10"/>
        <color rgb="FF000000"/>
        <rFont val="Arial"/>
        <family val="0"/>
        <charset val="1"/>
      </rPr>
      <t xml:space="preserve">$B/GW·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</si>
  <si>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55555"/>
        <rFont val="Noto Sans CJK SC"/>
        <family val="2"/>
      </rPr>
      <t xml:space="preserve">資本回收年金＋營運費用（</t>
    </r>
    <r>
      <rPr>
        <sz val="9"/>
        <color rgb="FF555555"/>
        <rFont val="Arial"/>
        <family val="0"/>
        <charset val="1"/>
      </rPr>
      <t xml:space="preserve">4_</t>
    </r>
    <r>
      <rPr>
        <sz val="9"/>
        <color rgb="FF555555"/>
        <rFont val="Noto Sans CJK SC"/>
        <family val="2"/>
      </rPr>
      <t xml:space="preserve">持有成本）</t>
    </r>
  </si>
  <si>
    <t xml:space="preserve">　利用率修正</t>
  </si>
  <si>
    <r>
      <rPr>
        <sz val="9"/>
        <color rgb="FF555555"/>
        <rFont val="Noto Sans CJK SC"/>
        <family val="2"/>
      </rPr>
      <t xml:space="preserve">實際利用率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生產折減 </t>
    </r>
    <r>
      <rPr>
        <sz val="9"/>
        <color rgb="FF555555"/>
        <rFont val="Arial"/>
        <family val="0"/>
        <charset val="1"/>
      </rPr>
      <t xml:space="preserve">÷ IF_Util</t>
    </r>
    <r>
      <rPr>
        <sz val="9"/>
        <color rgb="FF555555"/>
        <rFont val="Noto Sans CJK SC"/>
        <family val="2"/>
      </rPr>
      <t xml:space="preserve">（步驟 </t>
    </r>
    <r>
      <rPr>
        <sz val="9"/>
        <color rgb="FF555555"/>
        <rFont val="Arial"/>
        <family val="0"/>
        <charset val="1"/>
      </rPr>
      <t xml:space="preserve">S15</t>
    </r>
    <r>
      <rPr>
        <sz val="9"/>
        <color rgb="FF555555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</si>
  <si>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層：免費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 </t>
    </r>
    <r>
      <rPr>
        <b val="true"/>
        <sz val="10"/>
        <rFont val="Arial"/>
        <family val="0"/>
        <charset val="1"/>
      </rPr>
      <t xml:space="preserve">r</t>
    </r>
  </si>
  <si>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免費 </t>
    </r>
    <r>
      <rPr>
        <sz val="9"/>
        <color rgb="FF555555"/>
        <rFont val="Arial"/>
        <family val="0"/>
        <charset val="1"/>
      </rPr>
      <t xml:space="preserve">token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付費）（步驟 </t>
    </r>
    <r>
      <rPr>
        <sz val="9"/>
        <color rgb="FF555555"/>
        <rFont val="Arial"/>
        <family val="0"/>
        <charset val="1"/>
      </rPr>
      <t xml:space="preserve">S7–S11</t>
    </r>
    <r>
      <rPr>
        <sz val="9"/>
        <color rgb="FF555555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</si>
  <si>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Noto Sans CJK SC"/>
        <family val="2"/>
      </rPr>
      <t xml:space="preserve">層：機隊每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年產能（付費）</t>
    </r>
  </si>
  <si>
    <r>
      <rPr>
        <sz val="9"/>
        <color rgb="FF555555"/>
        <rFont val="Noto Sans CJK SC"/>
        <family val="2"/>
      </rPr>
      <t xml:space="preserve">世代加權的調和平均（步驟 </t>
    </r>
    <r>
      <rPr>
        <sz val="9"/>
        <color rgb="FF555555"/>
        <rFont val="Arial"/>
        <family val="0"/>
        <charset val="1"/>
      </rPr>
      <t xml:space="preserve">S1–S6</t>
    </r>
    <r>
      <rPr>
        <sz val="9"/>
        <color rgb="FF555555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</si>
  <si>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　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</si>
  <si>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t xml:space="preserve">同上</t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</si>
  <si>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層：每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年產出（</t>
    </r>
    <r>
      <rPr>
        <b val="true"/>
        <sz val="10"/>
        <rFont val="Arial"/>
        <family val="0"/>
        <charset val="1"/>
      </rPr>
      <t xml:space="preserve">roofline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</si>
  <si>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例：</t>
    </r>
    <r>
      <rPr>
        <sz val="9"/>
        <color rgb="FF555555"/>
        <rFont val="Arial"/>
        <family val="0"/>
        <charset val="1"/>
      </rPr>
      <t xml:space="preserve">GB200 Sol</t>
    </r>
    <r>
      <rPr>
        <sz val="9"/>
        <color rgb="FF555555"/>
        <rFont val="Noto Sans CJK SC"/>
        <family val="2"/>
      </rPr>
      <t xml:space="preserve">。每請求 </t>
    </r>
    <r>
      <rPr>
        <sz val="9"/>
        <color rgb="FF555555"/>
        <rFont val="Arial"/>
        <family val="0"/>
        <charset val="1"/>
      </rPr>
      <t xml:space="preserve">GPU </t>
    </r>
    <r>
      <rPr>
        <sz val="9"/>
        <color rgb="FF555555"/>
        <rFont val="Noto Sans CJK SC"/>
        <family val="2"/>
      </rPr>
      <t xml:space="preserve">秒 ← </t>
    </r>
    <r>
      <rPr>
        <sz val="9"/>
        <color rgb="FF555555"/>
        <rFont val="Arial"/>
        <family val="0"/>
        <charset val="1"/>
      </rPr>
      <t xml:space="preserve">prefill</t>
    </r>
    <r>
      <rPr>
        <sz val="9"/>
        <color rgb="FF555555"/>
        <rFont val="Noto Sans CJK SC"/>
        <family val="2"/>
      </rPr>
      <t xml:space="preserve">（算力）＋ </t>
    </r>
    <r>
      <rPr>
        <sz val="9"/>
        <color rgb="FF555555"/>
        <rFont val="Arial"/>
        <family val="0"/>
        <charset val="1"/>
      </rPr>
      <t xml:space="preserve">decode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SLO </t>
    </r>
    <r>
      <rPr>
        <sz val="9"/>
        <color rgb="FF555555"/>
        <rFont val="Noto Sans CJK SC"/>
        <family val="2"/>
      </rPr>
      <t xml:space="preserve">下的批次 </t>
    </r>
    <r>
      <rPr>
        <sz val="9"/>
        <color rgb="FF555555"/>
        <rFont val="Arial"/>
        <family val="0"/>
        <charset val="1"/>
      </rPr>
      <t xml:space="preserve">B*</t>
    </r>
    <r>
      <rPr>
        <sz val="9"/>
        <color rgb="FF555555"/>
        <rFont val="Noto Sans CJK SC"/>
        <family val="2"/>
      </rPr>
      <t xml:space="preserve">）（</t>
    </r>
    <r>
      <rPr>
        <sz val="9"/>
        <color rgb="FF555555"/>
        <rFont val="Arial"/>
        <family val="0"/>
        <charset val="1"/>
      </rPr>
      <t xml:space="preserve">5_</t>
    </r>
    <r>
      <rPr>
        <sz val="9"/>
        <color rgb="FF555555"/>
        <rFont val="Noto Sans CJK SC"/>
        <family val="2"/>
      </rPr>
      <t xml:space="preserve">每</t>
    </r>
    <r>
      <rPr>
        <sz val="9"/>
        <color rgb="FF555555"/>
        <rFont val="Arial"/>
        <family val="0"/>
        <charset val="1"/>
      </rPr>
      <t xml:space="preserve">GW</t>
    </r>
    <r>
      <rPr>
        <sz val="9"/>
        <color rgb="FF555555"/>
        <rFont val="Noto Sans CJK SC"/>
        <family val="2"/>
      </rPr>
      <t xml:space="preserve">產出）</t>
    </r>
  </si>
  <si>
    <r>
      <rPr>
        <b val="true"/>
        <sz val="10"/>
        <rFont val="Noto Sans CJK SC"/>
        <family val="2"/>
      </rPr>
      <t xml:space="preserve">閉式解（</t>
    </r>
    <r>
      <rPr>
        <b val="true"/>
        <sz val="10"/>
        <rFont val="Arial"/>
        <family val="0"/>
        <charset val="1"/>
      </rPr>
      <t xml:space="preserve">IF_Util </t>
    </r>
    <r>
      <rPr>
        <b val="true"/>
        <sz val="10"/>
        <rFont val="Noto Sans CJK SC"/>
        <family val="2"/>
      </rPr>
      <t xml:space="preserve">會約掉）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</si>
  <si>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＝ 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1/C</t>
    </r>
    <r>
      <rPr>
        <sz val="10"/>
        <color rgb="FF000000"/>
        <rFont val="Noto Sans CJK SC"/>
        <family val="2"/>
      </rPr>
      <t xml:space="preserve">付 ＋ </t>
    </r>
    <r>
      <rPr>
        <sz val="10"/>
        <color rgb="FF000000"/>
        <rFont val="Arial"/>
        <family val="0"/>
        <charset val="1"/>
      </rPr>
      <t xml:space="preserve">r/C</t>
    </r>
    <r>
      <rPr>
        <sz val="10"/>
        <color rgb="FF000000"/>
        <rFont val="Noto Sans CJK SC"/>
        <family val="2"/>
      </rPr>
      <t xml:space="preserve">免）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× κ × </t>
    </r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</si>
  <si>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付、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免＝</t>
    </r>
    <r>
      <rPr>
        <sz val="9"/>
        <color rgb="FF555555"/>
        <rFont val="Arial"/>
        <family val="0"/>
        <charset val="1"/>
      </rPr>
      <t xml:space="preserve">100% </t>
    </r>
    <r>
      <rPr>
        <sz val="9"/>
        <color rgb="FF555555"/>
        <rFont val="Noto Sans CJK SC"/>
        <family val="2"/>
      </rPr>
      <t xml:space="preserve">利用率下的每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年產能（＝</t>
    </r>
    <r>
      <rPr>
        <sz val="9"/>
        <color rgb="FF555555"/>
        <rFont val="Arial"/>
        <family val="0"/>
        <charset val="1"/>
      </rPr>
      <t xml:space="preserve">S5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S6 ÷ IF_Util</t>
    </r>
    <r>
      <rPr>
        <sz val="9"/>
        <color rgb="FF555555"/>
        <rFont val="Noto Sans CJK SC"/>
        <family val="2"/>
      </rPr>
      <t xml:space="preserve">）。</t>
    </r>
    <r>
      <rPr>
        <sz val="9"/>
        <color rgb="FF555555"/>
        <rFont val="Arial"/>
        <family val="0"/>
        <charset val="1"/>
      </rPr>
      <t xml:space="preserve">IF_Util </t>
    </r>
    <r>
      <rPr>
        <sz val="9"/>
        <color rgb="FF555555"/>
        <rFont val="Noto Sans CJK SC"/>
        <family val="2"/>
      </rPr>
      <t xml:space="preserve">同時出現在利用率修正的分母與產能的分子，所以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與它無關。</t>
    </r>
  </si>
  <si>
    <r>
      <rPr>
        <sz val="11"/>
        <color theme="1"/>
        <rFont val="Noto Sans CJK SC"/>
        <family val="2"/>
      </rPr>
      <t xml:space="preserve">閉式解計算的 </t>
    </r>
    <r>
      <rPr>
        <sz val="11"/>
        <color theme="1"/>
        <rFont val="Arial"/>
        <family val="0"/>
        <charset val="1"/>
      </rPr>
      <t xml:space="preserve">m</t>
    </r>
  </si>
  <si>
    <r>
      <rPr>
        <sz val="9"/>
        <color rgb="FF555555"/>
        <rFont val="Noto Sans CJK SC"/>
        <family val="2"/>
      </rPr>
      <t xml:space="preserve">應等於第 </t>
    </r>
    <r>
      <rPr>
        <sz val="9"/>
        <color rgb="FF555555"/>
        <rFont val="Arial"/>
        <family val="0"/>
        <charset val="1"/>
      </rPr>
      <t xml:space="preserve">0 </t>
    </r>
    <r>
      <rPr>
        <sz val="9"/>
        <color rgb="FF555555"/>
        <rFont val="Noto Sans CJK SC"/>
        <family val="2"/>
      </rPr>
      <t xml:space="preserve">層的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（單位：營收 </t>
    </r>
    <r>
      <rPr>
        <sz val="9"/>
        <color rgb="FF555555"/>
        <rFont val="Arial"/>
        <family val="0"/>
        <charset val="1"/>
      </rPr>
      <t xml:space="preserve">$B × </t>
    </r>
    <r>
      <rPr>
        <sz val="9"/>
        <color rgb="FF555555"/>
        <rFont val="Noto Sans CJK SC"/>
        <family val="2"/>
      </rPr>
      <t xml:space="preserve">持有成本 </t>
    </r>
    <r>
      <rPr>
        <sz val="9"/>
        <color rgb="FF555555"/>
        <rFont val="Arial"/>
        <family val="0"/>
        <charset val="1"/>
      </rPr>
      <t xml:space="preserve">$B/GW ÷ </t>
    </r>
    <r>
      <rPr>
        <sz val="9"/>
        <color rgb="FF555555"/>
        <rFont val="Noto Sans CJK SC"/>
        <family val="2"/>
      </rPr>
      <t xml:space="preserve">支出 </t>
    </r>
    <r>
      <rPr>
        <sz val="9"/>
        <color rgb="FF555555"/>
        <rFont val="Arial"/>
        <family val="0"/>
        <charset val="1"/>
      </rPr>
      <t xml:space="preserve">$B → </t>
    </r>
    <r>
      <rPr>
        <sz val="9"/>
        <color rgb="FF555555"/>
        <rFont val="Noto Sans CJK SC"/>
        <family val="2"/>
      </rPr>
      <t xml:space="preserve">只剩 </t>
    </r>
    <r>
      <rPr>
        <sz val="9"/>
        <color rgb="FF555555"/>
        <rFont val="Arial"/>
        <family val="0"/>
        <charset val="1"/>
      </rPr>
      <t xml:space="preserve">$/token </t>
    </r>
    <r>
      <rPr>
        <sz val="9"/>
        <color rgb="FF555555"/>
        <rFont val="Noto Sans CJK SC"/>
        <family val="2"/>
      </rPr>
      <t xml:space="preserve">與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的比）</t>
    </r>
  </si>
  <si>
    <t xml:space="preserve">差異</t>
  </si>
  <si>
    <r>
      <rPr>
        <b val="true"/>
        <sz val="10"/>
        <rFont val="Noto Sans CJK SC"/>
        <family val="2"/>
      </rPr>
      <t xml:space="preserve">彈性（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對各輸入，閉式解直接可讀）</t>
    </r>
  </si>
  <si>
    <t xml:space="preserve">營收、持有成本、計價倍數</t>
  </si>
  <si>
    <t xml:space="preserve">+1</t>
  </si>
  <si>
    <r>
      <rPr>
        <sz val="11"/>
        <color theme="1"/>
        <rFont val="Noto Sans CJK SC"/>
        <family val="2"/>
      </rPr>
      <t xml:space="preserve">推論支出、</t>
    </r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、實際利用率、生產折減、單價</t>
    </r>
  </si>
  <si>
    <t xml:space="preserve">−1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</si>
  <si>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Arial"/>
        <family val="0"/>
        <charset val="1"/>
      </rPr>
      <t xml:space="preserve">GW </t>
    </r>
    <r>
      <rPr>
        <sz val="11"/>
        <color theme="1"/>
        <rFont val="Noto Sans CJK SC"/>
        <family val="2"/>
      </rPr>
      <t xml:space="preserve">產能（付費與免費一起放大時）</t>
    </r>
  </si>
  <si>
    <t xml:space="preserve">IF_Util</t>
  </si>
  <si>
    <r>
      <rPr>
        <sz val="11"/>
        <color theme="1"/>
        <rFont val="Arial"/>
        <family val="0"/>
        <charset val="1"/>
      </rPr>
      <t xml:space="preserve">0</t>
    </r>
    <r>
      <rPr>
        <sz val="11"/>
        <color theme="1"/>
        <rFont val="Noto Sans CJK SC"/>
        <family val="2"/>
      </rPr>
      <t xml:space="preserve">（約掉）</t>
    </r>
  </si>
  <si>
    <r>
      <rPr>
        <sz val="11"/>
        <color theme="1"/>
        <rFont val="Noto Sans CJK SC"/>
        <family val="2"/>
      </rPr>
      <t xml:space="preserve">免費 </t>
    </r>
    <r>
      <rPr>
        <sz val="11"/>
        <color theme="1"/>
        <rFont val="Arial"/>
        <family val="0"/>
        <charset val="1"/>
      </rPr>
      <t xml:space="preserve">÷ </t>
    </r>
    <r>
      <rPr>
        <sz val="11"/>
        <color theme="1"/>
        <rFont val="Noto Sans CJK SC"/>
        <family val="2"/>
      </rPr>
      <t xml:space="preserve">付費 </t>
    </r>
    <r>
      <rPr>
        <sz val="11"/>
        <color theme="1"/>
        <rFont val="Arial"/>
        <family val="0"/>
        <charset val="1"/>
      </rPr>
      <t xml:space="preserve">token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Arial"/>
        <family val="0"/>
        <charset val="1"/>
      </rPr>
      <t xml:space="preserve">r</t>
    </r>
  </si>
  <si>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Arial"/>
        <family val="0"/>
        <charset val="1"/>
      </rPr>
      <t xml:space="preserve">r </t>
    </r>
    <r>
      <rPr>
        <sz val="11"/>
        <color theme="1"/>
        <rFont val="Noto Sans CJK SC"/>
        <family val="2"/>
      </rPr>
      <t xml:space="preserve">越大，留給付費的產能越少，</t>
    </r>
    <r>
      <rPr>
        <sz val="11"/>
        <color theme="1"/>
        <rFont val="Arial"/>
        <family val="0"/>
        <charset val="1"/>
      </rPr>
      <t xml:space="preserve">m </t>
    </r>
    <r>
      <rPr>
        <sz val="11"/>
        <color theme="1"/>
        <rFont val="Noto Sans CJK SC"/>
        <family val="2"/>
      </rPr>
      <t xml:space="preserve">越高）</t>
    </r>
  </si>
  <si>
    <t xml:space="preserve">驗證</t>
  </si>
  <si>
    <r>
      <rPr>
        <sz val="11"/>
        <color theme="1"/>
        <rFont val="Arial"/>
        <family val="0"/>
        <charset val="1"/>
      </rPr>
      <t xml:space="preserve">3_m</t>
    </r>
    <r>
      <rPr>
        <sz val="11"/>
        <color theme="1"/>
        <rFont val="Noto Sans CJK SC"/>
        <family val="2"/>
      </rPr>
      <t xml:space="preserve">重算 的 </t>
    </r>
    <r>
      <rPr>
        <sz val="11"/>
        <color theme="1"/>
        <rFont val="Arial"/>
        <family val="0"/>
        <charset val="1"/>
      </rPr>
      <t xml:space="preserve">m ÷ Tokenomics </t>
    </r>
    <r>
      <rPr>
        <sz val="11"/>
        <color theme="1"/>
        <rFont val="Noto Sans CJK SC"/>
        <family val="2"/>
      </rPr>
      <t xml:space="preserve">原值 − </t>
    </r>
    <r>
      <rPr>
        <sz val="11"/>
        <color theme="1"/>
        <rFont val="Arial"/>
        <family val="0"/>
        <charset val="1"/>
      </rPr>
      <t xml:space="preserve">1</t>
    </r>
  </si>
  <si>
    <r>
      <rPr>
        <sz val="11"/>
        <color theme="1"/>
        <rFont val="Arial"/>
        <family val="0"/>
        <charset val="1"/>
      </rPr>
      <t xml:space="preserve">5_</t>
    </r>
    <r>
      <rPr>
        <sz val="11"/>
        <color theme="1"/>
        <rFont val="Noto Sans CJK SC"/>
        <family val="2"/>
      </rPr>
      <t xml:space="preserve">每</t>
    </r>
    <r>
      <rPr>
        <sz val="11"/>
        <color theme="1"/>
        <rFont val="Arial"/>
        <family val="0"/>
        <charset val="1"/>
      </rPr>
      <t xml:space="preserve">GW</t>
    </r>
    <r>
      <rPr>
        <sz val="11"/>
        <color theme="1"/>
        <rFont val="Noto Sans CJK SC"/>
        <family val="2"/>
      </rPr>
      <t xml:space="preserve">產出 六個案例的最大絕對差異</t>
    </r>
  </si>
  <si>
    <r>
      <rPr>
        <sz val="11"/>
        <color theme="1"/>
        <rFont val="Arial"/>
        <family val="0"/>
        <charset val="1"/>
      </rPr>
      <t xml:space="preserve">4_</t>
    </r>
    <r>
      <rPr>
        <sz val="11"/>
        <color theme="1"/>
        <rFont val="Noto Sans CJK SC"/>
        <family val="2"/>
      </rPr>
      <t xml:space="preserve">持有成本 兩個世代的最大絕對差異</t>
    </r>
  </si>
  <si>
    <r>
      <rPr>
        <b val="true"/>
        <sz val="10"/>
        <rFont val="Noto Sans CJK SC"/>
        <family val="2"/>
      </rPr>
      <t xml:space="preserve">最不確定的八項（依 </t>
    </r>
    <r>
      <rPr>
        <b val="true"/>
        <sz val="10"/>
        <rFont val="Arial"/>
        <family val="0"/>
        <charset val="1"/>
      </rPr>
      <t xml:space="preserve">6_</t>
    </r>
    <r>
      <rPr>
        <b val="true"/>
        <sz val="10"/>
        <rFont val="Noto Sans CJK SC"/>
        <family val="2"/>
      </rPr>
      <t xml:space="preserve">敏感度 擺動排序；細節見 </t>
    </r>
    <r>
      <rPr>
        <b val="true"/>
        <sz val="10"/>
        <rFont val="Arial"/>
        <family val="0"/>
        <charset val="1"/>
      </rPr>
      <t xml:space="preserve">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8 </t>
    </r>
    <r>
      <rPr>
        <b val="true"/>
        <sz val="10"/>
        <rFont val="Noto Sans CJK SC"/>
        <family val="2"/>
      </rPr>
      <t xml:space="preserve">頁）</t>
    </r>
  </si>
  <si>
    <t xml:space="preserve">輸入</t>
  </si>
  <si>
    <t xml:space="preserve">擺動</t>
  </si>
  <si>
    <t xml:space="preserve">承重度</t>
  </si>
  <si>
    <t xml:space="preserve">去哪裡解決</t>
  </si>
  <si>
    <r>
      <rPr>
        <sz val="9"/>
        <color rgb="FF555555"/>
        <rFont val="Arial"/>
        <family val="0"/>
        <charset val="1"/>
      </rPr>
      <t xml:space="preserve">7_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搜尋 第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</si>
  <si>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8_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實地調研 第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</si>
  <si>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7_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搜尋 第 </t>
    </r>
    <r>
      <rPr>
        <sz val="9"/>
        <color rgb="FF555555"/>
        <rFont val="Arial"/>
        <family val="0"/>
        <charset val="1"/>
      </rPr>
      <t xml:space="preserve">2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</si>
  <si>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8_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實地調研 第 </t>
    </r>
    <r>
      <rPr>
        <sz val="9"/>
        <color rgb="FF555555"/>
        <rFont val="Arial"/>
        <family val="0"/>
        <charset val="1"/>
      </rPr>
      <t xml:space="preserve">2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</si>
  <si>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7_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搜尋 第 </t>
    </r>
    <r>
      <rPr>
        <sz val="9"/>
        <color rgb="FF555555"/>
        <rFont val="Arial"/>
        <family val="0"/>
        <charset val="1"/>
      </rPr>
      <t xml:space="preserve">3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</si>
  <si>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7_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搜尋 第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項（流量形狀）</t>
    </r>
  </si>
  <si>
    <r>
      <rPr>
        <sz val="9"/>
        <color rgb="FF555555"/>
        <rFont val="Arial"/>
        <family val="0"/>
        <charset val="1"/>
      </rPr>
      <t xml:space="preserve">8_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實地調研 第 </t>
    </r>
    <r>
      <rPr>
        <sz val="9"/>
        <color rgb="FF555555"/>
        <rFont val="Arial"/>
        <family val="0"/>
        <charset val="1"/>
      </rPr>
      <t xml:space="preserve">3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</si>
  <si>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8_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實地調研 第 </t>
    </r>
    <r>
      <rPr>
        <sz val="9"/>
        <color rgb="FF555555"/>
        <rFont val="Arial"/>
        <family val="0"/>
        <charset val="1"/>
      </rPr>
      <t xml:space="preserve">4 </t>
    </r>
    <r>
      <rPr>
        <sz val="9"/>
        <color rgb="FF555555"/>
        <rFont val="Noto Sans CJK SC"/>
        <family val="2"/>
      </rPr>
      <t xml:space="preserve">項</t>
    </r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</si>
  <si>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推導的全部輸入（藍字＝輸入值，可改；改動後 </t>
    </r>
    <r>
      <rPr>
        <b val="true"/>
        <sz val="13"/>
        <rFont val="Arial"/>
        <family val="0"/>
        <charset val="1"/>
      </rPr>
      <t xml:space="preserve">3_m</t>
    </r>
    <r>
      <rPr>
        <b val="true"/>
        <sz val="13"/>
        <rFont val="Noto Sans CJK SC"/>
        <family val="2"/>
      </rPr>
      <t xml:space="preserve">重算、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頁會自動重算）</t>
    </r>
  </si>
  <si>
    <r>
      <rPr>
        <sz val="9"/>
        <color rgb="FF555555"/>
        <rFont val="Noto Sans CJK SC"/>
        <family val="2"/>
      </rPr>
      <t xml:space="preserve">值取自 </t>
    </r>
    <r>
      <rPr>
        <sz val="9"/>
        <color rgb="FF555555"/>
        <rFont val="Arial"/>
        <family val="0"/>
        <charset val="1"/>
      </rPr>
      <t xml:space="preserve">Tokenomics v15.3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20261018_Tokenomics_v15.3.xlsx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PR #126</t>
    </r>
    <r>
      <rPr>
        <sz val="9"/>
        <color rgb="FF555555"/>
        <rFont val="Noto Sans CJK SC"/>
        <family val="2"/>
      </rPr>
      <t xml:space="preserve">）。標記與區間取自該簿 </t>
    </r>
    <r>
      <rPr>
        <sz val="9"/>
        <color rgb="FF555555"/>
        <rFont val="Arial"/>
        <family val="0"/>
        <charset val="1"/>
      </rPr>
      <t xml:space="preserve">Gov_Map</t>
    </r>
    <r>
      <rPr>
        <sz val="9"/>
        <color rgb="FF555555"/>
        <rFont val="Noto Sans CJK SC"/>
        <family val="2"/>
      </rPr>
      <t xml:space="preserve">；「—」＝</t>
    </r>
    <r>
      <rPr>
        <sz val="9"/>
        <color rgb="FF555555"/>
        <rFont val="Arial"/>
        <family val="0"/>
        <charset val="1"/>
      </rPr>
      <t xml:space="preserve">Gov_Map </t>
    </r>
    <r>
      <rPr>
        <sz val="9"/>
        <color rgb="FF555555"/>
        <rFont val="Noto Sans CJK SC"/>
        <family val="2"/>
      </rPr>
      <t xml:space="preserve">無此格的登錄（多為硬體規格或模型架構的原始數據）。</t>
    </r>
  </si>
  <si>
    <t xml:space="preserve">ID</t>
  </si>
  <si>
    <t xml:space="preserve">群組</t>
  </si>
  <si>
    <t xml:space="preserve">項目</t>
  </si>
  <si>
    <r>
      <rPr>
        <b val="true"/>
        <sz val="10"/>
        <color rgb="FFFFFFFF"/>
        <rFont val="Noto Sans CJK SC"/>
        <family val="2"/>
      </rPr>
      <t xml:space="preserve">標記（</t>
    </r>
    <r>
      <rPr>
        <b val="true"/>
        <sz val="10"/>
        <color rgb="FFFFFFFF"/>
        <rFont val="Arial"/>
        <family val="0"/>
        <charset val="1"/>
      </rPr>
      <t xml:space="preserve">Gov_Map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</si>
  <si>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區間低</t>
  </si>
  <si>
    <t xml:space="preserve">區間高</t>
  </si>
  <si>
    <t xml:space="preserve">原活頁簿位置</t>
  </si>
  <si>
    <t xml:space="preserve">說明與來源</t>
  </si>
  <si>
    <t xml:space="preserve">不確定度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</si>
  <si>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營收與推論支出（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）</t>
    </r>
  </si>
  <si>
    <t xml:space="preserve">IN_Rev</t>
  </si>
  <si>
    <t xml:space="preserve">A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</si>
  <si>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</si>
  <si>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t xml:space="preserve">—</t>
  </si>
  <si>
    <t xml:space="preserve">SRC_Demand!C11</t>
  </si>
  <si>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查核財報營收 </t>
    </r>
    <r>
      <rPr>
        <sz val="10"/>
        <color rgb="FF000000"/>
        <rFont val="Arial"/>
        <family val="0"/>
        <charset val="1"/>
      </rPr>
      <t xml:space="preserve">130.7 </t>
    </r>
    <r>
      <rPr>
        <sz val="10"/>
        <color rgb="FF000000"/>
        <rFont val="Noto Sans CJK SC"/>
        <family val="2"/>
      </rPr>
      <t xml:space="preserve">億美元（外流、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核實）</t>
    </r>
  </si>
  <si>
    <t xml:space="preserve">低</t>
  </si>
  <si>
    <t xml:space="preserve">IN_Spend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</si>
  <si>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推論支出（服務用戶，所有供應商）</t>
    </r>
  </si>
  <si>
    <t xml:space="preserve">SRC_Demand!C8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</si>
  <si>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）；低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＝查核營業成本、高 </t>
    </r>
    <r>
      <rPr>
        <sz val="10"/>
        <color rgb="FF000000"/>
        <rFont val="Arial"/>
        <family val="0"/>
        <charset val="1"/>
      </rPr>
      <t xml:space="preserve">8.8</t>
    </r>
    <r>
      <rPr>
        <sz val="10"/>
        <color rgb="FF000000"/>
        <rFont val="Noto Sans CJK SC"/>
        <family val="2"/>
      </rPr>
      <t xml:space="preserve">＝調整後毛利率 </t>
    </r>
    <r>
      <rPr>
        <sz val="10"/>
        <color rgb="FF000000"/>
        <rFont val="Arial"/>
        <family val="0"/>
        <charset val="1"/>
      </rPr>
      <t xml:space="preserve">33% </t>
    </r>
    <r>
      <rPr>
        <sz val="10"/>
        <color rgb="FF000000"/>
        <rFont val="Noto Sans CJK SC"/>
        <family val="2"/>
      </rPr>
      <t xml:space="preserve">換算。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億為對照（含研究推論），不採（調和分析 </t>
    </r>
    <r>
      <rPr>
        <sz val="10"/>
        <color rgb="FF000000"/>
        <rFont val="Arial"/>
        <family val="0"/>
        <charset val="1"/>
      </rPr>
      <t xml:space="preserve">2026-10-17</t>
    </r>
    <r>
      <rPr>
        <sz val="10"/>
        <color rgb="FF000000"/>
        <rFont val="Noto Sans CJK SC"/>
        <family val="2"/>
      </rPr>
      <t xml:space="preserve">）</t>
    </r>
  </si>
  <si>
    <t xml:space="preserve">中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</si>
  <si>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機隊配置與利用率</t>
    </r>
  </si>
  <si>
    <t xml:space="preserve">IN_ShareH</t>
  </si>
  <si>
    <t xml:space="preserve">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</si>
  <si>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</si>
  <si>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t xml:space="preserve">%</t>
  </si>
  <si>
    <t xml:space="preserve">Alloc_In!C9</t>
  </si>
  <si>
    <r>
      <rPr>
        <sz val="10"/>
        <color rgb="FF000000"/>
        <rFont val="Noto Sans CJK SC"/>
        <family val="2"/>
      </rPr>
      <t xml:space="preserve">無公開數字；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端暫設區間 </t>
    </r>
    <r>
      <rPr>
        <sz val="10"/>
        <color rgb="FF000000"/>
        <rFont val="Arial"/>
        <family val="0"/>
        <charset val="1"/>
      </rPr>
      <t xml:space="preserve">0.5–0.7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線上／線下調研項</t>
    </r>
  </si>
  <si>
    <t xml:space="preserve">高</t>
  </si>
  <si>
    <t xml:space="preserve">IN_ShareG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</si>
  <si>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</si>
  <si>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t xml:space="preserve">Alloc_In!C10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</si>
  <si>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</si>
  <si>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IN_SpendBasis</t>
  </si>
  <si>
    <r>
      <rPr>
        <sz val="10"/>
        <color rgb="FF000000"/>
        <rFont val="Noto Sans CJK SC"/>
        <family val="2"/>
      </rPr>
      <t xml:space="preserve">計價倍數＝推論支出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</si>
  <si>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Derived</t>
  </si>
  <si>
    <t xml:space="preserve">Alloc_In!C23</t>
  </si>
  <si>
    <r>
      <rPr>
        <sz val="10"/>
        <color rgb="FF000000"/>
        <rFont val="Noto Sans CJK SC"/>
        <family val="2"/>
      </rPr>
      <t xml:space="preserve">經濟口徑：價格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 </t>
    </r>
    <r>
      <rPr>
        <sz val="10"/>
        <color rgb="FF000000"/>
        <rFont val="Arial"/>
        <family val="0"/>
        <charset val="1"/>
      </rPr>
      <t xml:space="preserve">1.16 × </t>
    </r>
    <r>
      <rPr>
        <sz val="10"/>
        <color rgb="FF000000"/>
        <rFont val="Noto Sans CJK SC"/>
        <family val="2"/>
      </rPr>
      <t xml:space="preserve">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 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的實際計價未找到</t>
    </r>
  </si>
  <si>
    <t xml:space="preserve">IN_Kappa</t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</si>
  <si>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</si>
  <si>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t xml:space="preserve">Alloc_In!C26</t>
  </si>
  <si>
    <r>
      <rPr>
        <sz val="10"/>
        <color rgb="FF000000"/>
        <rFont val="Noto Sans CJK SC"/>
        <family val="2"/>
      </rPr>
      <t xml:space="preserve">證據範圍 </t>
    </r>
    <r>
      <rPr>
        <sz val="10"/>
        <color rgb="FF000000"/>
        <rFont val="Arial"/>
        <family val="0"/>
        <charset val="1"/>
      </rPr>
      <t xml:space="preserve">0.67–1.05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流量形狀，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節）；重算值 </t>
    </r>
    <r>
      <rPr>
        <sz val="10"/>
        <color rgb="FF000000"/>
        <rFont val="Arial"/>
        <family val="0"/>
        <charset val="1"/>
      </rPr>
      <t xml:space="preserve">0.852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v15.3 </t>
    </r>
    <r>
      <rPr>
        <sz val="10"/>
        <color rgb="FF000000"/>
        <rFont val="Noto Sans CJK SC"/>
        <family val="2"/>
      </rPr>
      <t xml:space="preserve">擺動第一名</t>
    </r>
  </si>
  <si>
    <t xml:space="preserve">IN_UtilAct</t>
  </si>
  <si>
    <r>
      <rPr>
        <sz val="10"/>
        <color rgb="FF000000"/>
        <rFont val="Noto Sans CJK SC"/>
        <family val="2"/>
      </rPr>
      <t xml:space="preserve">實際利用率（純；平均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吞吐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容量）</t>
    </r>
  </si>
  <si>
    <t xml:space="preserve">Assumed</t>
  </si>
  <si>
    <t xml:space="preserve">Alloc_In!C24</t>
  </si>
  <si>
    <r>
      <rPr>
        <sz val="10"/>
        <color rgb="FF000000"/>
        <rFont val="Noto Sans CJK SC"/>
        <family val="2"/>
      </rPr>
      <t xml:space="preserve">無實測；上端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</si>
  <si>
    <t xml:space="preserve">IN_ProdDerate</t>
  </si>
  <si>
    <r>
      <rPr>
        <sz val="10"/>
        <color rgb="FF000000"/>
        <rFont val="Noto Sans CJK SC"/>
        <family val="2"/>
      </rPr>
      <t xml:space="preserve">生產折減（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預留、故障、重啟）</t>
    </r>
  </si>
  <si>
    <t xml:space="preserve">Serving!C28</t>
  </si>
  <si>
    <t xml:space="preserve">情境值，非估計值；只有訓練端公開論文可類比</t>
  </si>
  <si>
    <t xml:space="preserve">IN_Util</t>
  </si>
  <si>
    <r>
      <rPr>
        <sz val="10"/>
        <color rgb="FF000000"/>
        <rFont val="Noto Sans CJK SC"/>
        <family val="2"/>
      </rPr>
      <t xml:space="preserve">基準利用率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（模型內部的每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產能口徑）</t>
    </r>
  </si>
  <si>
    <t xml:space="preserve">Serving!C17</t>
  </si>
  <si>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中會約掉（服務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的利用率修正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，產能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）；見 </t>
    </r>
    <r>
      <rPr>
        <sz val="10"/>
        <color rgb="FF000000"/>
        <rFont val="Arial"/>
        <family val="0"/>
        <charset val="1"/>
      </rPr>
      <t xml:space="preserve">1_</t>
    </r>
    <r>
      <rPr>
        <sz val="10"/>
        <color rgb="FF000000"/>
        <rFont val="Noto Sans CJK SC"/>
        <family val="2"/>
      </rPr>
      <t xml:space="preserve">總覽</t>
    </r>
  </si>
  <si>
    <t xml:space="preserve">低（約掉）</t>
  </si>
  <si>
    <r>
      <rPr>
        <b val="true"/>
        <sz val="10"/>
        <rFont val="Arial"/>
        <family val="0"/>
        <charset val="1"/>
      </rPr>
      <t xml:space="preserve">C. 2025 </t>
    </r>
    <r>
      <rPr>
        <b val="true"/>
        <sz val="10"/>
        <rFont val="Noto Sans CJK SC"/>
        <family val="2"/>
      </rPr>
      <t xml:space="preserve">價格與層級組合</t>
    </r>
  </si>
  <si>
    <t xml:space="preserve">IN_Px_L</t>
  </si>
  <si>
    <t xml:space="preserve">C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</si>
  <si>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（參考請求混合價，表列）</t>
    </r>
  </si>
  <si>
    <t xml:space="preserve">$/M</t>
  </si>
  <si>
    <t xml:space="preserve">Cap_In!C278</t>
  </si>
  <si>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線在售天數加權；牌價 </t>
    </r>
    <r>
      <rPr>
        <sz val="10"/>
        <color rgb="FF000000"/>
        <rFont val="Arial"/>
        <family val="0"/>
        <charset val="1"/>
      </rPr>
      <t xml:space="preserve">Verified</t>
    </r>
  </si>
  <si>
    <t xml:space="preserve">IN_Px_S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</si>
  <si>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年度單價：</t>
    </r>
    <r>
      <rPr>
        <sz val="10"/>
        <color rgb="FF000000"/>
        <rFont val="Arial"/>
        <family val="0"/>
        <charset val="1"/>
      </rPr>
      <t xml:space="preserve">Sol</t>
    </r>
  </si>
  <si>
    <t xml:space="preserve">Cap_In!C279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</si>
  <si>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</t>
    </r>
  </si>
  <si>
    <t xml:space="preserve">IN_Px_A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</si>
  <si>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（推理旗艦）</t>
    </r>
  </si>
  <si>
    <t xml:space="preserve">Cap_In!C280</t>
  </si>
  <si>
    <r>
      <rPr>
        <sz val="10"/>
        <color rgb="FF000000"/>
        <rFont val="Arial"/>
        <family val="0"/>
        <charset val="1"/>
      </rPr>
      <t xml:space="preserve">v15.2 B2</t>
    </r>
    <r>
      <rPr>
        <sz val="10"/>
        <color rgb="FF000000"/>
        <rFont val="Noto Sans CJK SC"/>
        <family val="2"/>
      </rPr>
      <t xml:space="preserve">：用量加權 </t>
    </r>
    <r>
      <rPr>
        <sz val="10"/>
        <color rgb="FF000000"/>
        <rFont val="Arial"/>
        <family val="0"/>
        <charset val="1"/>
      </rPr>
      <t xml:space="preserve">4.5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季別量指數 </t>
    </r>
    <r>
      <rPr>
        <sz val="10"/>
        <color rgb="FF000000"/>
        <rFont val="Arial"/>
        <family val="0"/>
        <charset val="1"/>
      </rPr>
      <t xml:space="preserve">× GPT-5 </t>
    </r>
    <r>
      <rPr>
        <sz val="10"/>
        <color rgb="FF000000"/>
        <rFont val="Noto Sans CJK SC"/>
        <family val="2"/>
      </rPr>
      <t xml:space="preserve">後推理占比 </t>
    </r>
    <r>
      <rPr>
        <sz val="10"/>
        <color rgb="FF000000"/>
        <rFont val="Arial"/>
        <family val="0"/>
        <charset val="1"/>
      </rPr>
      <t xml:space="preserve">×2</t>
    </r>
    <r>
      <rPr>
        <sz val="10"/>
        <color rgb="FF000000"/>
        <rFont val="Noto Sans CJK SC"/>
        <family val="2"/>
      </rPr>
      <t xml:space="preserve">）；各模型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占比未公開</t>
    </r>
  </si>
  <si>
    <t xml:space="preserve">IN_Disc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</si>
  <si>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</si>
  <si>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t xml:space="preserve">Cap_In!C12</t>
  </si>
  <si>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；占比與企業折扣找不到</t>
    </r>
  </si>
  <si>
    <t xml:space="preserve">IN_MixP_L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</si>
  <si>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Luna</t>
    </r>
  </si>
  <si>
    <t xml:space="preserve">Cap_In!C31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</si>
  <si>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）；三者合計 </t>
    </r>
    <r>
      <rPr>
        <sz val="10"/>
        <color rgb="FF000000"/>
        <rFont val="Arial"/>
        <family val="0"/>
        <charset val="1"/>
      </rPr>
      <t xml:space="preserve">1</t>
    </r>
  </si>
  <si>
    <t xml:space="preserve">IN_MixP_S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</si>
  <si>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Sol</t>
    </r>
  </si>
  <si>
    <t xml:space="preserve">Cap_In!D31</t>
  </si>
  <si>
    <t xml:space="preserve">IN_MixP_A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</si>
  <si>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Astra</t>
    </r>
  </si>
  <si>
    <t xml:space="preserve">Cap_In!E31</t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</si>
  <si>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v15.2 B6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0.10–0.30</t>
    </r>
  </si>
  <si>
    <t xml:space="preserve">IN_MixF_L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</si>
  <si>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Luna</t>
    </r>
  </si>
  <si>
    <t xml:space="preserve">Cap_In!C32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</si>
  <si>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免費方案組合（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</si>
  <si>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IN_MixF_S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</si>
  <si>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Sol</t>
    </r>
  </si>
  <si>
    <t xml:space="preserve">Cap_In!D32</t>
  </si>
  <si>
    <t xml:space="preserve">IN_MixF_A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</si>
  <si>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Astra</t>
    </r>
  </si>
  <si>
    <t xml:space="preserve">Cap_In!E32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</si>
  <si>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（決定免費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 </t>
    </r>
    <r>
      <rPr>
        <b val="true"/>
        <sz val="10"/>
        <rFont val="Arial"/>
        <family val="0"/>
        <charset val="1"/>
      </rPr>
      <t xml:space="preserve">r</t>
    </r>
    <r>
      <rPr>
        <b val="true"/>
        <sz val="10"/>
        <rFont val="Noto Sans CJK SC"/>
        <family val="2"/>
      </rPr>
      <t xml:space="preserve">）</t>
    </r>
  </si>
  <si>
    <t xml:space="preserve">IN_APItpm</t>
  </si>
  <si>
    <t xml:space="preserve">D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</si>
  <si>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吞吐（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時點）</t>
    </r>
  </si>
  <si>
    <r>
      <rPr>
        <sz val="10"/>
        <color rgb="FF000000"/>
        <rFont val="Arial"/>
        <family val="0"/>
        <charset val="1"/>
      </rPr>
      <t xml:space="preserve">B tok/</t>
    </r>
    <r>
      <rPr>
        <sz val="10"/>
        <color rgb="FF000000"/>
        <rFont val="Noto Sans CJK SC"/>
        <family val="2"/>
      </rPr>
      <t xml:space="preserve">分</t>
    </r>
  </si>
  <si>
    <t xml:space="preserve">SRC_Demand!C14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</si>
  <si>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2025-10-06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60 </t>
    </r>
    <r>
      <rPr>
        <sz val="10"/>
        <color rgb="FF000000"/>
        <rFont val="Noto Sans CJK SC"/>
        <family val="2"/>
      </rPr>
      <t xml:space="preserve">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／分（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</t>
    </r>
  </si>
  <si>
    <t xml:space="preserve">IN_APIratio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</si>
  <si>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</si>
  <si>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t xml:space="preserve">Alloc_In!C14</t>
  </si>
  <si>
    <t xml:space="preserve">IN_Prompts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</si>
  <si>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</si>
  <si>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</si>
  <si>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SRC_Demand!C16</t>
  </si>
  <si>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自述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億則／日</t>
    </r>
  </si>
  <si>
    <t xml:space="preserve">IN_Tau</t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</si>
  <si>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</t>
    </r>
  </si>
  <si>
    <t xml:space="preserve">tok</t>
  </si>
  <si>
    <t xml:space="preserve">Alloc_In!C15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</si>
  <si>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；閉合解遠高於區間（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）</t>
    </r>
  </si>
  <si>
    <t xml:space="preserve">IN_FreeShare</t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</si>
  <si>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</si>
  <si>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t xml:space="preserve">Alloc_In!C16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</si>
  <si>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口徑與支出口徑混用（</t>
    </r>
    <r>
      <rPr>
        <sz val="10"/>
        <color rgb="FF000000"/>
        <rFont val="Arial"/>
        <family val="0"/>
        <charset val="1"/>
      </rPr>
      <t xml:space="preserve">Decisions SL46-28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</si>
  <si>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服務與快取參數（全層級共用）</t>
    </r>
  </si>
  <si>
    <t xml:space="preserve">IN_Chi</t>
  </si>
  <si>
    <t xml:space="preserve">E</t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</si>
  <si>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</si>
  <si>
    <t xml:space="preserve">Cap_In!C13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</si>
  <si>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DeepSeek 2025-03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agent </t>
    </r>
    <r>
      <rPr>
        <sz val="10"/>
        <color rgb="FF000000"/>
        <rFont val="Noto Sans CJK SC"/>
        <family val="2"/>
      </rPr>
      <t xml:space="preserve">流量約 </t>
    </r>
    <r>
      <rPr>
        <sz val="10"/>
        <color rgb="FF000000"/>
        <rFont val="Arial"/>
        <family val="0"/>
        <charset val="1"/>
      </rPr>
      <t xml:space="preserve">88%</t>
    </r>
  </si>
  <si>
    <t xml:space="preserve">IN_MTP_N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</si>
  <si>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</si>
  <si>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t xml:space="preserve">Analogy</t>
  </si>
  <si>
    <t xml:space="preserve">Serving!C6</t>
  </si>
  <si>
    <t xml:space="preserve">原始數據</t>
  </si>
  <si>
    <t xml:space="preserve">IN_MTP_a</t>
  </si>
  <si>
    <r>
      <rPr>
        <sz val="10"/>
        <color rgb="FF000000"/>
        <rFont val="Noto Sans CJK SC"/>
        <family val="2"/>
      </rPr>
      <t xml:space="preserve">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</si>
  <si>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Serving!C7</t>
  </si>
  <si>
    <t xml:space="preserve">IN_HBMres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</si>
  <si>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</si>
  <si>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t xml:space="preserve">Serving!C9</t>
  </si>
  <si>
    <t xml:space="preserve">IN_NEcap</t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</si>
  <si>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</si>
  <si>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t xml:space="preserve">Serving!C10</t>
  </si>
  <si>
    <t xml:space="preserve">IN_Ecap</t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</si>
  <si>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</si>
  <si>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t xml:space="preserve">Serving!C11</t>
  </si>
  <si>
    <t xml:space="preserve">IN_EPbytes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</si>
  <si>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／元素</t>
    </r>
  </si>
  <si>
    <t xml:space="preserve">Serving!C12</t>
  </si>
  <si>
    <t xml:space="preserve">IN_KVeff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</si>
  <si>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</t>
    </r>
  </si>
  <si>
    <t xml:space="preserve">Serving!C13</t>
  </si>
  <si>
    <t xml:space="preserve">IN_EPeff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</si>
  <si>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</si>
  <si>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Serving!C14</t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</si>
  <si>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校準係數（</t>
    </r>
    <r>
      <rPr>
        <b val="true"/>
        <sz val="10"/>
        <rFont val="Arial"/>
        <family val="0"/>
        <charset val="1"/>
      </rPr>
      <t xml:space="preserve">Calib </t>
    </r>
    <r>
      <rPr>
        <b val="true"/>
        <sz val="10"/>
        <rFont val="Noto Sans CJK SC"/>
        <family val="2"/>
      </rPr>
      <t xml:space="preserve">頁以 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實測擬合；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以倍數換算）</t>
    </r>
  </si>
  <si>
    <t xml:space="preserve">IN_EtaD0</t>
  </si>
  <si>
    <t xml:space="preserve">F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</si>
  <si>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擬合值（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每序列算力效率）</t>
    </r>
  </si>
  <si>
    <t xml:space="preserve">Calib!C60</t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</si>
  <si>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兩個實測點聯立解出（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</t>
    </r>
  </si>
  <si>
    <t xml:space="preserve">IN_Lat0</t>
  </si>
  <si>
    <r>
      <rPr>
        <sz val="10"/>
        <color rgb="FF000000"/>
        <rFont val="Noto Sans CJK SC"/>
        <family val="2"/>
      </rPr>
      <t xml:space="preserve">每層每次前向固定延遲擬合值（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</si>
  <si>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µs</t>
  </si>
  <si>
    <t xml:space="preserve">Calib!C62</t>
  </si>
  <si>
    <t xml:space="preserve">IN_EtaP0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</si>
  <si>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達成峰值比例（基準）</t>
    </r>
  </si>
  <si>
    <t xml:space="preserve">Calib!C5</t>
  </si>
  <si>
    <t xml:space="preserve">IN_EtaDm_H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</si>
  <si>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</si>
  <si>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Calib!C67</t>
  </si>
  <si>
    <r>
      <rPr>
        <sz val="10"/>
        <color rgb="FF000000"/>
        <rFont val="Noto Sans CJK SC"/>
        <family val="2"/>
      </rPr>
      <t xml:space="preserve">吞吐為保守下界（獨立對照約實測 </t>
    </r>
    <r>
      <rPr>
        <sz val="10"/>
        <color rgb="FF000000"/>
        <rFont val="Arial"/>
        <family val="0"/>
        <charset val="1"/>
      </rPr>
      <t xml:space="preserve">0.26–0.27 </t>
    </r>
    <r>
      <rPr>
        <sz val="10"/>
        <color rgb="FF000000"/>
        <rFont val="Noto Sans CJK SC"/>
        <family val="2"/>
      </rPr>
      <t xml:space="preserve">倍）</t>
    </r>
  </si>
  <si>
    <t xml:space="preserve">IN_EtaDm_G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</si>
  <si>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</si>
  <si>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Calib!D67</t>
  </si>
  <si>
    <r>
      <rPr>
        <sz val="10"/>
        <color rgb="FF000000"/>
        <rFont val="Arial"/>
        <family val="0"/>
        <charset val="1"/>
      </rPr>
      <t xml:space="preserve">v15.2 B3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MLPerf v6.0 </t>
    </r>
    <r>
      <rPr>
        <sz val="10"/>
        <color rgb="FF000000"/>
        <rFont val="Noto Sans CJK SC"/>
        <family val="2"/>
      </rPr>
      <t xml:space="preserve">同軟體配對 </t>
    </r>
    <r>
      <rPr>
        <sz val="10"/>
        <color rgb="FF000000"/>
        <rFont val="Arial"/>
        <family val="0"/>
        <charset val="1"/>
      </rPr>
      <t xml:space="preserve">1.13–1.27</t>
    </r>
  </si>
  <si>
    <t xml:space="preserve">IN_Latm_H</t>
  </si>
  <si>
    <r>
      <rPr>
        <sz val="10"/>
        <color rgb="FF000000"/>
        <rFont val="Noto Sans CJK SC"/>
        <family val="2"/>
      </rPr>
      <t xml:space="preserve">每層延遲倍數：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</si>
  <si>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Calib!C68</t>
  </si>
  <si>
    <t xml:space="preserve">IN_Latm_G</t>
  </si>
  <si>
    <r>
      <rPr>
        <sz val="10"/>
        <color rgb="FF000000"/>
        <rFont val="Noto Sans CJK SC"/>
        <family val="2"/>
      </rPr>
      <t xml:space="preserve">每層延遲倍數：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</si>
  <si>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Calib!D68</t>
  </si>
  <si>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</si>
  <si>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IN_EtaPm_H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</si>
  <si>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SRC_HW_019 ÷ SRC_HW_040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</si>
  <si>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</si>
  <si>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Calib!C69</t>
  </si>
  <si>
    <t xml:space="preserve">原為公式（規格比），此處以值輸入</t>
  </si>
  <si>
    <t xml:space="preserve">IN_EtaPm_G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</si>
  <si>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</si>
  <si>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Calib!D69</t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</si>
  <si>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硬體規格（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）</t>
    </r>
  </si>
  <si>
    <t xml:space="preserve">IN_Peak_H</t>
  </si>
  <si>
    <t xml:space="preserve">G</t>
  </si>
  <si>
    <r>
      <rPr>
        <sz val="10"/>
        <color rgb="FF000000"/>
        <rFont val="Noto Sans CJK SC"/>
        <family val="2"/>
      </rPr>
      <t xml:space="preserve">計算用峰值：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</si>
  <si>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PF/GPU</t>
  </si>
  <si>
    <t xml:space="preserve">Spec_Rack!C35</t>
  </si>
  <si>
    <r>
      <rPr>
        <sz val="10"/>
        <color rgb="FF000000"/>
        <rFont val="Noto Sans CJK SC"/>
        <family val="2"/>
      </rPr>
      <t xml:space="preserve">原始數據（規格表；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為利害關係方）</t>
    </r>
  </si>
  <si>
    <t xml:space="preserve">IN_Peak_G</t>
  </si>
  <si>
    <r>
      <rPr>
        <sz val="10"/>
        <color rgb="FF000000"/>
        <rFont val="Noto Sans CJK SC"/>
        <family val="2"/>
      </rPr>
      <t xml:space="preserve">計算用峰值：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</si>
  <si>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Spec_Rack!D35</t>
  </si>
  <si>
    <t xml:space="preserve">IN_HBM_H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</si>
  <si>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</si>
  <si>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GB/GPU</t>
  </si>
  <si>
    <t xml:space="preserve">Spec_Rack!C25</t>
  </si>
  <si>
    <t xml:space="preserve">IN_HBM_G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</si>
  <si>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</si>
  <si>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</si>
  <si>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Spec_Rack!D25</t>
  </si>
  <si>
    <t xml:space="preserve">IN_BW_H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</si>
  <si>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</si>
  <si>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TB/s/GPU</t>
  </si>
  <si>
    <t xml:space="preserve">Spec_Rack!C26</t>
  </si>
  <si>
    <t xml:space="preserve">IN_BW_G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</si>
  <si>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</si>
  <si>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Spec_Rack!D26</t>
  </si>
  <si>
    <t xml:space="preserve">IN_EPBW_H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</si>
  <si>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</si>
  <si>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Spec_Rack!C27</t>
  </si>
  <si>
    <t xml:space="preserve">IN_EPBW_G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</si>
  <si>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</si>
  <si>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Spec_Rack!D27</t>
  </si>
  <si>
    <t xml:space="preserve">IN_EPW_H</t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</si>
  <si>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</si>
  <si>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GPU</t>
  </si>
  <si>
    <t xml:space="preserve">Spec_Rack!C29</t>
  </si>
  <si>
    <t xml:space="preserve">IN_EPW_G</t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</si>
  <si>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</si>
  <si>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Spec_Rack!D29</t>
  </si>
  <si>
    <t xml:space="preserve">IN_EB_H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</si>
  <si>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</si>
  <si>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Spec_Rack!C30</t>
  </si>
  <si>
    <t xml:space="preserve">IN_EB_G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</si>
  <si>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</si>
  <si>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Spec_Rack!D30</t>
  </si>
  <si>
    <t xml:space="preserve">IN_NEB_H</t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</si>
  <si>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</si>
  <si>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Spec_Rack!C31</t>
  </si>
  <si>
    <t xml:space="preserve">IN_NEB_G</t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</si>
  <si>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</si>
  <si>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Spec_Rack!D31</t>
  </si>
  <si>
    <t xml:space="preserve">IN_PFG_H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</si>
  <si>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</si>
  <si>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Spec_Rack!C32</t>
  </si>
  <si>
    <t xml:space="preserve">IN_PFG_G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</si>
  <si>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</si>
  <si>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Spec_Rack!D32</t>
  </si>
  <si>
    <t xml:space="preserve">IN_GPR_H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</si>
  <si>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</si>
  <si>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顆</t>
  </si>
  <si>
    <t xml:space="preserve">Decision</t>
  </si>
  <si>
    <t xml:space="preserve">Spec_Rack!C6</t>
  </si>
  <si>
    <t xml:space="preserve">IN_GPR_G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</si>
  <si>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</si>
  <si>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Spec_Rack!D6</t>
  </si>
  <si>
    <t xml:space="preserve">IN_RackKW_H</t>
  </si>
  <si>
    <r>
      <rPr>
        <sz val="10"/>
        <color rgb="FF000000"/>
        <rFont val="Noto Sans CJK SC"/>
        <family val="2"/>
      </rPr>
      <t xml:space="preserve">每架配電設計功率（基準）：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</si>
  <si>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kW</t>
  </si>
  <si>
    <t xml:space="preserve">Spec_Rack!C9</t>
  </si>
  <si>
    <t xml:space="preserve">IN_RackKW_G</t>
  </si>
  <si>
    <r>
      <rPr>
        <sz val="10"/>
        <color rgb="FF000000"/>
        <rFont val="Noto Sans CJK SC"/>
        <family val="2"/>
      </rPr>
      <t xml:space="preserve">每架配電設計功率（基準）：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</si>
  <si>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Spec_Rack!D9</t>
  </si>
  <si>
    <t xml:space="preserve">IN_RackPx_H</t>
  </si>
  <si>
    <r>
      <rPr>
        <sz val="10"/>
        <color rgb="FF000000"/>
        <rFont val="Noto Sans CJK SC"/>
        <family val="2"/>
      </rPr>
      <t xml:space="preserve">機架價格（基準）：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</si>
  <si>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$M</t>
  </si>
  <si>
    <t xml:space="preserve">Spec_Rack!C12</t>
  </si>
  <si>
    <r>
      <rPr>
        <sz val="10"/>
        <color rgb="FF000000"/>
        <rFont val="Noto Sans CJK SC"/>
        <family val="2"/>
      </rPr>
      <t xml:space="preserve">機架價格：產業報導與 </t>
    </r>
    <r>
      <rPr>
        <sz val="10"/>
        <color rgb="FF000000"/>
        <rFont val="Arial"/>
        <family val="0"/>
        <charset val="1"/>
      </rPr>
      <t xml:space="preserve">ODM </t>
    </r>
    <r>
      <rPr>
        <sz val="10"/>
        <color rgb="FF000000"/>
        <rFont val="Noto Sans CJK SC"/>
        <family val="2"/>
      </rPr>
      <t xml:space="preserve">報價區間（利害關係方）</t>
    </r>
  </si>
  <si>
    <t xml:space="preserve">IN_RackPx_G</t>
  </si>
  <si>
    <r>
      <rPr>
        <sz val="10"/>
        <color rgb="FF000000"/>
        <rFont val="Noto Sans CJK SC"/>
        <family val="2"/>
      </rPr>
      <t xml:space="preserve">機架價格（基準）：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</si>
  <si>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Spec_Rack!D12</t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</si>
  <si>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模型架構（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）——頂層模型參數未揭露</t>
    </r>
  </si>
  <si>
    <t xml:space="preserve">IN_Act_L</t>
  </si>
  <si>
    <t xml:space="preserve">H</t>
  </si>
  <si>
    <r>
      <rPr>
        <sz val="10"/>
        <color rgb="FF000000"/>
        <rFont val="Noto Sans CJK SC"/>
        <family val="2"/>
      </rPr>
      <t xml:space="preserve">啟用參數：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</si>
  <si>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Perf!C28</t>
  </si>
  <si>
    <r>
      <rPr>
        <sz val="10"/>
        <color rgb="FF000000"/>
        <rFont val="Noto Sans CJK SC"/>
        <family val="2"/>
      </rPr>
      <t xml:space="preserve">代表架構（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型）；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）</t>
    </r>
  </si>
  <si>
    <t xml:space="preserve">IN_Act_S</t>
  </si>
  <si>
    <r>
      <rPr>
        <sz val="10"/>
        <color rgb="FF000000"/>
        <rFont val="Noto Sans CJK SC"/>
        <family val="2"/>
      </rPr>
      <t xml:space="preserve">啟用參數：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</si>
  <si>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Perf!D28</t>
  </si>
  <si>
    <t xml:space="preserve">IN_Act_A</t>
  </si>
  <si>
    <r>
      <rPr>
        <sz val="10"/>
        <color rgb="FF000000"/>
        <rFont val="Noto Sans CJK SC"/>
        <family val="2"/>
      </rPr>
      <t xml:space="preserve">啟用參數：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</si>
  <si>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Perf!E28</t>
  </si>
  <si>
    <t xml:space="preserve">IN_Lay_L</t>
  </si>
  <si>
    <r>
      <rPr>
        <sz val="10"/>
        <color rgb="FF000000"/>
        <rFont val="Noto Sans CJK SC"/>
        <family val="2"/>
      </rPr>
      <t xml:space="preserve">層數：</t>
    </r>
    <r>
      <rPr>
        <sz val="10"/>
        <color rgb="FF000000"/>
        <rFont val="Arial"/>
        <family val="0"/>
        <charset val="1"/>
      </rPr>
      <t xml:space="preserve">Luna</t>
    </r>
  </si>
  <si>
    <t xml:space="preserve">層</t>
  </si>
  <si>
    <t xml:space="preserve">Perf!C29</t>
  </si>
  <si>
    <r>
      <rPr>
        <sz val="10"/>
        <color rgb="FF000000"/>
        <rFont val="Noto Sans CJK SC"/>
        <family val="2"/>
      </rPr>
      <t xml:space="preserve">代表架構參數（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頁）</t>
    </r>
  </si>
  <si>
    <t xml:space="preserve">IN_Lay_S</t>
  </si>
  <si>
    <r>
      <rPr>
        <sz val="10"/>
        <color rgb="FF000000"/>
        <rFont val="Noto Sans CJK SC"/>
        <family val="2"/>
      </rPr>
      <t xml:space="preserve">層數：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</si>
  <si>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Perf!D29</t>
  </si>
  <si>
    <t xml:space="preserve">IN_Lay_A</t>
  </si>
  <si>
    <r>
      <rPr>
        <sz val="10"/>
        <color rgb="FF000000"/>
        <rFont val="Noto Sans CJK SC"/>
        <family val="2"/>
      </rPr>
      <t xml:space="preserve">層數：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</si>
  <si>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Perf!E29</t>
  </si>
  <si>
    <t xml:space="preserve">IN_Dm_L</t>
  </si>
  <si>
    <r>
      <rPr>
        <sz val="10"/>
        <color rgb="FF000000"/>
        <rFont val="Arial"/>
        <family val="0"/>
        <charset val="1"/>
      </rPr>
      <t xml:space="preserve">d_model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</si>
  <si>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Perf!C30</t>
  </si>
  <si>
    <t xml:space="preserve">IN_Dm_S</t>
  </si>
  <si>
    <r>
      <rPr>
        <sz val="10"/>
        <color rgb="FF000000"/>
        <rFont val="Arial"/>
        <family val="0"/>
        <charset val="1"/>
      </rPr>
      <t xml:space="preserve">d_model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</si>
  <si>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Perf!D30</t>
  </si>
  <si>
    <t xml:space="preserve">IN_Dm_A</t>
  </si>
  <si>
    <r>
      <rPr>
        <sz val="10"/>
        <color rgb="FF000000"/>
        <rFont val="Arial"/>
        <family val="0"/>
        <charset val="1"/>
      </rPr>
      <t xml:space="preserve">d_model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</si>
  <si>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Perf!E30</t>
  </si>
  <si>
    <t xml:space="preserve">IN_Exp_L</t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</si>
  <si>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</si>
  <si>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Perf!C31</t>
  </si>
  <si>
    <t xml:space="preserve">IN_Exp_S</t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</si>
  <si>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</si>
  <si>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Perf!D31</t>
  </si>
  <si>
    <t xml:space="preserve">IN_Exp_A</t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</si>
  <si>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</si>
  <si>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Perf!E31</t>
  </si>
  <si>
    <t xml:space="preserve">IN_NEP_L</t>
  </si>
  <si>
    <r>
      <rPr>
        <sz val="10"/>
        <color rgb="FF000000"/>
        <rFont val="Noto Sans CJK SC"/>
        <family val="2"/>
      </rPr>
      <t xml:space="preserve">非專家參數：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</si>
  <si>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Perf!C32</t>
  </si>
  <si>
    <t xml:space="preserve">IN_NEP_S</t>
  </si>
  <si>
    <r>
      <rPr>
        <sz val="10"/>
        <color rgb="FF000000"/>
        <rFont val="Noto Sans CJK SC"/>
        <family val="2"/>
      </rPr>
      <t xml:space="preserve">非專家參數：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</si>
  <si>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Perf!D32</t>
  </si>
  <si>
    <t xml:space="preserve">IN_NEP_A</t>
  </si>
  <si>
    <r>
      <rPr>
        <sz val="10"/>
        <color rgb="FF000000"/>
        <rFont val="Noto Sans CJK SC"/>
        <family val="2"/>
      </rPr>
      <t xml:space="preserve">非專家參數：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</si>
  <si>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Perf!E32</t>
  </si>
  <si>
    <t xml:space="preserve">IN_EP_L</t>
  </si>
  <si>
    <r>
      <rPr>
        <sz val="10"/>
        <color rgb="FF000000"/>
        <rFont val="Noto Sans CJK SC"/>
        <family val="2"/>
      </rPr>
      <t xml:space="preserve">專家參數：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</si>
  <si>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Perf!C33</t>
  </si>
  <si>
    <t xml:space="preserve">IN_EP_S</t>
  </si>
  <si>
    <r>
      <rPr>
        <sz val="10"/>
        <color rgb="FF000000"/>
        <rFont val="Noto Sans CJK SC"/>
        <family val="2"/>
      </rPr>
      <t xml:space="preserve">專家參數：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</si>
  <si>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Perf!D33</t>
  </si>
  <si>
    <t xml:space="preserve">IN_EP_A</t>
  </si>
  <si>
    <r>
      <rPr>
        <sz val="10"/>
        <color rgb="FF000000"/>
        <rFont val="Noto Sans CJK SC"/>
        <family val="2"/>
      </rPr>
      <t xml:space="preserve">專家參數：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</si>
  <si>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Perf!E33</t>
  </si>
  <si>
    <t xml:space="preserve">IN_KV_L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</si>
  <si>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</si>
  <si>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Perf!C34</t>
  </si>
  <si>
    <t xml:space="preserve">IN_KV_S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</si>
  <si>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</si>
  <si>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Perf!D34</t>
  </si>
  <si>
    <t xml:space="preserve">IN_KV_A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</si>
  <si>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</si>
  <si>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Perf!E34</t>
  </si>
  <si>
    <t xml:space="preserve">IN_AF_L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</si>
  <si>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</si>
  <si>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t xml:space="preserve">FLOP</t>
  </si>
  <si>
    <t xml:space="preserve">Perf!C35</t>
  </si>
  <si>
    <t xml:space="preserve">IN_AF_S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</si>
  <si>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</si>
  <si>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Perf!D35</t>
  </si>
  <si>
    <t xml:space="preserve">IN_AF_A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</si>
  <si>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</si>
  <si>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Perf!E35</t>
  </si>
  <si>
    <t xml:space="preserve">IN_FA_L</t>
  </si>
  <si>
    <r>
      <rPr>
        <sz val="10"/>
        <color rgb="FF000000"/>
        <rFont val="Noto Sans CJK SC"/>
        <family val="2"/>
      </rPr>
      <t xml:space="preserve">全注意力層比例：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</si>
  <si>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Perf!C36</t>
  </si>
  <si>
    <t xml:space="preserve">IN_FA_S</t>
  </si>
  <si>
    <r>
      <rPr>
        <sz val="10"/>
        <color rgb="FF000000"/>
        <rFont val="Noto Sans CJK SC"/>
        <family val="2"/>
      </rPr>
      <t xml:space="preserve">全注意力層比例：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</si>
  <si>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Perf!D36</t>
  </si>
  <si>
    <t xml:space="preserve">IN_FA_A</t>
  </si>
  <si>
    <r>
      <rPr>
        <sz val="10"/>
        <color rgb="FF000000"/>
        <rFont val="Noto Sans CJK SC"/>
        <family val="2"/>
      </rPr>
      <t xml:space="preserve">全注意力層比例：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</si>
  <si>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Perf!E36</t>
  </si>
  <si>
    <t xml:space="preserve">IN_Span_L</t>
  </si>
  <si>
    <r>
      <rPr>
        <sz val="10"/>
        <color rgb="FF000000"/>
        <rFont val="Noto Sans CJK SC"/>
        <family val="2"/>
      </rPr>
      <t xml:space="preserve">全注意力跨度上限（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＝不設限）：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</si>
  <si>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Perf!C37</t>
  </si>
  <si>
    <t xml:space="preserve">IN_Span_S</t>
  </si>
  <si>
    <r>
      <rPr>
        <sz val="10"/>
        <color rgb="FF000000"/>
        <rFont val="Noto Sans CJK SC"/>
        <family val="2"/>
      </rPr>
      <t xml:space="preserve">全注意力跨度上限（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＝不設限）：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</si>
  <si>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Perf!D37</t>
  </si>
  <si>
    <t xml:space="preserve">IN_Span_A</t>
  </si>
  <si>
    <r>
      <rPr>
        <sz val="10"/>
        <color rgb="FF000000"/>
        <rFont val="Noto Sans CJK SC"/>
        <family val="2"/>
      </rPr>
      <t xml:space="preserve">全注意力跨度上限（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＝不設限）：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</si>
  <si>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Perf!E37</t>
  </si>
  <si>
    <t xml:space="preserve">IN_Cmp_L</t>
  </si>
  <si>
    <r>
      <rPr>
        <sz val="10"/>
        <color rgb="FF000000"/>
        <rFont val="Noto Sans CJK SC"/>
        <family val="2"/>
      </rPr>
      <t xml:space="preserve">其他層壓縮比：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</si>
  <si>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Perf!C38</t>
  </si>
  <si>
    <t xml:space="preserve">IN_Cmp_S</t>
  </si>
  <si>
    <r>
      <rPr>
        <sz val="10"/>
        <color rgb="FF000000"/>
        <rFont val="Noto Sans CJK SC"/>
        <family val="2"/>
      </rPr>
      <t xml:space="preserve">其他層壓縮比：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</si>
  <si>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Perf!D38</t>
  </si>
  <si>
    <t xml:space="preserve">IN_Cmp_A</t>
  </si>
  <si>
    <r>
      <rPr>
        <sz val="10"/>
        <color rgb="FF000000"/>
        <rFont val="Noto Sans CJK SC"/>
        <family val="2"/>
      </rPr>
      <t xml:space="preserve">其他層壓縮比：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</si>
  <si>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Perf!E38</t>
  </si>
  <si>
    <t xml:space="preserve">IN_Win_L</t>
  </si>
  <si>
    <r>
      <rPr>
        <sz val="10"/>
        <color rgb="FF000000"/>
        <rFont val="Noto Sans CJK SC"/>
        <family val="2"/>
      </rPr>
      <t xml:space="preserve">其他層滑動窗：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</si>
  <si>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Perf!C39</t>
  </si>
  <si>
    <t xml:space="preserve">IN_Win_S</t>
  </si>
  <si>
    <r>
      <rPr>
        <sz val="10"/>
        <color rgb="FF000000"/>
        <rFont val="Noto Sans CJK SC"/>
        <family val="2"/>
      </rPr>
      <t xml:space="preserve">其他層滑動窗：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</si>
  <si>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Perf!D39</t>
  </si>
  <si>
    <t xml:space="preserve">IN_Win_A</t>
  </si>
  <si>
    <r>
      <rPr>
        <sz val="10"/>
        <color rgb="FF000000"/>
        <rFont val="Noto Sans CJK SC"/>
        <family val="2"/>
      </rPr>
      <t xml:space="preserve">其他層滑動窗：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</si>
  <si>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Perf!E39</t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</si>
  <si>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服務等級（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）與參考請求（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；各層級）</t>
    </r>
  </si>
  <si>
    <t xml:space="preserve">IN_SLO_L</t>
  </si>
  <si>
    <t xml:space="preserve">I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</si>
  <si>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速度下限：</t>
    </r>
    <r>
      <rPr>
        <sz val="10"/>
        <color rgb="FF000000"/>
        <rFont val="Arial"/>
        <family val="0"/>
        <charset val="1"/>
      </rPr>
      <t xml:space="preserve">Luna</t>
    </r>
  </si>
  <si>
    <t xml:space="preserve">tok/s</t>
  </si>
  <si>
    <t xml:space="preserve">Perf!C41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</si>
  <si>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＝兩個第三方量測商中位數的幾何平均</t>
    </r>
  </si>
  <si>
    <t xml:space="preserve">IN_SLO_S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</si>
  <si>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</si>
  <si>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Perf!D41</t>
  </si>
  <si>
    <t xml:space="preserve">IN_SLO_A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</si>
  <si>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</si>
  <si>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Perf!E41</t>
  </si>
  <si>
    <t xml:space="preserve">IN_TTFT_L</t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</si>
  <si>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上限：</t>
    </r>
    <r>
      <rPr>
        <sz val="10"/>
        <color rgb="FF000000"/>
        <rFont val="Arial"/>
        <family val="0"/>
        <charset val="1"/>
      </rPr>
      <t xml:space="preserve">Luna</t>
    </r>
  </si>
  <si>
    <t xml:space="preserve">s</t>
  </si>
  <si>
    <t xml:space="preserve">Perf!C42</t>
  </si>
  <si>
    <t xml:space="preserve">IN_TTFT_S</t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</si>
  <si>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</si>
  <si>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Perf!D42</t>
  </si>
  <si>
    <t xml:space="preserve">IN_TTFT_A</t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</si>
  <si>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</si>
  <si>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Perf!E42</t>
  </si>
  <si>
    <t xml:space="preserve">IN_ISL_L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</si>
  <si>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</si>
  <si>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Perf!C43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</si>
  <si>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）</t>
    </r>
  </si>
  <si>
    <t xml:space="preserve">IN_ISL_S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</si>
  <si>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</si>
  <si>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Perf!D43</t>
  </si>
  <si>
    <t xml:space="preserve">IN_ISL_A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</si>
  <si>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</si>
  <si>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Perf!E43</t>
  </si>
  <si>
    <t xml:space="preserve">IN_OSL_L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</si>
  <si>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</si>
  <si>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Perf!C44</t>
  </si>
  <si>
    <t xml:space="preserve">IN_OSL_S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</si>
  <si>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</si>
  <si>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Perf!D44</t>
  </si>
  <si>
    <t xml:space="preserve">IN_OSL_A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</si>
  <si>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</si>
  <si>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Perf!E44</t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</si>
  <si>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資料中心成本（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，基準欄 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）</t>
    </r>
  </si>
  <si>
    <t xml:space="preserve">IN_ITout</t>
  </si>
  <si>
    <t xml:space="preserve">J</t>
  </si>
  <si>
    <r>
      <rPr>
        <sz val="10"/>
        <color rgb="FF000000"/>
        <rFont val="Noto Sans CJK SC"/>
        <family val="2"/>
      </rPr>
      <t xml:space="preserve">機架外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電力占比</t>
    </r>
  </si>
  <si>
    <t xml:space="preserve">Inputs!E8</t>
  </si>
  <si>
    <t xml:space="preserve">IN_PUE</t>
  </si>
  <si>
    <t xml:space="preserve">PUE</t>
  </si>
  <si>
    <t xml:space="preserve">Inputs!E9</t>
  </si>
  <si>
    <t xml:space="preserve">IN_Load</t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</si>
  <si>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</t>
    </r>
  </si>
  <si>
    <t xml:space="preserve">Inputs!E10</t>
  </si>
  <si>
    <t xml:space="preserve">IN_Elec</t>
  </si>
  <si>
    <t xml:space="preserve">電價</t>
  </si>
  <si>
    <t xml:space="preserve">$/kWh</t>
  </si>
  <si>
    <t xml:space="preserve">Inputs!E11</t>
  </si>
  <si>
    <t xml:space="preserve">IN_Net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</si>
  <si>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</si>
  <si>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t xml:space="preserve">Inputs!E13</t>
  </si>
  <si>
    <t xml:space="preserve">IN_Stor</t>
  </si>
  <si>
    <t xml:space="preserve">儲存與管理設備</t>
  </si>
  <si>
    <t xml:space="preserve">$/GPU</t>
  </si>
  <si>
    <t xml:space="preserve">Inputs!E14</t>
  </si>
  <si>
    <t xml:space="preserve">IN_Land</t>
  </si>
  <si>
    <t xml:space="preserve">土地</t>
  </si>
  <si>
    <t xml:space="preserve">$M/MW</t>
  </si>
  <si>
    <t xml:space="preserve">Inputs!E16</t>
  </si>
  <si>
    <t xml:space="preserve">IN_Bldg</t>
  </si>
  <si>
    <t xml:space="preserve">建物與基地工程</t>
  </si>
  <si>
    <t xml:space="preserve">Inputs!E17</t>
  </si>
  <si>
    <t xml:space="preserve">IN_Pwr</t>
  </si>
  <si>
    <t xml:space="preserve">電力設施</t>
  </si>
  <si>
    <t xml:space="preserve">Inputs!E18</t>
  </si>
  <si>
    <t xml:space="preserve">IN_Mech</t>
  </si>
  <si>
    <t xml:space="preserve">機械與散熱</t>
  </si>
  <si>
    <t xml:space="preserve">Inputs!E19</t>
  </si>
  <si>
    <t xml:space="preserve">IN_Fib</t>
  </si>
  <si>
    <t xml:space="preserve">光纖、佈線、保全</t>
  </si>
  <si>
    <t xml:space="preserve">Inputs!E20</t>
  </si>
  <si>
    <t xml:space="preserve">IN_Soft</t>
  </si>
  <si>
    <t xml:space="preserve">設計、管理與預備費</t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</si>
  <si>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廠房</t>
    </r>
  </si>
  <si>
    <t xml:space="preserve">Inputs!E21</t>
  </si>
  <si>
    <t xml:space="preserve">IN_ITlife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</si>
  <si>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</si>
  <si>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</si>
  <si>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Inputs!E23</t>
  </si>
  <si>
    <t xml:space="preserve">IN_L_bldg</t>
  </si>
  <si>
    <t xml:space="preserve">建物年限</t>
  </si>
  <si>
    <t xml:space="preserve">Inputs!E24</t>
  </si>
  <si>
    <t xml:space="preserve">IN_L_pwr</t>
  </si>
  <si>
    <t xml:space="preserve">電力設施年限</t>
  </si>
  <si>
    <t xml:space="preserve">Inputs!E25</t>
  </si>
  <si>
    <t xml:space="preserve">IN_L_mech</t>
  </si>
  <si>
    <t xml:space="preserve">機械與散熱年限</t>
  </si>
  <si>
    <t xml:space="preserve">Inputs!E26</t>
  </si>
  <si>
    <t xml:space="preserve">IN_L_fib</t>
  </si>
  <si>
    <t xml:space="preserve">光纖與保全年限</t>
  </si>
  <si>
    <t xml:space="preserve">Inputs!E27</t>
  </si>
  <si>
    <t xml:space="preserve">IN_WACC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</si>
  <si>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</si>
  <si>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Inputs!E28</t>
  </si>
  <si>
    <t xml:space="preserve">IN_ITmaint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</si>
  <si>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</si>
  <si>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000000"/>
        <rFont val="Arial"/>
        <family val="0"/>
        <charset val="1"/>
      </rPr>
      <t xml:space="preserve">% IT </t>
    </r>
    <r>
      <rPr>
        <sz val="10"/>
        <color rgb="FF000000"/>
        <rFont val="Noto Sans CJK SC"/>
        <family val="2"/>
      </rPr>
      <t xml:space="preserve">資本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</si>
  <si>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Inputs!E30</t>
  </si>
  <si>
    <t xml:space="preserve">IN_Fmaint</t>
  </si>
  <si>
    <t xml:space="preserve">廠房維護</t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</si>
  <si>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廠房資本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</si>
  <si>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Inputs!E31</t>
  </si>
  <si>
    <t xml:space="preserve">IN_Staff</t>
  </si>
  <si>
    <t xml:space="preserve">人員</t>
  </si>
  <si>
    <r>
      <rPr>
        <sz val="10"/>
        <color rgb="FF000000"/>
        <rFont val="Arial"/>
        <family val="0"/>
        <charset val="1"/>
      </rPr>
      <t xml:space="preserve">$M/GW/</t>
    </r>
    <r>
      <rPr>
        <sz val="10"/>
        <color rgb="FF000000"/>
        <rFont val="Noto Sans CJK SC"/>
        <family val="2"/>
      </rPr>
      <t xml:space="preserve">年</t>
    </r>
  </si>
  <si>
    <t xml:space="preserve">Inputs!E32</t>
  </si>
  <si>
    <t xml:space="preserve">IN_SW</t>
  </si>
  <si>
    <t xml:space="preserve">軟體授權與連線</t>
  </si>
  <si>
    <t xml:space="preserve">Inputs!E33</t>
  </si>
  <si>
    <t xml:space="preserve">IN_Water</t>
  </si>
  <si>
    <t xml:space="preserve">水與耗材</t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</si>
  <si>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</si>
  <si>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t xml:space="preserve">Inputs!E34</t>
  </si>
  <si>
    <t xml:space="preserve">IN_Tax</t>
  </si>
  <si>
    <t xml:space="preserve">財產稅與保險</t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</si>
  <si>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總資本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</si>
  <si>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Inputs!E35</t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</si>
  <si>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的逐步重算（全部為公式；改 </t>
    </r>
    <r>
      <rPr>
        <b val="true"/>
        <sz val="13"/>
        <rFont val="Arial"/>
        <family val="0"/>
        <charset val="1"/>
      </rPr>
      <t xml:space="preserve">2_</t>
    </r>
    <r>
      <rPr>
        <b val="true"/>
        <sz val="13"/>
        <rFont val="Noto Sans CJK SC"/>
        <family val="2"/>
      </rPr>
      <t xml:space="preserve">輸入 的藍字即可看到每一步怎麼變）</t>
    </r>
  </si>
  <si>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L1_MFleet</t>
    </r>
    <r>
      <rPr>
        <sz val="9"/>
        <color rgb="FF555555"/>
        <rFont val="Noto Sans CJK SC"/>
        <family val="2"/>
      </rPr>
      <t xml:space="preserve">，機隊變現率）＝ </t>
    </r>
    <r>
      <rPr>
        <sz val="9"/>
        <color rgb="FF555555"/>
        <rFont val="Arial"/>
        <family val="0"/>
        <charset val="1"/>
      </rPr>
      <t xml:space="preserve">OpenAI 2025 </t>
    </r>
    <r>
      <rPr>
        <sz val="9"/>
        <color rgb="FF555555"/>
        <rFont val="Noto Sans CJK SC"/>
        <family val="2"/>
      </rPr>
      <t xml:space="preserve">營收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（機隊付費 </t>
    </r>
    <r>
      <rPr>
        <sz val="9"/>
        <color rgb="FF555555"/>
        <rFont val="Arial"/>
        <family val="0"/>
        <charset val="1"/>
      </rPr>
      <t xml:space="preserve">token × 2025 </t>
    </r>
    <r>
      <rPr>
        <sz val="9"/>
        <color rgb="FF555555"/>
        <rFont val="Noto Sans CJK SC"/>
        <family val="2"/>
      </rPr>
      <t xml:space="preserve">機隊口徑單價）。每一步列出對應的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格與原值，最後一欄為差異。</t>
    </r>
  </si>
  <si>
    <t xml:space="preserve">步驟</t>
  </si>
  <si>
    <t xml:space="preserve">白話說明與公式</t>
  </si>
  <si>
    <t xml:space="preserve">原活頁簿值</t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</si>
  <si>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Noto Sans CJK SC"/>
        <family val="2"/>
      </rPr>
      <t xml:space="preserve">層：每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產能（由 </t>
    </r>
    <r>
      <rPr>
        <b val="true"/>
        <sz val="10"/>
        <rFont val="Arial"/>
        <family val="0"/>
        <charset val="1"/>
      </rPr>
      <t xml:space="preserve">5_</t>
    </r>
    <r>
      <rPr>
        <b val="true"/>
        <sz val="10"/>
        <rFont val="Noto Sans CJK SC"/>
        <family val="2"/>
      </rPr>
      <t xml:space="preserve">每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產出 的 </t>
    </r>
    <r>
      <rPr>
        <b val="true"/>
        <sz val="10"/>
        <rFont val="Arial"/>
        <family val="0"/>
        <charset val="1"/>
      </rPr>
      <t xml:space="preserve">roofline </t>
    </r>
    <r>
      <rPr>
        <b val="true"/>
        <sz val="10"/>
        <rFont val="Noto Sans CJK SC"/>
        <family val="2"/>
      </rPr>
      <t xml:space="preserve">結果組合）</t>
    </r>
  </si>
  <si>
    <t xml:space="preserve">S1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</si>
  <si>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年產能（付費，基準利用率）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</si>
  <si>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IF_Util ÷ Σ</t>
    </r>
    <r>
      <rPr>
        <sz val="9"/>
        <color rgb="FF555555"/>
        <rFont val="Noto Sans CJK SC"/>
        <family val="2"/>
      </rPr>
      <t xml:space="preserve">（付費層級組合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該層級每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產出）。調和平均：每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時間按層級組合分給 </t>
    </r>
    <r>
      <rPr>
        <sz val="9"/>
        <color rgb="FF555555"/>
        <rFont val="Arial"/>
        <family val="0"/>
        <charset val="1"/>
      </rPr>
      <t xml:space="preserve">Luna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Sol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Astra</t>
    </r>
    <r>
      <rPr>
        <sz val="9"/>
        <color rgb="FF555555"/>
        <rFont val="Noto Sans CJK SC"/>
        <family val="2"/>
      </rPr>
      <t xml:space="preserve">，大模型每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耗時多。</t>
    </r>
  </si>
  <si>
    <t xml:space="preserve">Alloc!C29</t>
  </si>
  <si>
    <t xml:space="preserve">S2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</si>
  <si>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</t>
    </r>
  </si>
  <si>
    <r>
      <rPr>
        <sz val="9"/>
        <color rgb="FF555555"/>
        <rFont val="Noto Sans CJK SC"/>
        <family val="2"/>
      </rPr>
      <t xml:space="preserve">同上，</t>
    </r>
    <r>
      <rPr>
        <sz val="9"/>
        <color rgb="FF555555"/>
        <rFont val="Arial"/>
        <family val="0"/>
        <charset val="1"/>
      </rPr>
      <t xml:space="preserve">GB200 </t>
    </r>
    <r>
      <rPr>
        <sz val="9"/>
        <color rgb="FF555555"/>
        <rFont val="Noto Sans CJK SC"/>
        <family val="2"/>
      </rPr>
      <t xml:space="preserve">欄</t>
    </r>
  </si>
  <si>
    <t xml:space="preserve">Alloc!D29</t>
  </si>
  <si>
    <t xml:space="preserve">S3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</si>
  <si>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</si>
  <si>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9"/>
        <color rgb="FF555555"/>
        <rFont val="Noto Sans CJK SC"/>
        <family val="2"/>
      </rPr>
      <t xml:space="preserve">同上，用免費層級組合（</t>
    </r>
    <r>
      <rPr>
        <sz val="9"/>
        <color rgb="FF555555"/>
        <rFont val="Arial"/>
        <family val="0"/>
        <charset val="1"/>
      </rPr>
      <t xml:space="preserve">Luna 0.9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Sol 0.1</t>
    </r>
    <r>
      <rPr>
        <sz val="9"/>
        <color rgb="FF555555"/>
        <rFont val="Noto Sans CJK SC"/>
        <family val="2"/>
      </rPr>
      <t xml:space="preserve">）</t>
    </r>
  </si>
  <si>
    <t xml:space="preserve">Alloc!C30</t>
  </si>
  <si>
    <t xml:space="preserve">S4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</si>
  <si>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</si>
  <si>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t xml:space="preserve">Alloc!D30</t>
  </si>
  <si>
    <t xml:space="preserve">S5</t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</si>
  <si>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</si>
  <si>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Σ </t>
    </r>
    <r>
      <rPr>
        <sz val="9"/>
        <color rgb="FF555555"/>
        <rFont val="Noto Sans CJK SC"/>
        <family val="2"/>
      </rPr>
      <t xml:space="preserve">世代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占比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各世代產能（</t>
    </r>
    <r>
      <rPr>
        <sz val="9"/>
        <color rgb="FF555555"/>
        <rFont val="Arial"/>
        <family val="0"/>
        <charset val="1"/>
      </rPr>
      <t xml:space="preserve">Hopper 0.6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GB200 0.4</t>
    </r>
    <r>
      <rPr>
        <sz val="9"/>
        <color rgb="FF555555"/>
        <rFont val="Noto Sans CJK SC"/>
        <family val="2"/>
      </rPr>
      <t xml:space="preserve">）</t>
    </r>
  </si>
  <si>
    <t xml:space="preserve">Alloc!C33</t>
  </si>
  <si>
    <t xml:space="preserve">S6</t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</si>
  <si>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</si>
  <si>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t xml:space="preserve">Alloc!C34</t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</si>
  <si>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層：免費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 </t>
    </r>
    <r>
      <rPr>
        <b val="true"/>
        <sz val="10"/>
        <rFont val="Arial"/>
        <family val="0"/>
        <charset val="1"/>
      </rPr>
      <t xml:space="preserve">r</t>
    </r>
    <r>
      <rPr>
        <b val="true"/>
        <sz val="10"/>
        <rFont val="Noto Sans CJK SC"/>
        <family val="2"/>
      </rPr>
      <t xml:space="preserve">（需求面）</t>
    </r>
  </si>
  <si>
    <t xml:space="preserve">S7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</si>
  <si>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（全年）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</si>
  <si>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每分鐘 </t>
    </r>
    <r>
      <rPr>
        <sz val="9"/>
        <color rgb="FF555555"/>
        <rFont val="Arial"/>
        <family val="0"/>
        <charset val="1"/>
      </rPr>
      <t xml:space="preserve">token × 525,600 </t>
    </r>
    <r>
      <rPr>
        <sz val="9"/>
        <color rgb="FF555555"/>
        <rFont val="Noto Sans CJK SC"/>
        <family val="2"/>
      </rPr>
      <t xml:space="preserve">分鐘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全年平均比</t>
    </r>
  </si>
  <si>
    <t xml:space="preserve">Alloc!C5</t>
  </si>
  <si>
    <t xml:space="preserve">S8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</si>
  <si>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（全年）</t>
    </r>
  </si>
  <si>
    <r>
      <rPr>
        <sz val="9"/>
        <color rgb="FF555555"/>
        <rFont val="Noto Sans CJK SC"/>
        <family val="2"/>
      </rPr>
      <t xml:space="preserve">＝每日訊息數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每則 </t>
    </r>
    <r>
      <rPr>
        <sz val="9"/>
        <color rgb="FF555555"/>
        <rFont val="Arial"/>
        <family val="0"/>
        <charset val="1"/>
      </rPr>
      <t xml:space="preserve">token τ × 365</t>
    </r>
  </si>
  <si>
    <t xml:space="preserve">Alloc!C6</t>
  </si>
  <si>
    <t xml:space="preserve">S9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</si>
  <si>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</si>
  <si>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ChatGPT token × </t>
    </r>
    <r>
      <rPr>
        <sz val="9"/>
        <color rgb="FF555555"/>
        <rFont val="Noto Sans CJK SC"/>
        <family val="2"/>
      </rPr>
      <t xml:space="preserve">免費占比</t>
    </r>
  </si>
  <si>
    <t xml:space="preserve">Alloc!C7</t>
  </si>
  <si>
    <t xml:space="preserve">S10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</si>
  <si>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</si>
  <si>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ChatGPT − </t>
    </r>
    <r>
      <rPr>
        <sz val="9"/>
        <color rgb="FF555555"/>
        <rFont val="Noto Sans CJK SC"/>
        <family val="2"/>
      </rPr>
      <t xml:space="preserve">免費</t>
    </r>
  </si>
  <si>
    <t xml:space="preserve">Alloc!C9</t>
  </si>
  <si>
    <t xml:space="preserve">S11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</si>
  <si>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</si>
  <si>
    <r>
      <rPr>
        <sz val="9"/>
        <color rgb="FF555555"/>
        <rFont val="Noto Sans CJK SC"/>
        <family val="2"/>
      </rPr>
      <t xml:space="preserve">機隊產能要先扣掉服務免費用戶的部分；</t>
    </r>
    <r>
      <rPr>
        <sz val="9"/>
        <color rgb="FF555555"/>
        <rFont val="Arial"/>
        <family val="0"/>
        <charset val="1"/>
      </rPr>
      <t xml:space="preserve">r </t>
    </r>
    <r>
      <rPr>
        <sz val="9"/>
        <color rgb="FF555555"/>
        <rFont val="Noto Sans CJK SC"/>
        <family val="2"/>
      </rPr>
      <t xml:space="preserve">越大，留給付費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的產能越少</t>
    </r>
  </si>
  <si>
    <t xml:space="preserve">Cap_In!C112</t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</si>
  <si>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層：服務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（支出路線）與利用率</t>
    </r>
  </si>
  <si>
    <t xml:space="preserve">S12</t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</si>
  <si>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年持有成本（世代加權）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</si>
  <si>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Σ </t>
    </r>
    <r>
      <rPr>
        <sz val="9"/>
        <color rgb="FF555555"/>
        <rFont val="Noto Sans CJK SC"/>
        <family val="2"/>
      </rPr>
      <t xml:space="preserve">世代占比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各世代每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年經濟持有成本（</t>
    </r>
    <r>
      <rPr>
        <sz val="9"/>
        <color rgb="FF555555"/>
        <rFont val="Arial"/>
        <family val="0"/>
        <charset val="1"/>
      </rPr>
      <t xml:space="preserve">4_</t>
    </r>
    <r>
      <rPr>
        <sz val="9"/>
        <color rgb="FF555555"/>
        <rFont val="Noto Sans CJK SC"/>
        <family val="2"/>
      </rPr>
      <t xml:space="preserve">持有成本）</t>
    </r>
  </si>
  <si>
    <t xml:space="preserve">S13</t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</si>
  <si>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</si>
  <si>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55555"/>
        <rFont val="Noto Sans CJK SC"/>
        <family val="2"/>
      </rPr>
      <t xml:space="preserve">＝推論支出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年持有成本：</t>
    </r>
    <r>
      <rPr>
        <sz val="9"/>
        <color rgb="FF555555"/>
        <rFont val="Arial"/>
        <family val="0"/>
        <charset val="1"/>
      </rPr>
      <t xml:space="preserve">OpenAI </t>
    </r>
    <r>
      <rPr>
        <sz val="9"/>
        <color rgb="FF555555"/>
        <rFont val="Noto Sans CJK SC"/>
        <family val="2"/>
      </rPr>
      <t xml:space="preserve">花在服務推論的錢，等於擁有多少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的持有成本</t>
    </r>
  </si>
  <si>
    <t xml:space="preserve">Alloc!C70</t>
  </si>
  <si>
    <t xml:space="preserve">S14</t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</si>
  <si>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</si>
  <si>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＝服務 </t>
    </r>
    <r>
      <rPr>
        <sz val="9"/>
        <color rgb="FF555555"/>
        <rFont val="Arial"/>
        <family val="0"/>
        <charset val="1"/>
      </rPr>
      <t xml:space="preserve">GW ÷ </t>
    </r>
    <r>
      <rPr>
        <sz val="9"/>
        <color rgb="FF555555"/>
        <rFont val="Noto Sans CJK SC"/>
        <family val="2"/>
      </rPr>
      <t xml:space="preserve">計價倍數 </t>
    </r>
    <r>
      <rPr>
        <sz val="9"/>
        <color rgb="FF555555"/>
        <rFont val="Arial"/>
        <family val="0"/>
        <charset val="1"/>
      </rPr>
      <t xml:space="preserve">× κ</t>
    </r>
    <r>
      <rPr>
        <sz val="9"/>
        <color rgb="FF555555"/>
        <rFont val="Noto Sans CJK SC"/>
        <family val="2"/>
      </rPr>
      <t xml:space="preserve">。計價倍數 </t>
    </r>
    <r>
      <rPr>
        <sz val="9"/>
        <color rgb="FF555555"/>
        <rFont val="Arial"/>
        <family val="0"/>
        <charset val="1"/>
      </rPr>
      <t xml:space="preserve">&lt;1 </t>
    </r>
    <r>
      <rPr>
        <sz val="9"/>
        <color rgb="FF555555"/>
        <rFont val="Noto Sans CJK SC"/>
        <family val="2"/>
      </rPr>
      <t xml:space="preserve">表示 </t>
    </r>
    <r>
      <rPr>
        <sz val="9"/>
        <color rgb="FF555555"/>
        <rFont val="Arial"/>
        <family val="0"/>
        <charset val="1"/>
      </rPr>
      <t xml:space="preserve">Azure </t>
    </r>
    <r>
      <rPr>
        <sz val="9"/>
        <color rgb="FF555555"/>
        <rFont val="Noto Sans CJK SC"/>
        <family val="2"/>
      </rPr>
      <t xml:space="preserve">計價低於經濟持有成本，所以同樣的錢買到更多 </t>
    </r>
    <r>
      <rPr>
        <sz val="9"/>
        <color rgb="FF555555"/>
        <rFont val="Arial"/>
        <family val="0"/>
        <charset val="1"/>
      </rPr>
      <t xml:space="preserve">GW</t>
    </r>
  </si>
  <si>
    <t xml:space="preserve">Cap_In!C109</t>
  </si>
  <si>
    <t xml:space="preserve">S15</t>
  </si>
  <si>
    <t xml:space="preserve">利用率修正</t>
  </si>
  <si>
    <r>
      <rPr>
        <sz val="9"/>
        <color rgb="FF555555"/>
        <rFont val="Noto Sans CJK SC"/>
        <family val="2"/>
      </rPr>
      <t xml:space="preserve">＝實際利用率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生產折減 </t>
    </r>
    <r>
      <rPr>
        <sz val="9"/>
        <color rgb="FF555555"/>
        <rFont val="Arial"/>
        <family val="0"/>
        <charset val="1"/>
      </rPr>
      <t xml:space="preserve">÷ IF_Util</t>
    </r>
    <r>
      <rPr>
        <sz val="9"/>
        <color rgb="FF555555"/>
        <rFont val="Noto Sans CJK SC"/>
        <family val="2"/>
      </rPr>
      <t xml:space="preserve">（把每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產能的「基準利用率」口徑換成實際）</t>
    </r>
  </si>
  <si>
    <t xml:space="preserve">Cap_In!C114</t>
  </si>
  <si>
    <t xml:space="preserve">S16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</si>
  <si>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</si>
  <si>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＝有效服務 </t>
    </r>
    <r>
      <rPr>
        <sz val="9"/>
        <color rgb="FF555555"/>
        <rFont val="Arial"/>
        <family val="0"/>
        <charset val="1"/>
      </rPr>
      <t xml:space="preserve">GW × </t>
    </r>
    <r>
      <rPr>
        <sz val="9"/>
        <color rgb="FF555555"/>
        <rFont val="Noto Sans CJK SC"/>
        <family val="2"/>
      </rPr>
      <t xml:space="preserve">利用率修正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÷ </t>
    </r>
    <r>
      <rPr>
        <sz val="9"/>
        <color rgb="FF555555"/>
        <rFont val="Noto Sans CJK SC"/>
        <family val="2"/>
      </rPr>
      <t xml:space="preserve">付費產能 ＋ </t>
    </r>
    <r>
      <rPr>
        <sz val="9"/>
        <color rgb="FF555555"/>
        <rFont val="Arial"/>
        <family val="0"/>
        <charset val="1"/>
      </rPr>
      <t xml:space="preserve">r ÷ </t>
    </r>
    <r>
      <rPr>
        <sz val="9"/>
        <color rgb="FF555555"/>
        <rFont val="Noto Sans CJK SC"/>
        <family val="2"/>
      </rPr>
      <t xml:space="preserve">免費產能）。分母：每產出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個付費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，同時要產出 </t>
    </r>
    <r>
      <rPr>
        <sz val="9"/>
        <color rgb="FF555555"/>
        <rFont val="Arial"/>
        <family val="0"/>
        <charset val="1"/>
      </rPr>
      <t xml:space="preserve">r </t>
    </r>
    <r>
      <rPr>
        <sz val="9"/>
        <color rgb="FF555555"/>
        <rFont val="Noto Sans CJK SC"/>
        <family val="2"/>
      </rPr>
      <t xml:space="preserve">個免費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，各自耗用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年</t>
    </r>
  </si>
  <si>
    <t xml:space="preserve">Cap_In!C116</t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</si>
  <si>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層：單價、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m</t>
    </r>
  </si>
  <si>
    <t xml:space="preserve">S17</t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</si>
  <si>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</si>
  <si>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Σ </t>
    </r>
    <r>
      <rPr>
        <sz val="9"/>
        <color rgb="FF555555"/>
        <rFont val="Noto Sans CJK SC"/>
        <family val="2"/>
      </rPr>
      <t xml:space="preserve">付費層級組合 </t>
    </r>
    <r>
      <rPr>
        <sz val="9"/>
        <color rgb="FF555555"/>
        <rFont val="Arial"/>
        <family val="0"/>
        <charset val="1"/>
      </rPr>
      <t xml:space="preserve">× 2025 </t>
    </r>
    <r>
      <rPr>
        <sz val="9"/>
        <color rgb="FF555555"/>
        <rFont val="Noto Sans CJK SC"/>
        <family val="2"/>
      </rPr>
      <t xml:space="preserve">層級單價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有效折扣）</t>
    </r>
  </si>
  <si>
    <t xml:space="preserve">Alloc!C148</t>
  </si>
  <si>
    <t xml:space="preserve">S18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</si>
  <si>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</si>
  <si>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9"/>
        <color rgb="FF555555"/>
        <rFont val="Noto Sans CJK SC"/>
        <family val="2"/>
      </rPr>
      <t xml:space="preserve">＝以各世代付費產能加權的 </t>
    </r>
    <r>
      <rPr>
        <sz val="9"/>
        <color rgb="FF555555"/>
        <rFont val="Arial"/>
        <family val="0"/>
        <charset val="1"/>
      </rPr>
      <t xml:space="preserve">S17</t>
    </r>
    <r>
      <rPr>
        <sz val="9"/>
        <color rgb="FF555555"/>
        <rFont val="Noto Sans CJK SC"/>
        <family val="2"/>
      </rPr>
      <t xml:space="preserve">（所有層級皆可達時，各世代同值）</t>
    </r>
  </si>
  <si>
    <t xml:space="preserve">Alloc!C151</t>
  </si>
  <si>
    <t xml:space="preserve">S19</t>
  </si>
  <si>
    <r>
      <rPr>
        <sz val="10"/>
        <color rgb="FF000000"/>
        <rFont val="Noto Sans CJK SC"/>
        <family val="2"/>
      </rPr>
      <t xml:space="preserve">營收折合的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（按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牌價扣折扣）</t>
    </r>
  </si>
  <si>
    <r>
      <rPr>
        <sz val="9"/>
        <color rgb="FF555555"/>
        <rFont val="Noto Sans CJK SC"/>
        <family val="2"/>
      </rPr>
      <t xml:space="preserve">＝營收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混合有效單價：如果每個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都照牌價收費，營收只買得到這麼多 </t>
    </r>
    <r>
      <rPr>
        <sz val="9"/>
        <color rgb="FF555555"/>
        <rFont val="Arial"/>
        <family val="0"/>
        <charset val="1"/>
      </rPr>
      <t xml:space="preserve">token</t>
    </r>
  </si>
  <si>
    <t xml:space="preserve">m</t>
  </si>
  <si>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（機隊變現率）</t>
    </r>
  </si>
  <si>
    <r>
      <rPr>
        <sz val="9"/>
        <color rgb="FF555555"/>
        <rFont val="Noto Sans CJK SC"/>
        <family val="2"/>
      </rPr>
      <t xml:space="preserve">＝營收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（機隊付費 </t>
    </r>
    <r>
      <rPr>
        <sz val="9"/>
        <color rgb="FF555555"/>
        <rFont val="Arial"/>
        <family val="0"/>
        <charset val="1"/>
      </rPr>
      <t xml:space="preserve">token × </t>
    </r>
    <r>
      <rPr>
        <sz val="9"/>
        <color rgb="FF555555"/>
        <rFont val="Noto Sans CJK SC"/>
        <family val="2"/>
      </rPr>
      <t xml:space="preserve">混合有效單價）＝ </t>
    </r>
    <r>
      <rPr>
        <sz val="9"/>
        <color rgb="FF555555"/>
        <rFont val="Arial"/>
        <family val="0"/>
        <charset val="1"/>
      </rPr>
      <t xml:space="preserve">S19 ÷ S16</t>
    </r>
  </si>
  <si>
    <t xml:space="preserve">Cap_In!C119</t>
  </si>
  <si>
    <t xml:space="preserve">floor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</si>
  <si>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的物理下限（機隊付費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上限讀法）</t>
    </r>
  </si>
  <si>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以 </t>
    </r>
    <r>
      <rPr>
        <sz val="9"/>
        <color rgb="FF555555"/>
        <rFont val="Arial"/>
        <family val="0"/>
        <charset val="1"/>
      </rPr>
      <t xml:space="preserve">MAX(m, </t>
    </r>
    <r>
      <rPr>
        <sz val="9"/>
        <color rgb="FF555555"/>
        <rFont val="Noto Sans CJK SC"/>
        <family val="2"/>
      </rPr>
      <t xml:space="preserve">下限</t>
    </r>
    <r>
      <rPr>
        <sz val="9"/>
        <color rgb="FF555555"/>
        <rFont val="Arial"/>
        <family val="0"/>
        <charset val="1"/>
      </rPr>
      <t xml:space="preserve">) </t>
    </r>
    <r>
      <rPr>
        <sz val="9"/>
        <color rgb="FF555555"/>
        <rFont val="Noto Sans CJK SC"/>
        <family val="2"/>
      </rPr>
      <t xml:space="preserve">輸出；基準下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高於下限，所以下限不綁定</t>
    </r>
  </si>
  <si>
    <t xml:space="preserve">Cap_In!C121</t>
  </si>
  <si>
    <t xml:space="preserve">L1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</si>
  <si>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L1_MFleet</t>
    </r>
  </si>
  <si>
    <t xml:space="preserve">L1!D78</t>
  </si>
  <si>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年經濟持有成本（資本回收年金＋營運費用）</t>
    </r>
  </si>
  <si>
    <r>
      <rPr>
        <sz val="9"/>
        <color rgb="FF555555"/>
        <rFont val="Noto Sans CJK SC"/>
        <family val="2"/>
      </rPr>
      <t xml:space="preserve">公式與 </t>
    </r>
    <r>
      <rPr>
        <sz val="9"/>
        <color rgb="FF555555"/>
        <rFont val="Arial"/>
        <family val="0"/>
        <charset val="1"/>
      </rPr>
      <t xml:space="preserve">Tokenomics DC_Cost </t>
    </r>
    <r>
      <rPr>
        <sz val="9"/>
        <color rgb="FF555555"/>
        <rFont val="Noto Sans CJK SC"/>
        <family val="2"/>
      </rPr>
      <t xml:space="preserve">頁（基準成本欄）相同；</t>
    </r>
    <r>
      <rPr>
        <sz val="9"/>
        <color rgb="FF555555"/>
        <rFont val="Arial"/>
        <family val="0"/>
        <charset val="1"/>
      </rPr>
      <t xml:space="preserve">1 GW IT </t>
    </r>
    <r>
      <rPr>
        <sz val="9"/>
        <color rgb="FF555555"/>
        <rFont val="Noto Sans CJK SC"/>
        <family val="2"/>
      </rPr>
      <t xml:space="preserve">電力。</t>
    </r>
  </si>
  <si>
    <t xml:space="preserve">列</t>
  </si>
  <si>
    <t xml:space="preserve">Hopper H100</t>
  </si>
  <si>
    <t xml:space="preserve">GB200 NVL72</t>
  </si>
  <si>
    <t xml:space="preserve">公式說明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</si>
  <si>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規模</t>
    </r>
  </si>
  <si>
    <t xml:space="preserve">mw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</si>
  <si>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</si>
  <si>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</si>
  <si>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1 GW</t>
  </si>
  <si>
    <t xml:space="preserve">rmw</t>
  </si>
  <si>
    <r>
      <rPr>
        <sz val="10"/>
        <color rgb="FF000000"/>
        <rFont val="Noto Sans CJK SC"/>
        <family val="2"/>
      </rPr>
      <t xml:space="preserve">機架可用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</si>
  <si>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r>
      <rPr>
        <sz val="9"/>
        <color rgb="FF555555"/>
        <rFont val="Noto Sans CJK SC"/>
        <family val="2"/>
      </rPr>
      <t xml:space="preserve">扣除機架外 </t>
    </r>
    <r>
      <rPr>
        <sz val="9"/>
        <color rgb="FF555555"/>
        <rFont val="Arial"/>
        <family val="0"/>
        <charset val="1"/>
      </rPr>
      <t xml:space="preserve">IT </t>
    </r>
    <r>
      <rPr>
        <sz val="9"/>
        <color rgb="FF555555"/>
        <rFont val="Noto Sans CJK SC"/>
        <family val="2"/>
      </rPr>
      <t xml:space="preserve">電力</t>
    </r>
  </si>
  <si>
    <t xml:space="preserve">racks</t>
  </si>
  <si>
    <t xml:space="preserve">機架數</t>
  </si>
  <si>
    <t xml:space="preserve">架</t>
  </si>
  <si>
    <r>
      <rPr>
        <sz val="9"/>
        <color rgb="FF555555"/>
        <rFont val="Noto Sans CJK SC"/>
        <family val="2"/>
      </rPr>
      <t xml:space="preserve">可用 </t>
    </r>
    <r>
      <rPr>
        <sz val="9"/>
        <color rgb="FF555555"/>
        <rFont val="Arial"/>
        <family val="0"/>
        <charset val="1"/>
      </rPr>
      <t xml:space="preserve">IT </t>
    </r>
    <r>
      <rPr>
        <sz val="9"/>
        <color rgb="FF555555"/>
        <rFont val="Noto Sans CJK SC"/>
        <family val="2"/>
      </rPr>
      <t xml:space="preserve">電力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每架功率，取整</t>
    </r>
  </si>
  <si>
    <t xml:space="preserve">gpus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</si>
  <si>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</si>
  <si>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資本支出</t>
    </r>
  </si>
  <si>
    <t xml:space="preserve">rack</t>
  </si>
  <si>
    <t xml:space="preserve">機架</t>
  </si>
  <si>
    <r>
      <rPr>
        <sz val="9"/>
        <color rgb="FF555555"/>
        <rFont val="Noto Sans CJK SC"/>
        <family val="2"/>
      </rPr>
      <t xml:space="preserve">機架數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機架單價</t>
    </r>
  </si>
  <si>
    <t xml:space="preserve">net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</si>
  <si>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</si>
  <si>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stor</t>
  </si>
  <si>
    <t xml:space="preserve">儲存與管理</t>
  </si>
  <si>
    <t xml:space="preserve">it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</si>
  <si>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</si>
  <si>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land</t>
  </si>
  <si>
    <t xml:space="preserve">bldg</t>
  </si>
  <si>
    <t xml:space="preserve">建物與基地</t>
  </si>
  <si>
    <t xml:space="preserve">pwr</t>
  </si>
  <si>
    <t xml:space="preserve">mech</t>
  </si>
  <si>
    <t xml:space="preserve">fib</t>
  </si>
  <si>
    <t xml:space="preserve">光纖與保全</t>
  </si>
  <si>
    <t xml:space="preserve">soft</t>
  </si>
  <si>
    <t xml:space="preserve">fac</t>
  </si>
  <si>
    <t xml:space="preserve">廠房小計</t>
  </si>
  <si>
    <t xml:space="preserve">capex</t>
  </si>
  <si>
    <t xml:space="preserve">總資本支出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</si>
  <si>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營運費用（年）</t>
    </r>
  </si>
  <si>
    <t xml:space="preserve">elec</t>
  </si>
  <si>
    <t xml:space="preserve">電費</t>
  </si>
  <si>
    <r>
      <rPr>
        <sz val="9"/>
        <color rgb="FF555555"/>
        <rFont val="Arial"/>
        <family val="0"/>
        <charset val="1"/>
      </rPr>
      <t xml:space="preserve">IT </t>
    </r>
    <r>
      <rPr>
        <sz val="9"/>
        <color rgb="FF555555"/>
        <rFont val="Noto Sans CJK SC"/>
        <family val="2"/>
      </rPr>
      <t xml:space="preserve">電力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平均負載 </t>
    </r>
    <r>
      <rPr>
        <sz val="9"/>
        <color rgb="FF555555"/>
        <rFont val="Arial"/>
        <family val="0"/>
        <charset val="1"/>
      </rPr>
      <t xml:space="preserve">× PUE × 8760 × </t>
    </r>
    <r>
      <rPr>
        <sz val="9"/>
        <color rgb="FF555555"/>
        <rFont val="Noto Sans CJK SC"/>
        <family val="2"/>
      </rPr>
      <t xml:space="preserve">電價</t>
    </r>
  </si>
  <si>
    <t xml:space="preserve">itm</t>
  </si>
  <si>
    <t xml:space="preserve">fm</t>
  </si>
  <si>
    <t xml:space="preserve">ops</t>
  </si>
  <si>
    <t xml:space="preserve">人員、軟體、水與耗材</t>
  </si>
  <si>
    <t xml:space="preserve">tax</t>
  </si>
  <si>
    <t xml:space="preserve">opex</t>
  </si>
  <si>
    <t xml:space="preserve">營運費用小計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</si>
  <si>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經濟口徑年持有成本</t>
    </r>
  </si>
  <si>
    <t xml:space="preserve">crf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</si>
  <si>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</si>
  <si>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9"/>
        <color rgb="FF555555"/>
        <rFont val="Arial"/>
        <family val="0"/>
        <charset val="1"/>
      </rPr>
      <t xml:space="preserve">WACC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WACC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^−</t>
    </r>
    <r>
      <rPr>
        <sz val="9"/>
        <color rgb="FF555555"/>
        <rFont val="Noto Sans CJK SC"/>
        <family val="2"/>
      </rPr>
      <t xml:space="preserve">年限）：把 </t>
    </r>
    <r>
      <rPr>
        <sz val="9"/>
        <color rgb="FF555555"/>
        <rFont val="Arial"/>
        <family val="0"/>
        <charset val="1"/>
      </rPr>
      <t xml:space="preserve">IT </t>
    </r>
    <r>
      <rPr>
        <sz val="9"/>
        <color rgb="FF555555"/>
        <rFont val="Noto Sans CJK SC"/>
        <family val="2"/>
      </rPr>
      <t xml:space="preserve">資本攤成等額年金</t>
    </r>
  </si>
  <si>
    <t xml:space="preserve">itrec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</si>
  <si>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</si>
  <si>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facrec</t>
  </si>
  <si>
    <r>
      <rPr>
        <sz val="10"/>
        <color rgb="FF000000"/>
        <rFont val="Noto Sans CJK SC"/>
        <family val="2"/>
      </rPr>
      <t xml:space="preserve">廠房資本回收（土地按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計機會成本）</t>
    </r>
  </si>
  <si>
    <t xml:space="preserve">hold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</si>
  <si>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年經濟持有成本</t>
    </r>
  </si>
  <si>
    <r>
      <rPr>
        <sz val="9"/>
        <color rgb="FF555555"/>
        <rFont val="Noto Sans CJK SC"/>
        <family val="2"/>
      </rPr>
      <t xml:space="preserve">＝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IF_HoldEcon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AL_HoldGen</t>
    </r>
    <r>
      <rPr>
        <sz val="9"/>
        <color rgb="FF555555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</si>
  <si>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對照：</t>
    </r>
    <r>
      <rPr>
        <sz val="9"/>
        <color rgb="FF555555"/>
        <rFont val="Arial"/>
        <family val="0"/>
        <charset val="1"/>
      </rPr>
      <t xml:space="preserve">Tokenomics v15.3 </t>
    </r>
    <r>
      <rPr>
        <sz val="9"/>
        <color rgb="FF555555"/>
        <rFont val="Noto Sans CJK SC"/>
        <family val="2"/>
      </rPr>
      <t xml:space="preserve">原值（</t>
    </r>
    <r>
      <rPr>
        <sz val="9"/>
        <color rgb="FF555555"/>
        <rFont val="Arial"/>
        <family val="0"/>
        <charset val="1"/>
      </rPr>
      <t xml:space="preserve">Alloc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39 </t>
    </r>
    <r>
      <rPr>
        <sz val="9"/>
        <color rgb="FF555555"/>
        <rFont val="Noto Sans CJK SC"/>
        <family val="2"/>
      </rPr>
      <t xml:space="preserve">列）</t>
    </r>
  </si>
  <si>
    <r>
      <rPr>
        <b val="true"/>
        <sz val="10"/>
        <rFont val="Noto Sans CJK SC"/>
        <family val="2"/>
      </rPr>
      <t xml:space="preserve">差異（本頁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原值 −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</si>
  <si>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年產出（</t>
    </r>
    <r>
      <rPr>
        <b val="true"/>
        <sz val="13"/>
        <rFont val="Arial"/>
        <family val="0"/>
        <charset val="1"/>
      </rPr>
      <t xml:space="preserve">roofline</t>
    </r>
    <r>
      <rPr>
        <b val="true"/>
        <sz val="13"/>
        <rFont val="Noto Sans CJK SC"/>
        <family val="2"/>
      </rPr>
      <t xml:space="preserve">）：每請求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秒 → 每架 </t>
    </r>
    <r>
      <rPr>
        <b val="true"/>
        <sz val="13"/>
        <rFont val="Arial"/>
        <family val="0"/>
        <charset val="1"/>
      </rPr>
      <t xml:space="preserve">tok/s →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M tok/</t>
    </r>
    <r>
      <rPr>
        <b val="true"/>
        <sz val="13"/>
        <rFont val="Noto Sans CJK SC"/>
        <family val="2"/>
      </rPr>
      <t xml:space="preserve">年（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</si>
  <si>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55555"/>
        <rFont val="Noto Sans CJK SC"/>
        <family val="2"/>
      </rPr>
      <t xml:space="preserve">六個案例＝</t>
    </r>
    <r>
      <rPr>
        <sz val="9"/>
        <color rgb="FF555555"/>
        <rFont val="Arial"/>
        <family val="0"/>
        <charset val="1"/>
      </rPr>
      <t xml:space="preserve">Hopper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GB200 × Luna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Sol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Astra</t>
    </r>
    <r>
      <rPr>
        <sz val="9"/>
        <color rgb="FF555555"/>
        <rFont val="Noto Sans CJK SC"/>
        <family val="2"/>
      </rPr>
      <t xml:space="preserve">。公式與 </t>
    </r>
    <r>
      <rPr>
        <sz val="9"/>
        <color rgb="FF555555"/>
        <rFont val="Arial"/>
        <family val="0"/>
        <charset val="1"/>
      </rPr>
      <t xml:space="preserve">Tokenomics Perf </t>
    </r>
    <r>
      <rPr>
        <sz val="9"/>
        <color rgb="FF555555"/>
        <rFont val="Noto Sans CJK SC"/>
        <family val="2"/>
      </rPr>
      <t xml:space="preserve">頁逐列相同；最後兩列與原活頁簿比對。綠字＝連結 </t>
    </r>
    <r>
      <rPr>
        <sz val="9"/>
        <color rgb="FF555555"/>
        <rFont val="Arial"/>
        <family val="0"/>
        <charset val="1"/>
      </rPr>
      <t xml:space="preserve">2_</t>
    </r>
    <r>
      <rPr>
        <sz val="9"/>
        <color rgb="FF555555"/>
        <rFont val="Noto Sans CJK SC"/>
        <family val="2"/>
      </rPr>
      <t xml:space="preserve">輸入；黑字＝本頁公式。</t>
    </r>
  </si>
  <si>
    <t xml:space="preserve">Hopper Luna</t>
  </si>
  <si>
    <t xml:space="preserve">Hopper Sol</t>
  </si>
  <si>
    <t xml:space="preserve">Hopper Astra</t>
  </si>
  <si>
    <t xml:space="preserve">GB200 Luna</t>
  </si>
  <si>
    <t xml:space="preserve">GB200 Sol</t>
  </si>
  <si>
    <t xml:space="preserve">GB200 Astra</t>
  </si>
  <si>
    <t xml:space="preserve">公式說明（物理意義）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</si>
  <si>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</si>
  <si>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t xml:space="preserve">peak</t>
  </si>
  <si>
    <t xml:space="preserve">計算用峰值</t>
  </si>
  <si>
    <t xml:space="preserve">hbm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</si>
  <si>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</si>
  <si>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t xml:space="preserve">GB</t>
  </si>
  <si>
    <t xml:space="preserve">bw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</si>
  <si>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</si>
  <si>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</si>
  <si>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t xml:space="preserve">epbw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</si>
  <si>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</si>
  <si>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t xml:space="preserve">epw</t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</si>
  <si>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</si>
  <si>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t xml:space="preserve">eb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</si>
  <si>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</si>
  <si>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neb</t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</si>
  <si>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</si>
  <si>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pfg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</si>
  <si>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</si>
  <si>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gpr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</si>
  <si>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</si>
  <si>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rpg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</si>
  <si>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</si>
  <si>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r>
      <rPr>
        <sz val="9"/>
        <color rgb="FF555555"/>
        <rFont val="Noto Sans CJK SC"/>
        <family val="2"/>
      </rPr>
      <t xml:space="preserve">來自 </t>
    </r>
    <r>
      <rPr>
        <sz val="9"/>
        <color rgb="FF555555"/>
        <rFont val="Arial"/>
        <family val="0"/>
        <charset val="1"/>
      </rPr>
      <t xml:space="preserve">4_</t>
    </r>
    <r>
      <rPr>
        <sz val="9"/>
        <color rgb="FF555555"/>
        <rFont val="Noto Sans CJK SC"/>
        <family val="2"/>
      </rPr>
      <t xml:space="preserve">持有成本（機架可用 </t>
    </r>
    <r>
      <rPr>
        <sz val="9"/>
        <color rgb="FF555555"/>
        <rFont val="Arial"/>
        <family val="0"/>
        <charset val="1"/>
      </rPr>
      <t xml:space="preserve">IT </t>
    </r>
    <r>
      <rPr>
        <sz val="9"/>
        <color rgb="FF555555"/>
        <rFont val="Noto Sans CJK SC"/>
        <family val="2"/>
      </rPr>
      <t xml:space="preserve">電力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每架功率，取整）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</si>
  <si>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</t>
    </r>
  </si>
  <si>
    <t xml:space="preserve">act</t>
  </si>
  <si>
    <t xml:space="preserve">啟用參數</t>
  </si>
  <si>
    <t xml:space="preserve">lay</t>
  </si>
  <si>
    <t xml:space="preserve">層數</t>
  </si>
  <si>
    <t xml:space="preserve">dm</t>
  </si>
  <si>
    <t xml:space="preserve">d_model</t>
  </si>
  <si>
    <t xml:space="preserve">exp</t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</si>
  <si>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</si>
  <si>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nep</t>
  </si>
  <si>
    <t xml:space="preserve">非專家參數</t>
  </si>
  <si>
    <t xml:space="preserve">ep</t>
  </si>
  <si>
    <t xml:space="preserve">專家參數</t>
  </si>
  <si>
    <t xml:space="preserve">kv</t>
  </si>
  <si>
    <t xml:space="preserve">KV bytes/token</t>
  </si>
  <si>
    <t xml:space="preserve">af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</si>
  <si>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</si>
  <si>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fa</t>
  </si>
  <si>
    <t xml:space="preserve">全注意力層比例</t>
  </si>
  <si>
    <t xml:space="preserve">span</t>
  </si>
  <si>
    <t xml:space="preserve">全注意力跨度上限</t>
  </si>
  <si>
    <t xml:space="preserve">cmp</t>
  </si>
  <si>
    <t xml:space="preserve">其他層壓縮比</t>
  </si>
  <si>
    <t xml:space="preserve">win</t>
  </si>
  <si>
    <t xml:space="preserve">其他層滑動窗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</si>
  <si>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服務等級、參考請求、校準</t>
    </r>
  </si>
  <si>
    <t xml:space="preserve">slo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</si>
  <si>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</si>
  <si>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ttft</t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</si>
  <si>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</si>
  <si>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t xml:space="preserve">isl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</si>
  <si>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</si>
  <si>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t xml:space="preserve">osl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</si>
  <si>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</si>
  <si>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t xml:space="preserve">ctx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</si>
  <si>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</si>
  <si>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9"/>
        <color rgb="FF555555"/>
        <rFont val="Arial"/>
        <family val="0"/>
        <charset val="1"/>
      </rPr>
      <t xml:space="preserve">ISL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OSL ÷ 2</t>
    </r>
    <r>
      <rPr>
        <sz val="9"/>
        <color rgb="FF555555"/>
        <rFont val="Noto Sans CJK SC"/>
        <family val="2"/>
      </rPr>
      <t xml:space="preserve">（輸出過程中上下文由 </t>
    </r>
    <r>
      <rPr>
        <sz val="9"/>
        <color rgb="FF555555"/>
        <rFont val="Arial"/>
        <family val="0"/>
        <charset val="1"/>
      </rPr>
      <t xml:space="preserve">ISL </t>
    </r>
    <r>
      <rPr>
        <sz val="9"/>
        <color rgb="FF555555"/>
        <rFont val="Noto Sans CJK SC"/>
        <family val="2"/>
      </rPr>
      <t xml:space="preserve">長到 </t>
    </r>
    <r>
      <rPr>
        <sz val="9"/>
        <color rgb="FF555555"/>
        <rFont val="Arial"/>
        <family val="0"/>
        <charset val="1"/>
      </rPr>
      <t xml:space="preserve">ISL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OSL</t>
    </r>
    <r>
      <rPr>
        <sz val="9"/>
        <color rgb="FF555555"/>
        <rFont val="Noto Sans CJK SC"/>
        <family val="2"/>
      </rPr>
      <t xml:space="preserve">）</t>
    </r>
  </si>
  <si>
    <t xml:space="preserve">ppos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</si>
  <si>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</si>
  <si>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t xml:space="preserve">ISL ÷ 2</t>
  </si>
  <si>
    <t xml:space="preserve">acc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</si>
  <si>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</si>
  <si>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r>
      <rPr>
        <sz val="9"/>
        <color rgb="FF555555"/>
        <rFont val="Arial"/>
        <family val="0"/>
        <charset val="1"/>
      </rPr>
      <t xml:space="preserve">MTP </t>
    </r>
    <r>
      <rPr>
        <sz val="9"/>
        <color rgb="FF555555"/>
        <rFont val="Noto Sans CJK SC"/>
        <family val="2"/>
      </rPr>
      <t xml:space="preserve">推測解碼：</t>
    </r>
    <r>
      <rPr>
        <sz val="9"/>
        <color rgb="FF555555"/>
        <rFont val="Arial"/>
        <family val="0"/>
        <charset val="1"/>
      </rPr>
      <t xml:space="preserve">(1 − α^(N+1)) ÷ (1 − α)</t>
    </r>
  </si>
  <si>
    <t xml:space="preserve">etap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</si>
  <si>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占峰值）</t>
    </r>
  </si>
  <si>
    <r>
      <rPr>
        <sz val="9"/>
        <color rgb="FF555555"/>
        <rFont val="Arial"/>
        <family val="0"/>
        <charset val="1"/>
      </rPr>
      <t xml:space="preserve">η_p </t>
    </r>
    <r>
      <rPr>
        <sz val="9"/>
        <color rgb="FF555555"/>
        <rFont val="Noto Sans CJK SC"/>
        <family val="2"/>
      </rPr>
      <t xml:space="preserve">基準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世代倍數（生產折減在本頁＝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，另於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重算乘入）</t>
    </r>
  </si>
  <si>
    <t xml:space="preserve">etad</t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</si>
  <si>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每序列算力效率）</t>
    </r>
  </si>
  <si>
    <r>
      <rPr>
        <sz val="9"/>
        <color rgb="FF555555"/>
        <rFont val="Arial"/>
        <family val="0"/>
        <charset val="1"/>
      </rPr>
      <t xml:space="preserve">GB300 </t>
    </r>
    <r>
      <rPr>
        <sz val="9"/>
        <color rgb="FF555555"/>
        <rFont val="Noto Sans CJK SC"/>
        <family val="2"/>
      </rPr>
      <t xml:space="preserve">擬合值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世代倍數（</t>
    </r>
    <r>
      <rPr>
        <sz val="9"/>
        <color rgb="FF555555"/>
        <rFont val="Arial"/>
        <family val="0"/>
        <charset val="1"/>
      </rPr>
      <t xml:space="preserve">GB200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Calib D67</t>
    </r>
    <r>
      <rPr>
        <sz val="9"/>
        <color rgb="FF555555"/>
        <rFont val="Noto Sans CJK SC"/>
        <family val="2"/>
      </rPr>
      <t xml:space="preserve">）</t>
    </r>
  </si>
  <si>
    <t xml:space="preserve">lat</t>
  </si>
  <si>
    <t xml:space="preserve">每層每次前向固定延遲</t>
  </si>
  <si>
    <r>
      <rPr>
        <sz val="9"/>
        <color rgb="FF555555"/>
        <rFont val="Arial"/>
        <family val="0"/>
        <charset val="1"/>
      </rPr>
      <t xml:space="preserve">GB300 </t>
    </r>
    <r>
      <rPr>
        <sz val="9"/>
        <color rgb="FF555555"/>
        <rFont val="Noto Sans CJK SC"/>
        <family val="2"/>
      </rPr>
      <t xml:space="preserve">擬合值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世代倍數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</si>
  <si>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</si>
  <si>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t xml:space="preserve">dat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</si>
  <si>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</si>
  <si>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55555"/>
        <rFont val="Noto Sans CJK SC"/>
        <family val="2"/>
      </rPr>
      <t xml:space="preserve">全注意力層看 </t>
    </r>
    <r>
      <rPr>
        <sz val="9"/>
        <color rgb="FF555555"/>
        <rFont val="Arial"/>
        <family val="0"/>
        <charset val="1"/>
      </rPr>
      <t xml:space="preserve">min(</t>
    </r>
    <r>
      <rPr>
        <sz val="9"/>
        <color rgb="FF555555"/>
        <rFont val="Noto Sans CJK SC"/>
        <family val="2"/>
      </rPr>
      <t xml:space="preserve">上下文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跨度上限</t>
    </r>
    <r>
      <rPr>
        <sz val="9"/>
        <color rgb="FF555555"/>
        <rFont val="Arial"/>
        <family val="0"/>
        <charset val="1"/>
      </rPr>
      <t xml:space="preserve">)</t>
    </r>
    <r>
      <rPr>
        <sz val="9"/>
        <color rgb="FF555555"/>
        <rFont val="Noto Sans CJK SC"/>
        <family val="2"/>
      </rPr>
      <t xml:space="preserve">；其他層看 上下文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壓縮比 ＋ 滑動窗</t>
    </r>
  </si>
  <si>
    <t xml:space="preserve">dfl</t>
  </si>
  <si>
    <t xml:space="preserve">decode FLOPs/token</t>
  </si>
  <si>
    <t xml:space="preserve">GFLOP</t>
  </si>
  <si>
    <r>
      <rPr>
        <sz val="9"/>
        <color rgb="FF555555"/>
        <rFont val="Arial"/>
        <family val="0"/>
        <charset val="1"/>
      </rPr>
      <t xml:space="preserve">2 × </t>
    </r>
    <r>
      <rPr>
        <sz val="9"/>
        <color rgb="FF555555"/>
        <rFont val="Noto Sans CJK SC"/>
        <family val="2"/>
      </rPr>
      <t xml:space="preserve">啟用參數（矩陣乘）＋ 注意力 </t>
    </r>
    <r>
      <rPr>
        <sz val="9"/>
        <color rgb="FF555555"/>
        <rFont val="Arial"/>
        <family val="0"/>
        <charset val="1"/>
      </rPr>
      <t xml:space="preserve">FLOPs × </t>
    </r>
    <r>
      <rPr>
        <sz val="9"/>
        <color rgb="FF555555"/>
        <rFont val="Noto Sans CJK SC"/>
        <family val="2"/>
      </rPr>
      <t xml:space="preserve">被注意 </t>
    </r>
    <r>
      <rPr>
        <sz val="9"/>
        <color rgb="FF555555"/>
        <rFont val="Arial"/>
        <family val="0"/>
        <charset val="1"/>
      </rPr>
      <t xml:space="preserve">token</t>
    </r>
  </si>
  <si>
    <t xml:space="preserve">pat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</si>
  <si>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</si>
  <si>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55555"/>
        <rFont val="Noto Sans CJK SC"/>
        <family val="2"/>
      </rPr>
      <t xml:space="preserve">同上，以 </t>
    </r>
    <r>
      <rPr>
        <sz val="9"/>
        <color rgb="FF555555"/>
        <rFont val="Arial"/>
        <family val="0"/>
        <charset val="1"/>
      </rPr>
      <t xml:space="preserve">prefill </t>
    </r>
    <r>
      <rPr>
        <sz val="9"/>
        <color rgb="FF555555"/>
        <rFont val="Noto Sans CJK SC"/>
        <family val="2"/>
      </rPr>
      <t xml:space="preserve">平均位置計</t>
    </r>
  </si>
  <si>
    <t xml:space="preserve">pfl</t>
  </si>
  <si>
    <t xml:space="preserve">prefill FLOPs/token</t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</si>
  <si>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</si>
  <si>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t xml:space="preserve">hbmu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</si>
  <si>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</si>
  <si>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55555"/>
        <rFont val="Arial"/>
        <family val="0"/>
        <charset val="1"/>
      </rPr>
      <t xml:space="preserve">HBM </t>
    </r>
    <r>
      <rPr>
        <sz val="9"/>
        <color rgb="FF555555"/>
        <rFont val="Noto Sans CJK SC"/>
        <family val="2"/>
      </rPr>
      <t xml:space="preserve">容量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保留比例）</t>
    </r>
  </si>
  <si>
    <t xml:space="preserve">tp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</si>
  <si>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</si>
  <si>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t xml:space="preserve">非專家權重放得下所需的最小切分數</t>
  </si>
  <si>
    <t xml:space="preserve">epx</t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</si>
  <si>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</si>
  <si>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r>
      <rPr>
        <sz val="9"/>
        <color rgb="FF555555"/>
        <rFont val="Noto Sans CJK SC"/>
        <family val="2"/>
      </rPr>
      <t xml:space="preserve">專家權重放得下所需的最小 </t>
    </r>
    <r>
      <rPr>
        <sz val="9"/>
        <color rgb="FF555555"/>
        <rFont val="Arial"/>
        <family val="0"/>
        <charset val="1"/>
      </rPr>
      <t xml:space="preserve">EP </t>
    </r>
    <r>
      <rPr>
        <sz val="9"/>
        <color rgb="FF555555"/>
        <rFont val="Noto Sans CJK SC"/>
        <family val="2"/>
      </rPr>
      <t xml:space="preserve">寬度，不低於基準寬度</t>
    </r>
  </si>
  <si>
    <t xml:space="preserve">wpg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</si>
  <si>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</si>
  <si>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t xml:space="preserve">F. Prefill</t>
  </si>
  <si>
    <t xml:space="preserve">ptok</t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</si>
  <si>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</si>
  <si>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55555"/>
        <rFont val="Arial"/>
        <family val="0"/>
        <charset val="1"/>
      </rPr>
      <t xml:space="preserve">η_p × </t>
    </r>
    <r>
      <rPr>
        <sz val="9"/>
        <color rgb="FF555555"/>
        <rFont val="Noto Sans CJK SC"/>
        <family val="2"/>
      </rPr>
      <t xml:space="preserve">峰值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 </t>
    </r>
    <r>
      <rPr>
        <sz val="9"/>
        <color rgb="FF555555"/>
        <rFont val="Arial"/>
        <family val="0"/>
        <charset val="1"/>
      </rPr>
      <t xml:space="preserve">token FLOPs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prefill </t>
    </r>
    <r>
      <rPr>
        <sz val="9"/>
        <color rgb="FF555555"/>
        <rFont val="Noto Sans CJK SC"/>
        <family val="2"/>
      </rPr>
      <t xml:space="preserve">為算力受限）</t>
    </r>
  </si>
  <si>
    <t xml:space="preserve">ttftv</t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</si>
  <si>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（只計新鮮輸入）</t>
    </r>
  </si>
  <si>
    <r>
      <rPr>
        <sz val="9"/>
        <color rgb="FF555555"/>
        <rFont val="Arial"/>
        <family val="0"/>
        <charset val="1"/>
      </rPr>
      <t xml:space="preserve">ISL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χ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FLOPs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η_p × </t>
    </r>
    <r>
      <rPr>
        <sz val="9"/>
        <color rgb="FF555555"/>
        <rFont val="Noto Sans CJK SC"/>
        <family val="2"/>
      </rPr>
      <t xml:space="preserve">峰值 </t>
    </r>
    <r>
      <rPr>
        <sz val="9"/>
        <color rgb="FF555555"/>
        <rFont val="Arial"/>
        <family val="0"/>
        <charset val="1"/>
      </rPr>
      <t xml:space="preserve">× prefill </t>
    </r>
    <r>
      <rPr>
        <sz val="9"/>
        <color rgb="FF555555"/>
        <rFont val="Noto Sans CJK SC"/>
        <family val="2"/>
      </rPr>
      <t xml:space="preserve">實例 </t>
    </r>
    <r>
      <rPr>
        <sz val="9"/>
        <color rgb="FF555555"/>
        <rFont val="Arial"/>
        <family val="0"/>
        <charset val="1"/>
      </rPr>
      <t xml:space="preserve">GPU </t>
    </r>
    <r>
      <rPr>
        <sz val="9"/>
        <color rgb="FF555555"/>
        <rFont val="Noto Sans CJK SC"/>
        <family val="2"/>
      </rPr>
      <t xml:space="preserve">數）</t>
    </r>
  </si>
  <si>
    <t xml:space="preserve">ttok</t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</si>
  <si>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</si>
  <si>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 ＋ </t>
    </r>
    <r>
      <rPr>
        <b val="true"/>
        <sz val="10"/>
        <rFont val="Arial"/>
        <family val="0"/>
        <charset val="1"/>
      </rPr>
      <t xml:space="preserve">B ×</t>
    </r>
    <r>
      <rPr>
        <b val="true"/>
        <sz val="10"/>
        <rFont val="Noto Sans CJK SC"/>
        <family val="2"/>
      </rPr>
      <t xml:space="preserve">每序列時間；在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下解出批次 </t>
    </r>
    <r>
      <rPr>
        <b val="true"/>
        <sz val="10"/>
        <rFont val="Arial"/>
        <family val="0"/>
        <charset val="1"/>
      </rPr>
      <t xml:space="preserve">B*</t>
    </r>
  </si>
  <si>
    <t xml:space="preserve">fix</t>
  </si>
  <si>
    <t xml:space="preserve">每步固定延遲（權重讀取＋逐層延遲）</t>
  </si>
  <si>
    <t xml:space="preserve">ms</t>
  </si>
  <si>
    <r>
      <rPr>
        <sz val="9"/>
        <color rgb="FF555555"/>
        <rFont val="Noto Sans CJK SC"/>
        <family val="2"/>
      </rPr>
      <t xml:space="preserve">每 </t>
    </r>
    <r>
      <rPr>
        <sz val="9"/>
        <color rgb="FF555555"/>
        <rFont val="Arial"/>
        <family val="0"/>
        <charset val="1"/>
      </rPr>
      <t xml:space="preserve">GPU </t>
    </r>
    <r>
      <rPr>
        <sz val="9"/>
        <color rgb="FF555555"/>
        <rFont val="Noto Sans CJK SC"/>
        <family val="2"/>
      </rPr>
      <t xml:space="preserve">權重 </t>
    </r>
    <r>
      <rPr>
        <sz val="9"/>
        <color rgb="FF555555"/>
        <rFont val="Arial"/>
        <family val="0"/>
        <charset val="1"/>
      </rPr>
      <t xml:space="preserve">÷ HBM </t>
    </r>
    <r>
      <rPr>
        <sz val="9"/>
        <color rgb="FF555555"/>
        <rFont val="Noto Sans CJK SC"/>
        <family val="2"/>
      </rPr>
      <t xml:space="preserve">頻寬 ＋（層數 ＋ 草稿數）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每層延遲</t>
    </r>
  </si>
  <si>
    <t xml:space="preserve">sc</t>
  </si>
  <si>
    <t xml:space="preserve">每序列每步：算力項</t>
  </si>
  <si>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N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decode FLOPs ÷</t>
    </r>
    <r>
      <rPr>
        <sz val="9"/>
        <color rgb="FF555555"/>
        <rFont val="Noto Sans CJK SC"/>
        <family val="2"/>
      </rPr>
      <t xml:space="preserve">（峰值 </t>
    </r>
    <r>
      <rPr>
        <sz val="9"/>
        <color rgb="FF555555"/>
        <rFont val="Arial"/>
        <family val="0"/>
        <charset val="1"/>
      </rPr>
      <t xml:space="preserve">× η_d</t>
    </r>
    <r>
      <rPr>
        <sz val="9"/>
        <color rgb="FF555555"/>
        <rFont val="Noto Sans CJK SC"/>
        <family val="2"/>
      </rPr>
      <t xml:space="preserve">）——</t>
    </r>
    <r>
      <rPr>
        <sz val="9"/>
        <color rgb="FF555555"/>
        <rFont val="Arial"/>
        <family val="0"/>
        <charset val="1"/>
      </rPr>
      <t xml:space="preserve">η_d </t>
    </r>
    <r>
      <rPr>
        <sz val="9"/>
        <color rgb="FF555555"/>
        <rFont val="Noto Sans CJK SC"/>
        <family val="2"/>
      </rPr>
      <t xml:space="preserve">在這裡起作用</t>
    </r>
  </si>
  <si>
    <t xml:space="preserve">skv</t>
  </si>
  <si>
    <r>
      <rPr>
        <sz val="10"/>
        <color rgb="FF000000"/>
        <rFont val="Noto Sans CJK SC"/>
        <family val="2"/>
      </rPr>
      <t xml:space="preserve">每序列每步：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</si>
  <si>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9"/>
        <color rgb="FF555555"/>
        <rFont val="Arial"/>
        <family val="0"/>
        <charset val="1"/>
      </rPr>
      <t xml:space="preserve">KV bytes × </t>
    </r>
    <r>
      <rPr>
        <sz val="9"/>
        <color rgb="FF555555"/>
        <rFont val="Noto Sans CJK SC"/>
        <family val="2"/>
      </rPr>
      <t xml:space="preserve">上下文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（頻寬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效率）</t>
    </r>
  </si>
  <si>
    <t xml:space="preserve">sep</t>
  </si>
  <si>
    <r>
      <rPr>
        <sz val="10"/>
        <color rgb="FF000000"/>
        <rFont val="Noto Sans CJK SC"/>
        <family val="2"/>
      </rPr>
      <t xml:space="preserve">每序列每步：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</si>
  <si>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sq</t>
  </si>
  <si>
    <t xml:space="preserve">每序列每步（三者取最大，假設可重疊）</t>
  </si>
  <si>
    <t xml:space="preserve">bslo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</si>
  <si>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</si>
  <si>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</si>
  <si>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sz val="9"/>
        <color rgb="FF555555"/>
        <rFont val="Noto Sans CJK SC"/>
        <family val="2"/>
      </rPr>
      <t xml:space="preserve">每用戶速度 ≥ </t>
    </r>
    <r>
      <rPr>
        <sz val="9"/>
        <color rgb="FF555555"/>
        <rFont val="Arial"/>
        <family val="0"/>
        <charset val="1"/>
      </rPr>
      <t xml:space="preserve">SLO</t>
    </r>
    <r>
      <rPr>
        <sz val="9"/>
        <color rgb="FF555555"/>
        <rFont val="Noto Sans CJK SC"/>
        <family val="2"/>
      </rPr>
      <t xml:space="preserve">：</t>
    </r>
    <r>
      <rPr>
        <sz val="9"/>
        <color rgb="FF555555"/>
        <rFont val="Arial"/>
        <family val="0"/>
        <charset val="1"/>
      </rPr>
      <t xml:space="preserve">a ÷</t>
    </r>
    <r>
      <rPr>
        <sz val="9"/>
        <color rgb="FF555555"/>
        <rFont val="Noto Sans CJK SC"/>
        <family val="2"/>
      </rPr>
      <t xml:space="preserve">（固定＋</t>
    </r>
    <r>
      <rPr>
        <sz val="9"/>
        <color rgb="FF555555"/>
        <rFont val="Arial"/>
        <family val="0"/>
        <charset val="1"/>
      </rPr>
      <t xml:space="preserve">B×</t>
    </r>
    <r>
      <rPr>
        <sz val="9"/>
        <color rgb="FF555555"/>
        <rFont val="Noto Sans CJK SC"/>
        <family val="2"/>
      </rPr>
      <t xml:space="preserve">每序列）≥ </t>
    </r>
    <r>
      <rPr>
        <sz val="9"/>
        <color rgb="FF555555"/>
        <rFont val="Arial"/>
        <family val="0"/>
        <charset val="1"/>
      </rPr>
      <t xml:space="preserve">SLO → B ≤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1000a/SLO − </t>
    </r>
    <r>
      <rPr>
        <sz val="9"/>
        <color rgb="FF555555"/>
        <rFont val="Noto Sans CJK SC"/>
        <family val="2"/>
      </rPr>
      <t xml:space="preserve">固定）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每序列</t>
    </r>
  </si>
  <si>
    <t xml:space="preserve">bhbm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</si>
  <si>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</si>
  <si>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9"/>
        <color rgb="FF555555"/>
        <rFont val="Noto Sans CJK SC"/>
        <family val="2"/>
      </rPr>
      <t xml:space="preserve">（可用 </t>
    </r>
    <r>
      <rPr>
        <sz val="9"/>
        <color rgb="FF555555"/>
        <rFont val="Arial"/>
        <family val="0"/>
        <charset val="1"/>
      </rPr>
      <t xml:space="preserve">HBM − </t>
    </r>
    <r>
      <rPr>
        <sz val="9"/>
        <color rgb="FF555555"/>
        <rFont val="Noto Sans CJK SC"/>
        <family val="2"/>
      </rPr>
      <t xml:space="preserve">權重）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每序列 </t>
    </r>
    <r>
      <rPr>
        <sz val="9"/>
        <color rgb="FF555555"/>
        <rFont val="Arial"/>
        <family val="0"/>
        <charset val="1"/>
      </rPr>
      <t xml:space="preserve">KV</t>
    </r>
  </si>
  <si>
    <t xml:space="preserve">bst</t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</si>
  <si>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</si>
  <si>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t xml:space="preserve">dtok</t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</si>
  <si>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</si>
  <si>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55555"/>
        <rFont val="Arial"/>
        <family val="0"/>
        <charset val="1"/>
      </rPr>
      <t xml:space="preserve">B* × a ÷ </t>
    </r>
    <r>
      <rPr>
        <sz val="9"/>
        <color rgb="FF555555"/>
        <rFont val="Noto Sans CJK SC"/>
        <family val="2"/>
      </rPr>
      <t xml:space="preserve">每步時間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</si>
  <si>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</si>
  <si>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t xml:space="preserve">gps</t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</si>
  <si>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</si>
  <si>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</si>
  <si>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9"/>
        <color rgb="FF555555"/>
        <rFont val="Noto Sans CJK SC"/>
        <family val="2"/>
      </rPr>
      <t xml:space="preserve">新鮮輸入 </t>
    </r>
    <r>
      <rPr>
        <sz val="9"/>
        <color rgb="FF555555"/>
        <rFont val="Arial"/>
        <family val="0"/>
        <charset val="1"/>
      </rPr>
      <t xml:space="preserve">÷ prefill </t>
    </r>
    <r>
      <rPr>
        <sz val="9"/>
        <color rgb="FF555555"/>
        <rFont val="Noto Sans CJK SC"/>
        <family val="2"/>
      </rPr>
      <t xml:space="preserve">速度 ＋ 輸出 </t>
    </r>
    <r>
      <rPr>
        <sz val="9"/>
        <color rgb="FF555555"/>
        <rFont val="Arial"/>
        <family val="0"/>
        <charset val="1"/>
      </rPr>
      <t xml:space="preserve">÷ decode </t>
    </r>
    <r>
      <rPr>
        <sz val="9"/>
        <color rgb="FF555555"/>
        <rFont val="Noto Sans CJK SC"/>
        <family val="2"/>
      </rPr>
      <t xml:space="preserve">速度（快取命中的輸入不計 </t>
    </r>
    <r>
      <rPr>
        <sz val="9"/>
        <color rgb="FF555555"/>
        <rFont val="Arial"/>
        <family val="0"/>
        <charset val="1"/>
      </rPr>
      <t xml:space="preserve">prefill</t>
    </r>
    <r>
      <rPr>
        <sz val="9"/>
        <color rgb="FF555555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</si>
  <si>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</si>
  <si>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9"/>
        <color rgb="FF555555"/>
        <rFont val="Arial"/>
        <family val="0"/>
        <charset val="1"/>
      </rPr>
      <t xml:space="preserve">GPU </t>
    </r>
    <r>
      <rPr>
        <sz val="9"/>
        <color rgb="FF555555"/>
        <rFont val="Noto Sans CJK SC"/>
        <family val="2"/>
      </rPr>
      <t xml:space="preserve">數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ISL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OSL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每請求 </t>
    </r>
    <r>
      <rPr>
        <sz val="9"/>
        <color rgb="FF555555"/>
        <rFont val="Arial"/>
        <family val="0"/>
        <charset val="1"/>
      </rPr>
      <t xml:space="preserve">GPU </t>
    </r>
    <r>
      <rPr>
        <sz val="9"/>
        <color rgb="FF555555"/>
        <rFont val="Noto Sans CJK SC"/>
        <family val="2"/>
      </rPr>
      <t xml:space="preserve">秒</t>
    </r>
  </si>
  <si>
    <t xml:space="preserve">tokgw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</si>
  <si>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年總產出（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</si>
  <si>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9"/>
        <color rgb="FF555555"/>
        <rFont val="Noto Sans CJK SC"/>
        <family val="2"/>
      </rPr>
      <t xml:space="preserve">每架 </t>
    </r>
    <r>
      <rPr>
        <sz val="9"/>
        <color rgb="FF555555"/>
        <rFont val="Arial"/>
        <family val="0"/>
        <charset val="1"/>
      </rPr>
      <t xml:space="preserve">tok/s × </t>
    </r>
    <r>
      <rPr>
        <sz val="9"/>
        <color rgb="FF555555"/>
        <rFont val="Noto Sans CJK SC"/>
        <family val="2"/>
      </rPr>
      <t xml:space="preserve">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機架數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一年秒數 </t>
    </r>
    <r>
      <rPr>
        <sz val="9"/>
        <color rgb="FF555555"/>
        <rFont val="Arial"/>
        <family val="0"/>
        <charset val="1"/>
      </rPr>
      <t xml:space="preserve">÷ 10^6</t>
    </r>
    <r>
      <rPr>
        <sz val="9"/>
        <color rgb="FF555555"/>
        <rFont val="Noto Sans CJK SC"/>
        <family val="2"/>
      </rPr>
      <t xml:space="preserve">　→ 即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IF_TokGW_*</t>
    </r>
  </si>
  <si>
    <r>
      <rPr>
        <sz val="9"/>
        <color rgb="FF555555"/>
        <rFont val="Noto Sans CJK SC"/>
        <family val="2"/>
      </rPr>
      <t xml:space="preserve">對照：</t>
    </r>
    <r>
      <rPr>
        <sz val="9"/>
        <color rgb="FF555555"/>
        <rFont val="Arial"/>
        <family val="0"/>
        <charset val="1"/>
      </rPr>
      <t xml:space="preserve">Tokenomics v15.3 </t>
    </r>
    <r>
      <rPr>
        <sz val="9"/>
        <color rgb="FF555555"/>
        <rFont val="Noto Sans CJK SC"/>
        <family val="2"/>
      </rPr>
      <t xml:space="preserve">原值（</t>
    </r>
    <r>
      <rPr>
        <sz val="9"/>
        <color rgb="FF555555"/>
        <rFont val="Arial"/>
        <family val="0"/>
        <charset val="1"/>
      </rPr>
      <t xml:space="preserve">Perf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98 </t>
    </r>
    <r>
      <rPr>
        <sz val="9"/>
        <color rgb="FF555555"/>
        <rFont val="Noto Sans CJK SC"/>
        <family val="2"/>
      </rPr>
      <t xml:space="preserve">列）</t>
    </r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</si>
  <si>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的單變數敏感度（</t>
    </r>
    <r>
      <rPr>
        <b val="true"/>
        <sz val="13"/>
        <rFont val="Arial"/>
        <family val="0"/>
        <charset val="1"/>
      </rPr>
      <t xml:space="preserve">v15.3</t>
    </r>
    <r>
      <rPr>
        <b val="true"/>
        <sz val="13"/>
        <rFont val="Noto Sans CJK SC"/>
        <family val="2"/>
      </rPr>
      <t xml:space="preserve">；每個輸入改到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低端與高端，各以 </t>
    </r>
    <r>
      <rPr>
        <b val="true"/>
        <sz val="13"/>
        <rFont val="Arial"/>
        <family val="0"/>
        <charset val="1"/>
      </rPr>
      <t xml:space="preserve">LibreOffice </t>
    </r>
    <r>
      <rPr>
        <b val="true"/>
        <sz val="13"/>
        <rFont val="Noto Sans CJK SC"/>
        <family val="2"/>
      </rPr>
      <t xml:space="preserve">重算整本 </t>
    </r>
    <r>
      <rPr>
        <b val="true"/>
        <sz val="13"/>
        <rFont val="Arial"/>
        <family val="0"/>
        <charset val="1"/>
      </rPr>
      <t xml:space="preserve">Tokenomics </t>
    </r>
    <r>
      <rPr>
        <b val="true"/>
        <sz val="13"/>
        <rFont val="Noto Sans CJK SC"/>
        <family val="2"/>
      </rPr>
      <t xml:space="preserve">一次）</t>
    </r>
  </si>
  <si>
    <r>
      <rPr>
        <sz val="9"/>
        <color rgb="FF555555"/>
        <rFont val="Noto Sans CJK SC"/>
        <family val="2"/>
      </rPr>
      <t xml:space="preserve">藍字＝重算結果（數值）；承重度＝弧彈性 </t>
    </r>
    <r>
      <rPr>
        <sz val="9"/>
        <color rgb="FF555555"/>
        <rFont val="Arial"/>
        <family val="0"/>
        <charset val="1"/>
      </rPr>
      <t xml:space="preserve">ln(m</t>
    </r>
    <r>
      <rPr>
        <sz val="9"/>
        <color rgb="FF555555"/>
        <rFont val="Noto Sans CJK SC"/>
        <family val="2"/>
      </rPr>
      <t xml:space="preserve">高</t>
    </r>
    <r>
      <rPr>
        <sz val="9"/>
        <color rgb="FF555555"/>
        <rFont val="Arial"/>
        <family val="0"/>
        <charset val="1"/>
      </rPr>
      <t xml:space="preserve">/m</t>
    </r>
    <r>
      <rPr>
        <sz val="9"/>
        <color rgb="FF555555"/>
        <rFont val="Noto Sans CJK SC"/>
        <family val="2"/>
      </rPr>
      <t xml:space="preserve">低</t>
    </r>
    <r>
      <rPr>
        <sz val="9"/>
        <color rgb="FF555555"/>
        <rFont val="Arial"/>
        <family val="0"/>
        <charset val="1"/>
      </rPr>
      <t xml:space="preserve">) ÷ ln(</t>
    </r>
    <r>
      <rPr>
        <sz val="9"/>
        <color rgb="FF555555"/>
        <rFont val="Noto Sans CJK SC"/>
        <family val="2"/>
      </rPr>
      <t xml:space="preserve">輸入高</t>
    </r>
    <r>
      <rPr>
        <sz val="9"/>
        <color rgb="FF555555"/>
        <rFont val="Arial"/>
        <family val="0"/>
        <charset val="1"/>
      </rPr>
      <t xml:space="preserve">/</t>
    </r>
    <r>
      <rPr>
        <sz val="9"/>
        <color rgb="FF555555"/>
        <rFont val="Noto Sans CJK SC"/>
        <family val="2"/>
      </rPr>
      <t xml:space="preserve">輸入低</t>
    </r>
    <r>
      <rPr>
        <sz val="9"/>
        <color rgb="FF555555"/>
        <rFont val="Arial"/>
        <family val="0"/>
        <charset val="1"/>
      </rPr>
      <t xml:space="preserve">)</t>
    </r>
    <r>
      <rPr>
        <sz val="9"/>
        <color rgb="FF555555"/>
        <rFont val="Noto Sans CJK SC"/>
        <family val="2"/>
      </rPr>
      <t xml:space="preserve">；擺動＝</t>
    </r>
    <r>
      <rPr>
        <sz val="9"/>
        <color rgb="FF555555"/>
        <rFont val="Arial"/>
        <family val="0"/>
        <charset val="1"/>
      </rPr>
      <t xml:space="preserve">|m</t>
    </r>
    <r>
      <rPr>
        <sz val="9"/>
        <color rgb="FF555555"/>
        <rFont val="Noto Sans CJK SC"/>
        <family val="2"/>
      </rPr>
      <t xml:space="preserve">高 −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低</t>
    </r>
    <r>
      <rPr>
        <sz val="9"/>
        <color rgb="FF555555"/>
        <rFont val="Arial"/>
        <family val="0"/>
        <charset val="1"/>
      </rPr>
      <t xml:space="preserve">| ÷ m </t>
    </r>
    <r>
      <rPr>
        <sz val="9"/>
        <color rgb="FF555555"/>
        <rFont val="Noto Sans CJK SC"/>
        <family val="2"/>
      </rPr>
      <t xml:space="preserve">基準。只測單一變數，未測交互作用。</t>
    </r>
  </si>
  <si>
    <t xml:space="preserve">#</t>
  </si>
  <si>
    <t xml:space="preserve">活頁簿位置</t>
  </si>
  <si>
    <t xml:space="preserve">低值</t>
  </si>
  <si>
    <t xml:space="preserve">高值</t>
  </si>
  <si>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（低值）</t>
    </r>
  </si>
  <si>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（高值）</t>
    </r>
  </si>
  <si>
    <t xml:space="preserve">排名</t>
  </si>
  <si>
    <t xml:space="preserve">說明</t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</si>
  <si>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基準（</t>
    </r>
    <r>
      <rPr>
        <b val="true"/>
        <sz val="10"/>
        <rFont val="Arial"/>
        <family val="0"/>
        <charset val="1"/>
      </rPr>
      <t xml:space="preserve">v15.3 </t>
    </r>
    <r>
      <rPr>
        <b val="true"/>
        <sz val="10"/>
        <rFont val="Noto Sans CJK SC"/>
        <family val="2"/>
      </rPr>
      <t xml:space="preserve">重算重現）</t>
    </r>
  </si>
  <si>
    <r>
      <rPr>
        <sz val="11"/>
        <color theme="1"/>
        <rFont val="Arial"/>
        <family val="0"/>
        <charset val="1"/>
      </rPr>
      <t xml:space="preserve">Astra 2025 </t>
    </r>
    <r>
      <rPr>
        <sz val="11"/>
        <color theme="1"/>
        <rFont val="Noto Sans CJK SC"/>
        <family val="2"/>
      </rPr>
      <t xml:space="preserve">單價</t>
    </r>
  </si>
  <si>
    <r>
      <rPr>
        <sz val="9"/>
        <color rgb="FF555555"/>
        <rFont val="Noto Sans CJK SC"/>
        <family val="2"/>
      </rPr>
      <t xml:space="preserve">用量加權（</t>
    </r>
    <r>
      <rPr>
        <sz val="9"/>
        <color rgb="FF555555"/>
        <rFont val="Arial"/>
        <family val="0"/>
        <charset val="1"/>
      </rPr>
      <t xml:space="preserve">B2</t>
    </r>
    <r>
      <rPr>
        <sz val="9"/>
        <color rgb="FF555555"/>
        <rFont val="Noto Sans CJK SC"/>
        <family val="2"/>
      </rPr>
      <t xml:space="preserve">）；推理占比曲線為 </t>
    </r>
    <r>
      <rPr>
        <sz val="9"/>
        <color rgb="FF555555"/>
        <rFont val="Arial"/>
        <family val="0"/>
        <charset val="1"/>
      </rPr>
      <t xml:space="preserve">Assumed</t>
    </r>
  </si>
  <si>
    <r>
      <rPr>
        <sz val="11"/>
        <color theme="1"/>
        <rFont val="Arial"/>
        <family val="0"/>
        <charset val="1"/>
      </rPr>
      <t xml:space="preserve">GB200 η_d </t>
    </r>
    <r>
      <rPr>
        <sz val="11"/>
        <color theme="1"/>
        <rFont val="Noto Sans CJK SC"/>
        <family val="2"/>
      </rPr>
      <t xml:space="preserve">倍數</t>
    </r>
  </si>
  <si>
    <r>
      <rPr>
        <sz val="9"/>
        <color rgb="FF555555"/>
        <rFont val="Arial"/>
        <family val="0"/>
        <charset val="1"/>
      </rPr>
      <t xml:space="preserve">MLPerf v6.0 </t>
    </r>
    <r>
      <rPr>
        <sz val="9"/>
        <color rgb="FF555555"/>
        <rFont val="Noto Sans CJK SC"/>
        <family val="2"/>
      </rPr>
      <t xml:space="preserve">同軟體配對（</t>
    </r>
    <r>
      <rPr>
        <sz val="9"/>
        <color rgb="FF555555"/>
        <rFont val="Arial"/>
        <family val="0"/>
        <charset val="1"/>
      </rPr>
      <t xml:space="preserve">B3</t>
    </r>
    <r>
      <rPr>
        <sz val="9"/>
        <color rgb="FF555555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</si>
  <si>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請求形狀 </t>
    </r>
    <r>
      <rPr>
        <sz val="11"/>
        <color theme="1"/>
        <rFont val="Arial"/>
        <family val="0"/>
        <charset val="1"/>
      </rPr>
      <t xml:space="preserve">κ</t>
    </r>
  </si>
  <si>
    <r>
      <rPr>
        <sz val="9"/>
        <color rgb="FF555555"/>
        <rFont val="Noto Sans CJK SC"/>
        <family val="2"/>
      </rPr>
      <t xml:space="preserve">證據範圍 </t>
    </r>
    <r>
      <rPr>
        <sz val="9"/>
        <color rgb="FF555555"/>
        <rFont val="Arial"/>
        <family val="0"/>
        <charset val="1"/>
      </rPr>
      <t xml:space="preserve">0.67–1.05</t>
    </r>
  </si>
  <si>
    <t xml:space="preserve">實際利用率</t>
  </si>
  <si>
    <t xml:space="preserve">無實測</t>
  </si>
  <si>
    <t xml:space="preserve">計價倍數</t>
  </si>
  <si>
    <r>
      <rPr>
        <sz val="9"/>
        <color rgb="FF555555"/>
        <rFont val="Arial"/>
        <family val="0"/>
        <charset val="1"/>
      </rPr>
      <t xml:space="preserve">Microsoft </t>
    </r>
    <r>
      <rPr>
        <sz val="9"/>
        <color rgb="FF555555"/>
        <rFont val="Noto Sans CJK SC"/>
        <family val="2"/>
      </rPr>
      <t xml:space="preserve">對 </t>
    </r>
    <r>
      <rPr>
        <sz val="9"/>
        <color rgb="FF555555"/>
        <rFont val="Arial"/>
        <family val="0"/>
        <charset val="1"/>
      </rPr>
      <t xml:space="preserve">OpenAI </t>
    </r>
    <r>
      <rPr>
        <sz val="9"/>
        <color rgb="FF555555"/>
        <rFont val="Noto Sans CJK SC"/>
        <family val="2"/>
      </rPr>
      <t xml:space="preserve">計價未找到</t>
    </r>
  </si>
  <si>
    <r>
      <rPr>
        <sz val="11"/>
        <color theme="1"/>
        <rFont val="Arial"/>
        <family val="0"/>
        <charset val="1"/>
      </rPr>
      <t xml:space="preserve">Astra </t>
    </r>
    <r>
      <rPr>
        <sz val="11"/>
        <color theme="1"/>
        <rFont val="Noto Sans CJK SC"/>
        <family val="2"/>
      </rPr>
      <t xml:space="preserve">啟用參數</t>
    </r>
  </si>
  <si>
    <t xml:space="preserve">Arch!E7</t>
  </si>
  <si>
    <t xml:space="preserve">頂層模型參數未揭露</t>
  </si>
  <si>
    <t xml:space="preserve">有效折扣</t>
  </si>
  <si>
    <r>
      <rPr>
        <sz val="9"/>
        <color rgb="FF555555"/>
        <rFont val="Arial"/>
        <family val="0"/>
        <charset val="1"/>
      </rPr>
      <t xml:space="preserve">Batch </t>
    </r>
    <r>
      <rPr>
        <sz val="9"/>
        <color rgb="FF555555"/>
        <rFont val="Noto Sans CJK SC"/>
        <family val="2"/>
      </rPr>
      <t xml:space="preserve">半價為牌價；占比與企業折扣找不到</t>
    </r>
  </si>
  <si>
    <r>
      <rPr>
        <sz val="11"/>
        <color theme="1"/>
        <rFont val="Arial"/>
        <family val="0"/>
        <charset val="1"/>
      </rPr>
      <t xml:space="preserve">Sol </t>
    </r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Arial"/>
        <family val="0"/>
        <charset val="1"/>
      </rPr>
      <t xml:space="preserve">ISL</t>
    </r>
  </si>
  <si>
    <t xml:space="preserve">Serving!D23</t>
  </si>
  <si>
    <r>
      <rPr>
        <sz val="9"/>
        <color rgb="FF555555"/>
        <rFont val="Arial"/>
        <family val="0"/>
        <charset val="1"/>
      </rPr>
      <t xml:space="preserve">Sol </t>
    </r>
    <r>
      <rPr>
        <sz val="9"/>
        <color rgb="FF555555"/>
        <rFont val="Noto Sans CJK SC"/>
        <family val="2"/>
      </rPr>
      <t xml:space="preserve">參考請求輸入長度；與 </t>
    </r>
    <r>
      <rPr>
        <sz val="9"/>
        <color rgb="FF555555"/>
        <rFont val="Arial"/>
        <family val="0"/>
        <charset val="1"/>
      </rPr>
      <t xml:space="preserve">κ </t>
    </r>
    <r>
      <rPr>
        <sz val="9"/>
        <color rgb="FF555555"/>
        <rFont val="Noto Sans CJK SC"/>
        <family val="2"/>
      </rPr>
      <t xml:space="preserve">同屬流量形狀（</t>
    </r>
    <r>
      <rPr>
        <sz val="9"/>
        <color rgb="FF555555"/>
        <rFont val="Arial"/>
        <family val="0"/>
        <charset val="1"/>
      </rPr>
      <t xml:space="preserve">7 </t>
    </r>
    <r>
      <rPr>
        <sz val="9"/>
        <color rgb="FF555555"/>
        <rFont val="Noto Sans CJK SC"/>
        <family val="2"/>
      </rPr>
      <t xml:space="preserve">頁第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項）</t>
    </r>
  </si>
  <si>
    <t xml:space="preserve">生產折減</t>
  </si>
  <si>
    <t xml:space="preserve">情境值，非估計值</t>
  </si>
  <si>
    <r>
      <rPr>
        <sz val="11"/>
        <color theme="1"/>
        <rFont val="Arial"/>
        <family val="0"/>
        <charset val="1"/>
      </rPr>
      <t xml:space="preserve">Sol </t>
    </r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Arial"/>
        <family val="0"/>
        <charset val="1"/>
      </rPr>
      <t xml:space="preserve">OSL</t>
    </r>
  </si>
  <si>
    <t xml:space="preserve">Serving!D24</t>
  </si>
  <si>
    <t xml:space="preserve">同上（輸出長度）</t>
  </si>
  <si>
    <r>
      <rPr>
        <sz val="11"/>
        <color theme="1"/>
        <rFont val="Noto Sans CJK SC"/>
        <family val="2"/>
      </rPr>
      <t xml:space="preserve">服務世代組合 </t>
    </r>
    <r>
      <rPr>
        <sz val="11"/>
        <color theme="1"/>
        <rFont val="Arial"/>
        <family val="0"/>
        <charset val="1"/>
      </rPr>
      <t xml:space="preserve">Hopper</t>
    </r>
  </si>
  <si>
    <r>
      <rPr>
        <sz val="11"/>
        <color theme="1"/>
        <rFont val="Arial"/>
        <family val="0"/>
        <charset val="1"/>
      </rPr>
      <t xml:space="preserve">Alloc_In!C9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Alloc_In!C10</t>
    </r>
  </si>
  <si>
    <r>
      <rPr>
        <sz val="11"/>
        <color theme="1"/>
        <rFont val="Arial"/>
        <family val="0"/>
        <charset val="1"/>
      </rPr>
      <t xml:space="preserve">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0.5</t>
    </r>
  </si>
  <si>
    <r>
      <rPr>
        <sz val="11"/>
        <color theme="1"/>
        <rFont val="Arial"/>
        <family val="0"/>
        <charset val="1"/>
      </rPr>
      <t xml:space="preserve">0.7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0.3</t>
    </r>
  </si>
  <si>
    <r>
      <rPr>
        <sz val="9"/>
        <color rgb="FF555555"/>
        <rFont val="Noto Sans CJK SC"/>
        <family val="2"/>
      </rPr>
      <t xml:space="preserve">無區間；</t>
    </r>
    <r>
      <rPr>
        <sz val="9"/>
        <color rgb="FF555555"/>
        <rFont val="Arial"/>
        <family val="0"/>
        <charset val="1"/>
      </rPr>
      <t xml:space="preserve">chat </t>
    </r>
    <r>
      <rPr>
        <sz val="9"/>
        <color rgb="FF555555"/>
        <rFont val="Noto Sans CJK SC"/>
        <family val="2"/>
      </rPr>
      <t xml:space="preserve">端暫設 </t>
    </r>
    <r>
      <rPr>
        <sz val="9"/>
        <color rgb="FF555555"/>
        <rFont val="Arial"/>
        <family val="0"/>
        <charset val="1"/>
      </rPr>
      <t xml:space="preserve">0.5–0.7</t>
    </r>
    <r>
      <rPr>
        <sz val="9"/>
        <color rgb="FF555555"/>
        <rFont val="Noto Sans CJK SC"/>
        <family val="2"/>
      </rPr>
      <t xml:space="preserve">，不算彈性</t>
    </r>
  </si>
  <si>
    <r>
      <rPr>
        <sz val="11"/>
        <color theme="1"/>
        <rFont val="Noto Sans CJK SC"/>
        <family val="2"/>
      </rPr>
      <t xml:space="preserve">推論支出 </t>
    </r>
    <r>
      <rPr>
        <sz val="11"/>
        <color theme="1"/>
        <rFont val="Arial"/>
        <family val="0"/>
        <charset val="1"/>
      </rPr>
      <t xml:space="preserve">SRC_DEM_004</t>
    </r>
  </si>
  <si>
    <r>
      <rPr>
        <sz val="9"/>
        <color rgb="FF555555"/>
        <rFont val="Noto Sans CJK SC"/>
        <family val="2"/>
      </rPr>
      <t xml:space="preserve">查核營業成本 </t>
    </r>
    <r>
      <rPr>
        <sz val="9"/>
        <color rgb="FF555555"/>
        <rFont val="Arial"/>
        <family val="0"/>
        <charset val="1"/>
      </rPr>
      <t xml:space="preserve">7.5</t>
    </r>
    <r>
      <rPr>
        <sz val="9"/>
        <color rgb="FF555555"/>
        <rFont val="Noto Sans CJK SC"/>
        <family val="2"/>
      </rPr>
      <t xml:space="preserve">～投資人文件 </t>
    </r>
    <r>
      <rPr>
        <sz val="9"/>
        <color rgb="FF555555"/>
        <rFont val="Arial"/>
        <family val="0"/>
        <charset val="1"/>
      </rPr>
      <t xml:space="preserve">8.8</t>
    </r>
  </si>
  <si>
    <r>
      <rPr>
        <sz val="11"/>
        <color theme="1"/>
        <rFont val="Noto Sans CJK SC"/>
        <family val="2"/>
      </rPr>
      <t xml:space="preserve">快取命中 </t>
    </r>
    <r>
      <rPr>
        <sz val="11"/>
        <color theme="1"/>
        <rFont val="Arial"/>
        <family val="0"/>
        <charset val="1"/>
      </rPr>
      <t xml:space="preserve">χ</t>
    </r>
  </si>
  <si>
    <r>
      <rPr>
        <sz val="11"/>
        <color theme="1"/>
        <rFont val="Arial"/>
        <family val="0"/>
        <charset val="1"/>
      </rPr>
      <t xml:space="preserve">Sol 2025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</si>
  <si>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免費占 </t>
    </r>
    <r>
      <rPr>
        <sz val="11"/>
        <color theme="1"/>
        <rFont val="Arial"/>
        <family val="0"/>
        <charset val="1"/>
      </rPr>
      <t xml:space="preserve">ChatGPT token</t>
    </r>
  </si>
  <si>
    <t xml:space="preserve">WACC</t>
  </si>
  <si>
    <t xml:space="preserve">η_p</t>
  </si>
  <si>
    <r>
      <rPr>
        <sz val="11"/>
        <color theme="1"/>
        <rFont val="Noto Sans CJK SC"/>
        <family val="2"/>
      </rPr>
      <t xml:space="preserve">每則提示 </t>
    </r>
    <r>
      <rPr>
        <sz val="11"/>
        <color theme="1"/>
        <rFont val="Arial"/>
        <family val="0"/>
        <charset val="1"/>
      </rPr>
      <t xml:space="preserve">token τ</t>
    </r>
  </si>
  <si>
    <r>
      <rPr>
        <sz val="11"/>
        <color theme="1"/>
        <rFont val="Arial"/>
        <family val="0"/>
        <charset val="1"/>
      </rPr>
      <t xml:space="preserve">Hopper η_d </t>
    </r>
    <r>
      <rPr>
        <sz val="11"/>
        <color theme="1"/>
        <rFont val="Noto Sans CJK SC"/>
        <family val="2"/>
      </rPr>
      <t xml:space="preserve">倍數</t>
    </r>
  </si>
  <si>
    <r>
      <rPr>
        <sz val="11"/>
        <color theme="1"/>
        <rFont val="Noto Sans CJK SC"/>
        <family val="2"/>
      </rPr>
      <t xml:space="preserve">基準利用率 </t>
    </r>
    <r>
      <rPr>
        <sz val="11"/>
        <color theme="1"/>
        <rFont val="Arial"/>
        <family val="0"/>
        <charset val="1"/>
      </rPr>
      <t xml:space="preserve">IF_Util</t>
    </r>
  </si>
  <si>
    <r>
      <rPr>
        <sz val="9"/>
        <color rgb="FF555555"/>
        <rFont val="Noto Sans CJK SC"/>
        <family val="2"/>
      </rPr>
      <t xml:space="preserve">點估計不變（</t>
    </r>
    <r>
      <rPr>
        <sz val="9"/>
        <color rgb="FF555555"/>
        <rFont val="Arial"/>
        <family val="0"/>
        <charset val="1"/>
      </rPr>
      <t xml:space="preserve">IF_Util </t>
    </r>
    <r>
      <rPr>
        <sz val="9"/>
        <color rgb="FF555555"/>
        <rFont val="Noto Sans CJK SC"/>
        <family val="2"/>
      </rPr>
      <t xml:space="preserve">約掉）；低端 </t>
    </r>
    <r>
      <rPr>
        <sz val="9"/>
        <color rgb="FF555555"/>
        <rFont val="Arial"/>
        <family val="0"/>
        <charset val="1"/>
      </rPr>
      <t xml:space="preserve">0.4 </t>
    </r>
    <r>
      <rPr>
        <sz val="9"/>
        <color rgb="FF555555"/>
        <rFont val="Noto Sans CJK SC"/>
        <family val="2"/>
      </rPr>
      <t xml:space="preserve">時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的物理下限（上限讀法）</t>
    </r>
    <r>
      <rPr>
        <sz val="9"/>
        <color rgb="FF555555"/>
        <rFont val="Arial"/>
        <family val="0"/>
        <charset val="1"/>
      </rPr>
      <t xml:space="preserve">0.509 </t>
    </r>
    <r>
      <rPr>
        <sz val="9"/>
        <color rgb="FF555555"/>
        <rFont val="Noto Sans CJK SC"/>
        <family val="2"/>
      </rPr>
      <t xml:space="preserve">高於點估計而綁定（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MAX(</t>
    </r>
    <r>
      <rPr>
        <sz val="9"/>
        <color rgb="FF555555"/>
        <rFont val="Noto Sans CJK SC"/>
        <family val="2"/>
      </rPr>
      <t xml:space="preserve">點估計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下限</t>
    </r>
    <r>
      <rPr>
        <sz val="9"/>
        <color rgb="FF555555"/>
        <rFont val="Arial"/>
        <family val="0"/>
        <charset val="1"/>
      </rPr>
      <t xml:space="preserve">)</t>
    </r>
    <r>
      <rPr>
        <sz val="9"/>
        <color rgb="FF555555"/>
        <rFont val="Noto Sans CJK SC"/>
        <family val="2"/>
      </rPr>
      <t xml:space="preserve">）</t>
    </r>
  </si>
  <si>
    <t xml:space="preserve">付費層級組合</t>
  </si>
  <si>
    <r>
      <rPr>
        <sz val="11"/>
        <color theme="1"/>
        <rFont val="Arial"/>
        <family val="0"/>
        <charset val="1"/>
      </rPr>
      <t xml:space="preserve">Cap_In!C31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Cap_In!D31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Cap_In!E31</t>
    </r>
  </si>
  <si>
    <r>
      <rPr>
        <sz val="11"/>
        <color theme="1"/>
        <rFont val="Arial"/>
        <family val="0"/>
        <charset val="1"/>
      </rPr>
      <t xml:space="preserve">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0.4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0.1</t>
    </r>
  </si>
  <si>
    <r>
      <rPr>
        <sz val="11"/>
        <color theme="1"/>
        <rFont val="Arial"/>
        <family val="0"/>
        <charset val="1"/>
      </rPr>
      <t xml:space="preserve">0.3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0.2</t>
    </r>
  </si>
  <si>
    <t xml:space="preserve">無正式區間；暫設，不算彈性</t>
  </si>
  <si>
    <r>
      <rPr>
        <sz val="11"/>
        <color theme="1"/>
        <rFont val="Arial"/>
        <family val="0"/>
        <charset val="1"/>
      </rPr>
      <t xml:space="preserve">Hopper </t>
    </r>
    <r>
      <rPr>
        <sz val="11"/>
        <color theme="1"/>
        <rFont val="Noto Sans CJK SC"/>
        <family val="2"/>
      </rPr>
      <t xml:space="preserve">每層延遲倍數</t>
    </r>
  </si>
  <si>
    <r>
      <rPr>
        <sz val="11"/>
        <color theme="1"/>
        <rFont val="Arial"/>
        <family val="0"/>
        <charset val="1"/>
      </rPr>
      <t xml:space="preserve">Luna 2025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</si>
  <si>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Arial"/>
        <family val="0"/>
        <charset val="1"/>
      </rPr>
      <t xml:space="preserve">Hopper </t>
    </r>
    <r>
      <rPr>
        <sz val="11"/>
        <color theme="1"/>
        <rFont val="Noto Sans CJK SC"/>
        <family val="2"/>
      </rPr>
      <t xml:space="preserve">機架單價</t>
    </r>
  </si>
  <si>
    <r>
      <rPr>
        <sz val="11"/>
        <color theme="1"/>
        <rFont val="Arial"/>
        <family val="0"/>
        <charset val="1"/>
      </rPr>
      <t xml:space="preserve">GB200 </t>
    </r>
    <r>
      <rPr>
        <sz val="11"/>
        <color theme="1"/>
        <rFont val="Noto Sans CJK SC"/>
        <family val="2"/>
      </rPr>
      <t xml:space="preserve">機架單價</t>
    </r>
  </si>
  <si>
    <r>
      <rPr>
        <sz val="11"/>
        <color theme="1"/>
        <rFont val="Arial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全年平均比</t>
    </r>
  </si>
  <si>
    <r>
      <rPr>
        <sz val="11"/>
        <color theme="1"/>
        <rFont val="Arial"/>
        <family val="0"/>
        <charset val="1"/>
      </rPr>
      <t xml:space="preserve">GB200 </t>
    </r>
    <r>
      <rPr>
        <sz val="11"/>
        <color theme="1"/>
        <rFont val="Noto Sans CJK SC"/>
        <family val="2"/>
      </rPr>
      <t xml:space="preserve">批次 </t>
    </r>
    <r>
      <rPr>
        <sz val="11"/>
        <color theme="1"/>
        <rFont val="Arial"/>
        <family val="0"/>
        <charset val="1"/>
      </rPr>
      <t xml:space="preserve">η_d</t>
    </r>
    <r>
      <rPr>
        <sz val="11"/>
        <color theme="1"/>
        <rFont val="Noto Sans CJK SC"/>
        <family val="2"/>
      </rPr>
      <t xml:space="preserve">（不進機隊）</t>
    </r>
  </si>
  <si>
    <t xml:space="preserve">Calib!D156</t>
  </si>
  <si>
    <t xml:space="preserve">批次口徑不進機隊產能</t>
  </si>
  <si>
    <t xml:space="preserve">最不確定、可以「搜尋」解決的假設（公開資料或付費報導）</t>
  </si>
  <si>
    <r>
      <rPr>
        <sz val="9"/>
        <color rgb="FF555555"/>
        <rFont val="Noto Sans CJK SC"/>
        <family val="2"/>
      </rPr>
      <t xml:space="preserve">排序依據：對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的擺動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證據強度。分工：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chat </t>
    </r>
    <r>
      <rPr>
        <sz val="9"/>
        <color rgb="FF555555"/>
        <rFont val="Noto Sans CJK SC"/>
        <family val="2"/>
      </rPr>
      <t xml:space="preserve">端可在公開網路找到；</t>
    </r>
    <r>
      <rPr>
        <sz val="9"/>
        <color rgb="FF555555"/>
        <rFont val="Arial"/>
        <family val="0"/>
        <charset val="1"/>
      </rPr>
      <t xml:space="preserve">A</t>
    </r>
    <r>
      <rPr>
        <sz val="9"/>
        <color rgb="FF555555"/>
        <rFont val="Noto Sans CJK SC"/>
        <family val="2"/>
      </rPr>
      <t xml:space="preserve">線上＝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在付費牆或需登入的來源找。擺動與承重度連結 </t>
    </r>
    <r>
      <rPr>
        <sz val="9"/>
        <color rgb="FF555555"/>
        <rFont val="Arial"/>
        <family val="0"/>
        <charset val="1"/>
      </rPr>
      <t xml:space="preserve">6_</t>
    </r>
    <r>
      <rPr>
        <sz val="9"/>
        <color rgb="FF555555"/>
        <rFont val="Noto Sans CJK SC"/>
        <family val="2"/>
      </rPr>
      <t xml:space="preserve">敏感度。</t>
    </r>
  </si>
  <si>
    <t xml:space="preserve">優先</t>
  </si>
  <si>
    <t xml:space="preserve">假設</t>
  </si>
  <si>
    <t xml:space="preserve">現值（區間）</t>
  </si>
  <si>
    <t xml:space="preserve">為什麼不確定</t>
  </si>
  <si>
    <t xml:space="preserve">要找的證據（找到就能定案的口徑）</t>
  </si>
  <si>
    <t xml:space="preserve">可能來源與管道</t>
  </si>
  <si>
    <t xml:space="preserve">本串已做過的搜尋</t>
  </si>
  <si>
    <t xml:space="preserve">找到後要改的格</t>
  </si>
  <si>
    <t xml:space="preserve">分工</t>
  </si>
  <si>
    <r>
      <rPr>
        <sz val="10"/>
        <color rgb="FF000000"/>
        <rFont val="Noto Sans CJK SC"/>
        <family val="2"/>
      </rPr>
      <t xml:space="preserve">請求形狀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與實際流量形狀（含參考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、快取命中）</t>
    </r>
  </si>
  <si>
    <r>
      <rPr>
        <sz val="10"/>
        <color rgb="FF000000"/>
        <rFont val="Arial"/>
        <family val="0"/>
        <charset val="1"/>
      </rPr>
      <t xml:space="preserve">κ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Sol ISL 16,384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2,048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χ 0.55</t>
    </r>
  </si>
  <si>
    <r>
      <rPr>
        <sz val="10"/>
        <color rgb="FF000000"/>
        <rFont val="Noto Sans CJK SC"/>
        <family val="2"/>
      </rPr>
      <t xml:space="preserve">擺動前五中的第一名。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由各類流量的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／快取命中與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占比決定；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占比、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型流量比重都沒有一手數字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</si>
  <si>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占比；各類請求平均輸入／輸出長度與快取命中率</t>
    </r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</si>
  <si>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》與週報（代理值）；</t>
    </r>
    <r>
      <rPr>
        <sz val="10"/>
        <color rgb="FF000000"/>
        <rFont val="Arial"/>
        <family val="0"/>
        <charset val="1"/>
      </rPr>
      <t xml:space="preserve">OpenAI DevDay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Economic Index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NBER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</t>
    </r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</si>
  <si>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prompt 1.5K→6K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completion 150→400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快取約 </t>
    </r>
    <r>
      <rPr>
        <sz val="10"/>
        <color rgb="FF000000"/>
        <rFont val="Arial"/>
        <family val="0"/>
        <charset val="1"/>
      </rPr>
      <t xml:space="preserve">88%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長度：已搜尋，未找到</t>
    </r>
  </si>
  <si>
    <r>
      <rPr>
        <sz val="10"/>
        <color rgb="FF000000"/>
        <rFont val="Arial"/>
        <family val="0"/>
        <charset val="1"/>
      </rPr>
      <t xml:space="preserve">Alloc_In C26</t>
    </r>
    <r>
      <rPr>
        <sz val="10"/>
        <color rgb="FF000000"/>
        <rFont val="Noto Sans CJK SC"/>
        <family val="2"/>
      </rPr>
      <t xml:space="preserve">（另有結構題：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與單價須同一流量形狀）</t>
    </r>
  </si>
  <si>
    <r>
      <rPr>
        <sz val="10"/>
        <color rgb="FF000000"/>
        <rFont val="Noto Sans CJK SC"/>
        <family val="2"/>
      </rPr>
      <t xml:space="preserve">計價倍數（推論支出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</si>
  <si>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</si>
  <si>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的實際計價（牌價、折扣或成本加成）未公開；現值由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出租毛利 </t>
    </r>
    <r>
      <rPr>
        <sz val="10"/>
        <color rgb="FF000000"/>
        <rFont val="Arial"/>
        <family val="0"/>
        <charset val="1"/>
      </rPr>
      <t xml:space="preserve">14% </t>
    </r>
    <r>
      <rPr>
        <sz val="10"/>
        <color rgb="FF000000"/>
        <rFont val="Noto Sans CJK SC"/>
        <family val="2"/>
      </rPr>
      <t xml:space="preserve">與經濟／會計成本比推得</t>
    </r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</si>
  <si>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時價或折扣、</t>
    </r>
    <r>
      <rPr>
        <sz val="10"/>
        <color rgb="FF000000"/>
        <rFont val="Arial"/>
        <family val="0"/>
        <charset val="1"/>
      </rPr>
      <t xml:space="preserve">Azure AI </t>
    </r>
    <r>
      <rPr>
        <sz val="10"/>
        <color rgb="FF000000"/>
        <rFont val="Noto Sans CJK SC"/>
        <family val="2"/>
      </rPr>
      <t xml:space="preserve">毛利；</t>
    </r>
    <r>
      <rPr>
        <sz val="10"/>
        <color rgb="FF000000"/>
        <rFont val="Arial"/>
        <family val="0"/>
        <charset val="1"/>
      </rPr>
      <t xml:space="preserve">OpenAI–Oracle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OpenAI–CoreWeave </t>
    </r>
    <r>
      <rPr>
        <sz val="10"/>
        <color rgb="FF000000"/>
        <rFont val="Noto Sans CJK SC"/>
        <family val="2"/>
      </rPr>
      <t xml:space="preserve">合約的每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年單價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</si>
  <si>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（付費）；</t>
    </r>
    <r>
      <rPr>
        <sz val="10"/>
        <color rgb="FF000000"/>
        <rFont val="Arial"/>
        <family val="0"/>
        <charset val="1"/>
      </rPr>
      <t xml:space="preserve">Microsoft 10-K</t>
    </r>
    <r>
      <rPr>
        <sz val="10"/>
        <color rgb="FF000000"/>
        <rFont val="Noto Sans CJK SC"/>
        <family val="2"/>
      </rPr>
      <t xml:space="preserve">／法說會（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毛利）；</t>
    </r>
    <r>
      <rPr>
        <sz val="10"/>
        <color rgb="FF000000"/>
        <rFont val="Arial"/>
        <family val="0"/>
        <charset val="1"/>
      </rPr>
      <t xml:space="preserve">Oracle RPO </t>
    </r>
    <r>
      <rPr>
        <sz val="10"/>
        <color rgb="FF000000"/>
        <rFont val="Noto Sans CJK SC"/>
        <family val="2"/>
      </rPr>
      <t xml:space="preserve">揭露；</t>
    </r>
    <r>
      <rPr>
        <sz val="10"/>
        <color rgb="FF000000"/>
        <rFont val="Arial"/>
        <family val="0"/>
        <charset val="1"/>
      </rPr>
      <t xml:space="preserve">CoreWeave 10-K</t>
    </r>
  </si>
  <si>
    <r>
      <rPr>
        <sz val="10"/>
        <color rgb="FF000000"/>
        <rFont val="Noto Sans CJK SC"/>
        <family val="2"/>
      </rPr>
      <t xml:space="preserve">只找到 </t>
    </r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文件與 </t>
    </r>
    <r>
      <rPr>
        <sz val="10"/>
        <color rgb="FF000000"/>
        <rFont val="Arial"/>
        <family val="0"/>
        <charset val="1"/>
      </rPr>
      <t xml:space="preserve">The Register </t>
    </r>
    <r>
      <rPr>
        <sz val="10"/>
        <color rgb="FF000000"/>
        <rFont val="Noto Sans CJK SC"/>
        <family val="2"/>
      </rPr>
      <t xml:space="preserve">轉述；計價條款在付費報導</t>
    </r>
  </si>
  <si>
    <t xml:space="preserve">Alloc_In C23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</si>
  <si>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線上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</si>
  <si>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</si>
  <si>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）</t>
    </r>
  </si>
  <si>
    <t xml:space="preserve">頂層模型參數從未揭露</t>
  </si>
  <si>
    <r>
      <rPr>
        <sz val="10"/>
        <color rgb="FF000000"/>
        <rFont val="Noto Sans CJK SC"/>
        <family val="2"/>
      </rPr>
      <t xml:space="preserve">第三方對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級頂層模型啟用參數的估計，或延遲／價格反推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</si>
  <si>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；學術估計；推理速度反推</t>
    </r>
  </si>
  <si>
    <r>
      <rPr>
        <sz val="10"/>
        <color rgb="FF000000"/>
        <rFont val="Arial"/>
        <family val="0"/>
        <charset val="1"/>
      </rPr>
      <t xml:space="preserve">Epoch 1.0e27 FLOP</t>
    </r>
    <r>
      <rPr>
        <sz val="10"/>
        <color rgb="FF000000"/>
        <rFont val="Noto Sans CJK SC"/>
        <family val="2"/>
      </rPr>
      <t xml:space="preserve">（叢集總算力上限）；啟用參數：只有第三方估計</t>
    </r>
  </si>
  <si>
    <r>
      <rPr>
        <sz val="10"/>
        <color rgb="FF000000"/>
        <rFont val="Arial"/>
        <family val="0"/>
        <charset val="1"/>
      </rPr>
      <t xml:space="preserve">Arch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 Astra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</si>
  <si>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（專家意見）</t>
    </r>
  </si>
  <si>
    <r>
      <rPr>
        <sz val="10"/>
        <color rgb="FF000000"/>
        <rFont val="Arial"/>
        <family val="0"/>
        <charset val="1"/>
      </rPr>
      <t xml:space="preserve">Astra 2025 </t>
    </r>
    <r>
      <rPr>
        <sz val="10"/>
        <color rgb="FF000000"/>
        <rFont val="Noto Sans CJK SC"/>
        <family val="2"/>
      </rPr>
      <t xml:space="preserve">單價（用量加權）</t>
    </r>
  </si>
  <si>
    <r>
      <rPr>
        <sz val="10"/>
        <color rgb="FF000000"/>
        <rFont val="Arial"/>
        <family val="0"/>
        <charset val="1"/>
      </rPr>
      <t xml:space="preserve">4.5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3.3–5.9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</si>
  <si>
    <r>
      <rPr>
        <sz val="10"/>
        <color rgb="FF000000"/>
        <rFont val="Noto Sans CJK SC"/>
        <family val="2"/>
      </rPr>
      <t xml:space="preserve">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占比完全未公開；目前以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季別支出當量指數、再假設 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後推理占比 </t>
    </r>
    <r>
      <rPr>
        <sz val="10"/>
        <color rgb="FF000000"/>
        <rFont val="Arial"/>
        <family val="0"/>
        <charset val="1"/>
      </rPr>
      <t xml:space="preserve">×2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</si>
  <si>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o1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GPT-5 thinking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4o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或訊息占比，按月或按季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</si>
  <si>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（付費；後者不可單獨使用）；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模型排行歷史（代理值）；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官方部落格與 </t>
    </r>
    <r>
      <rPr>
        <sz val="10"/>
        <color rgb="FF000000"/>
        <rFont val="Arial"/>
        <family val="0"/>
        <charset val="1"/>
      </rPr>
      <t xml:space="preserve">DevDay </t>
    </r>
    <r>
      <rPr>
        <sz val="10"/>
        <color rgb="FF000000"/>
        <rFont val="Noto Sans CJK SC"/>
        <family val="2"/>
      </rPr>
      <t xml:space="preserve">數字</t>
    </r>
  </si>
  <si>
    <r>
      <rPr>
        <sz val="10"/>
        <color rgb="FF000000"/>
        <rFont val="Arial"/>
        <family val="0"/>
        <charset val="1"/>
      </rPr>
      <t xml:space="preserve">Altman 2025-08 </t>
    </r>
    <r>
      <rPr>
        <sz val="10"/>
        <color rgb="FF000000"/>
        <rFont val="Noto Sans CJK SC"/>
        <family val="2"/>
      </rPr>
      <t xml:space="preserve">推理模型日用比例（用戶比例，非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推理模型占比年初≈</t>
    </r>
    <r>
      <rPr>
        <sz val="10"/>
        <color rgb="FF000000"/>
        <rFont val="Arial"/>
        <family val="0"/>
        <charset val="1"/>
      </rPr>
      <t xml:space="preserve">0→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&gt;50%</t>
    </r>
    <r>
      <rPr>
        <sz val="10"/>
        <color rgb="FF000000"/>
        <rFont val="Noto Sans CJK SC"/>
        <family val="2"/>
      </rPr>
      <t xml:space="preserve">；各模型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占比：已搜尋，未找到</t>
    </r>
  </si>
  <si>
    <r>
      <rPr>
        <sz val="10"/>
        <color rgb="FF000000"/>
        <rFont val="Arial"/>
        <family val="0"/>
        <charset val="1"/>
      </rPr>
      <t xml:space="preserve">Cap_In C280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E280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</si>
  <si>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線上＋</t>
    </r>
    <r>
      <rPr>
        <sz val="10"/>
        <color rgb="FF000000"/>
        <rFont val="Arial"/>
        <family val="0"/>
        <charset val="1"/>
      </rPr>
      <t xml:space="preserve">C</t>
    </r>
  </si>
  <si>
    <r>
      <rPr>
        <sz val="10"/>
        <color rgb="FF000000"/>
        <rFont val="Arial"/>
        <family val="0"/>
        <charset val="1"/>
      </rPr>
      <t xml:space="preserve">Sol 2025 </t>
    </r>
    <r>
      <rPr>
        <sz val="10"/>
        <color rgb="FF000000"/>
        <rFont val="Noto Sans CJK SC"/>
        <family val="2"/>
      </rPr>
      <t xml:space="preserve">單價的加權</t>
    </r>
  </si>
  <si>
    <r>
      <rPr>
        <sz val="10"/>
        <color rgb="FF000000"/>
        <rFont val="Arial"/>
        <family val="0"/>
        <charset val="1"/>
      </rPr>
      <t xml:space="preserve">2.184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1.672–2.338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</si>
  <si>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比例是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1,460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</si>
  <si>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的比例</t>
    </r>
  </si>
  <si>
    <r>
      <rPr>
        <sz val="10"/>
        <color rgb="FF000000"/>
        <rFont val="Noto Sans CJK SC"/>
        <family val="2"/>
      </rPr>
      <t xml:space="preserve">同第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</si>
  <si>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Noto Sans CJK SC"/>
        <family val="2"/>
      </rPr>
      <t xml:space="preserve">同第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</t>
    </r>
  </si>
  <si>
    <t xml:space="preserve">Cap_In C279</t>
  </si>
  <si>
    <t xml:space="preserve">推論支出的記帳口徑</t>
  </si>
  <si>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$B</t>
    </r>
  </si>
  <si>
    <t xml:space="preserve">營收分成記在營業成本或營收減項不明；免費推論是否在營業成本外不明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</si>
  <si>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營收分成的會計處理；營業成本組成；免費用戶推論的科目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</si>
  <si>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的招股文件；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對查核財報的後續報導；</t>
    </r>
    <r>
      <rPr>
        <sz val="10"/>
        <color rgb="FF000000"/>
        <rFont val="Arial"/>
        <family val="0"/>
        <charset val="1"/>
      </rPr>
      <t xml:space="preserve">Microsoft 10-K </t>
    </r>
    <r>
      <rPr>
        <sz val="10"/>
        <color rgb="FF000000"/>
        <rFont val="Noto Sans CJK SC"/>
        <family val="2"/>
      </rPr>
      <t xml:space="preserve">附註</t>
    </r>
  </si>
  <si>
    <r>
      <rPr>
        <sz val="10"/>
        <color rgb="FF000000"/>
        <rFont val="Noto Sans CJK SC"/>
        <family val="2"/>
      </rPr>
      <t xml:space="preserve">查核財報分項（付 </t>
    </r>
    <r>
      <rPr>
        <sz val="10"/>
        <color rgb="FF000000"/>
        <rFont val="Arial"/>
        <family val="0"/>
        <charset val="1"/>
      </rPr>
      <t xml:space="preserve">Microsoft 172 </t>
    </r>
    <r>
      <rPr>
        <sz val="10"/>
        <color rgb="FF000000"/>
        <rFont val="Noto Sans CJK SC"/>
        <family val="2"/>
      </rPr>
      <t xml:space="preserve">億）已取得；營收分成記帳位置：已搜尋，未找到</t>
    </r>
  </si>
  <si>
    <r>
      <rPr>
        <sz val="10"/>
        <color rgb="FF000000"/>
        <rFont val="Arial"/>
        <family val="0"/>
        <charset val="1"/>
      </rPr>
      <t xml:space="preserve">SRC_Demand 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</si>
  <si>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</si>
  <si>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</si>
  <si>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吞吐被判為保守下界（獨立對照約實測 </t>
    </r>
    <r>
      <rPr>
        <sz val="10"/>
        <color rgb="FF000000"/>
        <rFont val="Arial"/>
        <family val="0"/>
        <charset val="1"/>
      </rPr>
      <t xml:space="preserve">0.26–0.27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MLPerf closed </t>
    </r>
    <r>
      <rPr>
        <sz val="10"/>
        <color rgb="FF000000"/>
        <rFont val="Noto Sans CJK SC"/>
        <family val="2"/>
      </rPr>
      <t xml:space="preserve">組沒有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提交</t>
    </r>
  </si>
  <si>
    <r>
      <rPr>
        <sz val="10"/>
        <color rgb="FF000000"/>
        <rFont val="Noto Sans CJK SC"/>
        <family val="2"/>
      </rPr>
      <t xml:space="preserve">同模型、同軟體的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decode </t>
    </r>
    <r>
      <rPr>
        <sz val="10"/>
        <color rgb="FF000000"/>
        <rFont val="Noto Sans CJK SC"/>
        <family val="2"/>
      </rPr>
      <t xml:space="preserve">實測（中段互動性）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</si>
  <si>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下一輪；</t>
    </r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部落格；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（不可單獨使用）</t>
    </r>
  </si>
  <si>
    <r>
      <rPr>
        <sz val="10"/>
        <color rgb="FF000000"/>
        <rFont val="Arial"/>
        <family val="0"/>
        <charset val="1"/>
      </rPr>
      <t xml:space="preserve">MLPerf closed </t>
    </r>
    <r>
      <rPr>
        <sz val="10"/>
        <color rgb="FF000000"/>
        <rFont val="Noto Sans CJK SC"/>
        <family val="2"/>
      </rPr>
      <t xml:space="preserve">組確認無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H200 DSR1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跨精度推算 </t>
    </r>
    <r>
      <rPr>
        <sz val="10"/>
        <color rgb="FF000000"/>
        <rFont val="Arial"/>
        <family val="0"/>
        <charset val="1"/>
      </rPr>
      <t xml:space="preserve">1.3–1.8</t>
    </r>
  </si>
  <si>
    <t xml:space="preserve">Calib C67</t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</si>
  <si>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τ </t>
    </r>
    <r>
      <rPr>
        <sz val="10"/>
        <color rgb="FF000000"/>
        <rFont val="Noto Sans CJK SC"/>
        <family val="2"/>
      </rPr>
      <t xml:space="preserve">與免費占比</t>
    </r>
  </si>
  <si>
    <r>
      <rPr>
        <sz val="10"/>
        <color rgb="FF000000"/>
        <rFont val="Arial"/>
        <family val="0"/>
        <charset val="1"/>
      </rPr>
      <t xml:space="preserve">τ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</si>
  <si>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只影響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口徑的免費占比與支出口徑 </t>
    </r>
    <r>
      <rPr>
        <sz val="10"/>
        <color rgb="FF000000"/>
        <rFont val="Arial"/>
        <family val="0"/>
        <charset val="1"/>
      </rPr>
      <t xml:space="preserve">46% </t>
    </r>
    <r>
      <rPr>
        <sz val="10"/>
        <color rgb="FF000000"/>
        <rFont val="Noto Sans CJK SC"/>
        <family val="2"/>
      </rPr>
      <t xml:space="preserve">混用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</si>
  <si>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每則對話的平均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（含推理）；免費用戶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</si>
  <si>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Arial"/>
        <family val="0"/>
        <charset val="1"/>
      </rPr>
      <t xml:space="preserve">NBER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》（訊息數，無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官方；</t>
    </r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類比</t>
    </r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</si>
  <si>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每回合約 </t>
    </r>
    <r>
      <rPr>
        <sz val="10"/>
        <color rgb="FF000000"/>
        <rFont val="Arial"/>
        <family val="0"/>
        <charset val="1"/>
      </rPr>
      <t xml:space="preserve">296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441 </t>
    </r>
    <r>
      <rPr>
        <sz val="10"/>
        <color rgb="FF000000"/>
        <rFont val="Noto Sans CJK SC"/>
        <family val="2"/>
      </rPr>
      <t xml:space="preserve">出（類比）；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長度：已搜尋，未找到</t>
    </r>
  </si>
  <si>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</t>
    </r>
  </si>
  <si>
    <t xml:space="preserve">最不確定、需要「實地調研」的假設（業者訪談、供應鏈查核；公開資料找不到）</t>
  </si>
  <si>
    <r>
      <rPr>
        <sz val="9"/>
        <color rgb="FF555555"/>
        <rFont val="Arial"/>
        <family val="0"/>
        <charset val="1"/>
      </rPr>
      <t xml:space="preserve">A</t>
    </r>
    <r>
      <rPr>
        <sz val="9"/>
        <color rgb="FF555555"/>
        <rFont val="Noto Sans CJK SC"/>
        <family val="2"/>
      </rPr>
      <t xml:space="preserve">線下＝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線下調研。資料放 </t>
    </r>
    <r>
      <rPr>
        <sz val="9"/>
        <color rgb="FF555555"/>
        <rFont val="Arial"/>
        <family val="0"/>
        <charset val="1"/>
      </rPr>
      <t xml:space="preserve">Drive 02-</t>
    </r>
    <r>
      <rPr>
        <sz val="9"/>
        <color rgb="FF555555"/>
        <rFont val="Noto Sans CJK SC"/>
        <family val="2"/>
      </rPr>
      <t xml:space="preserve">算力收支</t>
    </r>
    <r>
      <rPr>
        <sz val="9"/>
        <color rgb="FF555555"/>
        <rFont val="Arial"/>
        <family val="0"/>
        <charset val="1"/>
      </rPr>
      <t xml:space="preserve">/Tokenomics/inbox/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chat </t>
    </r>
    <r>
      <rPr>
        <sz val="9"/>
        <color rgb="FF555555"/>
        <rFont val="Noto Sans CJK SC"/>
        <family val="2"/>
      </rPr>
      <t xml:space="preserve">端直接讀。</t>
    </r>
  </si>
  <si>
    <t xml:space="preserve">要問的問題（可直接用於訪談）</t>
  </si>
  <si>
    <t xml:space="preserve">訪談或查核對象</t>
  </si>
  <si>
    <t xml:space="preserve">實際利用率（純）</t>
  </si>
  <si>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0.30–0.65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</si>
  <si>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沒有任何實驗室公開「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吞吐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容量」實測；上端只有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</t>
    </r>
  </si>
  <si>
    <r>
      <rPr>
        <sz val="10"/>
        <color rgb="FF000000"/>
        <rFont val="Noto Sans CJK SC"/>
        <family val="2"/>
      </rPr>
      <t xml:space="preserve">大型推論叢集的平均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利用率（以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吞吐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理論容量計，不是 </t>
    </r>
    <r>
      <rPr>
        <sz val="10"/>
        <color rgb="FF000000"/>
        <rFont val="Arial"/>
        <family val="0"/>
        <charset val="1"/>
      </rPr>
      <t xml:space="preserve">GPU busy%</t>
    </r>
    <r>
      <rPr>
        <sz val="10"/>
        <color rgb="FF000000"/>
        <rFont val="Noto Sans CJK SC"/>
        <family val="2"/>
      </rPr>
      <t xml:space="preserve">）？日夜與尖離峰差多少？多模型部署時下降多少？</t>
    </r>
  </si>
  <si>
    <r>
      <rPr>
        <sz val="10"/>
        <color rgb="FF000000"/>
        <rFont val="Noto Sans CJK SC"/>
        <family val="2"/>
      </rPr>
      <t xml:space="preserve">雲端或 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營運人員（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Oracle</t>
    </r>
    <r>
      <rPr>
        <sz val="10"/>
        <color rgb="FF000000"/>
        <rFont val="Noto Sans CJK SC"/>
        <family val="2"/>
      </rPr>
      <t xml:space="preserve">）；推論平台（</t>
    </r>
    <r>
      <rPr>
        <sz val="10"/>
        <color rgb="FF000000"/>
        <rFont val="Arial"/>
        <family val="0"/>
        <charset val="1"/>
      </rPr>
      <t xml:space="preserve">Fireworks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Together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Baseten</t>
    </r>
    <r>
      <rPr>
        <sz val="10"/>
        <color rgb="FF000000"/>
        <rFont val="Noto Sans CJK SC"/>
        <family val="2"/>
      </rPr>
      <t xml:space="preserve">）；台灣雲端業者</t>
    </r>
  </si>
  <si>
    <t xml:space="preserve">Alloc_In C24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</si>
  <si>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線下</t>
    </r>
  </si>
  <si>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占比與企業折扣</t>
    </r>
  </si>
  <si>
    <r>
      <rPr>
        <sz val="10"/>
        <color rgb="FF000000"/>
        <rFont val="Noto Sans CJK SC"/>
        <family val="2"/>
      </rPr>
      <t xml:space="preserve">有效折扣 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</si>
  <si>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半價是公開牌價，但占比與企業議價找不到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</si>
  <si>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用量中 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的占比？大型企業合約相對牌價的平均折扣？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</si>
  <si>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大客戶（企業、新創）；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業務；雲端市集</t>
    </r>
  </si>
  <si>
    <t xml:space="preserve">Cap_In C12</t>
  </si>
  <si>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0.70–1.00</t>
    </r>
    <r>
      <rPr>
        <sz val="10"/>
        <color rgb="FF000000"/>
        <rFont val="Noto Sans CJK SC"/>
        <family val="2"/>
      </rPr>
      <t xml:space="preserve">）</t>
    </r>
  </si>
  <si>
    <t xml:space="preserve">情境值，非估計值；只有訓練端的公開可靠度論文可類比</t>
  </si>
  <si>
    <r>
      <rPr>
        <sz val="10"/>
        <color rgb="FF000000"/>
        <rFont val="Noto Sans CJK SC"/>
        <family val="2"/>
      </rPr>
      <t xml:space="preserve">推論叢集為了守住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預留多少容量？節點故障、重啟、升級造成的產能損失約多少？</t>
    </r>
  </si>
  <si>
    <r>
      <rPr>
        <sz val="10"/>
        <color rgb="FF000000"/>
        <rFont val="Noto Sans CJK SC"/>
        <family val="2"/>
      </rPr>
      <t xml:space="preserve">雲端 </t>
    </r>
    <r>
      <rPr>
        <sz val="10"/>
        <color rgb="FF000000"/>
        <rFont val="Arial"/>
        <family val="0"/>
        <charset val="1"/>
      </rPr>
      <t xml:space="preserve">SRE</t>
    </r>
    <r>
      <rPr>
        <sz val="10"/>
        <color rgb="FF000000"/>
        <rFont val="Noto Sans CJK SC"/>
        <family val="2"/>
      </rPr>
      <t xml:space="preserve">／推論平台營運；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雲業者</t>
    </r>
  </si>
  <si>
    <t xml:space="preserve">Serving C28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</si>
  <si>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</si>
  <si>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（暫設 </t>
    </r>
    <r>
      <rPr>
        <sz val="10"/>
        <color rgb="FF000000"/>
        <rFont val="Arial"/>
        <family val="0"/>
        <charset val="1"/>
      </rPr>
      <t xml:space="preserve">0.5–0.7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</si>
  <si>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無公開數字；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年各季的上線量與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分到的比例都不明</t>
    </r>
  </si>
  <si>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Oracle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部署的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機櫃在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年各季的出貨與上線數？同期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機隊規模？</t>
    </r>
  </si>
  <si>
    <r>
      <rPr>
        <sz val="10"/>
        <color rgb="FF000000"/>
        <rFont val="Noto Sans CJK SC"/>
        <family val="2"/>
      </rPr>
      <t xml:space="preserve">台灣 </t>
    </r>
    <r>
      <rPr>
        <sz val="10"/>
        <color rgb="FF000000"/>
        <rFont val="Arial"/>
        <family val="0"/>
        <charset val="1"/>
      </rPr>
      <t xml:space="preserve">ODM</t>
    </r>
    <r>
      <rPr>
        <sz val="10"/>
        <color rgb="FF000000"/>
        <rFont val="Noto Sans CJK SC"/>
        <family val="2"/>
      </rPr>
      <t xml:space="preserve">／機櫃供應鏈（廣達、緯穎、鴻海）；機房業者；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付費報告（不可單獨使用）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</si>
  <si>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</si>
  <si>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線下＋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線上</t>
    </r>
  </si>
  <si>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</si>
  <si>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1.1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0.9–1.3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3.1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2.8–3.4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（擺動欄為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</si>
  <si>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產業報導與 </t>
    </r>
    <r>
      <rPr>
        <sz val="10"/>
        <color rgb="FF000000"/>
        <rFont val="Arial"/>
        <family val="0"/>
        <charset val="1"/>
      </rPr>
      <t xml:space="preserve">ODM </t>
    </r>
    <r>
      <rPr>
        <sz val="10"/>
        <color rgb="FF000000"/>
        <rFont val="Noto Sans CJK SC"/>
        <family val="2"/>
      </rPr>
      <t xml:space="preserve">報價差異大；直接決定每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對持有成本彈性 </t>
    </r>
    <r>
      <rPr>
        <sz val="10"/>
        <color rgb="FF000000"/>
        <rFont val="Arial"/>
        <family val="0"/>
        <charset val="1"/>
      </rPr>
      <t xml:space="preserve">+1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</si>
  <si>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整櫃成交價（含 </t>
    </r>
    <r>
      <rPr>
        <sz val="10"/>
        <color rgb="FF000000"/>
        <rFont val="Arial"/>
        <family val="0"/>
        <charset val="1"/>
      </rPr>
      <t xml:space="preserve">NVLink</t>
    </r>
    <r>
      <rPr>
        <sz val="10"/>
        <color rgb="FF000000"/>
        <rFont val="Noto Sans CJK SC"/>
        <family val="2"/>
      </rPr>
      <t xml:space="preserve">、液冷）？大客戶折扣？</t>
    </r>
  </si>
  <si>
    <r>
      <rPr>
        <sz val="10"/>
        <color rgb="FF000000"/>
        <rFont val="Arial"/>
        <family val="0"/>
        <charset val="1"/>
      </rPr>
      <t xml:space="preserve">ODM</t>
    </r>
    <r>
      <rPr>
        <sz val="10"/>
        <color rgb="FF000000"/>
        <rFont val="Noto Sans CJK SC"/>
        <family val="2"/>
      </rPr>
      <t xml:space="preserve">、通路與系統整合商；伺服器採購人員</t>
    </r>
  </si>
  <si>
    <r>
      <rPr>
        <sz val="10"/>
        <color rgb="FF000000"/>
        <rFont val="Arial"/>
        <family val="0"/>
        <charset val="1"/>
      </rPr>
      <t xml:space="preserve">Spec_Rack C12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</si>
  <si>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效率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</si>
  <si>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</si>
  <si>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吞吐約為獨立實測的 </t>
    </r>
    <r>
      <rPr>
        <sz val="10"/>
        <color rgb="FF000000"/>
        <rFont val="Arial"/>
        <family val="0"/>
        <charset val="1"/>
      </rPr>
      <t xml:space="preserve">0.26–0.27 </t>
    </r>
    <r>
      <rPr>
        <sz val="10"/>
        <color rgb="FF000000"/>
        <rFont val="Noto Sans CJK SC"/>
        <family val="2"/>
      </rPr>
      <t xml:space="preserve">倍（保守下界）</t>
    </r>
  </si>
  <si>
    <r>
      <rPr>
        <sz val="10"/>
        <color rgb="FF000000"/>
        <rFont val="Noto Sans CJK SC"/>
        <family val="2"/>
      </rPr>
      <t xml:space="preserve">同一模型在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上，生產環境的 </t>
    </r>
    <r>
      <rPr>
        <sz val="10"/>
        <color rgb="FF000000"/>
        <rFont val="Arial"/>
        <family val="0"/>
        <charset val="1"/>
      </rPr>
      <t xml:space="preserve">decode tok/s/GPU </t>
    </r>
    <r>
      <rPr>
        <sz val="10"/>
        <color rgb="FF000000"/>
        <rFont val="Noto Sans CJK SC"/>
        <family val="2"/>
      </rPr>
      <t xml:space="preserve">比？</t>
    </r>
  </si>
  <si>
    <t xml:space="preserve">推論平台工程師；雲端效能團隊</t>
  </si>
  <si>
    <r>
      <rPr>
        <b val="true"/>
        <sz val="13"/>
        <rFont val="Arial"/>
        <family val="0"/>
        <charset val="1"/>
      </rPr>
      <t xml:space="preserve">L1_MFleet </t>
    </r>
    <r>
      <rPr>
        <b val="true"/>
        <sz val="13"/>
        <rFont val="Noto Sans CJK SC"/>
        <family val="2"/>
      </rPr>
      <t xml:space="preserve">的全部前置格（從 </t>
    </r>
    <r>
      <rPr>
        <b val="true"/>
        <sz val="13"/>
        <rFont val="Arial"/>
        <family val="0"/>
        <charset val="1"/>
      </rPr>
      <t xml:space="preserve">Cap_In!C119 </t>
    </r>
    <r>
      <rPr>
        <b val="true"/>
        <sz val="13"/>
        <rFont val="Noto Sans CJK SC"/>
        <family val="2"/>
      </rPr>
      <t xml:space="preserve">遞迴展開；</t>
    </r>
    <r>
      <rPr>
        <b val="true"/>
        <sz val="13"/>
        <rFont val="Arial"/>
        <family val="0"/>
        <charset val="1"/>
      </rPr>
      <t xml:space="preserve">Tokenomics v15.3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</si>
  <si>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共 </t>
    </r>
    <r>
      <rPr>
        <sz val="9"/>
        <color rgb="FF555555"/>
        <rFont val="Arial"/>
        <family val="0"/>
        <charset val="1"/>
      </rPr>
      <t xml:space="preserve">2,993 </t>
    </r>
    <r>
      <rPr>
        <sz val="9"/>
        <color rgb="FF555555"/>
        <rFont val="Noto Sans CJK SC"/>
        <family val="2"/>
      </rPr>
      <t xml:space="preserve">格；常數格（輸入）</t>
    </r>
    <r>
      <rPr>
        <sz val="9"/>
        <color rgb="FF555555"/>
        <rFont val="Arial"/>
        <family val="0"/>
        <charset val="1"/>
      </rPr>
      <t xml:space="preserve">426 </t>
    </r>
    <r>
      <rPr>
        <sz val="9"/>
        <color rgb="FF555555"/>
        <rFont val="Noto Sans CJK SC"/>
        <family val="2"/>
      </rPr>
      <t xml:space="preserve">格。「深度」＝距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的步數。公式前的「＝」為文字顯示，非可執行公式。供查找：在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開同一格即可看原式。</t>
    </r>
  </si>
  <si>
    <t xml:space="preserve">工作表</t>
  </si>
  <si>
    <t xml:space="preserve">格</t>
  </si>
  <si>
    <t xml:space="preserve">深度</t>
  </si>
  <si>
    <t xml:space="preserve">列標籤</t>
  </si>
  <si>
    <t xml:space="preserve">公式（原文）</t>
  </si>
  <si>
    <t xml:space="preserve">類型</t>
  </si>
  <si>
    <r>
      <rPr>
        <b val="true"/>
        <sz val="10"/>
        <color rgb="FFFFFFFF"/>
        <rFont val="Arial"/>
        <family val="0"/>
        <charset val="1"/>
      </rPr>
      <t xml:space="preserve">Gov_Map </t>
    </r>
    <r>
      <rPr>
        <b val="true"/>
        <sz val="10"/>
        <color rgb="FFFFFFFF"/>
        <rFont val="Noto Sans CJK SC"/>
        <family val="2"/>
      </rPr>
      <t xml:space="preserve">類別</t>
    </r>
  </si>
  <si>
    <t xml:space="preserve">Cap_In</t>
  </si>
  <si>
    <t xml:space="preserve">C119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</si>
  <si>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</si>
  <si>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IF(ISNUMBER(C116),MAX(SRC_DEM_007*1000000000/(C116*AL_PriceFleet25),IF(ISNUMBER(C121),C121,0)),AL_UnavailTxt)</t>
    </r>
  </si>
  <si>
    <t xml:space="preserve">公式</t>
  </si>
  <si>
    <t xml:space="preserve">Alloc</t>
  </si>
  <si>
    <t xml:space="preserve">C123</t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</si>
  <si>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</si>
  <si>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</si>
  <si>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IF(AL_ServeGW="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</si>
  <si>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C151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</si>
  <si>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</si>
  <si>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IF(AL_BlendPaid="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</t>
    </r>
  </si>
  <si>
    <t xml:space="preserve">C116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</si>
  <si>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</si>
  <si>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IF(AND(ISNUMBER(C110),ISNUMBER(C111),ISNUMBER(C112)),C109*C114/(1/C110+C112/C111),AL_UnavailTxt)</t>
    </r>
  </si>
  <si>
    <t xml:space="preserve">C121</t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</si>
  <si>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</si>
  <si>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IF(ISNUMBER(C118),SRC_DEM_007*1000000000/(C118*AL_PriceFleet25),AL_UnavailTxt)</t>
    </r>
  </si>
  <si>
    <t xml:space="preserve">SRC_Demand</t>
  </si>
  <si>
    <t xml:space="preserve">C11</t>
  </si>
  <si>
    <t xml:space="preserve">SRC_DEM_007</t>
  </si>
  <si>
    <t xml:space="preserve">常數（輸入）</t>
  </si>
  <si>
    <t xml:space="preserve">C37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</si>
  <si>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</si>
  <si>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IF(OR(AL_ServeGWPaid="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",AL_ServeGWFree="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"),"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",IF(AND(ISNUMBER(AL_ServeGWPaid),ISNUMBER(AL_ServeGWFree)),AL_ServeGWPaid+AL_ServeGWFree,"SLO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"))</t>
    </r>
  </si>
  <si>
    <t xml:space="preserve">C109</t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</si>
  <si>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</si>
  <si>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AL_ServeGWSpend/AL_SpendBasis*AL_Kappa</t>
    </r>
  </si>
  <si>
    <t xml:space="preserve">C110</t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</si>
  <si>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</si>
  <si>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AL_BlendPaid</t>
    </r>
  </si>
  <si>
    <t xml:space="preserve">C111</t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</si>
  <si>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</si>
  <si>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AL_BlendFree</t>
    </r>
  </si>
  <si>
    <t xml:space="preserve">C112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</si>
  <si>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</si>
  <si>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AL_DFree/AL_DPaid</t>
    </r>
  </si>
  <si>
    <t xml:space="preserve">C114</t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</si>
  <si>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</si>
  <si>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(AL_UtilActual*CTL_ProdDerate)/IF_Util</t>
    </r>
  </si>
  <si>
    <t xml:space="preserve">C118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</si>
  <si>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</si>
  <si>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IF(AND(ISNUMBER(C110),ISNUMBER(C111),ISNUMBER(C112),ISNUMBER(C115)),C109*C115/(1/C110+C112/C111),AL_UnavailTxt)</t>
    </r>
  </si>
  <si>
    <t xml:space="preserve">C148</t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</si>
  <si>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</si>
  <si>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IF(C26=1,(IF(C19=1,INDEX(B4_MixPaid,1,1)*CAP_Px25_Luna,0)+IF(C20=1,INDEX(B4_MixPaid,1,2)*CAP_Px25_Sol,0)+IF(C21=1,INDEX(B4_MixPaid,1,3)*CAP_Px25_Astra,0))*(1-B4_Disc)/C22,"SLO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</si>
  <si>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C18</t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</si>
  <si>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</si>
  <si>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AL_MixHopper</t>
    </r>
  </si>
  <si>
    <t xml:space="preserve">C26</t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</si>
  <si>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</si>
  <si>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IF(AND(C22&gt;0,C23&gt;0),1,0)</t>
    </r>
  </si>
  <si>
    <t xml:space="preserve">C29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</si>
  <si>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</si>
  <si>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IF(C26=1,IF_Util/C27,"SLO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</si>
  <si>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C31</t>
  </si>
  <si>
    <t xml:space="preserve">世代組合中可服務世代的占比合計（重新正規化的分母）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</si>
  <si>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(IF(AND(C$18&gt;0,C$26=1),C$18,0)+IF(AND(D$18&gt;0,D$26=1),D$18,0)+IF(AND(E$18&gt;0,E$26=1),E$18,0)+IF(AND(F$18&gt;0,F$26=1),F$18,0))</t>
    </r>
  </si>
  <si>
    <t xml:space="preserve">C33</t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</si>
  <si>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</si>
  <si>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IF(OR(AND(C$18&gt;0,C$26=0),AND(D$18&gt;0,D$26=0),AND(E$18&gt;0,E$26=0),AND(F$18&gt;0,F$26=0)),"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",IF(C31&gt;0,(IF(AND(C$18&gt;0,C$26=1),C$18*C$29,0)+IF(AND(D$18&gt;0,D$26=1),D$18*D$29,0)+IF(AND(E$18&gt;0,E$26=1),E$18*E$29,0)+IF(AND(F$18&gt;0,F$26=1),F$18*F$29,0))/C31,"SLO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"))</t>
    </r>
  </si>
  <si>
    <t xml:space="preserve">C35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</si>
  <si>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</si>
  <si>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IF(AL_BlendPaid="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",IF(AND(ISNUMBER(AL_BlendPaid),AL_DPaid&gt;=0),IF(AL_BlendPaid&gt;0,AL_DPaid/AL_BlendPaid,"SLO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"))</t>
    </r>
  </si>
  <si>
    <t xml:space="preserve">C36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</si>
  <si>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</si>
  <si>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IF(AL_BlendFree="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",IF(AND(ISNUMBER(AL_BlendFree),AL_DFree&gt;=0),IF(AL_BlendFree&gt;0,AL_DFree/AL_BlendFree,"SLO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"))</t>
    </r>
  </si>
  <si>
    <t xml:space="preserve">D148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</si>
  <si>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IF(D26=1,(IF(D19=1,INDEX(B4_MixPaid,1,1)*CAP_Px25_Luna,0)+IF(D20=1,INDEX(B4_MixPaid,1,2)*CAP_Px25_Sol,0)+IF(D21=1,INDEX(B4_MixPaid,1,3)*CAP_Px25_Astra,0))*(1-B4_Disc)/D22,"SLO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</si>
  <si>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D18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</si>
  <si>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AL_MixGB200</t>
    </r>
  </si>
  <si>
    <t xml:space="preserve">D26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</si>
  <si>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IF(AND(D22&gt;0,D23&gt;0),1,0)</t>
    </r>
  </si>
  <si>
    <t xml:space="preserve">D29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</si>
  <si>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IF(D26=1,IF_Util/D27,"SLO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</si>
  <si>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E148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</si>
  <si>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IF(E26=1,(IF(E19=1,INDEX(B4_MixPaid,1,1)*CAP_Px25_Luna,0)+IF(E20=1,INDEX(B4_MixPaid,1,2)*CAP_Px25_Sol,0)+IF(E21=1,INDEX(B4_MixPaid,1,3)*CAP_Px25_Astra,0))*(1-B4_Disc)/E22,"SLO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</si>
  <si>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E18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</si>
  <si>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AL_MixGB300</t>
    </r>
  </si>
  <si>
    <t xml:space="preserve">E26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</si>
  <si>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IF(AND(E22&gt;0,E23&gt;0),1,0)</t>
    </r>
  </si>
  <si>
    <t xml:space="preserve">E29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</si>
  <si>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IF(E26=1,IF_Util/E27,"SLO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</si>
  <si>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F148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</si>
  <si>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IF(F26=1,(IF(F19=1,INDEX(B4_MixPaid,1,1)*CAP_Px25_Luna,0)+IF(F20=1,INDEX(B4_MixPaid,1,2)*CAP_Px25_Sol,0)+IF(F21=1,INDEX(B4_MixPaid,1,3)*CAP_Px25_Astra,0))*(1-B4_Disc)/F22,"SLO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</si>
  <si>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F18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</si>
  <si>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AL_MixVR200</t>
    </r>
  </si>
  <si>
    <t xml:space="preserve">F26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</si>
  <si>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IF(AND(F22&gt;0,F23&gt;0),1,0)</t>
    </r>
  </si>
  <si>
    <t xml:space="preserve">F29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</si>
  <si>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IF(F26=1,IF_Util/F27,"SLO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</si>
  <si>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Alloc_In</t>
  </si>
  <si>
    <t xml:space="preserve">C24</t>
  </si>
  <si>
    <t xml:space="preserve">實際利用率（純；不含生產折減）</t>
  </si>
  <si>
    <t xml:space="preserve">C115</t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</si>
  <si>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</si>
  <si>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AL_ProdRatioPaid</t>
    </r>
  </si>
  <si>
    <t xml:space="preserve">Interface</t>
  </si>
  <si>
    <t xml:space="preserve">C48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</si>
  <si>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</si>
  <si>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Serving!$C$17</t>
    </r>
  </si>
  <si>
    <t xml:space="preserve">Serving</t>
  </si>
  <si>
    <t xml:space="preserve">C28</t>
  </si>
  <si>
    <r>
      <rPr>
        <sz val="10"/>
        <color rgb="FF0000FF"/>
        <rFont val="Noto Sans CJK SC"/>
        <family val="2"/>
      </rPr>
      <t xml:space="preserve">並列輸出用生產折減（情境值，</t>
    </r>
    <r>
      <rPr>
        <sz val="10"/>
        <color rgb="FF0000FF"/>
        <rFont val="Arial"/>
        <family val="0"/>
        <charset val="1"/>
      </rPr>
      <t xml:space="preserve">X1</t>
    </r>
    <r>
      <rPr>
        <sz val="10"/>
        <color rgb="FF0000FF"/>
        <rFont val="Noto Sans CJK SC"/>
        <family val="2"/>
      </rPr>
      <t xml:space="preserve">；非估計值）</t>
    </r>
  </si>
  <si>
    <t xml:space="preserve">C10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</si>
  <si>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</si>
  <si>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AL_DChatFree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</si>
  <si>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</si>
  <si>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IF(AND(ISNUMBER(AL_BlendPaidProd),ISNUMBER(AL_BlendPaid)),IF(AL_BlendPaid&gt;0,AL_BlendPaidProd/AL_BlendPaid,"SLO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</si>
  <si>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C19</t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</si>
  <si>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</si>
  <si>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IF(ISNUMBER(INDEX(IF_TokGW_Luna,1,C$17)),IF(INDEX(IF_TokGW_Luna,1,C$17)&gt;0,1,0),0)</t>
    </r>
  </si>
  <si>
    <t xml:space="preserve">C20</t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</si>
  <si>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</si>
  <si>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IF(ISNUMBER(INDEX(IF_TokGW_Sol,1,C$17)),IF(INDEX(IF_TokGW_Sol,1,C$17)&gt;0,1,0),0)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</si>
  <si>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</si>
  <si>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</si>
  <si>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IF(ISNUMBER(INDEX(IF_TokGW_Astra,1,C$17)),IF(INDEX(IF_TokGW_Astra,1,C$17)&gt;0,1,0),0)</t>
    </r>
  </si>
  <si>
    <t xml:space="preserve">C22</t>
  </si>
  <si>
    <t xml:space="preserve">付費組合：可達層級的權重合計（重新正規化的分母）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</si>
  <si>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INDEX(B4_MixPaid,1,1)*C19+INDEX(B4_MixPaid,1,2)*C20+INDEX(B4_MixPaid,1,3)*C21</t>
    </r>
  </si>
  <si>
    <t xml:space="preserve">C34</t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</si>
  <si>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</si>
  <si>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IF(OR(AND(C$18&gt;0,C$26=0),AND(D$18&gt;0,D$26=0),AND(E$18&gt;0,E$26=0),AND(F$18&gt;0,F$26=0)),"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",IF(C31&gt;0,(IF(AND(C$18&gt;0,C$26=1),C$18*C$30,0)+IF(AND(D$18&gt;0,D$26=1),D$18*D$30,0)+IF(AND(E$18&gt;0,E$26=1),E$18*E$30,0)+IF(AND(F$18&gt;0,F$26=1),F$18*F$30,0))/C31,"SLO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"))</t>
    </r>
  </si>
  <si>
    <t xml:space="preserve">C70</t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</si>
  <si>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</si>
  <si>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SRC_DEM_004/SUMPRODUCT(AL_ShareGen,AL_HoldGen)</t>
    </r>
  </si>
  <si>
    <t xml:space="preserve">C9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</si>
  <si>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</si>
  <si>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AL_DAPI+AL_DChatPaid</t>
    </r>
  </si>
  <si>
    <t xml:space="preserve">D19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</si>
  <si>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IF(ISNUMBER(INDEX(IF_TokGW_Luna,1,D$17)),IF(INDEX(IF_TokGW_Luna,1,D$17)&gt;0,1,0),0)</t>
    </r>
  </si>
  <si>
    <t xml:space="preserve">D20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</si>
  <si>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IF(ISNUMBER(INDEX(IF_TokGW_Sol,1,D$17)),IF(INDEX(IF_TokGW_Sol,1,D$17)&gt;0,1,0),0)</t>
    </r>
  </si>
  <si>
    <t xml:space="preserve">D21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</si>
  <si>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IF(ISNUMBER(INDEX(IF_TokGW_Astra,1,D$17)),IF(INDEX(IF_TokGW_Astra,1,D$17)&gt;0,1,0),0)</t>
    </r>
  </si>
  <si>
    <t xml:space="preserve">D22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</si>
  <si>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INDEX(B4_MixPaid,1,1)*D19+INDEX(B4_MixPaid,1,2)*D20+INDEX(B4_MixPaid,1,3)*D21</t>
    </r>
  </si>
  <si>
    <t xml:space="preserve">E19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</si>
  <si>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IF(ISNUMBER(INDEX(IF_TokGW_Luna,1,E$17)),IF(INDEX(IF_TokGW_Luna,1,E$17)&gt;0,1,0),0)</t>
    </r>
  </si>
  <si>
    <t xml:space="preserve">E20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</si>
  <si>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IF(ISNUMBER(INDEX(IF_TokGW_Sol,1,E$17)),IF(INDEX(IF_TokGW_Sol,1,E$17)&gt;0,1,0),0)</t>
    </r>
  </si>
  <si>
    <t xml:space="preserve">E21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</si>
  <si>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IF(ISNUMBER(INDEX(IF_TokGW_Astra,1,E$17)),IF(INDEX(IF_TokGW_Astra,1,E$17)&gt;0,1,0),0)</t>
    </r>
  </si>
  <si>
    <t xml:space="preserve">E22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</si>
  <si>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INDEX(B4_MixPaid,1,1)*E19+INDEX(B4_MixPaid,1,2)*E20+INDEX(B4_MixPaid,1,3)*E21</t>
    </r>
  </si>
  <si>
    <t xml:space="preserve">F19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</si>
  <si>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IF(ISNUMBER(INDEX(IF_TokGW_Luna,1,F$17)),IF(INDEX(IF_TokGW_Luna,1,F$17)&gt;0,1,0),0)</t>
    </r>
  </si>
  <si>
    <t xml:space="preserve">F20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</si>
  <si>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IF(ISNUMBER(INDEX(IF_TokGW_Sol,1,F$17)),IF(INDEX(IF_TokGW_Sol,1,F$17)&gt;0,1,0),0)</t>
    </r>
  </si>
  <si>
    <t xml:space="preserve">F21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</si>
  <si>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IF(ISNUMBER(INDEX(IF_TokGW_Astra,1,F$17)),IF(INDEX(IF_TokGW_Astra,1,F$17)&gt;0,1,0),0)</t>
    </r>
  </si>
  <si>
    <t xml:space="preserve">F22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</si>
  <si>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INDEX(B4_MixPaid,1,1)*F19+INDEX(B4_MixPaid,1,2)*F20+INDEX(B4_MixPaid,1,3)*F21</t>
    </r>
  </si>
  <si>
    <t xml:space="preserve">C23</t>
  </si>
  <si>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持有成本（計價倍數；含供應商利潤與資本回收）</t>
    </r>
  </si>
  <si>
    <r>
      <rPr>
        <sz val="10"/>
        <color rgb="FF0000FF"/>
        <rFont val="Noto Sans CJK SC"/>
        <family val="2"/>
      </rPr>
      <t xml:space="preserve">請求形狀修正 </t>
    </r>
    <r>
      <rPr>
        <sz val="10"/>
        <color rgb="FF0000FF"/>
        <rFont val="Arial"/>
        <family val="0"/>
        <charset val="1"/>
      </rPr>
      <t xml:space="preserve">κ</t>
    </r>
    <r>
      <rPr>
        <sz val="10"/>
        <color rgb="FF0000FF"/>
        <rFont val="Noto Sans CJK SC"/>
        <family val="2"/>
      </rPr>
      <t xml:space="preserve">（實際流量每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秒總 </t>
    </r>
    <r>
      <rPr>
        <sz val="10"/>
        <color rgb="FF0000FF"/>
        <rFont val="Arial"/>
        <family val="0"/>
        <charset val="1"/>
      </rPr>
      <t xml:space="preserve">token ÷ </t>
    </r>
    <r>
      <rPr>
        <sz val="10"/>
        <color rgb="FF0000FF"/>
        <rFont val="Noto Sans CJK SC"/>
        <family val="2"/>
      </rPr>
      <t xml:space="preserve">參考請求）</t>
    </r>
  </si>
  <si>
    <t xml:space="preserve">C12</t>
  </si>
  <si>
    <r>
      <rPr>
        <sz val="10"/>
        <color rgb="FF0000FF"/>
        <rFont val="Noto Sans CJK SC"/>
        <family val="2"/>
      </rPr>
      <t xml:space="preserve">有效折扣（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半價＋企業議價，加權）</t>
    </r>
  </si>
  <si>
    <t xml:space="preserve">C278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</si>
  <si>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年度層級單價：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（參考請求混合單價，表列未折扣；在售天數加權）</t>
    </r>
  </si>
  <si>
    <t xml:space="preserve">C279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</si>
  <si>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年度層級單價：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（參考請求混合單價，表列未折扣；在售天數加權）</t>
    </r>
  </si>
  <si>
    <t xml:space="preserve">C280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</si>
  <si>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年度層級單價：</t>
    </r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（參考請求混合單價，表列未折扣；用量加權）</t>
    </r>
  </si>
  <si>
    <r>
      <rPr>
        <sz val="10"/>
        <color rgb="FF0000FF"/>
        <rFont val="Noto Sans CJK SC"/>
        <family val="2"/>
      </rPr>
      <t xml:space="preserve">付費服務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層級組合</t>
    </r>
  </si>
  <si>
    <t xml:space="preserve">D31</t>
  </si>
  <si>
    <t xml:space="preserve">E31</t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</si>
  <si>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</si>
  <si>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IF(OR(AND(C$18&gt;0,NOT(ISNUMBER(C$114))),AND(D$18&gt;0,NOT(ISNUMBER(D$114))),AND(E$18&gt;0,NOT(ISNUMBER(E$114))),AND(F$18&gt;0,NOT(ISNUMBER(F$114)))),"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",IF((IF(AND(C$18&gt;0,ISNUMBER(C$114)),C$18,0)+IF(AND(D$18&gt;0,ISNUMBER(D$114)),D$18,0)+IF(AND(E$18&gt;0,ISNUMBER(E$114)),E$18,0)+IF(AND(F$18&gt;0,ISNUMBER(F$114)),</t>
    </r>
  </si>
  <si>
    <t xml:space="preserve">C30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</si>
  <si>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</si>
  <si>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IF(C26=1,IF_Util/C28,"SLO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</si>
  <si>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C39</t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</si>
  <si>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</si>
  <si>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INDEX(IF_HoldEcon,1,C17)</t>
    </r>
  </si>
  <si>
    <t xml:space="preserve">C5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</si>
  <si>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</si>
  <si>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SRC_DEM_010*1000000000*525600*AL_APIratio/1000000</t>
    </r>
  </si>
  <si>
    <t xml:space="preserve">C7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</si>
  <si>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AL_DChat*AL_FreeShare</t>
    </r>
  </si>
  <si>
    <t xml:space="preserve">C8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</si>
  <si>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</si>
  <si>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AL_DChat-AL_DChatFree</t>
    </r>
  </si>
  <si>
    <t xml:space="preserve">D30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</si>
  <si>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IF(D26=1,IF_Util/D28,"SLO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</si>
  <si>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D39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</si>
  <si>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INDEX(IF_HoldEcon,1,D17)</t>
    </r>
  </si>
  <si>
    <t xml:space="preserve">E30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</si>
  <si>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IF(E26=1,IF_Util/E28,"SLO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</si>
  <si>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E39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</si>
  <si>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INDEX(IF_HoldEcon,1,E17)</t>
    </r>
  </si>
  <si>
    <t xml:space="preserve">F30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</si>
  <si>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IF(F26=1,IF_Util/F28,"SLO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</si>
  <si>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F39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</si>
  <si>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INDEX(IF_HoldEcon,1,F17)</t>
    </r>
  </si>
  <si>
    <t xml:space="preserve">SRC_DEM_004</t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</si>
  <si>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</si>
  <si>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IF(AND(ISNUMBER(C29),ISNUMBER(INDEX(Fleet_1GW!$C$19:$Q$19,1,C$17)),ISNUMBER(INDEX(Fleet_1GW_Prod!$C$19:$Q$19,1,C$17))),C29*INDEX(Fleet_1GW_Prod!$C$19:$Q$19,1,C$17)/INDEX(Fleet_1GW!$C$19:$Q$19,1,C$17),"SLO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</si>
  <si>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C17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</si>
  <si>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</si>
  <si>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3*(C16-1)+2</t>
    </r>
  </si>
  <si>
    <t xml:space="preserve">C27</t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</si>
  <si>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</si>
  <si>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IF(C26=1,(IF(C19=1,INDEX(B4_MixPaid,1,1)/INDEX(IF_TokGW_Luna,1,C$17),0)+IF(C20=1,INDEX(B4_MixPaid,1,2)/INDEX(IF_TokGW_Sol,1,C$17),0)+IF(C21=1,INDEX(B4_MixPaid,1,3)/INDEX(IF_TokGW_Astra,1,C$17),0))/C22,"SLO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</si>
  <si>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</si>
  <si>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IF(C26=1,(IF(C19=1,INDEX(B4_MixFree,1,1)/INDEX(IF_TokGW_Luna,1,C$17),0)+IF(C20=1,INDEX(B4_MixFree,1,2)/INDEX(IF_TokGW_Sol,1,C$17),0)+IF(C21=1,INDEX(B4_MixFree,1,3)/INDEX(IF_TokGW_Astra,1,C$17),0))/C23,"SLO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</si>
  <si>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C6</t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</si>
  <si>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</si>
  <si>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SRC_DEM_012*1000000000*AL_TokPerPrompt*365/1000000</t>
    </r>
  </si>
  <si>
    <t xml:space="preserve">D114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</si>
  <si>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IF(AND(ISNUMBER(D29),ISNUMBER(INDEX(Fleet_1GW!$C$19:$Q$19,1,D$17)),ISNUMBER(INDEX(Fleet_1GW_Prod!$C$19:$Q$19,1,D$17))),D29*INDEX(Fleet_1GW_Prod!$C$19:$Q$19,1,D$17)/INDEX(Fleet_1GW!$C$19:$Q$19,1,D$17),"SLO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</si>
  <si>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D17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</si>
  <si>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3*(D16-1)+2</t>
    </r>
  </si>
  <si>
    <t xml:space="preserve">D27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</si>
  <si>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IF(D26=1,(IF(D19=1,INDEX(B4_MixPaid,1,1)/INDEX(IF_TokGW_Luna,1,D$17),0)+IF(D20=1,INDEX(B4_MixPaid,1,2)/INDEX(IF_TokGW_Sol,1,D$17),0)+IF(D21=1,INDEX(B4_MixPaid,1,3)/INDEX(IF_TokGW_Astra,1,D$17),0))/D22,"SLO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</si>
  <si>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D28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</si>
  <si>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IF(D26=1,(IF(D19=1,INDEX(B4_MixFree,1,1)/INDEX(IF_TokGW_Luna,1,D$17),0)+IF(D20=1,INDEX(B4_MixFree,1,2)/INDEX(IF_TokGW_Sol,1,D$17),0)+IF(D21=1,INDEX(B4_MixFree,1,3)/INDEX(IF_TokGW_Astra,1,D$17),0))/D23,"SLO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</si>
  <si>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E114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</si>
  <si>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IF(AND(ISNUMBER(E29),ISNUMBER(INDEX(Fleet_1GW!$C$19:$Q$19,1,E$17)),ISNUMBER(INDEX(Fleet_1GW_Prod!$C$19:$Q$19,1,E$17))),E29*INDEX(Fleet_1GW_Prod!$C$19:$Q$19,1,E$17)/INDEX(Fleet_1GW!$C$19:$Q$19,1,E$17),"SLO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</si>
  <si>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E17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</si>
  <si>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3*(E16-1)+2</t>
    </r>
  </si>
  <si>
    <t xml:space="preserve">E27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</si>
  <si>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IF(E26=1,(IF(E19=1,INDEX(B4_MixPaid,1,1)/INDEX(IF_TokGW_Luna,1,E$17),0)+IF(E20=1,INDEX(B4_MixPaid,1,2)/INDEX(IF_TokGW_Sol,1,E$17),0)+IF(E21=1,INDEX(B4_MixPaid,1,3)/INDEX(IF_TokGW_Astra,1,E$17),0))/E22,"SLO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</si>
  <si>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E28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</si>
  <si>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IF(E26=1,(IF(E19=1,INDEX(B4_MixFree,1,1)/INDEX(IF_TokGW_Luna,1,E$17),0)+IF(E20=1,INDEX(B4_MixFree,1,2)/INDEX(IF_TokGW_Sol,1,E$17),0)+IF(E21=1,INDEX(B4_MixFree,1,3)/INDEX(IF_TokGW_Astra,1,E$17),0))/E23,"SLO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</si>
  <si>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F114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</si>
  <si>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IF(AND(ISNUMBER(F29),ISNUMBER(INDEX(Fleet_1GW!$C$19:$Q$19,1,F$17)),ISNUMBER(INDEX(Fleet_1GW_Prod!$C$19:$Q$19,1,F$17))),F29*INDEX(Fleet_1GW_Prod!$C$19:$Q$19,1,F$17)/INDEX(Fleet_1GW!$C$19:$Q$19,1,F$17),"SLO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</si>
  <si>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F17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</si>
  <si>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3*(F16-1)+2</t>
    </r>
  </si>
  <si>
    <t xml:space="preserve">F27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</si>
  <si>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IF(F26=1,(IF(F19=1,INDEX(B4_MixPaid,1,1)/INDEX(IF_TokGW_Luna,1,F$17),0)+IF(F20=1,INDEX(B4_MixPaid,1,2)/INDEX(IF_TokGW_Sol,1,F$17),0)+IF(F21=1,INDEX(B4_MixPaid,1,3)/INDEX(IF_TokGW_Astra,1,F$17),0))/F22,"SLO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</si>
  <si>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F28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</si>
  <si>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IF(F26=1,(IF(F19=1,INDEX(B4_MixFree,1,1)/INDEX(IF_TokGW_Luna,1,F$17),0)+IF(F20=1,INDEX(B4_MixFree,1,2)/INDEX(IF_TokGW_Sol,1,F$17),0)+IF(F21=1,INDEX(B4_MixFree,1,3)/INDEX(IF_TokGW_Astra,1,F$17),0))/F23,"SLO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</si>
  <si>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C14</t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</si>
  <si>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</t>
    </r>
  </si>
  <si>
    <t xml:space="preserve">C16</t>
  </si>
  <si>
    <r>
      <rPr>
        <sz val="10"/>
        <color rgb="FF0000FF"/>
        <rFont val="Arial"/>
        <family val="0"/>
        <charset val="1"/>
      </rPr>
      <t xml:space="preserve">ChatGPT token </t>
    </r>
    <r>
      <rPr>
        <sz val="10"/>
        <color rgb="FF0000FF"/>
        <rFont val="Noto Sans CJK SC"/>
        <family val="2"/>
      </rPr>
      <t xml:space="preserve">中免費用戶占比</t>
    </r>
  </si>
  <si>
    <t xml:space="preserve">C13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</si>
  <si>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</si>
  <si>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(DC_Cost!C55)/CTL_GW</t>
    </r>
  </si>
  <si>
    <t xml:space="preserve">D13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</si>
  <si>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(DC_Cost!D55)/CTL_GW</t>
    </r>
  </si>
  <si>
    <t xml:space="preserve">E13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</si>
  <si>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(DC_Cost!E55)/CTL_GW</t>
    </r>
  </si>
  <si>
    <t xml:space="preserve">F13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</si>
  <si>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(DC_Cost!F55)/CTL_GW</t>
    </r>
  </si>
  <si>
    <t xml:space="preserve">G13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</si>
  <si>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(DC_Cost!G55)/CTL_GW</t>
    </r>
  </si>
  <si>
    <t xml:space="preserve">H13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</si>
  <si>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(DC_Cost!H55)/CTL_GW</t>
    </r>
  </si>
  <si>
    <t xml:space="preserve">I13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</si>
  <si>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(DC_Cost!I55)/CTL_GW</t>
    </r>
  </si>
  <si>
    <t xml:space="preserve">J13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</si>
  <si>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(DC_Cost!J55)/CTL_GW</t>
    </r>
  </si>
  <si>
    <t xml:space="preserve">K13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</si>
  <si>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(DC_Cost!K55)/CTL_GW</t>
    </r>
  </si>
  <si>
    <t xml:space="preserve">L13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</si>
  <si>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(DC_Cost!L55)/CTL_GW</t>
    </r>
  </si>
  <si>
    <t xml:space="preserve">M13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</si>
  <si>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(DC_Cost!M55)/CTL_GW</t>
    </r>
  </si>
  <si>
    <t xml:space="preserve">N13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</si>
  <si>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(DC_Cost!N55)/CTL_GW</t>
    </r>
  </si>
  <si>
    <t xml:space="preserve">O13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</si>
  <si>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(DC_Cost!O55)/CTL_GW</t>
    </r>
  </si>
  <si>
    <t xml:space="preserve">P13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</si>
  <si>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(DC_Cost!P55)/CTL_GW</t>
    </r>
  </si>
  <si>
    <t xml:space="preserve">Q13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</si>
  <si>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(DC_Cost!Q55)/CTL_GW</t>
    </r>
  </si>
  <si>
    <t xml:space="preserve">SRC_DEM_010</t>
  </si>
  <si>
    <t xml:space="preserve">免費組合：可達層級的權重合計（重新正規化的分母）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</si>
  <si>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INDEX(B4_MixFree,1,1)*C19+INDEX(B4_MixFree,1,2)*C20+INDEX(B4_MixFree,1,3)*C21</t>
    </r>
  </si>
  <si>
    <t xml:space="preserve">D23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</si>
  <si>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INDEX(B4_MixFree,1,1)*D19+INDEX(B4_MixFree,1,2)*D20+INDEX(B4_MixFree,1,3)*D21</t>
    </r>
  </si>
  <si>
    <t xml:space="preserve">E23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</si>
  <si>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INDEX(B4_MixFree,1,1)*E19+INDEX(B4_MixFree,1,2)*E20+INDEX(B4_MixFree,1,3)*E21</t>
    </r>
  </si>
  <si>
    <t xml:space="preserve">F23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</si>
  <si>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INDEX(B4_MixFree,1,1)*F19+INDEX(B4_MixFree,1,2)*F20+INDEX(B4_MixFree,1,3)*F21</t>
    </r>
  </si>
  <si>
    <r>
      <rPr>
        <sz val="10"/>
        <color rgb="FF0000FF"/>
        <rFont val="Noto Sans CJK SC"/>
        <family val="2"/>
      </rPr>
      <t xml:space="preserve">服務世代組合：</t>
    </r>
    <r>
      <rPr>
        <sz val="10"/>
        <color rgb="FF0000FF"/>
        <rFont val="Arial"/>
        <family val="0"/>
        <charset val="1"/>
      </rPr>
      <t xml:space="preserve">GB200</t>
    </r>
  </si>
  <si>
    <r>
      <rPr>
        <sz val="10"/>
        <color rgb="FF0000FF"/>
        <rFont val="Noto Sans CJK SC"/>
        <family val="2"/>
      </rPr>
      <t xml:space="preserve">服務世代組合：</t>
    </r>
    <r>
      <rPr>
        <sz val="10"/>
        <color rgb="FF0000FF"/>
        <rFont val="Arial"/>
        <family val="0"/>
        <charset val="1"/>
      </rPr>
      <t xml:space="preserve">GB300</t>
    </r>
  </si>
  <si>
    <r>
      <rPr>
        <sz val="10"/>
        <color rgb="FF0000FF"/>
        <rFont val="Noto Sans CJK SC"/>
        <family val="2"/>
      </rPr>
      <t xml:space="preserve">服務世代組合：</t>
    </r>
    <r>
      <rPr>
        <sz val="10"/>
        <color rgb="FF0000FF"/>
        <rFont val="Arial"/>
        <family val="0"/>
        <charset val="1"/>
      </rPr>
      <t xml:space="preserve">VR200</t>
    </r>
  </si>
  <si>
    <t xml:space="preserve">C15</t>
  </si>
  <si>
    <r>
      <rPr>
        <sz val="10"/>
        <color rgb="FF0000FF"/>
        <rFont val="Noto Sans CJK SC"/>
        <family val="2"/>
      </rPr>
      <t xml:space="preserve">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</si>
  <si>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r>
      <rPr>
        <sz val="10"/>
        <color rgb="FF0000FF"/>
        <rFont val="Noto Sans CJK SC"/>
        <family val="2"/>
      </rPr>
      <t xml:space="preserve">服務世代組合：</t>
    </r>
    <r>
      <rPr>
        <sz val="10"/>
        <color rgb="FF0000FF"/>
        <rFont val="Arial"/>
        <family val="0"/>
        <charset val="1"/>
      </rPr>
      <t xml:space="preserve">Hopper</t>
    </r>
  </si>
  <si>
    <t xml:space="preserve">C32</t>
  </si>
  <si>
    <r>
      <rPr>
        <sz val="10"/>
        <color rgb="FF0000FF"/>
        <rFont val="Noto Sans CJK SC"/>
        <family val="2"/>
      </rPr>
      <t xml:space="preserve">免費服務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層級組合</t>
    </r>
  </si>
  <si>
    <t xml:space="preserve">D32</t>
  </si>
  <si>
    <t xml:space="preserve">E32</t>
  </si>
  <si>
    <t xml:space="preserve">DC_Cost</t>
  </si>
  <si>
    <t xml:space="preserve">C55</t>
  </si>
  <si>
    <t xml:space="preserve">年持有成本 — 經濟口徑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</si>
  <si>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C53+C54+C48</t>
    </r>
  </si>
  <si>
    <t xml:space="preserve">D55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</si>
  <si>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D53+D54+D48</t>
    </r>
  </si>
  <si>
    <t xml:space="preserve">E55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</si>
  <si>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E53+E54+E48</t>
    </r>
  </si>
  <si>
    <t xml:space="preserve">F55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</si>
  <si>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F53+F54+F48</t>
    </r>
  </si>
  <si>
    <t xml:space="preserve">G55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</si>
  <si>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G53+G54+G48</t>
    </r>
  </si>
  <si>
    <t xml:space="preserve">H55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</si>
  <si>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H53+H54+H48</t>
    </r>
  </si>
  <si>
    <t xml:space="preserve">I55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</si>
  <si>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I53+I54+I48</t>
    </r>
  </si>
  <si>
    <t xml:space="preserve">J55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</si>
  <si>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J53+J54+J48</t>
    </r>
  </si>
  <si>
    <t xml:space="preserve">K55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</si>
  <si>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K53+K54+K48</t>
    </r>
  </si>
  <si>
    <t xml:space="preserve">L55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</si>
  <si>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L53+L54+L48</t>
    </r>
  </si>
  <si>
    <t xml:space="preserve">M55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</si>
  <si>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M53+M54+M48</t>
    </r>
  </si>
  <si>
    <t xml:space="preserve">N55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</si>
  <si>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N53+N54+N48</t>
    </r>
  </si>
  <si>
    <t xml:space="preserve">O55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</si>
  <si>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O53+O54+O48</t>
    </r>
  </si>
  <si>
    <t xml:space="preserve">P55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</si>
  <si>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P53+P54+P48</t>
    </r>
  </si>
  <si>
    <t xml:space="preserve">Q55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</si>
  <si>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Q53+Q54+Q48</t>
    </r>
  </si>
  <si>
    <t xml:space="preserve">Fleet_1GW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</si>
  <si>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</si>
  <si>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IF(C18=1,C11*IF_Util/(IF(C38=1,C44/INDEX(IF_TokGW_Luna,1,C$7),0)+IF(C39=1,C45/INDEX(IF_TokGW_Sol,1,C$7),0)+IF(C40=1,C46/INDEX(IF_TokGW_Astra,1,C$7),0)),"SLO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</si>
  <si>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IF(D18=1,D11*IF_Util/(IF(D38=1,D44/INDEX(IF_TokGW_Luna,1,D$7),0)+IF(D39=1,D45/INDEX(IF_TokGW_Sol,1,D$7),0)+IF(D40=1,D46/INDEX(IF_TokGW_Astra,1,D$7),0)),"SLO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</si>
  <si>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IF(E18=1,E11*IF_Util/(IF(E38=1,E44/INDEX(IF_TokGW_Luna,1,E$7),0)+IF(E39=1,E45/INDEX(IF_TokGW_Sol,1,E$7),0)+IF(E40=1,E46/INDEX(IF_TokGW_Astra,1,E$7),0)),"SLO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</si>
  <si>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IF(F18=1,F11*IF_Util/(IF(F38=1,F44/INDEX(IF_TokGW_Luna,1,F$7),0)+IF(F39=1,F45/INDEX(IF_TokGW_Sol,1,F$7),0)+IF(F40=1,F46/INDEX(IF_TokGW_Astra,1,F$7),0)),"SLO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</si>
  <si>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G19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</si>
  <si>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IF(G18=1,G11*IF_Util/(IF(G38=1,G44/INDEX(IF_TokGW_Luna,1,G$7),0)+IF(G39=1,G45/INDEX(IF_TokGW_Sol,1,G$7),0)+IF(G40=1,G46/INDEX(IF_TokGW_Astra,1,G$7),0)),"SLO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</si>
  <si>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H19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</si>
  <si>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IF(H18=1,H11*IF_Util/(IF(H38=1,H44/INDEX(IF_TokGW_Luna,1,H$7),0)+IF(H39=1,H45/INDEX(IF_TokGW_Sol,1,H$7),0)+IF(H40=1,H46/INDEX(IF_TokGW_Astra,1,H$7),0)),"SLO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</si>
  <si>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I19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</si>
  <si>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IF(I18=1,I11*IF_Util/(IF(I38=1,I44/INDEX(IF_TokGW_Luna,1,I$7),0)+IF(I39=1,I45/INDEX(IF_TokGW_Sol,1,I$7),0)+IF(I40=1,I46/INDEX(IF_TokGW_Astra,1,I$7),0)),"SLO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</si>
  <si>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J19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</si>
  <si>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IF(J18=1,J11*IF_Util/(IF(J38=1,J44/INDEX(IF_TokGW_Luna,1,J$7),0)+IF(J39=1,J45/INDEX(IF_TokGW_Sol,1,J$7),0)+IF(J40=1,J46/INDEX(IF_TokGW_Astra,1,J$7),0)),"SLO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</si>
  <si>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K19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</si>
  <si>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IF(K18=1,K11*IF_Util/(IF(K38=1,K44/INDEX(IF_TokGW_Luna,1,K$7),0)+IF(K39=1,K45/INDEX(IF_TokGW_Sol,1,K$7),0)+IF(K40=1,K46/INDEX(IF_TokGW_Astra,1,K$7),0)),"SLO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</si>
  <si>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L19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</si>
  <si>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IF(L18=1,L11*IF_Util/(IF(L38=1,L44/INDEX(IF_TokGW_Luna,1,L$7),0)+IF(L39=1,L45/INDEX(IF_TokGW_Sol,1,L$7),0)+IF(L40=1,L46/INDEX(IF_TokGW_Astra,1,L$7),0)),"SLO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</si>
  <si>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M19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</si>
  <si>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IF(M18=1,M11*IF_Util/(IF(M38=1,M44/INDEX(IF_TokGW_Luna,1,M$7),0)+IF(M39=1,M45/INDEX(IF_TokGW_Sol,1,M$7),0)+IF(M40=1,M46/INDEX(IF_TokGW_Astra,1,M$7),0)),"SLO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</si>
  <si>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N19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</si>
  <si>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IF(N18=1,N11*IF_Util/(IF(N38=1,N44/INDEX(IF_TokGW_Luna,1,N$7),0)+IF(N39=1,N45/INDEX(IF_TokGW_Sol,1,N$7),0)+IF(N40=1,N46/INDEX(IF_TokGW_Astra,1,N$7),0)),"SLO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</si>
  <si>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O19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</si>
  <si>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IF(O18=1,O11*IF_Util/(IF(O38=1,O44/INDEX(IF_TokGW_Luna,1,O$7),0)+IF(O39=1,O45/INDEX(IF_TokGW_Sol,1,O$7),0)+IF(O40=1,O46/INDEX(IF_TokGW_Astra,1,O$7),0)),"SLO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</si>
  <si>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P19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</si>
  <si>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IF(P18=1,P11*IF_Util/(IF(P38=1,P44/INDEX(IF_TokGW_Luna,1,P$7),0)+IF(P39=1,P45/INDEX(IF_TokGW_Sol,1,P$7),0)+IF(P40=1,P46/INDEX(IF_TokGW_Astra,1,P$7),0)),"SLO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</si>
  <si>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Q19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</si>
  <si>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IF(Q18=1,Q11*IF_Util/(IF(Q38=1,Q44/INDEX(IF_TokGW_Luna,1,Q$7),0)+IF(Q39=1,Q45/INDEX(IF_TokGW_Sol,1,Q$7),0)+IF(Q40=1,Q46/INDEX(IF_TokGW_Astra,1,Q$7),0)),"SLO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</si>
  <si>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Fleet_1GW_Prod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</si>
  <si>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</si>
  <si>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</si>
  <si>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</si>
  <si>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</si>
  <si>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</si>
  <si>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</si>
  <si>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</si>
  <si>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</si>
  <si>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</si>
  <si>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</si>
  <si>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</si>
  <si>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</si>
  <si>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</si>
  <si>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</si>
  <si>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</t>
    </r>
  </si>
  <si>
    <t xml:space="preserve">Inputs</t>
  </si>
  <si>
    <t xml:space="preserve">E5</t>
  </si>
  <si>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電力規模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</si>
  <si>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</si>
  <si>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INDEX(Perf!$C$98:$Q$98,3*(Unit_Cost!C$6-1)+1)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</si>
  <si>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</si>
  <si>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INDEX(Perf!$C$98:$Q$98,3*(Unit_Cost!C$6-1)+2)</t>
    </r>
  </si>
  <si>
    <t xml:space="preserve">C41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</si>
  <si>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</si>
  <si>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INDEX(Perf!$C$98:$Q$98,3*(Unit_Cost!C$6-1)+3)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</si>
  <si>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INDEX(Perf!$C$98:$Q$98,3*(Unit_Cost!D$6-1)+1)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</si>
  <si>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INDEX(Perf!$C$98:$Q$98,3*(Unit_Cost!D$6-1)+2)</t>
    </r>
  </si>
  <si>
    <t xml:space="preserve">D41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</si>
  <si>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INDEX(Perf!$C$98:$Q$98,3*(Unit_Cost!D$6-1)+3)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</si>
  <si>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INDEX(Perf!$C$98:$Q$98,3*(Unit_Cost!E$6-1)+1)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</si>
  <si>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INDEX(Perf!$C$98:$Q$98,3*(Unit_Cost!E$6-1)+2)</t>
    </r>
  </si>
  <si>
    <t xml:space="preserve">E41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</si>
  <si>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INDEX(Perf!$C$98:$Q$98,3*(Unit_Cost!E$6-1)+3)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</si>
  <si>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INDEX(Perf!$C$98:$Q$98,3*(Unit_Cost!F$6-1)+1)</t>
    </r>
  </si>
  <si>
    <t xml:space="preserve">F31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</si>
  <si>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INDEX(Perf!$C$98:$Q$98,3*(Unit_Cost!F$6-1)+2)</t>
    </r>
  </si>
  <si>
    <t xml:space="preserve">F41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</si>
  <si>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INDEX(Perf!$C$98:$Q$98,3*(Unit_Cost!F$6-1)+3)</t>
    </r>
  </si>
  <si>
    <t xml:space="preserve">G21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</si>
  <si>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INDEX(Perf!$C$98:$Q$98,3*(Unit_Cost!G$6-1)+1)</t>
    </r>
  </si>
  <si>
    <t xml:space="preserve">G31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</si>
  <si>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INDEX(Perf!$C$98:$Q$98,3*(Unit_Cost!G$6-1)+2)</t>
    </r>
  </si>
  <si>
    <t xml:space="preserve">G41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</si>
  <si>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INDEX(Perf!$C$98:$Q$98,3*(Unit_Cost!G$6-1)+3)</t>
    </r>
  </si>
  <si>
    <t xml:space="preserve">H21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</si>
  <si>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INDEX(Perf!$C$98:$Q$98,3*(Unit_Cost!H$6-1)+1)</t>
    </r>
  </si>
  <si>
    <t xml:space="preserve">H31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</si>
  <si>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INDEX(Perf!$C$98:$Q$98,3*(Unit_Cost!H$6-1)+2)</t>
    </r>
  </si>
  <si>
    <t xml:space="preserve">H41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</si>
  <si>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INDEX(Perf!$C$98:$Q$98,3*(Unit_Cost!H$6-1)+3)</t>
    </r>
  </si>
  <si>
    <t xml:space="preserve">I21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</si>
  <si>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INDEX(Perf!$C$98:$Q$98,3*(Unit_Cost!I$6-1)+1)</t>
    </r>
  </si>
  <si>
    <t xml:space="preserve">I31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</si>
  <si>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INDEX(Perf!$C$98:$Q$98,3*(Unit_Cost!I$6-1)+2)</t>
    </r>
  </si>
  <si>
    <t xml:space="preserve">I41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</si>
  <si>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INDEX(Perf!$C$98:$Q$98,3*(Unit_Cost!I$6-1)+3)</t>
    </r>
  </si>
  <si>
    <t xml:space="preserve">J21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</si>
  <si>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INDEX(Perf!$C$98:$Q$98,3*(Unit_Cost!J$6-1)+1)</t>
    </r>
  </si>
  <si>
    <t xml:space="preserve">J31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</si>
  <si>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INDEX(Perf!$C$98:$Q$98,3*(Unit_Cost!J$6-1)+2)</t>
    </r>
  </si>
  <si>
    <t xml:space="preserve">J41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</si>
  <si>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INDEX(Perf!$C$98:$Q$98,3*(Unit_Cost!J$6-1)+3)</t>
    </r>
  </si>
  <si>
    <t xml:space="preserve">K21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</si>
  <si>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INDEX(Perf!$C$98:$Q$98,3*(Unit_Cost!K$6-1)+1)</t>
    </r>
  </si>
  <si>
    <t xml:space="preserve">K31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</si>
  <si>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INDEX(Perf!$C$98:$Q$98,3*(Unit_Cost!K$6-1)+2)</t>
    </r>
  </si>
  <si>
    <t xml:space="preserve">K41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</si>
  <si>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INDEX(Perf!$C$98:$Q$98,3*(Unit_Cost!K$6-1)+3)</t>
    </r>
  </si>
  <si>
    <t xml:space="preserve">L21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</si>
  <si>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INDEX(Perf!$C$98:$Q$98,3*(Unit_Cost!L$6-1)+1)</t>
    </r>
  </si>
  <si>
    <t xml:space="preserve">L31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</si>
  <si>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INDEX(Perf!$C$98:$Q$98,3*(Unit_Cost!L$6-1)+2)</t>
    </r>
  </si>
  <si>
    <t xml:space="preserve">L41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</si>
  <si>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INDEX(Perf!$C$98:$Q$98,3*(Unit_Cost!L$6-1)+3)</t>
    </r>
  </si>
  <si>
    <t xml:space="preserve">M21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</si>
  <si>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INDEX(Perf!$C$98:$Q$98,3*(Unit_Cost!M$6-1)+1)</t>
    </r>
  </si>
  <si>
    <t xml:space="preserve">M31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</si>
  <si>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INDEX(Perf!$C$98:$Q$98,3*(Unit_Cost!M$6-1)+2)</t>
    </r>
  </si>
  <si>
    <t xml:space="preserve">M41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</si>
  <si>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INDEX(Perf!$C$98:$Q$98,3*(Unit_Cost!M$6-1)+3)</t>
    </r>
  </si>
  <si>
    <t xml:space="preserve">N21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</si>
  <si>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INDEX(Perf!$C$98:$Q$98,3*(Unit_Cost!N$6-1)+1)</t>
    </r>
  </si>
  <si>
    <t xml:space="preserve">N31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</si>
  <si>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INDEX(Perf!$C$98:$Q$98,3*(Unit_Cost!N$6-1)+2)</t>
    </r>
  </si>
  <si>
    <t xml:space="preserve">N41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</si>
  <si>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INDEX(Perf!$C$98:$Q$98,3*(Unit_Cost!N$6-1)+3)</t>
    </r>
  </si>
  <si>
    <t xml:space="preserve">O21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</si>
  <si>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INDEX(Perf!$C$98:$Q$98,3*(Unit_Cost!O$6-1)+1)</t>
    </r>
  </si>
  <si>
    <t xml:space="preserve">O31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</si>
  <si>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INDEX(Perf!$C$98:$Q$98,3*(Unit_Cost!O$6-1)+2)</t>
    </r>
  </si>
  <si>
    <t xml:space="preserve">O41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</si>
  <si>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INDEX(Perf!$C$98:$Q$98,3*(Unit_Cost!O$6-1)+3)</t>
    </r>
  </si>
  <si>
    <t xml:space="preserve">P21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</si>
  <si>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INDEX(Perf!$C$98:$Q$98,3*(Unit_Cost!P$6-1)+1)</t>
    </r>
  </si>
  <si>
    <t xml:space="preserve">P31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</si>
  <si>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INDEX(Perf!$C$98:$Q$98,3*(Unit_Cost!P$6-1)+2)</t>
    </r>
  </si>
  <si>
    <t xml:space="preserve">P41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</si>
  <si>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INDEX(Perf!$C$98:$Q$98,3*(Unit_Cost!P$6-1)+3)</t>
    </r>
  </si>
  <si>
    <t xml:space="preserve">Q21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</si>
  <si>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INDEX(Perf!$C$98:$Q$98,3*(Unit_Cost!Q$6-1)+1)</t>
    </r>
  </si>
  <si>
    <t xml:space="preserve">Q31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</si>
  <si>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INDEX(Perf!$C$98:$Q$98,3*(Unit_Cost!Q$6-1)+2)</t>
    </r>
  </si>
  <si>
    <t xml:space="preserve">Q41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</si>
  <si>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INDEX(Perf!$C$98:$Q$98,3*(Unit_Cost!Q$6-1)+3)</t>
    </r>
  </si>
  <si>
    <t xml:space="preserve">SRC_DEM_012</t>
  </si>
  <si>
    <r>
      <rPr>
        <sz val="10"/>
        <color rgb="FF0000FF"/>
        <rFont val="Noto Sans CJK SC"/>
        <family val="2"/>
      </rPr>
      <t xml:space="preserve">基準利用率（第 </t>
    </r>
    <r>
      <rPr>
        <sz val="10"/>
        <color rgb="FF0000FF"/>
        <rFont val="Arial"/>
        <family val="0"/>
        <charset val="1"/>
      </rPr>
      <t xml:space="preserve">0 </t>
    </r>
    <r>
      <rPr>
        <sz val="10"/>
        <color rgb="FF0000FF"/>
        <rFont val="Noto Sans CJK SC"/>
        <family val="2"/>
      </rPr>
      <t xml:space="preserve">層）</t>
    </r>
  </si>
  <si>
    <t xml:space="preserve">營運費用小計（不含折舊）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</si>
  <si>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C43+C44+C45+C46+C47</t>
    </r>
  </si>
  <si>
    <t xml:space="preserve">C53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</si>
  <si>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C24*C52</t>
    </r>
  </si>
  <si>
    <t xml:space="preserve">C54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</si>
  <si>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(C26*C51/(1-(1+C51)^(-Inputs!D24))+C27*C51/(1-(1+C51)^(-Inputs!D25))+C28*C51/(1-(1+C51)^(-Inputs!D26))+C29*C51/(1-(1+C51)^(-Inputs!D27)))*(1+C30)+C25*C51</t>
    </r>
  </si>
  <si>
    <t xml:space="preserve">D48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</si>
  <si>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D43+D44+D45+D46+D47</t>
    </r>
  </si>
  <si>
    <t xml:space="preserve">D53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</si>
  <si>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D24*D52</t>
    </r>
  </si>
  <si>
    <t xml:space="preserve">D54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</si>
  <si>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(D26*D51/(1-(1+D51)^(-Inputs!E24))+D27*D51/(1-(1+D51)^(-Inputs!E25))+D28*D51/(1-(1+D51)^(-Inputs!E26))+D29*D51/(1-(1+D51)^(-Inputs!E27)))*(1+D30)+D25*D51</t>
    </r>
  </si>
  <si>
    <t xml:space="preserve">E48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</si>
  <si>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E43+E44+E45+E46+E47</t>
    </r>
  </si>
  <si>
    <t xml:space="preserve">E53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</si>
  <si>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E24*E52</t>
    </r>
  </si>
  <si>
    <t xml:space="preserve">E54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</si>
  <si>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(E26*E51/(1-(1+E51)^(-Inputs!F24))+E27*E51/(1-(1+E51)^(-Inputs!F25))+E28*E51/(1-(1+E51)^(-Inputs!F26))+E29*E51/(1-(1+E51)^(-Inputs!F27)))*(1+E30)+E25*E51</t>
    </r>
  </si>
  <si>
    <t xml:space="preserve">F48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</si>
  <si>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F43+F44+F45+F46+F47</t>
    </r>
  </si>
  <si>
    <t xml:space="preserve">F53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</si>
  <si>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F24*F52</t>
    </r>
  </si>
  <si>
    <t xml:space="preserve">F54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</si>
  <si>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(F26*F51/(1-(1+F51)^(-Inputs!D24))+F27*F51/(1-(1+F51)^(-Inputs!D25))+F28*F51/(1-(1+F51)^(-Inputs!D26))+F29*F51/(1-(1+F51)^(-Inputs!D27)))*(1+F30)+F25*F51</t>
    </r>
  </si>
  <si>
    <t xml:space="preserve">G48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</si>
  <si>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G43+G44+G45+G46+G47</t>
    </r>
  </si>
  <si>
    <t xml:space="preserve">G53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</si>
  <si>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G24*G52</t>
    </r>
  </si>
  <si>
    <t xml:space="preserve">G54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</si>
  <si>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(G26*G51/(1-(1+G51)^(-Inputs!E24))+G27*G51/(1-(1+G51)^(-Inputs!E25))+G28*G51/(1-(1+G51)^(-Inputs!E26))+G29*G51/(1-(1+G51)^(-Inputs!E27)))*(1+G30)+G25*G51</t>
    </r>
  </si>
  <si>
    <t xml:space="preserve">H48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</si>
  <si>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H43+H44+H45+H46+H47</t>
    </r>
  </si>
  <si>
    <t xml:space="preserve">H53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</si>
  <si>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H24*H52</t>
    </r>
  </si>
  <si>
    <t xml:space="preserve">H54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</si>
  <si>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(H26*H51/(1-(1+H51)^(-Inputs!F24))+H27*H51/(1-(1+H51)^(-Inputs!F25))+H28*H51/(1-(1+H51)^(-Inputs!F26))+H29*H51/(1-(1+H51)^(-Inputs!F27)))*(1+H30)+H25*H51</t>
    </r>
  </si>
  <si>
    <t xml:space="preserve">I48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</si>
  <si>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I43+I44+I45+I46+I47</t>
    </r>
  </si>
  <si>
    <t xml:space="preserve">I53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</si>
  <si>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I24*I52</t>
    </r>
  </si>
  <si>
    <t xml:space="preserve">I54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</si>
  <si>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(I26*I51/(1-(1+I51)^(-Inputs!D24))+I27*I51/(1-(1+I51)^(-Inputs!D25))+I28*I51/(1-(1+I51)^(-Inputs!D26))+I29*I51/(1-(1+I51)^(-Inputs!D27)))*(1+I30)+I25*I51</t>
    </r>
  </si>
  <si>
    <t xml:space="preserve">J48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</si>
  <si>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J43+J44+J45+J46+J47</t>
    </r>
  </si>
  <si>
    <t xml:space="preserve">J53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</si>
  <si>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J24*J52</t>
    </r>
  </si>
  <si>
    <t xml:space="preserve">J54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</si>
  <si>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(J26*J51/(1-(1+J51)^(-Inputs!E24))+J27*J51/(1-(1+J51)^(-Inputs!E25))+J28*J51/(1-(1+J51)^(-Inputs!E26))+J29*J51/(1-(1+J51)^(-Inputs!E27)))*(1+J30)+J25*J51</t>
    </r>
  </si>
  <si>
    <t xml:space="preserve">K48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</si>
  <si>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K43+K44+K45+K46+K47</t>
    </r>
  </si>
  <si>
    <t xml:space="preserve">K53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</si>
  <si>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K24*K52</t>
    </r>
  </si>
  <si>
    <t xml:space="preserve">K54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</si>
  <si>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(K26*K51/(1-(1+K51)^(-Inputs!F24))+K27*K51/(1-(1+K51)^(-Inputs!F25))+K28*K51/(1-(1+K51)^(-Inputs!F26))+K29*K51/(1-(1+K51)^(-Inputs!F27)))*(1+K30)+K25*K51</t>
    </r>
  </si>
  <si>
    <t xml:space="preserve">L48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</si>
  <si>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L43+L44+L45+L46+L47</t>
    </r>
  </si>
  <si>
    <t xml:space="preserve">L53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</si>
  <si>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L24*L52</t>
    </r>
  </si>
  <si>
    <t xml:space="preserve">L54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</si>
  <si>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(L26*L51/(1-(1+L51)^(-Inputs!D24))+L27*L51/(1-(1+L51)^(-Inputs!D25))+L28*L51/(1-(1+L51)^(-Inputs!D26))+L29*L51/(1-(1+L51)^(-Inputs!D27)))*(1+L30)+L25*L51</t>
    </r>
  </si>
  <si>
    <t xml:space="preserve">M48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</si>
  <si>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M43+M44+M45+M46+M47</t>
    </r>
  </si>
  <si>
    <t xml:space="preserve">M53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</si>
  <si>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M24*M52</t>
    </r>
  </si>
  <si>
    <t xml:space="preserve">M54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</si>
  <si>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(M26*M51/(1-(1+M51)^(-Inputs!E24))+M27*M51/(1-(1+M51)^(-Inputs!E25))+M28*M51/(1-(1+M51)^(-Inputs!E26))+M29*M51/(1-(1+M51)^(-Inputs!E27)))*(1+M30)+M25*M51</t>
    </r>
  </si>
  <si>
    <t xml:space="preserve">N48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</si>
  <si>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N43+N44+N45+N46+N47</t>
    </r>
  </si>
  <si>
    <t xml:space="preserve">N53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</si>
  <si>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N24*N52</t>
    </r>
  </si>
  <si>
    <t xml:space="preserve">N54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</si>
  <si>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(N26*N51/(1-(1+N51)^(-Inputs!F24))+N27*N51/(1-(1+N51)^(-Inputs!F25))+N28*N51/(1-(1+N51)^(-Inputs!F26))+N29*N51/(1-(1+N51)^(-Inputs!F27)))*(1+N30)+N25*N51</t>
    </r>
  </si>
  <si>
    <t xml:space="preserve">O48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</si>
  <si>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O43+O44+O45+O46+O47</t>
    </r>
  </si>
  <si>
    <t xml:space="preserve">O53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</si>
  <si>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O24*O52</t>
    </r>
  </si>
  <si>
    <t xml:space="preserve">O54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</si>
  <si>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(O26*O51/(1-(1+O51)^(-Inputs!D24))+O27*O51/(1-(1+O51)^(-Inputs!D25))+O28*O51/(1-(1+O51)^(-Inputs!D26))+O29*O51/(1-(1+O51)^(-Inputs!D27)))*(1+O30)+O25*O51</t>
    </r>
  </si>
  <si>
    <t xml:space="preserve">P48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</si>
  <si>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P43+P44+P45+P46+P47</t>
    </r>
  </si>
  <si>
    <t xml:space="preserve">P53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</si>
  <si>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P24*P52</t>
    </r>
  </si>
  <si>
    <t xml:space="preserve">P54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</si>
  <si>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(P26*P51/(1-(1+P51)^(-Inputs!E24))+P27*P51/(1-(1+P51)^(-Inputs!E25))+P28*P51/(1-(1+P51)^(-Inputs!E26))+P29*P51/(1-(1+P51)^(-Inputs!E27)))*(1+P30)+P25*P51</t>
    </r>
  </si>
  <si>
    <t xml:space="preserve">Q48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</si>
  <si>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Q43+Q44+Q45+Q46+Q47</t>
    </r>
  </si>
  <si>
    <t xml:space="preserve">Q53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</si>
  <si>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Q24*Q52</t>
    </r>
  </si>
  <si>
    <t xml:space="preserve">Q54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</si>
  <si>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(Q26*Q51/(1-(1+Q51)^(-Inputs!F24))+Q27*Q51/(1-(1+Q51)^(-Inputs!F25))+Q28*Q51/(1-(1+Q51)^(-Inputs!F26))+Q29*Q51/(1-(1+Q51)^(-Inputs!F27)))*(1+Q30)+Q25*Q51</t>
    </r>
  </si>
  <si>
    <t xml:space="preserve">  付費服務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</si>
  <si>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B4_Serve*(1-B4_Free)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</si>
  <si>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</si>
  <si>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IF(AND(C41&gt;0,C42&gt;0),1,0)</t>
    </r>
  </si>
  <si>
    <t xml:space="preserve">C38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</si>
  <si>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</si>
  <si>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IF(ISNUMBER(INDEX(IF_TokGW_Luna,1,C$7)),IF(INDEX(IF_TokGW_Luna,1,C$7)&gt;0,1,0),0)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</si>
  <si>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</si>
  <si>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IF(ISNUMBER(INDEX(IF_TokGW_Sol,1,C$7)),IF(INDEX(IF_TokGW_Sol,1,C$7)&gt;0,1,0),0)</t>
    </r>
  </si>
  <si>
    <t xml:space="preserve">C40</t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</si>
  <si>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</si>
  <si>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IF(ISNUMBER(INDEX(IF_TokGW_Astra,1,C$7)),IF(INDEX(IF_TokGW_Astra,1,C$7)&gt;0,1,0),0)</t>
    </r>
  </si>
  <si>
    <t xml:space="preserve">C44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</si>
  <si>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</si>
  <si>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IF(C41&gt;0,INDEX(B4_MixPaid,1,1)*C38/C41,0)</t>
    </r>
  </si>
  <si>
    <t xml:space="preserve">C45</t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</si>
  <si>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</si>
  <si>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IF(C41&gt;0,INDEX(B4_MixPaid,1,2)*C39/C41,0)</t>
    </r>
  </si>
  <si>
    <t xml:space="preserve">C46</t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</si>
  <si>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</si>
  <si>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IF(C41&gt;0,INDEX(B4_MixPaid,1,3)*C40/C41,0)</t>
    </r>
  </si>
  <si>
    <t xml:space="preserve">欄索引</t>
  </si>
  <si>
    <t xml:space="preserve">D11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</si>
  <si>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IF(AND(D41&gt;0,D42&gt;0),1,0)</t>
    </r>
  </si>
  <si>
    <t xml:space="preserve">D38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</si>
  <si>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IF(ISNUMBER(INDEX(IF_TokGW_Luna,1,D$7)),IF(INDEX(IF_TokGW_Luna,1,D$7)&gt;0,1,0),0)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</si>
  <si>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IF(ISNUMBER(INDEX(IF_TokGW_Sol,1,D$7)),IF(INDEX(IF_TokGW_Sol,1,D$7)&gt;0,1,0),0)</t>
    </r>
  </si>
  <si>
    <t xml:space="preserve">D40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</si>
  <si>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IF(ISNUMBER(INDEX(IF_TokGW_Astra,1,D$7)),IF(INDEX(IF_TokGW_Astra,1,D$7)&gt;0,1,0),0)</t>
    </r>
  </si>
  <si>
    <t xml:space="preserve">D44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</si>
  <si>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IF(D41&gt;0,INDEX(B4_MixPaid,1,1)*D38/D41,0)</t>
    </r>
  </si>
  <si>
    <t xml:space="preserve">D45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</si>
  <si>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IF(D41&gt;0,INDEX(B4_MixPaid,1,2)*D39/D41,0)</t>
    </r>
  </si>
  <si>
    <t xml:space="preserve">D46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</si>
  <si>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IF(D41&gt;0,INDEX(B4_MixPaid,1,3)*D40/D41,0)</t>
    </r>
  </si>
  <si>
    <t xml:space="preserve">D7</t>
  </si>
  <si>
    <t xml:space="preserve">E11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</si>
  <si>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IF(AND(E41&gt;0,E42&gt;0),1,0)</t>
    </r>
  </si>
  <si>
    <t xml:space="preserve">E38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</si>
  <si>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IF(ISNUMBER(INDEX(IF_TokGW_Luna,1,E$7)),IF(INDEX(IF_TokGW_Luna,1,E$7)&gt;0,1,0),0)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</si>
  <si>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IF(ISNUMBER(INDEX(IF_TokGW_Sol,1,E$7)),IF(INDEX(IF_TokGW_Sol,1,E$7)&gt;0,1,0),0)</t>
    </r>
  </si>
  <si>
    <t xml:space="preserve">E40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</si>
  <si>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IF(ISNUMBER(INDEX(IF_TokGW_Astra,1,E$7)),IF(INDEX(IF_TokGW_Astra,1,E$7)&gt;0,1,0),0)</t>
    </r>
  </si>
  <si>
    <t xml:space="preserve">E44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</si>
  <si>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IF(E41&gt;0,INDEX(B4_MixPaid,1,1)*E38/E41,0)</t>
    </r>
  </si>
  <si>
    <t xml:space="preserve">E45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</si>
  <si>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IF(E41&gt;0,INDEX(B4_MixPaid,1,2)*E39/E41,0)</t>
    </r>
  </si>
  <si>
    <t xml:space="preserve">E46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</si>
  <si>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IF(E41&gt;0,INDEX(B4_MixPaid,1,3)*E40/E41,0)</t>
    </r>
  </si>
  <si>
    <t xml:space="preserve">E7</t>
  </si>
  <si>
    <t xml:space="preserve">F11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</si>
  <si>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IF(AND(F41&gt;0,F42&gt;0),1,0)</t>
    </r>
  </si>
  <si>
    <t xml:space="preserve">F38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</si>
  <si>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IF(ISNUMBER(INDEX(IF_TokGW_Luna,1,F$7)),IF(INDEX(IF_TokGW_Luna,1,F$7)&gt;0,1,0),0)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</si>
  <si>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IF(ISNUMBER(INDEX(IF_TokGW_Sol,1,F$7)),IF(INDEX(IF_TokGW_Sol,1,F$7)&gt;0,1,0),0)</t>
    </r>
  </si>
  <si>
    <t xml:space="preserve">F40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</si>
  <si>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IF(ISNUMBER(INDEX(IF_TokGW_Astra,1,F$7)),IF(INDEX(IF_TokGW_Astra,1,F$7)&gt;0,1,0),0)</t>
    </r>
  </si>
  <si>
    <t xml:space="preserve">F44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</si>
  <si>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IF(F41&gt;0,INDEX(B4_MixPaid,1,1)*F38/F41,0)</t>
    </r>
  </si>
  <si>
    <t xml:space="preserve">F45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</si>
  <si>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IF(F41&gt;0,INDEX(B4_MixPaid,1,2)*F39/F41,0)</t>
    </r>
  </si>
  <si>
    <t xml:space="preserve">F46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</si>
  <si>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IF(F41&gt;0,INDEX(B4_MixPaid,1,3)*F40/F41,0)</t>
    </r>
  </si>
  <si>
    <t xml:space="preserve">F7</t>
  </si>
  <si>
    <t xml:space="preserve">G11</t>
  </si>
  <si>
    <t xml:space="preserve">G18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</si>
  <si>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IF(AND(G41&gt;0,G42&gt;0),1,0)</t>
    </r>
  </si>
  <si>
    <t xml:space="preserve">G38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</si>
  <si>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IF(ISNUMBER(INDEX(IF_TokGW_Luna,1,G$7)),IF(INDEX(IF_TokGW_Luna,1,G$7)&gt;0,1,0),0)</t>
    </r>
  </si>
  <si>
    <t xml:space="preserve">G39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</si>
  <si>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IF(ISNUMBER(INDEX(IF_TokGW_Sol,1,G$7)),IF(INDEX(IF_TokGW_Sol,1,G$7)&gt;0,1,0),0)</t>
    </r>
  </si>
  <si>
    <t xml:space="preserve">G40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</si>
  <si>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IF(ISNUMBER(INDEX(IF_TokGW_Astra,1,G$7)),IF(INDEX(IF_TokGW_Astra,1,G$7)&gt;0,1,0),0)</t>
    </r>
  </si>
  <si>
    <t xml:space="preserve">G44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</si>
  <si>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IF(G41&gt;0,INDEX(B4_MixPaid,1,1)*G38/G41,0)</t>
    </r>
  </si>
  <si>
    <t xml:space="preserve">G45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</si>
  <si>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IF(G41&gt;0,INDEX(B4_MixPaid,1,2)*G39/G41,0)</t>
    </r>
  </si>
  <si>
    <t xml:space="preserve">G46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</si>
  <si>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IF(G41&gt;0,INDEX(B4_MixPaid,1,3)*G40/G41,0)</t>
    </r>
  </si>
  <si>
    <t xml:space="preserve">G7</t>
  </si>
  <si>
    <t xml:space="preserve">H11</t>
  </si>
  <si>
    <t xml:space="preserve">H18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</si>
  <si>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IF(AND(H41&gt;0,H42&gt;0),1,0)</t>
    </r>
  </si>
  <si>
    <t xml:space="preserve">H38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</si>
  <si>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IF(ISNUMBER(INDEX(IF_TokGW_Luna,1,H$7)),IF(INDEX(IF_TokGW_Luna,1,H$7)&gt;0,1,0),0)</t>
    </r>
  </si>
  <si>
    <t xml:space="preserve">H39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</si>
  <si>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IF(ISNUMBER(INDEX(IF_TokGW_Sol,1,H$7)),IF(INDEX(IF_TokGW_Sol,1,H$7)&gt;0,1,0),0)</t>
    </r>
  </si>
  <si>
    <t xml:space="preserve">H40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</si>
  <si>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IF(ISNUMBER(INDEX(IF_TokGW_Astra,1,H$7)),IF(INDEX(IF_TokGW_Astra,1,H$7)&gt;0,1,0),0)</t>
    </r>
  </si>
  <si>
    <t xml:space="preserve">H44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</si>
  <si>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IF(H41&gt;0,INDEX(B4_MixPaid,1,1)*H38/H41,0)</t>
    </r>
  </si>
  <si>
    <t xml:space="preserve">H45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</si>
  <si>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IF(H41&gt;0,INDEX(B4_MixPaid,1,2)*H39/H41,0)</t>
    </r>
  </si>
  <si>
    <t xml:space="preserve">H46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</si>
  <si>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IF(H41&gt;0,INDEX(B4_MixPaid,1,3)*H40/H41,0)</t>
    </r>
  </si>
  <si>
    <t xml:space="preserve">H7</t>
  </si>
  <si>
    <t xml:space="preserve">I11</t>
  </si>
  <si>
    <t xml:space="preserve">I18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</si>
  <si>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IF(AND(I41&gt;0,I42&gt;0),1,0)</t>
    </r>
  </si>
  <si>
    <t xml:space="preserve">I38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</si>
  <si>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IF(ISNUMBER(INDEX(IF_TokGW_Luna,1,I$7)),IF(INDEX(IF_TokGW_Luna,1,I$7)&gt;0,1,0),0)</t>
    </r>
  </si>
  <si>
    <t xml:space="preserve">I39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</si>
  <si>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IF(ISNUMBER(INDEX(IF_TokGW_Sol,1,I$7)),IF(INDEX(IF_TokGW_Sol,1,I$7)&gt;0,1,0),0)</t>
    </r>
  </si>
  <si>
    <t xml:space="preserve">I40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</si>
  <si>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IF(ISNUMBER(INDEX(IF_TokGW_Astra,1,I$7)),IF(INDEX(IF_TokGW_Astra,1,I$7)&gt;0,1,0),0)</t>
    </r>
  </si>
  <si>
    <t xml:space="preserve">I44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</si>
  <si>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IF(I41&gt;0,INDEX(B4_MixPaid,1,1)*I38/I41,0)</t>
    </r>
  </si>
  <si>
    <t xml:space="preserve">I45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</si>
  <si>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IF(I41&gt;0,INDEX(B4_MixPaid,1,2)*I39/I41,0)</t>
    </r>
  </si>
  <si>
    <t xml:space="preserve">I46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</si>
  <si>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IF(I41&gt;0,INDEX(B4_MixPaid,1,3)*I40/I41,0)</t>
    </r>
  </si>
  <si>
    <t xml:space="preserve">I7</t>
  </si>
  <si>
    <t xml:space="preserve">J11</t>
  </si>
  <si>
    <t xml:space="preserve">J18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</si>
  <si>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IF(AND(J41&gt;0,J42&gt;0),1,0)</t>
    </r>
  </si>
  <si>
    <t xml:space="preserve">J38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</si>
  <si>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IF(ISNUMBER(INDEX(IF_TokGW_Luna,1,J$7)),IF(INDEX(IF_TokGW_Luna,1,J$7)&gt;0,1,0),0)</t>
    </r>
  </si>
  <si>
    <t xml:space="preserve">J39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</si>
  <si>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IF(ISNUMBER(INDEX(IF_TokGW_Sol,1,J$7)),IF(INDEX(IF_TokGW_Sol,1,J$7)&gt;0,1,0),0)</t>
    </r>
  </si>
  <si>
    <t xml:space="preserve">J40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</si>
  <si>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IF(ISNUMBER(INDEX(IF_TokGW_Astra,1,J$7)),IF(INDEX(IF_TokGW_Astra,1,J$7)&gt;0,1,0),0)</t>
    </r>
  </si>
  <si>
    <t xml:space="preserve">J44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</si>
  <si>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IF(J41&gt;0,INDEX(B4_MixPaid,1,1)*J38/J41,0)</t>
    </r>
  </si>
  <si>
    <t xml:space="preserve">J45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</si>
  <si>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IF(J41&gt;0,INDEX(B4_MixPaid,1,2)*J39/J41,0)</t>
    </r>
  </si>
  <si>
    <t xml:space="preserve">J46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</si>
  <si>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IF(J41&gt;0,INDEX(B4_MixPaid,1,3)*J40/J41,0)</t>
    </r>
  </si>
  <si>
    <t xml:space="preserve">J7</t>
  </si>
  <si>
    <t xml:space="preserve">K11</t>
  </si>
  <si>
    <t xml:space="preserve">K18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</si>
  <si>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IF(AND(K41&gt;0,K42&gt;0),1,0)</t>
    </r>
  </si>
  <si>
    <t xml:space="preserve">K38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</si>
  <si>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IF(ISNUMBER(INDEX(IF_TokGW_Luna,1,K$7)),IF(INDEX(IF_TokGW_Luna,1,K$7)&gt;0,1,0),0)</t>
    </r>
  </si>
  <si>
    <t xml:space="preserve">K39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</si>
  <si>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IF(ISNUMBER(INDEX(IF_TokGW_Sol,1,K$7)),IF(INDEX(IF_TokGW_Sol,1,K$7)&gt;0,1,0),0)</t>
    </r>
  </si>
  <si>
    <t xml:space="preserve">K40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</si>
  <si>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IF(ISNUMBER(INDEX(IF_TokGW_Astra,1,K$7)),IF(INDEX(IF_TokGW_Astra,1,K$7)&gt;0,1,0),0)</t>
    </r>
  </si>
  <si>
    <t xml:space="preserve">K44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</si>
  <si>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IF(K41&gt;0,INDEX(B4_MixPaid,1,1)*K38/K41,0)</t>
    </r>
  </si>
  <si>
    <t xml:space="preserve">K45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</si>
  <si>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IF(K41&gt;0,INDEX(B4_MixPaid,1,2)*K39/K41,0)</t>
    </r>
  </si>
  <si>
    <t xml:space="preserve">K46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</si>
  <si>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IF(K41&gt;0,INDEX(B4_MixPaid,1,3)*K40/K41,0)</t>
    </r>
  </si>
  <si>
    <t xml:space="preserve">K7</t>
  </si>
  <si>
    <t xml:space="preserve">L11</t>
  </si>
  <si>
    <t xml:space="preserve">L18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</si>
  <si>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IF(AND(L41&gt;0,L42&gt;0),1,0)</t>
    </r>
  </si>
  <si>
    <t xml:space="preserve">L38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</si>
  <si>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IF(ISNUMBER(INDEX(IF_TokGW_Luna,1,L$7)),IF(INDEX(IF_TokGW_Luna,1,L$7)&gt;0,1,0),0)</t>
    </r>
  </si>
  <si>
    <t xml:space="preserve">L39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</si>
  <si>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IF(ISNUMBER(INDEX(IF_TokGW_Sol,1,L$7)),IF(INDEX(IF_TokGW_Sol,1,L$7)&gt;0,1,0),0)</t>
    </r>
  </si>
  <si>
    <t xml:space="preserve">L40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</si>
  <si>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IF(ISNUMBER(INDEX(IF_TokGW_Astra,1,L$7)),IF(INDEX(IF_TokGW_Astra,1,L$7)&gt;0,1,0),0)</t>
    </r>
  </si>
  <si>
    <t xml:space="preserve">L44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</si>
  <si>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IF(L41&gt;0,INDEX(B4_MixPaid,1,1)*L38/L41,0)</t>
    </r>
  </si>
  <si>
    <t xml:space="preserve">L45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</si>
  <si>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IF(L41&gt;0,INDEX(B4_MixPaid,1,2)*L39/L41,0)</t>
    </r>
  </si>
  <si>
    <t xml:space="preserve">L46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</si>
  <si>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IF(L41&gt;0,INDEX(B4_MixPaid,1,3)*L40/L41,0)</t>
    </r>
  </si>
  <si>
    <t xml:space="preserve">L7</t>
  </si>
  <si>
    <t xml:space="preserve">M11</t>
  </si>
  <si>
    <t xml:space="preserve">M18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</si>
  <si>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IF(AND(M41&gt;0,M42&gt;0),1,0)</t>
    </r>
  </si>
  <si>
    <t xml:space="preserve">M38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</si>
  <si>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IF(ISNUMBER(INDEX(IF_TokGW_Luna,1,M$7)),IF(INDEX(IF_TokGW_Luna,1,M$7)&gt;0,1,0),0)</t>
    </r>
  </si>
  <si>
    <t xml:space="preserve">M39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</si>
  <si>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IF(ISNUMBER(INDEX(IF_TokGW_Sol,1,M$7)),IF(INDEX(IF_TokGW_Sol,1,M$7)&gt;0,1,0),0)</t>
    </r>
  </si>
  <si>
    <t xml:space="preserve">M40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</si>
  <si>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IF(ISNUMBER(INDEX(IF_TokGW_Astra,1,M$7)),IF(INDEX(IF_TokGW_Astra,1,M$7)&gt;0,1,0),0)</t>
    </r>
  </si>
  <si>
    <t xml:space="preserve">M44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</si>
  <si>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IF(M41&gt;0,INDEX(B4_MixPaid,1,1)*M38/M41,0)</t>
    </r>
  </si>
  <si>
    <t xml:space="preserve">M45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</si>
  <si>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IF(M41&gt;0,INDEX(B4_MixPaid,1,2)*M39/M41,0)</t>
    </r>
  </si>
  <si>
    <t xml:space="preserve">M46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</si>
  <si>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IF(M41&gt;0,INDEX(B4_MixPaid,1,3)*M40/M41,0)</t>
    </r>
  </si>
  <si>
    <t xml:space="preserve">M7</t>
  </si>
  <si>
    <t xml:space="preserve">N11</t>
  </si>
  <si>
    <t xml:space="preserve">N18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</si>
  <si>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IF(AND(N41&gt;0,N42&gt;0),1,0)</t>
    </r>
  </si>
  <si>
    <t xml:space="preserve">N38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</si>
  <si>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IF(ISNUMBER(INDEX(IF_TokGW_Luna,1,N$7)),IF(INDEX(IF_TokGW_Luna,1,N$7)&gt;0,1,0),0)</t>
    </r>
  </si>
  <si>
    <t xml:space="preserve">N39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</si>
  <si>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IF(ISNUMBER(INDEX(IF_TokGW_Sol,1,N$7)),IF(INDEX(IF_TokGW_Sol,1,N$7)&gt;0,1,0),0)</t>
    </r>
  </si>
  <si>
    <t xml:space="preserve">N40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</si>
  <si>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IF(ISNUMBER(INDEX(IF_TokGW_Astra,1,N$7)),IF(INDEX(IF_TokGW_Astra,1,N$7)&gt;0,1,0),0)</t>
    </r>
  </si>
  <si>
    <t xml:space="preserve">N44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</si>
  <si>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IF(N41&gt;0,INDEX(B4_MixPaid,1,1)*N38/N41,0)</t>
    </r>
  </si>
  <si>
    <t xml:space="preserve">N45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</si>
  <si>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IF(N41&gt;0,INDEX(B4_MixPaid,1,2)*N39/N41,0)</t>
    </r>
  </si>
  <si>
    <t xml:space="preserve">N46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</si>
  <si>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IF(N41&gt;0,INDEX(B4_MixPaid,1,3)*N40/N41,0)</t>
    </r>
  </si>
  <si>
    <t xml:space="preserve">N7</t>
  </si>
  <si>
    <t xml:space="preserve">O11</t>
  </si>
  <si>
    <t xml:space="preserve">O18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</si>
  <si>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IF(AND(O41&gt;0,O42&gt;0),1,0)</t>
    </r>
  </si>
  <si>
    <t xml:space="preserve">O38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</si>
  <si>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IF(ISNUMBER(INDEX(IF_TokGW_Luna,1,O$7)),IF(INDEX(IF_TokGW_Luna,1,O$7)&gt;0,1,0),0)</t>
    </r>
  </si>
  <si>
    <t xml:space="preserve">O39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</si>
  <si>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IF(ISNUMBER(INDEX(IF_TokGW_Sol,1,O$7)),IF(INDEX(IF_TokGW_Sol,1,O$7)&gt;0,1,0),0)</t>
    </r>
  </si>
  <si>
    <t xml:space="preserve">O40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</si>
  <si>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IF(ISNUMBER(INDEX(IF_TokGW_Astra,1,O$7)),IF(INDEX(IF_TokGW_Astra,1,O$7)&gt;0,1,0),0)</t>
    </r>
  </si>
  <si>
    <t xml:space="preserve">O44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</si>
  <si>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IF(O41&gt;0,INDEX(B4_MixPaid,1,1)*O38/O41,0)</t>
    </r>
  </si>
  <si>
    <t xml:space="preserve">O45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</si>
  <si>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IF(O41&gt;0,INDEX(B4_MixPaid,1,2)*O39/O41,0)</t>
    </r>
  </si>
  <si>
    <t xml:space="preserve">O46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</si>
  <si>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IF(O41&gt;0,INDEX(B4_MixPaid,1,3)*O40/O41,0)</t>
    </r>
  </si>
  <si>
    <t xml:space="preserve">O7</t>
  </si>
  <si>
    <t xml:space="preserve">P11</t>
  </si>
  <si>
    <t xml:space="preserve">P18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</si>
  <si>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IF(AND(P41&gt;0,P42&gt;0),1,0)</t>
    </r>
  </si>
  <si>
    <t xml:space="preserve">P38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</si>
  <si>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IF(ISNUMBER(INDEX(IF_TokGW_Luna,1,P$7)),IF(INDEX(IF_TokGW_Luna,1,P$7)&gt;0,1,0),0)</t>
    </r>
  </si>
  <si>
    <t xml:space="preserve">P39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</si>
  <si>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IF(ISNUMBER(INDEX(IF_TokGW_Sol,1,P$7)),IF(INDEX(IF_TokGW_Sol,1,P$7)&gt;0,1,0),0)</t>
    </r>
  </si>
  <si>
    <t xml:space="preserve">P40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</si>
  <si>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IF(ISNUMBER(INDEX(IF_TokGW_Astra,1,P$7)),IF(INDEX(IF_TokGW_Astra,1,P$7)&gt;0,1,0),0)</t>
    </r>
  </si>
  <si>
    <t xml:space="preserve">P44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</si>
  <si>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IF(P41&gt;0,INDEX(B4_MixPaid,1,1)*P38/P41,0)</t>
    </r>
  </si>
  <si>
    <t xml:space="preserve">P45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</si>
  <si>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IF(P41&gt;0,INDEX(B4_MixPaid,1,2)*P39/P41,0)</t>
    </r>
  </si>
  <si>
    <t xml:space="preserve">P46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</si>
  <si>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IF(P41&gt;0,INDEX(B4_MixPaid,1,3)*P40/P41,0)</t>
    </r>
  </si>
  <si>
    <t xml:space="preserve">P7</t>
  </si>
  <si>
    <t xml:space="preserve">Q11</t>
  </si>
  <si>
    <t xml:space="preserve">Q18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</si>
  <si>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IF(AND(Q41&gt;0,Q42&gt;0),1,0)</t>
    </r>
  </si>
  <si>
    <t xml:space="preserve">Q38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</si>
  <si>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IF(ISNUMBER(INDEX(IF_TokGW_Luna,1,Q$7)),IF(INDEX(IF_TokGW_Luna,1,Q$7)&gt;0,1,0),0)</t>
    </r>
  </si>
  <si>
    <t xml:space="preserve">Q39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</si>
  <si>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IF(ISNUMBER(INDEX(IF_TokGW_Sol,1,Q$7)),IF(INDEX(IF_TokGW_Sol,1,Q$7)&gt;0,1,0),0)</t>
    </r>
  </si>
  <si>
    <t xml:space="preserve">Q40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</si>
  <si>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IF(ISNUMBER(INDEX(IF_TokGW_Astra,1,Q$7)),IF(INDEX(IF_TokGW_Astra,1,Q$7)&gt;0,1,0),0)</t>
    </r>
  </si>
  <si>
    <t xml:space="preserve">Q44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</si>
  <si>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IF(Q41&gt;0,INDEX(B4_MixPaid,1,1)*Q38/Q41,0)</t>
    </r>
  </si>
  <si>
    <t xml:space="preserve">Q45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</si>
  <si>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IF(Q41&gt;0,INDEX(B4_MixPaid,1,2)*Q39/Q41,0)</t>
    </r>
  </si>
  <si>
    <t xml:space="preserve">Q46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</si>
  <si>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IF(Q41&gt;0,INDEX(B4_MixPaid,1,3)*Q40/Q41,0)</t>
    </r>
  </si>
  <si>
    <t xml:space="preserve">Q7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</si>
  <si>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IF(AND(Fleet_1GW_Prod!C41&gt;0,Fleet_1GW_Prod!C42&gt;0),1,0)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</si>
  <si>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IF(ISNUMBER(INDEX(Interface_Prod!$C$21:$Q$21,1,Fleet_1GW!C$7)),IF(INDEX(Interface_Prod!$C$21:$Q$21,1,Fleet_1GW!C$7)&gt;0,1,0),0)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</si>
  <si>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IF(ISNUMBER(INDEX(Interface_Prod!$C$31:$Q$31,1,Fleet_1GW!C$7)),IF(INDEX(Interface_Prod!$C$31:$Q$31,1,Fleet_1GW!C$7)&gt;0,1,0),0)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</si>
  <si>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IF(ISNUMBER(INDEX(Interface_Prod!$C$41:$Q$41,1,Fleet_1GW!C$7)),IF(INDEX(Interface_Prod!$C$41:$Q$41,1,Fleet_1GW!C$7)&gt;0,1,0),0)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</si>
  <si>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IF(Fleet_1GW_Prod!C41&gt;0,INDEX(B4_MixPaid,1,1)*Fleet_1GW_Prod!C38/Fleet_1GW_Prod!C41,0)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</si>
  <si>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IF(Fleet_1GW_Prod!C41&gt;0,INDEX(B4_MixPaid,1,2)*Fleet_1GW_Prod!C39/Fleet_1GW_Prod!C41,0)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</si>
  <si>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IF(Fleet_1GW_Prod!C41&gt;0,INDEX(B4_MixPaid,1,3)*Fleet_1GW_Prod!C40/Fleet_1GW_Prod!C41,0)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</si>
  <si>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IF(AND(Fleet_1GW_Prod!D41&gt;0,Fleet_1GW_Prod!D42&gt;0),1,0)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</si>
  <si>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IF(ISNUMBER(INDEX(Interface_Prod!$C$21:$Q$21,1,Fleet_1GW!D$7)),IF(INDEX(Interface_Prod!$C$21:$Q$21,1,Fleet_1GW!D$7)&gt;0,1,0),0)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</si>
  <si>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IF(ISNUMBER(INDEX(Interface_Prod!$C$31:$Q$31,1,Fleet_1GW!D$7)),IF(INDEX(Interface_Prod!$C$31:$Q$31,1,Fleet_1GW!D$7)&gt;0,1,0),0)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</si>
  <si>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IF(ISNUMBER(INDEX(Interface_Prod!$C$41:$Q$41,1,Fleet_1GW!D$7)),IF(INDEX(Interface_Prod!$C$41:$Q$41,1,Fleet_1GW!D$7)&gt;0,1,0),0)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</si>
  <si>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IF(Fleet_1GW_Prod!D41&gt;0,INDEX(B4_MixPaid,1,1)*Fleet_1GW_Prod!D38/Fleet_1GW_Prod!D41,0)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</si>
  <si>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IF(Fleet_1GW_Prod!D41&gt;0,INDEX(B4_MixPaid,1,2)*Fleet_1GW_Prod!D39/Fleet_1GW_Prod!D41,0)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</si>
  <si>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IF(Fleet_1GW_Prod!D41&gt;0,INDEX(B4_MixPaid,1,3)*Fleet_1GW_Prod!D40/Fleet_1GW_Prod!D41,0)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</si>
  <si>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IF(AND(Fleet_1GW_Prod!E41&gt;0,Fleet_1GW_Prod!E42&gt;0),1,0)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</si>
  <si>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IF(ISNUMBER(INDEX(Interface_Prod!$C$21:$Q$21,1,Fleet_1GW!E$7)),IF(INDEX(Interface_Prod!$C$21:$Q$21,1,Fleet_1GW!E$7)&gt;0,1,0),0)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</si>
  <si>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IF(ISNUMBER(INDEX(Interface_Prod!$C$31:$Q$31,1,Fleet_1GW!E$7)),IF(INDEX(Interface_Prod!$C$31:$Q$31,1,Fleet_1GW!E$7)&gt;0,1,0),0)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</si>
  <si>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IF(ISNUMBER(INDEX(Interface_Prod!$C$41:$Q$41,1,Fleet_1GW!E$7)),IF(INDEX(Interface_Prod!$C$41:$Q$41,1,Fleet_1GW!E$7)&gt;0,1,0),0)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</si>
  <si>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IF(Fleet_1GW_Prod!E41&gt;0,INDEX(B4_MixPaid,1,1)*Fleet_1GW_Prod!E38/Fleet_1GW_Prod!E41,0)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</si>
  <si>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IF(Fleet_1GW_Prod!E41&gt;0,INDEX(B4_MixPaid,1,2)*Fleet_1GW_Prod!E39/Fleet_1GW_Prod!E41,0)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</si>
  <si>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IF(Fleet_1GW_Prod!E41&gt;0,INDEX(B4_MixPaid,1,3)*Fleet_1GW_Prod!E40/Fleet_1GW_Prod!E41,0)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</si>
  <si>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IF(AND(Fleet_1GW_Prod!F41&gt;0,Fleet_1GW_Prod!F42&gt;0),1,0)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</si>
  <si>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IF(ISNUMBER(INDEX(Interface_Prod!$C$21:$Q$21,1,Fleet_1GW!F$7)),IF(INDEX(Interface_Prod!$C$21:$Q$21,1,Fleet_1GW!F$7)&gt;0,1,0),0)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</si>
  <si>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IF(ISNUMBER(INDEX(Interface_Prod!$C$31:$Q$31,1,Fleet_1GW!F$7)),IF(INDEX(Interface_Prod!$C$31:$Q$31,1,Fleet_1GW!F$7)&gt;0,1,0),0)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</si>
  <si>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IF(ISNUMBER(INDEX(Interface_Prod!$C$41:$Q$41,1,Fleet_1GW!F$7)),IF(INDEX(Interface_Prod!$C$41:$Q$41,1,Fleet_1GW!F$7)&gt;0,1,0),0)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</si>
  <si>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IF(Fleet_1GW_Prod!F41&gt;0,INDEX(B4_MixPaid,1,1)*Fleet_1GW_Prod!F38/Fleet_1GW_Prod!F41,0)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</si>
  <si>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IF(Fleet_1GW_Prod!F41&gt;0,INDEX(B4_MixPaid,1,2)*Fleet_1GW_Prod!F39/Fleet_1GW_Prod!F41,0)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</si>
  <si>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IF(Fleet_1GW_Prod!F41&gt;0,INDEX(B4_MixPaid,1,3)*Fleet_1GW_Prod!F40/Fleet_1GW_Prod!F41,0)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</si>
  <si>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IF(AND(Fleet_1GW_Prod!G41&gt;0,Fleet_1GW_Prod!G42&gt;0),1,0)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</si>
  <si>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IF(ISNUMBER(INDEX(Interface_Prod!$C$21:$Q$21,1,Fleet_1GW!G$7)),IF(INDEX(Interface_Prod!$C$21:$Q$21,1,Fleet_1GW!G$7)&gt;0,1,0),0)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</si>
  <si>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IF(ISNUMBER(INDEX(Interface_Prod!$C$31:$Q$31,1,Fleet_1GW!G$7)),IF(INDEX(Interface_Prod!$C$31:$Q$31,1,Fleet_1GW!G$7)&gt;0,1,0),0)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</si>
  <si>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IF(ISNUMBER(INDEX(Interface_Prod!$C$41:$Q$41,1,Fleet_1GW!G$7)),IF(INDEX(Interface_Prod!$C$41:$Q$41,1,Fleet_1GW!G$7)&gt;0,1,0),0)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</si>
  <si>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IF(Fleet_1GW_Prod!G41&gt;0,INDEX(B4_MixPaid,1,1)*Fleet_1GW_Prod!G38/Fleet_1GW_Prod!G41,0)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</si>
  <si>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IF(Fleet_1GW_Prod!G41&gt;0,INDEX(B4_MixPaid,1,2)*Fleet_1GW_Prod!G39/Fleet_1GW_Prod!G41,0)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</si>
  <si>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IF(Fleet_1GW_Prod!G41&gt;0,INDEX(B4_MixPaid,1,3)*Fleet_1GW_Prod!G40/Fleet_1GW_Prod!G41,0)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</si>
  <si>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IF(AND(Fleet_1GW_Prod!H41&gt;0,Fleet_1GW_Prod!H42&gt;0),1,0)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</si>
  <si>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IF(ISNUMBER(INDEX(Interface_Prod!$C$21:$Q$21,1,Fleet_1GW!H$7)),IF(INDEX(Interface_Prod!$C$21:$Q$21,1,Fleet_1GW!H$7)&gt;0,1,0),0)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</si>
  <si>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IF(ISNUMBER(INDEX(Interface_Prod!$C$31:$Q$31,1,Fleet_1GW!H$7)),IF(INDEX(Interface_Prod!$C$31:$Q$31,1,Fleet_1GW!H$7)&gt;0,1,0),0)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</si>
  <si>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IF(ISNUMBER(INDEX(Interface_Prod!$C$41:$Q$41,1,Fleet_1GW!H$7)),IF(INDEX(Interface_Prod!$C$41:$Q$41,1,Fleet_1GW!H$7)&gt;0,1,0),0)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</si>
  <si>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IF(Fleet_1GW_Prod!H41&gt;0,INDEX(B4_MixPaid,1,1)*Fleet_1GW_Prod!H38/Fleet_1GW_Prod!H41,0)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</si>
  <si>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IF(Fleet_1GW_Prod!H41&gt;0,INDEX(B4_MixPaid,1,2)*Fleet_1GW_Prod!H39/Fleet_1GW_Prod!H41,0)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</si>
  <si>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IF(Fleet_1GW_Prod!H41&gt;0,INDEX(B4_MixPaid,1,3)*Fleet_1GW_Prod!H40/Fleet_1GW_Prod!H41,0)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</si>
  <si>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IF(AND(Fleet_1GW_Prod!I41&gt;0,Fleet_1GW_Prod!I42&gt;0),1,0)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</si>
  <si>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IF(ISNUMBER(INDEX(Interface_Prod!$C$21:$Q$21,1,Fleet_1GW!I$7)),IF(INDEX(Interface_Prod!$C$21:$Q$21,1,Fleet_1GW!I$7)&gt;0,1,0),0)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</si>
  <si>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IF(ISNUMBER(INDEX(Interface_Prod!$C$31:$Q$31,1,Fleet_1GW!I$7)),IF(INDEX(Interface_Prod!$C$31:$Q$31,1,Fleet_1GW!I$7)&gt;0,1,0),0)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</si>
  <si>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IF(ISNUMBER(INDEX(Interface_Prod!$C$41:$Q$41,1,Fleet_1GW!I$7)),IF(INDEX(Interface_Prod!$C$41:$Q$41,1,Fleet_1GW!I$7)&gt;0,1,0),0)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</si>
  <si>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IF(Fleet_1GW_Prod!I41&gt;0,INDEX(B4_MixPaid,1,1)*Fleet_1GW_Prod!I38/Fleet_1GW_Prod!I41,0)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</si>
  <si>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IF(Fleet_1GW_Prod!I41&gt;0,INDEX(B4_MixPaid,1,2)*Fleet_1GW_Prod!I39/Fleet_1GW_Prod!I41,0)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</si>
  <si>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IF(Fleet_1GW_Prod!I41&gt;0,INDEX(B4_MixPaid,1,3)*Fleet_1GW_Prod!I40/Fleet_1GW_Prod!I41,0)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</si>
  <si>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IF(AND(Fleet_1GW_Prod!J41&gt;0,Fleet_1GW_Prod!J42&gt;0),1,0)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</si>
  <si>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IF(ISNUMBER(INDEX(Interface_Prod!$C$21:$Q$21,1,Fleet_1GW!J$7)),IF(INDEX(Interface_Prod!$C$21:$Q$21,1,Fleet_1GW!J$7)&gt;0,1,0),0)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</si>
  <si>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IF(ISNUMBER(INDEX(Interface_Prod!$C$31:$Q$31,1,Fleet_1GW!J$7)),IF(INDEX(Interface_Prod!$C$31:$Q$31,1,Fleet_1GW!J$7)&gt;0,1,0),0)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</si>
  <si>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IF(ISNUMBER(INDEX(Interface_Prod!$C$41:$Q$41,1,Fleet_1GW!J$7)),IF(INDEX(Interface_Prod!$C$41:$Q$41,1,Fleet_1GW!J$7)&gt;0,1,0),0)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</si>
  <si>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IF(Fleet_1GW_Prod!J41&gt;0,INDEX(B4_MixPaid,1,1)*Fleet_1GW_Prod!J38/Fleet_1GW_Prod!J41,0)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</si>
  <si>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IF(Fleet_1GW_Prod!J41&gt;0,INDEX(B4_MixPaid,1,2)*Fleet_1GW_Prod!J39/Fleet_1GW_Prod!J41,0)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</si>
  <si>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IF(Fleet_1GW_Prod!J41&gt;0,INDEX(B4_MixPaid,1,3)*Fleet_1GW_Prod!J40/Fleet_1GW_Prod!J41,0)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</si>
  <si>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IF(AND(Fleet_1GW_Prod!K41&gt;0,Fleet_1GW_Prod!K42&gt;0),1,0)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</si>
  <si>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IF(ISNUMBER(INDEX(Interface_Prod!$C$21:$Q$21,1,Fleet_1GW!K$7)),IF(INDEX(Interface_Prod!$C$21:$Q$21,1,Fleet_1GW!K$7)&gt;0,1,0),0)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</si>
  <si>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IF(ISNUMBER(INDEX(Interface_Prod!$C$31:$Q$31,1,Fleet_1GW!K$7)),IF(INDEX(Interface_Prod!$C$31:$Q$31,1,Fleet_1GW!K$7)&gt;0,1,0),0)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</si>
  <si>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IF(ISNUMBER(INDEX(Interface_Prod!$C$41:$Q$41,1,Fleet_1GW!K$7)),IF(INDEX(Interface_Prod!$C$41:$Q$41,1,Fleet_1GW!K$7)&gt;0,1,0),0)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</si>
  <si>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IF(Fleet_1GW_Prod!K41&gt;0,INDEX(B4_MixPaid,1,1)*Fleet_1GW_Prod!K38/Fleet_1GW_Prod!K41,0)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</si>
  <si>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IF(Fleet_1GW_Prod!K41&gt;0,INDEX(B4_MixPaid,1,2)*Fleet_1GW_Prod!K39/Fleet_1GW_Prod!K41,0)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</si>
  <si>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IF(Fleet_1GW_Prod!K41&gt;0,INDEX(B4_MixPaid,1,3)*Fleet_1GW_Prod!K40/Fleet_1GW_Prod!K41,0)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</si>
  <si>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IF(AND(Fleet_1GW_Prod!L41&gt;0,Fleet_1GW_Prod!L42&gt;0),1,0)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</si>
  <si>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IF(ISNUMBER(INDEX(Interface_Prod!$C$21:$Q$21,1,Fleet_1GW!L$7)),IF(INDEX(Interface_Prod!$C$21:$Q$21,1,Fleet_1GW!L$7)&gt;0,1,0),0)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</si>
  <si>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IF(ISNUMBER(INDEX(Interface_Prod!$C$31:$Q$31,1,Fleet_1GW!L$7)),IF(INDEX(Interface_Prod!$C$31:$Q$31,1,Fleet_1GW!L$7)&gt;0,1,0),0)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</si>
  <si>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IF(ISNUMBER(INDEX(Interface_Prod!$C$41:$Q$41,1,Fleet_1GW!L$7)),IF(INDEX(Interface_Prod!$C$41:$Q$41,1,Fleet_1GW!L$7)&gt;0,1,0),0)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</si>
  <si>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IF(Fleet_1GW_Prod!L41&gt;0,INDEX(B4_MixPaid,1,1)*Fleet_1GW_Prod!L38/Fleet_1GW_Prod!L41,0)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</si>
  <si>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IF(Fleet_1GW_Prod!L41&gt;0,INDEX(B4_MixPaid,1,2)*Fleet_1GW_Prod!L39/Fleet_1GW_Prod!L41,0)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</si>
  <si>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IF(Fleet_1GW_Prod!L41&gt;0,INDEX(B4_MixPaid,1,3)*Fleet_1GW_Prod!L40/Fleet_1GW_Prod!L41,0)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</si>
  <si>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IF(AND(Fleet_1GW_Prod!M41&gt;0,Fleet_1GW_Prod!M42&gt;0),1,0)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</si>
  <si>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IF(ISNUMBER(INDEX(Interface_Prod!$C$21:$Q$21,1,Fleet_1GW!M$7)),IF(INDEX(Interface_Prod!$C$21:$Q$21,1,Fleet_1GW!M$7)&gt;0,1,0),0)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</si>
  <si>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IF(ISNUMBER(INDEX(Interface_Prod!$C$31:$Q$31,1,Fleet_1GW!M$7)),IF(INDEX(Interface_Prod!$C$31:$Q$31,1,Fleet_1GW!M$7)&gt;0,1,0),0)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</si>
  <si>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IF(ISNUMBER(INDEX(Interface_Prod!$C$41:$Q$41,1,Fleet_1GW!M$7)),IF(INDEX(Interface_Prod!$C$41:$Q$41,1,Fleet_1GW!M$7)&gt;0,1,0),0)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</si>
  <si>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IF(Fleet_1GW_Prod!M41&gt;0,INDEX(B4_MixPaid,1,1)*Fleet_1GW_Prod!M38/Fleet_1GW_Prod!M41,0)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</si>
  <si>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IF(Fleet_1GW_Prod!M41&gt;0,INDEX(B4_MixPaid,1,2)*Fleet_1GW_Prod!M39/Fleet_1GW_Prod!M41,0)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</si>
  <si>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IF(Fleet_1GW_Prod!M41&gt;0,INDEX(B4_MixPaid,1,3)*Fleet_1GW_Prod!M40/Fleet_1GW_Prod!M41,0)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</si>
  <si>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IF(AND(Fleet_1GW_Prod!N41&gt;0,Fleet_1GW_Prod!N42&gt;0),1,0)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</si>
  <si>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IF(ISNUMBER(INDEX(Interface_Prod!$C$21:$Q$21,1,Fleet_1GW!N$7)),IF(INDEX(Interface_Prod!$C$21:$Q$21,1,Fleet_1GW!N$7)&gt;0,1,0),0)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</si>
  <si>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IF(ISNUMBER(INDEX(Interface_Prod!$C$31:$Q$31,1,Fleet_1GW!N$7)),IF(INDEX(Interface_Prod!$C$31:$Q$31,1,Fleet_1GW!N$7)&gt;0,1,0),0)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</si>
  <si>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IF(ISNUMBER(INDEX(Interface_Prod!$C$41:$Q$41,1,Fleet_1GW!N$7)),IF(INDEX(Interface_Prod!$C$41:$Q$41,1,Fleet_1GW!N$7)&gt;0,1,0),0)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</si>
  <si>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IF(Fleet_1GW_Prod!N41&gt;0,INDEX(B4_MixPaid,1,1)*Fleet_1GW_Prod!N38/Fleet_1GW_Prod!N41,0)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</si>
  <si>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IF(Fleet_1GW_Prod!N41&gt;0,INDEX(B4_MixPaid,1,2)*Fleet_1GW_Prod!N39/Fleet_1GW_Prod!N41,0)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</si>
  <si>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IF(Fleet_1GW_Prod!N41&gt;0,INDEX(B4_MixPaid,1,3)*Fleet_1GW_Prod!N40/Fleet_1GW_Prod!N41,0)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</si>
  <si>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IF(AND(Fleet_1GW_Prod!O41&gt;0,Fleet_1GW_Prod!O42&gt;0),1,0)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</si>
  <si>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IF(ISNUMBER(INDEX(Interface_Prod!$C$21:$Q$21,1,Fleet_1GW!O$7)),IF(INDEX(Interface_Prod!$C$21:$Q$21,1,Fleet_1GW!O$7)&gt;0,1,0),0)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</si>
  <si>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IF(ISNUMBER(INDEX(Interface_Prod!$C$31:$Q$31,1,Fleet_1GW!O$7)),IF(INDEX(Interface_Prod!$C$31:$Q$31,1,Fleet_1GW!O$7)&gt;0,1,0),0)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</si>
  <si>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IF(ISNUMBER(INDEX(Interface_Prod!$C$41:$Q$41,1,Fleet_1GW!O$7)),IF(INDEX(Interface_Prod!$C$41:$Q$41,1,Fleet_1GW!O$7)&gt;0,1,0),0)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</si>
  <si>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IF(Fleet_1GW_Prod!O41&gt;0,INDEX(B4_MixPaid,1,1)*Fleet_1GW_Prod!O38/Fleet_1GW_Prod!O41,0)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</si>
  <si>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IF(Fleet_1GW_Prod!O41&gt;0,INDEX(B4_MixPaid,1,2)*Fleet_1GW_Prod!O39/Fleet_1GW_Prod!O41,0)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</si>
  <si>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IF(Fleet_1GW_Prod!O41&gt;0,INDEX(B4_MixPaid,1,3)*Fleet_1GW_Prod!O40/Fleet_1GW_Prod!O41,0)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</si>
  <si>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IF(AND(Fleet_1GW_Prod!P41&gt;0,Fleet_1GW_Prod!P42&gt;0),1,0)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</si>
  <si>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IF(ISNUMBER(INDEX(Interface_Prod!$C$21:$Q$21,1,Fleet_1GW!P$7)),IF(INDEX(Interface_Prod!$C$21:$Q$21,1,Fleet_1GW!P$7)&gt;0,1,0),0)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</si>
  <si>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IF(ISNUMBER(INDEX(Interface_Prod!$C$31:$Q$31,1,Fleet_1GW!P$7)),IF(INDEX(Interface_Prod!$C$31:$Q$31,1,Fleet_1GW!P$7)&gt;0,1,0),0)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</si>
  <si>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IF(ISNUMBER(INDEX(Interface_Prod!$C$41:$Q$41,1,Fleet_1GW!P$7)),IF(INDEX(Interface_Prod!$C$41:$Q$41,1,Fleet_1GW!P$7)&gt;0,1,0),0)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</si>
  <si>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IF(Fleet_1GW_Prod!P41&gt;0,INDEX(B4_MixPaid,1,1)*Fleet_1GW_Prod!P38/Fleet_1GW_Prod!P41,0)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</si>
  <si>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IF(Fleet_1GW_Prod!P41&gt;0,INDEX(B4_MixPaid,1,2)*Fleet_1GW_Prod!P39/Fleet_1GW_Prod!P41,0)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</si>
  <si>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IF(Fleet_1GW_Prod!P41&gt;0,INDEX(B4_MixPaid,1,3)*Fleet_1GW_Prod!P40/Fleet_1GW_Prod!P41,0)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</si>
  <si>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IF(AND(Fleet_1GW_Prod!Q41&gt;0,Fleet_1GW_Prod!Q42&gt;0),1,0)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</si>
  <si>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IF(ISNUMBER(INDEX(Interface_Prod!$C$21:$Q$21,1,Fleet_1GW!Q$7)),IF(INDEX(Interface_Prod!$C$21:$Q$21,1,Fleet_1GW!Q$7)&gt;0,1,0),0)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</si>
  <si>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IF(ISNUMBER(INDEX(Interface_Prod!$C$31:$Q$31,1,Fleet_1GW!Q$7)),IF(INDEX(Interface_Prod!$C$31:$Q$31,1,Fleet_1GW!Q$7)&gt;0,1,0),0)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</si>
  <si>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IF(ISNUMBER(INDEX(Interface_Prod!$C$41:$Q$41,1,Fleet_1GW!Q$7)),IF(INDEX(Interface_Prod!$C$41:$Q$41,1,Fleet_1GW!Q$7)&gt;0,1,0),0)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</si>
  <si>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IF(Fleet_1GW_Prod!Q41&gt;0,INDEX(B4_MixPaid,1,1)*Fleet_1GW_Prod!Q38/Fleet_1GW_Prod!Q41,0)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</si>
  <si>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IF(Fleet_1GW_Prod!Q41&gt;0,INDEX(B4_MixPaid,1,2)*Fleet_1GW_Prod!Q39/Fleet_1GW_Prod!Q41,0)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</si>
  <si>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IF(Fleet_1GW_Prod!Q41&gt;0,INDEX(B4_MixPaid,1,3)*Fleet_1GW_Prod!Q40/Fleet_1GW_Prod!Q41,0)</t>
    </r>
  </si>
  <si>
    <t xml:space="preserve">Interface_Prod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</si>
  <si>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INDEX(Perf_Prod!$C$98:$Q$98,3*(Unit_Cost!C$6-1)+1)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</si>
  <si>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INDEX(Perf_Prod!$C$98:$Q$98,3*(Unit_Cost!C$6-1)+2)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</si>
  <si>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INDEX(Perf_Prod!$C$98:$Q$98,3*(Unit_Cost!C$6-1)+3)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</si>
  <si>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INDEX(Perf_Prod!$C$98:$Q$98,3*(Unit_Cost!D$6-1)+1)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</si>
  <si>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INDEX(Perf_Prod!$C$98:$Q$98,3*(Unit_Cost!D$6-1)+2)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</si>
  <si>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INDEX(Perf_Prod!$C$98:$Q$98,3*(Unit_Cost!D$6-1)+3)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</si>
  <si>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INDEX(Perf_Prod!$C$98:$Q$98,3*(Unit_Cost!E$6-1)+1)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</si>
  <si>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INDEX(Perf_Prod!$C$98:$Q$98,3*(Unit_Cost!E$6-1)+2)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</si>
  <si>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INDEX(Perf_Prod!$C$98:$Q$98,3*(Unit_Cost!E$6-1)+3)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</si>
  <si>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INDEX(Perf_Prod!$C$98:$Q$98,3*(Unit_Cost!F$6-1)+1)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</si>
  <si>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INDEX(Perf_Prod!$C$98:$Q$98,3*(Unit_Cost!F$6-1)+2)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</si>
  <si>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INDEX(Perf_Prod!$C$98:$Q$98,3*(Unit_Cost!F$6-1)+3)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</si>
  <si>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INDEX(Perf_Prod!$C$98:$Q$98,3*(Unit_Cost!G$6-1)+1)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</si>
  <si>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INDEX(Perf_Prod!$C$98:$Q$98,3*(Unit_Cost!G$6-1)+2)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</si>
  <si>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INDEX(Perf_Prod!$C$98:$Q$98,3*(Unit_Cost!G$6-1)+3)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</si>
  <si>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INDEX(Perf_Prod!$C$98:$Q$98,3*(Unit_Cost!H$6-1)+1)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</si>
  <si>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INDEX(Perf_Prod!$C$98:$Q$98,3*(Unit_Cost!H$6-1)+2)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</si>
  <si>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INDEX(Perf_Prod!$C$98:$Q$98,3*(Unit_Cost!H$6-1)+3)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</si>
  <si>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INDEX(Perf_Prod!$C$98:$Q$98,3*(Unit_Cost!I$6-1)+1)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</si>
  <si>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INDEX(Perf_Prod!$C$98:$Q$98,3*(Unit_Cost!I$6-1)+2)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</si>
  <si>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INDEX(Perf_Prod!$C$98:$Q$98,3*(Unit_Cost!I$6-1)+3)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</si>
  <si>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INDEX(Perf_Prod!$C$98:$Q$98,3*(Unit_Cost!J$6-1)+1)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</si>
  <si>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INDEX(Perf_Prod!$C$98:$Q$98,3*(Unit_Cost!J$6-1)+2)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</si>
  <si>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INDEX(Perf_Prod!$C$98:$Q$98,3*(Unit_Cost!J$6-1)+3)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</si>
  <si>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INDEX(Perf_Prod!$C$98:$Q$98,3*(Unit_Cost!K$6-1)+1)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</si>
  <si>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INDEX(Perf_Prod!$C$98:$Q$98,3*(Unit_Cost!K$6-1)+2)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</si>
  <si>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INDEX(Perf_Prod!$C$98:$Q$98,3*(Unit_Cost!K$6-1)+3)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</si>
  <si>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INDEX(Perf_Prod!$C$98:$Q$98,3*(Unit_Cost!L$6-1)+1)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</si>
  <si>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INDEX(Perf_Prod!$C$98:$Q$98,3*(Unit_Cost!L$6-1)+2)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</si>
  <si>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INDEX(Perf_Prod!$C$98:$Q$98,3*(Unit_Cost!L$6-1)+3)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</si>
  <si>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INDEX(Perf_Prod!$C$98:$Q$98,3*(Unit_Cost!M$6-1)+1)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</si>
  <si>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INDEX(Perf_Prod!$C$98:$Q$98,3*(Unit_Cost!M$6-1)+2)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</si>
  <si>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INDEX(Perf_Prod!$C$98:$Q$98,3*(Unit_Cost!M$6-1)+3)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</si>
  <si>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INDEX(Perf_Prod!$C$98:$Q$98,3*(Unit_Cost!N$6-1)+1)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</si>
  <si>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INDEX(Perf_Prod!$C$98:$Q$98,3*(Unit_Cost!N$6-1)+2)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</si>
  <si>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INDEX(Perf_Prod!$C$98:$Q$98,3*(Unit_Cost!N$6-1)+3)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</si>
  <si>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INDEX(Perf_Prod!$C$98:$Q$98,3*(Unit_Cost!O$6-1)+1)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</si>
  <si>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INDEX(Perf_Prod!$C$98:$Q$98,3*(Unit_Cost!O$6-1)+2)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</si>
  <si>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INDEX(Perf_Prod!$C$98:$Q$98,3*(Unit_Cost!O$6-1)+3)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</si>
  <si>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INDEX(Perf_Prod!$C$98:$Q$98,3*(Unit_Cost!P$6-1)+1)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</si>
  <si>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INDEX(Perf_Prod!$C$98:$Q$98,3*(Unit_Cost!P$6-1)+2)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</si>
  <si>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INDEX(Perf_Prod!$C$98:$Q$98,3*(Unit_Cost!P$6-1)+3)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</si>
  <si>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INDEX(Perf_Prod!$C$98:$Q$98,3*(Unit_Cost!Q$6-1)+1)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</si>
  <si>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INDEX(Perf_Prod!$C$98:$Q$98,3*(Unit_Cost!Q$6-1)+2)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</si>
  <si>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INDEX(Perf_Prod!$C$98:$Q$98,3*(Unit_Cost!Q$6-1)+3)</t>
    </r>
  </si>
  <si>
    <t xml:space="preserve">對外服務占機隊</t>
  </si>
  <si>
    <r>
      <rPr>
        <sz val="10"/>
        <color rgb="FF0000FF"/>
        <rFont val="Noto Sans CJK SC"/>
        <family val="2"/>
      </rPr>
      <t xml:space="preserve">原始數據（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</t>
    </r>
  </si>
  <si>
    <t xml:space="preserve">其中免費服務占服務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</si>
  <si>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C19+C21+C23</t>
    </r>
  </si>
  <si>
    <t xml:space="preserve">C25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</si>
  <si>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C8*Inputs!D16/1000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</si>
  <si>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C8*Inputs!D17/1000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</si>
  <si>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C8*Inputs!D18/1000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</si>
  <si>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C8*Inputs!D19/1000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</si>
  <si>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C8*Inputs!D20/1000</t>
    </r>
  </si>
  <si>
    <t xml:space="preserve">設計、管理與預備費率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</si>
  <si>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Inputs!D21</t>
    </r>
  </si>
  <si>
    <t xml:space="preserve">C43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</si>
  <si>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C8*1000*C41*C15*8760*C42/1000000000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</si>
  <si>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C24*Inputs!D30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</si>
  <si>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C32*Inputs!D31</t>
    </r>
  </si>
  <si>
    <t xml:space="preserve">人員、軟體、水與耗材（站點營運；不含平台研發）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</si>
  <si>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(Inputs!D32*C8/1000+Inputs!D33*C8/1000+Inputs!D34*C8)/1000</t>
    </r>
  </si>
  <si>
    <t xml:space="preserve">C47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</si>
  <si>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C33*Inputs!D35</t>
    </r>
  </si>
  <si>
    <t xml:space="preserve">C51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</si>
  <si>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Inputs!D28</t>
    </r>
  </si>
  <si>
    <t xml:space="preserve">C52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</si>
  <si>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C51/(1-(1+C51)^(-C38))</t>
    </r>
  </si>
  <si>
    <t xml:space="preserve">D24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</si>
  <si>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D19+D21+D23</t>
    </r>
  </si>
  <si>
    <t xml:space="preserve">D25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</si>
  <si>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D8*Inputs!E16/1000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</si>
  <si>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D8*Inputs!E17/1000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</si>
  <si>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D8*Inputs!E18/1000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</si>
  <si>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D8*Inputs!E19/1000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</si>
  <si>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D8*Inputs!E20/1000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</si>
  <si>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Inputs!E21</t>
    </r>
  </si>
  <si>
    <t xml:space="preserve">D43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</si>
  <si>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D8*1000*D41*D15*8760*D42/1000000000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</si>
  <si>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D24*Inputs!E30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</si>
  <si>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D32*Inputs!E31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</si>
  <si>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(Inputs!E32*D8/1000+Inputs!E33*D8/1000+Inputs!E34*D8)/1000</t>
    </r>
  </si>
  <si>
    <t xml:space="preserve">D47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</si>
  <si>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D33*Inputs!E35</t>
    </r>
  </si>
  <si>
    <t xml:space="preserve">D51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</si>
  <si>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Inputs!E28</t>
    </r>
  </si>
  <si>
    <t xml:space="preserve">D52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</si>
  <si>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D51/(1-(1+D51)^(-D38))</t>
    </r>
  </si>
  <si>
    <t xml:space="preserve">E24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</si>
  <si>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E19+E21+E23</t>
    </r>
  </si>
  <si>
    <t xml:space="preserve">E25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</si>
  <si>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E8*Inputs!F16/1000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</si>
  <si>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E8*Inputs!F17/1000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</si>
  <si>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E8*Inputs!F18/1000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</si>
  <si>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E8*Inputs!F19/1000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</si>
  <si>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E8*Inputs!F20/1000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</si>
  <si>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Inputs!F21</t>
    </r>
  </si>
  <si>
    <t xml:space="preserve">E43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</si>
  <si>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E8*1000*E41*E15*8760*E42/1000000000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</si>
  <si>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E24*Inputs!F30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</si>
  <si>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E32*Inputs!F31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</si>
  <si>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(Inputs!F32*E8/1000+Inputs!F33*E8/1000+Inputs!F34*E8)/1000</t>
    </r>
  </si>
  <si>
    <t xml:space="preserve">E47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</si>
  <si>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E33*Inputs!F35</t>
    </r>
  </si>
  <si>
    <t xml:space="preserve">E51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</si>
  <si>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Inputs!F28</t>
    </r>
  </si>
  <si>
    <t xml:space="preserve">E52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</si>
  <si>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E51/(1-(1+E51)^(-E38))</t>
    </r>
  </si>
  <si>
    <t xml:space="preserve">F24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</si>
  <si>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F19+F21+F23</t>
    </r>
  </si>
  <si>
    <t xml:space="preserve">F25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</si>
  <si>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F8*Inputs!D16/1000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</si>
  <si>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F8*Inputs!D17/1000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</si>
  <si>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F8*Inputs!D18/1000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</si>
  <si>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F8*Inputs!D19/1000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</si>
  <si>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F8*Inputs!D20/1000</t>
    </r>
  </si>
  <si>
    <t xml:space="preserve">F43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</si>
  <si>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F8*1000*F41*F15*8760*F42/1000000000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</si>
  <si>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F24*Inputs!D30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</si>
  <si>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F32*Inputs!D31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</si>
  <si>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(Inputs!D32*F8/1000+Inputs!D33*F8/1000+Inputs!D34*F8)/1000</t>
    </r>
  </si>
  <si>
    <t xml:space="preserve">F47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</si>
  <si>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F33*Inputs!D35</t>
    </r>
  </si>
  <si>
    <t xml:space="preserve">F51</t>
  </si>
  <si>
    <t xml:space="preserve">F52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</si>
  <si>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F51/(1-(1+F51)^(-F38))</t>
    </r>
  </si>
  <si>
    <t xml:space="preserve">G24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</si>
  <si>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G19+G21+G23</t>
    </r>
  </si>
  <si>
    <t xml:space="preserve">G25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</si>
  <si>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G8*Inputs!E16/1000</t>
    </r>
  </si>
  <si>
    <t xml:space="preserve">G26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</si>
  <si>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G8*Inputs!E17/1000</t>
    </r>
  </si>
  <si>
    <t xml:space="preserve">G27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</si>
  <si>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G8*Inputs!E18/1000</t>
    </r>
  </si>
  <si>
    <t xml:space="preserve">G28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</si>
  <si>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G8*Inputs!E19/1000</t>
    </r>
  </si>
  <si>
    <t xml:space="preserve">G29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</si>
  <si>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G8*Inputs!E20/1000</t>
    </r>
  </si>
  <si>
    <t xml:space="preserve">G30</t>
  </si>
  <si>
    <t xml:space="preserve">G43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</si>
  <si>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G8*1000*G41*G15*8760*G42/1000000000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</si>
  <si>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G24*Inputs!E30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</si>
  <si>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G32*Inputs!E31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</si>
  <si>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(Inputs!E32*G8/1000+Inputs!E33*G8/1000+Inputs!E34*G8)/1000</t>
    </r>
  </si>
  <si>
    <t xml:space="preserve">G47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</si>
  <si>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G33*Inputs!E35</t>
    </r>
  </si>
  <si>
    <t xml:space="preserve">G51</t>
  </si>
  <si>
    <t xml:space="preserve">G52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</si>
  <si>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G51/(1-(1+G51)^(-G38))</t>
    </r>
  </si>
  <si>
    <t xml:space="preserve">H24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</si>
  <si>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H19+H21+H23</t>
    </r>
  </si>
  <si>
    <t xml:space="preserve">H25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</si>
  <si>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H8*Inputs!F16/1000</t>
    </r>
  </si>
  <si>
    <t xml:space="preserve">H26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</si>
  <si>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H8*Inputs!F17/1000</t>
    </r>
  </si>
  <si>
    <t xml:space="preserve">H27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</si>
  <si>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H8*Inputs!F18/1000</t>
    </r>
  </si>
  <si>
    <t xml:space="preserve">H28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</si>
  <si>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H8*Inputs!F19/1000</t>
    </r>
  </si>
  <si>
    <t xml:space="preserve">H29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</si>
  <si>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H8*Inputs!F20/1000</t>
    </r>
  </si>
  <si>
    <t xml:space="preserve">H30</t>
  </si>
  <si>
    <t xml:space="preserve">H43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</si>
  <si>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H8*1000*H41*H15*8760*H42/1000000000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</si>
  <si>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H24*Inputs!F30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</si>
  <si>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H32*Inputs!F31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</si>
  <si>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(Inputs!F32*H8/1000+Inputs!F33*H8/1000+Inputs!F34*H8)/1000</t>
    </r>
  </si>
  <si>
    <t xml:space="preserve">H47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</si>
  <si>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H33*Inputs!F35</t>
    </r>
  </si>
  <si>
    <t xml:space="preserve">H51</t>
  </si>
  <si>
    <t xml:space="preserve">H52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</si>
  <si>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H51/(1-(1+H51)^(-H38))</t>
    </r>
  </si>
  <si>
    <t xml:space="preserve">I24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</si>
  <si>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I19+I21+I23</t>
    </r>
  </si>
  <si>
    <t xml:space="preserve">I25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</si>
  <si>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I8*Inputs!D16/1000</t>
    </r>
  </si>
  <si>
    <t xml:space="preserve">I26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</si>
  <si>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I8*Inputs!D17/1000</t>
    </r>
  </si>
  <si>
    <t xml:space="preserve">I27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</si>
  <si>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I8*Inputs!D18/1000</t>
    </r>
  </si>
  <si>
    <t xml:space="preserve">I28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</si>
  <si>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I8*Inputs!D19/1000</t>
    </r>
  </si>
  <si>
    <t xml:space="preserve">I29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</si>
  <si>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I8*Inputs!D20/1000</t>
    </r>
  </si>
  <si>
    <t xml:space="preserve">I30</t>
  </si>
  <si>
    <t xml:space="preserve">I43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</si>
  <si>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I8*1000*I41*I15*8760*I42/1000000000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</si>
  <si>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I24*Inputs!D30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</si>
  <si>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I32*Inputs!D31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</si>
  <si>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(Inputs!D32*I8/1000+Inputs!D33*I8/1000+Inputs!D34*I8)/1000</t>
    </r>
  </si>
  <si>
    <t xml:space="preserve">I47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</si>
  <si>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I33*Inputs!D35</t>
    </r>
  </si>
  <si>
    <t xml:space="preserve">I51</t>
  </si>
  <si>
    <t xml:space="preserve">I52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</si>
  <si>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I51/(1-(1+I51)^(-I38))</t>
    </r>
  </si>
  <si>
    <t xml:space="preserve">J24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</si>
  <si>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J19+J21+J23</t>
    </r>
  </si>
  <si>
    <t xml:space="preserve">J25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</si>
  <si>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J8*Inputs!E16/1000</t>
    </r>
  </si>
  <si>
    <t xml:space="preserve">J26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</si>
  <si>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J8*Inputs!E17/1000</t>
    </r>
  </si>
  <si>
    <t xml:space="preserve">J27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</si>
  <si>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J8*Inputs!E18/1000</t>
    </r>
  </si>
  <si>
    <t xml:space="preserve">J28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</si>
  <si>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J8*Inputs!E19/1000</t>
    </r>
  </si>
  <si>
    <t xml:space="preserve">J29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</si>
  <si>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J8*Inputs!E20/1000</t>
    </r>
  </si>
  <si>
    <t xml:space="preserve">J30</t>
  </si>
  <si>
    <t xml:space="preserve">J43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</si>
  <si>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J8*1000*J41*J15*8760*J42/1000000000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</si>
  <si>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J24*Inputs!E30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</si>
  <si>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J32*Inputs!E31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</si>
  <si>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(Inputs!E32*J8/1000+Inputs!E33*J8/1000+Inputs!E34*J8)/1000</t>
    </r>
  </si>
  <si>
    <t xml:space="preserve">J47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</si>
  <si>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J33*Inputs!E35</t>
    </r>
  </si>
  <si>
    <t xml:space="preserve">J51</t>
  </si>
  <si>
    <t xml:space="preserve">J52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</si>
  <si>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J51/(1-(1+J51)^(-J38))</t>
    </r>
  </si>
  <si>
    <t xml:space="preserve">K24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</si>
  <si>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K19+K21+K23</t>
    </r>
  </si>
  <si>
    <t xml:space="preserve">K25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</si>
  <si>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K8*Inputs!F16/1000</t>
    </r>
  </si>
  <si>
    <t xml:space="preserve">K26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</si>
  <si>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K8*Inputs!F17/1000</t>
    </r>
  </si>
  <si>
    <t xml:space="preserve">K27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</si>
  <si>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K8*Inputs!F18/1000</t>
    </r>
  </si>
  <si>
    <t xml:space="preserve">K28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</si>
  <si>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K8*Inputs!F19/1000</t>
    </r>
  </si>
  <si>
    <t xml:space="preserve">K29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</si>
  <si>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K8*Inputs!F20/1000</t>
    </r>
  </si>
  <si>
    <t xml:space="preserve">K30</t>
  </si>
  <si>
    <t xml:space="preserve">K43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</si>
  <si>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K8*1000*K41*K15*8760*K42/1000000000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</si>
  <si>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K24*Inputs!F30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</si>
  <si>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K32*Inputs!F31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</si>
  <si>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(Inputs!F32*K8/1000+Inputs!F33*K8/1000+Inputs!F34*K8)/1000</t>
    </r>
  </si>
  <si>
    <t xml:space="preserve">K47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</si>
  <si>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K33*Inputs!F35</t>
    </r>
  </si>
  <si>
    <t xml:space="preserve">K51</t>
  </si>
  <si>
    <t xml:space="preserve">K52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</si>
  <si>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K51/(1-(1+K51)^(-K38))</t>
    </r>
  </si>
  <si>
    <t xml:space="preserve">L24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</si>
  <si>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L19+L21+L23</t>
    </r>
  </si>
  <si>
    <t xml:space="preserve">L25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</si>
  <si>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L8*Inputs!D16/1000</t>
    </r>
  </si>
  <si>
    <t xml:space="preserve">L26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</si>
  <si>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L8*Inputs!D17/1000</t>
    </r>
  </si>
  <si>
    <t xml:space="preserve">L27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</si>
  <si>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L8*Inputs!D18/1000</t>
    </r>
  </si>
  <si>
    <t xml:space="preserve">L28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</si>
  <si>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L8*Inputs!D19/1000</t>
    </r>
  </si>
  <si>
    <t xml:space="preserve">L29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</si>
  <si>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L8*Inputs!D20/1000</t>
    </r>
  </si>
  <si>
    <t xml:space="preserve">L30</t>
  </si>
  <si>
    <t xml:space="preserve">L43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</si>
  <si>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L8*1000*L41*L15*8760*L42/1000000000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</si>
  <si>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L24*Inputs!D30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</si>
  <si>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L32*Inputs!D31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</si>
  <si>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(Inputs!D32*L8/1000+Inputs!D33*L8/1000+Inputs!D34*L8)/1000</t>
    </r>
  </si>
  <si>
    <t xml:space="preserve">L47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</si>
  <si>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L33*Inputs!D35</t>
    </r>
  </si>
  <si>
    <t xml:space="preserve">L51</t>
  </si>
  <si>
    <t xml:space="preserve">L52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</si>
  <si>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L51/(1-(1+L51)^(-L38))</t>
    </r>
  </si>
  <si>
    <t xml:space="preserve">M24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</si>
  <si>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M19+M21+M23</t>
    </r>
  </si>
  <si>
    <t xml:space="preserve">M25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</si>
  <si>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M8*Inputs!E16/1000</t>
    </r>
  </si>
  <si>
    <t xml:space="preserve">M26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</si>
  <si>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M8*Inputs!E17/1000</t>
    </r>
  </si>
  <si>
    <t xml:space="preserve">M27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</si>
  <si>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M8*Inputs!E18/1000</t>
    </r>
  </si>
  <si>
    <t xml:space="preserve">M28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</si>
  <si>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M8*Inputs!E19/1000</t>
    </r>
  </si>
  <si>
    <t xml:space="preserve">M29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</si>
  <si>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M8*Inputs!E20/1000</t>
    </r>
  </si>
  <si>
    <t xml:space="preserve">M30</t>
  </si>
  <si>
    <t xml:space="preserve">M43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</si>
  <si>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M8*1000*M41*M15*8760*M42/1000000000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</si>
  <si>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M24*Inputs!E30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</si>
  <si>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M32*Inputs!E31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</si>
  <si>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(Inputs!E32*M8/1000+Inputs!E33*M8/1000+Inputs!E34*M8)/1000</t>
    </r>
  </si>
  <si>
    <t xml:space="preserve">M47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</si>
  <si>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M33*Inputs!E35</t>
    </r>
  </si>
  <si>
    <t xml:space="preserve">M51</t>
  </si>
  <si>
    <t xml:space="preserve">M52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</si>
  <si>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M51/(1-(1+M51)^(-M38))</t>
    </r>
  </si>
  <si>
    <t xml:space="preserve">N24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</si>
  <si>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N19+N21+N23</t>
    </r>
  </si>
  <si>
    <t xml:space="preserve">N25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</si>
  <si>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N8*Inputs!F16/1000</t>
    </r>
  </si>
  <si>
    <t xml:space="preserve">N26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</si>
  <si>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N8*Inputs!F17/1000</t>
    </r>
  </si>
  <si>
    <t xml:space="preserve">N27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</si>
  <si>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N8*Inputs!F18/1000</t>
    </r>
  </si>
  <si>
    <t xml:space="preserve">N28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</si>
  <si>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N8*Inputs!F19/1000</t>
    </r>
  </si>
  <si>
    <t xml:space="preserve">N29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</si>
  <si>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N8*Inputs!F20/1000</t>
    </r>
  </si>
  <si>
    <t xml:space="preserve">N30</t>
  </si>
  <si>
    <t xml:space="preserve">N43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</si>
  <si>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N8*1000*N41*N15*8760*N42/1000000000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</si>
  <si>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N24*Inputs!F30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</si>
  <si>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N32*Inputs!F31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</si>
  <si>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(Inputs!F32*N8/1000+Inputs!F33*N8/1000+Inputs!F34*N8)/1000</t>
    </r>
  </si>
  <si>
    <t xml:space="preserve">N47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</si>
  <si>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N33*Inputs!F35</t>
    </r>
  </si>
  <si>
    <t xml:space="preserve">N51</t>
  </si>
  <si>
    <t xml:space="preserve">N52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</si>
  <si>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N51/(1-(1+N51)^(-N38))</t>
    </r>
  </si>
  <si>
    <t xml:space="preserve">O24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</si>
  <si>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O19+O21+O23</t>
    </r>
  </si>
  <si>
    <t xml:space="preserve">O25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</si>
  <si>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O8*Inputs!D16/1000</t>
    </r>
  </si>
  <si>
    <t xml:space="preserve">O26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</si>
  <si>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O8*Inputs!D17/1000</t>
    </r>
  </si>
  <si>
    <t xml:space="preserve">O27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</si>
  <si>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O8*Inputs!D18/1000</t>
    </r>
  </si>
  <si>
    <t xml:space="preserve">O28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</si>
  <si>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O8*Inputs!D19/1000</t>
    </r>
  </si>
  <si>
    <t xml:space="preserve">O29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</si>
  <si>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O8*Inputs!D20/1000</t>
    </r>
  </si>
  <si>
    <t xml:space="preserve">O30</t>
  </si>
  <si>
    <t xml:space="preserve">O43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</si>
  <si>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O8*1000*O41*O15*8760*O42/1000000000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</si>
  <si>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O24*Inputs!D30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</si>
  <si>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O32*Inputs!D31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</si>
  <si>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(Inputs!D32*O8/1000+Inputs!D33*O8/1000+Inputs!D34*O8)/1000</t>
    </r>
  </si>
  <si>
    <t xml:space="preserve">O47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</si>
  <si>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O33*Inputs!D35</t>
    </r>
  </si>
  <si>
    <t xml:space="preserve">O51</t>
  </si>
  <si>
    <t xml:space="preserve">O52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</si>
  <si>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O51/(1-(1+O51)^(-O38))</t>
    </r>
  </si>
  <si>
    <t xml:space="preserve">P24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</si>
  <si>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P19+P21+P23</t>
    </r>
  </si>
  <si>
    <t xml:space="preserve">P25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</si>
  <si>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P8*Inputs!E16/1000</t>
    </r>
  </si>
  <si>
    <t xml:space="preserve">P26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</si>
  <si>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P8*Inputs!E17/1000</t>
    </r>
  </si>
  <si>
    <t xml:space="preserve">P27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</si>
  <si>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P8*Inputs!E18/1000</t>
    </r>
  </si>
  <si>
    <t xml:space="preserve">P28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</si>
  <si>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P8*Inputs!E19/1000</t>
    </r>
  </si>
  <si>
    <t xml:space="preserve">P29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</si>
  <si>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P8*Inputs!E20/1000</t>
    </r>
  </si>
  <si>
    <t xml:space="preserve">P30</t>
  </si>
  <si>
    <t xml:space="preserve">P43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</si>
  <si>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P8*1000*P41*P15*8760*P42/1000000000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</si>
  <si>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P24*Inputs!E30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</si>
  <si>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P32*Inputs!E31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</si>
  <si>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(Inputs!E32*P8/1000+Inputs!E33*P8/1000+Inputs!E34*P8)/1000</t>
    </r>
  </si>
  <si>
    <t xml:space="preserve">P47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</si>
  <si>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P33*Inputs!E35</t>
    </r>
  </si>
  <si>
    <t xml:space="preserve">P51</t>
  </si>
  <si>
    <t xml:space="preserve">P52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</si>
  <si>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P51/(1-(1+P51)^(-P38))</t>
    </r>
  </si>
  <si>
    <t xml:space="preserve">Q24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</si>
  <si>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Q19+Q21+Q23</t>
    </r>
  </si>
  <si>
    <t xml:space="preserve">Q25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</si>
  <si>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Q8*Inputs!F16/1000</t>
    </r>
  </si>
  <si>
    <t xml:space="preserve">Q26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</si>
  <si>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Q8*Inputs!F17/1000</t>
    </r>
  </si>
  <si>
    <t xml:space="preserve">Q27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</si>
  <si>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Q8*Inputs!F18/1000</t>
    </r>
  </si>
  <si>
    <t xml:space="preserve">Q28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</si>
  <si>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Q8*Inputs!F19/1000</t>
    </r>
  </si>
  <si>
    <t xml:space="preserve">Q29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</si>
  <si>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Q8*Inputs!F20/1000</t>
    </r>
  </si>
  <si>
    <t xml:space="preserve">Q30</t>
  </si>
  <si>
    <t xml:space="preserve">Q43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</si>
  <si>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Q8*1000*Q41*Q15*8760*Q42/1000000000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</si>
  <si>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Q24*Inputs!F30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</si>
  <si>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Q32*Inputs!F31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</si>
  <si>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(Inputs!F32*Q8/1000+Inputs!F33*Q8/1000+Inputs!F34*Q8)/1000</t>
    </r>
  </si>
  <si>
    <t xml:space="preserve">Q47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</si>
  <si>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Q33*Inputs!F35</t>
    </r>
  </si>
  <si>
    <t xml:space="preserve">Q51</t>
  </si>
  <si>
    <t xml:space="preserve">Q52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</si>
  <si>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Q51/(1-(1+Q51)^(-Q38))</t>
    </r>
  </si>
  <si>
    <t xml:space="preserve">付費組合：保留層級的權重合計（重新正規化前）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</si>
  <si>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INDEX(B4_MixPaid,1,1)*C38+INDEX(B4_MixPaid,1,2)*C39+INDEX(B4_MixPaid,1,3)*C40</t>
    </r>
  </si>
  <si>
    <t xml:space="preserve">C42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</si>
  <si>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</si>
  <si>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INDEX(B4_MixFree,1,1)*C38+INDEX(B4_MixFree,1,2)*C39+INDEX(B4_MixFree,1,3)*C40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</si>
  <si>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INDEX(B4_MixPaid,1,1)*D38+INDEX(B4_MixPaid,1,2)*D39+INDEX(B4_MixPaid,1,3)*D40</t>
    </r>
  </si>
  <si>
    <t xml:space="preserve">D42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</si>
  <si>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INDEX(B4_MixFree,1,1)*D38+INDEX(B4_MixFree,1,2)*D39+INDEX(B4_MixFree,1,3)*D40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</si>
  <si>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INDEX(B4_MixPaid,1,1)*E38+INDEX(B4_MixPaid,1,2)*E39+INDEX(B4_MixPaid,1,3)*E40</t>
    </r>
  </si>
  <si>
    <t xml:space="preserve">E42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</si>
  <si>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INDEX(B4_MixFree,1,1)*E38+INDEX(B4_MixFree,1,2)*E39+INDEX(B4_MixFree,1,3)*E40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</si>
  <si>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INDEX(B4_MixPaid,1,1)*F38+INDEX(B4_MixPaid,1,2)*F39+INDEX(B4_MixPaid,1,3)*F40</t>
    </r>
  </si>
  <si>
    <t xml:space="preserve">F42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</si>
  <si>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INDEX(B4_MixFree,1,1)*F38+INDEX(B4_MixFree,1,2)*F39+INDEX(B4_MixFree,1,3)*F40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</si>
  <si>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INDEX(B4_MixPaid,1,1)*G38+INDEX(B4_MixPaid,1,2)*G39+INDEX(B4_MixPaid,1,3)*G40</t>
    </r>
  </si>
  <si>
    <t xml:space="preserve">G42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</si>
  <si>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INDEX(B4_MixFree,1,1)*G38+INDEX(B4_MixFree,1,2)*G39+INDEX(B4_MixFree,1,3)*G40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</si>
  <si>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INDEX(B4_MixPaid,1,1)*H38+INDEX(B4_MixPaid,1,2)*H39+INDEX(B4_MixPaid,1,3)*H40</t>
    </r>
  </si>
  <si>
    <t xml:space="preserve">H42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</si>
  <si>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INDEX(B4_MixFree,1,1)*H38+INDEX(B4_MixFree,1,2)*H39+INDEX(B4_MixFree,1,3)*H40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</si>
  <si>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INDEX(B4_MixPaid,1,1)*I38+INDEX(B4_MixPaid,1,2)*I39+INDEX(B4_MixPaid,1,3)*I40</t>
    </r>
  </si>
  <si>
    <t xml:space="preserve">I42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</si>
  <si>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INDEX(B4_MixFree,1,1)*I38+INDEX(B4_MixFree,1,2)*I39+INDEX(B4_MixFree,1,3)*I40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</si>
  <si>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INDEX(B4_MixPaid,1,1)*J38+INDEX(B4_MixPaid,1,2)*J39+INDEX(B4_MixPaid,1,3)*J40</t>
    </r>
  </si>
  <si>
    <t xml:space="preserve">J42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</si>
  <si>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INDEX(B4_MixFree,1,1)*J38+INDEX(B4_MixFree,1,2)*J39+INDEX(B4_MixFree,1,3)*J40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</si>
  <si>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INDEX(B4_MixPaid,1,1)*K38+INDEX(B4_MixPaid,1,2)*K39+INDEX(B4_MixPaid,1,3)*K40</t>
    </r>
  </si>
  <si>
    <t xml:space="preserve">K42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</si>
  <si>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INDEX(B4_MixFree,1,1)*K38+INDEX(B4_MixFree,1,2)*K39+INDEX(B4_MixFree,1,3)*K40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</si>
  <si>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INDEX(B4_MixPaid,1,1)*L38+INDEX(B4_MixPaid,1,2)*L39+INDEX(B4_MixPaid,1,3)*L40</t>
    </r>
  </si>
  <si>
    <t xml:space="preserve">L42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</si>
  <si>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INDEX(B4_MixFree,1,1)*L38+INDEX(B4_MixFree,1,2)*L39+INDEX(B4_MixFree,1,3)*L40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</si>
  <si>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INDEX(B4_MixPaid,1,1)*M38+INDEX(B4_MixPaid,1,2)*M39+INDEX(B4_MixPaid,1,3)*M40</t>
    </r>
  </si>
  <si>
    <t xml:space="preserve">M42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</si>
  <si>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INDEX(B4_MixFree,1,1)*M38+INDEX(B4_MixFree,1,2)*M39+INDEX(B4_MixFree,1,3)*M40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</si>
  <si>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INDEX(B4_MixPaid,1,1)*N38+INDEX(B4_MixPaid,1,2)*N39+INDEX(B4_MixPaid,1,3)*N40</t>
    </r>
  </si>
  <si>
    <t xml:space="preserve">N42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</si>
  <si>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INDEX(B4_MixFree,1,1)*N38+INDEX(B4_MixFree,1,2)*N39+INDEX(B4_MixFree,1,3)*N40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</si>
  <si>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INDEX(B4_MixPaid,1,1)*O38+INDEX(B4_MixPaid,1,2)*O39+INDEX(B4_MixPaid,1,3)*O40</t>
    </r>
  </si>
  <si>
    <t xml:space="preserve">O42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</si>
  <si>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INDEX(B4_MixFree,1,1)*O38+INDEX(B4_MixFree,1,2)*O39+INDEX(B4_MixFree,1,3)*O40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</si>
  <si>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INDEX(B4_MixPaid,1,1)*P38+INDEX(B4_MixPaid,1,2)*P39+INDEX(B4_MixPaid,1,3)*P40</t>
    </r>
  </si>
  <si>
    <t xml:space="preserve">P42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</si>
  <si>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INDEX(B4_MixFree,1,1)*P38+INDEX(B4_MixFree,1,2)*P39+INDEX(B4_MixFree,1,3)*P40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</si>
  <si>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INDEX(B4_MixPaid,1,1)*Q38+INDEX(B4_MixPaid,1,2)*Q39+INDEX(B4_MixPaid,1,3)*Q40</t>
    </r>
  </si>
  <si>
    <t xml:space="preserve">Q42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</si>
  <si>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INDEX(B4_MixFree,1,1)*Q38+INDEX(B4_MixFree,1,2)*Q39+INDEX(B4_MixFree,1,3)*Q40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</si>
  <si>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INDEX(B4_MixPaid,1,1)*Fleet_1GW_Prod!C38+INDEX(B4_MixPaid,1,2)*Fleet_1GW_Prod!C39+INDEX(B4_MixPaid,1,3)*Fleet_1GW_Prod!C40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</si>
  <si>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INDEX(B4_MixFree,1,1)*Fleet_1GW_Prod!C38+INDEX(B4_MixFree,1,2)*Fleet_1GW_Prod!C39+INDEX(B4_MixFree,1,3)*Fleet_1GW_Prod!C40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</si>
  <si>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INDEX(B4_MixPaid,1,1)*Fleet_1GW_Prod!D38+INDEX(B4_MixPaid,1,2)*Fleet_1GW_Prod!D39+INDEX(B4_MixPaid,1,3)*Fleet_1GW_Prod!D40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</si>
  <si>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INDEX(B4_MixFree,1,1)*Fleet_1GW_Prod!D38+INDEX(B4_MixFree,1,2)*Fleet_1GW_Prod!D39+INDEX(B4_MixFree,1,3)*Fleet_1GW_Prod!D40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</si>
  <si>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INDEX(B4_MixPaid,1,1)*Fleet_1GW_Prod!E38+INDEX(B4_MixPaid,1,2)*Fleet_1GW_Prod!E39+INDEX(B4_MixPaid,1,3)*Fleet_1GW_Prod!E40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</si>
  <si>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INDEX(B4_MixFree,1,1)*Fleet_1GW_Prod!E38+INDEX(B4_MixFree,1,2)*Fleet_1GW_Prod!E39+INDEX(B4_MixFree,1,3)*Fleet_1GW_Prod!E40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</si>
  <si>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INDEX(B4_MixPaid,1,1)*Fleet_1GW_Prod!F38+INDEX(B4_MixPaid,1,2)*Fleet_1GW_Prod!F39+INDEX(B4_MixPaid,1,3)*Fleet_1GW_Prod!F40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</si>
  <si>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INDEX(B4_MixFree,1,1)*Fleet_1GW_Prod!F38+INDEX(B4_MixFree,1,2)*Fleet_1GW_Prod!F39+INDEX(B4_MixFree,1,3)*Fleet_1GW_Prod!F40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</si>
  <si>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INDEX(B4_MixPaid,1,1)*Fleet_1GW_Prod!G38+INDEX(B4_MixPaid,1,2)*Fleet_1GW_Prod!G39+INDEX(B4_MixPaid,1,3)*Fleet_1GW_Prod!G40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</si>
  <si>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INDEX(B4_MixFree,1,1)*Fleet_1GW_Prod!G38+INDEX(B4_MixFree,1,2)*Fleet_1GW_Prod!G39+INDEX(B4_MixFree,1,3)*Fleet_1GW_Prod!G40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</si>
  <si>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INDEX(B4_MixPaid,1,1)*Fleet_1GW_Prod!H38+INDEX(B4_MixPaid,1,2)*Fleet_1GW_Prod!H39+INDEX(B4_MixPaid,1,3)*Fleet_1GW_Prod!H40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</si>
  <si>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INDEX(B4_MixFree,1,1)*Fleet_1GW_Prod!H38+INDEX(B4_MixFree,1,2)*Fleet_1GW_Prod!H39+INDEX(B4_MixFree,1,3)*Fleet_1GW_Prod!H40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</si>
  <si>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INDEX(B4_MixPaid,1,1)*Fleet_1GW_Prod!I38+INDEX(B4_MixPaid,1,2)*Fleet_1GW_Prod!I39+INDEX(B4_MixPaid,1,3)*Fleet_1GW_Prod!I40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</si>
  <si>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INDEX(B4_MixFree,1,1)*Fleet_1GW_Prod!I38+INDEX(B4_MixFree,1,2)*Fleet_1GW_Prod!I39+INDEX(B4_MixFree,1,3)*Fleet_1GW_Prod!I40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</si>
  <si>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INDEX(B4_MixPaid,1,1)*Fleet_1GW_Prod!J38+INDEX(B4_MixPaid,1,2)*Fleet_1GW_Prod!J39+INDEX(B4_MixPaid,1,3)*Fleet_1GW_Prod!J40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</si>
  <si>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INDEX(B4_MixFree,1,1)*Fleet_1GW_Prod!J38+INDEX(B4_MixFree,1,2)*Fleet_1GW_Prod!J39+INDEX(B4_MixFree,1,3)*Fleet_1GW_Prod!J40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</si>
  <si>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INDEX(B4_MixPaid,1,1)*Fleet_1GW_Prod!K38+INDEX(B4_MixPaid,1,2)*Fleet_1GW_Prod!K39+INDEX(B4_MixPaid,1,3)*Fleet_1GW_Prod!K40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</si>
  <si>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INDEX(B4_MixFree,1,1)*Fleet_1GW_Prod!K38+INDEX(B4_MixFree,1,2)*Fleet_1GW_Prod!K39+INDEX(B4_MixFree,1,3)*Fleet_1GW_Prod!K40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</si>
  <si>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INDEX(B4_MixPaid,1,1)*Fleet_1GW_Prod!L38+INDEX(B4_MixPaid,1,2)*Fleet_1GW_Prod!L39+INDEX(B4_MixPaid,1,3)*Fleet_1GW_Prod!L40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</si>
  <si>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INDEX(B4_MixFree,1,1)*Fleet_1GW_Prod!L38+INDEX(B4_MixFree,1,2)*Fleet_1GW_Prod!L39+INDEX(B4_MixFree,1,3)*Fleet_1GW_Prod!L40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</si>
  <si>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INDEX(B4_MixPaid,1,1)*Fleet_1GW_Prod!M38+INDEX(B4_MixPaid,1,2)*Fleet_1GW_Prod!M39+INDEX(B4_MixPaid,1,3)*Fleet_1GW_Prod!M40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</si>
  <si>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INDEX(B4_MixFree,1,1)*Fleet_1GW_Prod!M38+INDEX(B4_MixFree,1,2)*Fleet_1GW_Prod!M39+INDEX(B4_MixFree,1,3)*Fleet_1GW_Prod!M40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</si>
  <si>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INDEX(B4_MixPaid,1,1)*Fleet_1GW_Prod!N38+INDEX(B4_MixPaid,1,2)*Fleet_1GW_Prod!N39+INDEX(B4_MixPaid,1,3)*Fleet_1GW_Prod!N40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</si>
  <si>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INDEX(B4_MixFree,1,1)*Fleet_1GW_Prod!N38+INDEX(B4_MixFree,1,2)*Fleet_1GW_Prod!N39+INDEX(B4_MixFree,1,3)*Fleet_1GW_Prod!N40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</si>
  <si>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INDEX(B4_MixPaid,1,1)*Fleet_1GW_Prod!O38+INDEX(B4_MixPaid,1,2)*Fleet_1GW_Prod!O39+INDEX(B4_MixPaid,1,3)*Fleet_1GW_Prod!O40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</si>
  <si>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INDEX(B4_MixFree,1,1)*Fleet_1GW_Prod!O38+INDEX(B4_MixFree,1,2)*Fleet_1GW_Prod!O39+INDEX(B4_MixFree,1,3)*Fleet_1GW_Prod!O40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</si>
  <si>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INDEX(B4_MixPaid,1,1)*Fleet_1GW_Prod!P38+INDEX(B4_MixPaid,1,2)*Fleet_1GW_Prod!P39+INDEX(B4_MixPaid,1,3)*Fleet_1GW_Prod!P40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</si>
  <si>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INDEX(B4_MixFree,1,1)*Fleet_1GW_Prod!P38+INDEX(B4_MixFree,1,2)*Fleet_1GW_Prod!P39+INDEX(B4_MixFree,1,3)*Fleet_1GW_Prod!P40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</si>
  <si>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INDEX(B4_MixPaid,1,1)*Fleet_1GW_Prod!Q38+INDEX(B4_MixPaid,1,2)*Fleet_1GW_Prod!Q39+INDEX(B4_MixPaid,1,3)*Fleet_1GW_Prod!Q40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</si>
  <si>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INDEX(B4_MixFree,1,1)*Fleet_1GW_Prod!Q38+INDEX(B4_MixFree,1,2)*Fleet_1GW_Prod!Q39+INDEX(B4_MixFree,1,3)*Fleet_1GW_Prod!Q40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</si>
  <si>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E24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</si>
  <si>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E25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</si>
  <si>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E26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</si>
  <si>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E27</t>
    </r>
  </si>
  <si>
    <t xml:space="preserve">Perf_Prod</t>
  </si>
  <si>
    <t xml:space="preserve">C98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</si>
  <si>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</si>
  <si>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IF(ISNUMBER(Perf_Prod!C95),Perf_Prod!C95*Perf!C25*8760*3600/1000000,Perf_Prod!C95)</t>
    </r>
  </si>
  <si>
    <t xml:space="preserve">D98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</si>
  <si>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IF(ISNUMBER(Perf_Prod!D95),Perf_Prod!D95*Perf!D25*8760*3600/1000000,Perf_Prod!D95)</t>
    </r>
  </si>
  <si>
    <t xml:space="preserve">E98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</si>
  <si>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IF(ISNUMBER(Perf_Prod!E95),Perf_Prod!E95*Perf!E25*8760*3600/1000000,Perf_Prod!E95)</t>
    </r>
  </si>
  <si>
    <t xml:space="preserve">F98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</si>
  <si>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IF(ISNUMBER(Perf_Prod!F95),Perf_Prod!F95*Perf!F25*8760*3600/1000000,Perf_Prod!F95)</t>
    </r>
  </si>
  <si>
    <t xml:space="preserve">G98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</si>
  <si>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IF(ISNUMBER(Perf_Prod!G95),Perf_Prod!G95*Perf!G25*8760*3600/1000000,Perf_Prod!G95)</t>
    </r>
  </si>
  <si>
    <t xml:space="preserve">H98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</si>
  <si>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IF(ISNUMBER(Perf_Prod!H95),Perf_Prod!H95*Perf!H25*8760*3600/1000000,Perf_Prod!H95)</t>
    </r>
  </si>
  <si>
    <t xml:space="preserve">I98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</si>
  <si>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IF(ISNUMBER(Perf_Prod!I95),Perf_Prod!I95*Perf!I25*8760*3600/1000000,Perf_Prod!I95)</t>
    </r>
  </si>
  <si>
    <t xml:space="preserve">J98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</si>
  <si>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IF(ISNUMBER(Perf_Prod!J95),Perf_Prod!J95*Perf!J25*8760*3600/1000000,Perf_Prod!J95)</t>
    </r>
  </si>
  <si>
    <t xml:space="preserve">K98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</si>
  <si>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IF(ISNUMBER(Perf_Prod!K95),Perf_Prod!K95*Perf!K25*8760*3600/1000000,Perf_Prod!K95)</t>
    </r>
  </si>
  <si>
    <t xml:space="preserve">L98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</si>
  <si>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IF(ISNUMBER(Perf_Prod!L95),Perf_Prod!L95*Perf!L25*8760*3600/1000000,Perf_Prod!L95)</t>
    </r>
  </si>
  <si>
    <t xml:space="preserve">M98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</si>
  <si>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IF(ISNUMBER(Perf_Prod!M95),Perf_Prod!M95*Perf!M25*8760*3600/1000000,Perf_Prod!M95)</t>
    </r>
  </si>
  <si>
    <t xml:space="preserve">N98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</si>
  <si>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IF(ISNUMBER(Perf_Prod!N95),Perf_Prod!N95*Perf!N25*8760*3600/1000000,Perf_Prod!N95)</t>
    </r>
  </si>
  <si>
    <t xml:space="preserve">O98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</si>
  <si>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IF(ISNUMBER(Perf_Prod!O95),Perf_Prod!O95*Perf!O25*8760*3600/1000000,Perf_Prod!O95)</t>
    </r>
  </si>
  <si>
    <t xml:space="preserve">P98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</si>
  <si>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IF(ISNUMBER(Perf_Prod!P95),Perf_Prod!P95*Perf!P25*8760*3600/1000000,Perf_Prod!P95)</t>
    </r>
  </si>
  <si>
    <t xml:space="preserve">Q98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</si>
  <si>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IF(ISNUMBER(Perf_Prod!Q95),Perf_Prod!Q95*Perf!Q25*8760*3600/1000000,Perf_Prod!Q95)</t>
    </r>
  </si>
  <si>
    <t xml:space="preserve">Unit_Cost</t>
  </si>
  <si>
    <t xml:space="preserve">世代索引</t>
  </si>
  <si>
    <t xml:space="preserve">D6</t>
  </si>
  <si>
    <t xml:space="preserve">E6</t>
  </si>
  <si>
    <t xml:space="preserve">F6</t>
  </si>
  <si>
    <t xml:space="preserve">G6</t>
  </si>
  <si>
    <t xml:space="preserve">H6</t>
  </si>
  <si>
    <t xml:space="preserve">I6</t>
  </si>
  <si>
    <t xml:space="preserve">J6</t>
  </si>
  <si>
    <t xml:space="preserve">K6</t>
  </si>
  <si>
    <t xml:space="preserve">L6</t>
  </si>
  <si>
    <t xml:space="preserve">M6</t>
  </si>
  <si>
    <t xml:space="preserve">N6</t>
  </si>
  <si>
    <t xml:space="preserve">O6</t>
  </si>
  <si>
    <t xml:space="preserve">P6</t>
  </si>
  <si>
    <t xml:space="preserve">Q6</t>
  </si>
  <si>
    <r>
      <rPr>
        <sz val="10"/>
        <color rgb="FF0000FF"/>
        <rFont val="Noto Sans CJK SC"/>
        <family val="2"/>
      </rPr>
      <t xml:space="preserve">世代索引（</t>
    </r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順序）</t>
    </r>
  </si>
  <si>
    <t xml:space="preserve">D16</t>
  </si>
  <si>
    <t xml:space="preserve">E16</t>
  </si>
  <si>
    <t xml:space="preserve">F16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</si>
  <si>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Inputs!D9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</si>
  <si>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C25+C26+C27+C28+C29+C31</t>
    </r>
  </si>
  <si>
    <t xml:space="preserve">總資本支出（設施）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</si>
  <si>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C24+C32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</si>
  <si>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</si>
  <si>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Inputs!D23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</si>
  <si>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Inputs!D10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</si>
  <si>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Inputs!D11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</si>
  <si>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Inputs!$E$5*1000</t>
    </r>
  </si>
  <si>
    <t xml:space="preserve">D15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</si>
  <si>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Inputs!E9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</si>
  <si>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D25+D26+D27+D28+D29+D31</t>
    </r>
  </si>
  <si>
    <t xml:space="preserve">D33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</si>
  <si>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D24+D32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</si>
  <si>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Inputs!E23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</si>
  <si>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Inputs!E10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</si>
  <si>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Inputs!E11</t>
    </r>
  </si>
  <si>
    <t xml:space="preserve">D8</t>
  </si>
  <si>
    <t xml:space="preserve">E15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</si>
  <si>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Inputs!F9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</si>
  <si>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E25+E26+E27+E28+E29+E31</t>
    </r>
  </si>
  <si>
    <t xml:space="preserve">E33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</si>
  <si>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E24+E32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</si>
  <si>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Inputs!F23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</si>
  <si>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Inputs!F10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</si>
  <si>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Inputs!F11</t>
    </r>
  </si>
  <si>
    <t xml:space="preserve">E8</t>
  </si>
  <si>
    <t xml:space="preserve">F15</t>
  </si>
  <si>
    <t xml:space="preserve">F32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</si>
  <si>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F25+F26+F27+F28+F29+F31</t>
    </r>
  </si>
  <si>
    <t xml:space="preserve">F33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</si>
  <si>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F24+F32</t>
    </r>
  </si>
  <si>
    <t xml:space="preserve">F8</t>
  </si>
  <si>
    <t xml:space="preserve">G15</t>
  </si>
  <si>
    <t xml:space="preserve">G32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</si>
  <si>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G25+G26+G27+G28+G29+G31</t>
    </r>
  </si>
  <si>
    <t xml:space="preserve">G33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</si>
  <si>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G24+G32</t>
    </r>
  </si>
  <si>
    <t xml:space="preserve">G8</t>
  </si>
  <si>
    <t xml:space="preserve">H15</t>
  </si>
  <si>
    <t xml:space="preserve">H32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</si>
  <si>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H25+H26+H27+H28+H29+H31</t>
    </r>
  </si>
  <si>
    <t xml:space="preserve">H33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</si>
  <si>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H24+H32</t>
    </r>
  </si>
  <si>
    <t xml:space="preserve">H8</t>
  </si>
  <si>
    <t xml:space="preserve">I15</t>
  </si>
  <si>
    <t xml:space="preserve">I32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</si>
  <si>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I25+I26+I27+I28+I29+I31</t>
    </r>
  </si>
  <si>
    <t xml:space="preserve">I33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</si>
  <si>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I24+I32</t>
    </r>
  </si>
  <si>
    <t xml:space="preserve">I8</t>
  </si>
  <si>
    <t xml:space="preserve">J15</t>
  </si>
  <si>
    <t xml:space="preserve">J32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</si>
  <si>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J25+J26+J27+J28+J29+J31</t>
    </r>
  </si>
  <si>
    <t xml:space="preserve">J33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</si>
  <si>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J24+J32</t>
    </r>
  </si>
  <si>
    <t xml:space="preserve">J8</t>
  </si>
  <si>
    <t xml:space="preserve">K15</t>
  </si>
  <si>
    <t xml:space="preserve">K32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</si>
  <si>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K25+K26+K27+K28+K29+K31</t>
    </r>
  </si>
  <si>
    <t xml:space="preserve">K33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</si>
  <si>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K24+K32</t>
    </r>
  </si>
  <si>
    <t xml:space="preserve">K8</t>
  </si>
  <si>
    <t xml:space="preserve">L15</t>
  </si>
  <si>
    <t xml:space="preserve">L32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</si>
  <si>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L25+L26+L27+L28+L29+L31</t>
    </r>
  </si>
  <si>
    <t xml:space="preserve">L33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</si>
  <si>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L24+L32</t>
    </r>
  </si>
  <si>
    <t xml:space="preserve">L8</t>
  </si>
  <si>
    <t xml:space="preserve">M15</t>
  </si>
  <si>
    <t xml:space="preserve">M32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</si>
  <si>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M25+M26+M27+M28+M29+M31</t>
    </r>
  </si>
  <si>
    <t xml:space="preserve">M33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</si>
  <si>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M24+M32</t>
    </r>
  </si>
  <si>
    <t xml:space="preserve">M8</t>
  </si>
  <si>
    <t xml:space="preserve">N15</t>
  </si>
  <si>
    <t xml:space="preserve">N32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</si>
  <si>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N25+N26+N27+N28+N29+N31</t>
    </r>
  </si>
  <si>
    <t xml:space="preserve">N33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</si>
  <si>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N24+N32</t>
    </r>
  </si>
  <si>
    <t xml:space="preserve">N8</t>
  </si>
  <si>
    <t xml:space="preserve">O15</t>
  </si>
  <si>
    <t xml:space="preserve">O32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</si>
  <si>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O25+O26+O27+O28+O29+O31</t>
    </r>
  </si>
  <si>
    <t xml:space="preserve">O33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</si>
  <si>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O24+O32</t>
    </r>
  </si>
  <si>
    <t xml:space="preserve">O8</t>
  </si>
  <si>
    <t xml:space="preserve">P15</t>
  </si>
  <si>
    <t xml:space="preserve">P32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</si>
  <si>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P25+P26+P27+P28+P29+P31</t>
    </r>
  </si>
  <si>
    <t xml:space="preserve">P33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</si>
  <si>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P24+P32</t>
    </r>
  </si>
  <si>
    <t xml:space="preserve">P8</t>
  </si>
  <si>
    <t xml:space="preserve">Q15</t>
  </si>
  <si>
    <t xml:space="preserve">Q32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</si>
  <si>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Q25+Q26+Q27+Q28+Q29+Q31</t>
    </r>
  </si>
  <si>
    <t xml:space="preserve">Q33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</si>
  <si>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Q24+Q32</t>
    </r>
  </si>
  <si>
    <t xml:space="preserve">Q8</t>
  </si>
  <si>
    <r>
      <rPr>
        <sz val="10"/>
        <color rgb="FF0000FF"/>
        <rFont val="Arial"/>
        <family val="0"/>
        <charset val="1"/>
      </rPr>
      <t xml:space="preserve">WACC</t>
    </r>
    <r>
      <rPr>
        <sz val="10"/>
        <color rgb="FF0000FF"/>
        <rFont val="Noto Sans CJK SC"/>
        <family val="2"/>
      </rPr>
      <t xml:space="preserve">（經濟口徑）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</si>
  <si>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</si>
  <si>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IF(D28=0,(D37*MIN(D36,D23)+D38*(D23-MIN(D36,D23)))/D23,(D37*(1-(1+D28)^(-MIN(D36,D23)))+D38*((1+D28)^(-MIN(D36,D23))-(1+D28)^(-D23)))/(1-(1+D28)^(-D23)))</t>
    </r>
  </si>
  <si>
    <t xml:space="preserve">D34</t>
  </si>
  <si>
    <t xml:space="preserve">D35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</si>
  <si>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IF(E28=0,(E37*MIN(E36,E23)+E38*(E23-MIN(E36,E23)))/E23,(E37*(1-(1+E28)^(-MIN(E36,E23)))+E38*((1+E28)^(-MIN(E36,E23))-(1+E28)^(-E23)))/(1-(1+E28)^(-E23)))</t>
    </r>
  </si>
  <si>
    <t xml:space="preserve">E34</t>
  </si>
  <si>
    <t xml:space="preserve">E35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</si>
  <si>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IF(F28=0,(F37*MIN(F36,F23)+F38*(F23-MIN(F36,F23)))/F23,(F37*(1-(1+F28)^(-MIN(F36,F23)))+F38*((1+F28)^(-MIN(F36,F23))-(1+F28)^(-F23)))/(1-(1+F28)^(-F23)))</t>
    </r>
  </si>
  <si>
    <t xml:space="preserve">F34</t>
  </si>
  <si>
    <t xml:space="preserve">F35</t>
  </si>
  <si>
    <t xml:space="preserve">Perf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</si>
  <si>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</si>
  <si>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INDEX(DC_Cost!$C$12:$Q$12,3*(C$6-1)+2)/CTL_GW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</si>
  <si>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IF(ISNUMBER(C95),C95*C25*8760*3600/1000000,C95)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</si>
  <si>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INDEX(DC_Cost!$C$12:$Q$12,3*(D$6-1)+2)/CTL_GW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</si>
  <si>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IF(ISNUMBER(D95),D95*D25*8760*3600/1000000,D95)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</si>
  <si>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INDEX(DC_Cost!$C$12:$Q$12,3*(E$6-1)+2)/CTL_GW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</si>
  <si>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IF(ISNUMBER(E95),E95*E25*8760*3600/1000000,E95)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</si>
  <si>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INDEX(DC_Cost!$C$12:$Q$12,3*(F$6-1)+2)/CTL_GW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</si>
  <si>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IF(ISNUMBER(F95),F95*F25*8760*3600/1000000,F95)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</si>
  <si>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INDEX(DC_Cost!$C$12:$Q$12,3*(G$6-1)+2)/CTL_GW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</si>
  <si>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IF(ISNUMBER(G95),G95*G25*8760*3600/1000000,G95)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</si>
  <si>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INDEX(DC_Cost!$C$12:$Q$12,3*(H$6-1)+2)/CTL_GW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</si>
  <si>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IF(ISNUMBER(H95),H95*H25*8760*3600/1000000,H95)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</si>
  <si>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INDEX(DC_Cost!$C$12:$Q$12,3*(I$6-1)+2)/CTL_GW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</si>
  <si>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IF(ISNUMBER(I95),I95*I25*8760*3600/1000000,I95)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</si>
  <si>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INDEX(DC_Cost!$C$12:$Q$12,3*(J$6-1)+2)/CTL_GW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</si>
  <si>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IF(ISNUMBER(J95),J95*J25*8760*3600/1000000,J95)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</si>
  <si>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INDEX(DC_Cost!$C$12:$Q$12,3*(K$6-1)+2)/CTL_GW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</si>
  <si>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IF(ISNUMBER(K95),K95*K25*8760*3600/1000000,K95)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</si>
  <si>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INDEX(DC_Cost!$C$12:$Q$12,3*(L$6-1)+2)/CTL_GW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</si>
  <si>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IF(ISNUMBER(L95),L95*L25*8760*3600/1000000,L95)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</si>
  <si>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INDEX(DC_Cost!$C$12:$Q$12,3*(M$6-1)+2)/CTL_GW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</si>
  <si>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IF(ISNUMBER(M95),M95*M25*8760*3600/1000000,M95)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</si>
  <si>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INDEX(DC_Cost!$C$12:$Q$12,3*(N$6-1)+2)/CTL_GW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</si>
  <si>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IF(ISNUMBER(N95),N95*N25*8760*3600/1000000,N95)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</si>
  <si>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INDEX(DC_Cost!$C$12:$Q$12,3*(O$6-1)+2)/CTL_GW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</si>
  <si>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IF(ISNUMBER(O95),O95*O25*8760*3600/1000000,O95)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</si>
  <si>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INDEX(DC_Cost!$C$12:$Q$12,3*(P$6-1)+2)/CTL_GW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</si>
  <si>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IF(ISNUMBER(P95),P95*P25*8760*3600/1000000,P95)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</si>
  <si>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INDEX(DC_Cost!$C$12:$Q$12,3*(Q$6-1)+2)/CTL_GW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</si>
  <si>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IF(ISNUMBER(Q95),Q95*Q25*8760*3600/1000000,Q95)</t>
    </r>
  </si>
  <si>
    <t xml:space="preserve">C95</t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</si>
  <si>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</si>
  <si>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IF(ISNUMBER(Perf_Prod!C93),IF(Perf_Prod!C93&gt;0,Perf!C22*(Perf!C43+Perf!C44)/Perf_Prod!C93,0),Perf_Prod!C93)</t>
    </r>
  </si>
  <si>
    <t xml:space="preserve">D95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</si>
  <si>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IF(ISNUMBER(Perf_Prod!D93),IF(Perf_Prod!D93&gt;0,Perf!D22*(Perf!D43+Perf!D44)/Perf_Prod!D93,0),Perf_Prod!D93)</t>
    </r>
  </si>
  <si>
    <t xml:space="preserve">E95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</si>
  <si>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IF(ISNUMBER(Perf_Prod!E93),IF(Perf_Prod!E93&gt;0,Perf!E22*(Perf!E43+Perf!E44)/Perf_Prod!E93,0),Perf_Prod!E93)</t>
    </r>
  </si>
  <si>
    <t xml:space="preserve">F95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</si>
  <si>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IF(ISNUMBER(Perf_Prod!F93),IF(Perf_Prod!F93&gt;0,Perf!F22*(Perf!F43+Perf!F44)/Perf_Prod!F93,0),Perf_Prod!F93)</t>
    </r>
  </si>
  <si>
    <t xml:space="preserve">G95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</si>
  <si>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IF(ISNUMBER(Perf_Prod!G93),IF(Perf_Prod!G93&gt;0,Perf!G22*(Perf!G43+Perf!G44)/Perf_Prod!G93,0),Perf_Prod!G93)</t>
    </r>
  </si>
  <si>
    <t xml:space="preserve">H95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</si>
  <si>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IF(ISNUMBER(Perf_Prod!H93),IF(Perf_Prod!H93&gt;0,Perf!H22*(Perf!H43+Perf!H44)/Perf_Prod!H93,0),Perf_Prod!H93)</t>
    </r>
  </si>
  <si>
    <t xml:space="preserve">I95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</si>
  <si>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IF(ISNUMBER(Perf_Prod!I93),IF(Perf_Prod!I93&gt;0,Perf!I22*(Perf!I43+Perf!I44)/Perf_Prod!I93,0),Perf_Prod!I93)</t>
    </r>
  </si>
  <si>
    <t xml:space="preserve">J95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</si>
  <si>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IF(ISNUMBER(Perf_Prod!J93),IF(Perf_Prod!J93&gt;0,Perf!J22*(Perf!J43+Perf!J44)/Perf_Prod!J93,0),Perf_Prod!J93)</t>
    </r>
  </si>
  <si>
    <t xml:space="preserve">K95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</si>
  <si>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IF(ISNUMBER(Perf_Prod!K93),IF(Perf_Prod!K93&gt;0,Perf!K22*(Perf!K43+Perf!K44)/Perf_Prod!K93,0),Perf_Prod!K93)</t>
    </r>
  </si>
  <si>
    <t xml:space="preserve">L95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</si>
  <si>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IF(ISNUMBER(Perf_Prod!L93),IF(Perf_Prod!L93&gt;0,Perf!L22*(Perf!L43+Perf!L44)/Perf_Prod!L93,0),Perf_Prod!L93)</t>
    </r>
  </si>
  <si>
    <t xml:space="preserve">M95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</si>
  <si>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IF(ISNUMBER(Perf_Prod!M93),IF(Perf_Prod!M93&gt;0,Perf!M22*(Perf!M43+Perf!M44)/Perf_Prod!M93,0),Perf_Prod!M93)</t>
    </r>
  </si>
  <si>
    <t xml:space="preserve">N95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</si>
  <si>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IF(ISNUMBER(Perf_Prod!N93),IF(Perf_Prod!N93&gt;0,Perf!N22*(Perf!N43+Perf!N44)/Perf_Prod!N93,0),Perf_Prod!N93)</t>
    </r>
  </si>
  <si>
    <t xml:space="preserve">O95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</si>
  <si>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IF(ISNUMBER(Perf_Prod!O93),IF(Perf_Prod!O93&gt;0,Perf!O22*(Perf!O43+Perf!O44)/Perf_Prod!O93,0),Perf_Prod!O93)</t>
    </r>
  </si>
  <si>
    <t xml:space="preserve">P95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</si>
  <si>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IF(ISNUMBER(Perf_Prod!P93),IF(Perf_Prod!P93&gt;0,Perf!P22*(Perf!P43+Perf!P44)/Perf_Prod!P93,0),Perf_Prod!P93)</t>
    </r>
  </si>
  <si>
    <t xml:space="preserve">Q95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</si>
  <si>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IF(ISNUMBER(Perf_Prod!Q93),IF(Perf_Prod!Q93&gt;0,Perf!Q22*(Perf!Q43+Perf!Q44)/Perf_Prod!Q93,0),Perf_Prod!Q93)</t>
    </r>
  </si>
  <si>
    <t xml:space="preserve">D10</t>
  </si>
  <si>
    <r>
      <rPr>
        <sz val="10"/>
        <color rgb="FF0000FF"/>
        <rFont val="Noto Sans CJK SC"/>
        <family val="2"/>
      </rPr>
      <t xml:space="preserve">平均用電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配電設計功率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</si>
  <si>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SRC_DC_007</t>
    </r>
  </si>
  <si>
    <t xml:space="preserve">D36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</si>
  <si>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</si>
  <si>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E36</t>
    </r>
  </si>
  <si>
    <t xml:space="preserve">D37</t>
  </si>
  <si>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維護（保固期內）</t>
    </r>
  </si>
  <si>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維護（保固期滿後）</t>
    </r>
  </si>
  <si>
    <t xml:space="preserve">D9</t>
  </si>
  <si>
    <t xml:space="preserve">E10</t>
  </si>
  <si>
    <t xml:space="preserve">E36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</si>
  <si>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SRC_DC_015</t>
    </r>
  </si>
  <si>
    <t xml:space="preserve">E37</t>
  </si>
  <si>
    <t xml:space="preserve">E9</t>
  </si>
  <si>
    <t xml:space="preserve">F10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</si>
  <si>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SRC_DC_008</t>
    </r>
  </si>
  <si>
    <t xml:space="preserve">F36</t>
  </si>
  <si>
    <t xml:space="preserve">F37</t>
  </si>
  <si>
    <t xml:space="preserve">F9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</si>
  <si>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INDEX(Spec_Rack!$C$6:$G$6,C$6)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</si>
  <si>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INDEX(Serving!$C$23:$E$23,C$7)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</si>
  <si>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INDEX(Serving!$C$24:$E$24,C$7)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</si>
  <si>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IF(ISNUMBER(C93),IF(C93&gt;0,C22*(C43+C44)/C93,0),C93)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</si>
  <si>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INDEX(Spec_Rack!$C$6:$G$6,D$6)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</si>
  <si>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</si>
  <si>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</si>
  <si>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IF(ISNUMBER(D93),IF(D93&gt;0,D22*(D43+D44)/D93,0),D93)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</si>
  <si>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INDEX(Spec_Rack!$C$6:$G$6,E$6)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</si>
  <si>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</si>
  <si>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</si>
  <si>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IF(ISNUMBER(E93),IF(E93&gt;0,E22*(E43+E44)/E93,0),E93)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</si>
  <si>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INDEX(Spec_Rack!$C$6:$G$6,F$6)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</si>
  <si>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</si>
  <si>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</si>
  <si>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IF(ISNUMBER(F93),IF(F93&gt;0,F22*(F43+F44)/F93,0),F93)</t>
    </r>
  </si>
  <si>
    <t xml:space="preserve">G22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</si>
  <si>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INDEX(Spec_Rack!$C$6:$G$6,G$6)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</si>
  <si>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INDEX(Serving!$C$23:$E$23,G$7)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</si>
  <si>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INDEX(Serving!$C$24:$E$24,G$7)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</si>
  <si>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IF(ISNUMBER(G93),IF(G93&gt;0,G22*(G43+G44)/G93,0),G93)</t>
    </r>
  </si>
  <si>
    <t xml:space="preserve">H22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</si>
  <si>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INDEX(Spec_Rack!$C$6:$G$6,H$6)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</si>
  <si>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INDEX(Serving!$C$23:$E$23,H$7)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</si>
  <si>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INDEX(Serving!$C$24:$E$24,H$7)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</si>
  <si>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IF(ISNUMBER(H93),IF(H93&gt;0,H22*(H43+H44)/H93,0),H93)</t>
    </r>
  </si>
  <si>
    <t xml:space="preserve">I22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</si>
  <si>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INDEX(Spec_Rack!$C$6:$G$6,I$6)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</si>
  <si>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INDEX(Serving!$C$23:$E$23,I$7)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</si>
  <si>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INDEX(Serving!$C$24:$E$24,I$7)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</si>
  <si>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IF(ISNUMBER(I93),IF(I93&gt;0,I22*(I43+I44)/I93,0),I93)</t>
    </r>
  </si>
  <si>
    <t xml:space="preserve">J22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</si>
  <si>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INDEX(Spec_Rack!$C$6:$G$6,J$6)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</si>
  <si>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INDEX(Serving!$C$23:$E$23,J$7)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</si>
  <si>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INDEX(Serving!$C$24:$E$24,J$7)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</si>
  <si>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IF(ISNUMBER(J93),IF(J93&gt;0,J22*(J43+J44)/J93,0),J93)</t>
    </r>
  </si>
  <si>
    <t xml:space="preserve">K22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</si>
  <si>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INDEX(Spec_Rack!$C$6:$G$6,K$6)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</si>
  <si>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INDEX(Serving!$C$23:$E$23,K$7)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</si>
  <si>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INDEX(Serving!$C$24:$E$24,K$7)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</si>
  <si>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IF(ISNUMBER(K93),IF(K93&gt;0,K22*(K43+K44)/K93,0),K93)</t>
    </r>
  </si>
  <si>
    <t xml:space="preserve">L22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</si>
  <si>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INDEX(Spec_Rack!$C$6:$G$6,L$6)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</si>
  <si>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INDEX(Serving!$C$23:$E$23,L$7)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</si>
  <si>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INDEX(Serving!$C$24:$E$24,L$7)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</si>
  <si>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IF(ISNUMBER(L93),IF(L93&gt;0,L22*(L43+L44)/L93,0),L93)</t>
    </r>
  </si>
  <si>
    <t xml:space="preserve">M22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</si>
  <si>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INDEX(Spec_Rack!$C$6:$G$6,M$6)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</si>
  <si>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INDEX(Serving!$C$23:$E$23,M$7)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</si>
  <si>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INDEX(Serving!$C$24:$E$24,M$7)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</si>
  <si>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IF(ISNUMBER(M93),IF(M93&gt;0,M22*(M43+M44)/M93,0),M93)</t>
    </r>
  </si>
  <si>
    <t xml:space="preserve">N22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</si>
  <si>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INDEX(Spec_Rack!$C$6:$G$6,N$6)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</si>
  <si>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INDEX(Serving!$C$23:$E$23,N$7)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</si>
  <si>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INDEX(Serving!$C$24:$E$24,N$7)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</si>
  <si>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IF(ISNUMBER(N93),IF(N93&gt;0,N22*(N43+N44)/N93,0),N93)</t>
    </r>
  </si>
  <si>
    <t xml:space="preserve">O22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</si>
  <si>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INDEX(Spec_Rack!$C$6:$G$6,O$6)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</si>
  <si>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INDEX(Serving!$C$23:$E$23,O$7)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</si>
  <si>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INDEX(Serving!$C$24:$E$24,O$7)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</si>
  <si>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IF(ISNUMBER(O93),IF(O93&gt;0,O22*(O43+O44)/O93,0),O93)</t>
    </r>
  </si>
  <si>
    <t xml:space="preserve">P22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</si>
  <si>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INDEX(Spec_Rack!$C$6:$G$6,P$6)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</si>
  <si>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INDEX(Serving!$C$23:$E$23,P$7)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</si>
  <si>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INDEX(Serving!$C$24:$E$24,P$7)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</si>
  <si>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IF(ISNUMBER(P93),IF(P93&gt;0,P22*(P43+P44)/P93,0),P93)</t>
    </r>
  </si>
  <si>
    <t xml:space="preserve">Q22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</si>
  <si>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INDEX(Spec_Rack!$C$6:$G$6,Q$6)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</si>
  <si>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INDEX(Serving!$C$23:$E$23,Q$7)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</si>
  <si>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INDEX(Serving!$C$24:$E$24,Q$7)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</si>
  <si>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IF(ISNUMBER(Q93),IF(Q93&gt;0,Q22*(Q43+Q44)/Q93,0),Q93)</t>
    </r>
  </si>
  <si>
    <t xml:space="preserve">C93</t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</si>
  <si>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</si>
  <si>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IF(ISNUMBER(Perf_Prod!C88),IF(Perf_Prod!C88&gt;0,IF(Perf_Prod!C77="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",(Perf!C43*(1-B4_CacheHit))/Perf_Prod!C75+Perf!C44/Perf_Prod!C88,"TTFT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</si>
  <si>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D93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</si>
  <si>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IF(ISNUMBER(Perf_Prod!D88),IF(Perf_Prod!D88&gt;0,IF(Perf_Prod!D77="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",(Perf!D43*(1-B4_CacheHit))/Perf_Prod!D75+Perf!D44/Perf_Prod!D88,"TTFT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</si>
  <si>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E93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</si>
  <si>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IF(ISNUMBER(Perf_Prod!E88),IF(Perf_Prod!E88&gt;0,IF(Perf_Prod!E77="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",(Perf!E43*(1-B4_CacheHit))/Perf_Prod!E75+Perf!E44/Perf_Prod!E88,"TTFT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</si>
  <si>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F93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</si>
  <si>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IF(ISNUMBER(Perf_Prod!F88),IF(Perf_Prod!F88&gt;0,IF(Perf_Prod!F77="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",(Perf!F43*(1-B4_CacheHit))/Perf_Prod!F75+Perf!F44/Perf_Prod!F88,"TTFT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</si>
  <si>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G93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</si>
  <si>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IF(ISNUMBER(Perf_Prod!G88),IF(Perf_Prod!G88&gt;0,IF(Perf_Prod!G77="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",(Perf!G43*(1-B4_CacheHit))/Perf_Prod!G75+Perf!G44/Perf_Prod!G88,"TTFT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</si>
  <si>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H93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</si>
  <si>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IF(ISNUMBER(Perf_Prod!H88),IF(Perf_Prod!H88&gt;0,IF(Perf_Prod!H77="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",(Perf!H43*(1-B4_CacheHit))/Perf_Prod!H75+Perf!H44/Perf_Prod!H88,"TTFT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</si>
  <si>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I93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</si>
  <si>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IF(ISNUMBER(Perf_Prod!I88),IF(Perf_Prod!I88&gt;0,IF(Perf_Prod!I77="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",(Perf!I43*(1-B4_CacheHit))/Perf_Prod!I75+Perf!I44/Perf_Prod!I88,"TTFT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</si>
  <si>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J93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</si>
  <si>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IF(ISNUMBER(Perf_Prod!J88),IF(Perf_Prod!J88&gt;0,IF(Perf_Prod!J77="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",(Perf!J43*(1-B4_CacheHit))/Perf_Prod!J75+Perf!J44/Perf_Prod!J88,"TTFT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</si>
  <si>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K93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</si>
  <si>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IF(ISNUMBER(Perf_Prod!K88),IF(Perf_Prod!K88&gt;0,IF(Perf_Prod!K77="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",(Perf!K43*(1-B4_CacheHit))/Perf_Prod!K75+Perf!K44/Perf_Prod!K88,"TTFT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</si>
  <si>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L93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</si>
  <si>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IF(ISNUMBER(Perf_Prod!L88),IF(Perf_Prod!L88&gt;0,IF(Perf_Prod!L77="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",(Perf!L43*(1-B4_CacheHit))/Perf_Prod!L75+Perf!L44/Perf_Prod!L88,"TTFT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</si>
  <si>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M93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</si>
  <si>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IF(ISNUMBER(Perf_Prod!M88),IF(Perf_Prod!M88&gt;0,IF(Perf_Prod!M77="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",(Perf!M43*(1-B4_CacheHit))/Perf_Prod!M75+Perf!M44/Perf_Prod!M88,"TTFT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</si>
  <si>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N93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</si>
  <si>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IF(ISNUMBER(Perf_Prod!N88),IF(Perf_Prod!N88&gt;0,IF(Perf_Prod!N77="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",(Perf!N43*(1-B4_CacheHit))/Perf_Prod!N75+Perf!N44/Perf_Prod!N88,"TTFT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</si>
  <si>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O93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</si>
  <si>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IF(ISNUMBER(Perf_Prod!O88),IF(Perf_Prod!O88&gt;0,IF(Perf_Prod!O77="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",(Perf!O43*(1-B4_CacheHit))/Perf_Prod!O75+Perf!O44/Perf_Prod!O88,"TTFT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</si>
  <si>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P93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</si>
  <si>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IF(ISNUMBER(Perf_Prod!P88),IF(Perf_Prod!P88&gt;0,IF(Perf_Prod!P77="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",(Perf!P43*(1-B4_CacheHit))/Perf_Prod!P75+Perf!P44/Perf_Prod!P88,"TTFT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</si>
  <si>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Q93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</si>
  <si>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IF(ISNUMBER(Perf_Prod!Q88),IF(Perf_Prod!Q88&gt;0,IF(Perf_Prod!Q77="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",(Perf!Q43*(1-B4_CacheHit))/Perf_Prod!Q75+Perf!Q44/Perf_Prod!Q88,"TTFT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</si>
  <si>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FF"/>
        <rFont val="Noto Sans CJK SC"/>
        <family val="2"/>
      </rPr>
      <t xml:space="preserve">參考請求快取命中率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（輸入中屬快取命中的比例）</t>
    </r>
  </si>
  <si>
    <t xml:space="preserve">機架數（設施）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</si>
  <si>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FLOOR(C10*1000/C11,1)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</si>
  <si>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C12*C18/1000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</si>
  <si>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C19*C20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</si>
  <si>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C14*C22/1000000000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</si>
  <si>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(C26+C27+C28+C29)*C30</t>
    </r>
  </si>
  <si>
    <t xml:space="preserve">D12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</si>
  <si>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FLOOR(D10*1000/D11,1)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</si>
  <si>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D12*D18/1000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</si>
  <si>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D19*D20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</si>
  <si>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D14*D22/1000000000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</si>
  <si>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(D26+D27+D28+D29)*D30</t>
    </r>
  </si>
  <si>
    <t xml:space="preserve">E12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</si>
  <si>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FLOOR(E10*1000/E11,1)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</si>
  <si>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E12*E18/1000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</si>
  <si>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E19*E20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</si>
  <si>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E14*E22/1000000000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</si>
  <si>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(E26+E27+E28+E29)*E30</t>
    </r>
  </si>
  <si>
    <t xml:space="preserve">F12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</si>
  <si>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FLOOR(F10*1000/F11,1)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</si>
  <si>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F12*F18/1000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</si>
  <si>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F19*F20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</si>
  <si>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F14*F22/1000000000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</si>
  <si>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(F26+F27+F28+F29)*F30</t>
    </r>
  </si>
  <si>
    <t xml:space="preserve">G12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</si>
  <si>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FLOOR(G10*1000/G11,1)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</si>
  <si>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G12*G18/1000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</si>
  <si>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G19*G20</t>
    </r>
  </si>
  <si>
    <t xml:space="preserve">G23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</si>
  <si>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G14*G22/1000000000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</si>
  <si>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(G26+G27+G28+G29)*G30</t>
    </r>
  </si>
  <si>
    <t xml:space="preserve">H12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</si>
  <si>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FLOOR(H10*1000/H11,1)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</si>
  <si>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H12*H18/1000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</si>
  <si>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H19*H20</t>
    </r>
  </si>
  <si>
    <t xml:space="preserve">H23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</si>
  <si>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H14*H22/1000000000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</si>
  <si>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(H26+H27+H28+H29)*H30</t>
    </r>
  </si>
  <si>
    <t xml:space="preserve">I12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</si>
  <si>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FLOOR(I10*1000/I11,1)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</si>
  <si>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I12*I18/1000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</si>
  <si>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I19*I20</t>
    </r>
  </si>
  <si>
    <t xml:space="preserve">I23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</si>
  <si>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I14*I22/1000000000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</si>
  <si>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(I26+I27+I28+I29)*I30</t>
    </r>
  </si>
  <si>
    <t xml:space="preserve">J12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</si>
  <si>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FLOOR(J10*1000/J11,1)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</si>
  <si>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J12*J18/1000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</si>
  <si>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J19*J20</t>
    </r>
  </si>
  <si>
    <t xml:space="preserve">J23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</si>
  <si>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J14*J22/1000000000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</si>
  <si>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(J26+J27+J28+J29)*J30</t>
    </r>
  </si>
  <si>
    <t xml:space="preserve">K12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</si>
  <si>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FLOOR(K10*1000/K11,1)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</si>
  <si>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K12*K18/1000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</si>
  <si>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K19*K20</t>
    </r>
  </si>
  <si>
    <t xml:space="preserve">K23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</si>
  <si>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K14*K22/1000000000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</si>
  <si>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(K26+K27+K28+K29)*K30</t>
    </r>
  </si>
  <si>
    <t xml:space="preserve">L12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</si>
  <si>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FLOOR(L10*1000/L11,1)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</si>
  <si>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L12*L18/1000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</si>
  <si>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L19*L20</t>
    </r>
  </si>
  <si>
    <t xml:space="preserve">L23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</si>
  <si>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L14*L22/1000000000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</si>
  <si>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(L26+L27+L28+L29)*L30</t>
    </r>
  </si>
  <si>
    <t xml:space="preserve">M12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</si>
  <si>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FLOOR(M10*1000/M11,1)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</si>
  <si>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M12*M18/1000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</si>
  <si>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M19*M20</t>
    </r>
  </si>
  <si>
    <t xml:space="preserve">M23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</si>
  <si>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M14*M22/1000000000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</si>
  <si>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(M26+M27+M28+M29)*M30</t>
    </r>
  </si>
  <si>
    <t xml:space="preserve">N12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</si>
  <si>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FLOOR(N10*1000/N11,1)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</si>
  <si>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N12*N18/1000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</si>
  <si>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N19*N20</t>
    </r>
  </si>
  <si>
    <t xml:space="preserve">N23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</si>
  <si>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N14*N22/1000000000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</si>
  <si>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(N26+N27+N28+N29)*N30</t>
    </r>
  </si>
  <si>
    <t xml:space="preserve">O12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</si>
  <si>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FLOOR(O10*1000/O11,1)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</si>
  <si>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O12*O18/1000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</si>
  <si>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O19*O20</t>
    </r>
  </si>
  <si>
    <t xml:space="preserve">O23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</si>
  <si>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O14*O22/1000000000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</si>
  <si>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(O26+O27+O28+O29)*O30</t>
    </r>
  </si>
  <si>
    <t xml:space="preserve">P12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</si>
  <si>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FLOOR(P10*1000/P11,1)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</si>
  <si>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P12*P18/1000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</si>
  <si>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P19*P20</t>
    </r>
  </si>
  <si>
    <t xml:space="preserve">P23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</si>
  <si>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P14*P22/1000000000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</si>
  <si>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(P26+P27+P28+P29)*P30</t>
    </r>
  </si>
  <si>
    <t xml:space="preserve">Q12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</si>
  <si>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FLOOR(Q10*1000/Q11,1)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</si>
  <si>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Q12*Q18/1000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</si>
  <si>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Q19*Q20</t>
    </r>
  </si>
  <si>
    <t xml:space="preserve">Q23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</si>
  <si>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Q14*Q22/1000000000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</si>
  <si>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(Q26+Q27+Q28+Q29)*Q30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</si>
  <si>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IF(ISNUMBER(C88),IF(C88&gt;0,IF(C77="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",(C43*(1-B4_CacheHit))/C75+C44/C88,"TTFT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</si>
  <si>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IF(ISNUMBER(D88),IF(D88&gt;0,IF(D77="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",(D43*(1-B4_CacheHit))/D75+D44/D88,"TTFT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</si>
  <si>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IF(ISNUMBER(E88),IF(E88&gt;0,IF(E77="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",(E43*(1-B4_CacheHit))/E75+E44/E88,"TTFT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</si>
  <si>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IF(ISNUMBER(F88),IF(F88&gt;0,IF(F77="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",(F43*(1-B4_CacheHit))/F75+F44/F88,"TTFT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</si>
  <si>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IF(ISNUMBER(G88),IF(G88&gt;0,IF(G77="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",(G43*(1-B4_CacheHit))/G75+G44/G88,"TTFT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</si>
  <si>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IF(ISNUMBER(H88),IF(H88&gt;0,IF(H77="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",(H43*(1-B4_CacheHit))/H75+H44/H88,"TTFT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</si>
  <si>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IF(ISNUMBER(I88),IF(I88&gt;0,IF(I77="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",(I43*(1-B4_CacheHit))/I75+I44/I88,"TTFT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</si>
  <si>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IF(ISNUMBER(J88),IF(J88&gt;0,IF(J77="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",(J43*(1-B4_CacheHit))/J75+J44/J88,"TTFT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</si>
  <si>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IF(ISNUMBER(K88),IF(K88&gt;0,IF(K77="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",(K43*(1-B4_CacheHit))/K75+K44/K88,"TTFT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</si>
  <si>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IF(ISNUMBER(L88),IF(L88&gt;0,IF(L77="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",(L43*(1-B4_CacheHit))/L75+L44/L88,"TTFT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</si>
  <si>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IF(ISNUMBER(M88),IF(M88&gt;0,IF(M77="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",(M43*(1-B4_CacheHit))/M75+M44/M88,"TTFT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</si>
  <si>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IF(ISNUMBER(N88),IF(N88&gt;0,IF(N77="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",(N43*(1-B4_CacheHit))/N75+N44/N88,"TTFT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</si>
  <si>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IF(ISNUMBER(O88),IF(O88&gt;0,IF(O77="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",(O43*(1-B4_CacheHit))/O75+O44/O88,"TTFT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</si>
  <si>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IF(ISNUMBER(P88),IF(P88&gt;0,IF(P77="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",(P43*(1-B4_CacheHit))/P75+P44/P88,"TTFT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</si>
  <si>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IF(ISNUMBER(Q88),IF(Q88&gt;0,IF(Q77="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",(Q43*(1-B4_CacheHit))/Q75+Q44/Q88,"TTFT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</si>
  <si>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C75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</si>
  <si>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Perf_Prod!C51*Perf!C14*1000000000000000/(Perf!C67*1000000000)</t>
    </r>
  </si>
  <si>
    <t xml:space="preserve">C77</t>
  </si>
  <si>
    <t xml:space="preserve">是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</si>
  <si>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IF(Perf_Prod!C76&lt;=Perf!C42,"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</si>
  <si>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C88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</si>
  <si>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IF(Perf_Prod!C87&gt;0,Perf_Prod!C87*Perf!C49/((Perf_Prod!C79+Perf_Prod!C87*Perf_Prod!C83)/1000),0)</t>
    </r>
  </si>
  <si>
    <t xml:space="preserve">D75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</si>
  <si>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Perf_Prod!D51*Perf!D14*1000000000000000/(Perf!D67*1000000000)</t>
    </r>
  </si>
  <si>
    <t xml:space="preserve">D77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</si>
  <si>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IF(Perf_Prod!D76&lt;=Perf!D42,"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</si>
  <si>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D88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</si>
  <si>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IF(Perf_Prod!D87&gt;0,Perf_Prod!D87*Perf!D49/((Perf_Prod!D79+Perf_Prod!D87*Perf_Prod!D83)/1000),0)</t>
    </r>
  </si>
  <si>
    <t xml:space="preserve">E75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</si>
  <si>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Perf_Prod!E51*Perf!E14*1000000000000000/(Perf!E67*1000000000)</t>
    </r>
  </si>
  <si>
    <t xml:space="preserve">E77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</si>
  <si>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IF(Perf_Prod!E76&lt;=Perf!E42,"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</si>
  <si>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E88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</si>
  <si>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IF(Perf_Prod!E87&gt;0,Perf_Prod!E87*Perf!E49/((Perf_Prod!E79+Perf_Prod!E87*Perf_Prod!E83)/1000),0)</t>
    </r>
  </si>
  <si>
    <t xml:space="preserve">F75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</si>
  <si>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Perf_Prod!F51*Perf!F14*1000000000000000/(Perf!F67*1000000000)</t>
    </r>
  </si>
  <si>
    <t xml:space="preserve">F77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</si>
  <si>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IF(Perf_Prod!F76&lt;=Perf!F42,"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</si>
  <si>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F88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</si>
  <si>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IF(Perf_Prod!F87&gt;0,Perf_Prod!F87*Perf!F49/((Perf_Prod!F79+Perf_Prod!F87*Perf_Prod!F83)/1000),0)</t>
    </r>
  </si>
  <si>
    <t xml:space="preserve">G75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</si>
  <si>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Perf_Prod!G51*Perf!G14*1000000000000000/(Perf!G67*1000000000)</t>
    </r>
  </si>
  <si>
    <t xml:space="preserve">G77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</si>
  <si>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IF(Perf_Prod!G76&lt;=Perf!G42,"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</si>
  <si>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G88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</si>
  <si>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IF(Perf_Prod!G87&gt;0,Perf_Prod!G87*Perf!G49/((Perf_Prod!G79+Perf_Prod!G87*Perf_Prod!G83)/1000),0)</t>
    </r>
  </si>
  <si>
    <t xml:space="preserve">H75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</si>
  <si>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Perf_Prod!H51*Perf!H14*1000000000000000/(Perf!H67*1000000000)</t>
    </r>
  </si>
  <si>
    <t xml:space="preserve">H77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</si>
  <si>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IF(Perf_Prod!H76&lt;=Perf!H42,"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</si>
  <si>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H88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</si>
  <si>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IF(Perf_Prod!H87&gt;0,Perf_Prod!H87*Perf!H49/((Perf_Prod!H79+Perf_Prod!H87*Perf_Prod!H83)/1000),0)</t>
    </r>
  </si>
  <si>
    <t xml:space="preserve">I75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</si>
  <si>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Perf_Prod!I51*Perf!I14*1000000000000000/(Perf!I67*1000000000)</t>
    </r>
  </si>
  <si>
    <t xml:space="preserve">I77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</si>
  <si>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IF(Perf_Prod!I76&lt;=Perf!I42,"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</si>
  <si>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I88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</si>
  <si>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IF(Perf_Prod!I87&gt;0,Perf_Prod!I87*Perf!I49/((Perf_Prod!I79+Perf_Prod!I87*Perf_Prod!I83)/1000),0)</t>
    </r>
  </si>
  <si>
    <t xml:space="preserve">J75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</si>
  <si>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Perf_Prod!J51*Perf!J14*1000000000000000/(Perf!J67*1000000000)</t>
    </r>
  </si>
  <si>
    <t xml:space="preserve">J77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</si>
  <si>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IF(Perf_Prod!J76&lt;=Perf!J42,"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</si>
  <si>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J88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</si>
  <si>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IF(Perf_Prod!J87&gt;0,Perf_Prod!J87*Perf!J49/((Perf_Prod!J79+Perf_Prod!J87*Perf_Prod!J83)/1000),0)</t>
    </r>
  </si>
  <si>
    <t xml:space="preserve">K75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</si>
  <si>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Perf_Prod!K51*Perf!K14*1000000000000000/(Perf!K67*1000000000)</t>
    </r>
  </si>
  <si>
    <t xml:space="preserve">K77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</si>
  <si>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IF(Perf_Prod!K76&lt;=Perf!K42,"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</si>
  <si>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K88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</si>
  <si>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IF(Perf_Prod!K87&gt;0,Perf_Prod!K87*Perf!K49/((Perf_Prod!K79+Perf_Prod!K87*Perf_Prod!K83)/1000),0)</t>
    </r>
  </si>
  <si>
    <t xml:space="preserve">L75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</si>
  <si>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Perf_Prod!L51*Perf!L14*1000000000000000/(Perf!L67*1000000000)</t>
    </r>
  </si>
  <si>
    <t xml:space="preserve">L77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</si>
  <si>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IF(Perf_Prod!L76&lt;=Perf!L42,"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</si>
  <si>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L88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</si>
  <si>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IF(Perf_Prod!L87&gt;0,Perf_Prod!L87*Perf!L49/((Perf_Prod!L79+Perf_Prod!L87*Perf_Prod!L83)/1000),0)</t>
    </r>
  </si>
  <si>
    <t xml:space="preserve">M75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</si>
  <si>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Perf_Prod!M51*Perf!M14*1000000000000000/(Perf!M67*1000000000)</t>
    </r>
  </si>
  <si>
    <t xml:space="preserve">M77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</si>
  <si>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IF(Perf_Prod!M76&lt;=Perf!M42,"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</si>
  <si>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M88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</si>
  <si>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IF(Perf_Prod!M87&gt;0,Perf_Prod!M87*Perf!M49/((Perf_Prod!M79+Perf_Prod!M87*Perf_Prod!M83)/1000),0)</t>
    </r>
  </si>
  <si>
    <t xml:space="preserve">N75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</si>
  <si>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Perf_Prod!N51*Perf!N14*1000000000000000/(Perf!N67*1000000000)</t>
    </r>
  </si>
  <si>
    <t xml:space="preserve">N77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</si>
  <si>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IF(Perf_Prod!N76&lt;=Perf!N42,"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</si>
  <si>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N88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</si>
  <si>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IF(Perf_Prod!N87&gt;0,Perf_Prod!N87*Perf!N49/((Perf_Prod!N79+Perf_Prod!N87*Perf_Prod!N83)/1000),0)</t>
    </r>
  </si>
  <si>
    <t xml:space="preserve">O75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</si>
  <si>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Perf_Prod!O51*Perf!O14*1000000000000000/(Perf!O67*1000000000)</t>
    </r>
  </si>
  <si>
    <t xml:space="preserve">O77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</si>
  <si>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IF(Perf_Prod!O76&lt;=Perf!O42,"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</si>
  <si>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O88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</si>
  <si>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IF(Perf_Prod!O87&gt;0,Perf_Prod!O87*Perf!O49/((Perf_Prod!O79+Perf_Prod!O87*Perf_Prod!O83)/1000),0)</t>
    </r>
  </si>
  <si>
    <t xml:space="preserve">P75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</si>
  <si>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Perf_Prod!P51*Perf!P14*1000000000000000/(Perf!P67*1000000000)</t>
    </r>
  </si>
  <si>
    <t xml:space="preserve">P77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</si>
  <si>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IF(Perf_Prod!P76&lt;=Perf!P42,"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</si>
  <si>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P88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</si>
  <si>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IF(Perf_Prod!P87&gt;0,Perf_Prod!P87*Perf!P49/((Perf_Prod!P79+Perf_Prod!P87*Perf_Prod!P83)/1000),0)</t>
    </r>
  </si>
  <si>
    <t xml:space="preserve">Q75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</si>
  <si>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Perf_Prod!Q51*Perf!Q14*1000000000000000/(Perf!Q67*1000000000)</t>
    </r>
  </si>
  <si>
    <t xml:space="preserve">Q77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</si>
  <si>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IF(Perf_Prod!Q76&lt;=Perf!Q42,"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</si>
  <si>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Q88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</si>
  <si>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IF(Perf_Prod!Q87&gt;0,Perf_Prod!Q87*Perf!Q49/((Perf_Prod!Q79+Perf_Prod!Q87*Perf_Prod!Q83)/1000),0)</t>
    </r>
  </si>
  <si>
    <t xml:space="preserve">SRC_DC</t>
  </si>
  <si>
    <t xml:space="preserve">SRC_DC_007</t>
  </si>
  <si>
    <t xml:space="preserve">SRC_DC_008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</si>
  <si>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C8*(1-C9)</t>
    </r>
  </si>
  <si>
    <t xml:space="preserve">每架配電設計功率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</si>
  <si>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CHOOSE(Inputs!$E$6,Spec_Rack!C8,Spec_Rack!C9,Spec_Rack!C10)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</si>
  <si>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數（設施）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</si>
  <si>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C12*C13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</si>
  <si>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Inputs!D13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</si>
  <si>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Inputs!D14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</si>
  <si>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D8*(1-D9)</t>
    </r>
  </si>
  <si>
    <t xml:space="preserve">D14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</si>
  <si>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D12*D13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</si>
  <si>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Inputs!E13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</si>
  <si>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Inputs!E14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</si>
  <si>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E8*(1-E9)</t>
    </r>
  </si>
  <si>
    <t xml:space="preserve">E14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</si>
  <si>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E12*E13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</si>
  <si>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Inputs!F13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</si>
  <si>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Inputs!F14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</si>
  <si>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F8*(1-F9)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</si>
  <si>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CHOOSE(Inputs!$E$6,Spec_Rack!D8,Spec_Rack!D9,Spec_Rack!D10)</t>
    </r>
  </si>
  <si>
    <t xml:space="preserve">F14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</si>
  <si>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F12*F13</t>
    </r>
  </si>
  <si>
    <t xml:space="preserve">G10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</si>
  <si>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G8*(1-G9)</t>
    </r>
  </si>
  <si>
    <t xml:space="preserve">G14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</si>
  <si>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G12*G13</t>
    </r>
  </si>
  <si>
    <t xml:space="preserve">G20</t>
  </si>
  <si>
    <t xml:space="preserve">H10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</si>
  <si>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H8*(1-H9)</t>
    </r>
  </si>
  <si>
    <t xml:space="preserve">H14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</si>
  <si>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H12*H13</t>
    </r>
  </si>
  <si>
    <t xml:space="preserve">H20</t>
  </si>
  <si>
    <t xml:space="preserve">I10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</si>
  <si>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I8*(1-I9)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</si>
  <si>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CHOOSE(Inputs!$E$6,Spec_Rack!E8,Spec_Rack!E9,Spec_Rack!E10)</t>
    </r>
  </si>
  <si>
    <t xml:space="preserve">I14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</si>
  <si>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I12*I13</t>
    </r>
  </si>
  <si>
    <t xml:space="preserve">I20</t>
  </si>
  <si>
    <t xml:space="preserve">J10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</si>
  <si>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J8*(1-J9)</t>
    </r>
  </si>
  <si>
    <t xml:space="preserve">J14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</si>
  <si>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J12*J13</t>
    </r>
  </si>
  <si>
    <t xml:space="preserve">J20</t>
  </si>
  <si>
    <t xml:space="preserve">K10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</si>
  <si>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K8*(1-K9)</t>
    </r>
  </si>
  <si>
    <t xml:space="preserve">K14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</si>
  <si>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K12*K13</t>
    </r>
  </si>
  <si>
    <t xml:space="preserve">K20</t>
  </si>
  <si>
    <t xml:space="preserve">L10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</si>
  <si>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L8*(1-L9)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</si>
  <si>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CHOOSE(Inputs!$E$6,Spec_Rack!F8,Spec_Rack!F9,Spec_Rack!F10)</t>
    </r>
  </si>
  <si>
    <t xml:space="preserve">L14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</si>
  <si>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L12*L13</t>
    </r>
  </si>
  <si>
    <t xml:space="preserve">L20</t>
  </si>
  <si>
    <t xml:space="preserve">M10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</si>
  <si>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M8*(1-M9)</t>
    </r>
  </si>
  <si>
    <t xml:space="preserve">M14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</si>
  <si>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M12*M13</t>
    </r>
  </si>
  <si>
    <t xml:space="preserve">M20</t>
  </si>
  <si>
    <t xml:space="preserve">N10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</si>
  <si>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N8*(1-N9)</t>
    </r>
  </si>
  <si>
    <t xml:space="preserve">N14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</si>
  <si>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N12*N13</t>
    </r>
  </si>
  <si>
    <t xml:space="preserve">N20</t>
  </si>
  <si>
    <t xml:space="preserve">O10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</si>
  <si>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O8*(1-O9)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</si>
  <si>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CHOOSE(Inputs!$E$6,Spec_Rack!G8,Spec_Rack!G9,Spec_Rack!G10)</t>
    </r>
  </si>
  <si>
    <t xml:space="preserve">O14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</si>
  <si>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O12*O13</t>
    </r>
  </si>
  <si>
    <t xml:space="preserve">O20</t>
  </si>
  <si>
    <t xml:space="preserve">P10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</si>
  <si>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P8*(1-P9)</t>
    </r>
  </si>
  <si>
    <t xml:space="preserve">P14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</si>
  <si>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P12*P13</t>
    </r>
  </si>
  <si>
    <t xml:space="preserve">P20</t>
  </si>
  <si>
    <t xml:space="preserve">Q10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</si>
  <si>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Q8*(1-Q9)</t>
    </r>
  </si>
  <si>
    <t xml:space="preserve">Q14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</si>
  <si>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Q12*Q13</t>
    </r>
  </si>
  <si>
    <t xml:space="preserve">Q20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</si>
  <si>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INDEX(Spec_Rack!$C$35:$G$35,C$6)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</si>
  <si>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INDEX(Serving!$C$22:$E$22,C$7)</t>
    </r>
  </si>
  <si>
    <t xml:space="preserve">C49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</si>
  <si>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</si>
  <si>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(1-C48^(C47+1))/(1-C48)</t>
    </r>
  </si>
  <si>
    <t xml:space="preserve">C67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</si>
  <si>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(2*C28*1000000000+C35*C66)*C10/1000000000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</si>
  <si>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C51*C14*1000000000000000/(C67*1000000000)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</si>
  <si>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IF(C76&lt;=C42,"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</si>
  <si>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IF(C87&gt;0,C87*C49/((C79+C87*C83)/1000),0)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</si>
  <si>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INDEX(Spec_Rack!$C$35:$G$35,D$6)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</si>
  <si>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INDEX(Serving!$C$22:$E$22,D$7)</t>
    </r>
  </si>
  <si>
    <t xml:space="preserve">D49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</si>
  <si>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(1-D48^(D47+1))/(1-D48)</t>
    </r>
  </si>
  <si>
    <t xml:space="preserve">D67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</si>
  <si>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(2*D28*1000000000+D35*D66)*D10/1000000000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</si>
  <si>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D51*D14*1000000000000000/(D67*1000000000)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</si>
  <si>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IF(D76&lt;=D42,"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</si>
  <si>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IF(D87&gt;0,D87*D49/((D79+D87*D83)/1000),0)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</si>
  <si>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INDEX(Spec_Rack!$C$35:$G$35,E$6)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</si>
  <si>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INDEX(Serving!$C$22:$E$22,E$7)</t>
    </r>
  </si>
  <si>
    <t xml:space="preserve">E49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</si>
  <si>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(1-E48^(E47+1))/(1-E48)</t>
    </r>
  </si>
  <si>
    <t xml:space="preserve">E67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</si>
  <si>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(2*E28*1000000000+E35*E66)*E10/1000000000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</si>
  <si>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E51*E14*1000000000000000/(E67*1000000000)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</si>
  <si>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IF(E76&lt;=E42,"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</si>
  <si>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IF(E87&gt;0,E87*E49/((E79+E87*E83)/1000),0)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</si>
  <si>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INDEX(Spec_Rack!$C$35:$G$35,F$6)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</si>
  <si>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INDEX(Serving!$C$22:$E$22,F$7)</t>
    </r>
  </si>
  <si>
    <t xml:space="preserve">F49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</si>
  <si>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(1-F48^(F47+1))/(1-F48)</t>
    </r>
  </si>
  <si>
    <t xml:space="preserve">F67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</si>
  <si>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(2*F28*1000000000+F35*F66)*F10/1000000000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</si>
  <si>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F51*F14*1000000000000000/(F67*1000000000)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</si>
  <si>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IF(F76&lt;=F42,"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</si>
  <si>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IF(F87&gt;0,F87*F49/((F79+F87*F83)/1000),0)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</si>
  <si>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INDEX(Spec_Rack!$C$35:$G$35,G$6)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</si>
  <si>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INDEX(Serving!$C$22:$E$22,G$7)</t>
    </r>
  </si>
  <si>
    <t xml:space="preserve">G49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</si>
  <si>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(1-G48^(G47+1))/(1-G48)</t>
    </r>
  </si>
  <si>
    <t xml:space="preserve">G67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</si>
  <si>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(2*G28*1000000000+G35*G66)*G10/1000000000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</si>
  <si>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G51*G14*1000000000000000/(G67*1000000000)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</si>
  <si>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IF(G76&lt;=G42,"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</si>
  <si>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IF(G87&gt;0,G87*G49/((G79+G87*G83)/1000),0)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</si>
  <si>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INDEX(Spec_Rack!$C$35:$G$35,H$6)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</si>
  <si>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INDEX(Serving!$C$22:$E$22,H$7)</t>
    </r>
  </si>
  <si>
    <t xml:space="preserve">H49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</si>
  <si>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(1-H48^(H47+1))/(1-H48)</t>
    </r>
  </si>
  <si>
    <t xml:space="preserve">H67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</si>
  <si>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(2*H28*1000000000+H35*H66)*H10/1000000000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</si>
  <si>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H51*H14*1000000000000000/(H67*1000000000)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</si>
  <si>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IF(H76&lt;=H42,"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</si>
  <si>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IF(H87&gt;0,H87*H49/((H79+H87*H83)/1000),0)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</si>
  <si>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INDEX(Spec_Rack!$C$35:$G$35,I$6)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</si>
  <si>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INDEX(Serving!$C$22:$E$22,I$7)</t>
    </r>
  </si>
  <si>
    <t xml:space="preserve">I49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</si>
  <si>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(1-I48^(I47+1))/(1-I48)</t>
    </r>
  </si>
  <si>
    <t xml:space="preserve">I67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</si>
  <si>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(2*I28*1000000000+I35*I66)*I10/1000000000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</si>
  <si>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I51*I14*1000000000000000/(I67*1000000000)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</si>
  <si>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IF(I76&lt;=I42,"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</si>
  <si>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IF(I87&gt;0,I87*I49/((I79+I87*I83)/1000),0)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</si>
  <si>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INDEX(Spec_Rack!$C$35:$G$35,J$6)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</si>
  <si>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INDEX(Serving!$C$22:$E$22,J$7)</t>
    </r>
  </si>
  <si>
    <t xml:space="preserve">J49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</si>
  <si>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(1-J48^(J47+1))/(1-J48)</t>
    </r>
  </si>
  <si>
    <t xml:space="preserve">J67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</si>
  <si>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(2*J28*1000000000+J35*J66)*J10/1000000000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</si>
  <si>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J51*J14*1000000000000000/(J67*1000000000)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</si>
  <si>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IF(J76&lt;=J42,"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</si>
  <si>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IF(J87&gt;0,J87*J49/((J79+J87*J83)/1000),0)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</si>
  <si>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INDEX(Spec_Rack!$C$35:$G$35,K$6)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</si>
  <si>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INDEX(Serving!$C$22:$E$22,K$7)</t>
    </r>
  </si>
  <si>
    <t xml:space="preserve">K49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</si>
  <si>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(1-K48^(K47+1))/(1-K48)</t>
    </r>
  </si>
  <si>
    <t xml:space="preserve">K67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</si>
  <si>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(2*K28*1000000000+K35*K66)*K10/1000000000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</si>
  <si>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K51*K14*1000000000000000/(K67*1000000000)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</si>
  <si>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IF(K76&lt;=K42,"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</si>
  <si>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IF(K87&gt;0,K87*K49/((K79+K87*K83)/1000),0)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</si>
  <si>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INDEX(Spec_Rack!$C$35:$G$35,L$6)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</si>
  <si>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INDEX(Serving!$C$22:$E$22,L$7)</t>
    </r>
  </si>
  <si>
    <t xml:space="preserve">L49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</si>
  <si>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(1-L48^(L47+1))/(1-L48)</t>
    </r>
  </si>
  <si>
    <t xml:space="preserve">L67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</si>
  <si>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(2*L28*1000000000+L35*L66)*L10/1000000000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</si>
  <si>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L51*L14*1000000000000000/(L67*1000000000)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</si>
  <si>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IF(L76&lt;=L42,"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</si>
  <si>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IF(L87&gt;0,L87*L49/((L79+L87*L83)/1000),0)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</si>
  <si>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INDEX(Spec_Rack!$C$35:$G$35,M$6)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</si>
  <si>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INDEX(Serving!$C$22:$E$22,M$7)</t>
    </r>
  </si>
  <si>
    <t xml:space="preserve">M49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</si>
  <si>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(1-M48^(M47+1))/(1-M48)</t>
    </r>
  </si>
  <si>
    <t xml:space="preserve">M67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</si>
  <si>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(2*M28*1000000000+M35*M66)*M10/1000000000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</si>
  <si>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M51*M14*1000000000000000/(M67*1000000000)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</si>
  <si>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IF(M76&lt;=M42,"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</si>
  <si>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IF(M87&gt;0,M87*M49/((M79+M87*M83)/1000),0)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</si>
  <si>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INDEX(Spec_Rack!$C$35:$G$35,N$6)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</si>
  <si>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INDEX(Serving!$C$22:$E$22,N$7)</t>
    </r>
  </si>
  <si>
    <t xml:space="preserve">N49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</si>
  <si>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(1-N48^(N47+1))/(1-N48)</t>
    </r>
  </si>
  <si>
    <t xml:space="preserve">N67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</si>
  <si>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(2*N28*1000000000+N35*N66)*N10/1000000000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</si>
  <si>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N51*N14*1000000000000000/(N67*1000000000)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</si>
  <si>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IF(N76&lt;=N42,"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</si>
  <si>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IF(N87&gt;0,N87*N49/((N79+N87*N83)/1000),0)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</si>
  <si>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INDEX(Spec_Rack!$C$35:$G$35,O$6)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</si>
  <si>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INDEX(Serving!$C$22:$E$22,O$7)</t>
    </r>
  </si>
  <si>
    <t xml:space="preserve">O49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</si>
  <si>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(1-O48^(O47+1))/(1-O48)</t>
    </r>
  </si>
  <si>
    <t xml:space="preserve">O67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</si>
  <si>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(2*O28*1000000000+O35*O66)*O10/1000000000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</si>
  <si>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O51*O14*1000000000000000/(O67*1000000000)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</si>
  <si>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IF(O76&lt;=O42,"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</si>
  <si>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IF(O87&gt;0,O87*O49/((O79+O87*O83)/1000),0)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</si>
  <si>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INDEX(Spec_Rack!$C$35:$G$35,P$6)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</si>
  <si>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INDEX(Serving!$C$22:$E$22,P$7)</t>
    </r>
  </si>
  <si>
    <t xml:space="preserve">P49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</si>
  <si>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(1-P48^(P47+1))/(1-P48)</t>
    </r>
  </si>
  <si>
    <t xml:space="preserve">P67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</si>
  <si>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(2*P28*1000000000+P35*P66)*P10/1000000000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</si>
  <si>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P51*P14*1000000000000000/(P67*1000000000)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</si>
  <si>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IF(P76&lt;=P42,"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</si>
  <si>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IF(P87&gt;0,P87*P49/((P79+P87*P83)/1000),0)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</si>
  <si>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INDEX(Spec_Rack!$C$35:$G$35,Q$6)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</si>
  <si>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INDEX(Serving!$C$22:$E$22,Q$7)</t>
    </r>
  </si>
  <si>
    <t xml:space="preserve">Q49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</si>
  <si>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(1-Q48^(Q47+1))/(1-Q48)</t>
    </r>
  </si>
  <si>
    <t xml:space="preserve">Q67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</si>
  <si>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(2*Q28*1000000000+Q35*Q66)*Q10/1000000000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</si>
  <si>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Q51*Q14*1000000000000000/(Q67*1000000000)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</si>
  <si>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IF(Q76&lt;=Q42,"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</si>
  <si>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IF(Q87&gt;0,Q87*Q49/((Q79+Q87*Q83)/1000),0)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</si>
  <si>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</si>
  <si>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INDEX(Calib!$C$72:$G$72,Perf!C$6)*Perf_Prod!C50</t>
    </r>
  </si>
  <si>
    <t xml:space="preserve">C76</t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</si>
  <si>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；快取命中後新鮮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位於序列後段，本式（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平均位置取整段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的一半）略低估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</si>
  <si>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(Perf!C43*(1-B4_CacheHit))*Perf!C67*1000000000/(Perf_Prod!C51*Perf!C14*1000000000000000*Perf!C21)</t>
    </r>
  </si>
  <si>
    <t xml:space="preserve">C79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</si>
  <si>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Perf!C72/Perf!C16+(Perf!C29+Perf!C47)*Perf_Prod!C55/1000</t>
    </r>
  </si>
  <si>
    <t xml:space="preserve">C83</t>
  </si>
  <si>
    <t xml:space="preserve">每序列每步（取最大，假設三者可重疊）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</si>
  <si>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MAX(Perf_Prod!C80,Perf!C81,Perf!C82)</t>
    </r>
  </si>
  <si>
    <t xml:space="preserve">C87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</si>
  <si>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MAX(0,MIN(Perf_Prod!C85,Perf!C86))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</si>
  <si>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INDEX(Calib!$C$72:$G$72,Perf!D$6)*Perf_Prod!D50</t>
    </r>
  </si>
  <si>
    <t xml:space="preserve">D76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</si>
  <si>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(Perf!D43*(1-B4_CacheHit))*Perf!D67*1000000000/(Perf_Prod!D51*Perf!D14*1000000000000000*Perf!D21)</t>
    </r>
  </si>
  <si>
    <t xml:space="preserve">D79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</si>
  <si>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Perf!D72/Perf!D16+(Perf!D29+Perf!D47)*Perf_Prod!D55/1000</t>
    </r>
  </si>
  <si>
    <t xml:space="preserve">D83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</si>
  <si>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MAX(Perf_Prod!D80,Perf!D81,Perf!D82)</t>
    </r>
  </si>
  <si>
    <t xml:space="preserve">D87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</si>
  <si>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MAX(0,MIN(Perf_Prod!D85,Perf!D86))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</si>
  <si>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INDEX(Calib!$C$72:$G$72,Perf!E$6)*Perf_Prod!E50</t>
    </r>
  </si>
  <si>
    <t xml:space="preserve">E76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</si>
  <si>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(Perf!E43*(1-B4_CacheHit))*Perf!E67*1000000000/(Perf_Prod!E51*Perf!E14*1000000000000000*Perf!E21)</t>
    </r>
  </si>
  <si>
    <t xml:space="preserve">E79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</si>
  <si>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Perf!E72/Perf!E16+(Perf!E29+Perf!E47)*Perf_Prod!E55/1000</t>
    </r>
  </si>
  <si>
    <t xml:space="preserve">E83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</si>
  <si>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MAX(Perf_Prod!E80,Perf!E81,Perf!E82)</t>
    </r>
  </si>
  <si>
    <t xml:space="preserve">E87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</si>
  <si>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MAX(0,MIN(Perf_Prod!E85,Perf!E86))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</si>
  <si>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INDEX(Calib!$C$72:$G$72,Perf!F$6)*Perf_Prod!F50</t>
    </r>
  </si>
  <si>
    <t xml:space="preserve">F76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</si>
  <si>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(Perf!F43*(1-B4_CacheHit))*Perf!F67*1000000000/(Perf_Prod!F51*Perf!F14*1000000000000000*Perf!F21)</t>
    </r>
  </si>
  <si>
    <t xml:space="preserve">F79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</si>
  <si>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Perf!F72/Perf!F16+(Perf!F29+Perf!F47)*Perf_Prod!F55/1000</t>
    </r>
  </si>
  <si>
    <t xml:space="preserve">F83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</si>
  <si>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MAX(Perf_Prod!F80,Perf!F81,Perf!F82)</t>
    </r>
  </si>
  <si>
    <t xml:space="preserve">F87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</si>
  <si>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MAX(0,MIN(Perf_Prod!F85,Perf!F86))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</si>
  <si>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INDEX(Calib!$C$72:$G$72,Perf!G$6)*Perf_Prod!G50</t>
    </r>
  </si>
  <si>
    <t xml:space="preserve">G76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</si>
  <si>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(Perf!G43*(1-B4_CacheHit))*Perf!G67*1000000000/(Perf_Prod!G51*Perf!G14*1000000000000000*Perf!G21)</t>
    </r>
  </si>
  <si>
    <t xml:space="preserve">G79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</si>
  <si>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Perf!G72/Perf!G16+(Perf!G29+Perf!G47)*Perf_Prod!G55/1000</t>
    </r>
  </si>
  <si>
    <t xml:space="preserve">G83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</si>
  <si>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MAX(Perf_Prod!G80,Perf!G81,Perf!G82)</t>
    </r>
  </si>
  <si>
    <t xml:space="preserve">G87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</si>
  <si>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MAX(0,MIN(Perf_Prod!G85,Perf!G86))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</si>
  <si>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INDEX(Calib!$C$72:$G$72,Perf!H$6)*Perf_Prod!H50</t>
    </r>
  </si>
  <si>
    <t xml:space="preserve">H76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</si>
  <si>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(Perf!H43*(1-B4_CacheHit))*Perf!H67*1000000000/(Perf_Prod!H51*Perf!H14*1000000000000000*Perf!H21)</t>
    </r>
  </si>
  <si>
    <t xml:space="preserve">H79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</si>
  <si>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Perf!H72/Perf!H16+(Perf!H29+Perf!H47)*Perf_Prod!H55/1000</t>
    </r>
  </si>
  <si>
    <t xml:space="preserve">H83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</si>
  <si>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MAX(Perf_Prod!H80,Perf!H81,Perf!H82)</t>
    </r>
  </si>
  <si>
    <t xml:space="preserve">H87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</si>
  <si>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MAX(0,MIN(Perf_Prod!H85,Perf!H86))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</si>
  <si>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INDEX(Calib!$C$72:$G$72,Perf!I$6)*Perf_Prod!I50</t>
    </r>
  </si>
  <si>
    <t xml:space="preserve">I76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</si>
  <si>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(Perf!I43*(1-B4_CacheHit))*Perf!I67*1000000000/(Perf_Prod!I51*Perf!I14*1000000000000000*Perf!I21)</t>
    </r>
  </si>
  <si>
    <t xml:space="preserve">I79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</si>
  <si>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Perf!I72/Perf!I16+(Perf!I29+Perf!I47)*Perf_Prod!I55/1000</t>
    </r>
  </si>
  <si>
    <t xml:space="preserve">I83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</si>
  <si>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MAX(Perf_Prod!I80,Perf!I81,Perf!I82)</t>
    </r>
  </si>
  <si>
    <t xml:space="preserve">I87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</si>
  <si>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MAX(0,MIN(Perf_Prod!I85,Perf!I86))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</si>
  <si>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INDEX(Calib!$C$72:$G$72,Perf!J$6)*Perf_Prod!J50</t>
    </r>
  </si>
  <si>
    <t xml:space="preserve">J76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</si>
  <si>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(Perf!J43*(1-B4_CacheHit))*Perf!J67*1000000000/(Perf_Prod!J51*Perf!J14*1000000000000000*Perf!J21)</t>
    </r>
  </si>
  <si>
    <t xml:space="preserve">J79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</si>
  <si>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Perf!J72/Perf!J16+(Perf!J29+Perf!J47)*Perf_Prod!J55/1000</t>
    </r>
  </si>
  <si>
    <t xml:space="preserve">J83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</si>
  <si>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MAX(Perf_Prod!J80,Perf!J81,Perf!J82)</t>
    </r>
  </si>
  <si>
    <t xml:space="preserve">J87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</si>
  <si>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MAX(0,MIN(Perf_Prod!J85,Perf!J86))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</si>
  <si>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INDEX(Calib!$C$72:$G$72,Perf!K$6)*Perf_Prod!K50</t>
    </r>
  </si>
  <si>
    <t xml:space="preserve">K76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</si>
  <si>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(Perf!K43*(1-B4_CacheHit))*Perf!K67*1000000000/(Perf_Prod!K51*Perf!K14*1000000000000000*Perf!K21)</t>
    </r>
  </si>
  <si>
    <t xml:space="preserve">K79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</si>
  <si>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Perf!K72/Perf!K16+(Perf!K29+Perf!K47)*Perf_Prod!K55/1000</t>
    </r>
  </si>
  <si>
    <t xml:space="preserve">K83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</si>
  <si>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MAX(Perf_Prod!K80,Perf!K81,Perf!K82)</t>
    </r>
  </si>
  <si>
    <t xml:space="preserve">K87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</si>
  <si>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MAX(0,MIN(Perf_Prod!K85,Perf!K86))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</si>
  <si>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INDEX(Calib!$C$72:$G$72,Perf!L$6)*Perf_Prod!L50</t>
    </r>
  </si>
  <si>
    <t xml:space="preserve">L76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</si>
  <si>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(Perf!L43*(1-B4_CacheHit))*Perf!L67*1000000000/(Perf_Prod!L51*Perf!L14*1000000000000000*Perf!L21)</t>
    </r>
  </si>
  <si>
    <t xml:space="preserve">L79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</si>
  <si>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Perf!L72/Perf!L16+(Perf!L29+Perf!L47)*Perf_Prod!L55/1000</t>
    </r>
  </si>
  <si>
    <t xml:space="preserve">L83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</si>
  <si>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MAX(Perf_Prod!L80,Perf!L81,Perf!L82)</t>
    </r>
  </si>
  <si>
    <t xml:space="preserve">L87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</si>
  <si>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MAX(0,MIN(Perf_Prod!L85,Perf!L86))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</si>
  <si>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INDEX(Calib!$C$72:$G$72,Perf!M$6)*Perf_Prod!M50</t>
    </r>
  </si>
  <si>
    <t xml:space="preserve">M76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</si>
  <si>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(Perf!M43*(1-B4_CacheHit))*Perf!M67*1000000000/(Perf_Prod!M51*Perf!M14*1000000000000000*Perf!M21)</t>
    </r>
  </si>
  <si>
    <t xml:space="preserve">M79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</si>
  <si>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Perf!M72/Perf!M16+(Perf!M29+Perf!M47)*Perf_Prod!M55/1000</t>
    </r>
  </si>
  <si>
    <t xml:space="preserve">M83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</si>
  <si>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MAX(Perf_Prod!M80,Perf!M81,Perf!M82)</t>
    </r>
  </si>
  <si>
    <t xml:space="preserve">M87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</si>
  <si>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MAX(0,MIN(Perf_Prod!M85,Perf!M86))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</si>
  <si>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INDEX(Calib!$C$72:$G$72,Perf!N$6)*Perf_Prod!N50</t>
    </r>
  </si>
  <si>
    <t xml:space="preserve">N76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</si>
  <si>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(Perf!N43*(1-B4_CacheHit))*Perf!N67*1000000000/(Perf_Prod!N51*Perf!N14*1000000000000000*Perf!N21)</t>
    </r>
  </si>
  <si>
    <t xml:space="preserve">N79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</si>
  <si>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Perf!N72/Perf!N16+(Perf!N29+Perf!N47)*Perf_Prod!N55/1000</t>
    </r>
  </si>
  <si>
    <t xml:space="preserve">N83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</si>
  <si>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MAX(Perf_Prod!N80,Perf!N81,Perf!N82)</t>
    </r>
  </si>
  <si>
    <t xml:space="preserve">N87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</si>
  <si>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MAX(0,MIN(Perf_Prod!N85,Perf!N86))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</si>
  <si>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INDEX(Calib!$C$72:$G$72,Perf!O$6)*Perf_Prod!O50</t>
    </r>
  </si>
  <si>
    <t xml:space="preserve">O76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</si>
  <si>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(Perf!O43*(1-B4_CacheHit))*Perf!O67*1000000000/(Perf_Prod!O51*Perf!O14*1000000000000000*Perf!O21)</t>
    </r>
  </si>
  <si>
    <t xml:space="preserve">O79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</si>
  <si>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Perf!O72/Perf!O16+(Perf!O29+Perf!O47)*Perf_Prod!O55/1000</t>
    </r>
  </si>
  <si>
    <t xml:space="preserve">O83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</si>
  <si>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MAX(Perf_Prod!O80,Perf!O81,Perf!O82)</t>
    </r>
  </si>
  <si>
    <t xml:space="preserve">O87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</si>
  <si>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MAX(0,MIN(Perf_Prod!O85,Perf!O86))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</si>
  <si>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INDEX(Calib!$C$72:$G$72,Perf!P$6)*Perf_Prod!P50</t>
    </r>
  </si>
  <si>
    <t xml:space="preserve">P76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</si>
  <si>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(Perf!P43*(1-B4_CacheHit))*Perf!P67*1000000000/(Perf_Prod!P51*Perf!P14*1000000000000000*Perf!P21)</t>
    </r>
  </si>
  <si>
    <t xml:space="preserve">P79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</si>
  <si>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Perf!P72/Perf!P16+(Perf!P29+Perf!P47)*Perf_Prod!P55/1000</t>
    </r>
  </si>
  <si>
    <t xml:space="preserve">P83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</si>
  <si>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MAX(Perf_Prod!P80,Perf!P81,Perf!P82)</t>
    </r>
  </si>
  <si>
    <t xml:space="preserve">P87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</si>
  <si>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MAX(0,MIN(Perf_Prod!P85,Perf!P86))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</si>
  <si>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INDEX(Calib!$C$72:$G$72,Perf!Q$6)*Perf_Prod!Q50</t>
    </r>
  </si>
  <si>
    <t xml:space="preserve">Q76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</si>
  <si>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(Perf!Q43*(1-B4_CacheHit))*Perf!Q67*1000000000/(Perf_Prod!Q51*Perf!Q14*1000000000000000*Perf!Q21)</t>
    </r>
  </si>
  <si>
    <t xml:space="preserve">Q79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</si>
  <si>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Perf!Q72/Perf!Q16+(Perf!Q29+Perf!Q47)*Perf_Prod!Q55/1000</t>
    </r>
  </si>
  <si>
    <t xml:space="preserve">Q83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</si>
  <si>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MAX(Perf_Prod!Q80,Perf!Q81,Perf!Q82)</t>
    </r>
  </si>
  <si>
    <t xml:space="preserve">Q87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</si>
  <si>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MAX(0,MIN(Perf_Prod!Q85,Perf!Q86))</t>
    </r>
  </si>
  <si>
    <t xml:space="preserve">SRC_DC_015</t>
  </si>
  <si>
    <t xml:space="preserve">Spec_Rack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</si>
  <si>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封裝／架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</si>
  <si>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SRC_HW_047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</si>
  <si>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SRC_HW_061</t>
    </r>
  </si>
  <si>
    <t xml:space="preserve">Calib</t>
  </si>
  <si>
    <t xml:space="preserve">C72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</si>
  <si>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</si>
  <si>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$C$5*C69</t>
    </r>
  </si>
  <si>
    <t xml:space="preserve">D72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</si>
  <si>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$C$5*D69</t>
    </r>
  </si>
  <si>
    <t xml:space="preserve">E72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</si>
  <si>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$C$5*E69</t>
    </r>
  </si>
  <si>
    <t xml:space="preserve">F72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</si>
  <si>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$C$5*F69</t>
    </r>
  </si>
  <si>
    <t xml:space="preserve">G72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</si>
  <si>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$C$5*G69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</si>
  <si>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Spec_Rack!C6</t>
    </r>
  </si>
  <si>
    <t xml:space="preserve">機架單價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</si>
  <si>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Spec_Rack!C11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</si>
  <si>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Inputs!$E$8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</si>
  <si>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Spec_Rack!C12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</si>
  <si>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Spec_Rack!C13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</si>
  <si>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Spec_Rack!D6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</si>
  <si>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Spec_Rack!D11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</si>
  <si>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Spec_Rack!D12</t>
    </r>
  </si>
  <si>
    <t xml:space="preserve">G9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</si>
  <si>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Spec_Rack!D13</t>
    </r>
  </si>
  <si>
    <t xml:space="preserve">H9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</si>
  <si>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Spec_Rack!E6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</si>
  <si>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Spec_Rack!E11</t>
    </r>
  </si>
  <si>
    <t xml:space="preserve">I9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</si>
  <si>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Spec_Rack!E12</t>
    </r>
  </si>
  <si>
    <t xml:space="preserve">J9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</si>
  <si>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Spec_Rack!E13</t>
    </r>
  </si>
  <si>
    <t xml:space="preserve">K9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</si>
  <si>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Spec_Rack!F6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</si>
  <si>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Spec_Rack!F11</t>
    </r>
  </si>
  <si>
    <t xml:space="preserve">L9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</si>
  <si>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Spec_Rack!F12</t>
    </r>
  </si>
  <si>
    <t xml:space="preserve">M9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</si>
  <si>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Spec_Rack!F13</t>
    </r>
  </si>
  <si>
    <t xml:space="preserve">N9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</si>
  <si>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Spec_Rack!G6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</si>
  <si>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Spec_Rack!G11</t>
    </r>
  </si>
  <si>
    <t xml:space="preserve">O9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</si>
  <si>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Spec_Rack!G12</t>
    </r>
  </si>
  <si>
    <t xml:space="preserve">P9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</si>
  <si>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Spec_Rack!G13</t>
    </r>
  </si>
  <si>
    <t xml:space="preserve">Q9</t>
  </si>
  <si>
    <r>
      <rPr>
        <sz val="10"/>
        <color rgb="FF0000FF"/>
        <rFont val="Arial"/>
        <family val="0"/>
        <charset val="1"/>
      </rPr>
      <t xml:space="preserve">Scale-out </t>
    </r>
    <r>
      <rPr>
        <sz val="10"/>
        <color rgb="FF0000FF"/>
        <rFont val="Noto Sans CJK SC"/>
        <family val="2"/>
      </rPr>
      <t xml:space="preserve">網路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機架價格</t>
    </r>
  </si>
  <si>
    <r>
      <rPr>
        <sz val="10"/>
        <color rgb="FF0000FF"/>
        <rFont val="Noto Sans CJK SC"/>
        <family val="2"/>
      </rPr>
      <t xml:space="preserve">電力設施（變電、中壓、發電機、</t>
    </r>
    <r>
      <rPr>
        <sz val="10"/>
        <color rgb="FF0000FF"/>
        <rFont val="Arial"/>
        <family val="0"/>
        <charset val="1"/>
      </rPr>
      <t xml:space="preserve">UPS</t>
    </r>
    <r>
      <rPr>
        <sz val="10"/>
        <color rgb="FF0000FF"/>
        <rFont val="Noto Sans CJK SC"/>
        <family val="2"/>
      </rPr>
      <t xml:space="preserve">）</t>
    </r>
  </si>
  <si>
    <t xml:space="preserve">機械與散熱（液冷迴路、散熱設備）</t>
  </si>
  <si>
    <r>
      <rPr>
        <sz val="10"/>
        <color rgb="FF0000FF"/>
        <rFont val="Noto Sans CJK SC"/>
        <family val="2"/>
      </rPr>
      <t xml:space="preserve">光纖、佈線、保全、</t>
    </r>
    <r>
      <rPr>
        <sz val="10"/>
        <color rgb="FF0000FF"/>
        <rFont val="Arial"/>
        <family val="0"/>
        <charset val="1"/>
      </rPr>
      <t xml:space="preserve">BMS</t>
    </r>
  </si>
  <si>
    <r>
      <rPr>
        <sz val="10"/>
        <color rgb="FF0000FF"/>
        <rFont val="Noto Sans CJK SC"/>
        <family val="2"/>
      </rPr>
      <t xml:space="preserve">功率情境（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低／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基準／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高）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</si>
  <si>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</si>
  <si>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INDEX(Spec_Rack!$C$32:$G$32,C$6)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</si>
  <si>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INDEX(Calib!$C$72:$G$72,C$6)*C50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</si>
  <si>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(C43*(1-B4_CacheHit))*C67*1000000000/(C51*C14*1000000000000000*C21)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</si>
  <si>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C72/C16+(C29+C47)*C55/1000</t>
    </r>
  </si>
  <si>
    <t xml:space="preserve">C81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</si>
  <si>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</si>
  <si>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C34*C45/(C16*C60)/1000000000</t>
    </r>
  </si>
  <si>
    <t xml:space="preserve">C82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</si>
  <si>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</si>
  <si>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(C47+1)*C29*C31*C30*C59*(C71-1)/C71/(C17*C61)/1000000000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</si>
  <si>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MAX(C80,C81,C82)</t>
    </r>
  </si>
  <si>
    <t xml:space="preserve">C86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</si>
  <si>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(C69-C72)*1000000000/(C34*C45)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</si>
  <si>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MAX(0,MIN(C85,C86))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</si>
  <si>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INDEX(Spec_Rack!$C$32:$G$32,D$6)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</si>
  <si>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INDEX(Calib!$C$72:$G$72,D$6)*D50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</si>
  <si>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(D43*(1-B4_CacheHit))*D67*1000000000/(D51*D14*1000000000000000*D21)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</si>
  <si>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D72/D16+(D29+D47)*D55/1000</t>
    </r>
  </si>
  <si>
    <t xml:space="preserve">D81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</si>
  <si>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D34*D45/(D16*D60)/1000000000</t>
    </r>
  </si>
  <si>
    <t xml:space="preserve">D82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</si>
  <si>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(D47+1)*D29*D31*D30*D59*(D71-1)/D71/(D17*D61)/1000000000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</si>
  <si>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MAX(D80,D81,D82)</t>
    </r>
  </si>
  <si>
    <t xml:space="preserve">D86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</si>
  <si>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(D69-D72)*1000000000/(D34*D45)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</si>
  <si>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MAX(0,MIN(D85,D86))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</si>
  <si>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INDEX(Spec_Rack!$C$32:$G$32,E$6)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</si>
  <si>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INDEX(Calib!$C$72:$G$72,E$6)*E50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</si>
  <si>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(E43*(1-B4_CacheHit))*E67*1000000000/(E51*E14*1000000000000000*E21)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</si>
  <si>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E72/E16+(E29+E47)*E55/1000</t>
    </r>
  </si>
  <si>
    <t xml:space="preserve">E81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</si>
  <si>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E34*E45/(E16*E60)/1000000000</t>
    </r>
  </si>
  <si>
    <t xml:space="preserve">E82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</si>
  <si>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(E47+1)*E29*E31*E30*E59*(E71-1)/E71/(E17*E61)/1000000000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</si>
  <si>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MAX(E80,E81,E82)</t>
    </r>
  </si>
  <si>
    <t xml:space="preserve">E86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</si>
  <si>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(E69-E72)*1000000000/(E34*E45)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</si>
  <si>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MAX(0,MIN(E85,E86))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</si>
  <si>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INDEX(Spec_Rack!$C$32:$G$32,F$6)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</si>
  <si>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INDEX(Calib!$C$72:$G$72,F$6)*F50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</si>
  <si>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(F43*(1-B4_CacheHit))*F67*1000000000/(F51*F14*1000000000000000*F21)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</si>
  <si>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F72/F16+(F29+F47)*F55/1000</t>
    </r>
  </si>
  <si>
    <t xml:space="preserve">F81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</si>
  <si>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F34*F45/(F16*F60)/1000000000</t>
    </r>
  </si>
  <si>
    <t xml:space="preserve">F82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</si>
  <si>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(F47+1)*F29*F31*F30*F59*(F71-1)/F71/(F17*F61)/1000000000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</si>
  <si>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MAX(F80,F81,F82)</t>
    </r>
  </si>
  <si>
    <t xml:space="preserve">F86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</si>
  <si>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(F69-F72)*1000000000/(F34*F45)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</si>
  <si>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MAX(0,MIN(F85,F86))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</si>
  <si>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INDEX(Spec_Rack!$C$32:$G$32,G$6)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</si>
  <si>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INDEX(Calib!$C$72:$G$72,G$6)*G50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</si>
  <si>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(G43*(1-B4_CacheHit))*G67*1000000000/(G51*G14*1000000000000000*G21)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</si>
  <si>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G72/G16+(G29+G47)*G55/1000</t>
    </r>
  </si>
  <si>
    <t xml:space="preserve">G81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</si>
  <si>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G34*G45/(G16*G60)/1000000000</t>
    </r>
  </si>
  <si>
    <t xml:space="preserve">G82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</si>
  <si>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(G47+1)*G29*G31*G30*G59*(G71-1)/G71/(G17*G61)/1000000000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</si>
  <si>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MAX(G80,G81,G82)</t>
    </r>
  </si>
  <si>
    <t xml:space="preserve">G86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</si>
  <si>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(G69-G72)*1000000000/(G34*G45)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</si>
  <si>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MAX(0,MIN(G85,G86))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</si>
  <si>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INDEX(Spec_Rack!$C$32:$G$32,H$6)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</si>
  <si>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INDEX(Calib!$C$72:$G$72,H$6)*H50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</si>
  <si>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(H43*(1-B4_CacheHit))*H67*1000000000/(H51*H14*1000000000000000*H21)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</si>
  <si>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H72/H16+(H29+H47)*H55/1000</t>
    </r>
  </si>
  <si>
    <t xml:space="preserve">H81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</si>
  <si>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H34*H45/(H16*H60)/1000000000</t>
    </r>
  </si>
  <si>
    <t xml:space="preserve">H82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</si>
  <si>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(H47+1)*H29*H31*H30*H59*(H71-1)/H71/(H17*H61)/1000000000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</si>
  <si>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MAX(H80,H81,H82)</t>
    </r>
  </si>
  <si>
    <t xml:space="preserve">H86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</si>
  <si>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(H69-H72)*1000000000/(H34*H45)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</si>
  <si>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MAX(0,MIN(H85,H86))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</si>
  <si>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INDEX(Spec_Rack!$C$32:$G$32,I$6)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</si>
  <si>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INDEX(Calib!$C$72:$G$72,I$6)*I50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</si>
  <si>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(I43*(1-B4_CacheHit))*I67*1000000000/(I51*I14*1000000000000000*I21)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</si>
  <si>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I72/I16+(I29+I47)*I55/1000</t>
    </r>
  </si>
  <si>
    <t xml:space="preserve">I81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</si>
  <si>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I34*I45/(I16*I60)/1000000000</t>
    </r>
  </si>
  <si>
    <t xml:space="preserve">I82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</si>
  <si>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(I47+1)*I29*I31*I30*I59*(I71-1)/I71/(I17*I61)/1000000000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</si>
  <si>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MAX(I80,I81,I82)</t>
    </r>
  </si>
  <si>
    <t xml:space="preserve">I86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</si>
  <si>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(I69-I72)*1000000000/(I34*I45)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</si>
  <si>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MAX(0,MIN(I85,I86))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</si>
  <si>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INDEX(Spec_Rack!$C$32:$G$32,J$6)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</si>
  <si>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INDEX(Calib!$C$72:$G$72,J$6)*J50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</si>
  <si>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(J43*(1-B4_CacheHit))*J67*1000000000/(J51*J14*1000000000000000*J21)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</si>
  <si>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J72/J16+(J29+J47)*J55/1000</t>
    </r>
  </si>
  <si>
    <t xml:space="preserve">J81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</si>
  <si>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J34*J45/(J16*J60)/1000000000</t>
    </r>
  </si>
  <si>
    <t xml:space="preserve">J82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</si>
  <si>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(J47+1)*J29*J31*J30*J59*(J71-1)/J71/(J17*J61)/1000000000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</si>
  <si>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MAX(J80,J81,J82)</t>
    </r>
  </si>
  <si>
    <t xml:space="preserve">J86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</si>
  <si>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(J69-J72)*1000000000/(J34*J45)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</si>
  <si>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MAX(0,MIN(J85,J86))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</si>
  <si>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INDEX(Spec_Rack!$C$32:$G$32,K$6)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</si>
  <si>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INDEX(Calib!$C$72:$G$72,K$6)*K50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</si>
  <si>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(K43*(1-B4_CacheHit))*K67*1000000000/(K51*K14*1000000000000000*K21)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</si>
  <si>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K72/K16+(K29+K47)*K55/1000</t>
    </r>
  </si>
  <si>
    <t xml:space="preserve">K81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</si>
  <si>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K34*K45/(K16*K60)/1000000000</t>
    </r>
  </si>
  <si>
    <t xml:space="preserve">K82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</si>
  <si>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(K47+1)*K29*K31*K30*K59*(K71-1)/K71/(K17*K61)/1000000000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</si>
  <si>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MAX(K80,K81,K82)</t>
    </r>
  </si>
  <si>
    <t xml:space="preserve">K86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</si>
  <si>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(K69-K72)*1000000000/(K34*K45)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</si>
  <si>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MAX(0,MIN(K85,K86))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</si>
  <si>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INDEX(Spec_Rack!$C$32:$G$32,L$6)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</si>
  <si>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INDEX(Calib!$C$72:$G$72,L$6)*L50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</si>
  <si>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(L43*(1-B4_CacheHit))*L67*1000000000/(L51*L14*1000000000000000*L21)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</si>
  <si>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L72/L16+(L29+L47)*L55/1000</t>
    </r>
  </si>
  <si>
    <t xml:space="preserve">L81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</si>
  <si>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L34*L45/(L16*L60)/1000000000</t>
    </r>
  </si>
  <si>
    <t xml:space="preserve">L82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</si>
  <si>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(L47+1)*L29*L31*L30*L59*(L71-1)/L71/(L17*L61)/1000000000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</si>
  <si>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MAX(L80,L81,L82)</t>
    </r>
  </si>
  <si>
    <t xml:space="preserve">L86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</si>
  <si>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(L69-L72)*1000000000/(L34*L45)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</si>
  <si>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MAX(0,MIN(L85,L86))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</si>
  <si>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INDEX(Spec_Rack!$C$32:$G$32,M$6)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</si>
  <si>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INDEX(Calib!$C$72:$G$72,M$6)*M50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</si>
  <si>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(M43*(1-B4_CacheHit))*M67*1000000000/(M51*M14*1000000000000000*M21)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</si>
  <si>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M72/M16+(M29+M47)*M55/1000</t>
    </r>
  </si>
  <si>
    <t xml:space="preserve">M81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</si>
  <si>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M34*M45/(M16*M60)/1000000000</t>
    </r>
  </si>
  <si>
    <t xml:space="preserve">M82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</si>
  <si>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(M47+1)*M29*M31*M30*M59*(M71-1)/M71/(M17*M61)/1000000000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</si>
  <si>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MAX(M80,M81,M82)</t>
    </r>
  </si>
  <si>
    <t xml:space="preserve">M86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</si>
  <si>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(M69-M72)*1000000000/(M34*M45)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</si>
  <si>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MAX(0,MIN(M85,M86))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</si>
  <si>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INDEX(Spec_Rack!$C$32:$G$32,N$6)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</si>
  <si>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INDEX(Calib!$C$72:$G$72,N$6)*N50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</si>
  <si>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(N43*(1-B4_CacheHit))*N67*1000000000/(N51*N14*1000000000000000*N21)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</si>
  <si>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N72/N16+(N29+N47)*N55/1000</t>
    </r>
  </si>
  <si>
    <t xml:space="preserve">N81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</si>
  <si>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N34*N45/(N16*N60)/1000000000</t>
    </r>
  </si>
  <si>
    <t xml:space="preserve">N82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</si>
  <si>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(N47+1)*N29*N31*N30*N59*(N71-1)/N71/(N17*N61)/1000000000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</si>
  <si>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MAX(N80,N81,N82)</t>
    </r>
  </si>
  <si>
    <t xml:space="preserve">N86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</si>
  <si>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(N69-N72)*1000000000/(N34*N45)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</si>
  <si>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MAX(0,MIN(N85,N86))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</si>
  <si>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INDEX(Spec_Rack!$C$32:$G$32,O$6)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</si>
  <si>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INDEX(Calib!$C$72:$G$72,O$6)*O50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</si>
  <si>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(O43*(1-B4_CacheHit))*O67*1000000000/(O51*O14*1000000000000000*O21)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</si>
  <si>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O72/O16+(O29+O47)*O55/1000</t>
    </r>
  </si>
  <si>
    <t xml:space="preserve">O81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</si>
  <si>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O34*O45/(O16*O60)/1000000000</t>
    </r>
  </si>
  <si>
    <t xml:space="preserve">O82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</si>
  <si>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(O47+1)*O29*O31*O30*O59*(O71-1)/O71/(O17*O61)/1000000000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</si>
  <si>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MAX(O80,O81,O82)</t>
    </r>
  </si>
  <si>
    <t xml:space="preserve">O86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</si>
  <si>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(O69-O72)*1000000000/(O34*O45)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</si>
  <si>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MAX(0,MIN(O85,O86))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</si>
  <si>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INDEX(Spec_Rack!$C$32:$G$32,P$6)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</si>
  <si>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INDEX(Calib!$C$72:$G$72,P$6)*P50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</si>
  <si>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(P43*(1-B4_CacheHit))*P67*1000000000/(P51*P14*1000000000000000*P21)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</si>
  <si>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P72/P16+(P29+P47)*P55/1000</t>
    </r>
  </si>
  <si>
    <t xml:space="preserve">P81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</si>
  <si>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P34*P45/(P16*P60)/1000000000</t>
    </r>
  </si>
  <si>
    <t xml:space="preserve">P82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</si>
  <si>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(P47+1)*P29*P31*P30*P59*(P71-1)/P71/(P17*P61)/1000000000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</si>
  <si>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MAX(P80,P81,P82)</t>
    </r>
  </si>
  <si>
    <t xml:space="preserve">P86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</si>
  <si>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(P69-P72)*1000000000/(P34*P45)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</si>
  <si>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MAX(0,MIN(P85,P86))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</si>
  <si>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INDEX(Spec_Rack!$C$32:$G$32,Q$6)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</si>
  <si>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INDEX(Calib!$C$72:$G$72,Q$6)*Q50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</si>
  <si>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(Q43*(1-B4_CacheHit))*Q67*1000000000/(Q51*Q14*1000000000000000*Q21)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</si>
  <si>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Q72/Q16+(Q29+Q47)*Q55/1000</t>
    </r>
  </si>
  <si>
    <t xml:space="preserve">Q81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</si>
  <si>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Q34*Q45/(Q16*Q60)/1000000000</t>
    </r>
  </si>
  <si>
    <t xml:space="preserve">Q82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</si>
  <si>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(Q47+1)*Q29*Q31*Q30*Q59*(Q71-1)/Q71/(Q17*Q61)/1000000000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</si>
  <si>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MAX(Q80,Q81,Q82)</t>
    </r>
  </si>
  <si>
    <t xml:space="preserve">Q86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</si>
  <si>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(Q69-Q72)*1000000000/(Q34*Q45)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</si>
  <si>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MAX(0,MIN(Q85,Q86))</t>
    </r>
  </si>
  <si>
    <t xml:space="preserve">C50</t>
  </si>
  <si>
    <t xml:space="preserve">實測→生產效率折減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</si>
  <si>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</si>
  <si>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C80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</si>
  <si>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</si>
  <si>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(Perf!C47+1)*Perf!C65/(Perf!C14*Perf_Prod!C53)/1000</t>
    </r>
  </si>
  <si>
    <t xml:space="preserve">C85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</si>
  <si>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(1000*Perf!C49/Perf!C41-Perf_Prod!C79)/Perf_Prod!C83</t>
    </r>
  </si>
  <si>
    <t xml:space="preserve">D50</t>
  </si>
  <si>
    <t xml:space="preserve">D80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</si>
  <si>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(Perf!D47+1)*Perf!D65/(Perf!D14*Perf_Prod!D53)/1000</t>
    </r>
  </si>
  <si>
    <t xml:space="preserve">D85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</si>
  <si>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(1000*Perf!D49/Perf!D41-Perf_Prod!D79)/Perf_Prod!D83</t>
    </r>
  </si>
  <si>
    <t xml:space="preserve">E50</t>
  </si>
  <si>
    <t xml:space="preserve">E80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</si>
  <si>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(Perf!E47+1)*Perf!E65/(Perf!E14*Perf_Prod!E53)/1000</t>
    </r>
  </si>
  <si>
    <t xml:space="preserve">E85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</si>
  <si>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(1000*Perf!E49/Perf!E41-Perf_Prod!E79)/Perf_Prod!E83</t>
    </r>
  </si>
  <si>
    <t xml:space="preserve">F50</t>
  </si>
  <si>
    <t xml:space="preserve">F80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</si>
  <si>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(Perf!F47+1)*Perf!F65/(Perf!F14*Perf_Prod!F53)/1000</t>
    </r>
  </si>
  <si>
    <t xml:space="preserve">F85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</si>
  <si>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(1000*Perf!F49/Perf!F41-Perf_Prod!F79)/Perf_Prod!F83</t>
    </r>
  </si>
  <si>
    <t xml:space="preserve">G50</t>
  </si>
  <si>
    <t xml:space="preserve">G80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</si>
  <si>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(Perf!G47+1)*Perf!G65/(Perf!G14*Perf_Prod!G53)/1000</t>
    </r>
  </si>
  <si>
    <t xml:space="preserve">G85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</si>
  <si>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(1000*Perf!G49/Perf!G41-Perf_Prod!G79)/Perf_Prod!G83</t>
    </r>
  </si>
  <si>
    <t xml:space="preserve">H50</t>
  </si>
  <si>
    <t xml:space="preserve">H80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</si>
  <si>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(Perf!H47+1)*Perf!H65/(Perf!H14*Perf_Prod!H53)/1000</t>
    </r>
  </si>
  <si>
    <t xml:space="preserve">H85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</si>
  <si>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(1000*Perf!H49/Perf!H41-Perf_Prod!H79)/Perf_Prod!H83</t>
    </r>
  </si>
  <si>
    <t xml:space="preserve">I50</t>
  </si>
  <si>
    <t xml:space="preserve">I80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</si>
  <si>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(Perf!I47+1)*Perf!I65/(Perf!I14*Perf_Prod!I53)/1000</t>
    </r>
  </si>
  <si>
    <t xml:space="preserve">I85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</si>
  <si>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(1000*Perf!I49/Perf!I41-Perf_Prod!I79)/Perf_Prod!I83</t>
    </r>
  </si>
  <si>
    <t xml:space="preserve">J50</t>
  </si>
  <si>
    <t xml:space="preserve">J80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</si>
  <si>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(Perf!J47+1)*Perf!J65/(Perf!J14*Perf_Prod!J53)/1000</t>
    </r>
  </si>
  <si>
    <t xml:space="preserve">J85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</si>
  <si>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(1000*Perf!J49/Perf!J41-Perf_Prod!J79)/Perf_Prod!J83</t>
    </r>
  </si>
  <si>
    <t xml:space="preserve">K50</t>
  </si>
  <si>
    <t xml:space="preserve">K80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</si>
  <si>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(Perf!K47+1)*Perf!K65/(Perf!K14*Perf_Prod!K53)/1000</t>
    </r>
  </si>
  <si>
    <t xml:space="preserve">K85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</si>
  <si>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(1000*Perf!K49/Perf!K41-Perf_Prod!K79)/Perf_Prod!K83</t>
    </r>
  </si>
  <si>
    <t xml:space="preserve">L50</t>
  </si>
  <si>
    <t xml:space="preserve">L80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</si>
  <si>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(Perf!L47+1)*Perf!L65/(Perf!L14*Perf_Prod!L53)/1000</t>
    </r>
  </si>
  <si>
    <t xml:space="preserve">L85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</si>
  <si>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(1000*Perf!L49/Perf!L41-Perf_Prod!L79)/Perf_Prod!L83</t>
    </r>
  </si>
  <si>
    <t xml:space="preserve">M50</t>
  </si>
  <si>
    <t xml:space="preserve">M80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</si>
  <si>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(Perf!M47+1)*Perf!M65/(Perf!M14*Perf_Prod!M53)/1000</t>
    </r>
  </si>
  <si>
    <t xml:space="preserve">M85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</si>
  <si>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(1000*Perf!M49/Perf!M41-Perf_Prod!M79)/Perf_Prod!M83</t>
    </r>
  </si>
  <si>
    <t xml:space="preserve">N50</t>
  </si>
  <si>
    <t xml:space="preserve">N80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</si>
  <si>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(Perf!N47+1)*Perf!N65/(Perf!N14*Perf_Prod!N53)/1000</t>
    </r>
  </si>
  <si>
    <t xml:space="preserve">N85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</si>
  <si>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(1000*Perf!N49/Perf!N41-Perf_Prod!N79)/Perf_Prod!N83</t>
    </r>
  </si>
  <si>
    <t xml:space="preserve">O50</t>
  </si>
  <si>
    <t xml:space="preserve">O80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</si>
  <si>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(Perf!O47+1)*Perf!O65/(Perf!O14*Perf_Prod!O53)/1000</t>
    </r>
  </si>
  <si>
    <t xml:space="preserve">O85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</si>
  <si>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(1000*Perf!O49/Perf!O41-Perf_Prod!O79)/Perf_Prod!O83</t>
    </r>
  </si>
  <si>
    <t xml:space="preserve">P50</t>
  </si>
  <si>
    <t xml:space="preserve">P80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</si>
  <si>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(Perf!P47+1)*Perf!P65/(Perf!P14*Perf_Prod!P53)/1000</t>
    </r>
  </si>
  <si>
    <t xml:space="preserve">P85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</si>
  <si>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(1000*Perf!P49/Perf!P41-Perf_Prod!P79)/Perf_Prod!P83</t>
    </r>
  </si>
  <si>
    <t xml:space="preserve">Q50</t>
  </si>
  <si>
    <t xml:space="preserve">Q80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</si>
  <si>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(Perf!Q47+1)*Perf!Q65/(Perf!Q14*Perf_Prod!Q53)/1000</t>
    </r>
  </si>
  <si>
    <t xml:space="preserve">Q85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</si>
  <si>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(1000*Perf!Q49/Perf!Q41-Perf_Prod!Q79)/Perf_Prod!Q83</t>
    </r>
  </si>
  <si>
    <t xml:space="preserve">SRC_HW</t>
  </si>
  <si>
    <t xml:space="preserve">SRC_HW_047</t>
  </si>
  <si>
    <t xml:space="preserve">C65</t>
  </si>
  <si>
    <t xml:space="preserve">SRC_HW_061</t>
  </si>
  <si>
    <r>
      <rPr>
        <sz val="10"/>
        <color rgb="FF0000FF"/>
        <rFont val="Noto Sans CJK SC"/>
        <family val="2"/>
      </rPr>
      <t xml:space="preserve">配電設計功率 高（</t>
    </r>
    <r>
      <rPr>
        <sz val="10"/>
        <color rgb="FF0000FF"/>
        <rFont val="Arial"/>
        <family val="0"/>
        <charset val="1"/>
      </rPr>
      <t xml:space="preserve">kW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</si>
  <si>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配電設計功率 低（</t>
    </r>
    <r>
      <rPr>
        <sz val="10"/>
        <color rgb="FF0000FF"/>
        <rFont val="Arial"/>
        <family val="0"/>
        <charset val="1"/>
      </rPr>
      <t xml:space="preserve">kW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</si>
  <si>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配電設計功率 基準（</t>
    </r>
    <r>
      <rPr>
        <sz val="10"/>
        <color rgb="FF0000FF"/>
        <rFont val="Arial"/>
        <family val="0"/>
        <charset val="1"/>
      </rPr>
      <t xml:space="preserve">kW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</si>
  <si>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配電設計功率 低（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</si>
  <si>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SRC_HW_004_Lo</t>
    </r>
  </si>
  <si>
    <r>
      <rPr>
        <sz val="10"/>
        <color rgb="FF000000"/>
        <rFont val="Noto Sans CJK SC"/>
        <family val="2"/>
      </rPr>
      <t xml:space="preserve">配電設計功率 基準（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</si>
  <si>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SRC_HW_004_Hi</t>
    </r>
  </si>
  <si>
    <r>
      <rPr>
        <sz val="10"/>
        <color rgb="FF000000"/>
        <rFont val="Noto Sans CJK SC"/>
        <family val="2"/>
      </rPr>
      <t xml:space="preserve">配電設計功率 高（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</si>
  <si>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SRC_HW_005_Hi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</si>
  <si>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SRC_HW_005_Lo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</si>
  <si>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</si>
  <si>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SRC_HW_011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</si>
  <si>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SRC_HW_014</t>
    </r>
  </si>
  <si>
    <r>
      <rPr>
        <sz val="10"/>
        <color rgb="FF0000FF"/>
        <rFont val="Noto Sans CJK SC"/>
        <family val="2"/>
      </rPr>
      <t xml:space="preserve">機架外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電力占比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</si>
  <si>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</si>
  <si>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Tech_Registry!$E$22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</si>
  <si>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INDEX(Arch!$C$7:$E$7,C$7)*INDEX(ARCH_ScaleGen,1,C$6)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</si>
  <si>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INDEX(Arch!$C$30:$E$30,C$7)</t>
    </r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</si>
  <si>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</si>
  <si>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INDEX(Serving!$C$21:$E$21,C$7)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</si>
  <si>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</si>
  <si>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</si>
  <si>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Serving!$C$18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</si>
  <si>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(2*C28*1000000000+C35*C64)*C10/1000000000</t>
    </r>
  </si>
  <si>
    <t xml:space="preserve">C66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</si>
  <si>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C36*IF(C37=0,C46,MIN(C46,C37))+(1-C36)*(C46/C38+C39)</t>
    </r>
  </si>
  <si>
    <t xml:space="preserve">層級索引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</si>
  <si>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(C47+1)*C65/(C14*C53)/1000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</si>
  <si>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(1000*C49/C41-C79)/C83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</si>
  <si>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INDEX(Arch!$C$7:$E$7,D$7)*INDEX(ARCH_ScaleGen,1,D$6)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</si>
  <si>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</si>
  <si>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INDEX(Serving!$C$21:$E$21,D$7)</t>
    </r>
  </si>
  <si>
    <t xml:space="preserve">D65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</si>
  <si>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(2*D28*1000000000+D35*D64)*D10/1000000000</t>
    </r>
  </si>
  <si>
    <t xml:space="preserve">D66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</si>
  <si>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D36*IF(D37=0,D46,MIN(D46,D37))+(1-D36)*(D46/D38+D39)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</si>
  <si>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(D47+1)*D65/(D14*D53)/1000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</si>
  <si>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(1000*D49/D41-D79)/D83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</si>
  <si>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INDEX(Arch!$C$7:$E$7,E$7)*INDEX(ARCH_ScaleGen,1,E$6)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</si>
  <si>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</si>
  <si>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INDEX(Serving!$C$21:$E$21,E$7)</t>
    </r>
  </si>
  <si>
    <t xml:space="preserve">E65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</si>
  <si>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(2*E28*1000000000+E35*E64)*E10/1000000000</t>
    </r>
  </si>
  <si>
    <t xml:space="preserve">E66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</si>
  <si>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E36*IF(E37=0,E46,MIN(E46,E37))+(1-E36)*(E46/E38+E39)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</si>
  <si>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(E47+1)*E65/(E14*E53)/1000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</si>
  <si>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(1000*E49/E41-E79)/E83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</si>
  <si>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INDEX(Arch!$C$7:$E$7,F$7)*INDEX(ARCH_ScaleGen,1,F$6)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</si>
  <si>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</si>
  <si>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INDEX(Serving!$C$21:$E$21,F$7)</t>
    </r>
  </si>
  <si>
    <t xml:space="preserve">F65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</si>
  <si>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(2*F28*1000000000+F35*F64)*F10/1000000000</t>
    </r>
  </si>
  <si>
    <t xml:space="preserve">F66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</si>
  <si>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F36*IF(F37=0,F46,MIN(F46,F37))+(1-F36)*(F46/F38+F39)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</si>
  <si>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(F47+1)*F65/(F14*F53)/1000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</si>
  <si>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(1000*F49/F41-F79)/F83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</si>
  <si>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INDEX(Arch!$C$7:$E$7,G$7)*INDEX(ARCH_ScaleGen,1,G$6)</t>
    </r>
  </si>
  <si>
    <t xml:space="preserve">G35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</si>
  <si>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INDEX(Arch!$C$30:$E$30,G$7)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</si>
  <si>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INDEX(Serving!$C$21:$E$21,G$7)</t>
    </r>
  </si>
  <si>
    <t xml:space="preserve">G65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</si>
  <si>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(2*G28*1000000000+G35*G64)*G10/1000000000</t>
    </r>
  </si>
  <si>
    <t xml:space="preserve">G66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</si>
  <si>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G36*IF(G37=0,G46,MIN(G46,G37))+(1-G36)*(G46/G38+G39)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</si>
  <si>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(G47+1)*G65/(G14*G53)/1000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</si>
  <si>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(1000*G49/G41-G79)/G83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</si>
  <si>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INDEX(Arch!$C$7:$E$7,H$7)*INDEX(ARCH_ScaleGen,1,H$6)</t>
    </r>
  </si>
  <si>
    <t xml:space="preserve">H35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</si>
  <si>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INDEX(Arch!$C$30:$E$30,H$7)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</si>
  <si>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INDEX(Serving!$C$21:$E$21,H$7)</t>
    </r>
  </si>
  <si>
    <t xml:space="preserve">H65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</si>
  <si>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(2*H28*1000000000+H35*H64)*H10/1000000000</t>
    </r>
  </si>
  <si>
    <t xml:space="preserve">H66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</si>
  <si>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H36*IF(H37=0,H46,MIN(H46,H37))+(1-H36)*(H46/H38+H39)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</si>
  <si>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(H47+1)*H65/(H14*H53)/1000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</si>
  <si>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(1000*H49/H41-H79)/H83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</si>
  <si>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INDEX(Arch!$C$7:$E$7,I$7)*INDEX(ARCH_ScaleGen,1,I$6)</t>
    </r>
  </si>
  <si>
    <t xml:space="preserve">I35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</si>
  <si>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INDEX(Arch!$C$30:$E$30,I$7)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</si>
  <si>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INDEX(Serving!$C$21:$E$21,I$7)</t>
    </r>
  </si>
  <si>
    <t xml:space="preserve">I65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</si>
  <si>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(2*I28*1000000000+I35*I64)*I10/1000000000</t>
    </r>
  </si>
  <si>
    <t xml:space="preserve">I66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</si>
  <si>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I36*IF(I37=0,I46,MIN(I46,I37))+(1-I36)*(I46/I38+I39)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</si>
  <si>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(I47+1)*I65/(I14*I53)/1000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</si>
  <si>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(1000*I49/I41-I79)/I83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</si>
  <si>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INDEX(Arch!$C$7:$E$7,J$7)*INDEX(ARCH_ScaleGen,1,J$6)</t>
    </r>
  </si>
  <si>
    <t xml:space="preserve">J35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</si>
  <si>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INDEX(Arch!$C$30:$E$30,J$7)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</si>
  <si>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INDEX(Serving!$C$21:$E$21,J$7)</t>
    </r>
  </si>
  <si>
    <t xml:space="preserve">J65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</si>
  <si>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(2*J28*1000000000+J35*J64)*J10/1000000000</t>
    </r>
  </si>
  <si>
    <t xml:space="preserve">J66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</si>
  <si>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J36*IF(J37=0,J46,MIN(J46,J37))+(1-J36)*(J46/J38+J39)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</si>
  <si>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(J47+1)*J65/(J14*J53)/1000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</si>
  <si>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(1000*J49/J41-J79)/J83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</si>
  <si>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INDEX(Arch!$C$7:$E$7,K$7)*INDEX(ARCH_ScaleGen,1,K$6)</t>
    </r>
  </si>
  <si>
    <t xml:space="preserve">K35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</si>
  <si>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INDEX(Arch!$C$30:$E$30,K$7)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</si>
  <si>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INDEX(Serving!$C$21:$E$21,K$7)</t>
    </r>
  </si>
  <si>
    <t xml:space="preserve">K65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</si>
  <si>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(2*K28*1000000000+K35*K64)*K10/1000000000</t>
    </r>
  </si>
  <si>
    <t xml:space="preserve">K66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</si>
  <si>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K36*IF(K37=0,K46,MIN(K46,K37))+(1-K36)*(K46/K38+K39)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</si>
  <si>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(K47+1)*K65/(K14*K53)/1000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</si>
  <si>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(1000*K49/K41-K79)/K83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</si>
  <si>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INDEX(Arch!$C$7:$E$7,L$7)*INDEX(ARCH_ScaleGen,1,L$6)</t>
    </r>
  </si>
  <si>
    <t xml:space="preserve">L35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</si>
  <si>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INDEX(Arch!$C$30:$E$30,L$7)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</si>
  <si>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INDEX(Serving!$C$21:$E$21,L$7)</t>
    </r>
  </si>
  <si>
    <t xml:space="preserve">L65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</si>
  <si>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(2*L28*1000000000+L35*L64)*L10/1000000000</t>
    </r>
  </si>
  <si>
    <t xml:space="preserve">L66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</si>
  <si>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L36*IF(L37=0,L46,MIN(L46,L37))+(1-L36)*(L46/L38+L39)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</si>
  <si>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(L47+1)*L65/(L14*L53)/1000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</si>
  <si>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(1000*L49/L41-L79)/L83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</si>
  <si>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INDEX(Arch!$C$7:$E$7,M$7)*INDEX(ARCH_ScaleGen,1,M$6)</t>
    </r>
  </si>
  <si>
    <t xml:space="preserve">M35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</si>
  <si>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INDEX(Arch!$C$30:$E$30,M$7)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</si>
  <si>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INDEX(Serving!$C$21:$E$21,M$7)</t>
    </r>
  </si>
  <si>
    <t xml:space="preserve">M65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</si>
  <si>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(2*M28*1000000000+M35*M64)*M10/1000000000</t>
    </r>
  </si>
  <si>
    <t xml:space="preserve">M66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</si>
  <si>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M36*IF(M37=0,M46,MIN(M46,M37))+(1-M36)*(M46/M38+M39)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</si>
  <si>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(M47+1)*M65/(M14*M53)/1000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</si>
  <si>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(1000*M49/M41-M79)/M83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</si>
  <si>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INDEX(Arch!$C$7:$E$7,N$7)*INDEX(ARCH_ScaleGen,1,N$6)</t>
    </r>
  </si>
  <si>
    <t xml:space="preserve">N35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</si>
  <si>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INDEX(Arch!$C$30:$E$30,N$7)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</si>
  <si>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INDEX(Serving!$C$21:$E$21,N$7)</t>
    </r>
  </si>
  <si>
    <t xml:space="preserve">N65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</si>
  <si>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(2*N28*1000000000+N35*N64)*N10/1000000000</t>
    </r>
  </si>
  <si>
    <t xml:space="preserve">N66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</si>
  <si>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N36*IF(N37=0,N46,MIN(N46,N37))+(1-N36)*(N46/N38+N39)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</si>
  <si>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(N47+1)*N65/(N14*N53)/1000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</si>
  <si>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(1000*N49/N41-N79)/N83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</si>
  <si>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INDEX(Arch!$C$7:$E$7,O$7)*INDEX(ARCH_ScaleGen,1,O$6)</t>
    </r>
  </si>
  <si>
    <t xml:space="preserve">O35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</si>
  <si>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INDEX(Arch!$C$30:$E$30,O$7)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</si>
  <si>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INDEX(Serving!$C$21:$E$21,O$7)</t>
    </r>
  </si>
  <si>
    <t xml:space="preserve">O65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</si>
  <si>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(2*O28*1000000000+O35*O64)*O10/1000000000</t>
    </r>
  </si>
  <si>
    <t xml:space="preserve">O66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</si>
  <si>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O36*IF(O37=0,O46,MIN(O46,O37))+(1-O36)*(O46/O38+O39)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</si>
  <si>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(O47+1)*O65/(O14*O53)/1000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</si>
  <si>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(1000*O49/O41-O79)/O83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</si>
  <si>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INDEX(Arch!$C$7:$E$7,P$7)*INDEX(ARCH_ScaleGen,1,P$6)</t>
    </r>
  </si>
  <si>
    <t xml:space="preserve">P35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</si>
  <si>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INDEX(Arch!$C$30:$E$30,P$7)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</si>
  <si>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INDEX(Serving!$C$21:$E$21,P$7)</t>
    </r>
  </si>
  <si>
    <t xml:space="preserve">P65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</si>
  <si>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(2*P28*1000000000+P35*P64)*P10/1000000000</t>
    </r>
  </si>
  <si>
    <t xml:space="preserve">P66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</si>
  <si>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P36*IF(P37=0,P46,MIN(P46,P37))+(1-P36)*(P46/P38+P39)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</si>
  <si>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(P47+1)*P65/(P14*P53)/1000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</si>
  <si>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(1000*P49/P41-P79)/P83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</si>
  <si>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INDEX(Arch!$C$7:$E$7,Q$7)*INDEX(ARCH_ScaleGen,1,Q$6)</t>
    </r>
  </si>
  <si>
    <t xml:space="preserve">Q35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</si>
  <si>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INDEX(Arch!$C$30:$E$30,Q$7)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</si>
  <si>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INDEX(Serving!$C$21:$E$21,Q$7)</t>
    </r>
  </si>
  <si>
    <t xml:space="preserve">Q65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</si>
  <si>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(2*Q28*1000000000+Q35*Q64)*Q10/1000000000</t>
    </r>
  </si>
  <si>
    <t xml:space="preserve">Q66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</si>
  <si>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Q36*IF(Q37=0,Q46,MIN(Q46,Q37))+(1-Q36)*(Q46/Q38+Q39)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</si>
  <si>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(Q47+1)*Q65/(Q14*Q53)/1000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</si>
  <si>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(1000*Q49/Q41-Q79)/Q83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</si>
  <si>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</si>
  <si>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INDEX(Calib!$C$70:$G$70,Perf!C$6)*Perf!C52*Perf_Prod!C50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</si>
  <si>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INDEX(Calib!$C$70:$G$70,Perf!D$6)*Perf!D52*Perf_Prod!D50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</si>
  <si>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INDEX(Calib!$C$70:$G$70,Perf!E$6)*Perf!E52*Perf_Prod!E50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</si>
  <si>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INDEX(Calib!$C$70:$G$70,Perf!F$6)*Perf!F52*Perf_Prod!F50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</si>
  <si>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INDEX(Calib!$C$70:$G$70,Perf!G$6)*Perf!G52*Perf_Prod!G50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</si>
  <si>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INDEX(Calib!$C$70:$G$70,Perf!H$6)*Perf!H52*Perf_Prod!H50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</si>
  <si>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INDEX(Calib!$C$70:$G$70,Perf!I$6)*Perf!I52*Perf_Prod!I50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</si>
  <si>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INDEX(Calib!$C$70:$G$70,Perf!J$6)*Perf!J52*Perf_Prod!J50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</si>
  <si>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INDEX(Calib!$C$70:$G$70,Perf!K$6)*Perf!K52*Perf_Prod!K50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</si>
  <si>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INDEX(Calib!$C$70:$G$70,Perf!L$6)*Perf!L52*Perf_Prod!L50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</si>
  <si>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INDEX(Calib!$C$70:$G$70,Perf!M$6)*Perf!M52*Perf_Prod!M50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</si>
  <si>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INDEX(Calib!$C$70:$G$70,Perf!N$6)*Perf!N52*Perf_Prod!N50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</si>
  <si>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INDEX(Calib!$C$70:$G$70,Perf!O$6)*Perf!O52*Perf_Prod!O50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</si>
  <si>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INDEX(Calib!$C$70:$G$70,Perf!P$6)*Perf!P52*Perf_Prod!P50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</si>
  <si>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INDEX(Calib!$C$70:$G$70,Perf!Q$6)*Perf!Q52*Perf_Prod!Q50</t>
    </r>
  </si>
  <si>
    <t xml:space="preserve">SRC_DC_002</t>
  </si>
  <si>
    <t xml:space="preserve">SRC_HW_011</t>
  </si>
  <si>
    <t xml:space="preserve">SRC_HW_012</t>
  </si>
  <si>
    <t xml:space="preserve">SRC_HW_014</t>
  </si>
  <si>
    <t xml:space="preserve">SRC_HW_004</t>
  </si>
  <si>
    <t xml:space="preserve">SRC_HW_005</t>
  </si>
  <si>
    <r>
      <rPr>
        <sz val="10"/>
        <color rgb="FF0000FF"/>
        <rFont val="Arial"/>
        <family val="0"/>
        <charset val="1"/>
      </rPr>
      <t xml:space="preserve">TTFT </t>
    </r>
    <r>
      <rPr>
        <sz val="10"/>
        <color rgb="FF0000FF"/>
        <rFont val="Noto Sans CJK SC"/>
        <family val="2"/>
      </rPr>
      <t xml:space="preserve">上限（只作檢查）</t>
    </r>
  </si>
  <si>
    <r>
      <rPr>
        <sz val="10"/>
        <color rgb="FF0000FF"/>
        <rFont val="Noto Sans CJK SC"/>
        <family val="2"/>
      </rPr>
      <t xml:space="preserve">機架價格 低（</t>
    </r>
    <r>
      <rPr>
        <sz val="10"/>
        <color rgb="FF0000FF"/>
        <rFont val="Arial"/>
        <family val="0"/>
        <charset val="1"/>
      </rPr>
      <t xml:space="preserve">$M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</si>
  <si>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機架價格 基準（</t>
    </r>
    <r>
      <rPr>
        <sz val="10"/>
        <color rgb="FF0000FF"/>
        <rFont val="Arial"/>
        <family val="0"/>
        <charset val="1"/>
      </rPr>
      <t xml:space="preserve">$M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</si>
  <si>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機架價格 高（</t>
    </r>
    <r>
      <rPr>
        <sz val="10"/>
        <color rgb="FF0000FF"/>
        <rFont val="Arial"/>
        <family val="0"/>
        <charset val="1"/>
      </rPr>
      <t xml:space="preserve">$M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</si>
  <si>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 低（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</si>
  <si>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SRC_HW_006_Lo</t>
    </r>
  </si>
  <si>
    <r>
      <rPr>
        <sz val="10"/>
        <color rgb="FF000000"/>
        <rFont val="Noto Sans CJK SC"/>
        <family val="2"/>
      </rPr>
      <t xml:space="preserve">機架價格 高（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</si>
  <si>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SRC_HW_006_Hi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</si>
  <si>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</si>
  <si>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SRC_HW_010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</si>
  <si>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F12*SR_RU_PxMultLo</t>
    </r>
  </si>
  <si>
    <r>
      <rPr>
        <sz val="10"/>
        <color rgb="FF000000"/>
        <rFont val="Noto Sans CJK SC"/>
        <family val="2"/>
      </rPr>
      <t xml:space="preserve">機架價格 基準（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</si>
  <si>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F12*2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</si>
  <si>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F12*SR_RU_PxMultHi</t>
    </r>
  </si>
  <si>
    <r>
      <rPr>
        <sz val="10"/>
        <color rgb="FF0000FF"/>
        <rFont val="Arial"/>
        <family val="0"/>
        <charset val="1"/>
      </rPr>
      <t xml:space="preserve">η_p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達成峰值比例</t>
    </r>
  </si>
  <si>
    <t xml:space="preserve">C69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</si>
  <si>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</si>
  <si>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SRC_HW_019/SRC_HW_040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</si>
  <si>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</si>
  <si>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$C$60*C67</t>
    </r>
  </si>
  <si>
    <t xml:space="preserve">D69</t>
  </si>
  <si>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</t>
    </r>
  </si>
  <si>
    <t xml:space="preserve">D70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</si>
  <si>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$C$60*D67</t>
    </r>
  </si>
  <si>
    <t xml:space="preserve">E69</t>
  </si>
  <si>
    <t xml:space="preserve">E70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</si>
  <si>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$C$60*E67</t>
    </r>
  </si>
  <si>
    <t xml:space="preserve">F69</t>
  </si>
  <si>
    <t xml:space="preserve">F70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</si>
  <si>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$C$60*F67</t>
    </r>
  </si>
  <si>
    <t xml:space="preserve">G69</t>
  </si>
  <si>
    <t xml:space="preserve">G70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</si>
  <si>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$C$60*G67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</si>
  <si>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INDEX(Spec_Rack!$C$26:$G$26,C$6)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</si>
  <si>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</si>
  <si>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INDEX(Spec_Rack!$C$27:$G$27,C$6)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</si>
  <si>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INDEX(Arch!$C$8:$E$8,C$7)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</si>
  <si>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INDEX(Arch!$C$9:$E$9,C$7)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</si>
  <si>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INDEX(Arch!$C$13:$E$13,C$7)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</si>
  <si>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</si>
  <si>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INDEX(Arch!$C$25:$E$25,C$7)*C11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</si>
  <si>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INDEX(Arch!$C$16:$E$16,C$7)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</si>
  <si>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INDEX(Arch!$C$17:$E$17,C$7)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</si>
  <si>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INDEX(Arch!$C$18:$E$18,C$7)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</si>
  <si>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INDEX(Arch!$C$19:$E$19,C$7)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</si>
  <si>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C43+C44/2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</si>
  <si>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C43/2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</si>
  <si>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</si>
  <si>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Tech_Registry!$E$20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</si>
  <si>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INDEX(Calib!$C$70:$G$70,C$6)*C52*C50</t>
    </r>
  </si>
  <si>
    <t xml:space="preserve">C59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</si>
  <si>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</si>
  <si>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Serving!$C$12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</si>
  <si>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</si>
  <si>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</si>
  <si>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Serving!$C$13</t>
    </r>
  </si>
  <si>
    <t xml:space="preserve">C61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</si>
  <si>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Serving!$C$14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</si>
  <si>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C15*(1-C56)</t>
    </r>
  </si>
  <si>
    <t xml:space="preserve">C71</t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</si>
  <si>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</si>
  <si>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MAX(C18,CEILING(C33*C19/(C58*C69),1))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</si>
  <si>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C32*C20/C70+C33*C19/C71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</si>
  <si>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INDEX(Spec_Rack!$C$26:$G$26,D$6)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</si>
  <si>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INDEX(Spec_Rack!$C$27:$G$27,D$6)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</si>
  <si>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</si>
  <si>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</si>
  <si>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</si>
  <si>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INDEX(Arch!$C$25:$E$25,D$7)*D11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</si>
  <si>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</si>
  <si>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</si>
  <si>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</si>
  <si>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</si>
  <si>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D43+D44/2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</si>
  <si>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</si>
  <si>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INDEX(Calib!$C$70:$G$70,D$6)*D52*D50</t>
    </r>
  </si>
  <si>
    <t xml:space="preserve">D59</t>
  </si>
  <si>
    <t xml:space="preserve">D60</t>
  </si>
  <si>
    <t xml:space="preserve">D61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</si>
  <si>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D15*(1-D56)</t>
    </r>
  </si>
  <si>
    <t xml:space="preserve">D71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</si>
  <si>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MAX(D18,CEILING(D33*D19/(D58*D69),1))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</si>
  <si>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D32*D20/D70+D33*D19/D71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</si>
  <si>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INDEX(Spec_Rack!$C$26:$G$26,E$6)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</si>
  <si>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INDEX(Spec_Rack!$C$27:$G$27,E$6)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</si>
  <si>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</si>
  <si>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</si>
  <si>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</si>
  <si>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INDEX(Arch!$C$25:$E$25,E$7)*E11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</si>
  <si>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</si>
  <si>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</si>
  <si>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</si>
  <si>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</si>
  <si>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E43+E44/2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</si>
  <si>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</si>
  <si>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INDEX(Calib!$C$70:$G$70,E$6)*E52*E50</t>
    </r>
  </si>
  <si>
    <t xml:space="preserve">E59</t>
  </si>
  <si>
    <t xml:space="preserve">E60</t>
  </si>
  <si>
    <t xml:space="preserve">E61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</si>
  <si>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E15*(1-E56)</t>
    </r>
  </si>
  <si>
    <t xml:space="preserve">E71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</si>
  <si>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MAX(E18,CEILING(E33*E19/(E58*E69),1))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</si>
  <si>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E32*E20/E70+E33*E19/E71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</si>
  <si>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INDEX(Spec_Rack!$C$26:$G$26,F$6)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</si>
  <si>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INDEX(Spec_Rack!$C$27:$G$27,F$6)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</si>
  <si>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</si>
  <si>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</si>
  <si>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</si>
  <si>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INDEX(Arch!$C$25:$E$25,F$7)*F11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</si>
  <si>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</si>
  <si>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</si>
  <si>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</si>
  <si>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</si>
  <si>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F43+F44/2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</si>
  <si>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</si>
  <si>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INDEX(Calib!$C$70:$G$70,F$6)*F52*F50</t>
    </r>
  </si>
  <si>
    <t xml:space="preserve">F59</t>
  </si>
  <si>
    <t xml:space="preserve">F60</t>
  </si>
  <si>
    <t xml:space="preserve">F61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</si>
  <si>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F15*(1-F56)</t>
    </r>
  </si>
  <si>
    <t xml:space="preserve">F71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</si>
  <si>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MAX(F18,CEILING(F33*F19/(F58*F69),1))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</si>
  <si>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F32*F20/F70+F33*F19/F71</t>
    </r>
  </si>
  <si>
    <t xml:space="preserve">G16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</si>
  <si>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INDEX(Spec_Rack!$C$26:$G$26,G$6)</t>
    </r>
  </si>
  <si>
    <t xml:space="preserve">G17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</si>
  <si>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INDEX(Spec_Rack!$C$27:$G$27,G$6)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</si>
  <si>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INDEX(Arch!$C$8:$E$8,G$7)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</si>
  <si>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INDEX(Arch!$C$9:$E$9,G$7)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</si>
  <si>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INDEX(Arch!$C$13:$E$13,G$7)</t>
    </r>
  </si>
  <si>
    <t xml:space="preserve">G34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</si>
  <si>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INDEX(Arch!$C$25:$E$25,G$7)*G11</t>
    </r>
  </si>
  <si>
    <t xml:space="preserve">G36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</si>
  <si>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INDEX(Arch!$C$16:$E$16,G$7)</t>
    </r>
  </si>
  <si>
    <t xml:space="preserve">G37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</si>
  <si>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INDEX(Arch!$C$17:$E$17,G$7)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</si>
  <si>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INDEX(Arch!$C$18:$E$18,G$7)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</si>
  <si>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INDEX(Arch!$C$19:$E$19,G$7)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</si>
  <si>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G43+G44/2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</si>
  <si>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</si>
  <si>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INDEX(Calib!$C$70:$G$70,G$6)*G52*G50</t>
    </r>
  </si>
  <si>
    <t xml:space="preserve">G59</t>
  </si>
  <si>
    <t xml:space="preserve">G60</t>
  </si>
  <si>
    <t xml:space="preserve">G61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</si>
  <si>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G15*(1-G56)</t>
    </r>
  </si>
  <si>
    <t xml:space="preserve">G71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</si>
  <si>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MAX(G18,CEILING(G33*G19/(G58*G69),1))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</si>
  <si>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G32*G20/G70+G33*G19/G71</t>
    </r>
  </si>
  <si>
    <t xml:space="preserve">H16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</si>
  <si>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INDEX(Spec_Rack!$C$26:$G$26,H$6)</t>
    </r>
  </si>
  <si>
    <t xml:space="preserve">H17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</si>
  <si>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INDEX(Spec_Rack!$C$27:$G$27,H$6)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</si>
  <si>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INDEX(Arch!$C$8:$E$8,H$7)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</si>
  <si>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INDEX(Arch!$C$9:$E$9,H$7)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</si>
  <si>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INDEX(Arch!$C$13:$E$13,H$7)</t>
    </r>
  </si>
  <si>
    <t xml:space="preserve">H34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</si>
  <si>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INDEX(Arch!$C$25:$E$25,H$7)*H11</t>
    </r>
  </si>
  <si>
    <t xml:space="preserve">H36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</si>
  <si>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INDEX(Arch!$C$16:$E$16,H$7)</t>
    </r>
  </si>
  <si>
    <t xml:space="preserve">H37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</si>
  <si>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INDEX(Arch!$C$17:$E$17,H$7)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</si>
  <si>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INDEX(Arch!$C$18:$E$18,H$7)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</si>
  <si>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INDEX(Arch!$C$19:$E$19,H$7)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</si>
  <si>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H43+H44/2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</si>
  <si>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</si>
  <si>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INDEX(Calib!$C$70:$G$70,H$6)*H52*H50</t>
    </r>
  </si>
  <si>
    <t xml:space="preserve">H59</t>
  </si>
  <si>
    <t xml:space="preserve">H60</t>
  </si>
  <si>
    <t xml:space="preserve">H61</t>
  </si>
  <si>
    <t xml:space="preserve">H69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</si>
  <si>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H15*(1-H56)</t>
    </r>
  </si>
  <si>
    <t xml:space="preserve">H71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</si>
  <si>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MAX(H18,CEILING(H33*H19/(H58*H69),1))</t>
    </r>
  </si>
  <si>
    <t xml:space="preserve">H72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</si>
  <si>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H32*H20/H70+H33*H19/H71</t>
    </r>
  </si>
  <si>
    <t xml:space="preserve">I16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</si>
  <si>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INDEX(Spec_Rack!$C$26:$G$26,I$6)</t>
    </r>
  </si>
  <si>
    <t xml:space="preserve">I17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</si>
  <si>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INDEX(Spec_Rack!$C$27:$G$27,I$6)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</si>
  <si>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INDEX(Arch!$C$8:$E$8,I$7)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</si>
  <si>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INDEX(Arch!$C$9:$E$9,I$7)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</si>
  <si>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INDEX(Arch!$C$13:$E$13,I$7)</t>
    </r>
  </si>
  <si>
    <t xml:space="preserve">I34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</si>
  <si>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INDEX(Arch!$C$25:$E$25,I$7)*I11</t>
    </r>
  </si>
  <si>
    <t xml:space="preserve">I36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</si>
  <si>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INDEX(Arch!$C$16:$E$16,I$7)</t>
    </r>
  </si>
  <si>
    <t xml:space="preserve">I37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</si>
  <si>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INDEX(Arch!$C$17:$E$17,I$7)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</si>
  <si>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INDEX(Arch!$C$18:$E$18,I$7)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</si>
  <si>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INDEX(Arch!$C$19:$E$19,I$7)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</si>
  <si>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I43+I44/2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</si>
  <si>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</si>
  <si>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INDEX(Calib!$C$70:$G$70,I$6)*I52*I50</t>
    </r>
  </si>
  <si>
    <t xml:space="preserve">I59</t>
  </si>
  <si>
    <t xml:space="preserve">I60</t>
  </si>
  <si>
    <t xml:space="preserve">I61</t>
  </si>
  <si>
    <t xml:space="preserve">I69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</si>
  <si>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I15*(1-I56)</t>
    </r>
  </si>
  <si>
    <t xml:space="preserve">I71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</si>
  <si>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MAX(I18,CEILING(I33*I19/(I58*I69),1))</t>
    </r>
  </si>
  <si>
    <t xml:space="preserve">I72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</si>
  <si>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I32*I20/I70+I33*I19/I71</t>
    </r>
  </si>
  <si>
    <t xml:space="preserve">J16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</si>
  <si>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INDEX(Spec_Rack!$C$26:$G$26,J$6)</t>
    </r>
  </si>
  <si>
    <t xml:space="preserve">J17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</si>
  <si>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INDEX(Spec_Rack!$C$27:$G$27,J$6)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</si>
  <si>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INDEX(Arch!$C$8:$E$8,J$7)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</si>
  <si>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INDEX(Arch!$C$9:$E$9,J$7)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</si>
  <si>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INDEX(Arch!$C$13:$E$13,J$7)</t>
    </r>
  </si>
  <si>
    <t xml:space="preserve">J34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</si>
  <si>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INDEX(Arch!$C$25:$E$25,J$7)*J11</t>
    </r>
  </si>
  <si>
    <t xml:space="preserve">J36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</si>
  <si>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INDEX(Arch!$C$16:$E$16,J$7)</t>
    </r>
  </si>
  <si>
    <t xml:space="preserve">J37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</si>
  <si>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INDEX(Arch!$C$17:$E$17,J$7)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</si>
  <si>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INDEX(Arch!$C$18:$E$18,J$7)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</si>
  <si>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INDEX(Arch!$C$19:$E$19,J$7)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</si>
  <si>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J43+J44/2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</si>
  <si>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</si>
  <si>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INDEX(Calib!$C$70:$G$70,J$6)*J52*J50</t>
    </r>
  </si>
  <si>
    <t xml:space="preserve">J59</t>
  </si>
  <si>
    <t xml:space="preserve">J60</t>
  </si>
  <si>
    <t xml:space="preserve">J61</t>
  </si>
  <si>
    <t xml:space="preserve">J69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</si>
  <si>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J15*(1-J56)</t>
    </r>
  </si>
  <si>
    <t xml:space="preserve">J71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</si>
  <si>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MAX(J18,CEILING(J33*J19/(J58*J69),1))</t>
    </r>
  </si>
  <si>
    <t xml:space="preserve">J72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</si>
  <si>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J32*J20/J70+J33*J19/J71</t>
    </r>
  </si>
  <si>
    <t xml:space="preserve">K16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</si>
  <si>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INDEX(Spec_Rack!$C$26:$G$26,K$6)</t>
    </r>
  </si>
  <si>
    <t xml:space="preserve">K17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</si>
  <si>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INDEX(Spec_Rack!$C$27:$G$27,K$6)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</si>
  <si>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INDEX(Arch!$C$8:$E$8,K$7)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</si>
  <si>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INDEX(Arch!$C$9:$E$9,K$7)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</si>
  <si>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INDEX(Arch!$C$13:$E$13,K$7)</t>
    </r>
  </si>
  <si>
    <t xml:space="preserve">K34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</si>
  <si>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INDEX(Arch!$C$25:$E$25,K$7)*K11</t>
    </r>
  </si>
  <si>
    <t xml:space="preserve">K36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</si>
  <si>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INDEX(Arch!$C$16:$E$16,K$7)</t>
    </r>
  </si>
  <si>
    <t xml:space="preserve">K37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</si>
  <si>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INDEX(Arch!$C$17:$E$17,K$7)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</si>
  <si>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INDEX(Arch!$C$18:$E$18,K$7)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</si>
  <si>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INDEX(Arch!$C$19:$E$19,K$7)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</si>
  <si>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K43+K44/2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</si>
  <si>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</si>
  <si>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INDEX(Calib!$C$70:$G$70,K$6)*K52*K50</t>
    </r>
  </si>
  <si>
    <t xml:space="preserve">K59</t>
  </si>
  <si>
    <t xml:space="preserve">K60</t>
  </si>
  <si>
    <t xml:space="preserve">K61</t>
  </si>
  <si>
    <t xml:space="preserve">K69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</si>
  <si>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K15*(1-K56)</t>
    </r>
  </si>
  <si>
    <t xml:space="preserve">K71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</si>
  <si>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MAX(K18,CEILING(K33*K19/(K58*K69),1))</t>
    </r>
  </si>
  <si>
    <t xml:space="preserve">K72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</si>
  <si>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K32*K20/K70+K33*K19/K71</t>
    </r>
  </si>
  <si>
    <t xml:space="preserve">L16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</si>
  <si>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INDEX(Spec_Rack!$C$26:$G$26,L$6)</t>
    </r>
  </si>
  <si>
    <t xml:space="preserve">L17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</si>
  <si>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INDEX(Spec_Rack!$C$27:$G$27,L$6)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</si>
  <si>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INDEX(Arch!$C$8:$E$8,L$7)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</si>
  <si>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INDEX(Arch!$C$9:$E$9,L$7)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</si>
  <si>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INDEX(Arch!$C$13:$E$13,L$7)</t>
    </r>
  </si>
  <si>
    <t xml:space="preserve">L34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</si>
  <si>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INDEX(Arch!$C$25:$E$25,L$7)*L11</t>
    </r>
  </si>
  <si>
    <t xml:space="preserve">L36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</si>
  <si>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INDEX(Arch!$C$16:$E$16,L$7)</t>
    </r>
  </si>
  <si>
    <t xml:space="preserve">L37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</si>
  <si>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INDEX(Arch!$C$17:$E$17,L$7)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</si>
  <si>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INDEX(Arch!$C$18:$E$18,L$7)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</si>
  <si>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INDEX(Arch!$C$19:$E$19,L$7)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</si>
  <si>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L43+L44/2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</si>
  <si>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</si>
  <si>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INDEX(Calib!$C$70:$G$70,L$6)*L52*L50</t>
    </r>
  </si>
  <si>
    <t xml:space="preserve">L59</t>
  </si>
  <si>
    <t xml:space="preserve">L60</t>
  </si>
  <si>
    <t xml:space="preserve">L61</t>
  </si>
  <si>
    <t xml:space="preserve">L69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</si>
  <si>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L15*(1-L56)</t>
    </r>
  </si>
  <si>
    <t xml:space="preserve">L71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</si>
  <si>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MAX(L18,CEILING(L33*L19/(L58*L69),1))</t>
    </r>
  </si>
  <si>
    <t xml:space="preserve">L72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</si>
  <si>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L32*L20/L70+L33*L19/L71</t>
    </r>
  </si>
  <si>
    <t xml:space="preserve">M16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</si>
  <si>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INDEX(Spec_Rack!$C$26:$G$26,M$6)</t>
    </r>
  </si>
  <si>
    <t xml:space="preserve">M17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</si>
  <si>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INDEX(Spec_Rack!$C$27:$G$27,M$6)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</si>
  <si>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INDEX(Arch!$C$8:$E$8,M$7)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</si>
  <si>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INDEX(Arch!$C$9:$E$9,M$7)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</si>
  <si>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INDEX(Arch!$C$13:$E$13,M$7)</t>
    </r>
  </si>
  <si>
    <t xml:space="preserve">M34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</si>
  <si>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INDEX(Arch!$C$25:$E$25,M$7)*M11</t>
    </r>
  </si>
  <si>
    <t xml:space="preserve">M36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</si>
  <si>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INDEX(Arch!$C$16:$E$16,M$7)</t>
    </r>
  </si>
  <si>
    <t xml:space="preserve">M37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</si>
  <si>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INDEX(Arch!$C$17:$E$17,M$7)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</si>
  <si>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INDEX(Arch!$C$18:$E$18,M$7)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</si>
  <si>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INDEX(Arch!$C$19:$E$19,M$7)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</si>
  <si>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M43+M44/2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</si>
  <si>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</si>
  <si>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INDEX(Calib!$C$70:$G$70,M$6)*M52*M50</t>
    </r>
  </si>
  <si>
    <t xml:space="preserve">M59</t>
  </si>
  <si>
    <t xml:space="preserve">M60</t>
  </si>
  <si>
    <t xml:space="preserve">M61</t>
  </si>
  <si>
    <t xml:space="preserve">M69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</si>
  <si>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M15*(1-M56)</t>
    </r>
  </si>
  <si>
    <t xml:space="preserve">M71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</si>
  <si>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MAX(M18,CEILING(M33*M19/(M58*M69),1))</t>
    </r>
  </si>
  <si>
    <t xml:space="preserve">M72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</si>
  <si>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M32*M20/M70+M33*M19/M71</t>
    </r>
  </si>
  <si>
    <t xml:space="preserve">N16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</si>
  <si>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INDEX(Spec_Rack!$C$26:$G$26,N$6)</t>
    </r>
  </si>
  <si>
    <t xml:space="preserve">N17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</si>
  <si>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INDEX(Spec_Rack!$C$27:$G$27,N$6)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</si>
  <si>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INDEX(Arch!$C$8:$E$8,N$7)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</si>
  <si>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INDEX(Arch!$C$9:$E$9,N$7)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</si>
  <si>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INDEX(Arch!$C$13:$E$13,N$7)</t>
    </r>
  </si>
  <si>
    <t xml:space="preserve">N34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</si>
  <si>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INDEX(Arch!$C$25:$E$25,N$7)*N11</t>
    </r>
  </si>
  <si>
    <t xml:space="preserve">N36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</si>
  <si>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INDEX(Arch!$C$16:$E$16,N$7)</t>
    </r>
  </si>
  <si>
    <t xml:space="preserve">N37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</si>
  <si>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INDEX(Arch!$C$17:$E$17,N$7)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</si>
  <si>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INDEX(Arch!$C$18:$E$18,N$7)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</si>
  <si>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INDEX(Arch!$C$19:$E$19,N$7)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</si>
  <si>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N43+N44/2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</si>
  <si>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</si>
  <si>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INDEX(Calib!$C$70:$G$70,N$6)*N52*N50</t>
    </r>
  </si>
  <si>
    <t xml:space="preserve">N59</t>
  </si>
  <si>
    <t xml:space="preserve">N60</t>
  </si>
  <si>
    <t xml:space="preserve">N61</t>
  </si>
  <si>
    <t xml:space="preserve">N69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</si>
  <si>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N15*(1-N56)</t>
    </r>
  </si>
  <si>
    <t xml:space="preserve">N71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</si>
  <si>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MAX(N18,CEILING(N33*N19/(N58*N69),1))</t>
    </r>
  </si>
  <si>
    <t xml:space="preserve">N72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</si>
  <si>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N32*N20/N70+N33*N19/N71</t>
    </r>
  </si>
  <si>
    <t xml:space="preserve">O16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</si>
  <si>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INDEX(Spec_Rack!$C$26:$G$26,O$6)</t>
    </r>
  </si>
  <si>
    <t xml:space="preserve">O17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</si>
  <si>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INDEX(Spec_Rack!$C$27:$G$27,O$6)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</si>
  <si>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INDEX(Arch!$C$8:$E$8,O$7)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</si>
  <si>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INDEX(Arch!$C$9:$E$9,O$7)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</si>
  <si>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INDEX(Arch!$C$13:$E$13,O$7)</t>
    </r>
  </si>
  <si>
    <t xml:space="preserve">O34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</si>
  <si>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INDEX(Arch!$C$25:$E$25,O$7)*O11</t>
    </r>
  </si>
  <si>
    <t xml:space="preserve">O36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</si>
  <si>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INDEX(Arch!$C$16:$E$16,O$7)</t>
    </r>
  </si>
  <si>
    <t xml:space="preserve">O37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</si>
  <si>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INDEX(Arch!$C$17:$E$17,O$7)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</si>
  <si>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INDEX(Arch!$C$18:$E$18,O$7)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</si>
  <si>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INDEX(Arch!$C$19:$E$19,O$7)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</si>
  <si>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O43+O44/2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</si>
  <si>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</si>
  <si>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INDEX(Calib!$C$70:$G$70,O$6)*O52*O50</t>
    </r>
  </si>
  <si>
    <t xml:space="preserve">O59</t>
  </si>
  <si>
    <t xml:space="preserve">O60</t>
  </si>
  <si>
    <t xml:space="preserve">O61</t>
  </si>
  <si>
    <t xml:space="preserve">O69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</si>
  <si>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O15*(1-O56)</t>
    </r>
  </si>
  <si>
    <t xml:space="preserve">O71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</si>
  <si>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MAX(O18,CEILING(O33*O19/(O58*O69),1))</t>
    </r>
  </si>
  <si>
    <t xml:space="preserve">O72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</si>
  <si>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O32*O20/O70+O33*O19/O71</t>
    </r>
  </si>
  <si>
    <t xml:space="preserve">P16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</si>
  <si>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INDEX(Spec_Rack!$C$26:$G$26,P$6)</t>
    </r>
  </si>
  <si>
    <t xml:space="preserve">P17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</si>
  <si>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INDEX(Spec_Rack!$C$27:$G$27,P$6)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</si>
  <si>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INDEX(Arch!$C$8:$E$8,P$7)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</si>
  <si>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INDEX(Arch!$C$9:$E$9,P$7)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</si>
  <si>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INDEX(Arch!$C$13:$E$13,P$7)</t>
    </r>
  </si>
  <si>
    <t xml:space="preserve">P34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</si>
  <si>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INDEX(Arch!$C$25:$E$25,P$7)*P11</t>
    </r>
  </si>
  <si>
    <t xml:space="preserve">P36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</si>
  <si>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INDEX(Arch!$C$16:$E$16,P$7)</t>
    </r>
  </si>
  <si>
    <t xml:space="preserve">P37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</si>
  <si>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INDEX(Arch!$C$17:$E$17,P$7)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</si>
  <si>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INDEX(Arch!$C$18:$E$18,P$7)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</si>
  <si>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INDEX(Arch!$C$19:$E$19,P$7)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</si>
  <si>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P43+P44/2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</si>
  <si>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</si>
  <si>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INDEX(Calib!$C$70:$G$70,P$6)*P52*P50</t>
    </r>
  </si>
  <si>
    <t xml:space="preserve">P59</t>
  </si>
  <si>
    <t xml:space="preserve">P60</t>
  </si>
  <si>
    <t xml:space="preserve">P61</t>
  </si>
  <si>
    <t xml:space="preserve">P69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</si>
  <si>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P15*(1-P56)</t>
    </r>
  </si>
  <si>
    <t xml:space="preserve">P71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</si>
  <si>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MAX(P18,CEILING(P33*P19/(P58*P69),1))</t>
    </r>
  </si>
  <si>
    <t xml:space="preserve">P72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</si>
  <si>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P32*P20/P70+P33*P19/P71</t>
    </r>
  </si>
  <si>
    <t xml:space="preserve">Q16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</si>
  <si>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INDEX(Spec_Rack!$C$26:$G$26,Q$6)</t>
    </r>
  </si>
  <si>
    <t xml:space="preserve">Q17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</si>
  <si>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INDEX(Spec_Rack!$C$27:$G$27,Q$6)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</si>
  <si>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INDEX(Arch!$C$8:$E$8,Q$7)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</si>
  <si>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INDEX(Arch!$C$9:$E$9,Q$7)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</si>
  <si>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INDEX(Arch!$C$13:$E$13,Q$7)</t>
    </r>
  </si>
  <si>
    <t xml:space="preserve">Q34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</si>
  <si>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INDEX(Arch!$C$25:$E$25,Q$7)*Q11</t>
    </r>
  </si>
  <si>
    <t xml:space="preserve">Q36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</si>
  <si>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INDEX(Arch!$C$16:$E$16,Q$7)</t>
    </r>
  </si>
  <si>
    <t xml:space="preserve">Q37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</si>
  <si>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INDEX(Arch!$C$17:$E$17,Q$7)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</si>
  <si>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INDEX(Arch!$C$18:$E$18,Q$7)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</si>
  <si>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INDEX(Arch!$C$19:$E$19,Q$7)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</si>
  <si>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Q43+Q44/2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</si>
  <si>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</si>
  <si>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INDEX(Calib!$C$70:$G$70,Q$6)*Q52*Q50</t>
    </r>
  </si>
  <si>
    <t xml:space="preserve">Q59</t>
  </si>
  <si>
    <t xml:space="preserve">Q60</t>
  </si>
  <si>
    <t xml:space="preserve">Q61</t>
  </si>
  <si>
    <t xml:space="preserve">Q69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</si>
  <si>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Q15*(1-Q56)</t>
    </r>
  </si>
  <si>
    <t xml:space="preserve">Q71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</si>
  <si>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MAX(Q18,CEILING(Q33*Q19/(Q58*Q69),1))</t>
    </r>
  </si>
  <si>
    <t xml:space="preserve">Q72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</si>
  <si>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Q32*Q20/Q70+Q33*Q19/Q71</t>
    </r>
  </si>
  <si>
    <t xml:space="preserve">每層每次前向固定延遲（含折減）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</si>
  <si>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INDEX(Calib!$C$71:$G$71,Perf!C$6)*Perf!C54/Perf_Prod!C50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</si>
  <si>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INDEX(Calib!$C$71:$G$71,Perf!D$6)*Perf!D54/Perf_Prod!D50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</si>
  <si>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INDEX(Calib!$C$71:$G$71,Perf!E$6)*Perf!E54/Perf_Prod!E50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</si>
  <si>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INDEX(Calib!$C$71:$G$71,Perf!F$6)*Perf!F54/Perf_Prod!F50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</si>
  <si>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INDEX(Calib!$C$71:$G$71,Perf!G$6)*Perf!G54/Perf_Prod!G50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</si>
  <si>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INDEX(Calib!$C$71:$G$71,Perf!H$6)*Perf!H54/Perf_Prod!H50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</si>
  <si>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INDEX(Calib!$C$71:$G$71,Perf!I$6)*Perf!I54/Perf_Prod!I50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</si>
  <si>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INDEX(Calib!$C$71:$G$71,Perf!J$6)*Perf!J54/Perf_Prod!J50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</si>
  <si>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INDEX(Calib!$C$71:$G$71,Perf!K$6)*Perf!K54/Perf_Prod!K50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</si>
  <si>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INDEX(Calib!$C$71:$G$71,Perf!L$6)*Perf!L54/Perf_Prod!L50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</si>
  <si>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INDEX(Calib!$C$71:$G$71,Perf!M$6)*Perf!M54/Perf_Prod!M50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</si>
  <si>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INDEX(Calib!$C$71:$G$71,Perf!N$6)*Perf!N54/Perf_Prod!N50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</si>
  <si>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INDEX(Calib!$C$71:$G$71,Perf!O$6)*Perf!O54/Perf_Prod!O50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</si>
  <si>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INDEX(Calib!$C$71:$G$71,Perf!P$6)*Perf!P54/Perf_Prod!P50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</si>
  <si>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INDEX(Calib!$C$71:$G$71,Perf!Q$6)*Perf!Q54/Perf_Prod!Q50</t>
    </r>
  </si>
  <si>
    <t xml:space="preserve">SRC_HW_010</t>
  </si>
  <si>
    <t xml:space="preserve">C56</t>
  </si>
  <si>
    <t xml:space="preserve">SRC_HW_052</t>
  </si>
  <si>
    <t xml:space="preserve">SRC_HW_006</t>
  </si>
  <si>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實例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數（算 </t>
    </r>
    <r>
      <rPr>
        <sz val="10"/>
        <color rgb="FF0000FF"/>
        <rFont val="Arial"/>
        <family val="0"/>
        <charset val="1"/>
      </rPr>
      <t xml:space="preserve">TTFT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</si>
  <si>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機架價格倍數：低（</t>
    </r>
    <r>
      <rPr>
        <sz val="10"/>
        <color rgb="FF0000FF"/>
        <rFont val="Arial"/>
        <family val="0"/>
        <charset val="1"/>
      </rPr>
      <t xml:space="preserve">SR_RU_PxMultLo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</si>
  <si>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機架價格倍數：高（</t>
    </r>
    <r>
      <rPr>
        <sz val="10"/>
        <color rgb="FF0000FF"/>
        <rFont val="Arial"/>
        <family val="0"/>
        <charset val="1"/>
      </rPr>
      <t xml:space="preserve">SR_RU_PxMultHi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</si>
  <si>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</si>
  <si>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SRC_PERF_007</t>
    </r>
  </si>
  <si>
    <t xml:space="preserve">Arch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</si>
  <si>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</si>
  <si>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SRC_MOD_012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</si>
  <si>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</si>
  <si>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CHOOSE(IF(C20="",1,C20),C21,C22,C23)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</si>
  <si>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SRC_MOD_007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</si>
  <si>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</si>
  <si>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CHOOSE(IF(D20="",1,D20),D21,D22,D23)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</si>
  <si>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SRC_MOD_003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</si>
  <si>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SRC_MOD_004</t>
    </r>
  </si>
  <si>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</si>
  <si>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CHOOSE(IF(E20="",1,E20),E21,E22,E23)</t>
    </r>
  </si>
  <si>
    <t xml:space="preserve">每層延遲（採用）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</si>
  <si>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$C$62*C68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</si>
  <si>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$C$62*D68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</si>
  <si>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$C$62*E68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</si>
  <si>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$C$62*F68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</si>
  <si>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$C$62*G68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</si>
  <si>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</si>
  <si>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Tech_Registry!$E$23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</si>
  <si>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INDEX(Spec_Rack!$C$29:$G$29,C$6)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</si>
  <si>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</si>
  <si>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INDEX(Spec_Rack!$C$30:$G$30,C$6)*C12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</si>
  <si>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</si>
  <si>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INDEX(Spec_Rack!$C$31:$G$31,C$6)*C12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</si>
  <si>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INDEX(Arch!$C$28:$E$28,C$7)*INDEX(ARCH_ScaleGen,1,C$6)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</si>
  <si>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INDEX(Arch!$C$29:$E$29,C$7)*INDEX(ARCH_ScaleGen,1,C$6)</t>
    </r>
  </si>
  <si>
    <t xml:space="preserve">草稿接受率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</si>
  <si>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Serving!$C$7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</si>
  <si>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</si>
  <si>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Tech_Registry!$E$21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</si>
  <si>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INDEX(Calib!$C$71:$G$71,C$6)*C54/C50</t>
    </r>
  </si>
  <si>
    <t xml:space="preserve">C58</t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</si>
  <si>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</si>
  <si>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Serving!$C$11</t>
    </r>
  </si>
  <si>
    <t xml:space="preserve">C64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</si>
  <si>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C36*IF(C37=0,C45,MIN(C45,C37))+(1-C36)*(C45/C38+C39)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</si>
  <si>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</si>
  <si>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MAX(1,CEILING(C32*C20/(C57*C69),1))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</si>
  <si>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INDEX(Spec_Rack!$C$29:$G$29,D$6)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</si>
  <si>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INDEX(Spec_Rack!$C$30:$G$30,D$6)*D12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</si>
  <si>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INDEX(Spec_Rack!$C$31:$G$31,D$6)*D12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</si>
  <si>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INDEX(Arch!$C$28:$E$28,D$7)*INDEX(ARCH_ScaleGen,1,D$6)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</si>
  <si>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INDEX(Arch!$C$29:$E$29,D$7)*INDEX(ARCH_ScaleGen,1,D$6)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</si>
  <si>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INDEX(Calib!$C$71:$G$71,D$6)*D54/D50</t>
    </r>
  </si>
  <si>
    <t xml:space="preserve">D58</t>
  </si>
  <si>
    <t xml:space="preserve">D64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</si>
  <si>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D36*IF(D37=0,D45,MIN(D45,D37))+(1-D36)*(D45/D38+D39)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</si>
  <si>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MAX(1,CEILING(D32*D20/(D57*D69),1))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</si>
  <si>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INDEX(Spec_Rack!$C$29:$G$29,E$6)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</si>
  <si>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INDEX(Spec_Rack!$C$30:$G$30,E$6)*E12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</si>
  <si>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INDEX(Spec_Rack!$C$31:$G$31,E$6)*E12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</si>
  <si>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INDEX(Arch!$C$28:$E$28,E$7)*INDEX(ARCH_ScaleGen,1,E$6)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</si>
  <si>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INDEX(Arch!$C$29:$E$29,E$7)*INDEX(ARCH_ScaleGen,1,E$6)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</si>
  <si>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INDEX(Calib!$C$71:$G$71,E$6)*E54/E50</t>
    </r>
  </si>
  <si>
    <t xml:space="preserve">E58</t>
  </si>
  <si>
    <t xml:space="preserve">E64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</si>
  <si>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E36*IF(E37=0,E45,MIN(E45,E37))+(1-E36)*(E45/E38+E39)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</si>
  <si>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MAX(1,CEILING(E32*E20/(E57*E69),1))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</si>
  <si>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INDEX(Spec_Rack!$C$29:$G$29,F$6)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</si>
  <si>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INDEX(Spec_Rack!$C$30:$G$30,F$6)*F12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</si>
  <si>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INDEX(Spec_Rack!$C$31:$G$31,F$6)*F12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</si>
  <si>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INDEX(Arch!$C$28:$E$28,F$7)*INDEX(ARCH_ScaleGen,1,F$6)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</si>
  <si>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INDEX(Arch!$C$29:$E$29,F$7)*INDEX(ARCH_ScaleGen,1,F$6)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</si>
  <si>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INDEX(Calib!$C$71:$G$71,F$6)*F54/F50</t>
    </r>
  </si>
  <si>
    <t xml:space="preserve">F58</t>
  </si>
  <si>
    <t xml:space="preserve">F64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</si>
  <si>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F36*IF(F37=0,F45,MIN(F45,F37))+(1-F36)*(F45/F38+F39)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</si>
  <si>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MAX(1,CEILING(F32*F20/(F57*F69),1))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</si>
  <si>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INDEX(Spec_Rack!$C$29:$G$29,G$6)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</si>
  <si>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INDEX(Spec_Rack!$C$30:$G$30,G$6)*G12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</si>
  <si>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INDEX(Spec_Rack!$C$31:$G$31,G$6)*G12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</si>
  <si>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INDEX(Arch!$C$28:$E$28,G$7)*INDEX(ARCH_ScaleGen,1,G$6)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</si>
  <si>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INDEX(Arch!$C$29:$E$29,G$7)*INDEX(ARCH_ScaleGen,1,G$6)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</si>
  <si>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INDEX(Calib!$C$71:$G$71,G$6)*G54/G50</t>
    </r>
  </si>
  <si>
    <t xml:space="preserve">G58</t>
  </si>
  <si>
    <t xml:space="preserve">G64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</si>
  <si>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G36*IF(G37=0,G45,MIN(G45,G37))+(1-G36)*(G45/G38+G39)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</si>
  <si>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MAX(1,CEILING(G32*G20/(G57*G69),1))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</si>
  <si>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INDEX(Spec_Rack!$C$29:$G$29,H$6)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</si>
  <si>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INDEX(Spec_Rack!$C$30:$G$30,H$6)*H12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</si>
  <si>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INDEX(Spec_Rack!$C$31:$G$31,H$6)*H12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</si>
  <si>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INDEX(Arch!$C$28:$E$28,H$7)*INDEX(ARCH_ScaleGen,1,H$6)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</si>
  <si>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INDEX(Arch!$C$29:$E$29,H$7)*INDEX(ARCH_ScaleGen,1,H$6)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</si>
  <si>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INDEX(Calib!$C$71:$G$71,H$6)*H54/H50</t>
    </r>
  </si>
  <si>
    <t xml:space="preserve">H58</t>
  </si>
  <si>
    <t xml:space="preserve">H64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</si>
  <si>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H36*IF(H37=0,H45,MIN(H45,H37))+(1-H36)*(H45/H38+H39)</t>
    </r>
  </si>
  <si>
    <t xml:space="preserve">H70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</si>
  <si>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MAX(1,CEILING(H32*H20/(H57*H69),1))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</si>
  <si>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INDEX(Spec_Rack!$C$29:$G$29,I$6)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</si>
  <si>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INDEX(Spec_Rack!$C$30:$G$30,I$6)*I12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</si>
  <si>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INDEX(Spec_Rack!$C$31:$G$31,I$6)*I12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</si>
  <si>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INDEX(Arch!$C$28:$E$28,I$7)*INDEX(ARCH_ScaleGen,1,I$6)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</si>
  <si>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INDEX(Arch!$C$29:$E$29,I$7)*INDEX(ARCH_ScaleGen,1,I$6)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</si>
  <si>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INDEX(Calib!$C$71:$G$71,I$6)*I54/I50</t>
    </r>
  </si>
  <si>
    <t xml:space="preserve">I58</t>
  </si>
  <si>
    <t xml:space="preserve">I64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</si>
  <si>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I36*IF(I37=0,I45,MIN(I45,I37))+(1-I36)*(I45/I38+I39)</t>
    </r>
  </si>
  <si>
    <t xml:space="preserve">I70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</si>
  <si>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MAX(1,CEILING(I32*I20/(I57*I69),1))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</si>
  <si>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INDEX(Spec_Rack!$C$29:$G$29,J$6)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</si>
  <si>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INDEX(Spec_Rack!$C$30:$G$30,J$6)*J12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</si>
  <si>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INDEX(Spec_Rack!$C$31:$G$31,J$6)*J12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</si>
  <si>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INDEX(Arch!$C$28:$E$28,J$7)*INDEX(ARCH_ScaleGen,1,J$6)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</si>
  <si>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INDEX(Arch!$C$29:$E$29,J$7)*INDEX(ARCH_ScaleGen,1,J$6)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</si>
  <si>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INDEX(Calib!$C$71:$G$71,J$6)*J54/J50</t>
    </r>
  </si>
  <si>
    <t xml:space="preserve">J58</t>
  </si>
  <si>
    <t xml:space="preserve">J64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</si>
  <si>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J36*IF(J37=0,J45,MIN(J45,J37))+(1-J36)*(J45/J38+J39)</t>
    </r>
  </si>
  <si>
    <t xml:space="preserve">J70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</si>
  <si>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MAX(1,CEILING(J32*J20/(J57*J69),1))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</si>
  <si>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INDEX(Spec_Rack!$C$29:$G$29,K$6)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</si>
  <si>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INDEX(Spec_Rack!$C$30:$G$30,K$6)*K12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</si>
  <si>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INDEX(Spec_Rack!$C$31:$G$31,K$6)*K12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</si>
  <si>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INDEX(Arch!$C$28:$E$28,K$7)*INDEX(ARCH_ScaleGen,1,K$6)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</si>
  <si>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INDEX(Arch!$C$29:$E$29,K$7)*INDEX(ARCH_ScaleGen,1,K$6)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</si>
  <si>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INDEX(Calib!$C$71:$G$71,K$6)*K54/K50</t>
    </r>
  </si>
  <si>
    <t xml:space="preserve">K58</t>
  </si>
  <si>
    <t xml:space="preserve">K64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</si>
  <si>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K36*IF(K37=0,K45,MIN(K45,K37))+(1-K36)*(K45/K38+K39)</t>
    </r>
  </si>
  <si>
    <t xml:space="preserve">K70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</si>
  <si>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MAX(1,CEILING(K32*K20/(K57*K69),1))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</si>
  <si>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INDEX(Spec_Rack!$C$29:$G$29,L$6)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</si>
  <si>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INDEX(Spec_Rack!$C$30:$G$30,L$6)*L12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</si>
  <si>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INDEX(Spec_Rack!$C$31:$G$31,L$6)*L12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</si>
  <si>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INDEX(Arch!$C$28:$E$28,L$7)*INDEX(ARCH_ScaleGen,1,L$6)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</si>
  <si>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INDEX(Arch!$C$29:$E$29,L$7)*INDEX(ARCH_ScaleGen,1,L$6)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</si>
  <si>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INDEX(Calib!$C$71:$G$71,L$6)*L54/L50</t>
    </r>
  </si>
  <si>
    <t xml:space="preserve">L58</t>
  </si>
  <si>
    <t xml:space="preserve">L64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</si>
  <si>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L36*IF(L37=0,L45,MIN(L45,L37))+(1-L36)*(L45/L38+L39)</t>
    </r>
  </si>
  <si>
    <t xml:space="preserve">L70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</si>
  <si>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MAX(1,CEILING(L32*L20/(L57*L69),1))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</si>
  <si>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INDEX(Spec_Rack!$C$29:$G$29,M$6)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</si>
  <si>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INDEX(Spec_Rack!$C$30:$G$30,M$6)*M12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</si>
  <si>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INDEX(Spec_Rack!$C$31:$G$31,M$6)*M12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</si>
  <si>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INDEX(Arch!$C$28:$E$28,M$7)*INDEX(ARCH_ScaleGen,1,M$6)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</si>
  <si>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INDEX(Arch!$C$29:$E$29,M$7)*INDEX(ARCH_ScaleGen,1,M$6)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</si>
  <si>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INDEX(Calib!$C$71:$G$71,M$6)*M54/M50</t>
    </r>
  </si>
  <si>
    <t xml:space="preserve">M58</t>
  </si>
  <si>
    <t xml:space="preserve">M64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</si>
  <si>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M36*IF(M37=0,M45,MIN(M45,M37))+(1-M36)*(M45/M38+M39)</t>
    </r>
  </si>
  <si>
    <t xml:space="preserve">M70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</si>
  <si>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MAX(1,CEILING(M32*M20/(M57*M69),1))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</si>
  <si>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INDEX(Spec_Rack!$C$29:$G$29,N$6)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</si>
  <si>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INDEX(Spec_Rack!$C$30:$G$30,N$6)*N12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</si>
  <si>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INDEX(Spec_Rack!$C$31:$G$31,N$6)*N12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</si>
  <si>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INDEX(Arch!$C$28:$E$28,N$7)*INDEX(ARCH_ScaleGen,1,N$6)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</si>
  <si>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INDEX(Arch!$C$29:$E$29,N$7)*INDEX(ARCH_ScaleGen,1,N$6)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</si>
  <si>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INDEX(Calib!$C$71:$G$71,N$6)*N54/N50</t>
    </r>
  </si>
  <si>
    <t xml:space="preserve">N58</t>
  </si>
  <si>
    <t xml:space="preserve">N64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</si>
  <si>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N36*IF(N37=0,N45,MIN(N45,N37))+(1-N36)*(N45/N38+N39)</t>
    </r>
  </si>
  <si>
    <t xml:space="preserve">N70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</si>
  <si>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MAX(1,CEILING(N32*N20/(N57*N69),1))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</si>
  <si>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INDEX(Spec_Rack!$C$29:$G$29,O$6)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</si>
  <si>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INDEX(Spec_Rack!$C$30:$G$30,O$6)*O12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</si>
  <si>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INDEX(Spec_Rack!$C$31:$G$31,O$6)*O12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</si>
  <si>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INDEX(Arch!$C$28:$E$28,O$7)*INDEX(ARCH_ScaleGen,1,O$6)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</si>
  <si>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INDEX(Arch!$C$29:$E$29,O$7)*INDEX(ARCH_ScaleGen,1,O$6)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</si>
  <si>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INDEX(Calib!$C$71:$G$71,O$6)*O54/O50</t>
    </r>
  </si>
  <si>
    <t xml:space="preserve">O58</t>
  </si>
  <si>
    <t xml:space="preserve">O64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</si>
  <si>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O36*IF(O37=0,O45,MIN(O45,O37))+(1-O36)*(O45/O38+O39)</t>
    </r>
  </si>
  <si>
    <t xml:space="preserve">O70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</si>
  <si>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MAX(1,CEILING(O32*O20/(O57*O69),1))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</si>
  <si>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INDEX(Spec_Rack!$C$29:$G$29,P$6)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</si>
  <si>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INDEX(Spec_Rack!$C$30:$G$30,P$6)*P12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</si>
  <si>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INDEX(Spec_Rack!$C$31:$G$31,P$6)*P12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</si>
  <si>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INDEX(Arch!$C$28:$E$28,P$7)*INDEX(ARCH_ScaleGen,1,P$6)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</si>
  <si>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INDEX(Arch!$C$29:$E$29,P$7)*INDEX(ARCH_ScaleGen,1,P$6)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</si>
  <si>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INDEX(Calib!$C$71:$G$71,P$6)*P54/P50</t>
    </r>
  </si>
  <si>
    <t xml:space="preserve">P58</t>
  </si>
  <si>
    <t xml:space="preserve">P64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</si>
  <si>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P36*IF(P37=0,P45,MIN(P45,P37))+(1-P36)*(P45/P38+P39)</t>
    </r>
  </si>
  <si>
    <t xml:space="preserve">P70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</si>
  <si>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MAX(1,CEILING(P32*P20/(P57*P69),1))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</si>
  <si>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INDEX(Spec_Rack!$C$29:$G$29,Q$6)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</si>
  <si>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INDEX(Spec_Rack!$C$30:$G$30,Q$6)*Q12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</si>
  <si>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INDEX(Spec_Rack!$C$31:$G$31,Q$6)*Q12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</si>
  <si>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INDEX(Arch!$C$28:$E$28,Q$7)*INDEX(ARCH_ScaleGen,1,Q$6)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</si>
  <si>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INDEX(Arch!$C$29:$E$29,Q$7)*INDEX(ARCH_ScaleGen,1,Q$6)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</si>
  <si>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INDEX(Calib!$C$71:$G$71,Q$6)*Q54/Q50</t>
    </r>
  </si>
  <si>
    <t xml:space="preserve">Q58</t>
  </si>
  <si>
    <t xml:space="preserve">Q64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</si>
  <si>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Q36*IF(Q37=0,Q45,MIN(Q45,Q37))+(1-Q36)*(Q45/Q38+Q39)</t>
    </r>
  </si>
  <si>
    <t xml:space="preserve">Q70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</si>
  <si>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MAX(1,CEILING(Q32*Q20/(Q57*Q69),1))</t>
    </r>
  </si>
  <si>
    <t xml:space="preserve">SRC_HW_019</t>
  </si>
  <si>
    <t xml:space="preserve">SRC_HW_040</t>
  </si>
  <si>
    <t xml:space="preserve">SRC_Perf</t>
  </si>
  <si>
    <t xml:space="preserve">SRC_PERF_007</t>
  </si>
  <si>
    <r>
      <rPr>
        <sz val="10"/>
        <color rgb="FF0000FF"/>
        <rFont val="Arial"/>
        <family val="0"/>
        <charset val="1"/>
      </rPr>
      <t xml:space="preserve">EP </t>
    </r>
    <r>
      <rPr>
        <sz val="10"/>
        <color rgb="FF0000FF"/>
        <rFont val="Noto Sans CJK SC"/>
        <family val="2"/>
      </rPr>
      <t xml:space="preserve">啟用值 </t>
    </r>
    <r>
      <rPr>
        <sz val="10"/>
        <color rgb="FF0000FF"/>
        <rFont val="Arial"/>
        <family val="0"/>
        <charset val="1"/>
      </rPr>
      <t xml:space="preserve">bytes/</t>
    </r>
    <r>
      <rPr>
        <sz val="10"/>
        <color rgb="FF0000FF"/>
        <rFont val="Noto Sans CJK SC"/>
        <family val="2"/>
      </rPr>
      <t xml:space="preserve">元素（</t>
    </r>
    <r>
      <rPr>
        <sz val="10"/>
        <color rgb="FF0000FF"/>
        <rFont val="Arial"/>
        <family val="0"/>
        <charset val="1"/>
      </rPr>
      <t xml:space="preserve">dispatch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combine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</si>
  <si>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讀取頻寬效率 </t>
    </r>
    <r>
      <rPr>
        <sz val="10"/>
        <color rgb="FF0000FF"/>
        <rFont val="Arial"/>
        <family val="0"/>
        <charset val="1"/>
      </rPr>
      <t xml:space="preserve">η_mem</t>
    </r>
  </si>
  <si>
    <r>
      <rPr>
        <sz val="10"/>
        <color rgb="FF0000FF"/>
        <rFont val="Arial"/>
        <family val="0"/>
        <charset val="1"/>
      </rPr>
      <t xml:space="preserve">EP </t>
    </r>
    <r>
      <rPr>
        <sz val="10"/>
        <color rgb="FF0000FF"/>
        <rFont val="Noto Sans CJK SC"/>
        <family val="2"/>
      </rPr>
      <t xml:space="preserve">通訊效率 </t>
    </r>
    <r>
      <rPr>
        <sz val="10"/>
        <color rgb="FF0000FF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</si>
  <si>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SQRT(SRC_PERF_066*SRC_PERF_067)</t>
    </r>
  </si>
  <si>
    <r>
      <rPr>
        <sz val="10"/>
        <color rgb="FF0000FF"/>
        <rFont val="Arial"/>
        <family val="0"/>
        <charset val="1"/>
      </rPr>
      <t xml:space="preserve">MTP </t>
    </r>
    <r>
      <rPr>
        <sz val="10"/>
        <color rgb="FF0000FF"/>
        <rFont val="Noto Sans CJK SC"/>
        <family val="2"/>
      </rPr>
      <t xml:space="preserve">草稿數 </t>
    </r>
    <r>
      <rPr>
        <sz val="10"/>
        <color rgb="FF0000FF"/>
        <rFont val="Arial"/>
        <family val="0"/>
        <charset val="1"/>
      </rPr>
      <t xml:space="preserve">N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</si>
  <si>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SQRT(SRC_PERF_068*SRC_PERF_069)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</si>
  <si>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SQRT(SRC_PERF_070*SRC_PERF_071)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</si>
  <si>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</si>
  <si>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SRC_HW_021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</si>
  <si>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</si>
  <si>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SRC_HW_060/8/1000</t>
    </r>
  </si>
  <si>
    <r>
      <rPr>
        <sz val="10"/>
        <color rgb="FF000000"/>
        <rFont val="Noto Sans CJK SC"/>
        <family val="2"/>
      </rPr>
      <t xml:space="preserve">計算用峰值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（依 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峰值情境）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</si>
  <si>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IF(Serving!$C$16=2,C24,C23)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</si>
  <si>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SRC_HW_023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</si>
  <si>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SRC_HW_048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</si>
  <si>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IF(Serving!$C$16=2,D24,D23)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</si>
  <si>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SRC_HW_059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</si>
  <si>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IF(Serving!$C$16=2,E24,E23)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</si>
  <si>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</si>
  <si>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SRC_HW_049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</si>
  <si>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IF(Serving!$C$16=2,F24,F23)</t>
    </r>
  </si>
  <si>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頻寬 </t>
    </r>
    <r>
      <rPr>
        <sz val="10"/>
        <color rgb="FF0000FF"/>
        <rFont val="Arial"/>
        <family val="0"/>
        <charset val="1"/>
      </rPr>
      <t xml:space="preserve">TB/s/GPU</t>
    </r>
  </si>
  <si>
    <r>
      <rPr>
        <sz val="10"/>
        <color rgb="FF0000FF"/>
        <rFont val="Arial"/>
        <family val="0"/>
        <charset val="1"/>
      </rPr>
      <t xml:space="preserve">EP </t>
    </r>
    <r>
      <rPr>
        <sz val="10"/>
        <color rgb="FF0000FF"/>
        <rFont val="Noto Sans CJK SC"/>
        <family val="2"/>
      </rPr>
      <t xml:space="preserve">通訊頻寬 </t>
    </r>
    <r>
      <rPr>
        <sz val="10"/>
        <color rgb="FF0000FF"/>
        <rFont val="Arial"/>
        <family val="0"/>
        <charset val="1"/>
      </rPr>
      <t xml:space="preserve">TB/s/GPU</t>
    </r>
    <r>
      <rPr>
        <sz val="10"/>
        <color rgb="FF0000FF"/>
        <rFont val="Noto Sans CJK SC"/>
        <family val="2"/>
      </rPr>
      <t xml:space="preserve">（單向）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</si>
  <si>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IF(Serving!$C$16=2,G24,G23)</t>
    </r>
  </si>
  <si>
    <r>
      <rPr>
        <sz val="10"/>
        <color rgb="FF0000FF"/>
        <rFont val="Arial"/>
        <family val="0"/>
        <charset val="1"/>
      </rPr>
      <t xml:space="preserve">Astra KV </t>
    </r>
    <r>
      <rPr>
        <sz val="10"/>
        <color rgb="FF0000FF"/>
        <rFont val="Noto Sans CJK SC"/>
        <family val="2"/>
      </rPr>
      <t xml:space="preserve">情境（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混合／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全層 </t>
    </r>
    <r>
      <rPr>
        <sz val="10"/>
        <color rgb="FF0000FF"/>
        <rFont val="Arial"/>
        <family val="0"/>
        <charset val="1"/>
      </rPr>
      <t xml:space="preserve">MLA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GQA-8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</si>
  <si>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</si>
  <si>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C34*C8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</si>
  <si>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</si>
  <si>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</si>
  <si>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C6-C28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</si>
  <si>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</si>
  <si>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4*C10*C11*C8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</si>
  <si>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</si>
  <si>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D34*D8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</si>
  <si>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D6-D28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</si>
  <si>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4*D10*D11*D8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</si>
  <si>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SRC_MOD_002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</si>
  <si>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E36*E35*E8*$C$38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</si>
  <si>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E35*E8*$C$38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</si>
  <si>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E37*E11*2*E8*$C$38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</si>
  <si>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E6-E28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</si>
  <si>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4*E10*E11*E8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</si>
  <si>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</si>
  <si>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(C57-D57)*C55/(1000*(C53/C14-D53/D14))</t>
    </r>
  </si>
  <si>
    <r>
      <rPr>
        <sz val="10"/>
        <color rgb="FF0000FF"/>
        <rFont val="Arial"/>
        <family val="0"/>
        <charset val="1"/>
      </rPr>
      <t xml:space="preserve">η_d </t>
    </r>
    <r>
      <rPr>
        <sz val="10"/>
        <color rgb="FF0000FF"/>
        <rFont val="Noto Sans CJK SC"/>
        <family val="2"/>
      </rPr>
      <t xml:space="preserve">倍數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</si>
  <si>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</si>
  <si>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Tech_Registry!$E$24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</si>
  <si>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INDEX(Spec_Rack!$C$25:$G$25,C$6)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</si>
  <si>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Serving!$C$9</t>
    </r>
  </si>
  <si>
    <t xml:space="preserve">C57</t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</si>
  <si>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</si>
  <si>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Serving!$C$10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</si>
  <si>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INDEX(Spec_Rack!$C$25:$G$25,D$6)</t>
    </r>
  </si>
  <si>
    <t xml:space="preserve">D56</t>
  </si>
  <si>
    <t xml:space="preserve">D57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</si>
  <si>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INDEX(Spec_Rack!$C$25:$G$25,E$6)</t>
    </r>
  </si>
  <si>
    <t xml:space="preserve">E56</t>
  </si>
  <si>
    <t xml:space="preserve">E57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</si>
  <si>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INDEX(Spec_Rack!$C$25:$G$25,F$6)</t>
    </r>
  </si>
  <si>
    <t xml:space="preserve">F56</t>
  </si>
  <si>
    <t xml:space="preserve">F57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</si>
  <si>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INDEX(Spec_Rack!$C$25:$G$25,G$6)</t>
    </r>
  </si>
  <si>
    <t xml:space="preserve">G56</t>
  </si>
  <si>
    <t xml:space="preserve">G57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</si>
  <si>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INDEX(Spec_Rack!$C$25:$G$25,H$6)</t>
    </r>
  </si>
  <si>
    <t xml:space="preserve">H56</t>
  </si>
  <si>
    <t xml:space="preserve">H57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</si>
  <si>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INDEX(Spec_Rack!$C$25:$G$25,I$6)</t>
    </r>
  </si>
  <si>
    <t xml:space="preserve">I56</t>
  </si>
  <si>
    <t xml:space="preserve">I57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</si>
  <si>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INDEX(Spec_Rack!$C$25:$G$25,J$6)</t>
    </r>
  </si>
  <si>
    <t xml:space="preserve">J56</t>
  </si>
  <si>
    <t xml:space="preserve">J57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</si>
  <si>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INDEX(Spec_Rack!$C$25:$G$25,K$6)</t>
    </r>
  </si>
  <si>
    <t xml:space="preserve">K56</t>
  </si>
  <si>
    <t xml:space="preserve">K57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</si>
  <si>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INDEX(Spec_Rack!$C$25:$G$25,L$6)</t>
    </r>
  </si>
  <si>
    <t xml:space="preserve">L56</t>
  </si>
  <si>
    <t xml:space="preserve">L57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</si>
  <si>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INDEX(Spec_Rack!$C$25:$G$25,M$6)</t>
    </r>
  </si>
  <si>
    <t xml:space="preserve">M56</t>
  </si>
  <si>
    <t xml:space="preserve">M57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</si>
  <si>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INDEX(Spec_Rack!$C$25:$G$25,N$6)</t>
    </r>
  </si>
  <si>
    <t xml:space="preserve">N56</t>
  </si>
  <si>
    <t xml:space="preserve">N57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</si>
  <si>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INDEX(Spec_Rack!$C$25:$G$25,O$6)</t>
    </r>
  </si>
  <si>
    <t xml:space="preserve">O56</t>
  </si>
  <si>
    <t xml:space="preserve">O57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</si>
  <si>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INDEX(Spec_Rack!$C$25:$G$25,P$6)</t>
    </r>
  </si>
  <si>
    <t xml:space="preserve">P56</t>
  </si>
  <si>
    <t xml:space="preserve">P57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</si>
  <si>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INDEX(Spec_Rack!$C$25:$G$25,Q$6)</t>
    </r>
  </si>
  <si>
    <t xml:space="preserve">Q56</t>
  </si>
  <si>
    <t xml:space="preserve">Q57</t>
  </si>
  <si>
    <t xml:space="preserve">SRC_HW_021</t>
  </si>
  <si>
    <t xml:space="preserve">SRC_HW_023</t>
  </si>
  <si>
    <t xml:space="preserve">SRC_HW_030</t>
  </si>
  <si>
    <t xml:space="preserve">SRC_HW_048</t>
  </si>
  <si>
    <t xml:space="preserve">SRC_HW_049</t>
  </si>
  <si>
    <t xml:space="preserve">C63</t>
  </si>
  <si>
    <t xml:space="preserve">SRC_HW_059</t>
  </si>
  <si>
    <t xml:space="preserve">SRC_HW_060</t>
  </si>
  <si>
    <t xml:space="preserve">SRC_Model</t>
  </si>
  <si>
    <t xml:space="preserve">SRC_MOD_052</t>
  </si>
  <si>
    <t xml:space="preserve">SRC_MOD_004</t>
  </si>
  <si>
    <t xml:space="preserve">SRC_PERF_066</t>
  </si>
  <si>
    <t xml:space="preserve">SRC_PERF_067</t>
  </si>
  <si>
    <t xml:space="preserve">SRC_PERF_068</t>
  </si>
  <si>
    <t xml:space="preserve">C73</t>
  </si>
  <si>
    <t xml:space="preserve">SRC_PERF_069</t>
  </si>
  <si>
    <t xml:space="preserve">C74</t>
  </si>
  <si>
    <t xml:space="preserve">SRC_PERF_070</t>
  </si>
  <si>
    <t xml:space="preserve">SRC_PERF_071</t>
  </si>
  <si>
    <r>
      <rPr>
        <sz val="10"/>
        <color rgb="FF0000FF"/>
        <rFont val="Noto Sans CJK SC"/>
        <family val="2"/>
      </rPr>
      <t xml:space="preserve">專家權重占可用 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上限</t>
    </r>
  </si>
  <si>
    <r>
      <rPr>
        <sz val="10"/>
        <color rgb="FF0000FF"/>
        <rFont val="Noto Sans CJK SC"/>
        <family val="2"/>
      </rPr>
      <t xml:space="preserve">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（每次請求輸入）</t>
    </r>
  </si>
  <si>
    <r>
      <rPr>
        <sz val="10"/>
        <color rgb="FF0000FF"/>
        <rFont val="Noto Sans CJK SC"/>
        <family val="2"/>
      </rPr>
      <t xml:space="preserve">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</si>
  <si>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</si>
  <si>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SRC_PERF_005</t>
    </r>
  </si>
  <si>
    <r>
      <rPr>
        <sz val="10"/>
        <color rgb="FF0000FF"/>
        <rFont val="Arial"/>
        <family val="0"/>
        <charset val="1"/>
      </rPr>
      <t xml:space="preserve">decode EP </t>
    </r>
    <r>
      <rPr>
        <sz val="10"/>
        <color rgb="FF0000FF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</si>
  <si>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SRC_HW_055</t>
    </r>
  </si>
  <si>
    <r>
      <rPr>
        <sz val="10"/>
        <color rgb="FF0000FF"/>
        <rFont val="Noto Sans CJK SC"/>
        <family val="2"/>
      </rPr>
      <t xml:space="preserve">模型規模倍數：基準（</t>
    </r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</si>
  <si>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</si>
  <si>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SRC_PERF_008</t>
    </r>
  </si>
  <si>
    <t xml:space="preserve">Tech_Registry</t>
  </si>
  <si>
    <t xml:space="preserve">H_ETAD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</si>
  <si>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EXP(SUMPRODUCT(($C$5:$C$16="H_ETAD")*LN($P$5:$P$16)))</t>
    </r>
  </si>
  <si>
    <t xml:space="preserve">H_FLOP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</si>
  <si>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EXP(SUMPRODUCT(($C$5:$C$16="H_FLOP")*LN($P$5:$P$16)))</t>
    </r>
  </si>
  <si>
    <t xml:space="preserve">H_KV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</si>
  <si>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EXP(SUMPRODUCT(($C$5:$C$16="H_KV")*LN($P$5:$P$16)))</t>
    </r>
  </si>
  <si>
    <t xml:space="preserve">query heads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</si>
  <si>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SRC_MOD_053</t>
    </r>
  </si>
  <si>
    <t xml:space="preserve">head_dim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</si>
  <si>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SRC_MOD_009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</si>
  <si>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SRC_MOD_015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</si>
  <si>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</si>
  <si>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SRC_MOD_018*SRC_MOD_019+SRC_MOD_017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</si>
  <si>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SRC_MOD_016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</si>
  <si>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SRC_MOD_017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</si>
  <si>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</si>
  <si>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C7-C8*(C13+C14)*C27</t>
    </r>
  </si>
  <si>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bytes/token</t>
    </r>
    <r>
      <rPr>
        <sz val="10"/>
        <color rgb="FF0000FF"/>
        <rFont val="Noto Sans CJK SC"/>
        <family val="2"/>
      </rPr>
      <t xml:space="preserve">（壓縮後平均，</t>
    </r>
    <r>
      <rPr>
        <sz val="10"/>
        <color rgb="FF0000FF"/>
        <rFont val="Arial"/>
        <family val="0"/>
        <charset val="1"/>
      </rPr>
      <t xml:space="preserve">FP8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</si>
  <si>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</si>
  <si>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總參數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</si>
  <si>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SRC_MOD_005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</si>
  <si>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</si>
  <si>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D7-D8*(D13+D14)*D27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</si>
  <si>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SRC_MOD_001</t>
    </r>
  </si>
  <si>
    <r>
      <rPr>
        <sz val="10"/>
        <color rgb="FF0000FF"/>
        <rFont val="Noto Sans CJK SC"/>
        <family val="2"/>
      </rPr>
      <t xml:space="preserve">全注意力層跨度上限（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＝全上下文）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</si>
  <si>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E7-E8*(E13+E14)*E27</t>
    </r>
  </si>
  <si>
    <r>
      <rPr>
        <sz val="10"/>
        <color rgb="FF0000FF"/>
        <rFont val="Arial"/>
        <family val="0"/>
        <charset val="1"/>
      </rPr>
      <t xml:space="preserve">MLA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元素數（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情境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</si>
  <si>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MLA </t>
    </r>
    <r>
      <rPr>
        <sz val="10"/>
        <color rgb="FF0000FF"/>
        <rFont val="Noto Sans CJK SC"/>
        <family val="2"/>
      </rPr>
      <t xml:space="preserve">層比例（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情境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混合）</t>
    </r>
  </si>
  <si>
    <r>
      <rPr>
        <sz val="10"/>
        <color rgb="FF0000FF"/>
        <rFont val="Arial"/>
        <family val="0"/>
        <charset val="1"/>
      </rPr>
      <t xml:space="preserve">GQA KV heads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情境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</si>
  <si>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每用戶速度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</si>
  <si>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SRC_PERF_009_Spd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</si>
  <si>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</si>
  <si>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IF(C13=1,Serving!$C$8,1)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</si>
  <si>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</si>
  <si>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(C52+1)*C44/C23/1000</t>
    </r>
  </si>
  <si>
    <t xml:space="preserve">實測反推批次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</si>
  <si>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C56/C14</t>
    </r>
  </si>
  <si>
    <t xml:space="preserve">C62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</si>
  <si>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(C61-C51/C25)*1000/(C31+C52)</t>
    </r>
  </si>
  <si>
    <t xml:space="preserve">C68</t>
  </si>
  <si>
    <t xml:space="preserve">每層延遲倍數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</si>
  <si>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SRC_PERF_010_Spd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</si>
  <si>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IF(D13=1,Serving!$C$8,1)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</si>
  <si>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D56/D14</t>
    </r>
  </si>
  <si>
    <t xml:space="preserve">D68</t>
  </si>
  <si>
    <t xml:space="preserve">E68</t>
  </si>
  <si>
    <t xml:space="preserve">F68</t>
  </si>
  <si>
    <t xml:space="preserve">G68</t>
  </si>
  <si>
    <t xml:space="preserve">SRC_HW_050</t>
  </si>
  <si>
    <t xml:space="preserve">SRC_HW_055</t>
  </si>
  <si>
    <t xml:space="preserve">SRC_PERF_008</t>
  </si>
  <si>
    <r>
      <rPr>
        <sz val="10"/>
        <color rgb="FF0000FF"/>
        <rFont val="Noto Sans CJK SC"/>
        <family val="2"/>
      </rPr>
      <t xml:space="preserve">非專家權重占可用 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上限</t>
    </r>
  </si>
  <si>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保留比例（啟用值、工作區）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</si>
  <si>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</si>
  <si>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SRC_HW_020</t>
    </r>
  </si>
  <si>
    <r>
      <rPr>
        <sz val="10"/>
        <color rgb="FF0000FF"/>
        <rFont val="Noto Sans CJK SC"/>
        <family val="2"/>
      </rPr>
      <t xml:space="preserve">非專家權重 </t>
    </r>
    <r>
      <rPr>
        <sz val="10"/>
        <color rgb="FF0000FF"/>
        <rFont val="Arial"/>
        <family val="0"/>
        <charset val="1"/>
      </rPr>
      <t xml:space="preserve">bytes/param</t>
    </r>
  </si>
  <si>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容量 </t>
    </r>
    <r>
      <rPr>
        <sz val="10"/>
        <color rgb="FF0000FF"/>
        <rFont val="Arial"/>
        <family val="0"/>
        <charset val="1"/>
      </rPr>
      <t xml:space="preserve">GB/GPU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</si>
  <si>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SRC_HW_026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</si>
  <si>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SRC_HW_029</t>
    </r>
  </si>
  <si>
    <t xml:space="preserve">T06</t>
  </si>
  <si>
    <t xml:space="preserve">H_TOK</t>
  </si>
  <si>
    <t xml:space="preserve">T07</t>
  </si>
  <si>
    <t xml:space="preserve">H_TPK</t>
  </si>
  <si>
    <t xml:space="preserve">T08</t>
  </si>
  <si>
    <t xml:space="preserve">T09</t>
  </si>
  <si>
    <t xml:space="preserve">H_TL</t>
  </si>
  <si>
    <t xml:space="preserve">T10</t>
  </si>
  <si>
    <t xml:space="preserve">H_ROLL</t>
  </si>
  <si>
    <t xml:space="preserve">T11</t>
  </si>
  <si>
    <t xml:space="preserve">T12</t>
  </si>
  <si>
    <t xml:space="preserve">H_HAR</t>
  </si>
  <si>
    <t xml:space="preserve">T01</t>
  </si>
  <si>
    <t xml:space="preserve">T02</t>
  </si>
  <si>
    <t xml:space="preserve">T03</t>
  </si>
  <si>
    <t xml:space="preserve">T04</t>
  </si>
  <si>
    <t xml:space="preserve">T05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</si>
  <si>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EXP(SUMPRODUCT(($C$5:$C$16="H_TL")*LN($P$5:$P$16)))</t>
    </r>
  </si>
  <si>
    <t xml:space="preserve">H_WB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</si>
  <si>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EXP(SUMPRODUCT(($C$5:$C$16="H_WB")*LN($P$5:$P$16)))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</si>
  <si>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IF(M10="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",1,1+O10*N10*(CHOOSE(H10,E10,F10,G10)-1))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</si>
  <si>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IF(M11="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",1,1+O11*N11*(CHOOSE(H11,E11,F11,G11)-1))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</si>
  <si>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IF(M12="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",1,1+O12*N12*(CHOOSE(H12,E12,F12,G12)-1))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</si>
  <si>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IF(M13="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",1,1+O13*N13*(CHOOSE(H13,E13,F13,G13)-1))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</si>
  <si>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IF(M14="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",1,1+O14*N14*(CHOOSE(H14,E14,F14,G14)-1))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</si>
  <si>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IF(M15="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",1,1+O15*N15*(CHOOSE(H15,E15,F15,G15)-1))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</si>
  <si>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IF(M16="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",1,1+O16*N16*(CHOOSE(H16,E16,F16,G16)-1))</t>
    </r>
  </si>
  <si>
    <t xml:space="preserve">P5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</si>
  <si>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IF(M5="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",1,1+O5*N5*(CHOOSE(H5,E5,F5,G5)-1))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</si>
  <si>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IF(M6="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",1,1+O6*N6*(CHOOSE(H6,E6,F6,G6)-1))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</si>
  <si>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",1,1+O7*N7*(CHOOSE(H7,E7,F7,G7)-1))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</si>
  <si>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IF(M8="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",1,1+O8*N8*(CHOOSE(H8,E8,F8,G8)-1))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</si>
  <si>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IF(M9="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",1,1+O9*N9*(CHOOSE(H9,E9,F9,G9)-1))</t>
    </r>
  </si>
  <si>
    <t xml:space="preserve">shared experts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</si>
  <si>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SRC_MOD_013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</si>
  <si>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</si>
  <si>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(C6-C7)/(C8*(C12-C13))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</si>
  <si>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(D6-D7)/(D8*(D12-D13))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</si>
  <si>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(E6-E7)/(E8*(E12-E13))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</si>
  <si>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</si>
  <si>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SRC_PERF_009_MTP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</si>
  <si>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INDEX(Spec_Rack!$C$35:$G$35,C10)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</si>
  <si>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INDEX(Spec_Rack!$C$26:$G$26,C10)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</si>
  <si>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Arch!$D$8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</si>
  <si>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(2*C30*1000000000+C37*C43)/1000000000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</si>
  <si>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C34*C29/C49+C35*C28/C50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</si>
  <si>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</si>
  <si>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Serving!$C$6*C13</t>
    </r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</si>
  <si>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</si>
  <si>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C16/((C15+C16)/C17-C15/C54)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</si>
  <si>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</si>
  <si>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1000*C53/C14-C57*C55/C60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</si>
  <si>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SRC_PERF_010_MTP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</si>
  <si>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D16/((D15+D16)/D17-D15/D54)</t>
    </r>
  </si>
  <si>
    <t xml:space="preserve">SRC_HW_020</t>
  </si>
  <si>
    <t xml:space="preserve">SRC_HW_026</t>
  </si>
  <si>
    <t xml:space="preserve">SRC_HW_029</t>
  </si>
  <si>
    <t xml:space="preserve">SRC_MOD_009</t>
  </si>
  <si>
    <t xml:space="preserve">SRC_MOD_015</t>
  </si>
  <si>
    <t xml:space="preserve">SRC_MOD_016</t>
  </si>
  <si>
    <t xml:space="preserve">SRC_MOD_017</t>
  </si>
  <si>
    <t xml:space="preserve">SRC_MOD_018</t>
  </si>
  <si>
    <t xml:space="preserve">SRC_MOD_019</t>
  </si>
  <si>
    <t xml:space="preserve">SRC_MOD_053</t>
  </si>
  <si>
    <t xml:space="preserve">AE13</t>
  </si>
  <si>
    <t xml:space="preserve">SRC_PERF_009</t>
  </si>
  <si>
    <t xml:space="preserve">AE14</t>
  </si>
  <si>
    <t xml:space="preserve">SRC_PERF_010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</si>
  <si>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(1-C7^(C6+1))/(1-C7)</t>
    </r>
  </si>
  <si>
    <t xml:space="preserve">routed experts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</si>
  <si>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SRC_MOD_010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</si>
  <si>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SRC_MOD_011</t>
    </r>
  </si>
  <si>
    <t xml:space="preserve">ISL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</si>
  <si>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SRC_PERF_009_ISL</t>
    </r>
  </si>
  <si>
    <t xml:space="preserve">OSL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</si>
  <si>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SRC_PERF_009_OSL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</si>
  <si>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</si>
  <si>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SRC_PERF_009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</si>
  <si>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</si>
  <si>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INDEX(Spec_Rack!$C$30:$G$30,C10)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</si>
  <si>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</si>
  <si>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INDEX(Spec_Rack!$C$31:$G$31,C10)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</si>
  <si>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Arch!$D$7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</si>
  <si>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Arch!$D$28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</si>
  <si>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Arch!$D$29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</si>
  <si>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Arch!$D$30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</si>
  <si>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</si>
  <si>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C38*IF(C39=0,C42,MIN(C42,C39))+(1-C38)*(C42/C40+C41)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</si>
  <si>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MAX(1,CEILING(C34*C29/(Serving!$C$10*C48),1))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</si>
  <si>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</si>
  <si>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MAX(C27,CEILING(C35*C28/(Serving!$C$11*C48),1))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</si>
  <si>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</si>
  <si>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$C$5*C23*1000000000000000/(C47*1000000000)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</si>
  <si>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SRC_PERF_010_ISL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</si>
  <si>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SRC_PERF_010_OSL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</si>
  <si>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</si>
  <si>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$C$5*D23*1000000000000000/(D47*1000000000)</t>
    </r>
  </si>
  <si>
    <t xml:space="preserve">SRC_MOD_013</t>
  </si>
  <si>
    <t xml:space="preserve">AF13</t>
  </si>
  <si>
    <t xml:space="preserve">AF14</t>
  </si>
  <si>
    <t xml:space="preserve">F5</t>
  </si>
  <si>
    <t xml:space="preserve">G5</t>
  </si>
  <si>
    <t xml:space="preserve">H5</t>
  </si>
  <si>
    <t xml:space="preserve">否</t>
  </si>
  <si>
    <t xml:space="preserve">M5</t>
  </si>
  <si>
    <t xml:space="preserve">N5</t>
  </si>
  <si>
    <t xml:space="preserve">O5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</si>
  <si>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</si>
  <si>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INDEX(Spec_Rack!$C$29:$G$29,C10)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</si>
  <si>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Arch!$D$16</t>
    </r>
  </si>
  <si>
    <t xml:space="preserve">跨度上限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</si>
  <si>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Arch!$D$17</t>
    </r>
  </si>
  <si>
    <t xml:space="preserve">壓縮比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</si>
  <si>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Arch!$D$18</t>
    </r>
  </si>
  <si>
    <t xml:space="preserve">滑動窗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</si>
  <si>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Arch!$D$19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</si>
  <si>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C15+C16/2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</si>
  <si>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(2*C30*1000000000+C37*C46)/1000000000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</si>
  <si>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C24*(1-Serving!$C$9)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</si>
  <si>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INDEX(Spec_Rack!$C$35:$G$35,D10)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</si>
  <si>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(2*D30*1000000000+D37*D46)/1000000000</t>
    </r>
  </si>
  <si>
    <t xml:space="preserve">SRC_MOD_006</t>
  </si>
  <si>
    <t xml:space="preserve">SRC_MOD_007</t>
  </si>
  <si>
    <t xml:space="preserve">SRC_MOD_010</t>
  </si>
  <si>
    <t xml:space="preserve">SRC_MOD_011</t>
  </si>
  <si>
    <t xml:space="preserve">SRC_MOD_012</t>
  </si>
  <si>
    <t xml:space="preserve">SRC_MOD_001</t>
  </si>
  <si>
    <t xml:space="preserve">SRC_MOD_002</t>
  </si>
  <si>
    <t xml:space="preserve">SRC_MOD_003</t>
  </si>
  <si>
    <t xml:space="preserve">SRC_MOD_005</t>
  </si>
  <si>
    <t xml:space="preserve">AD14</t>
  </si>
  <si>
    <t xml:space="preserve">SRC_PERF_005</t>
  </si>
  <si>
    <r>
      <rPr>
        <sz val="10"/>
        <color rgb="FF0000FF"/>
        <rFont val="Noto Sans CJK SC"/>
        <family val="2"/>
      </rPr>
      <t xml:space="preserve">峰值情境（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dense </t>
    </r>
    <r>
      <rPr>
        <sz val="10"/>
        <color rgb="FF0000FF"/>
        <rFont val="Noto Sans CJK SC"/>
        <family val="2"/>
      </rPr>
      <t xml:space="preserve">基準／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推論高）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</si>
  <si>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</si>
  <si>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SRC_HW_040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</si>
  <si>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</si>
  <si>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C23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</si>
  <si>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SRC_HW_022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</si>
  <si>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SRC_HW_025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</si>
  <si>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SRC_HW_028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</si>
  <si>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SRC_HW_027</t>
    </r>
  </si>
  <si>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（基準）</t>
    </r>
    <r>
      <rPr>
        <sz val="10"/>
        <color rgb="FF0000FF"/>
        <rFont val="Arial"/>
        <family val="0"/>
        <charset val="1"/>
      </rPr>
      <t xml:space="preserve">PF/GPU</t>
    </r>
  </si>
  <si>
    <r>
      <rPr>
        <sz val="10"/>
        <color rgb="FF0000FF"/>
        <rFont val="Noto Sans CJK SC"/>
        <family val="2"/>
      </rPr>
      <t xml:space="preserve">峰值（高情境：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推論口徑）</t>
    </r>
    <r>
      <rPr>
        <sz val="10"/>
        <color rgb="FF0000FF"/>
        <rFont val="Arial"/>
        <family val="0"/>
        <charset val="1"/>
      </rPr>
      <t xml:space="preserve">PF/GPU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</si>
  <si>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SRC_MOD_008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</si>
  <si>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INDEX(Spec_Rack!$C$25:$G$25,C10)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</si>
  <si>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</si>
  <si>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C38*IF(C39=0,C45,MIN(C45,C39))+(1-C38)*(C45/C40+C41)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</si>
  <si>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D38*IF(D39=0,D45,MIN(D45,D39))+(1-D38)*(D45/D40+D41)</t>
    </r>
  </si>
  <si>
    <t xml:space="preserve">SRC_HW_022</t>
  </si>
  <si>
    <t xml:space="preserve">SRC_HW_025</t>
  </si>
  <si>
    <t xml:space="preserve">SRC_HW_027</t>
  </si>
  <si>
    <t xml:space="preserve">SRC_HW_028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</si>
  <si>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C15/2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</si>
  <si>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D15/2</t>
    </r>
  </si>
  <si>
    <t xml:space="preserve">SRC_MOD_008</t>
  </si>
  <si>
    <t xml:space="preserve">SRC_MOD_054</t>
  </si>
  <si>
    <t xml:space="preserve">AC13</t>
  </si>
  <si>
    <t xml:space="preserve">AD13</t>
  </si>
  <si>
    <t xml:space="preserve">AC14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</si>
</sst>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0"/>
    <numFmt numFmtId="166" formatCode="#,##0.00"/>
    <numFmt numFmtId="167" formatCode="#,##0"/>
    <numFmt numFmtId="168" formatCode="0.000"/>
    <numFmt numFmtId="169" formatCode="0.0000%"/>
    <numFmt numFmtId="170" formatCode="0%"/>
    <numFmt numFmtId="171" formatCode="0.00"/>
    <numFmt numFmtId="172" formatCode="0.000%"/>
    <numFmt numFmtId="173" formatCode="#,##0.0000"/>
    <numFmt numFmtId="174" formatCode="#,##0.000###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b val="true"/>
      <sz val="15"/>
      <name val="Arial"/>
      <family val="0"/>
      <charset val="1"/>
    </font>
    <font>
      <b val="true"/>
      <sz val="15"/>
      <name val="Noto Sans CJK SC"/>
      <family val="2"/>
    </font>
    <font>
      <sz val="11"/>
      <color theme="1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555555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20.1" hidden="false" customHeight="false" outlineLevel="0" collapsed="false">
      <c r="A1" s="1"/>
      <c r="B1" s="2" t="s">
        <v>0</v>
      </c>
    </row>
    <row r="2" customFormat="false" ht="15" hidden="false" customHeight="false" outlineLevel="0" collapsed="false">
      <c r="A2" s="1"/>
      <c r="B2" s="3" t="s">
        <v>1</v>
      </c>
    </row>
    <row r="3" customFormat="false" ht="15" hidden="false" customHeight="false" outlineLevel="0" collapsed="false">
      <c r="A3" s="1"/>
      <c r="B3" s="4"/>
    </row>
    <row r="4" customFormat="false" ht="15" hidden="false" customHeight="false" outlineLevel="0" collapsed="false">
      <c r="A4" s="1"/>
      <c r="B4" s="5" t="s">
        <v>2</v>
      </c>
    </row>
    <row r="5" customFormat="false" ht="15" hidden="false" customHeight="false" outlineLevel="0" collapsed="false">
      <c r="A5" s="1"/>
      <c r="B5" s="4" t="s">
        <v>3</v>
      </c>
    </row>
    <row r="6" customFormat="false" ht="15" hidden="false" customHeight="false" outlineLevel="0" collapsed="false">
      <c r="A6" s="1"/>
      <c r="B6" s="4" t="s">
        <v>4</v>
      </c>
    </row>
    <row r="7" customFormat="false" ht="15" hidden="false" customHeight="false" outlineLevel="0" collapsed="false">
      <c r="A7" s="1"/>
      <c r="B7" s="4" t="s">
        <v>5</v>
      </c>
    </row>
    <row r="8" customFormat="false" ht="15" hidden="false" customHeight="false" outlineLevel="0" collapsed="false">
      <c r="A8" s="1"/>
      <c r="B8" s="4" t="s">
        <v>6</v>
      </c>
    </row>
    <row r="9" customFormat="false" ht="15" hidden="false" customHeight="false" outlineLevel="0" collapsed="false">
      <c r="A9" s="1"/>
      <c r="B9" s="4" t="s">
        <v>7</v>
      </c>
    </row>
    <row r="10" customFormat="false" ht="15" hidden="false" customHeight="false" outlineLevel="0" collapsed="false">
      <c r="A10" s="1"/>
      <c r="B10" s="4" t="s">
        <v>8</v>
      </c>
    </row>
    <row r="11" customFormat="false" ht="15" hidden="false" customHeight="false" outlineLevel="0" collapsed="false">
      <c r="A11" s="1"/>
      <c r="B11" s="4" t="s">
        <v>9</v>
      </c>
    </row>
    <row r="12" customFormat="false" ht="15" hidden="false" customHeight="false" outlineLevel="0" collapsed="false">
      <c r="A12" s="1"/>
      <c r="B12" s="4" t="s">
        <v>10</v>
      </c>
    </row>
    <row r="13" customFormat="false" ht="15" hidden="false" customHeight="false" outlineLevel="0" collapsed="false">
      <c r="A13" s="1"/>
      <c r="B13" s="4" t="s">
        <v>11</v>
      </c>
    </row>
    <row r="14" customFormat="false" ht="15" hidden="false" customHeight="false" outlineLevel="0" collapsed="false">
      <c r="A14" s="1"/>
      <c r="B14" s="4"/>
    </row>
    <row r="15" customFormat="false" ht="15" hidden="false" customHeight="false" outlineLevel="0" collapsed="false">
      <c r="A15" s="1"/>
      <c r="B15" s="5" t="s">
        <v>12</v>
      </c>
    </row>
    <row r="16" customFormat="false" ht="15" hidden="false" customHeight="false" outlineLevel="0" collapsed="false">
      <c r="A16" s="1"/>
      <c r="B16" s="6" t="s">
        <v>13</v>
      </c>
    </row>
    <row r="17" customFormat="false" ht="15" hidden="false" customHeight="false" outlineLevel="0" collapsed="false">
      <c r="A17" s="1"/>
      <c r="B17" s="4"/>
    </row>
    <row r="18" customFormat="false" ht="15" hidden="false" customHeight="false" outlineLevel="0" collapsed="false">
      <c r="A18" s="1"/>
      <c r="B18" s="5" t="s">
        <v>14</v>
      </c>
    </row>
    <row r="19" customFormat="false" ht="29.85" hidden="false" customHeight="false" outlineLevel="0" collapsed="false">
      <c r="A19" s="1"/>
      <c r="B19" s="4" t="s">
        <v>15</v>
      </c>
    </row>
    <row r="20" customFormat="false" ht="29.85" hidden="false" customHeight="false" outlineLevel="0" collapsed="false">
      <c r="A20" s="1"/>
      <c r="B20" s="4" t="s">
        <v>16</v>
      </c>
    </row>
    <row r="21" customFormat="false" ht="15" hidden="false" customHeight="false" outlineLevel="0" collapsed="false">
      <c r="A21" s="1"/>
      <c r="B21" s="4" t="s">
        <v>17</v>
      </c>
    </row>
    <row r="22" customFormat="false" ht="15" hidden="false" customHeight="false" outlineLevel="0" collapsed="false">
      <c r="A22" s="1"/>
      <c r="B22" s="4" t="s">
        <v>18</v>
      </c>
    </row>
    <row r="23" customFormat="false" ht="15" hidden="false" customHeight="false" outlineLevel="0" collapsed="false">
      <c r="A23" s="1"/>
      <c r="B23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70"/>
  </cols>
  <sheetData>
    <row r="1" customFormat="false" ht="23.1" hidden="false" customHeight="false" outlineLevel="0" collapsed="false">
      <c r="A1" s="1"/>
      <c r="B1" s="7" t="s">
        <v>20</v>
      </c>
      <c r="C1" s="1"/>
      <c r="D1" s="1"/>
      <c r="E1" s="1"/>
    </row>
    <row r="2" customFormat="false" ht="15" hidden="false" customHeight="false" outlineLevel="0" collapsed="false">
      <c r="A2" s="1"/>
      <c r="B2" s="8" t="s">
        <v>21</v>
      </c>
      <c r="C2" s="1"/>
      <c r="D2" s="1"/>
      <c r="E2" s="1"/>
    </row>
    <row r="3" customFormat="false" ht="15" hidden="false" customHeight="false" outlineLevel="0" collapsed="false">
      <c r="A3" s="1"/>
      <c r="B3" s="1"/>
      <c r="C3" s="1"/>
      <c r="D3" s="1"/>
      <c r="E3" s="1"/>
    </row>
    <row r="4" customFormat="false" ht="15" hidden="false" customHeight="false" outlineLevel="0" collapsed="false">
      <c r="A4" s="1"/>
      <c r="B4" s="9" t="s">
        <v>22</v>
      </c>
      <c r="C4" s="1"/>
      <c r="D4" s="1"/>
      <c r="E4" s="1"/>
    </row>
    <row r="5" customFormat="false" ht="48" hidden="false" customHeight="true" outlineLevel="0" collapsed="false">
      <c r="A5" s="1"/>
      <c r="B5" s="10" t="s">
        <v>23</v>
      </c>
      <c r="C5" s="10"/>
      <c r="D5" s="10"/>
      <c r="E5" s="10"/>
    </row>
    <row r="6" customFormat="false" ht="15" hidden="false" customHeight="false" outlineLevel="0" collapsed="false">
      <c r="A6" s="1"/>
      <c r="B6" s="1"/>
      <c r="C6" s="1"/>
      <c r="D6" s="1"/>
      <c r="E6" s="1"/>
    </row>
    <row r="7" customFormat="false" ht="15" hidden="false" customHeight="false" outlineLevel="0" collapsed="false">
      <c r="A7" s="11"/>
      <c r="B7" s="12" t="s">
        <v>24</v>
      </c>
      <c r="C7" s="12" t="s">
        <v>25</v>
      </c>
      <c r="D7" s="12" t="s">
        <v>26</v>
      </c>
      <c r="E7" s="12" t="s">
        <v>27</v>
      </c>
    </row>
    <row r="8" customFormat="false" ht="15" hidden="false" customHeight="false" outlineLevel="0" collapsed="false">
      <c r="A8" s="1"/>
      <c r="B8" s="13" t="s">
        <v>28</v>
      </c>
      <c r="C8" s="14" t="n">
        <f aca="false">3_m重算!D28</f>
        <v>0.460003106109943</v>
      </c>
      <c r="D8" s="15" t="s">
        <v>29</v>
      </c>
      <c r="E8" s="16" t="s">
        <v>30</v>
      </c>
    </row>
    <row r="9" customFormat="false" ht="15" hidden="false" customHeight="false" outlineLevel="0" collapsed="false">
      <c r="A9" s="1"/>
      <c r="B9" s="17" t="s">
        <v>31</v>
      </c>
      <c r="C9" s="18" t="n">
        <f aca="false">IN_Rev</f>
        <v>13.07</v>
      </c>
      <c r="D9" s="19" t="s">
        <v>32</v>
      </c>
      <c r="E9" s="20" t="s">
        <v>33</v>
      </c>
    </row>
    <row r="10" customFormat="false" ht="15" hidden="false" customHeight="false" outlineLevel="0" collapsed="false">
      <c r="A10" s="1"/>
      <c r="B10" s="17" t="s">
        <v>34</v>
      </c>
      <c r="C10" s="21" t="n">
        <f aca="false">3_m重算!D27</f>
        <v>9614818738.22975</v>
      </c>
      <c r="D10" s="19" t="s">
        <v>35</v>
      </c>
      <c r="E10" s="3" t="s">
        <v>36</v>
      </c>
    </row>
    <row r="11" customFormat="false" ht="15" hidden="false" customHeight="false" outlineLevel="0" collapsed="false">
      <c r="A11" s="1"/>
      <c r="B11" s="17" t="s">
        <v>37</v>
      </c>
      <c r="C11" s="21" t="n">
        <f aca="false">3_m重算!D23</f>
        <v>20901638729.2214</v>
      </c>
      <c r="D11" s="19" t="s">
        <v>35</v>
      </c>
      <c r="E11" s="3" t="s">
        <v>38</v>
      </c>
    </row>
    <row r="12" customFormat="false" ht="15" hidden="false" customHeight="false" outlineLevel="0" collapsed="false">
      <c r="A12" s="1"/>
      <c r="B12" s="13" t="s">
        <v>39</v>
      </c>
      <c r="C12" s="14" t="n">
        <f aca="false">3_m重算!D26</f>
        <v>1.35936</v>
      </c>
      <c r="D12" s="15" t="s">
        <v>40</v>
      </c>
      <c r="E12" s="16" t="s">
        <v>41</v>
      </c>
    </row>
    <row r="13" customFormat="false" ht="15" hidden="false" customHeight="false" outlineLevel="0" collapsed="false">
      <c r="A13" s="1"/>
      <c r="B13" s="13" t="s">
        <v>42</v>
      </c>
      <c r="C13" s="14" t="n">
        <f aca="false">3_m重算!D21</f>
        <v>1.05658373061052</v>
      </c>
      <c r="D13" s="15" t="s">
        <v>43</v>
      </c>
      <c r="E13" s="16" t="s">
        <v>44</v>
      </c>
    </row>
    <row r="14" customFormat="false" ht="15" hidden="false" customHeight="false" outlineLevel="0" collapsed="false">
      <c r="A14" s="1"/>
      <c r="B14" s="17" t="s">
        <v>45</v>
      </c>
      <c r="C14" s="18" t="n">
        <f aca="false">IN_Spend</f>
        <v>8.4</v>
      </c>
      <c r="D14" s="19" t="s">
        <v>32</v>
      </c>
      <c r="E14" s="20" t="s">
        <v>46</v>
      </c>
    </row>
    <row r="15" customFormat="false" ht="15" hidden="false" customHeight="false" outlineLevel="0" collapsed="false">
      <c r="A15" s="1"/>
      <c r="B15" s="17" t="s">
        <v>47</v>
      </c>
      <c r="C15" s="22" t="n">
        <f aca="false">3_m重算!D19</f>
        <v>9.35311859805586</v>
      </c>
      <c r="D15" s="19" t="s">
        <v>48</v>
      </c>
      <c r="E15" s="3" t="s">
        <v>49</v>
      </c>
    </row>
    <row r="16" customFormat="false" ht="15" hidden="false" customHeight="false" outlineLevel="0" collapsed="false">
      <c r="A16" s="1"/>
      <c r="B16" s="17" t="s">
        <v>50</v>
      </c>
      <c r="C16" s="23" t="n">
        <f aca="false">3_m重算!D22</f>
        <v>0.580833333333333</v>
      </c>
      <c r="D16" s="19" t="s">
        <v>29</v>
      </c>
      <c r="E16" s="3" t="s">
        <v>51</v>
      </c>
    </row>
    <row r="17" customFormat="false" ht="15" hidden="false" customHeight="false" outlineLevel="0" collapsed="false">
      <c r="A17" s="1"/>
      <c r="B17" s="13" t="s">
        <v>52</v>
      </c>
      <c r="C17" s="14" t="n">
        <f aca="false">3_m重算!D17</f>
        <v>0.572519083969466</v>
      </c>
      <c r="D17" s="15" t="s">
        <v>29</v>
      </c>
      <c r="E17" s="24" t="s">
        <v>53</v>
      </c>
    </row>
    <row r="18" customFormat="false" ht="15" hidden="false" customHeight="false" outlineLevel="0" collapsed="false">
      <c r="A18" s="1"/>
      <c r="B18" s="13" t="s">
        <v>54</v>
      </c>
      <c r="C18" s="25" t="n">
        <f aca="false">3_m重算!D10</f>
        <v>39539922186.4258</v>
      </c>
      <c r="D18" s="15" t="s">
        <v>35</v>
      </c>
      <c r="E18" s="16" t="s">
        <v>55</v>
      </c>
    </row>
    <row r="19" customFormat="false" ht="15" hidden="false" customHeight="false" outlineLevel="0" collapsed="false">
      <c r="A19" s="1"/>
      <c r="B19" s="17" t="s">
        <v>56</v>
      </c>
      <c r="C19" s="21" t="n">
        <f aca="false">3_m重算!D11</f>
        <v>140654454096.474</v>
      </c>
      <c r="D19" s="19" t="s">
        <v>35</v>
      </c>
      <c r="E19" s="3" t="s">
        <v>57</v>
      </c>
    </row>
    <row r="20" customFormat="false" ht="26.85" hidden="false" customHeight="false" outlineLevel="0" collapsed="false">
      <c r="A20" s="1"/>
      <c r="B20" s="13" t="s">
        <v>58</v>
      </c>
      <c r="C20" s="25" t="n">
        <f aca="false">5_每GW產出!H67</f>
        <v>163715850475.953</v>
      </c>
      <c r="D20" s="15" t="s">
        <v>35</v>
      </c>
      <c r="E20" s="16" t="s">
        <v>59</v>
      </c>
    </row>
    <row r="21" customFormat="false" ht="15" hidden="false" customHeight="false" outlineLevel="0" collapsed="false">
      <c r="A21" s="1"/>
      <c r="B21" s="1"/>
      <c r="C21" s="1"/>
      <c r="D21" s="1"/>
      <c r="E21" s="1"/>
    </row>
    <row r="22" customFormat="false" ht="15" hidden="false" customHeight="false" outlineLevel="0" collapsed="false">
      <c r="A22" s="1"/>
      <c r="B22" s="9" t="s">
        <v>60</v>
      </c>
      <c r="C22" s="1"/>
      <c r="D22" s="1"/>
      <c r="E22" s="1"/>
    </row>
    <row r="23" customFormat="false" ht="15" hidden="false" customHeight="false" outlineLevel="0" collapsed="false">
      <c r="A23" s="1"/>
      <c r="B23" s="26" t="s">
        <v>61</v>
      </c>
      <c r="C23" s="26"/>
      <c r="D23" s="26"/>
      <c r="E23" s="26"/>
    </row>
    <row r="24" customFormat="false" ht="15" hidden="false" customHeight="false" outlineLevel="0" collapsed="false">
      <c r="A24" s="1"/>
      <c r="B24" s="27" t="s">
        <v>62</v>
      </c>
      <c r="C24" s="27"/>
      <c r="D24" s="27"/>
      <c r="E24" s="27"/>
    </row>
    <row r="25" customFormat="false" ht="17.15" hidden="false" customHeight="false" outlineLevel="0" collapsed="false">
      <c r="A25" s="1"/>
      <c r="B25" s="28" t="s">
        <v>63</v>
      </c>
      <c r="C25" s="29" t="n">
        <f aca="false">IN_Rev*3_m重算!D19*IN_SpendBasis*(1/(3_m重算!D10/IN_Util)+3_m重算!D17/(3_m重算!D11/IN_Util))/(IN_Spend*IN_Kappa*IN_UtilAct*IN_ProdDerate*3_m重算!D26)*1000000000</f>
        <v>0.460003106109943</v>
      </c>
      <c r="D25" s="1"/>
      <c r="E25" s="30" t="s">
        <v>64</v>
      </c>
    </row>
    <row r="26" customFormat="false" ht="15" hidden="false" customHeight="false" outlineLevel="0" collapsed="false">
      <c r="A26" s="1"/>
      <c r="B26" s="28" t="s">
        <v>65</v>
      </c>
      <c r="C26" s="31" t="n">
        <f aca="false">C25/C8-1</f>
        <v>0</v>
      </c>
      <c r="D26" s="1"/>
      <c r="E26" s="1"/>
    </row>
    <row r="27" customFormat="false" ht="15" hidden="false" customHeight="false" outlineLevel="0" collapsed="false">
      <c r="A27" s="1"/>
      <c r="B27" s="1"/>
      <c r="C27" s="1"/>
      <c r="D27" s="1"/>
      <c r="E27" s="1"/>
    </row>
    <row r="28" customFormat="false" ht="15" hidden="false" customHeight="false" outlineLevel="0" collapsed="false">
      <c r="A28" s="1"/>
      <c r="B28" s="9" t="s">
        <v>66</v>
      </c>
      <c r="C28" s="1"/>
      <c r="D28" s="1"/>
      <c r="E28" s="1"/>
    </row>
    <row r="29" customFormat="false" ht="15" hidden="false" customHeight="false" outlineLevel="0" collapsed="false">
      <c r="A29" s="1"/>
      <c r="B29" s="28" t="s">
        <v>67</v>
      </c>
      <c r="C29" s="1" t="s">
        <v>68</v>
      </c>
      <c r="D29" s="1"/>
      <c r="E29" s="1"/>
    </row>
    <row r="30" customFormat="false" ht="17.15" hidden="false" customHeight="false" outlineLevel="0" collapsed="false">
      <c r="A30" s="1"/>
      <c r="B30" s="28" t="s">
        <v>69</v>
      </c>
      <c r="C30" s="1" t="s">
        <v>70</v>
      </c>
      <c r="D30" s="1"/>
      <c r="E30" s="1"/>
    </row>
    <row r="31" customFormat="false" ht="17.15" hidden="false" customHeight="false" outlineLevel="0" collapsed="false">
      <c r="A31" s="1"/>
      <c r="B31" s="28" t="s">
        <v>71</v>
      </c>
      <c r="C31" s="1" t="s">
        <v>70</v>
      </c>
      <c r="D31" s="1"/>
      <c r="E31" s="1"/>
    </row>
    <row r="32" customFormat="false" ht="17.15" hidden="false" customHeight="false" outlineLevel="0" collapsed="false">
      <c r="A32" s="1"/>
      <c r="B32" s="1" t="s">
        <v>72</v>
      </c>
      <c r="C32" s="1" t="s">
        <v>73</v>
      </c>
      <c r="D32" s="1"/>
      <c r="E32" s="1"/>
    </row>
    <row r="33" customFormat="false" ht="17.15" hidden="false" customHeight="false" outlineLevel="0" collapsed="false">
      <c r="A33" s="1"/>
      <c r="B33" s="28" t="s">
        <v>74</v>
      </c>
      <c r="C33" s="28" t="s">
        <v>75</v>
      </c>
      <c r="D33" s="1"/>
      <c r="E33" s="1"/>
    </row>
    <row r="34" customFormat="false" ht="15" hidden="false" customHeight="false" outlineLevel="0" collapsed="false">
      <c r="A34" s="1"/>
      <c r="B34" s="1"/>
      <c r="C34" s="1"/>
      <c r="D34" s="1"/>
      <c r="E34" s="1"/>
    </row>
    <row r="35" customFormat="false" ht="15" hidden="false" customHeight="false" outlineLevel="0" collapsed="false">
      <c r="A35" s="1"/>
      <c r="B35" s="9" t="s">
        <v>76</v>
      </c>
      <c r="C35" s="1"/>
      <c r="D35" s="1"/>
      <c r="E35" s="1"/>
    </row>
    <row r="36" customFormat="false" ht="17.15" hidden="false" customHeight="false" outlineLevel="0" collapsed="false">
      <c r="A36" s="1"/>
      <c r="B36" s="1" t="s">
        <v>77</v>
      </c>
      <c r="C36" s="31" t="n">
        <f aca="false">3_m重算!H28</f>
        <v>0</v>
      </c>
      <c r="D36" s="1"/>
      <c r="E36" s="1"/>
    </row>
    <row r="37" customFormat="false" ht="17.15" hidden="false" customHeight="false" outlineLevel="0" collapsed="false">
      <c r="A37" s="1"/>
      <c r="B37" s="1" t="s">
        <v>78</v>
      </c>
      <c r="C37" s="31" t="n">
        <f aca="false">MAX(ABS(5_每GW產出!D69),ABS(5_每GW產出!E69),ABS(5_每GW產出!F69),ABS(5_每GW產出!G69),ABS(5_每GW產出!H69),ABS(5_每GW產出!I69))</f>
        <v>5.99520433297585E-015</v>
      </c>
      <c r="D37" s="1"/>
      <c r="E37" s="1"/>
    </row>
    <row r="38" customFormat="false" ht="17.15" hidden="false" customHeight="false" outlineLevel="0" collapsed="false">
      <c r="A38" s="1"/>
      <c r="B38" s="1" t="s">
        <v>79</v>
      </c>
      <c r="C38" s="31" t="n">
        <f aca="false">MAX(ABS(4_持有成本!D36),ABS(4_持有成本!E36))</f>
        <v>0</v>
      </c>
      <c r="D38" s="1"/>
      <c r="E38" s="1"/>
    </row>
    <row r="39" customFormat="false" ht="15" hidden="false" customHeight="false" outlineLevel="0" collapsed="false">
      <c r="A39" s="1"/>
      <c r="B39" s="1"/>
      <c r="C39" s="1"/>
      <c r="D39" s="1"/>
      <c r="E39" s="1"/>
    </row>
    <row r="40" customFormat="false" ht="15" hidden="false" customHeight="false" outlineLevel="0" collapsed="false">
      <c r="A40" s="1"/>
      <c r="B40" s="9" t="s">
        <v>80</v>
      </c>
      <c r="C40" s="1"/>
      <c r="D40" s="1"/>
      <c r="E40" s="1"/>
    </row>
    <row r="41" customFormat="false" ht="15" hidden="false" customHeight="false" outlineLevel="0" collapsed="false">
      <c r="A41" s="11"/>
      <c r="B41" s="12" t="s">
        <v>81</v>
      </c>
      <c r="C41" s="12" t="s">
        <v>82</v>
      </c>
      <c r="D41" s="12" t="s">
        <v>83</v>
      </c>
      <c r="E41" s="12" t="s">
        <v>84</v>
      </c>
    </row>
    <row r="42" customFormat="false" ht="17.15" hidden="false" customHeight="false" outlineLevel="0" collapsed="false">
      <c r="A42" s="1"/>
      <c r="B42" s="1" t="str">
        <f aca="false">6_敏感度!B8</f>
        <v>請求形狀 κ</v>
      </c>
      <c r="C42" s="32" t="n">
        <f aca="false">6_敏感度!I8</f>
        <v>0.705128205128204</v>
      </c>
      <c r="D42" s="33" t="n">
        <f aca="false">6_敏感度!H8</f>
        <v>-0.999999999999999</v>
      </c>
      <c r="E42" s="8" t="s">
        <v>85</v>
      </c>
    </row>
    <row r="43" customFormat="false" ht="15" hidden="false" customHeight="false" outlineLevel="0" collapsed="false">
      <c r="A43" s="1"/>
      <c r="B43" s="1" t="str">
        <f aca="false">6_敏感度!B9</f>
        <v>實際利用率</v>
      </c>
      <c r="C43" s="32" t="n">
        <f aca="false">6_敏感度!I9</f>
        <v>0.62939363522649</v>
      </c>
      <c r="D43" s="33" t="n">
        <f aca="false">6_敏感度!H9</f>
        <v>-0.798214884270891</v>
      </c>
      <c r="E43" s="8" t="s">
        <v>86</v>
      </c>
    </row>
    <row r="44" customFormat="false" ht="15" hidden="false" customHeight="false" outlineLevel="0" collapsed="false">
      <c r="A44" s="1"/>
      <c r="B44" s="1" t="str">
        <f aca="false">6_敏感度!B10</f>
        <v>計價倍數</v>
      </c>
      <c r="C44" s="32" t="n">
        <f aca="false">6_敏感度!I10</f>
        <v>0.517647058823527</v>
      </c>
      <c r="D44" s="33" t="n">
        <f aca="false">6_敏感度!H10</f>
        <v>0.999999999999996</v>
      </c>
      <c r="E44" s="8" t="s">
        <v>87</v>
      </c>
    </row>
    <row r="45" customFormat="false" ht="15" hidden="false" customHeight="false" outlineLevel="0" collapsed="false">
      <c r="A45" s="1"/>
      <c r="B45" s="1" t="str">
        <f aca="false">6_敏感度!B12</f>
        <v>有效折扣</v>
      </c>
      <c r="C45" s="32" t="n">
        <f aca="false">6_敏感度!I12</f>
        <v>0.444444444444443</v>
      </c>
      <c r="D45" s="33" t="n">
        <f aca="false">6_敏感度!H12</f>
        <v>0.292481250360578</v>
      </c>
      <c r="E45" s="8" t="s">
        <v>88</v>
      </c>
    </row>
    <row r="46" customFormat="false" ht="17.15" hidden="false" customHeight="false" outlineLevel="0" collapsed="false">
      <c r="A46" s="1"/>
      <c r="B46" s="1" t="str">
        <f aca="false">6_敏感度!B11</f>
        <v>Astra 啟用參數</v>
      </c>
      <c r="C46" s="32" t="n">
        <f aca="false">6_敏感度!I11</f>
        <v>0.443456920317768</v>
      </c>
      <c r="D46" s="33" t="n">
        <f aca="false">6_敏感度!H11</f>
        <v>0.343851240661688</v>
      </c>
      <c r="E46" s="8" t="s">
        <v>89</v>
      </c>
    </row>
    <row r="47" customFormat="false" ht="17.15" hidden="false" customHeight="false" outlineLevel="0" collapsed="false">
      <c r="A47" s="1"/>
      <c r="B47" s="1" t="str">
        <f aca="false">6_敏感度!B13</f>
        <v>Sol 參考 ISL</v>
      </c>
      <c r="C47" s="32" t="n">
        <f aca="false">6_敏感度!I13</f>
        <v>0.393896137169745</v>
      </c>
      <c r="D47" s="33" t="n">
        <f aca="false">6_敏感度!H13</f>
        <v>-0.187017619540166</v>
      </c>
      <c r="E47" s="8" t="s">
        <v>90</v>
      </c>
    </row>
    <row r="48" customFormat="false" ht="15" hidden="false" customHeight="false" outlineLevel="0" collapsed="false">
      <c r="A48" s="1"/>
      <c r="B48" s="1" t="str">
        <f aca="false">6_敏感度!B14</f>
        <v>生產折減</v>
      </c>
      <c r="C48" s="32" t="n">
        <f aca="false">6_敏感度!I14</f>
        <v>0.364285714285715</v>
      </c>
      <c r="D48" s="33" t="n">
        <f aca="false">6_敏感度!H14</f>
        <v>-1</v>
      </c>
      <c r="E48" s="8" t="s">
        <v>91</v>
      </c>
    </row>
    <row r="49" customFormat="false" ht="17.15" hidden="false" customHeight="false" outlineLevel="0" collapsed="false">
      <c r="A49" s="1"/>
      <c r="B49" s="1" t="str">
        <f aca="false">6_敏感度!B16</f>
        <v>服務世代組合 Hopper</v>
      </c>
      <c r="C49" s="32" t="n">
        <f aca="false">6_敏感度!I16</f>
        <v>0.33185559184186</v>
      </c>
      <c r="D49" s="33" t="str">
        <f aca="false">6_敏感度!H16</f>
        <v>—</v>
      </c>
      <c r="E49" s="8" t="s">
        <v>92</v>
      </c>
    </row>
  </sheetData>
  <mergeCells count="3">
    <mergeCell ref="B5:E5"/>
    <mergeCell ref="B23:E23"/>
    <mergeCell ref="B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11"/>
    <col collapsed="false" customWidth="true" hidden="false" outlineLevel="0" max="9" min="9" style="0" width="22"/>
    <col collapsed="false" customWidth="true" hidden="false" outlineLevel="0" max="10" min="10" style="0" width="70"/>
    <col collapsed="false" customWidth="true" hidden="false" outlineLevel="0" max="11" min="11" style="0" width="10"/>
  </cols>
  <sheetData>
    <row r="1" customFormat="false" ht="20.1" hidden="false" customHeight="false" outlineLevel="0" collapsed="false">
      <c r="A1" s="34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30" t="s">
        <v>94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5" hidden="false" customHeight="false" outlineLevel="0" collapsed="false">
      <c r="A4" s="11" t="s">
        <v>95</v>
      </c>
      <c r="B4" s="12" t="s">
        <v>96</v>
      </c>
      <c r="C4" s="12" t="s">
        <v>97</v>
      </c>
      <c r="D4" s="12" t="s">
        <v>25</v>
      </c>
      <c r="E4" s="12" t="s">
        <v>26</v>
      </c>
      <c r="F4" s="12" t="s">
        <v>98</v>
      </c>
      <c r="G4" s="12" t="s">
        <v>99</v>
      </c>
      <c r="H4" s="12" t="s">
        <v>100</v>
      </c>
      <c r="I4" s="12" t="s">
        <v>101</v>
      </c>
      <c r="J4" s="12" t="s">
        <v>102</v>
      </c>
      <c r="K4" s="12" t="s">
        <v>103</v>
      </c>
    </row>
    <row r="5" customFormat="false" ht="15" hidden="false" customHeight="false" outlineLevel="0" collapsed="false">
      <c r="A5" s="35" t="s">
        <v>104</v>
      </c>
      <c r="B5" s="36"/>
      <c r="C5" s="36"/>
      <c r="D5" s="36"/>
      <c r="E5" s="36"/>
      <c r="F5" s="36"/>
      <c r="G5" s="36"/>
      <c r="H5" s="36"/>
      <c r="I5" s="36"/>
      <c r="J5" s="36"/>
      <c r="K5" s="36"/>
    </row>
    <row r="6" customFormat="false" ht="15" hidden="false" customHeight="false" outlineLevel="0" collapsed="false">
      <c r="A6" s="4" t="s">
        <v>105</v>
      </c>
      <c r="B6" s="4" t="s">
        <v>106</v>
      </c>
      <c r="C6" s="4" t="s">
        <v>107</v>
      </c>
      <c r="D6" s="37" t="n">
        <v>13.07</v>
      </c>
      <c r="E6" s="4" t="s">
        <v>32</v>
      </c>
      <c r="F6" s="4" t="s">
        <v>108</v>
      </c>
      <c r="G6" s="4"/>
      <c r="H6" s="4"/>
      <c r="I6" s="4" t="s">
        <v>109</v>
      </c>
      <c r="J6" s="4" t="s">
        <v>110</v>
      </c>
      <c r="K6" s="6" t="s">
        <v>111</v>
      </c>
    </row>
    <row r="7" customFormat="false" ht="44" hidden="false" customHeight="false" outlineLevel="0" collapsed="false">
      <c r="A7" s="4" t="s">
        <v>112</v>
      </c>
      <c r="B7" s="4" t="s">
        <v>106</v>
      </c>
      <c r="C7" s="4" t="s">
        <v>113</v>
      </c>
      <c r="D7" s="37" t="n">
        <v>8.4</v>
      </c>
      <c r="E7" s="4" t="s">
        <v>32</v>
      </c>
      <c r="F7" s="4" t="s">
        <v>108</v>
      </c>
      <c r="G7" s="4"/>
      <c r="H7" s="4"/>
      <c r="I7" s="4" t="s">
        <v>114</v>
      </c>
      <c r="J7" s="4" t="s">
        <v>115</v>
      </c>
      <c r="K7" s="6" t="s">
        <v>116</v>
      </c>
    </row>
    <row r="8" customFormat="false" ht="15" hidden="false" customHeight="false" outlineLevel="0" collapsed="false">
      <c r="A8" s="35" t="s">
        <v>117</v>
      </c>
      <c r="B8" s="36"/>
      <c r="C8" s="36"/>
      <c r="D8" s="36"/>
      <c r="E8" s="36"/>
      <c r="F8" s="36"/>
      <c r="G8" s="36"/>
      <c r="H8" s="36"/>
      <c r="I8" s="36"/>
      <c r="J8" s="36"/>
      <c r="K8" s="36"/>
    </row>
    <row r="9" customFormat="false" ht="23.85" hidden="false" customHeight="false" outlineLevel="0" collapsed="false">
      <c r="A9" s="38" t="s">
        <v>118</v>
      </c>
      <c r="B9" s="38" t="s">
        <v>119</v>
      </c>
      <c r="C9" s="38" t="s">
        <v>120</v>
      </c>
      <c r="D9" s="39" t="n">
        <v>0.6</v>
      </c>
      <c r="E9" s="38" t="s">
        <v>121</v>
      </c>
      <c r="F9" s="38" t="s">
        <v>108</v>
      </c>
      <c r="G9" s="38"/>
      <c r="H9" s="38"/>
      <c r="I9" s="38" t="s">
        <v>122</v>
      </c>
      <c r="J9" s="40" t="s">
        <v>123</v>
      </c>
      <c r="K9" s="40" t="s">
        <v>124</v>
      </c>
    </row>
    <row r="10" customFormat="false" ht="23.85" hidden="false" customHeight="false" outlineLevel="0" collapsed="false">
      <c r="A10" s="38" t="s">
        <v>125</v>
      </c>
      <c r="B10" s="38" t="s">
        <v>119</v>
      </c>
      <c r="C10" s="38" t="s">
        <v>126</v>
      </c>
      <c r="D10" s="39" t="n">
        <v>0.4</v>
      </c>
      <c r="E10" s="38" t="s">
        <v>121</v>
      </c>
      <c r="F10" s="38" t="s">
        <v>108</v>
      </c>
      <c r="G10" s="38"/>
      <c r="H10" s="38"/>
      <c r="I10" s="38" t="s">
        <v>127</v>
      </c>
      <c r="J10" s="40" t="s">
        <v>128</v>
      </c>
      <c r="K10" s="40" t="s">
        <v>124</v>
      </c>
    </row>
    <row r="11" customFormat="false" ht="29.85" hidden="false" customHeight="false" outlineLevel="0" collapsed="false">
      <c r="A11" s="38" t="s">
        <v>129</v>
      </c>
      <c r="B11" s="38" t="s">
        <v>119</v>
      </c>
      <c r="C11" s="40" t="s">
        <v>130</v>
      </c>
      <c r="D11" s="39" t="n">
        <v>0.85</v>
      </c>
      <c r="E11" s="38" t="s">
        <v>29</v>
      </c>
      <c r="F11" s="38" t="s">
        <v>131</v>
      </c>
      <c r="G11" s="38" t="n">
        <v>0.73</v>
      </c>
      <c r="H11" s="38" t="n">
        <v>1.17</v>
      </c>
      <c r="I11" s="38" t="s">
        <v>132</v>
      </c>
      <c r="J11" s="40" t="s">
        <v>133</v>
      </c>
      <c r="K11" s="40" t="s">
        <v>124</v>
      </c>
    </row>
    <row r="12" customFormat="false" ht="29.85" hidden="false" customHeight="false" outlineLevel="0" collapsed="false">
      <c r="A12" s="38" t="s">
        <v>134</v>
      </c>
      <c r="B12" s="38" t="s">
        <v>119</v>
      </c>
      <c r="C12" s="40" t="s">
        <v>135</v>
      </c>
      <c r="D12" s="39" t="n">
        <v>1</v>
      </c>
      <c r="E12" s="38" t="s">
        <v>29</v>
      </c>
      <c r="F12" s="38" t="s">
        <v>131</v>
      </c>
      <c r="G12" s="38" t="n">
        <v>0.65</v>
      </c>
      <c r="H12" s="38" t="n">
        <v>1.2</v>
      </c>
      <c r="I12" s="38" t="s">
        <v>136</v>
      </c>
      <c r="J12" s="40" t="s">
        <v>137</v>
      </c>
      <c r="K12" s="40" t="s">
        <v>124</v>
      </c>
    </row>
    <row r="13" customFormat="false" ht="23.85" hidden="false" customHeight="false" outlineLevel="0" collapsed="false">
      <c r="A13" s="38" t="s">
        <v>138</v>
      </c>
      <c r="B13" s="38" t="s">
        <v>119</v>
      </c>
      <c r="C13" s="40" t="s">
        <v>139</v>
      </c>
      <c r="D13" s="39" t="n">
        <v>0.41</v>
      </c>
      <c r="E13" s="38" t="s">
        <v>121</v>
      </c>
      <c r="F13" s="38" t="s">
        <v>140</v>
      </c>
      <c r="G13" s="38" t="n">
        <v>0.3</v>
      </c>
      <c r="H13" s="38" t="n">
        <v>0.65</v>
      </c>
      <c r="I13" s="38" t="s">
        <v>141</v>
      </c>
      <c r="J13" s="40" t="s">
        <v>142</v>
      </c>
      <c r="K13" s="40" t="s">
        <v>124</v>
      </c>
    </row>
    <row r="14" customFormat="false" ht="23.85" hidden="false" customHeight="false" outlineLevel="0" collapsed="false">
      <c r="A14" s="38" t="s">
        <v>143</v>
      </c>
      <c r="B14" s="38" t="s">
        <v>119</v>
      </c>
      <c r="C14" s="40" t="s">
        <v>144</v>
      </c>
      <c r="D14" s="39" t="n">
        <v>0.85</v>
      </c>
      <c r="E14" s="38" t="s">
        <v>29</v>
      </c>
      <c r="F14" s="38" t="s">
        <v>140</v>
      </c>
      <c r="G14" s="38" t="n">
        <v>0.7</v>
      </c>
      <c r="H14" s="38" t="n">
        <v>1</v>
      </c>
      <c r="I14" s="38" t="s">
        <v>145</v>
      </c>
      <c r="J14" s="40" t="s">
        <v>146</v>
      </c>
      <c r="K14" s="40" t="s">
        <v>124</v>
      </c>
    </row>
    <row r="15" customFormat="false" ht="15" hidden="false" customHeight="false" outlineLevel="0" collapsed="false">
      <c r="A15" s="4" t="s">
        <v>147</v>
      </c>
      <c r="B15" s="4" t="s">
        <v>119</v>
      </c>
      <c r="C15" s="6" t="s">
        <v>148</v>
      </c>
      <c r="D15" s="37" t="n">
        <v>0.6</v>
      </c>
      <c r="E15" s="4" t="s">
        <v>121</v>
      </c>
      <c r="F15" s="4" t="s">
        <v>140</v>
      </c>
      <c r="G15" s="4" t="n">
        <v>0.4</v>
      </c>
      <c r="H15" s="4" t="n">
        <v>0.8</v>
      </c>
      <c r="I15" s="4" t="s">
        <v>149</v>
      </c>
      <c r="J15" s="6" t="s">
        <v>150</v>
      </c>
      <c r="K15" s="6" t="s">
        <v>151</v>
      </c>
    </row>
    <row r="16" customFormat="false" ht="15" hidden="false" customHeight="false" outlineLevel="0" collapsed="false">
      <c r="A16" s="35" t="s">
        <v>152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</row>
    <row r="17" customFormat="false" ht="15" hidden="false" customHeight="false" outlineLevel="0" collapsed="false">
      <c r="A17" s="4" t="s">
        <v>153</v>
      </c>
      <c r="B17" s="4" t="s">
        <v>154</v>
      </c>
      <c r="C17" s="4" t="s">
        <v>155</v>
      </c>
      <c r="D17" s="37" t="n">
        <v>0.1035</v>
      </c>
      <c r="E17" s="4" t="s">
        <v>156</v>
      </c>
      <c r="F17" s="4" t="s">
        <v>131</v>
      </c>
      <c r="G17" s="4" t="n">
        <v>0.0669</v>
      </c>
      <c r="H17" s="4" t="n">
        <v>0.3026</v>
      </c>
      <c r="I17" s="4" t="s">
        <v>157</v>
      </c>
      <c r="J17" s="4" t="s">
        <v>158</v>
      </c>
      <c r="K17" s="6" t="s">
        <v>111</v>
      </c>
    </row>
    <row r="18" customFormat="false" ht="15" hidden="false" customHeight="false" outlineLevel="0" collapsed="false">
      <c r="A18" s="4" t="s">
        <v>159</v>
      </c>
      <c r="B18" s="4" t="s">
        <v>154</v>
      </c>
      <c r="C18" s="4" t="s">
        <v>160</v>
      </c>
      <c r="D18" s="37" t="n">
        <v>2.184</v>
      </c>
      <c r="E18" s="4" t="s">
        <v>156</v>
      </c>
      <c r="F18" s="4" t="s">
        <v>131</v>
      </c>
      <c r="G18" s="4" t="n">
        <v>1.672</v>
      </c>
      <c r="H18" s="4" t="n">
        <v>2.338</v>
      </c>
      <c r="I18" s="4" t="s">
        <v>161</v>
      </c>
      <c r="J18" s="4" t="s">
        <v>162</v>
      </c>
      <c r="K18" s="6" t="s">
        <v>116</v>
      </c>
    </row>
    <row r="19" customFormat="false" ht="29.85" hidden="false" customHeight="false" outlineLevel="0" collapsed="false">
      <c r="A19" s="38" t="s">
        <v>163</v>
      </c>
      <c r="B19" s="38" t="s">
        <v>154</v>
      </c>
      <c r="C19" s="38" t="s">
        <v>164</v>
      </c>
      <c r="D19" s="39" t="n">
        <v>4.5</v>
      </c>
      <c r="E19" s="38" t="s">
        <v>156</v>
      </c>
      <c r="F19" s="38" t="s">
        <v>131</v>
      </c>
      <c r="G19" s="38" t="n">
        <v>3.3</v>
      </c>
      <c r="H19" s="38" t="n">
        <v>5.9</v>
      </c>
      <c r="I19" s="38" t="s">
        <v>165</v>
      </c>
      <c r="J19" s="38" t="s">
        <v>166</v>
      </c>
      <c r="K19" s="40" t="s">
        <v>124</v>
      </c>
    </row>
    <row r="20" customFormat="false" ht="15" hidden="false" customHeight="false" outlineLevel="0" collapsed="false">
      <c r="A20" s="38" t="s">
        <v>167</v>
      </c>
      <c r="B20" s="38" t="s">
        <v>154</v>
      </c>
      <c r="C20" s="40" t="s">
        <v>168</v>
      </c>
      <c r="D20" s="39" t="n">
        <v>0.2</v>
      </c>
      <c r="E20" s="38" t="s">
        <v>121</v>
      </c>
      <c r="F20" s="38" t="s">
        <v>140</v>
      </c>
      <c r="G20" s="38" t="n">
        <v>0.1</v>
      </c>
      <c r="H20" s="38" t="n">
        <v>0.4</v>
      </c>
      <c r="I20" s="38" t="s">
        <v>169</v>
      </c>
      <c r="J20" s="38" t="s">
        <v>170</v>
      </c>
      <c r="K20" s="40" t="s">
        <v>124</v>
      </c>
    </row>
    <row r="21" customFormat="false" ht="23.85" hidden="false" customHeight="false" outlineLevel="0" collapsed="false">
      <c r="A21" s="4" t="s">
        <v>171</v>
      </c>
      <c r="B21" s="4" t="s">
        <v>154</v>
      </c>
      <c r="C21" s="6" t="s">
        <v>172</v>
      </c>
      <c r="D21" s="37" t="n">
        <v>0.4</v>
      </c>
      <c r="E21" s="4" t="s">
        <v>121</v>
      </c>
      <c r="F21" s="4" t="s">
        <v>108</v>
      </c>
      <c r="G21" s="4"/>
      <c r="H21" s="4"/>
      <c r="I21" s="4" t="s">
        <v>173</v>
      </c>
      <c r="J21" s="4" t="s">
        <v>174</v>
      </c>
      <c r="K21" s="6" t="s">
        <v>116</v>
      </c>
    </row>
    <row r="22" customFormat="false" ht="23.85" hidden="false" customHeight="false" outlineLevel="0" collapsed="false">
      <c r="A22" s="4" t="s">
        <v>175</v>
      </c>
      <c r="B22" s="4" t="s">
        <v>154</v>
      </c>
      <c r="C22" s="6" t="s">
        <v>176</v>
      </c>
      <c r="D22" s="37" t="n">
        <v>0.45</v>
      </c>
      <c r="E22" s="4" t="s">
        <v>121</v>
      </c>
      <c r="F22" s="4" t="s">
        <v>108</v>
      </c>
      <c r="G22" s="4"/>
      <c r="H22" s="4"/>
      <c r="I22" s="4" t="s">
        <v>177</v>
      </c>
      <c r="J22" s="6" t="s">
        <v>57</v>
      </c>
      <c r="K22" s="6" t="s">
        <v>116</v>
      </c>
    </row>
    <row r="23" customFormat="false" ht="23.85" hidden="false" customHeight="false" outlineLevel="0" collapsed="false">
      <c r="A23" s="4" t="s">
        <v>178</v>
      </c>
      <c r="B23" s="4" t="s">
        <v>154</v>
      </c>
      <c r="C23" s="6" t="s">
        <v>179</v>
      </c>
      <c r="D23" s="37" t="n">
        <v>0.15</v>
      </c>
      <c r="E23" s="4" t="s">
        <v>121</v>
      </c>
      <c r="F23" s="4" t="s">
        <v>108</v>
      </c>
      <c r="G23" s="4"/>
      <c r="H23" s="4"/>
      <c r="I23" s="4" t="s">
        <v>180</v>
      </c>
      <c r="J23" s="6" t="s">
        <v>181</v>
      </c>
      <c r="K23" s="6" t="s">
        <v>116</v>
      </c>
    </row>
    <row r="24" customFormat="false" ht="23.85" hidden="false" customHeight="false" outlineLevel="0" collapsed="false">
      <c r="A24" s="4" t="s">
        <v>182</v>
      </c>
      <c r="B24" s="4" t="s">
        <v>154</v>
      </c>
      <c r="C24" s="6" t="s">
        <v>183</v>
      </c>
      <c r="D24" s="37" t="n">
        <v>0.9</v>
      </c>
      <c r="E24" s="4" t="s">
        <v>121</v>
      </c>
      <c r="F24" s="4" t="s">
        <v>108</v>
      </c>
      <c r="G24" s="4"/>
      <c r="H24" s="4"/>
      <c r="I24" s="4" t="s">
        <v>184</v>
      </c>
      <c r="J24" s="4" t="s">
        <v>185</v>
      </c>
      <c r="K24" s="6" t="s">
        <v>116</v>
      </c>
    </row>
    <row r="25" customFormat="false" ht="23.85" hidden="false" customHeight="false" outlineLevel="0" collapsed="false">
      <c r="A25" s="4" t="s">
        <v>186</v>
      </c>
      <c r="B25" s="4" t="s">
        <v>154</v>
      </c>
      <c r="C25" s="6" t="s">
        <v>187</v>
      </c>
      <c r="D25" s="37" t="n">
        <v>0.1</v>
      </c>
      <c r="E25" s="4" t="s">
        <v>121</v>
      </c>
      <c r="F25" s="4" t="s">
        <v>108</v>
      </c>
      <c r="G25" s="4"/>
      <c r="H25" s="4"/>
      <c r="I25" s="4" t="s">
        <v>188</v>
      </c>
      <c r="J25" s="6" t="s">
        <v>57</v>
      </c>
      <c r="K25" s="6" t="s">
        <v>116</v>
      </c>
    </row>
    <row r="26" customFormat="false" ht="23.85" hidden="false" customHeight="false" outlineLevel="0" collapsed="false">
      <c r="A26" s="4" t="s">
        <v>189</v>
      </c>
      <c r="B26" s="4" t="s">
        <v>154</v>
      </c>
      <c r="C26" s="6" t="s">
        <v>190</v>
      </c>
      <c r="D26" s="37" t="n">
        <v>0</v>
      </c>
      <c r="E26" s="4" t="s">
        <v>121</v>
      </c>
      <c r="F26" s="4" t="s">
        <v>108</v>
      </c>
      <c r="G26" s="4"/>
      <c r="H26" s="4"/>
      <c r="I26" s="4" t="s">
        <v>191</v>
      </c>
      <c r="J26" s="6" t="s">
        <v>57</v>
      </c>
      <c r="K26" s="6" t="s">
        <v>111</v>
      </c>
    </row>
    <row r="27" customFormat="false" ht="15" hidden="false" customHeight="false" outlineLevel="0" collapsed="false">
      <c r="A27" s="35" t="s">
        <v>192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</row>
    <row r="28" customFormat="false" ht="23.85" hidden="false" customHeight="false" outlineLevel="0" collapsed="false">
      <c r="A28" s="4" t="s">
        <v>193</v>
      </c>
      <c r="B28" s="4" t="s">
        <v>194</v>
      </c>
      <c r="C28" s="4" t="s">
        <v>195</v>
      </c>
      <c r="D28" s="37" t="n">
        <v>6</v>
      </c>
      <c r="E28" s="4" t="s">
        <v>196</v>
      </c>
      <c r="F28" s="4" t="s">
        <v>108</v>
      </c>
      <c r="G28" s="4"/>
      <c r="H28" s="4"/>
      <c r="I28" s="4" t="s">
        <v>197</v>
      </c>
      <c r="J28" s="4" t="s">
        <v>198</v>
      </c>
      <c r="K28" s="6" t="s">
        <v>111</v>
      </c>
    </row>
    <row r="29" customFormat="false" ht="23.85" hidden="false" customHeight="false" outlineLevel="0" collapsed="false">
      <c r="A29" s="4" t="s">
        <v>199</v>
      </c>
      <c r="B29" s="4" t="s">
        <v>194</v>
      </c>
      <c r="C29" s="4" t="s">
        <v>200</v>
      </c>
      <c r="D29" s="37" t="n">
        <v>0.75</v>
      </c>
      <c r="E29" s="4" t="s">
        <v>29</v>
      </c>
      <c r="F29" s="4" t="s">
        <v>140</v>
      </c>
      <c r="G29" s="4" t="n">
        <v>0.6</v>
      </c>
      <c r="H29" s="4" t="n">
        <v>0.9</v>
      </c>
      <c r="I29" s="4" t="s">
        <v>201</v>
      </c>
      <c r="J29" s="4" t="s">
        <v>140</v>
      </c>
      <c r="K29" s="6" t="s">
        <v>116</v>
      </c>
    </row>
    <row r="30" customFormat="false" ht="23.85" hidden="false" customHeight="false" outlineLevel="0" collapsed="false">
      <c r="A30" s="4" t="s">
        <v>202</v>
      </c>
      <c r="B30" s="4" t="s">
        <v>194</v>
      </c>
      <c r="C30" s="4" t="s">
        <v>203</v>
      </c>
      <c r="D30" s="37" t="n">
        <v>2.5</v>
      </c>
      <c r="E30" s="4" t="s">
        <v>204</v>
      </c>
      <c r="F30" s="4" t="s">
        <v>108</v>
      </c>
      <c r="G30" s="4"/>
      <c r="H30" s="4"/>
      <c r="I30" s="4" t="s">
        <v>205</v>
      </c>
      <c r="J30" s="4" t="s">
        <v>206</v>
      </c>
      <c r="K30" s="6" t="s">
        <v>111</v>
      </c>
    </row>
    <row r="31" customFormat="false" ht="15" hidden="false" customHeight="false" outlineLevel="0" collapsed="false">
      <c r="A31" s="4" t="s">
        <v>207</v>
      </c>
      <c r="B31" s="4" t="s">
        <v>194</v>
      </c>
      <c r="C31" s="6" t="s">
        <v>208</v>
      </c>
      <c r="D31" s="37" t="n">
        <v>4000</v>
      </c>
      <c r="E31" s="4" t="s">
        <v>209</v>
      </c>
      <c r="F31" s="4" t="s">
        <v>140</v>
      </c>
      <c r="G31" s="4" t="n">
        <v>2000</v>
      </c>
      <c r="H31" s="4" t="n">
        <v>11000</v>
      </c>
      <c r="I31" s="4" t="s">
        <v>210</v>
      </c>
      <c r="J31" s="4" t="s">
        <v>211</v>
      </c>
      <c r="K31" s="6" t="s">
        <v>116</v>
      </c>
    </row>
    <row r="32" customFormat="false" ht="23.85" hidden="false" customHeight="false" outlineLevel="0" collapsed="false">
      <c r="A32" s="4" t="s">
        <v>212</v>
      </c>
      <c r="B32" s="4" t="s">
        <v>194</v>
      </c>
      <c r="C32" s="4" t="s">
        <v>213</v>
      </c>
      <c r="D32" s="37" t="n">
        <v>0.6</v>
      </c>
      <c r="E32" s="4" t="s">
        <v>121</v>
      </c>
      <c r="F32" s="4" t="s">
        <v>140</v>
      </c>
      <c r="G32" s="4" t="n">
        <v>0.4</v>
      </c>
      <c r="H32" s="4" t="n">
        <v>0.8</v>
      </c>
      <c r="I32" s="4" t="s">
        <v>214</v>
      </c>
      <c r="J32" s="4" t="s">
        <v>215</v>
      </c>
      <c r="K32" s="6" t="s">
        <v>116</v>
      </c>
    </row>
    <row r="33" customFormat="false" ht="15" hidden="false" customHeight="false" outlineLevel="0" collapsed="false">
      <c r="A33" s="35" t="s">
        <v>216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</row>
    <row r="34" customFormat="false" ht="15" hidden="false" customHeight="false" outlineLevel="0" collapsed="false">
      <c r="A34" s="4" t="s">
        <v>217</v>
      </c>
      <c r="B34" s="4" t="s">
        <v>218</v>
      </c>
      <c r="C34" s="6" t="s">
        <v>219</v>
      </c>
      <c r="D34" s="37" t="n">
        <v>0.55</v>
      </c>
      <c r="E34" s="4" t="s">
        <v>121</v>
      </c>
      <c r="F34" s="4" t="s">
        <v>140</v>
      </c>
      <c r="G34" s="4" t="n">
        <v>0.3</v>
      </c>
      <c r="H34" s="4" t="n">
        <v>0.75</v>
      </c>
      <c r="I34" s="4" t="s">
        <v>220</v>
      </c>
      <c r="J34" s="4" t="s">
        <v>221</v>
      </c>
      <c r="K34" s="6" t="s">
        <v>116</v>
      </c>
    </row>
    <row r="35" customFormat="false" ht="23.85" hidden="false" customHeight="false" outlineLevel="0" collapsed="false">
      <c r="A35" s="4" t="s">
        <v>222</v>
      </c>
      <c r="B35" s="4" t="s">
        <v>218</v>
      </c>
      <c r="C35" s="4" t="s">
        <v>223</v>
      </c>
      <c r="D35" s="37" t="n">
        <v>3</v>
      </c>
      <c r="E35" s="4" t="s">
        <v>209</v>
      </c>
      <c r="F35" s="4" t="s">
        <v>224</v>
      </c>
      <c r="G35" s="4" t="n">
        <v>1</v>
      </c>
      <c r="H35" s="4" t="n">
        <v>5</v>
      </c>
      <c r="I35" s="4" t="s">
        <v>225</v>
      </c>
      <c r="J35" s="6" t="s">
        <v>226</v>
      </c>
      <c r="K35" s="6" t="s">
        <v>111</v>
      </c>
    </row>
    <row r="36" customFormat="false" ht="23.85" hidden="false" customHeight="false" outlineLevel="0" collapsed="false">
      <c r="A36" s="4" t="s">
        <v>227</v>
      </c>
      <c r="B36" s="4" t="s">
        <v>218</v>
      </c>
      <c r="C36" s="6" t="s">
        <v>228</v>
      </c>
      <c r="D36" s="37" t="n">
        <v>0.7</v>
      </c>
      <c r="E36" s="4" t="s">
        <v>121</v>
      </c>
      <c r="F36" s="6" t="s">
        <v>226</v>
      </c>
      <c r="G36" s="4"/>
      <c r="H36" s="4"/>
      <c r="I36" s="4" t="s">
        <v>229</v>
      </c>
      <c r="J36" s="6" t="s">
        <v>226</v>
      </c>
      <c r="K36" s="6" t="s">
        <v>111</v>
      </c>
    </row>
    <row r="37" customFormat="false" ht="23.85" hidden="false" customHeight="false" outlineLevel="0" collapsed="false">
      <c r="A37" s="4" t="s">
        <v>230</v>
      </c>
      <c r="B37" s="4" t="s">
        <v>218</v>
      </c>
      <c r="C37" s="4" t="s">
        <v>231</v>
      </c>
      <c r="D37" s="37" t="n">
        <v>0.1</v>
      </c>
      <c r="E37" s="4" t="s">
        <v>121</v>
      </c>
      <c r="F37" s="4" t="s">
        <v>140</v>
      </c>
      <c r="G37" s="4" t="n">
        <v>0.05</v>
      </c>
      <c r="H37" s="4" t="n">
        <v>0.2</v>
      </c>
      <c r="I37" s="4" t="s">
        <v>232</v>
      </c>
      <c r="J37" s="4"/>
      <c r="K37" s="6" t="s">
        <v>111</v>
      </c>
    </row>
    <row r="38" customFormat="false" ht="23.85" hidden="false" customHeight="false" outlineLevel="0" collapsed="false">
      <c r="A38" s="4" t="s">
        <v>233</v>
      </c>
      <c r="B38" s="4" t="s">
        <v>218</v>
      </c>
      <c r="C38" s="6" t="s">
        <v>234</v>
      </c>
      <c r="D38" s="37" t="n">
        <v>0.2</v>
      </c>
      <c r="E38" s="4" t="s">
        <v>121</v>
      </c>
      <c r="F38" s="4" t="s">
        <v>140</v>
      </c>
      <c r="G38" s="4" t="n">
        <v>0.1</v>
      </c>
      <c r="H38" s="4" t="n">
        <v>0.3</v>
      </c>
      <c r="I38" s="4" t="s">
        <v>235</v>
      </c>
      <c r="J38" s="4"/>
      <c r="K38" s="6" t="s">
        <v>111</v>
      </c>
    </row>
    <row r="39" customFormat="false" ht="15" hidden="false" customHeight="false" outlineLevel="0" collapsed="false">
      <c r="A39" s="4" t="s">
        <v>236</v>
      </c>
      <c r="B39" s="4" t="s">
        <v>218</v>
      </c>
      <c r="C39" s="6" t="s">
        <v>237</v>
      </c>
      <c r="D39" s="37" t="n">
        <v>0.4</v>
      </c>
      <c r="E39" s="4" t="s">
        <v>121</v>
      </c>
      <c r="F39" s="4" t="s">
        <v>140</v>
      </c>
      <c r="G39" s="4" t="n">
        <v>0.3</v>
      </c>
      <c r="H39" s="4" t="n">
        <v>0.5</v>
      </c>
      <c r="I39" s="4" t="s">
        <v>238</v>
      </c>
      <c r="J39" s="4"/>
      <c r="K39" s="6" t="s">
        <v>111</v>
      </c>
    </row>
    <row r="40" customFormat="false" ht="23.85" hidden="false" customHeight="false" outlineLevel="0" collapsed="false">
      <c r="A40" s="4" t="s">
        <v>239</v>
      </c>
      <c r="B40" s="4" t="s">
        <v>218</v>
      </c>
      <c r="C40" s="4" t="s">
        <v>240</v>
      </c>
      <c r="D40" s="37" t="n">
        <v>3</v>
      </c>
      <c r="E40" s="4" t="s">
        <v>119</v>
      </c>
      <c r="F40" s="4" t="s">
        <v>140</v>
      </c>
      <c r="G40" s="4" t="n">
        <v>2</v>
      </c>
      <c r="H40" s="4" t="n">
        <v>4</v>
      </c>
      <c r="I40" s="4" t="s">
        <v>241</v>
      </c>
      <c r="J40" s="4"/>
      <c r="K40" s="6" t="s">
        <v>111</v>
      </c>
    </row>
    <row r="41" customFormat="false" ht="15" hidden="false" customHeight="false" outlineLevel="0" collapsed="false">
      <c r="A41" s="4" t="s">
        <v>242</v>
      </c>
      <c r="B41" s="4" t="s">
        <v>218</v>
      </c>
      <c r="C41" s="4" t="s">
        <v>243</v>
      </c>
      <c r="D41" s="37" t="n">
        <v>0.7</v>
      </c>
      <c r="E41" s="4" t="s">
        <v>121</v>
      </c>
      <c r="F41" s="4" t="s">
        <v>140</v>
      </c>
      <c r="G41" s="4" t="n">
        <v>0.5</v>
      </c>
      <c r="H41" s="4" t="n">
        <v>0.85</v>
      </c>
      <c r="I41" s="4" t="s">
        <v>244</v>
      </c>
      <c r="J41" s="4"/>
      <c r="K41" s="6" t="s">
        <v>111</v>
      </c>
    </row>
    <row r="42" customFormat="false" ht="15" hidden="false" customHeight="false" outlineLevel="0" collapsed="false">
      <c r="A42" s="4" t="s">
        <v>245</v>
      </c>
      <c r="B42" s="4" t="s">
        <v>218</v>
      </c>
      <c r="C42" s="4" t="s">
        <v>246</v>
      </c>
      <c r="D42" s="37" t="n">
        <v>0.7</v>
      </c>
      <c r="E42" s="4" t="s">
        <v>121</v>
      </c>
      <c r="F42" s="4" t="s">
        <v>140</v>
      </c>
      <c r="G42" s="4" t="n">
        <v>0.5</v>
      </c>
      <c r="H42" s="4" t="n">
        <v>0.85</v>
      </c>
      <c r="I42" s="4" t="s">
        <v>247</v>
      </c>
      <c r="J42" s="4"/>
      <c r="K42" s="6" t="s">
        <v>111</v>
      </c>
    </row>
    <row r="43" customFormat="false" ht="15" hidden="false" customHeight="false" outlineLevel="0" collapsed="false">
      <c r="A43" s="35" t="s">
        <v>248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r="44" customFormat="false" ht="23.85" hidden="false" customHeight="false" outlineLevel="0" collapsed="false">
      <c r="A44" s="4" t="s">
        <v>249</v>
      </c>
      <c r="B44" s="4" t="s">
        <v>250</v>
      </c>
      <c r="C44" s="4" t="s">
        <v>251</v>
      </c>
      <c r="D44" s="37" t="n">
        <v>0.0357550334998836</v>
      </c>
      <c r="E44" s="4" t="s">
        <v>121</v>
      </c>
      <c r="F44" s="4" t="s">
        <v>108</v>
      </c>
      <c r="G44" s="4"/>
      <c r="H44" s="4"/>
      <c r="I44" s="4" t="s">
        <v>252</v>
      </c>
      <c r="J44" s="6" t="s">
        <v>253</v>
      </c>
      <c r="K44" s="6" t="s">
        <v>116</v>
      </c>
    </row>
    <row r="45" customFormat="false" ht="15" hidden="false" customHeight="false" outlineLevel="0" collapsed="false">
      <c r="A45" s="4" t="s">
        <v>254</v>
      </c>
      <c r="B45" s="4" t="s">
        <v>250</v>
      </c>
      <c r="C45" s="6" t="s">
        <v>255</v>
      </c>
      <c r="D45" s="37" t="n">
        <v>161.185338133698</v>
      </c>
      <c r="E45" s="4" t="s">
        <v>256</v>
      </c>
      <c r="F45" s="4" t="s">
        <v>108</v>
      </c>
      <c r="G45" s="4"/>
      <c r="H45" s="4"/>
      <c r="I45" s="4" t="s">
        <v>257</v>
      </c>
      <c r="J45" s="6" t="s">
        <v>57</v>
      </c>
      <c r="K45" s="6" t="s">
        <v>116</v>
      </c>
    </row>
    <row r="46" customFormat="false" ht="23.85" hidden="false" customHeight="false" outlineLevel="0" collapsed="false">
      <c r="A46" s="4" t="s">
        <v>258</v>
      </c>
      <c r="B46" s="4" t="s">
        <v>250</v>
      </c>
      <c r="C46" s="4" t="s">
        <v>259</v>
      </c>
      <c r="D46" s="37" t="n">
        <v>0.3</v>
      </c>
      <c r="E46" s="4" t="s">
        <v>121</v>
      </c>
      <c r="F46" s="4" t="s">
        <v>224</v>
      </c>
      <c r="G46" s="4" t="n">
        <v>0.15</v>
      </c>
      <c r="H46" s="4" t="n">
        <v>0.45</v>
      </c>
      <c r="I46" s="4" t="s">
        <v>260</v>
      </c>
      <c r="J46" s="4" t="s">
        <v>224</v>
      </c>
      <c r="K46" s="6" t="s">
        <v>116</v>
      </c>
    </row>
    <row r="47" customFormat="false" ht="23.85" hidden="false" customHeight="false" outlineLevel="0" collapsed="false">
      <c r="A47" s="38" t="s">
        <v>261</v>
      </c>
      <c r="B47" s="38" t="s">
        <v>250</v>
      </c>
      <c r="C47" s="38" t="s">
        <v>262</v>
      </c>
      <c r="D47" s="39" t="n">
        <v>1.2</v>
      </c>
      <c r="E47" s="38" t="s">
        <v>29</v>
      </c>
      <c r="F47" s="38" t="s">
        <v>131</v>
      </c>
      <c r="G47" s="38" t="n">
        <v>0.8</v>
      </c>
      <c r="H47" s="38" t="n">
        <v>1.6</v>
      </c>
      <c r="I47" s="38" t="s">
        <v>263</v>
      </c>
      <c r="J47" s="40" t="s">
        <v>264</v>
      </c>
      <c r="K47" s="40" t="s">
        <v>124</v>
      </c>
    </row>
    <row r="48" customFormat="false" ht="23.85" hidden="false" customHeight="false" outlineLevel="0" collapsed="false">
      <c r="A48" s="4" t="s">
        <v>265</v>
      </c>
      <c r="B48" s="4" t="s">
        <v>250</v>
      </c>
      <c r="C48" s="4" t="s">
        <v>266</v>
      </c>
      <c r="D48" s="37" t="n">
        <v>1.15</v>
      </c>
      <c r="E48" s="4" t="s">
        <v>29</v>
      </c>
      <c r="F48" s="4" t="s">
        <v>131</v>
      </c>
      <c r="G48" s="4" t="n">
        <v>0.9</v>
      </c>
      <c r="H48" s="4" t="n">
        <v>1.45</v>
      </c>
      <c r="I48" s="4" t="s">
        <v>267</v>
      </c>
      <c r="J48" s="4" t="s">
        <v>268</v>
      </c>
      <c r="K48" s="6" t="s">
        <v>116</v>
      </c>
    </row>
    <row r="49" customFormat="false" ht="23.85" hidden="false" customHeight="false" outlineLevel="0" collapsed="false">
      <c r="A49" s="4" t="s">
        <v>269</v>
      </c>
      <c r="B49" s="4" t="s">
        <v>250</v>
      </c>
      <c r="C49" s="6" t="s">
        <v>270</v>
      </c>
      <c r="D49" s="37" t="n">
        <v>1.5</v>
      </c>
      <c r="E49" s="4" t="s">
        <v>29</v>
      </c>
      <c r="F49" s="4" t="s">
        <v>140</v>
      </c>
      <c r="G49" s="4" t="n">
        <v>1</v>
      </c>
      <c r="H49" s="4" t="n">
        <v>1.5</v>
      </c>
      <c r="I49" s="4" t="s">
        <v>271</v>
      </c>
      <c r="J49" s="4" t="s">
        <v>140</v>
      </c>
      <c r="K49" s="6" t="s">
        <v>116</v>
      </c>
    </row>
    <row r="50" customFormat="false" ht="23.85" hidden="false" customHeight="false" outlineLevel="0" collapsed="false">
      <c r="A50" s="4" t="s">
        <v>272</v>
      </c>
      <c r="B50" s="4" t="s">
        <v>250</v>
      </c>
      <c r="C50" s="6" t="s">
        <v>273</v>
      </c>
      <c r="D50" s="37" t="n">
        <v>1</v>
      </c>
      <c r="E50" s="4" t="s">
        <v>29</v>
      </c>
      <c r="F50" s="4" t="s">
        <v>140</v>
      </c>
      <c r="G50" s="4" t="n">
        <v>1</v>
      </c>
      <c r="H50" s="4" t="n">
        <v>1.5</v>
      </c>
      <c r="I50" s="4" t="s">
        <v>274</v>
      </c>
      <c r="J50" s="6" t="s">
        <v>275</v>
      </c>
      <c r="K50" s="6" t="s">
        <v>116</v>
      </c>
    </row>
    <row r="51" customFormat="false" ht="29.85" hidden="false" customHeight="false" outlineLevel="0" collapsed="false">
      <c r="A51" s="4" t="s">
        <v>276</v>
      </c>
      <c r="B51" s="4" t="s">
        <v>250</v>
      </c>
      <c r="C51" s="4" t="s">
        <v>277</v>
      </c>
      <c r="D51" s="37" t="n">
        <v>0.499747347145023</v>
      </c>
      <c r="E51" s="4" t="s">
        <v>29</v>
      </c>
      <c r="F51" s="4" t="s">
        <v>278</v>
      </c>
      <c r="G51" s="4"/>
      <c r="H51" s="4"/>
      <c r="I51" s="4" t="s">
        <v>279</v>
      </c>
      <c r="J51" s="6" t="s">
        <v>280</v>
      </c>
      <c r="K51" s="6" t="s">
        <v>111</v>
      </c>
    </row>
    <row r="52" customFormat="false" ht="23.85" hidden="false" customHeight="false" outlineLevel="0" collapsed="false">
      <c r="A52" s="4" t="s">
        <v>281</v>
      </c>
      <c r="B52" s="4" t="s">
        <v>250</v>
      </c>
      <c r="C52" s="4" t="s">
        <v>282</v>
      </c>
      <c r="D52" s="37" t="n">
        <v>1</v>
      </c>
      <c r="E52" s="4" t="s">
        <v>29</v>
      </c>
      <c r="F52" s="4" t="s">
        <v>140</v>
      </c>
      <c r="G52" s="4" t="n">
        <v>0.5</v>
      </c>
      <c r="H52" s="4" t="n">
        <v>1.5</v>
      </c>
      <c r="I52" s="4" t="s">
        <v>283</v>
      </c>
      <c r="J52" s="4"/>
      <c r="K52" s="6" t="s">
        <v>111</v>
      </c>
    </row>
    <row r="53" customFormat="false" ht="15" hidden="false" customHeight="false" outlineLevel="0" collapsed="false">
      <c r="A53" s="35" t="s">
        <v>284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</row>
    <row r="54" customFormat="false" ht="23.85" hidden="false" customHeight="false" outlineLevel="0" collapsed="false">
      <c r="A54" s="4" t="s">
        <v>285</v>
      </c>
      <c r="B54" s="4" t="s">
        <v>286</v>
      </c>
      <c r="C54" s="6" t="s">
        <v>287</v>
      </c>
      <c r="D54" s="37" t="n">
        <v>1.979</v>
      </c>
      <c r="E54" s="4" t="s">
        <v>288</v>
      </c>
      <c r="F54" s="4" t="s">
        <v>108</v>
      </c>
      <c r="G54" s="4"/>
      <c r="H54" s="4"/>
      <c r="I54" s="4" t="s">
        <v>289</v>
      </c>
      <c r="J54" s="6" t="s">
        <v>290</v>
      </c>
      <c r="K54" s="6" t="s">
        <v>111</v>
      </c>
    </row>
    <row r="55" customFormat="false" ht="23.85" hidden="false" customHeight="false" outlineLevel="0" collapsed="false">
      <c r="A55" s="4" t="s">
        <v>291</v>
      </c>
      <c r="B55" s="4" t="s">
        <v>286</v>
      </c>
      <c r="C55" s="6" t="s">
        <v>292</v>
      </c>
      <c r="D55" s="37" t="n">
        <v>10</v>
      </c>
      <c r="E55" s="4" t="s">
        <v>288</v>
      </c>
      <c r="F55" s="4" t="s">
        <v>108</v>
      </c>
      <c r="G55" s="4"/>
      <c r="H55" s="4"/>
      <c r="I55" s="4" t="s">
        <v>293</v>
      </c>
      <c r="J55" s="6" t="s">
        <v>290</v>
      </c>
      <c r="K55" s="6" t="s">
        <v>111</v>
      </c>
    </row>
    <row r="56" customFormat="false" ht="23.85" hidden="false" customHeight="false" outlineLevel="0" collapsed="false">
      <c r="A56" s="4" t="s">
        <v>294</v>
      </c>
      <c r="B56" s="4" t="s">
        <v>286</v>
      </c>
      <c r="C56" s="4" t="s">
        <v>295</v>
      </c>
      <c r="D56" s="37" t="n">
        <v>80</v>
      </c>
      <c r="E56" s="4" t="s">
        <v>296</v>
      </c>
      <c r="F56" s="6" t="s">
        <v>226</v>
      </c>
      <c r="G56" s="4"/>
      <c r="H56" s="4"/>
      <c r="I56" s="4" t="s">
        <v>297</v>
      </c>
      <c r="J56" s="6" t="s">
        <v>290</v>
      </c>
      <c r="K56" s="6" t="s">
        <v>111</v>
      </c>
    </row>
    <row r="57" customFormat="false" ht="29.85" hidden="false" customHeight="false" outlineLevel="0" collapsed="false">
      <c r="A57" s="4" t="s">
        <v>298</v>
      </c>
      <c r="B57" s="4" t="s">
        <v>286</v>
      </c>
      <c r="C57" s="4" t="s">
        <v>299</v>
      </c>
      <c r="D57" s="37" t="n">
        <v>186</v>
      </c>
      <c r="E57" s="4" t="s">
        <v>296</v>
      </c>
      <c r="F57" s="6" t="s">
        <v>300</v>
      </c>
      <c r="G57" s="4"/>
      <c r="H57" s="4"/>
      <c r="I57" s="4" t="s">
        <v>301</v>
      </c>
      <c r="J57" s="6" t="s">
        <v>290</v>
      </c>
      <c r="K57" s="6" t="s">
        <v>111</v>
      </c>
    </row>
    <row r="58" customFormat="false" ht="23.85" hidden="false" customHeight="false" outlineLevel="0" collapsed="false">
      <c r="A58" s="4" t="s">
        <v>302</v>
      </c>
      <c r="B58" s="4" t="s">
        <v>286</v>
      </c>
      <c r="C58" s="4" t="s">
        <v>303</v>
      </c>
      <c r="D58" s="37" t="n">
        <v>3.35</v>
      </c>
      <c r="E58" s="4" t="s">
        <v>304</v>
      </c>
      <c r="F58" s="6" t="s">
        <v>226</v>
      </c>
      <c r="G58" s="4"/>
      <c r="H58" s="4"/>
      <c r="I58" s="4" t="s">
        <v>305</v>
      </c>
      <c r="J58" s="6" t="s">
        <v>290</v>
      </c>
      <c r="K58" s="6" t="s">
        <v>111</v>
      </c>
    </row>
    <row r="59" customFormat="false" ht="23.85" hidden="false" customHeight="false" outlineLevel="0" collapsed="false">
      <c r="A59" s="4" t="s">
        <v>306</v>
      </c>
      <c r="B59" s="4" t="s">
        <v>286</v>
      </c>
      <c r="C59" s="4" t="s">
        <v>307</v>
      </c>
      <c r="D59" s="37" t="n">
        <v>8</v>
      </c>
      <c r="E59" s="4" t="s">
        <v>304</v>
      </c>
      <c r="F59" s="6" t="s">
        <v>226</v>
      </c>
      <c r="G59" s="4"/>
      <c r="H59" s="4"/>
      <c r="I59" s="4" t="s">
        <v>308</v>
      </c>
      <c r="J59" s="6" t="s">
        <v>290</v>
      </c>
      <c r="K59" s="6" t="s">
        <v>111</v>
      </c>
    </row>
    <row r="60" customFormat="false" ht="23.85" hidden="false" customHeight="false" outlineLevel="0" collapsed="false">
      <c r="A60" s="4" t="s">
        <v>309</v>
      </c>
      <c r="B60" s="4" t="s">
        <v>286</v>
      </c>
      <c r="C60" s="4" t="s">
        <v>310</v>
      </c>
      <c r="D60" s="37" t="n">
        <v>0.05</v>
      </c>
      <c r="E60" s="4" t="s">
        <v>304</v>
      </c>
      <c r="F60" s="6" t="s">
        <v>226</v>
      </c>
      <c r="G60" s="4"/>
      <c r="H60" s="4"/>
      <c r="I60" s="4" t="s">
        <v>311</v>
      </c>
      <c r="J60" s="6" t="s">
        <v>290</v>
      </c>
      <c r="K60" s="6" t="s">
        <v>111</v>
      </c>
    </row>
    <row r="61" customFormat="false" ht="23.85" hidden="false" customHeight="false" outlineLevel="0" collapsed="false">
      <c r="A61" s="4" t="s">
        <v>312</v>
      </c>
      <c r="B61" s="4" t="s">
        <v>286</v>
      </c>
      <c r="C61" s="4" t="s">
        <v>313</v>
      </c>
      <c r="D61" s="37" t="n">
        <v>0.9</v>
      </c>
      <c r="E61" s="4" t="s">
        <v>304</v>
      </c>
      <c r="F61" s="6" t="s">
        <v>226</v>
      </c>
      <c r="G61" s="4"/>
      <c r="H61" s="4"/>
      <c r="I61" s="4" t="s">
        <v>314</v>
      </c>
      <c r="J61" s="6" t="s">
        <v>290</v>
      </c>
      <c r="K61" s="6" t="s">
        <v>111</v>
      </c>
    </row>
    <row r="62" customFormat="false" ht="23.85" hidden="false" customHeight="false" outlineLevel="0" collapsed="false">
      <c r="A62" s="4" t="s">
        <v>315</v>
      </c>
      <c r="B62" s="4" t="s">
        <v>286</v>
      </c>
      <c r="C62" s="4" t="s">
        <v>316</v>
      </c>
      <c r="D62" s="37" t="n">
        <v>64</v>
      </c>
      <c r="E62" s="4" t="s">
        <v>317</v>
      </c>
      <c r="F62" s="4" t="s">
        <v>224</v>
      </c>
      <c r="G62" s="4" t="n">
        <v>32</v>
      </c>
      <c r="H62" s="4" t="n">
        <v>144</v>
      </c>
      <c r="I62" s="4" t="s">
        <v>318</v>
      </c>
      <c r="J62" s="6" t="s">
        <v>290</v>
      </c>
      <c r="K62" s="6" t="s">
        <v>111</v>
      </c>
    </row>
    <row r="63" customFormat="false" ht="23.85" hidden="false" customHeight="false" outlineLevel="0" collapsed="false">
      <c r="A63" s="4" t="s">
        <v>319</v>
      </c>
      <c r="B63" s="4" t="s">
        <v>286</v>
      </c>
      <c r="C63" s="4" t="s">
        <v>320</v>
      </c>
      <c r="D63" s="37" t="n">
        <v>32</v>
      </c>
      <c r="E63" s="4" t="s">
        <v>317</v>
      </c>
      <c r="F63" s="4" t="s">
        <v>224</v>
      </c>
      <c r="G63" s="4" t="n">
        <v>16</v>
      </c>
      <c r="H63" s="4" t="n">
        <v>72</v>
      </c>
      <c r="I63" s="4" t="s">
        <v>321</v>
      </c>
      <c r="J63" s="6" t="s">
        <v>290</v>
      </c>
      <c r="K63" s="6" t="s">
        <v>111</v>
      </c>
    </row>
    <row r="64" customFormat="false" ht="23.85" hidden="false" customHeight="false" outlineLevel="0" collapsed="false">
      <c r="A64" s="4" t="s">
        <v>322</v>
      </c>
      <c r="B64" s="4" t="s">
        <v>286</v>
      </c>
      <c r="C64" s="6" t="s">
        <v>323</v>
      </c>
      <c r="D64" s="37" t="n">
        <v>1</v>
      </c>
      <c r="E64" s="4" t="s">
        <v>119</v>
      </c>
      <c r="F64" s="6" t="s">
        <v>226</v>
      </c>
      <c r="G64" s="4"/>
      <c r="H64" s="4"/>
      <c r="I64" s="4" t="s">
        <v>324</v>
      </c>
      <c r="J64" s="6" t="s">
        <v>290</v>
      </c>
      <c r="K64" s="6" t="s">
        <v>111</v>
      </c>
    </row>
    <row r="65" customFormat="false" ht="23.85" hidden="false" customHeight="false" outlineLevel="0" collapsed="false">
      <c r="A65" s="4" t="s">
        <v>325</v>
      </c>
      <c r="B65" s="4" t="s">
        <v>286</v>
      </c>
      <c r="C65" s="6" t="s">
        <v>326</v>
      </c>
      <c r="D65" s="37" t="n">
        <v>0.5625</v>
      </c>
      <c r="E65" s="4" t="s">
        <v>119</v>
      </c>
      <c r="F65" s="6" t="s">
        <v>226</v>
      </c>
      <c r="G65" s="4"/>
      <c r="H65" s="4"/>
      <c r="I65" s="4" t="s">
        <v>327</v>
      </c>
      <c r="J65" s="6" t="s">
        <v>290</v>
      </c>
      <c r="K65" s="6" t="s">
        <v>111</v>
      </c>
    </row>
    <row r="66" customFormat="false" ht="23.85" hidden="false" customHeight="false" outlineLevel="0" collapsed="false">
      <c r="A66" s="4" t="s">
        <v>328</v>
      </c>
      <c r="B66" s="4" t="s">
        <v>286</v>
      </c>
      <c r="C66" s="6" t="s">
        <v>329</v>
      </c>
      <c r="D66" s="37" t="n">
        <v>1</v>
      </c>
      <c r="E66" s="4" t="s">
        <v>119</v>
      </c>
      <c r="F66" s="4" t="s">
        <v>140</v>
      </c>
      <c r="G66" s="4" t="n">
        <v>1</v>
      </c>
      <c r="H66" s="4" t="n">
        <v>2</v>
      </c>
      <c r="I66" s="4" t="s">
        <v>330</v>
      </c>
      <c r="J66" s="6" t="s">
        <v>290</v>
      </c>
      <c r="K66" s="6" t="s">
        <v>111</v>
      </c>
    </row>
    <row r="67" customFormat="false" ht="23.85" hidden="false" customHeight="false" outlineLevel="0" collapsed="false">
      <c r="A67" s="4" t="s">
        <v>331</v>
      </c>
      <c r="B67" s="4" t="s">
        <v>286</v>
      </c>
      <c r="C67" s="6" t="s">
        <v>332</v>
      </c>
      <c r="D67" s="37" t="n">
        <v>1</v>
      </c>
      <c r="E67" s="4" t="s">
        <v>119</v>
      </c>
      <c r="F67" s="4" t="s">
        <v>140</v>
      </c>
      <c r="G67" s="4" t="n">
        <v>1</v>
      </c>
      <c r="H67" s="4" t="n">
        <v>2</v>
      </c>
      <c r="I67" s="4" t="s">
        <v>333</v>
      </c>
      <c r="J67" s="6" t="s">
        <v>290</v>
      </c>
      <c r="K67" s="6" t="s">
        <v>111</v>
      </c>
    </row>
    <row r="68" customFormat="false" ht="23.85" hidden="false" customHeight="false" outlineLevel="0" collapsed="false">
      <c r="A68" s="4" t="s">
        <v>334</v>
      </c>
      <c r="B68" s="4" t="s">
        <v>286</v>
      </c>
      <c r="C68" s="6" t="s">
        <v>335</v>
      </c>
      <c r="D68" s="37" t="n">
        <v>8</v>
      </c>
      <c r="E68" s="4" t="s">
        <v>317</v>
      </c>
      <c r="F68" s="4" t="s">
        <v>140</v>
      </c>
      <c r="G68" s="4" t="n">
        <v>4</v>
      </c>
      <c r="H68" s="4" t="n">
        <v>16</v>
      </c>
      <c r="I68" s="4" t="s">
        <v>336</v>
      </c>
      <c r="J68" s="6" t="s">
        <v>290</v>
      </c>
      <c r="K68" s="6" t="s">
        <v>111</v>
      </c>
    </row>
    <row r="69" customFormat="false" ht="23.85" hidden="false" customHeight="false" outlineLevel="0" collapsed="false">
      <c r="A69" s="4" t="s">
        <v>337</v>
      </c>
      <c r="B69" s="4" t="s">
        <v>286</v>
      </c>
      <c r="C69" s="6" t="s">
        <v>338</v>
      </c>
      <c r="D69" s="37" t="n">
        <v>4</v>
      </c>
      <c r="E69" s="4" t="s">
        <v>317</v>
      </c>
      <c r="F69" s="4" t="s">
        <v>224</v>
      </c>
      <c r="G69" s="4" t="n">
        <v>2</v>
      </c>
      <c r="H69" s="4" t="n">
        <v>8</v>
      </c>
      <c r="I69" s="4" t="s">
        <v>339</v>
      </c>
      <c r="J69" s="6" t="s">
        <v>290</v>
      </c>
      <c r="K69" s="6" t="s">
        <v>111</v>
      </c>
    </row>
    <row r="70" customFormat="false" ht="23.85" hidden="false" customHeight="false" outlineLevel="0" collapsed="false">
      <c r="A70" s="4" t="s">
        <v>340</v>
      </c>
      <c r="B70" s="4" t="s">
        <v>286</v>
      </c>
      <c r="C70" s="4" t="s">
        <v>341</v>
      </c>
      <c r="D70" s="37" t="n">
        <v>32</v>
      </c>
      <c r="E70" s="6" t="s">
        <v>342</v>
      </c>
      <c r="F70" s="4" t="s">
        <v>343</v>
      </c>
      <c r="G70" s="4"/>
      <c r="H70" s="4"/>
      <c r="I70" s="4" t="s">
        <v>344</v>
      </c>
      <c r="J70" s="6" t="s">
        <v>290</v>
      </c>
      <c r="K70" s="6" t="s">
        <v>111</v>
      </c>
    </row>
    <row r="71" customFormat="false" ht="23.85" hidden="false" customHeight="false" outlineLevel="0" collapsed="false">
      <c r="A71" s="4" t="s">
        <v>345</v>
      </c>
      <c r="B71" s="4" t="s">
        <v>286</v>
      </c>
      <c r="C71" s="4" t="s">
        <v>346</v>
      </c>
      <c r="D71" s="37" t="n">
        <v>72</v>
      </c>
      <c r="E71" s="6" t="s">
        <v>342</v>
      </c>
      <c r="F71" s="6" t="s">
        <v>226</v>
      </c>
      <c r="G71" s="4"/>
      <c r="H71" s="4"/>
      <c r="I71" s="4" t="s">
        <v>347</v>
      </c>
      <c r="J71" s="6" t="s">
        <v>290</v>
      </c>
      <c r="K71" s="6" t="s">
        <v>111</v>
      </c>
    </row>
    <row r="72" customFormat="false" ht="29.85" hidden="false" customHeight="false" outlineLevel="0" collapsed="false">
      <c r="A72" s="4" t="s">
        <v>348</v>
      </c>
      <c r="B72" s="4" t="s">
        <v>286</v>
      </c>
      <c r="C72" s="6" t="s">
        <v>349</v>
      </c>
      <c r="D72" s="37" t="n">
        <v>41</v>
      </c>
      <c r="E72" s="4" t="s">
        <v>350</v>
      </c>
      <c r="F72" s="6" t="s">
        <v>300</v>
      </c>
      <c r="G72" s="4" t="n">
        <v>38</v>
      </c>
      <c r="H72" s="4" t="n">
        <v>44</v>
      </c>
      <c r="I72" s="4" t="s">
        <v>351</v>
      </c>
      <c r="J72" s="6" t="s">
        <v>290</v>
      </c>
      <c r="K72" s="6" t="s">
        <v>111</v>
      </c>
    </row>
    <row r="73" customFormat="false" ht="23.85" hidden="false" customHeight="false" outlineLevel="0" collapsed="false">
      <c r="A73" s="4" t="s">
        <v>352</v>
      </c>
      <c r="B73" s="4" t="s">
        <v>286</v>
      </c>
      <c r="C73" s="6" t="s">
        <v>353</v>
      </c>
      <c r="D73" s="37" t="n">
        <v>132</v>
      </c>
      <c r="E73" s="4" t="s">
        <v>350</v>
      </c>
      <c r="F73" s="6" t="s">
        <v>226</v>
      </c>
      <c r="G73" s="4" t="n">
        <v>120</v>
      </c>
      <c r="H73" s="4" t="n">
        <v>140</v>
      </c>
      <c r="I73" s="4" t="s">
        <v>354</v>
      </c>
      <c r="J73" s="6" t="s">
        <v>290</v>
      </c>
      <c r="K73" s="6" t="s">
        <v>111</v>
      </c>
    </row>
    <row r="74" customFormat="false" ht="29.85" hidden="false" customHeight="false" outlineLevel="0" collapsed="false">
      <c r="A74" s="38" t="s">
        <v>355</v>
      </c>
      <c r="B74" s="38" t="s">
        <v>286</v>
      </c>
      <c r="C74" s="40" t="s">
        <v>356</v>
      </c>
      <c r="D74" s="39" t="n">
        <v>1.1</v>
      </c>
      <c r="E74" s="38" t="s">
        <v>357</v>
      </c>
      <c r="F74" s="40" t="s">
        <v>300</v>
      </c>
      <c r="G74" s="38" t="n">
        <v>0.9</v>
      </c>
      <c r="H74" s="38" t="n">
        <v>1.3</v>
      </c>
      <c r="I74" s="38" t="s">
        <v>358</v>
      </c>
      <c r="J74" s="40" t="s">
        <v>359</v>
      </c>
      <c r="K74" s="40" t="s">
        <v>124</v>
      </c>
    </row>
    <row r="75" customFormat="false" ht="29.85" hidden="false" customHeight="false" outlineLevel="0" collapsed="false">
      <c r="A75" s="38" t="s">
        <v>360</v>
      </c>
      <c r="B75" s="38" t="s">
        <v>286</v>
      </c>
      <c r="C75" s="40" t="s">
        <v>361</v>
      </c>
      <c r="D75" s="39" t="n">
        <v>3.1</v>
      </c>
      <c r="E75" s="38" t="s">
        <v>357</v>
      </c>
      <c r="F75" s="40" t="s">
        <v>300</v>
      </c>
      <c r="G75" s="38" t="n">
        <v>2.8</v>
      </c>
      <c r="H75" s="38" t="n">
        <v>3.4</v>
      </c>
      <c r="I75" s="38" t="s">
        <v>362</v>
      </c>
      <c r="J75" s="40" t="s">
        <v>359</v>
      </c>
      <c r="K75" s="40" t="s">
        <v>124</v>
      </c>
    </row>
    <row r="76" customFormat="false" ht="15" hidden="false" customHeight="false" outlineLevel="0" collapsed="false">
      <c r="A76" s="35" t="s">
        <v>363</v>
      </c>
      <c r="B76" s="36"/>
      <c r="C76" s="36"/>
      <c r="D76" s="36"/>
      <c r="E76" s="36"/>
      <c r="F76" s="36"/>
      <c r="G76" s="36"/>
      <c r="H76" s="36"/>
      <c r="I76" s="36"/>
      <c r="J76" s="36"/>
      <c r="K76" s="36"/>
    </row>
    <row r="77" customFormat="false" ht="29.85" hidden="false" customHeight="false" outlineLevel="0" collapsed="false">
      <c r="A77" s="4" t="s">
        <v>364</v>
      </c>
      <c r="B77" s="4" t="s">
        <v>365</v>
      </c>
      <c r="C77" s="6" t="s">
        <v>366</v>
      </c>
      <c r="D77" s="37" t="n">
        <v>13</v>
      </c>
      <c r="E77" s="4" t="s">
        <v>119</v>
      </c>
      <c r="F77" s="4" t="s">
        <v>108</v>
      </c>
      <c r="G77" s="4"/>
      <c r="H77" s="4"/>
      <c r="I77" s="4" t="s">
        <v>367</v>
      </c>
      <c r="J77" s="6" t="s">
        <v>368</v>
      </c>
      <c r="K77" s="6" t="s">
        <v>116</v>
      </c>
    </row>
    <row r="78" customFormat="false" ht="29.85" hidden="false" customHeight="false" outlineLevel="0" collapsed="false">
      <c r="A78" s="4" t="s">
        <v>369</v>
      </c>
      <c r="B78" s="4" t="s">
        <v>365</v>
      </c>
      <c r="C78" s="6" t="s">
        <v>370</v>
      </c>
      <c r="D78" s="37" t="n">
        <v>49</v>
      </c>
      <c r="E78" s="4" t="s">
        <v>119</v>
      </c>
      <c r="F78" s="4" t="s">
        <v>108</v>
      </c>
      <c r="G78" s="4"/>
      <c r="H78" s="4"/>
      <c r="I78" s="4" t="s">
        <v>371</v>
      </c>
      <c r="J78" s="6" t="s">
        <v>368</v>
      </c>
      <c r="K78" s="6" t="s">
        <v>116</v>
      </c>
    </row>
    <row r="79" customFormat="false" ht="29.85" hidden="false" customHeight="false" outlineLevel="0" collapsed="false">
      <c r="A79" s="38" t="s">
        <v>372</v>
      </c>
      <c r="B79" s="38" t="s">
        <v>365</v>
      </c>
      <c r="C79" s="40" t="s">
        <v>373</v>
      </c>
      <c r="D79" s="39" t="n">
        <v>180</v>
      </c>
      <c r="E79" s="38" t="s">
        <v>119</v>
      </c>
      <c r="F79" s="38" t="s">
        <v>108</v>
      </c>
      <c r="G79" s="38"/>
      <c r="H79" s="38"/>
      <c r="I79" s="38" t="s">
        <v>374</v>
      </c>
      <c r="J79" s="40" t="s">
        <v>368</v>
      </c>
      <c r="K79" s="40" t="s">
        <v>124</v>
      </c>
    </row>
    <row r="80" customFormat="false" ht="23.85" hidden="false" customHeight="false" outlineLevel="0" collapsed="false">
      <c r="A80" s="4" t="s">
        <v>375</v>
      </c>
      <c r="B80" s="4" t="s">
        <v>365</v>
      </c>
      <c r="C80" s="6" t="s">
        <v>376</v>
      </c>
      <c r="D80" s="37" t="n">
        <v>43</v>
      </c>
      <c r="E80" s="6" t="s">
        <v>377</v>
      </c>
      <c r="F80" s="4" t="s">
        <v>108</v>
      </c>
      <c r="G80" s="4"/>
      <c r="H80" s="4"/>
      <c r="I80" s="4" t="s">
        <v>378</v>
      </c>
      <c r="J80" s="6" t="s">
        <v>379</v>
      </c>
      <c r="K80" s="6" t="s">
        <v>116</v>
      </c>
    </row>
    <row r="81" customFormat="false" ht="23.85" hidden="false" customHeight="false" outlineLevel="0" collapsed="false">
      <c r="A81" s="4" t="s">
        <v>380</v>
      </c>
      <c r="B81" s="4" t="s">
        <v>365</v>
      </c>
      <c r="C81" s="6" t="s">
        <v>381</v>
      </c>
      <c r="D81" s="37" t="n">
        <v>61</v>
      </c>
      <c r="E81" s="6" t="s">
        <v>377</v>
      </c>
      <c r="F81" s="4" t="s">
        <v>108</v>
      </c>
      <c r="G81" s="4"/>
      <c r="H81" s="4"/>
      <c r="I81" s="4" t="s">
        <v>382</v>
      </c>
      <c r="J81" s="6" t="s">
        <v>379</v>
      </c>
      <c r="K81" s="6" t="s">
        <v>116</v>
      </c>
    </row>
    <row r="82" customFormat="false" ht="23.85" hidden="false" customHeight="false" outlineLevel="0" collapsed="false">
      <c r="A82" s="4" t="s">
        <v>383</v>
      </c>
      <c r="B82" s="4" t="s">
        <v>365</v>
      </c>
      <c r="C82" s="6" t="s">
        <v>384</v>
      </c>
      <c r="D82" s="37" t="n">
        <v>100</v>
      </c>
      <c r="E82" s="6" t="s">
        <v>377</v>
      </c>
      <c r="F82" s="4" t="s">
        <v>108</v>
      </c>
      <c r="G82" s="4"/>
      <c r="H82" s="4"/>
      <c r="I82" s="4" t="s">
        <v>385</v>
      </c>
      <c r="J82" s="6" t="s">
        <v>379</v>
      </c>
      <c r="K82" s="6" t="s">
        <v>116</v>
      </c>
    </row>
    <row r="83" customFormat="false" ht="23.85" hidden="false" customHeight="false" outlineLevel="0" collapsed="false">
      <c r="A83" s="4" t="s">
        <v>386</v>
      </c>
      <c r="B83" s="4" t="s">
        <v>365</v>
      </c>
      <c r="C83" s="4" t="s">
        <v>387</v>
      </c>
      <c r="D83" s="37" t="n">
        <v>4096</v>
      </c>
      <c r="E83" s="4"/>
      <c r="F83" s="4" t="s">
        <v>108</v>
      </c>
      <c r="G83" s="4"/>
      <c r="H83" s="4"/>
      <c r="I83" s="4" t="s">
        <v>388</v>
      </c>
      <c r="J83" s="6" t="s">
        <v>379</v>
      </c>
      <c r="K83" s="6" t="s">
        <v>116</v>
      </c>
    </row>
    <row r="84" customFormat="false" ht="23.85" hidden="false" customHeight="false" outlineLevel="0" collapsed="false">
      <c r="A84" s="4" t="s">
        <v>389</v>
      </c>
      <c r="B84" s="4" t="s">
        <v>365</v>
      </c>
      <c r="C84" s="4" t="s">
        <v>390</v>
      </c>
      <c r="D84" s="37" t="n">
        <v>7168</v>
      </c>
      <c r="E84" s="4"/>
      <c r="F84" s="4" t="s">
        <v>108</v>
      </c>
      <c r="G84" s="4"/>
      <c r="H84" s="4"/>
      <c r="I84" s="4" t="s">
        <v>391</v>
      </c>
      <c r="J84" s="6" t="s">
        <v>379</v>
      </c>
      <c r="K84" s="6" t="s">
        <v>116</v>
      </c>
    </row>
    <row r="85" customFormat="false" ht="23.85" hidden="false" customHeight="false" outlineLevel="0" collapsed="false">
      <c r="A85" s="4" t="s">
        <v>392</v>
      </c>
      <c r="B85" s="4" t="s">
        <v>365</v>
      </c>
      <c r="C85" s="4" t="s">
        <v>393</v>
      </c>
      <c r="D85" s="37" t="n">
        <v>12288</v>
      </c>
      <c r="E85" s="4"/>
      <c r="F85" s="4" t="s">
        <v>108</v>
      </c>
      <c r="G85" s="4"/>
      <c r="H85" s="4"/>
      <c r="I85" s="4" t="s">
        <v>394</v>
      </c>
      <c r="J85" s="6" t="s">
        <v>379</v>
      </c>
      <c r="K85" s="6" t="s">
        <v>116</v>
      </c>
    </row>
    <row r="86" customFormat="false" ht="23.85" hidden="false" customHeight="false" outlineLevel="0" collapsed="false">
      <c r="A86" s="4" t="s">
        <v>395</v>
      </c>
      <c r="B86" s="4" t="s">
        <v>365</v>
      </c>
      <c r="C86" s="6" t="s">
        <v>396</v>
      </c>
      <c r="D86" s="37" t="n">
        <v>6</v>
      </c>
      <c r="E86" s="4"/>
      <c r="F86" s="4" t="s">
        <v>108</v>
      </c>
      <c r="G86" s="4"/>
      <c r="H86" s="4"/>
      <c r="I86" s="4" t="s">
        <v>397</v>
      </c>
      <c r="J86" s="6" t="s">
        <v>379</v>
      </c>
      <c r="K86" s="6" t="s">
        <v>116</v>
      </c>
    </row>
    <row r="87" customFormat="false" ht="23.85" hidden="false" customHeight="false" outlineLevel="0" collapsed="false">
      <c r="A87" s="4" t="s">
        <v>398</v>
      </c>
      <c r="B87" s="4" t="s">
        <v>365</v>
      </c>
      <c r="C87" s="6" t="s">
        <v>399</v>
      </c>
      <c r="D87" s="37" t="n">
        <v>6</v>
      </c>
      <c r="E87" s="4"/>
      <c r="F87" s="4" t="s">
        <v>108</v>
      </c>
      <c r="G87" s="4"/>
      <c r="H87" s="4"/>
      <c r="I87" s="4" t="s">
        <v>400</v>
      </c>
      <c r="J87" s="6" t="s">
        <v>379</v>
      </c>
      <c r="K87" s="6" t="s">
        <v>116</v>
      </c>
    </row>
    <row r="88" customFormat="false" ht="23.85" hidden="false" customHeight="false" outlineLevel="0" collapsed="false">
      <c r="A88" s="4" t="s">
        <v>401</v>
      </c>
      <c r="B88" s="4" t="s">
        <v>365</v>
      </c>
      <c r="C88" s="6" t="s">
        <v>402</v>
      </c>
      <c r="D88" s="37" t="n">
        <v>16</v>
      </c>
      <c r="E88" s="4"/>
      <c r="F88" s="4" t="s">
        <v>108</v>
      </c>
      <c r="G88" s="4"/>
      <c r="H88" s="4"/>
      <c r="I88" s="4" t="s">
        <v>403</v>
      </c>
      <c r="J88" s="6" t="s">
        <v>379</v>
      </c>
      <c r="K88" s="6" t="s">
        <v>116</v>
      </c>
    </row>
    <row r="89" customFormat="false" ht="23.85" hidden="false" customHeight="false" outlineLevel="0" collapsed="false">
      <c r="A89" s="4" t="s">
        <v>404</v>
      </c>
      <c r="B89" s="4" t="s">
        <v>365</v>
      </c>
      <c r="C89" s="6" t="s">
        <v>405</v>
      </c>
      <c r="D89" s="37" t="n">
        <v>5.412</v>
      </c>
      <c r="E89" s="4" t="s">
        <v>119</v>
      </c>
      <c r="F89" s="4" t="s">
        <v>108</v>
      </c>
      <c r="G89" s="4"/>
      <c r="H89" s="4"/>
      <c r="I89" s="4" t="s">
        <v>406</v>
      </c>
      <c r="J89" s="6" t="s">
        <v>379</v>
      </c>
      <c r="K89" s="6" t="s">
        <v>116</v>
      </c>
    </row>
    <row r="90" customFormat="false" ht="23.85" hidden="false" customHeight="false" outlineLevel="0" collapsed="false">
      <c r="A90" s="4" t="s">
        <v>407</v>
      </c>
      <c r="B90" s="4" t="s">
        <v>365</v>
      </c>
      <c r="C90" s="6" t="s">
        <v>408</v>
      </c>
      <c r="D90" s="37" t="n">
        <v>20.2777777777778</v>
      </c>
      <c r="E90" s="4" t="s">
        <v>119</v>
      </c>
      <c r="F90" s="4" t="s">
        <v>108</v>
      </c>
      <c r="G90" s="4"/>
      <c r="H90" s="4"/>
      <c r="I90" s="4" t="s">
        <v>409</v>
      </c>
      <c r="J90" s="6" t="s">
        <v>379</v>
      </c>
      <c r="K90" s="6" t="s">
        <v>116</v>
      </c>
    </row>
    <row r="91" customFormat="false" ht="23.85" hidden="false" customHeight="false" outlineLevel="0" collapsed="false">
      <c r="A91" s="38" t="s">
        <v>410</v>
      </c>
      <c r="B91" s="38" t="s">
        <v>365</v>
      </c>
      <c r="C91" s="40" t="s">
        <v>411</v>
      </c>
      <c r="D91" s="39" t="n">
        <v>49.0725806451613</v>
      </c>
      <c r="E91" s="38" t="s">
        <v>119</v>
      </c>
      <c r="F91" s="38" t="s">
        <v>108</v>
      </c>
      <c r="G91" s="38"/>
      <c r="H91" s="38"/>
      <c r="I91" s="38" t="s">
        <v>412</v>
      </c>
      <c r="J91" s="40" t="s">
        <v>379</v>
      </c>
      <c r="K91" s="40" t="s">
        <v>124</v>
      </c>
    </row>
    <row r="92" customFormat="false" ht="15" hidden="false" customHeight="false" outlineLevel="0" collapsed="false">
      <c r="A92" s="4" t="s">
        <v>413</v>
      </c>
      <c r="B92" s="4" t="s">
        <v>365</v>
      </c>
      <c r="C92" s="6" t="s">
        <v>414</v>
      </c>
      <c r="D92" s="37" t="n">
        <v>278.588</v>
      </c>
      <c r="E92" s="4" t="s">
        <v>119</v>
      </c>
      <c r="F92" s="4" t="s">
        <v>108</v>
      </c>
      <c r="G92" s="4"/>
      <c r="H92" s="4"/>
      <c r="I92" s="4" t="s">
        <v>415</v>
      </c>
      <c r="J92" s="6" t="s">
        <v>379</v>
      </c>
      <c r="K92" s="6" t="s">
        <v>116</v>
      </c>
    </row>
    <row r="93" customFormat="false" ht="15" hidden="false" customHeight="false" outlineLevel="0" collapsed="false">
      <c r="A93" s="4" t="s">
        <v>416</v>
      </c>
      <c r="B93" s="4" t="s">
        <v>365</v>
      </c>
      <c r="C93" s="6" t="s">
        <v>417</v>
      </c>
      <c r="D93" s="37" t="n">
        <v>1579.72222222222</v>
      </c>
      <c r="E93" s="4" t="s">
        <v>119</v>
      </c>
      <c r="F93" s="4" t="s">
        <v>108</v>
      </c>
      <c r="G93" s="4"/>
      <c r="H93" s="4"/>
      <c r="I93" s="4" t="s">
        <v>418</v>
      </c>
      <c r="J93" s="6" t="s">
        <v>379</v>
      </c>
      <c r="K93" s="6" t="s">
        <v>116</v>
      </c>
    </row>
    <row r="94" customFormat="false" ht="15" hidden="false" customHeight="false" outlineLevel="0" collapsed="false">
      <c r="A94" s="38" t="s">
        <v>419</v>
      </c>
      <c r="B94" s="38" t="s">
        <v>365</v>
      </c>
      <c r="C94" s="40" t="s">
        <v>420</v>
      </c>
      <c r="D94" s="39" t="n">
        <v>3950.92741935484</v>
      </c>
      <c r="E94" s="38" t="s">
        <v>119</v>
      </c>
      <c r="F94" s="38" t="s">
        <v>108</v>
      </c>
      <c r="G94" s="38"/>
      <c r="H94" s="38"/>
      <c r="I94" s="38" t="s">
        <v>421</v>
      </c>
      <c r="J94" s="40" t="s">
        <v>379</v>
      </c>
      <c r="K94" s="40" t="s">
        <v>124</v>
      </c>
    </row>
    <row r="95" customFormat="false" ht="15" hidden="false" customHeight="false" outlineLevel="0" collapsed="false">
      <c r="A95" s="4" t="s">
        <v>422</v>
      </c>
      <c r="B95" s="4" t="s">
        <v>365</v>
      </c>
      <c r="C95" s="4" t="s">
        <v>423</v>
      </c>
      <c r="D95" s="37" t="n">
        <v>2795</v>
      </c>
      <c r="E95" s="4" t="s">
        <v>119</v>
      </c>
      <c r="F95" s="4" t="s">
        <v>108</v>
      </c>
      <c r="G95" s="4"/>
      <c r="H95" s="4"/>
      <c r="I95" s="4" t="s">
        <v>424</v>
      </c>
      <c r="J95" s="6" t="s">
        <v>379</v>
      </c>
      <c r="K95" s="6" t="s">
        <v>116</v>
      </c>
    </row>
    <row r="96" customFormat="false" ht="15" hidden="false" customHeight="false" outlineLevel="0" collapsed="false">
      <c r="A96" s="4" t="s">
        <v>425</v>
      </c>
      <c r="B96" s="4" t="s">
        <v>365</v>
      </c>
      <c r="C96" s="4" t="s">
        <v>426</v>
      </c>
      <c r="D96" s="37" t="n">
        <v>3965</v>
      </c>
      <c r="E96" s="4" t="s">
        <v>119</v>
      </c>
      <c r="F96" s="4" t="s">
        <v>108</v>
      </c>
      <c r="G96" s="4"/>
      <c r="H96" s="4"/>
      <c r="I96" s="4" t="s">
        <v>427</v>
      </c>
      <c r="J96" s="6" t="s">
        <v>379</v>
      </c>
      <c r="K96" s="6" t="s">
        <v>116</v>
      </c>
    </row>
    <row r="97" customFormat="false" ht="15" hidden="false" customHeight="false" outlineLevel="0" collapsed="false">
      <c r="A97" s="4" t="s">
        <v>428</v>
      </c>
      <c r="B97" s="4" t="s">
        <v>365</v>
      </c>
      <c r="C97" s="4" t="s">
        <v>429</v>
      </c>
      <c r="D97" s="37" t="n">
        <v>57600</v>
      </c>
      <c r="E97" s="4" t="s">
        <v>119</v>
      </c>
      <c r="F97" s="4" t="s">
        <v>108</v>
      </c>
      <c r="G97" s="4"/>
      <c r="H97" s="4"/>
      <c r="I97" s="4" t="s">
        <v>430</v>
      </c>
      <c r="J97" s="6" t="s">
        <v>379</v>
      </c>
      <c r="K97" s="6" t="s">
        <v>116</v>
      </c>
    </row>
    <row r="98" customFormat="false" ht="15" hidden="false" customHeight="false" outlineLevel="0" collapsed="false">
      <c r="A98" s="4" t="s">
        <v>431</v>
      </c>
      <c r="B98" s="4" t="s">
        <v>365</v>
      </c>
      <c r="C98" s="6" t="s">
        <v>432</v>
      </c>
      <c r="D98" s="37" t="n">
        <v>5636096</v>
      </c>
      <c r="E98" s="4" t="s">
        <v>433</v>
      </c>
      <c r="F98" s="4" t="s">
        <v>108</v>
      </c>
      <c r="G98" s="4"/>
      <c r="H98" s="4"/>
      <c r="I98" s="4" t="s">
        <v>434</v>
      </c>
      <c r="J98" s="6" t="s">
        <v>379</v>
      </c>
      <c r="K98" s="6" t="s">
        <v>116</v>
      </c>
    </row>
    <row r="99" customFormat="false" ht="15" hidden="false" customHeight="false" outlineLevel="0" collapsed="false">
      <c r="A99" s="4" t="s">
        <v>435</v>
      </c>
      <c r="B99" s="4" t="s">
        <v>365</v>
      </c>
      <c r="C99" s="6" t="s">
        <v>436</v>
      </c>
      <c r="D99" s="37" t="n">
        <v>15990784</v>
      </c>
      <c r="E99" s="4" t="s">
        <v>433</v>
      </c>
      <c r="F99" s="4" t="s">
        <v>108</v>
      </c>
      <c r="G99" s="4"/>
      <c r="H99" s="4"/>
      <c r="I99" s="4" t="s">
        <v>437</v>
      </c>
      <c r="J99" s="6" t="s">
        <v>379</v>
      </c>
      <c r="K99" s="6" t="s">
        <v>116</v>
      </c>
    </row>
    <row r="100" customFormat="false" ht="15" hidden="false" customHeight="false" outlineLevel="0" collapsed="false">
      <c r="A100" s="4" t="s">
        <v>438</v>
      </c>
      <c r="B100" s="4" t="s">
        <v>365</v>
      </c>
      <c r="C100" s="6" t="s">
        <v>439</v>
      </c>
      <c r="D100" s="37" t="n">
        <v>4915200</v>
      </c>
      <c r="E100" s="4" t="s">
        <v>433</v>
      </c>
      <c r="F100" s="4" t="s">
        <v>108</v>
      </c>
      <c r="G100" s="4"/>
      <c r="H100" s="4"/>
      <c r="I100" s="4" t="s">
        <v>440</v>
      </c>
      <c r="J100" s="6" t="s">
        <v>379</v>
      </c>
      <c r="K100" s="6" t="s">
        <v>116</v>
      </c>
    </row>
    <row r="101" customFormat="false" ht="15" hidden="false" customHeight="false" outlineLevel="0" collapsed="false">
      <c r="A101" s="4" t="s">
        <v>441</v>
      </c>
      <c r="B101" s="4" t="s">
        <v>365</v>
      </c>
      <c r="C101" s="6" t="s">
        <v>442</v>
      </c>
      <c r="D101" s="37" t="n">
        <v>0.512</v>
      </c>
      <c r="E101" s="4" t="s">
        <v>121</v>
      </c>
      <c r="F101" s="4" t="s">
        <v>108</v>
      </c>
      <c r="G101" s="4"/>
      <c r="H101" s="4"/>
      <c r="I101" s="4" t="s">
        <v>443</v>
      </c>
      <c r="J101" s="6" t="s">
        <v>379</v>
      </c>
      <c r="K101" s="6" t="s">
        <v>116</v>
      </c>
    </row>
    <row r="102" customFormat="false" ht="15" hidden="false" customHeight="false" outlineLevel="0" collapsed="false">
      <c r="A102" s="4" t="s">
        <v>444</v>
      </c>
      <c r="B102" s="4" t="s">
        <v>365</v>
      </c>
      <c r="C102" s="6" t="s">
        <v>445</v>
      </c>
      <c r="D102" s="37" t="n">
        <v>0.492</v>
      </c>
      <c r="E102" s="4" t="s">
        <v>121</v>
      </c>
      <c r="F102" s="4" t="s">
        <v>108</v>
      </c>
      <c r="G102" s="4"/>
      <c r="H102" s="4"/>
      <c r="I102" s="4" t="s">
        <v>446</v>
      </c>
      <c r="J102" s="6" t="s">
        <v>379</v>
      </c>
      <c r="K102" s="6" t="s">
        <v>116</v>
      </c>
    </row>
    <row r="103" customFormat="false" ht="15" hidden="false" customHeight="false" outlineLevel="0" collapsed="false">
      <c r="A103" s="4" t="s">
        <v>447</v>
      </c>
      <c r="B103" s="4" t="s">
        <v>365</v>
      </c>
      <c r="C103" s="6" t="s">
        <v>448</v>
      </c>
      <c r="D103" s="37" t="n">
        <v>1</v>
      </c>
      <c r="E103" s="4" t="s">
        <v>121</v>
      </c>
      <c r="F103" s="4" t="s">
        <v>108</v>
      </c>
      <c r="G103" s="4"/>
      <c r="H103" s="4"/>
      <c r="I103" s="4" t="s">
        <v>449</v>
      </c>
      <c r="J103" s="6" t="s">
        <v>379</v>
      </c>
      <c r="K103" s="6" t="s">
        <v>116</v>
      </c>
    </row>
    <row r="104" customFormat="false" ht="23.85" hidden="false" customHeight="false" outlineLevel="0" collapsed="false">
      <c r="A104" s="4" t="s">
        <v>450</v>
      </c>
      <c r="B104" s="4" t="s">
        <v>365</v>
      </c>
      <c r="C104" s="6" t="s">
        <v>451</v>
      </c>
      <c r="D104" s="37" t="n">
        <v>4224</v>
      </c>
      <c r="E104" s="4" t="s">
        <v>209</v>
      </c>
      <c r="F104" s="4" t="s">
        <v>108</v>
      </c>
      <c r="G104" s="4"/>
      <c r="H104" s="4"/>
      <c r="I104" s="4" t="s">
        <v>452</v>
      </c>
      <c r="J104" s="6" t="s">
        <v>379</v>
      </c>
      <c r="K104" s="6" t="s">
        <v>116</v>
      </c>
    </row>
    <row r="105" customFormat="false" ht="23.85" hidden="false" customHeight="false" outlineLevel="0" collapsed="false">
      <c r="A105" s="4" t="s">
        <v>453</v>
      </c>
      <c r="B105" s="4" t="s">
        <v>365</v>
      </c>
      <c r="C105" s="6" t="s">
        <v>454</v>
      </c>
      <c r="D105" s="37" t="n">
        <v>4224</v>
      </c>
      <c r="E105" s="4" t="s">
        <v>209</v>
      </c>
      <c r="F105" s="4" t="s">
        <v>108</v>
      </c>
      <c r="G105" s="4"/>
      <c r="H105" s="4"/>
      <c r="I105" s="4" t="s">
        <v>455</v>
      </c>
      <c r="J105" s="6" t="s">
        <v>379</v>
      </c>
      <c r="K105" s="6" t="s">
        <v>116</v>
      </c>
    </row>
    <row r="106" customFormat="false" ht="23.85" hidden="false" customHeight="false" outlineLevel="0" collapsed="false">
      <c r="A106" s="4" t="s">
        <v>456</v>
      </c>
      <c r="B106" s="4" t="s">
        <v>365</v>
      </c>
      <c r="C106" s="6" t="s">
        <v>457</v>
      </c>
      <c r="D106" s="37" t="n">
        <v>0</v>
      </c>
      <c r="E106" s="4" t="s">
        <v>209</v>
      </c>
      <c r="F106" s="4" t="s">
        <v>108</v>
      </c>
      <c r="G106" s="4"/>
      <c r="H106" s="4"/>
      <c r="I106" s="4" t="s">
        <v>458</v>
      </c>
      <c r="J106" s="6" t="s">
        <v>379</v>
      </c>
      <c r="K106" s="6" t="s">
        <v>116</v>
      </c>
    </row>
    <row r="107" customFormat="false" ht="23.85" hidden="false" customHeight="false" outlineLevel="0" collapsed="false">
      <c r="A107" s="4" t="s">
        <v>459</v>
      </c>
      <c r="B107" s="4" t="s">
        <v>365</v>
      </c>
      <c r="C107" s="6" t="s">
        <v>460</v>
      </c>
      <c r="D107" s="37" t="n">
        <v>128</v>
      </c>
      <c r="E107" s="4" t="s">
        <v>29</v>
      </c>
      <c r="F107" s="4" t="s">
        <v>108</v>
      </c>
      <c r="G107" s="4"/>
      <c r="H107" s="4"/>
      <c r="I107" s="4" t="s">
        <v>461</v>
      </c>
      <c r="J107" s="6" t="s">
        <v>379</v>
      </c>
      <c r="K107" s="6" t="s">
        <v>116</v>
      </c>
    </row>
    <row r="108" customFormat="false" ht="23.85" hidden="false" customHeight="false" outlineLevel="0" collapsed="false">
      <c r="A108" s="4" t="s">
        <v>462</v>
      </c>
      <c r="B108" s="4" t="s">
        <v>365</v>
      </c>
      <c r="C108" s="6" t="s">
        <v>463</v>
      </c>
      <c r="D108" s="37" t="n">
        <v>128</v>
      </c>
      <c r="E108" s="4" t="s">
        <v>29</v>
      </c>
      <c r="F108" s="4" t="s">
        <v>108</v>
      </c>
      <c r="G108" s="4"/>
      <c r="H108" s="4"/>
      <c r="I108" s="4" t="s">
        <v>464</v>
      </c>
      <c r="J108" s="6" t="s">
        <v>379</v>
      </c>
      <c r="K108" s="6" t="s">
        <v>116</v>
      </c>
    </row>
    <row r="109" customFormat="false" ht="23.85" hidden="false" customHeight="false" outlineLevel="0" collapsed="false">
      <c r="A109" s="4" t="s">
        <v>465</v>
      </c>
      <c r="B109" s="4" t="s">
        <v>365</v>
      </c>
      <c r="C109" s="6" t="s">
        <v>466</v>
      </c>
      <c r="D109" s="37" t="n">
        <v>1</v>
      </c>
      <c r="E109" s="4" t="s">
        <v>29</v>
      </c>
      <c r="F109" s="4" t="s">
        <v>108</v>
      </c>
      <c r="G109" s="4"/>
      <c r="H109" s="4"/>
      <c r="I109" s="4" t="s">
        <v>467</v>
      </c>
      <c r="J109" s="6" t="s">
        <v>379</v>
      </c>
      <c r="K109" s="6" t="s">
        <v>116</v>
      </c>
    </row>
    <row r="110" customFormat="false" ht="23.85" hidden="false" customHeight="false" outlineLevel="0" collapsed="false">
      <c r="A110" s="4" t="s">
        <v>468</v>
      </c>
      <c r="B110" s="4" t="s">
        <v>365</v>
      </c>
      <c r="C110" s="6" t="s">
        <v>469</v>
      </c>
      <c r="D110" s="37" t="n">
        <v>128</v>
      </c>
      <c r="E110" s="4" t="s">
        <v>209</v>
      </c>
      <c r="F110" s="4" t="s">
        <v>108</v>
      </c>
      <c r="G110" s="4"/>
      <c r="H110" s="4"/>
      <c r="I110" s="4" t="s">
        <v>470</v>
      </c>
      <c r="J110" s="6" t="s">
        <v>379</v>
      </c>
      <c r="K110" s="6" t="s">
        <v>116</v>
      </c>
    </row>
    <row r="111" customFormat="false" ht="23.85" hidden="false" customHeight="false" outlineLevel="0" collapsed="false">
      <c r="A111" s="4" t="s">
        <v>471</v>
      </c>
      <c r="B111" s="4" t="s">
        <v>365</v>
      </c>
      <c r="C111" s="6" t="s">
        <v>472</v>
      </c>
      <c r="D111" s="37" t="n">
        <v>128</v>
      </c>
      <c r="E111" s="4" t="s">
        <v>209</v>
      </c>
      <c r="F111" s="4" t="s">
        <v>108</v>
      </c>
      <c r="G111" s="4"/>
      <c r="H111" s="4"/>
      <c r="I111" s="4" t="s">
        <v>473</v>
      </c>
      <c r="J111" s="6" t="s">
        <v>379</v>
      </c>
      <c r="K111" s="6" t="s">
        <v>116</v>
      </c>
    </row>
    <row r="112" customFormat="false" ht="23.85" hidden="false" customHeight="false" outlineLevel="0" collapsed="false">
      <c r="A112" s="4" t="s">
        <v>474</v>
      </c>
      <c r="B112" s="4" t="s">
        <v>365</v>
      </c>
      <c r="C112" s="6" t="s">
        <v>475</v>
      </c>
      <c r="D112" s="37" t="n">
        <v>0</v>
      </c>
      <c r="E112" s="4" t="s">
        <v>209</v>
      </c>
      <c r="F112" s="4" t="s">
        <v>108</v>
      </c>
      <c r="G112" s="4"/>
      <c r="H112" s="4"/>
      <c r="I112" s="4" t="s">
        <v>476</v>
      </c>
      <c r="J112" s="6" t="s">
        <v>379</v>
      </c>
      <c r="K112" s="6" t="s">
        <v>116</v>
      </c>
    </row>
    <row r="113" customFormat="false" ht="15" hidden="false" customHeight="false" outlineLevel="0" collapsed="false">
      <c r="A113" s="35" t="s">
        <v>477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36"/>
    </row>
    <row r="114" customFormat="false" ht="23.85" hidden="false" customHeight="false" outlineLevel="0" collapsed="false">
      <c r="A114" s="4" t="s">
        <v>478</v>
      </c>
      <c r="B114" s="4" t="s">
        <v>479</v>
      </c>
      <c r="C114" s="4" t="s">
        <v>480</v>
      </c>
      <c r="D114" s="37" t="n">
        <v>84.3000593119602</v>
      </c>
      <c r="E114" s="4" t="s">
        <v>481</v>
      </c>
      <c r="F114" s="4" t="s">
        <v>108</v>
      </c>
      <c r="G114" s="4"/>
      <c r="H114" s="4"/>
      <c r="I114" s="4" t="s">
        <v>482</v>
      </c>
      <c r="J114" s="4" t="s">
        <v>483</v>
      </c>
      <c r="K114" s="6" t="s">
        <v>111</v>
      </c>
    </row>
    <row r="115" customFormat="false" ht="23.85" hidden="false" customHeight="false" outlineLevel="0" collapsed="false">
      <c r="A115" s="4" t="s">
        <v>484</v>
      </c>
      <c r="B115" s="4" t="s">
        <v>479</v>
      </c>
      <c r="C115" s="4" t="s">
        <v>485</v>
      </c>
      <c r="D115" s="37" t="n">
        <v>43.31166124729</v>
      </c>
      <c r="E115" s="4" t="s">
        <v>481</v>
      </c>
      <c r="F115" s="4" t="s">
        <v>108</v>
      </c>
      <c r="G115" s="4"/>
      <c r="H115" s="4"/>
      <c r="I115" s="4" t="s">
        <v>486</v>
      </c>
      <c r="J115" s="4" t="s">
        <v>483</v>
      </c>
      <c r="K115" s="6" t="s">
        <v>111</v>
      </c>
    </row>
    <row r="116" customFormat="false" ht="23.85" hidden="false" customHeight="false" outlineLevel="0" collapsed="false">
      <c r="A116" s="4" t="s">
        <v>487</v>
      </c>
      <c r="B116" s="4" t="s">
        <v>479</v>
      </c>
      <c r="C116" s="4" t="s">
        <v>488</v>
      </c>
      <c r="D116" s="37" t="n">
        <v>40.8313604965595</v>
      </c>
      <c r="E116" s="4" t="s">
        <v>481</v>
      </c>
      <c r="F116" s="4" t="s">
        <v>108</v>
      </c>
      <c r="G116" s="4"/>
      <c r="H116" s="4"/>
      <c r="I116" s="4" t="s">
        <v>489</v>
      </c>
      <c r="J116" s="4" t="s">
        <v>483</v>
      </c>
      <c r="K116" s="6" t="s">
        <v>111</v>
      </c>
    </row>
    <row r="117" customFormat="false" ht="23.85" hidden="false" customHeight="false" outlineLevel="0" collapsed="false">
      <c r="A117" s="4" t="s">
        <v>490</v>
      </c>
      <c r="B117" s="4" t="s">
        <v>479</v>
      </c>
      <c r="C117" s="4" t="s">
        <v>491</v>
      </c>
      <c r="D117" s="37" t="n">
        <v>2</v>
      </c>
      <c r="E117" s="4" t="s">
        <v>492</v>
      </c>
      <c r="F117" s="4" t="s">
        <v>108</v>
      </c>
      <c r="G117" s="4"/>
      <c r="H117" s="4"/>
      <c r="I117" s="4" t="s">
        <v>493</v>
      </c>
      <c r="J117" s="4"/>
      <c r="K117" s="6" t="s">
        <v>111</v>
      </c>
    </row>
    <row r="118" customFormat="false" ht="23.85" hidden="false" customHeight="false" outlineLevel="0" collapsed="false">
      <c r="A118" s="4" t="s">
        <v>494</v>
      </c>
      <c r="B118" s="4" t="s">
        <v>479</v>
      </c>
      <c r="C118" s="4" t="s">
        <v>495</v>
      </c>
      <c r="D118" s="37" t="n">
        <v>3</v>
      </c>
      <c r="E118" s="4" t="s">
        <v>492</v>
      </c>
      <c r="F118" s="4" t="s">
        <v>108</v>
      </c>
      <c r="G118" s="4"/>
      <c r="H118" s="4"/>
      <c r="I118" s="4" t="s">
        <v>496</v>
      </c>
      <c r="J118" s="4"/>
      <c r="K118" s="6" t="s">
        <v>111</v>
      </c>
    </row>
    <row r="119" customFormat="false" ht="23.85" hidden="false" customHeight="false" outlineLevel="0" collapsed="false">
      <c r="A119" s="4" t="s">
        <v>497</v>
      </c>
      <c r="B119" s="4" t="s">
        <v>479</v>
      </c>
      <c r="C119" s="4" t="s">
        <v>498</v>
      </c>
      <c r="D119" s="37" t="n">
        <v>5</v>
      </c>
      <c r="E119" s="4" t="s">
        <v>492</v>
      </c>
      <c r="F119" s="4" t="s">
        <v>108</v>
      </c>
      <c r="G119" s="4"/>
      <c r="H119" s="4"/>
      <c r="I119" s="4" t="s">
        <v>499</v>
      </c>
      <c r="J119" s="4"/>
      <c r="K119" s="6" t="s">
        <v>111</v>
      </c>
    </row>
    <row r="120" customFormat="false" ht="23.85" hidden="false" customHeight="false" outlineLevel="0" collapsed="false">
      <c r="A120" s="4" t="s">
        <v>500</v>
      </c>
      <c r="B120" s="4" t="s">
        <v>479</v>
      </c>
      <c r="C120" s="6" t="s">
        <v>501</v>
      </c>
      <c r="D120" s="37" t="n">
        <v>8192</v>
      </c>
      <c r="E120" s="4" t="s">
        <v>209</v>
      </c>
      <c r="F120" s="4" t="s">
        <v>108</v>
      </c>
      <c r="G120" s="4"/>
      <c r="H120" s="4"/>
      <c r="I120" s="4" t="s">
        <v>502</v>
      </c>
      <c r="J120" s="4" t="s">
        <v>503</v>
      </c>
      <c r="K120" s="6" t="s">
        <v>116</v>
      </c>
    </row>
    <row r="121" customFormat="false" ht="23.85" hidden="false" customHeight="false" outlineLevel="0" collapsed="false">
      <c r="A121" s="4" t="s">
        <v>504</v>
      </c>
      <c r="B121" s="4" t="s">
        <v>479</v>
      </c>
      <c r="C121" s="6" t="s">
        <v>505</v>
      </c>
      <c r="D121" s="37" t="n">
        <v>16384</v>
      </c>
      <c r="E121" s="4" t="s">
        <v>209</v>
      </c>
      <c r="F121" s="4" t="s">
        <v>108</v>
      </c>
      <c r="G121" s="4"/>
      <c r="H121" s="4"/>
      <c r="I121" s="4" t="s">
        <v>506</v>
      </c>
      <c r="J121" s="4" t="s">
        <v>503</v>
      </c>
      <c r="K121" s="6" t="s">
        <v>116</v>
      </c>
    </row>
    <row r="122" customFormat="false" ht="23.85" hidden="false" customHeight="false" outlineLevel="0" collapsed="false">
      <c r="A122" s="4" t="s">
        <v>507</v>
      </c>
      <c r="B122" s="4" t="s">
        <v>479</v>
      </c>
      <c r="C122" s="6" t="s">
        <v>508</v>
      </c>
      <c r="D122" s="37" t="n">
        <v>32768</v>
      </c>
      <c r="E122" s="4" t="s">
        <v>209</v>
      </c>
      <c r="F122" s="4" t="s">
        <v>108</v>
      </c>
      <c r="G122" s="4"/>
      <c r="H122" s="4"/>
      <c r="I122" s="4" t="s">
        <v>509</v>
      </c>
      <c r="J122" s="4" t="s">
        <v>503</v>
      </c>
      <c r="K122" s="6" t="s">
        <v>116</v>
      </c>
    </row>
    <row r="123" customFormat="false" ht="23.85" hidden="false" customHeight="false" outlineLevel="0" collapsed="false">
      <c r="A123" s="4" t="s">
        <v>510</v>
      </c>
      <c r="B123" s="4" t="s">
        <v>479</v>
      </c>
      <c r="C123" s="6" t="s">
        <v>511</v>
      </c>
      <c r="D123" s="37" t="n">
        <v>1024</v>
      </c>
      <c r="E123" s="4" t="s">
        <v>209</v>
      </c>
      <c r="F123" s="4" t="s">
        <v>108</v>
      </c>
      <c r="G123" s="4"/>
      <c r="H123" s="4"/>
      <c r="I123" s="4" t="s">
        <v>512</v>
      </c>
      <c r="J123" s="4" t="s">
        <v>503</v>
      </c>
      <c r="K123" s="6" t="s">
        <v>116</v>
      </c>
    </row>
    <row r="124" customFormat="false" ht="23.85" hidden="false" customHeight="false" outlineLevel="0" collapsed="false">
      <c r="A124" s="4" t="s">
        <v>513</v>
      </c>
      <c r="B124" s="4" t="s">
        <v>479</v>
      </c>
      <c r="C124" s="6" t="s">
        <v>514</v>
      </c>
      <c r="D124" s="37" t="n">
        <v>2048</v>
      </c>
      <c r="E124" s="4" t="s">
        <v>209</v>
      </c>
      <c r="F124" s="4" t="s">
        <v>108</v>
      </c>
      <c r="G124" s="4"/>
      <c r="H124" s="4"/>
      <c r="I124" s="4" t="s">
        <v>515</v>
      </c>
      <c r="J124" s="4" t="s">
        <v>503</v>
      </c>
      <c r="K124" s="6" t="s">
        <v>116</v>
      </c>
    </row>
    <row r="125" customFormat="false" ht="23.85" hidden="false" customHeight="false" outlineLevel="0" collapsed="false">
      <c r="A125" s="4" t="s">
        <v>516</v>
      </c>
      <c r="B125" s="4" t="s">
        <v>479</v>
      </c>
      <c r="C125" s="6" t="s">
        <v>517</v>
      </c>
      <c r="D125" s="37" t="n">
        <v>4096</v>
      </c>
      <c r="E125" s="4" t="s">
        <v>209</v>
      </c>
      <c r="F125" s="4" t="s">
        <v>108</v>
      </c>
      <c r="G125" s="4"/>
      <c r="H125" s="4"/>
      <c r="I125" s="4" t="s">
        <v>518</v>
      </c>
      <c r="J125" s="4" t="s">
        <v>503</v>
      </c>
      <c r="K125" s="6" t="s">
        <v>116</v>
      </c>
    </row>
    <row r="126" customFormat="false" ht="15" hidden="false" customHeight="false" outlineLevel="0" collapsed="false">
      <c r="A126" s="35" t="s">
        <v>519</v>
      </c>
      <c r="B126" s="36"/>
      <c r="C126" s="36"/>
      <c r="D126" s="36"/>
      <c r="E126" s="36"/>
      <c r="F126" s="36"/>
      <c r="G126" s="36"/>
      <c r="H126" s="36"/>
      <c r="I126" s="36"/>
      <c r="J126" s="36"/>
      <c r="K126" s="36"/>
    </row>
    <row r="127" customFormat="false" ht="15" hidden="false" customHeight="false" outlineLevel="0" collapsed="false">
      <c r="A127" s="4" t="s">
        <v>520</v>
      </c>
      <c r="B127" s="4" t="s">
        <v>521</v>
      </c>
      <c r="C127" s="6" t="s">
        <v>522</v>
      </c>
      <c r="D127" s="37" t="n">
        <v>0.08</v>
      </c>
      <c r="E127" s="4" t="s">
        <v>121</v>
      </c>
      <c r="F127" s="4" t="s">
        <v>140</v>
      </c>
      <c r="G127" s="4" t="n">
        <v>0.05</v>
      </c>
      <c r="H127" s="4" t="n">
        <v>0.12</v>
      </c>
      <c r="I127" s="4" t="s">
        <v>523</v>
      </c>
      <c r="J127" s="4"/>
      <c r="K127" s="6" t="s">
        <v>111</v>
      </c>
    </row>
    <row r="128" customFormat="false" ht="15" hidden="false" customHeight="false" outlineLevel="0" collapsed="false">
      <c r="A128" s="4" t="s">
        <v>524</v>
      </c>
      <c r="B128" s="4" t="s">
        <v>521</v>
      </c>
      <c r="C128" s="4" t="s">
        <v>525</v>
      </c>
      <c r="D128" s="37" t="n">
        <v>1.2</v>
      </c>
      <c r="E128" s="4" t="s">
        <v>29</v>
      </c>
      <c r="F128" s="4" t="s">
        <v>140</v>
      </c>
      <c r="G128" s="4" t="n">
        <v>1.1</v>
      </c>
      <c r="H128" s="4" t="n">
        <v>1.3</v>
      </c>
      <c r="I128" s="4" t="s">
        <v>526</v>
      </c>
      <c r="J128" s="4"/>
      <c r="K128" s="6" t="s">
        <v>111</v>
      </c>
    </row>
    <row r="129" customFormat="false" ht="15" hidden="false" customHeight="false" outlineLevel="0" collapsed="false">
      <c r="A129" s="4" t="s">
        <v>527</v>
      </c>
      <c r="B129" s="4" t="s">
        <v>521</v>
      </c>
      <c r="C129" s="6" t="s">
        <v>528</v>
      </c>
      <c r="D129" s="37" t="n">
        <v>0.8</v>
      </c>
      <c r="E129" s="4" t="s">
        <v>121</v>
      </c>
      <c r="F129" s="4" t="s">
        <v>140</v>
      </c>
      <c r="G129" s="4" t="n">
        <v>0.7</v>
      </c>
      <c r="H129" s="4" t="n">
        <v>0.9</v>
      </c>
      <c r="I129" s="4" t="s">
        <v>529</v>
      </c>
      <c r="J129" s="4"/>
      <c r="K129" s="6" t="s">
        <v>111</v>
      </c>
    </row>
    <row r="130" customFormat="false" ht="15" hidden="false" customHeight="false" outlineLevel="0" collapsed="false">
      <c r="A130" s="4" t="s">
        <v>530</v>
      </c>
      <c r="B130" s="4" t="s">
        <v>521</v>
      </c>
      <c r="C130" s="6" t="s">
        <v>531</v>
      </c>
      <c r="D130" s="37" t="n">
        <v>0.08</v>
      </c>
      <c r="E130" s="4" t="s">
        <v>532</v>
      </c>
      <c r="F130" s="4" t="s">
        <v>224</v>
      </c>
      <c r="G130" s="4" t="n">
        <v>0.06</v>
      </c>
      <c r="H130" s="4" t="n">
        <v>0.1</v>
      </c>
      <c r="I130" s="4" t="s">
        <v>533</v>
      </c>
      <c r="J130" s="4"/>
      <c r="K130" s="6" t="s">
        <v>111</v>
      </c>
    </row>
    <row r="131" customFormat="false" ht="15" hidden="false" customHeight="false" outlineLevel="0" collapsed="false">
      <c r="A131" s="4" t="s">
        <v>534</v>
      </c>
      <c r="B131" s="4" t="s">
        <v>521</v>
      </c>
      <c r="C131" s="4" t="s">
        <v>535</v>
      </c>
      <c r="D131" s="37" t="n">
        <v>0.1</v>
      </c>
      <c r="E131" s="4" t="s">
        <v>121</v>
      </c>
      <c r="F131" s="4" t="s">
        <v>224</v>
      </c>
      <c r="G131" s="4" t="n">
        <v>0.05</v>
      </c>
      <c r="H131" s="4" t="n">
        <v>0.15</v>
      </c>
      <c r="I131" s="4" t="s">
        <v>536</v>
      </c>
      <c r="J131" s="4"/>
      <c r="K131" s="6" t="s">
        <v>111</v>
      </c>
    </row>
    <row r="132" customFormat="false" ht="15" hidden="false" customHeight="false" outlineLevel="0" collapsed="false">
      <c r="A132" s="4" t="s">
        <v>537</v>
      </c>
      <c r="B132" s="4" t="s">
        <v>521</v>
      </c>
      <c r="C132" s="6" t="s">
        <v>538</v>
      </c>
      <c r="D132" s="37" t="n">
        <v>500</v>
      </c>
      <c r="E132" s="4" t="s">
        <v>539</v>
      </c>
      <c r="F132" s="4" t="s">
        <v>140</v>
      </c>
      <c r="G132" s="4" t="n">
        <v>300</v>
      </c>
      <c r="H132" s="4" t="n">
        <v>800</v>
      </c>
      <c r="I132" s="4" t="s">
        <v>540</v>
      </c>
      <c r="J132" s="4"/>
      <c r="K132" s="6" t="s">
        <v>111</v>
      </c>
    </row>
    <row r="133" customFormat="false" ht="15" hidden="false" customHeight="false" outlineLevel="0" collapsed="false">
      <c r="A133" s="4" t="s">
        <v>541</v>
      </c>
      <c r="B133" s="4" t="s">
        <v>521</v>
      </c>
      <c r="C133" s="6" t="s">
        <v>542</v>
      </c>
      <c r="D133" s="37" t="n">
        <v>0.02</v>
      </c>
      <c r="E133" s="4" t="s">
        <v>543</v>
      </c>
      <c r="F133" s="4" t="s">
        <v>140</v>
      </c>
      <c r="G133" s="4" t="n">
        <v>0.02</v>
      </c>
      <c r="H133" s="4" t="n">
        <v>0.02</v>
      </c>
      <c r="I133" s="4" t="s">
        <v>544</v>
      </c>
      <c r="J133" s="4"/>
      <c r="K133" s="6" t="s">
        <v>111</v>
      </c>
    </row>
    <row r="134" customFormat="false" ht="15" hidden="false" customHeight="false" outlineLevel="0" collapsed="false">
      <c r="A134" s="4" t="s">
        <v>545</v>
      </c>
      <c r="B134" s="4" t="s">
        <v>521</v>
      </c>
      <c r="C134" s="6" t="s">
        <v>546</v>
      </c>
      <c r="D134" s="37" t="n">
        <v>3.6</v>
      </c>
      <c r="E134" s="4" t="s">
        <v>543</v>
      </c>
      <c r="F134" s="4" t="s">
        <v>140</v>
      </c>
      <c r="G134" s="4" t="n">
        <v>3</v>
      </c>
      <c r="H134" s="4" t="n">
        <v>4.5</v>
      </c>
      <c r="I134" s="4" t="s">
        <v>547</v>
      </c>
      <c r="J134" s="4"/>
      <c r="K134" s="6" t="s">
        <v>111</v>
      </c>
    </row>
    <row r="135" customFormat="false" ht="15" hidden="false" customHeight="false" outlineLevel="0" collapsed="false">
      <c r="A135" s="4" t="s">
        <v>548</v>
      </c>
      <c r="B135" s="4" t="s">
        <v>521</v>
      </c>
      <c r="C135" s="6" t="s">
        <v>549</v>
      </c>
      <c r="D135" s="37" t="n">
        <v>4.5</v>
      </c>
      <c r="E135" s="4" t="s">
        <v>543</v>
      </c>
      <c r="F135" s="4" t="s">
        <v>140</v>
      </c>
      <c r="G135" s="4" t="n">
        <v>3.8</v>
      </c>
      <c r="H135" s="4" t="n">
        <v>5.5</v>
      </c>
      <c r="I135" s="4" t="s">
        <v>550</v>
      </c>
      <c r="J135" s="4"/>
      <c r="K135" s="6" t="s">
        <v>111</v>
      </c>
    </row>
    <row r="136" customFormat="false" ht="15" hidden="false" customHeight="false" outlineLevel="0" collapsed="false">
      <c r="A136" s="4" t="s">
        <v>551</v>
      </c>
      <c r="B136" s="4" t="s">
        <v>521</v>
      </c>
      <c r="C136" s="6" t="s">
        <v>552</v>
      </c>
      <c r="D136" s="37" t="n">
        <v>2.5</v>
      </c>
      <c r="E136" s="4" t="s">
        <v>543</v>
      </c>
      <c r="F136" s="4" t="s">
        <v>140</v>
      </c>
      <c r="G136" s="4" t="n">
        <v>2</v>
      </c>
      <c r="H136" s="4" t="n">
        <v>3.2</v>
      </c>
      <c r="I136" s="4" t="s">
        <v>553</v>
      </c>
      <c r="J136" s="4"/>
      <c r="K136" s="6" t="s">
        <v>111</v>
      </c>
    </row>
    <row r="137" customFormat="false" ht="15" hidden="false" customHeight="false" outlineLevel="0" collapsed="false">
      <c r="A137" s="4" t="s">
        <v>554</v>
      </c>
      <c r="B137" s="4" t="s">
        <v>521</v>
      </c>
      <c r="C137" s="6" t="s">
        <v>555</v>
      </c>
      <c r="D137" s="37" t="n">
        <v>0.4</v>
      </c>
      <c r="E137" s="4" t="s">
        <v>543</v>
      </c>
      <c r="F137" s="4" t="s">
        <v>140</v>
      </c>
      <c r="G137" s="4" t="n">
        <v>0.3</v>
      </c>
      <c r="H137" s="4" t="n">
        <v>0.5</v>
      </c>
      <c r="I137" s="4" t="s">
        <v>556</v>
      </c>
      <c r="J137" s="4"/>
      <c r="K137" s="6" t="s">
        <v>111</v>
      </c>
    </row>
    <row r="138" customFormat="false" ht="15" hidden="false" customHeight="false" outlineLevel="0" collapsed="false">
      <c r="A138" s="4" t="s">
        <v>557</v>
      </c>
      <c r="B138" s="4" t="s">
        <v>521</v>
      </c>
      <c r="C138" s="6" t="s">
        <v>558</v>
      </c>
      <c r="D138" s="37" t="n">
        <v>0.15</v>
      </c>
      <c r="E138" s="4" t="s">
        <v>559</v>
      </c>
      <c r="F138" s="4" t="s">
        <v>140</v>
      </c>
      <c r="G138" s="4" t="n">
        <v>0.12</v>
      </c>
      <c r="H138" s="4" t="n">
        <v>0.18</v>
      </c>
      <c r="I138" s="4" t="s">
        <v>560</v>
      </c>
      <c r="J138" s="4"/>
      <c r="K138" s="6" t="s">
        <v>111</v>
      </c>
    </row>
    <row r="139" customFormat="false" ht="15" hidden="false" customHeight="false" outlineLevel="0" collapsed="false">
      <c r="A139" s="4" t="s">
        <v>561</v>
      </c>
      <c r="B139" s="4" t="s">
        <v>521</v>
      </c>
      <c r="C139" s="4" t="s">
        <v>562</v>
      </c>
      <c r="D139" s="37" t="n">
        <v>6</v>
      </c>
      <c r="E139" s="6" t="s">
        <v>563</v>
      </c>
      <c r="F139" s="6" t="s">
        <v>226</v>
      </c>
      <c r="G139" s="4"/>
      <c r="H139" s="4"/>
      <c r="I139" s="4" t="s">
        <v>564</v>
      </c>
      <c r="J139" s="4"/>
      <c r="K139" s="6" t="s">
        <v>116</v>
      </c>
    </row>
    <row r="140" customFormat="false" ht="23.85" hidden="false" customHeight="false" outlineLevel="0" collapsed="false">
      <c r="A140" s="4" t="s">
        <v>565</v>
      </c>
      <c r="B140" s="4" t="s">
        <v>521</v>
      </c>
      <c r="C140" s="6" t="s">
        <v>566</v>
      </c>
      <c r="D140" s="37" t="n">
        <v>30</v>
      </c>
      <c r="E140" s="6" t="s">
        <v>563</v>
      </c>
      <c r="F140" s="4" t="s">
        <v>140</v>
      </c>
      <c r="G140" s="4" t="n">
        <v>25</v>
      </c>
      <c r="H140" s="4" t="n">
        <v>40</v>
      </c>
      <c r="I140" s="4" t="s">
        <v>567</v>
      </c>
      <c r="J140" s="4"/>
      <c r="K140" s="6" t="s">
        <v>111</v>
      </c>
    </row>
    <row r="141" customFormat="false" ht="23.85" hidden="false" customHeight="false" outlineLevel="0" collapsed="false">
      <c r="A141" s="4" t="s">
        <v>568</v>
      </c>
      <c r="B141" s="4" t="s">
        <v>521</v>
      </c>
      <c r="C141" s="6" t="s">
        <v>569</v>
      </c>
      <c r="D141" s="37" t="n">
        <v>20</v>
      </c>
      <c r="E141" s="6" t="s">
        <v>563</v>
      </c>
      <c r="F141" s="4" t="s">
        <v>140</v>
      </c>
      <c r="G141" s="4" t="n">
        <v>15</v>
      </c>
      <c r="H141" s="4" t="n">
        <v>25</v>
      </c>
      <c r="I141" s="4" t="s">
        <v>570</v>
      </c>
      <c r="J141" s="4"/>
      <c r="K141" s="6" t="s">
        <v>111</v>
      </c>
    </row>
    <row r="142" customFormat="false" ht="23.85" hidden="false" customHeight="false" outlineLevel="0" collapsed="false">
      <c r="A142" s="4" t="s">
        <v>571</v>
      </c>
      <c r="B142" s="4" t="s">
        <v>521</v>
      </c>
      <c r="C142" s="6" t="s">
        <v>572</v>
      </c>
      <c r="D142" s="37" t="n">
        <v>15</v>
      </c>
      <c r="E142" s="6" t="s">
        <v>563</v>
      </c>
      <c r="F142" s="4" t="s">
        <v>140</v>
      </c>
      <c r="G142" s="4" t="n">
        <v>10</v>
      </c>
      <c r="H142" s="4" t="n">
        <v>20</v>
      </c>
      <c r="I142" s="4" t="s">
        <v>573</v>
      </c>
      <c r="J142" s="4"/>
      <c r="K142" s="6" t="s">
        <v>111</v>
      </c>
    </row>
    <row r="143" customFormat="false" ht="15" hidden="false" customHeight="false" outlineLevel="0" collapsed="false">
      <c r="A143" s="4" t="s">
        <v>574</v>
      </c>
      <c r="B143" s="4" t="s">
        <v>521</v>
      </c>
      <c r="C143" s="6" t="s">
        <v>575</v>
      </c>
      <c r="D143" s="37" t="n">
        <v>10</v>
      </c>
      <c r="E143" s="6" t="s">
        <v>563</v>
      </c>
      <c r="F143" s="4" t="s">
        <v>140</v>
      </c>
      <c r="G143" s="4" t="n">
        <v>7</v>
      </c>
      <c r="H143" s="4" t="n">
        <v>15</v>
      </c>
      <c r="I143" s="4" t="s">
        <v>576</v>
      </c>
      <c r="J143" s="4"/>
      <c r="K143" s="6" t="s">
        <v>111</v>
      </c>
    </row>
    <row r="144" customFormat="false" ht="23.85" hidden="false" customHeight="false" outlineLevel="0" collapsed="false">
      <c r="A144" s="4" t="s">
        <v>577</v>
      </c>
      <c r="B144" s="4" t="s">
        <v>521</v>
      </c>
      <c r="C144" s="4" t="s">
        <v>578</v>
      </c>
      <c r="D144" s="37" t="n">
        <v>0.1</v>
      </c>
      <c r="E144" s="4" t="s">
        <v>121</v>
      </c>
      <c r="F144" s="4" t="s">
        <v>140</v>
      </c>
      <c r="G144" s="4" t="n">
        <v>0.08</v>
      </c>
      <c r="H144" s="4" t="n">
        <v>0.13</v>
      </c>
      <c r="I144" s="4" t="s">
        <v>579</v>
      </c>
      <c r="J144" s="4"/>
      <c r="K144" s="6" t="s">
        <v>116</v>
      </c>
    </row>
    <row r="145" customFormat="false" ht="23.85" hidden="false" customHeight="false" outlineLevel="0" collapsed="false">
      <c r="A145" s="4" t="s">
        <v>580</v>
      </c>
      <c r="B145" s="4" t="s">
        <v>521</v>
      </c>
      <c r="C145" s="4" t="s">
        <v>581</v>
      </c>
      <c r="D145" s="37" t="n">
        <v>0.0157250107250107</v>
      </c>
      <c r="E145" s="4" t="s">
        <v>582</v>
      </c>
      <c r="F145" s="4" t="s">
        <v>278</v>
      </c>
      <c r="G145" s="4" t="n">
        <v>0.0102443497224425</v>
      </c>
      <c r="H145" s="4" t="n">
        <v>0.0182477678962645</v>
      </c>
      <c r="I145" s="4" t="s">
        <v>583</v>
      </c>
      <c r="J145" s="4"/>
      <c r="K145" s="6" t="s">
        <v>111</v>
      </c>
    </row>
    <row r="146" customFormat="false" ht="29.85" hidden="false" customHeight="false" outlineLevel="0" collapsed="false">
      <c r="A146" s="4" t="s">
        <v>584</v>
      </c>
      <c r="B146" s="4" t="s">
        <v>521</v>
      </c>
      <c r="C146" s="6" t="s">
        <v>585</v>
      </c>
      <c r="D146" s="37" t="n">
        <v>0.02</v>
      </c>
      <c r="E146" s="4" t="s">
        <v>586</v>
      </c>
      <c r="F146" s="4" t="s">
        <v>140</v>
      </c>
      <c r="G146" s="4" t="n">
        <v>0.015</v>
      </c>
      <c r="H146" s="4" t="n">
        <v>0.025</v>
      </c>
      <c r="I146" s="4" t="s">
        <v>587</v>
      </c>
      <c r="J146" s="4"/>
      <c r="K146" s="6" t="s">
        <v>111</v>
      </c>
    </row>
    <row r="147" customFormat="false" ht="15" hidden="false" customHeight="false" outlineLevel="0" collapsed="false">
      <c r="A147" s="4" t="s">
        <v>588</v>
      </c>
      <c r="B147" s="4" t="s">
        <v>521</v>
      </c>
      <c r="C147" s="6" t="s">
        <v>589</v>
      </c>
      <c r="D147" s="37" t="n">
        <v>75</v>
      </c>
      <c r="E147" s="4" t="s">
        <v>590</v>
      </c>
      <c r="F147" s="4" t="s">
        <v>140</v>
      </c>
      <c r="G147" s="4" t="n">
        <v>50</v>
      </c>
      <c r="H147" s="4" t="n">
        <v>100</v>
      </c>
      <c r="I147" s="4" t="s">
        <v>591</v>
      </c>
      <c r="J147" s="4"/>
      <c r="K147" s="6" t="s">
        <v>111</v>
      </c>
    </row>
    <row r="148" customFormat="false" ht="15" hidden="false" customHeight="false" outlineLevel="0" collapsed="false">
      <c r="A148" s="4" t="s">
        <v>592</v>
      </c>
      <c r="B148" s="4" t="s">
        <v>521</v>
      </c>
      <c r="C148" s="6" t="s">
        <v>593</v>
      </c>
      <c r="D148" s="37" t="n">
        <v>200</v>
      </c>
      <c r="E148" s="4" t="s">
        <v>590</v>
      </c>
      <c r="F148" s="4" t="s">
        <v>140</v>
      </c>
      <c r="G148" s="4" t="n">
        <v>150</v>
      </c>
      <c r="H148" s="4" t="n">
        <v>250</v>
      </c>
      <c r="I148" s="4" t="s">
        <v>594</v>
      </c>
      <c r="J148" s="4"/>
      <c r="K148" s="6" t="s">
        <v>111</v>
      </c>
    </row>
    <row r="149" customFormat="false" ht="23.85" hidden="false" customHeight="false" outlineLevel="0" collapsed="false">
      <c r="A149" s="4" t="s">
        <v>595</v>
      </c>
      <c r="B149" s="4" t="s">
        <v>521</v>
      </c>
      <c r="C149" s="6" t="s">
        <v>596</v>
      </c>
      <c r="D149" s="37" t="n">
        <v>0.05</v>
      </c>
      <c r="E149" s="4" t="s">
        <v>597</v>
      </c>
      <c r="F149" s="4" t="s">
        <v>140</v>
      </c>
      <c r="G149" s="4" t="n">
        <v>0.04</v>
      </c>
      <c r="H149" s="4" t="n">
        <v>0.06</v>
      </c>
      <c r="I149" s="4" t="s">
        <v>598</v>
      </c>
      <c r="J149" s="4"/>
      <c r="K149" s="6" t="s">
        <v>111</v>
      </c>
    </row>
    <row r="150" customFormat="false" ht="15" hidden="false" customHeight="false" outlineLevel="0" collapsed="false">
      <c r="A150" s="4" t="s">
        <v>599</v>
      </c>
      <c r="B150" s="4" t="s">
        <v>521</v>
      </c>
      <c r="C150" s="6" t="s">
        <v>600</v>
      </c>
      <c r="D150" s="37" t="n">
        <v>0.005</v>
      </c>
      <c r="E150" s="4" t="s">
        <v>601</v>
      </c>
      <c r="F150" s="4" t="s">
        <v>140</v>
      </c>
      <c r="G150" s="4" t="n">
        <v>0.003</v>
      </c>
      <c r="H150" s="4" t="n">
        <v>0.008</v>
      </c>
      <c r="I150" s="4" t="s">
        <v>602</v>
      </c>
      <c r="J150" s="4"/>
      <c r="K150" s="6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6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20.1" hidden="false" customHeight="false" outlineLevel="0" collapsed="false">
      <c r="A1" s="34" t="s">
        <v>603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8" t="s">
        <v>604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12" t="s">
        <v>605</v>
      </c>
      <c r="B4" s="12" t="s">
        <v>97</v>
      </c>
      <c r="C4" s="12" t="s">
        <v>606</v>
      </c>
      <c r="D4" s="12" t="s">
        <v>25</v>
      </c>
      <c r="E4" s="12" t="s">
        <v>26</v>
      </c>
      <c r="F4" s="12" t="s">
        <v>101</v>
      </c>
      <c r="G4" s="12" t="s">
        <v>607</v>
      </c>
      <c r="H4" s="12" t="s">
        <v>65</v>
      </c>
    </row>
    <row r="5" customFormat="false" ht="15" hidden="false" customHeight="false" outlineLevel="0" collapsed="false">
      <c r="A5" s="13" t="s">
        <v>608</v>
      </c>
      <c r="B5" s="36"/>
      <c r="C5" s="36"/>
      <c r="D5" s="36"/>
      <c r="E5" s="36"/>
      <c r="F5" s="36"/>
      <c r="G5" s="36"/>
      <c r="H5" s="36"/>
    </row>
    <row r="6" customFormat="false" ht="26.85" hidden="false" customHeight="false" outlineLevel="0" collapsed="false">
      <c r="A6" s="8" t="s">
        <v>609</v>
      </c>
      <c r="B6" s="4" t="s">
        <v>610</v>
      </c>
      <c r="C6" s="3" t="s">
        <v>611</v>
      </c>
      <c r="D6" s="41" t="n">
        <f aca="false">IN_Util/(IN_MixP_L/5_每GW產出!D$67+IN_MixP_S/5_每GW產出!E$67+IN_MixP_A/5_每GW產出!F$67)</f>
        <v>15395391054.8974</v>
      </c>
      <c r="E6" s="19" t="s">
        <v>35</v>
      </c>
      <c r="F6" s="8" t="s">
        <v>612</v>
      </c>
      <c r="G6" s="42" t="n">
        <v>15395391054.8974</v>
      </c>
      <c r="H6" s="43" t="n">
        <f aca="false">IF(G6=0,D6-G6,D6/G6-1)</f>
        <v>0</v>
      </c>
    </row>
    <row r="7" customFormat="false" ht="15" hidden="false" customHeight="false" outlineLevel="0" collapsed="false">
      <c r="A7" s="8" t="s">
        <v>613</v>
      </c>
      <c r="B7" s="4" t="s">
        <v>614</v>
      </c>
      <c r="C7" s="3" t="s">
        <v>615</v>
      </c>
      <c r="D7" s="41" t="n">
        <f aca="false">IN_Util/(IN_MixP_L/5_每GW產出!G$67+IN_MixP_S/5_每GW產出!H$67+IN_MixP_A/5_每GW產出!I$67)</f>
        <v>75756718883.7184</v>
      </c>
      <c r="E7" s="19" t="s">
        <v>35</v>
      </c>
      <c r="F7" s="8" t="s">
        <v>616</v>
      </c>
      <c r="G7" s="42" t="n">
        <v>75756718883.7184</v>
      </c>
      <c r="H7" s="43" t="n">
        <f aca="false">IF(G7=0,D7-G7,D7/G7-1)</f>
        <v>0</v>
      </c>
    </row>
    <row r="8" customFormat="false" ht="15" hidden="false" customHeight="false" outlineLevel="0" collapsed="false">
      <c r="A8" s="8" t="s">
        <v>617</v>
      </c>
      <c r="B8" s="4" t="s">
        <v>618</v>
      </c>
      <c r="C8" s="3" t="s">
        <v>619</v>
      </c>
      <c r="D8" s="41" t="n">
        <f aca="false">IN_Util/(IN_MixF_L/5_每GW產出!D$67+IN_MixF_S/5_每GW產出!E$67+IN_MixF_A/5_每GW產出!F$67)</f>
        <v>54582804988.7846</v>
      </c>
      <c r="E8" s="19" t="s">
        <v>35</v>
      </c>
      <c r="F8" s="8" t="s">
        <v>620</v>
      </c>
      <c r="G8" s="42" t="n">
        <v>54582804988.7847</v>
      </c>
      <c r="H8" s="43" t="n">
        <f aca="false">IF(G8=0,D8-G8,D8/G8-1)</f>
        <v>0</v>
      </c>
    </row>
    <row r="9" customFormat="false" ht="15" hidden="false" customHeight="false" outlineLevel="0" collapsed="false">
      <c r="A9" s="8" t="s">
        <v>621</v>
      </c>
      <c r="B9" s="4" t="s">
        <v>622</v>
      </c>
      <c r="C9" s="3" t="s">
        <v>57</v>
      </c>
      <c r="D9" s="41" t="n">
        <f aca="false">IN_Util/(IN_MixF_L/5_每GW產出!G$67+IN_MixF_S/5_每GW產出!H$67+IN_MixF_A/5_每GW產出!I$67)</f>
        <v>269761927758.008</v>
      </c>
      <c r="E9" s="19" t="s">
        <v>35</v>
      </c>
      <c r="F9" s="8" t="s">
        <v>623</v>
      </c>
      <c r="G9" s="42" t="n">
        <v>269761927758.009</v>
      </c>
      <c r="H9" s="43" t="n">
        <f aca="false">IF(G9=0,D9-G9,D9/G9-1)</f>
        <v>0</v>
      </c>
    </row>
    <row r="10" customFormat="false" ht="15" hidden="false" customHeight="false" outlineLevel="0" collapsed="false">
      <c r="A10" s="8" t="s">
        <v>624</v>
      </c>
      <c r="B10" s="6" t="s">
        <v>625</v>
      </c>
      <c r="C10" s="3" t="s">
        <v>626</v>
      </c>
      <c r="D10" s="41" t="n">
        <f aca="false">(IN_ShareH*D6+IN_ShareG*D7)/(IN_ShareH+IN_ShareG)</f>
        <v>39539922186.4258</v>
      </c>
      <c r="E10" s="19" t="s">
        <v>35</v>
      </c>
      <c r="F10" s="8" t="s">
        <v>627</v>
      </c>
      <c r="G10" s="42" t="n">
        <v>39539922186.4258</v>
      </c>
      <c r="H10" s="43" t="n">
        <f aca="false">IF(G10=0,D10-G10,D10/G10-1)</f>
        <v>0</v>
      </c>
    </row>
    <row r="11" customFormat="false" ht="15" hidden="false" customHeight="false" outlineLevel="0" collapsed="false">
      <c r="A11" s="8" t="s">
        <v>628</v>
      </c>
      <c r="B11" s="6" t="s">
        <v>629</v>
      </c>
      <c r="C11" s="3" t="s">
        <v>57</v>
      </c>
      <c r="D11" s="41" t="n">
        <f aca="false">(IN_ShareH*D8+IN_ShareG*D9)/(IN_ShareH+IN_ShareG)</f>
        <v>140654454096.474</v>
      </c>
      <c r="E11" s="19" t="s">
        <v>35</v>
      </c>
      <c r="F11" s="8" t="s">
        <v>630</v>
      </c>
      <c r="G11" s="42" t="n">
        <v>140654454096.474</v>
      </c>
      <c r="H11" s="43" t="n">
        <f aca="false">IF(G11=0,D11-G11,D11/G11-1)</f>
        <v>0</v>
      </c>
    </row>
    <row r="12" customFormat="false" ht="15" hidden="false" customHeight="false" outlineLevel="0" collapsed="false">
      <c r="A12" s="13" t="s">
        <v>631</v>
      </c>
      <c r="B12" s="36"/>
      <c r="C12" s="36"/>
      <c r="D12" s="36"/>
      <c r="E12" s="36"/>
      <c r="F12" s="36"/>
      <c r="G12" s="36"/>
      <c r="H12" s="36"/>
    </row>
    <row r="13" customFormat="false" ht="15" hidden="false" customHeight="false" outlineLevel="0" collapsed="false">
      <c r="A13" s="8" t="s">
        <v>632</v>
      </c>
      <c r="B13" s="4" t="s">
        <v>633</v>
      </c>
      <c r="C13" s="3" t="s">
        <v>634</v>
      </c>
      <c r="D13" s="41" t="n">
        <f aca="false">IN_APItpm*1000000000*525600*IN_APIratio/1000000</f>
        <v>2365200000</v>
      </c>
      <c r="E13" s="19" t="s">
        <v>35</v>
      </c>
      <c r="F13" s="8" t="s">
        <v>635</v>
      </c>
      <c r="G13" s="42" t="n">
        <v>2365200000</v>
      </c>
      <c r="H13" s="43" t="n">
        <f aca="false">IF(G13=0,D13-G13,D13/G13-1)</f>
        <v>0</v>
      </c>
    </row>
    <row r="14" customFormat="false" ht="15" hidden="false" customHeight="false" outlineLevel="0" collapsed="false">
      <c r="A14" s="8" t="s">
        <v>636</v>
      </c>
      <c r="B14" s="4" t="s">
        <v>637</v>
      </c>
      <c r="C14" s="3" t="s">
        <v>638</v>
      </c>
      <c r="D14" s="41" t="n">
        <f aca="false">IN_Prompts*1000000000*IN_Tau*365/1000000</f>
        <v>3650000000</v>
      </c>
      <c r="E14" s="19" t="s">
        <v>35</v>
      </c>
      <c r="F14" s="8" t="s">
        <v>639</v>
      </c>
      <c r="G14" s="42" t="n">
        <v>3650000000</v>
      </c>
      <c r="H14" s="43" t="n">
        <f aca="false">IF(G14=0,D14-G14,D14/G14-1)</f>
        <v>0</v>
      </c>
    </row>
    <row r="15" customFormat="false" ht="15" hidden="false" customHeight="false" outlineLevel="0" collapsed="false">
      <c r="A15" s="8" t="s">
        <v>640</v>
      </c>
      <c r="B15" s="4" t="s">
        <v>641</v>
      </c>
      <c r="C15" s="3" t="s">
        <v>642</v>
      </c>
      <c r="D15" s="41" t="n">
        <f aca="false">D14*IN_FreeShare</f>
        <v>2190000000</v>
      </c>
      <c r="E15" s="19" t="s">
        <v>35</v>
      </c>
      <c r="F15" s="8" t="s">
        <v>643</v>
      </c>
      <c r="G15" s="42" t="n">
        <v>2190000000</v>
      </c>
      <c r="H15" s="43" t="n">
        <f aca="false">IF(G15=0,D15-G15,D15/G15-1)</f>
        <v>0</v>
      </c>
    </row>
    <row r="16" customFormat="false" ht="15" hidden="false" customHeight="false" outlineLevel="0" collapsed="false">
      <c r="A16" s="8" t="s">
        <v>644</v>
      </c>
      <c r="B16" s="6" t="s">
        <v>645</v>
      </c>
      <c r="C16" s="3" t="s">
        <v>646</v>
      </c>
      <c r="D16" s="41" t="n">
        <f aca="false">D13+D14-D15</f>
        <v>3825200000</v>
      </c>
      <c r="E16" s="19" t="s">
        <v>35</v>
      </c>
      <c r="F16" s="8" t="s">
        <v>647</v>
      </c>
      <c r="G16" s="42" t="n">
        <v>3825200000</v>
      </c>
      <c r="H16" s="43" t="n">
        <f aca="false">IF(G16=0,D16-G16,D16/G16-1)</f>
        <v>0</v>
      </c>
    </row>
    <row r="17" customFormat="false" ht="15" hidden="false" customHeight="false" outlineLevel="0" collapsed="false">
      <c r="A17" s="8" t="s">
        <v>648</v>
      </c>
      <c r="B17" s="6" t="s">
        <v>649</v>
      </c>
      <c r="C17" s="3" t="s">
        <v>650</v>
      </c>
      <c r="D17" s="44" t="n">
        <f aca="false">D15/D16</f>
        <v>0.572519083969466</v>
      </c>
      <c r="E17" s="19" t="s">
        <v>29</v>
      </c>
      <c r="F17" s="8" t="s">
        <v>651</v>
      </c>
      <c r="G17" s="45" t="n">
        <v>0.572519083969466</v>
      </c>
      <c r="H17" s="43" t="n">
        <f aca="false">IF(G17=0,D17-G17,D17/G17-1)</f>
        <v>0</v>
      </c>
    </row>
    <row r="18" customFormat="false" ht="15" hidden="false" customHeight="false" outlineLevel="0" collapsed="false">
      <c r="A18" s="13" t="s">
        <v>652</v>
      </c>
      <c r="B18" s="36"/>
      <c r="C18" s="36"/>
      <c r="D18" s="36"/>
      <c r="E18" s="36"/>
      <c r="F18" s="36"/>
      <c r="G18" s="36"/>
      <c r="H18" s="36"/>
    </row>
    <row r="19" customFormat="false" ht="15" hidden="false" customHeight="false" outlineLevel="0" collapsed="false">
      <c r="A19" s="8" t="s">
        <v>653</v>
      </c>
      <c r="B19" s="6" t="s">
        <v>654</v>
      </c>
      <c r="C19" s="3" t="s">
        <v>655</v>
      </c>
      <c r="D19" s="44" t="n">
        <f aca="false">(IN_ShareH*4_持有成本!D$34+IN_ShareG*4_持有成本!E$34)/(IN_ShareH+IN_ShareG)</f>
        <v>9.35311859805586</v>
      </c>
      <c r="E19" s="19" t="s">
        <v>48</v>
      </c>
      <c r="F19" s="1"/>
      <c r="G19" s="1"/>
      <c r="H19" s="1"/>
    </row>
    <row r="20" customFormat="false" ht="26.85" hidden="false" customHeight="false" outlineLevel="0" collapsed="false">
      <c r="A20" s="8" t="s">
        <v>656</v>
      </c>
      <c r="B20" s="6" t="s">
        <v>657</v>
      </c>
      <c r="C20" s="3" t="s">
        <v>658</v>
      </c>
      <c r="D20" s="44" t="n">
        <f aca="false">IN_Spend/D19</f>
        <v>0.89809617101894</v>
      </c>
      <c r="E20" s="19" t="s">
        <v>43</v>
      </c>
      <c r="F20" s="8" t="s">
        <v>659</v>
      </c>
      <c r="G20" s="45" t="n">
        <v>0.89809617101894</v>
      </c>
      <c r="H20" s="43" t="n">
        <f aca="false">IF(G20=0,D20-G20,D20/G20-1)</f>
        <v>0</v>
      </c>
    </row>
    <row r="21" customFormat="false" ht="26.85" hidden="false" customHeight="false" outlineLevel="0" collapsed="false">
      <c r="A21" s="8" t="s">
        <v>660</v>
      </c>
      <c r="B21" s="6" t="s">
        <v>661</v>
      </c>
      <c r="C21" s="3" t="s">
        <v>662</v>
      </c>
      <c r="D21" s="44" t="n">
        <f aca="false">D20/IN_SpendBasis*IN_Kappa</f>
        <v>1.05658373061052</v>
      </c>
      <c r="E21" s="19" t="s">
        <v>43</v>
      </c>
      <c r="F21" s="8" t="s">
        <v>663</v>
      </c>
      <c r="G21" s="45" t="n">
        <v>1.05658373061052</v>
      </c>
      <c r="H21" s="43" t="n">
        <f aca="false">IF(G21=0,D21-G21,D21/G21-1)</f>
        <v>0</v>
      </c>
    </row>
    <row r="22" customFormat="false" ht="26.85" hidden="false" customHeight="false" outlineLevel="0" collapsed="false">
      <c r="A22" s="8" t="s">
        <v>664</v>
      </c>
      <c r="B22" s="6" t="s">
        <v>665</v>
      </c>
      <c r="C22" s="3" t="s">
        <v>666</v>
      </c>
      <c r="D22" s="44" t="n">
        <f aca="false">IN_UtilAct*IN_ProdDerate/IN_Util</f>
        <v>0.580833333333333</v>
      </c>
      <c r="E22" s="19" t="s">
        <v>29</v>
      </c>
      <c r="F22" s="8" t="s">
        <v>667</v>
      </c>
      <c r="G22" s="45" t="n">
        <v>0.580833333333333</v>
      </c>
      <c r="H22" s="43" t="n">
        <f aca="false">IF(G22=0,D22-G22,D22/G22-1)</f>
        <v>0</v>
      </c>
    </row>
    <row r="23" customFormat="false" ht="26.85" hidden="false" customHeight="false" outlineLevel="0" collapsed="false">
      <c r="A23" s="8" t="s">
        <v>668</v>
      </c>
      <c r="B23" s="6" t="s">
        <v>669</v>
      </c>
      <c r="C23" s="3" t="s">
        <v>670</v>
      </c>
      <c r="D23" s="41" t="n">
        <f aca="false">D21*D22/(1/D10+D17/D11)</f>
        <v>20901638729.2214</v>
      </c>
      <c r="E23" s="19" t="s">
        <v>35</v>
      </c>
      <c r="F23" s="8" t="s">
        <v>671</v>
      </c>
      <c r="G23" s="42" t="n">
        <v>20901638729.2215</v>
      </c>
      <c r="H23" s="43" t="n">
        <f aca="false">IF(G23=0,D23-G23,D23/G23-1)</f>
        <v>0</v>
      </c>
    </row>
    <row r="24" customFormat="false" ht="15" hidden="false" customHeight="false" outlineLevel="0" collapsed="false">
      <c r="A24" s="13" t="s">
        <v>672</v>
      </c>
      <c r="B24" s="36"/>
      <c r="C24" s="36"/>
      <c r="D24" s="36"/>
      <c r="E24" s="36"/>
      <c r="F24" s="36"/>
      <c r="G24" s="36"/>
      <c r="H24" s="36"/>
    </row>
    <row r="25" customFormat="false" ht="15" hidden="false" customHeight="false" outlineLevel="0" collapsed="false">
      <c r="A25" s="8" t="s">
        <v>673</v>
      </c>
      <c r="B25" s="6" t="s">
        <v>674</v>
      </c>
      <c r="C25" s="3" t="s">
        <v>675</v>
      </c>
      <c r="D25" s="44" t="n">
        <f aca="false">(IN_MixP_L*IN_Px_L+IN_MixP_S*IN_Px_S+IN_MixP_A*IN_Px_A)*(1-IN_Disc)</f>
        <v>1.35936</v>
      </c>
      <c r="E25" s="19" t="s">
        <v>40</v>
      </c>
      <c r="F25" s="8" t="s">
        <v>676</v>
      </c>
      <c r="G25" s="45" t="n">
        <v>1.35936</v>
      </c>
      <c r="H25" s="43" t="n">
        <f aca="false">IF(G25=0,D25-G25,D25/G25-1)</f>
        <v>0</v>
      </c>
    </row>
    <row r="26" customFormat="false" ht="15" hidden="false" customHeight="false" outlineLevel="0" collapsed="false">
      <c r="A26" s="8" t="s">
        <v>677</v>
      </c>
      <c r="B26" s="6" t="s">
        <v>678</v>
      </c>
      <c r="C26" s="3" t="s">
        <v>679</v>
      </c>
      <c r="D26" s="44" t="n">
        <f aca="false">(IN_ShareH*D6*D25+IN_ShareG*D7*D25)/(IN_ShareH*D6+IN_ShareG*D7)</f>
        <v>1.35936</v>
      </c>
      <c r="E26" s="19" t="s">
        <v>40</v>
      </c>
      <c r="F26" s="8" t="s">
        <v>680</v>
      </c>
      <c r="G26" s="45" t="n">
        <v>1.35936</v>
      </c>
      <c r="H26" s="43" t="n">
        <f aca="false">IF(G26=0,D26-G26,D26/G26-1)</f>
        <v>0</v>
      </c>
    </row>
    <row r="27" customFormat="false" ht="15" hidden="false" customHeight="false" outlineLevel="0" collapsed="false">
      <c r="A27" s="8" t="s">
        <v>681</v>
      </c>
      <c r="B27" s="6" t="s">
        <v>682</v>
      </c>
      <c r="C27" s="3" t="s">
        <v>683</v>
      </c>
      <c r="D27" s="41" t="n">
        <f aca="false">IN_Rev*1000000000/D26</f>
        <v>9614818738.22975</v>
      </c>
      <c r="E27" s="19" t="s">
        <v>35</v>
      </c>
      <c r="F27" s="1"/>
      <c r="G27" s="1"/>
      <c r="H27" s="1"/>
    </row>
    <row r="28" customFormat="false" ht="15" hidden="false" customHeight="false" outlineLevel="0" collapsed="false">
      <c r="A28" s="46" t="s">
        <v>684</v>
      </c>
      <c r="B28" s="47" t="s">
        <v>685</v>
      </c>
      <c r="C28" s="48" t="s">
        <v>686</v>
      </c>
      <c r="D28" s="49" t="n">
        <f aca="false">IN_Rev*1000000000/(D23*D26)</f>
        <v>0.460003106109943</v>
      </c>
      <c r="E28" s="50" t="s">
        <v>29</v>
      </c>
      <c r="F28" s="46" t="s">
        <v>687</v>
      </c>
      <c r="G28" s="51" t="n">
        <v>0.460003106109943</v>
      </c>
      <c r="H28" s="52" t="n">
        <f aca="false">IF(G28=0,D28-G28,D28/G28-1)</f>
        <v>0</v>
      </c>
    </row>
    <row r="29" customFormat="false" ht="29.85" hidden="false" customHeight="false" outlineLevel="0" collapsed="false">
      <c r="A29" s="8" t="s">
        <v>688</v>
      </c>
      <c r="B29" s="6" t="s">
        <v>689</v>
      </c>
      <c r="C29" s="20" t="s">
        <v>690</v>
      </c>
      <c r="D29" s="44" t="n">
        <f aca="false">G29</f>
        <v>0.339147884513574</v>
      </c>
      <c r="E29" s="19" t="s">
        <v>29</v>
      </c>
      <c r="F29" s="8" t="s">
        <v>691</v>
      </c>
      <c r="G29" s="45" t="n">
        <v>0.339147884513574</v>
      </c>
      <c r="H29" s="43" t="n">
        <f aca="false">IF(G29=0,D29-G29,D29/G29-1)</f>
        <v>0</v>
      </c>
    </row>
    <row r="30" customFormat="false" ht="15" hidden="false" customHeight="false" outlineLevel="0" collapsed="false">
      <c r="A30" s="8" t="s">
        <v>692</v>
      </c>
      <c r="B30" s="6" t="s">
        <v>693</v>
      </c>
      <c r="C30" s="3"/>
      <c r="D30" s="44" t="n">
        <f aca="false">D28</f>
        <v>0.460003106109943</v>
      </c>
      <c r="E30" s="19" t="s">
        <v>29</v>
      </c>
      <c r="F30" s="8" t="s">
        <v>694</v>
      </c>
      <c r="G30" s="45" t="n">
        <v>0.460003106109943</v>
      </c>
      <c r="H30" s="43" t="n">
        <f aca="false">IF(G30=0,D30-G30,D30/G30-1)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70"/>
  </cols>
  <sheetData>
    <row r="1" customFormat="false" ht="20.1" hidden="false" customHeight="false" outlineLevel="0" collapsed="false">
      <c r="A1" s="53" t="s">
        <v>695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30" t="s">
        <v>696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12" t="s">
        <v>697</v>
      </c>
      <c r="B4" s="12" t="s">
        <v>97</v>
      </c>
      <c r="C4" s="12" t="s">
        <v>26</v>
      </c>
      <c r="D4" s="11" t="s">
        <v>698</v>
      </c>
      <c r="E4" s="11" t="s">
        <v>699</v>
      </c>
      <c r="F4" s="12" t="s">
        <v>700</v>
      </c>
    </row>
    <row r="5" customFormat="false" ht="15" hidden="false" customHeight="false" outlineLevel="0" collapsed="false">
      <c r="A5" s="35" t="s">
        <v>701</v>
      </c>
      <c r="B5" s="36"/>
      <c r="C5" s="36"/>
      <c r="D5" s="36"/>
      <c r="E5" s="36"/>
      <c r="F5" s="36"/>
    </row>
    <row r="6" customFormat="false" ht="15" hidden="false" customHeight="false" outlineLevel="0" collapsed="false">
      <c r="A6" s="8" t="s">
        <v>702</v>
      </c>
      <c r="B6" s="19" t="s">
        <v>703</v>
      </c>
      <c r="C6" s="19" t="s">
        <v>704</v>
      </c>
      <c r="D6" s="54" t="n">
        <f aca="false">1000</f>
        <v>1000</v>
      </c>
      <c r="E6" s="54" t="n">
        <f aca="false">1000</f>
        <v>1000</v>
      </c>
      <c r="F6" s="20" t="s">
        <v>705</v>
      </c>
    </row>
    <row r="7" customFormat="false" ht="15" hidden="false" customHeight="false" outlineLevel="0" collapsed="false">
      <c r="A7" s="8" t="s">
        <v>706</v>
      </c>
      <c r="B7" s="17" t="s">
        <v>707</v>
      </c>
      <c r="C7" s="19" t="s">
        <v>704</v>
      </c>
      <c r="D7" s="54" t="n">
        <f aca="false">D6*(1-IN_ITout)</f>
        <v>920</v>
      </c>
      <c r="E7" s="54" t="n">
        <f aca="false">E6*(1-IN_ITout)</f>
        <v>920</v>
      </c>
      <c r="F7" s="3" t="s">
        <v>708</v>
      </c>
    </row>
    <row r="8" customFormat="false" ht="15" hidden="false" customHeight="false" outlineLevel="0" collapsed="false">
      <c r="A8" s="8" t="s">
        <v>709</v>
      </c>
      <c r="B8" s="17" t="s">
        <v>710</v>
      </c>
      <c r="C8" s="17" t="s">
        <v>711</v>
      </c>
      <c r="D8" s="54" t="n">
        <f aca="false">FLOOR(D7*1000/IN_RackKW_H,1)</f>
        <v>22439</v>
      </c>
      <c r="E8" s="54" t="n">
        <f aca="false">FLOOR(E7*1000/IN_RackKW_G,1)</f>
        <v>6969</v>
      </c>
      <c r="F8" s="3" t="s">
        <v>712</v>
      </c>
    </row>
    <row r="9" customFormat="false" ht="15" hidden="false" customHeight="false" outlineLevel="0" collapsed="false">
      <c r="A9" s="8" t="s">
        <v>713</v>
      </c>
      <c r="B9" s="19" t="s">
        <v>714</v>
      </c>
      <c r="C9" s="17" t="s">
        <v>342</v>
      </c>
      <c r="D9" s="54" t="n">
        <f aca="false">D8*IN_GPR_H</f>
        <v>718048</v>
      </c>
      <c r="E9" s="54" t="n">
        <f aca="false">E8*IN_GPR_G</f>
        <v>501768</v>
      </c>
      <c r="F9" s="3"/>
    </row>
    <row r="10" customFormat="false" ht="15" hidden="false" customHeight="false" outlineLevel="0" collapsed="false">
      <c r="A10" s="35" t="s">
        <v>715</v>
      </c>
      <c r="B10" s="36"/>
      <c r="C10" s="36"/>
      <c r="D10" s="36"/>
      <c r="E10" s="36"/>
      <c r="F10" s="36"/>
    </row>
    <row r="11" customFormat="false" ht="15" hidden="false" customHeight="false" outlineLevel="0" collapsed="false">
      <c r="A11" s="8" t="s">
        <v>716</v>
      </c>
      <c r="B11" s="17" t="s">
        <v>717</v>
      </c>
      <c r="C11" s="19" t="s">
        <v>32</v>
      </c>
      <c r="D11" s="54" t="n">
        <f aca="false">D8*IN_RackPx_H/1000</f>
        <v>24.6829</v>
      </c>
      <c r="E11" s="54" t="n">
        <f aca="false">E8*IN_RackPx_G/1000</f>
        <v>21.6039</v>
      </c>
      <c r="F11" s="3" t="s">
        <v>718</v>
      </c>
    </row>
    <row r="12" customFormat="false" ht="15" hidden="false" customHeight="false" outlineLevel="0" collapsed="false">
      <c r="A12" s="8" t="s">
        <v>719</v>
      </c>
      <c r="B12" s="19" t="s">
        <v>720</v>
      </c>
      <c r="C12" s="19" t="s">
        <v>32</v>
      </c>
      <c r="D12" s="54" t="n">
        <f aca="false">D11*IN_Net</f>
        <v>2.46829</v>
      </c>
      <c r="E12" s="54" t="n">
        <f aca="false">E11*IN_Net</f>
        <v>2.16039</v>
      </c>
      <c r="F12" s="3"/>
    </row>
    <row r="13" customFormat="false" ht="15" hidden="false" customHeight="false" outlineLevel="0" collapsed="false">
      <c r="A13" s="8" t="s">
        <v>721</v>
      </c>
      <c r="B13" s="17" t="s">
        <v>722</v>
      </c>
      <c r="C13" s="19" t="s">
        <v>32</v>
      </c>
      <c r="D13" s="54" t="n">
        <f aca="false">D9*IN_Stor/1000000000</f>
        <v>0.359024</v>
      </c>
      <c r="E13" s="54" t="n">
        <f aca="false">E9*IN_Stor/1000000000</f>
        <v>0.250884</v>
      </c>
      <c r="F13" s="3"/>
    </row>
    <row r="14" customFormat="false" ht="15" hidden="false" customHeight="false" outlineLevel="0" collapsed="false">
      <c r="A14" s="8" t="s">
        <v>723</v>
      </c>
      <c r="B14" s="19" t="s">
        <v>724</v>
      </c>
      <c r="C14" s="19" t="s">
        <v>32</v>
      </c>
      <c r="D14" s="54" t="n">
        <f aca="false">D11+D12+D13</f>
        <v>27.510214</v>
      </c>
      <c r="E14" s="54" t="n">
        <f aca="false">E11+E12+E13</f>
        <v>24.015174</v>
      </c>
      <c r="F14" s="3"/>
    </row>
    <row r="15" customFormat="false" ht="15" hidden="false" customHeight="false" outlineLevel="0" collapsed="false">
      <c r="A15" s="8" t="s">
        <v>725</v>
      </c>
      <c r="B15" s="17" t="s">
        <v>542</v>
      </c>
      <c r="C15" s="19" t="s">
        <v>32</v>
      </c>
      <c r="D15" s="54" t="n">
        <f aca="false">D6*IN_Land/1000</f>
        <v>0.02</v>
      </c>
      <c r="E15" s="54" t="n">
        <f aca="false">E6*IN_Land/1000</f>
        <v>0.02</v>
      </c>
      <c r="F15" s="3"/>
    </row>
    <row r="16" customFormat="false" ht="15" hidden="false" customHeight="false" outlineLevel="0" collapsed="false">
      <c r="A16" s="8" t="s">
        <v>726</v>
      </c>
      <c r="B16" s="17" t="s">
        <v>727</v>
      </c>
      <c r="C16" s="19" t="s">
        <v>32</v>
      </c>
      <c r="D16" s="54" t="n">
        <f aca="false">D6*IN_Bldg/1000</f>
        <v>3.6</v>
      </c>
      <c r="E16" s="54" t="n">
        <f aca="false">E6*IN_Bldg/1000</f>
        <v>3.6</v>
      </c>
      <c r="F16" s="3"/>
    </row>
    <row r="17" customFormat="false" ht="15" hidden="false" customHeight="false" outlineLevel="0" collapsed="false">
      <c r="A17" s="8" t="s">
        <v>728</v>
      </c>
      <c r="B17" s="17" t="s">
        <v>549</v>
      </c>
      <c r="C17" s="19" t="s">
        <v>32</v>
      </c>
      <c r="D17" s="54" t="n">
        <f aca="false">D6*IN_Pwr/1000</f>
        <v>4.5</v>
      </c>
      <c r="E17" s="54" t="n">
        <f aca="false">E6*IN_Pwr/1000</f>
        <v>4.5</v>
      </c>
      <c r="F17" s="3"/>
    </row>
    <row r="18" customFormat="false" ht="15" hidden="false" customHeight="false" outlineLevel="0" collapsed="false">
      <c r="A18" s="8" t="s">
        <v>729</v>
      </c>
      <c r="B18" s="17" t="s">
        <v>552</v>
      </c>
      <c r="C18" s="19" t="s">
        <v>32</v>
      </c>
      <c r="D18" s="54" t="n">
        <f aca="false">D6*IN_Mech/1000</f>
        <v>2.5</v>
      </c>
      <c r="E18" s="54" t="n">
        <f aca="false">E6*IN_Mech/1000</f>
        <v>2.5</v>
      </c>
      <c r="F18" s="3"/>
    </row>
    <row r="19" customFormat="false" ht="15" hidden="false" customHeight="false" outlineLevel="0" collapsed="false">
      <c r="A19" s="8" t="s">
        <v>730</v>
      </c>
      <c r="B19" s="17" t="s">
        <v>731</v>
      </c>
      <c r="C19" s="19" t="s">
        <v>32</v>
      </c>
      <c r="D19" s="54" t="n">
        <f aca="false">D6*IN_Fib/1000</f>
        <v>0.4</v>
      </c>
      <c r="E19" s="54" t="n">
        <f aca="false">E6*IN_Fib/1000</f>
        <v>0.4</v>
      </c>
      <c r="F19" s="3"/>
    </row>
    <row r="20" customFormat="false" ht="15" hidden="false" customHeight="false" outlineLevel="0" collapsed="false">
      <c r="A20" s="8" t="s">
        <v>732</v>
      </c>
      <c r="B20" s="17" t="s">
        <v>558</v>
      </c>
      <c r="C20" s="19" t="s">
        <v>32</v>
      </c>
      <c r="D20" s="54" t="n">
        <f aca="false">(D16+D17+D18+D19)*IN_Soft</f>
        <v>1.65</v>
      </c>
      <c r="E20" s="54" t="n">
        <f aca="false">(E16+E17+E18+E19)*IN_Soft</f>
        <v>1.65</v>
      </c>
      <c r="F20" s="3"/>
    </row>
    <row r="21" customFormat="false" ht="15" hidden="false" customHeight="false" outlineLevel="0" collapsed="false">
      <c r="A21" s="8" t="s">
        <v>733</v>
      </c>
      <c r="B21" s="17" t="s">
        <v>734</v>
      </c>
      <c r="C21" s="19" t="s">
        <v>32</v>
      </c>
      <c r="D21" s="54" t="n">
        <f aca="false">D15+D16+D17+D18+D19+D20</f>
        <v>12.67</v>
      </c>
      <c r="E21" s="54" t="n">
        <f aca="false">E15+E16+E17+E18+E19+E20</f>
        <v>12.67</v>
      </c>
      <c r="F21" s="3"/>
    </row>
    <row r="22" customFormat="false" ht="15" hidden="false" customHeight="false" outlineLevel="0" collapsed="false">
      <c r="A22" s="8" t="s">
        <v>735</v>
      </c>
      <c r="B22" s="17" t="s">
        <v>736</v>
      </c>
      <c r="C22" s="19" t="s">
        <v>32</v>
      </c>
      <c r="D22" s="54" t="n">
        <f aca="false">D14+D21</f>
        <v>40.180214</v>
      </c>
      <c r="E22" s="54" t="n">
        <f aca="false">E14+E21</f>
        <v>36.685174</v>
      </c>
      <c r="F22" s="3"/>
    </row>
    <row r="23" customFormat="false" ht="15" hidden="false" customHeight="false" outlineLevel="0" collapsed="false">
      <c r="A23" s="35" t="s">
        <v>737</v>
      </c>
      <c r="B23" s="36"/>
      <c r="C23" s="36"/>
      <c r="D23" s="36"/>
      <c r="E23" s="36"/>
      <c r="F23" s="36"/>
    </row>
    <row r="24" customFormat="false" ht="15" hidden="false" customHeight="false" outlineLevel="0" collapsed="false">
      <c r="A24" s="8" t="s">
        <v>738</v>
      </c>
      <c r="B24" s="17" t="s">
        <v>739</v>
      </c>
      <c r="C24" s="19" t="s">
        <v>32</v>
      </c>
      <c r="D24" s="54" t="n">
        <f aca="false">D6*1000*IN_Load*IN_PUE*8760*IN_Elec/1000000000</f>
        <v>0.672768</v>
      </c>
      <c r="E24" s="54" t="n">
        <f aca="false">E6*1000*IN_Load*IN_PUE*8760*IN_Elec/1000000000</f>
        <v>0.672768</v>
      </c>
      <c r="F24" s="20" t="s">
        <v>740</v>
      </c>
    </row>
    <row r="25" customFormat="false" ht="15" hidden="false" customHeight="false" outlineLevel="0" collapsed="false">
      <c r="A25" s="8" t="s">
        <v>741</v>
      </c>
      <c r="B25" s="19" t="s">
        <v>581</v>
      </c>
      <c r="C25" s="19" t="s">
        <v>32</v>
      </c>
      <c r="D25" s="54" t="n">
        <f aca="false">D14*IN_ITmaint</f>
        <v>0.432598410197339</v>
      </c>
      <c r="E25" s="54" t="n">
        <f aca="false">E14*IN_ITmaint</f>
        <v>0.377638868712998</v>
      </c>
      <c r="F25" s="3"/>
    </row>
    <row r="26" customFormat="false" ht="15" hidden="false" customHeight="false" outlineLevel="0" collapsed="false">
      <c r="A26" s="8" t="s">
        <v>742</v>
      </c>
      <c r="B26" s="17" t="s">
        <v>585</v>
      </c>
      <c r="C26" s="19" t="s">
        <v>32</v>
      </c>
      <c r="D26" s="54" t="n">
        <f aca="false">D21*IN_Fmaint</f>
        <v>0.2534</v>
      </c>
      <c r="E26" s="54" t="n">
        <f aca="false">E21*IN_Fmaint</f>
        <v>0.2534</v>
      </c>
      <c r="F26" s="3"/>
    </row>
    <row r="27" customFormat="false" ht="15" hidden="false" customHeight="false" outlineLevel="0" collapsed="false">
      <c r="A27" s="8" t="s">
        <v>743</v>
      </c>
      <c r="B27" s="17" t="s">
        <v>744</v>
      </c>
      <c r="C27" s="19" t="s">
        <v>32</v>
      </c>
      <c r="D27" s="54" t="n">
        <f aca="false">(IN_Staff*D6/1000+IN_SW*D6/1000+IN_Water*D6)/1000</f>
        <v>0.325</v>
      </c>
      <c r="E27" s="54" t="n">
        <f aca="false">(IN_Staff*E6/1000+IN_SW*E6/1000+IN_Water*E6)/1000</f>
        <v>0.325</v>
      </c>
      <c r="F27" s="3"/>
    </row>
    <row r="28" customFormat="false" ht="15" hidden="false" customHeight="false" outlineLevel="0" collapsed="false">
      <c r="A28" s="8" t="s">
        <v>745</v>
      </c>
      <c r="B28" s="17" t="s">
        <v>600</v>
      </c>
      <c r="C28" s="19" t="s">
        <v>32</v>
      </c>
      <c r="D28" s="54" t="n">
        <f aca="false">D22*IN_Tax</f>
        <v>0.20090107</v>
      </c>
      <c r="E28" s="54" t="n">
        <f aca="false">E22*IN_Tax</f>
        <v>0.18342587</v>
      </c>
      <c r="F28" s="3"/>
    </row>
    <row r="29" customFormat="false" ht="15" hidden="false" customHeight="false" outlineLevel="0" collapsed="false">
      <c r="A29" s="8" t="s">
        <v>746</v>
      </c>
      <c r="B29" s="17" t="s">
        <v>747</v>
      </c>
      <c r="C29" s="19" t="s">
        <v>32</v>
      </c>
      <c r="D29" s="54" t="n">
        <f aca="false">D24+D25+D26+D27+D28</f>
        <v>1.88466748019734</v>
      </c>
      <c r="E29" s="54" t="n">
        <f aca="false">E24+E25+E26+E27+E28</f>
        <v>1.812232738713</v>
      </c>
      <c r="F29" s="3"/>
    </row>
    <row r="30" customFormat="false" ht="15" hidden="false" customHeight="false" outlineLevel="0" collapsed="false">
      <c r="A30" s="35" t="s">
        <v>748</v>
      </c>
      <c r="B30" s="36"/>
      <c r="C30" s="36"/>
      <c r="D30" s="36"/>
      <c r="E30" s="36"/>
      <c r="F30" s="36"/>
    </row>
    <row r="31" customFormat="false" ht="15" hidden="false" customHeight="false" outlineLevel="0" collapsed="false">
      <c r="A31" s="8" t="s">
        <v>749</v>
      </c>
      <c r="B31" s="19" t="s">
        <v>750</v>
      </c>
      <c r="C31" s="19" t="s">
        <v>29</v>
      </c>
      <c r="D31" s="54" t="n">
        <f aca="false">IN_WACC/(1-(1+IN_WACC)^(-IN_ITlife))</f>
        <v>0.229607380362667</v>
      </c>
      <c r="E31" s="54" t="n">
        <f aca="false">IN_WACC/(1-(1+IN_WACC)^(-IN_ITlife))</f>
        <v>0.229607380362667</v>
      </c>
      <c r="F31" s="20" t="s">
        <v>751</v>
      </c>
    </row>
    <row r="32" customFormat="false" ht="15" hidden="false" customHeight="false" outlineLevel="0" collapsed="false">
      <c r="A32" s="8" t="s">
        <v>752</v>
      </c>
      <c r="B32" s="19" t="s">
        <v>753</v>
      </c>
      <c r="C32" s="19" t="s">
        <v>32</v>
      </c>
      <c r="D32" s="54" t="n">
        <f aca="false">D14*D31</f>
        <v>6.31654816975637</v>
      </c>
      <c r="E32" s="54" t="n">
        <f aca="false">E14*E31</f>
        <v>5.51406119109364</v>
      </c>
      <c r="F32" s="3"/>
    </row>
    <row r="33" customFormat="false" ht="15" hidden="false" customHeight="false" outlineLevel="0" collapsed="false">
      <c r="A33" s="8" t="s">
        <v>754</v>
      </c>
      <c r="B33" s="17" t="s">
        <v>755</v>
      </c>
      <c r="C33" s="19" t="s">
        <v>32</v>
      </c>
      <c r="D33" s="54" t="n">
        <f aca="false">(D16*IN_WACC/(1-(1+IN_WACC)^(-IN_L_bldg))+D17*IN_WACC/(1-(1+IN_WACC)^(-IN_L_pwr))+D18*IN_WACC/(1-(1+IN_WACC)^(-IN_L_mech))+D19*IN_WACC/(1-(1+IN_WACC)^(-IN_L_fib)))*(1+IN_Soft)+D15*IN_WACC</f>
        <v>1.50187163616098</v>
      </c>
      <c r="E33" s="54" t="n">
        <f aca="false">(E16*IN_WACC/(1-(1+IN_WACC)^(-IN_L_bldg))+E17*IN_WACC/(1-(1+IN_WACC)^(-IN_L_pwr))+E18*IN_WACC/(1-(1+IN_WACC)^(-IN_L_mech))+E19*IN_WACC/(1-(1+IN_WACC)^(-IN_L_fib)))*(1+IN_Soft)+E15*IN_WACC</f>
        <v>1.50187163616098</v>
      </c>
      <c r="F33" s="3"/>
    </row>
    <row r="34" customFormat="false" ht="15" hidden="false" customHeight="false" outlineLevel="0" collapsed="false">
      <c r="A34" s="8" t="s">
        <v>756</v>
      </c>
      <c r="B34" s="9" t="s">
        <v>757</v>
      </c>
      <c r="C34" s="19" t="s">
        <v>48</v>
      </c>
      <c r="D34" s="54" t="n">
        <f aca="false">D32+D33+D29</f>
        <v>9.70308728611469</v>
      </c>
      <c r="E34" s="54" t="n">
        <f aca="false">E32+E33+E29</f>
        <v>8.82816556596761</v>
      </c>
      <c r="F34" s="3" t="s">
        <v>758</v>
      </c>
    </row>
    <row r="35" customFormat="false" ht="15" hidden="false" customHeight="false" outlineLevel="0" collapsed="false">
      <c r="A35" s="1"/>
      <c r="B35" s="30" t="s">
        <v>759</v>
      </c>
      <c r="C35" s="1"/>
      <c r="D35" s="55" t="n">
        <v>9.70308728611469</v>
      </c>
      <c r="E35" s="55" t="n">
        <v>8.82816556596761</v>
      </c>
      <c r="F35" s="1"/>
    </row>
    <row r="36" customFormat="false" ht="15" hidden="false" customHeight="false" outlineLevel="0" collapsed="false">
      <c r="A36" s="1"/>
      <c r="B36" s="9" t="s">
        <v>760</v>
      </c>
      <c r="C36" s="1"/>
      <c r="D36" s="31" t="n">
        <f aca="false">D34/D35-1</f>
        <v>0</v>
      </c>
      <c r="E36" s="31" t="n">
        <f aca="false">E34/E35-1</f>
        <v>0</v>
      </c>
      <c r="F3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9" min="4" style="0" width="15"/>
    <col collapsed="false" customWidth="true" hidden="false" outlineLevel="0" max="10" min="10" style="0" width="70"/>
  </cols>
  <sheetData>
    <row r="1" customFormat="false" ht="20.1" hidden="false" customHeight="false" outlineLevel="0" collapsed="false">
      <c r="A1" s="53" t="s">
        <v>761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30" t="s">
        <v>762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2" t="s">
        <v>697</v>
      </c>
      <c r="B4" s="12" t="s">
        <v>97</v>
      </c>
      <c r="C4" s="12" t="s">
        <v>26</v>
      </c>
      <c r="D4" s="11" t="s">
        <v>763</v>
      </c>
      <c r="E4" s="11" t="s">
        <v>764</v>
      </c>
      <c r="F4" s="11" t="s">
        <v>765</v>
      </c>
      <c r="G4" s="11" t="s">
        <v>766</v>
      </c>
      <c r="H4" s="11" t="s">
        <v>767</v>
      </c>
      <c r="I4" s="11" t="s">
        <v>768</v>
      </c>
      <c r="J4" s="12" t="s">
        <v>769</v>
      </c>
    </row>
    <row r="5" customFormat="false" ht="15" hidden="false" customHeight="false" outlineLevel="0" collapsed="false">
      <c r="A5" s="35" t="s">
        <v>770</v>
      </c>
      <c r="B5" s="36"/>
      <c r="C5" s="36"/>
      <c r="D5" s="36"/>
      <c r="E5" s="36"/>
      <c r="F5" s="36"/>
      <c r="G5" s="36"/>
      <c r="H5" s="36"/>
      <c r="I5" s="36"/>
      <c r="J5" s="36"/>
    </row>
    <row r="6" customFormat="false" ht="15" hidden="false" customHeight="false" outlineLevel="0" collapsed="false">
      <c r="A6" s="8" t="s">
        <v>771</v>
      </c>
      <c r="B6" s="6" t="s">
        <v>772</v>
      </c>
      <c r="C6" s="19" t="s">
        <v>288</v>
      </c>
      <c r="D6" s="56" t="n">
        <f aca="false">IN_Peak_H</f>
        <v>1.979</v>
      </c>
      <c r="E6" s="56" t="n">
        <f aca="false">IN_Peak_H</f>
        <v>1.979</v>
      </c>
      <c r="F6" s="56" t="n">
        <f aca="false">IN_Peak_H</f>
        <v>1.979</v>
      </c>
      <c r="G6" s="56" t="n">
        <f aca="false">IN_Peak_G</f>
        <v>10</v>
      </c>
      <c r="H6" s="56" t="n">
        <f aca="false">IN_Peak_G</f>
        <v>10</v>
      </c>
      <c r="I6" s="56" t="n">
        <f aca="false">IN_Peak_G</f>
        <v>10</v>
      </c>
      <c r="J6" s="3"/>
    </row>
    <row r="7" customFormat="false" ht="15" hidden="false" customHeight="false" outlineLevel="0" collapsed="false">
      <c r="A7" s="8" t="s">
        <v>773</v>
      </c>
      <c r="B7" s="4" t="s">
        <v>774</v>
      </c>
      <c r="C7" s="19" t="s">
        <v>775</v>
      </c>
      <c r="D7" s="56" t="n">
        <f aca="false">IN_HBM_H</f>
        <v>80</v>
      </c>
      <c r="E7" s="56" t="n">
        <f aca="false">IN_HBM_H</f>
        <v>80</v>
      </c>
      <c r="F7" s="56" t="n">
        <f aca="false">IN_HBM_H</f>
        <v>80</v>
      </c>
      <c r="G7" s="56" t="n">
        <f aca="false">IN_HBM_G</f>
        <v>186</v>
      </c>
      <c r="H7" s="56" t="n">
        <f aca="false">IN_HBM_G</f>
        <v>186</v>
      </c>
      <c r="I7" s="56" t="n">
        <f aca="false">IN_HBM_G</f>
        <v>186</v>
      </c>
      <c r="J7" s="3"/>
    </row>
    <row r="8" customFormat="false" ht="15" hidden="false" customHeight="false" outlineLevel="0" collapsed="false">
      <c r="A8" s="8" t="s">
        <v>776</v>
      </c>
      <c r="B8" s="4" t="s">
        <v>777</v>
      </c>
      <c r="C8" s="19" t="s">
        <v>778</v>
      </c>
      <c r="D8" s="56" t="n">
        <f aca="false">IN_BW_H</f>
        <v>3.35</v>
      </c>
      <c r="E8" s="56" t="n">
        <f aca="false">IN_BW_H</f>
        <v>3.35</v>
      </c>
      <c r="F8" s="56" t="n">
        <f aca="false">IN_BW_H</f>
        <v>3.35</v>
      </c>
      <c r="G8" s="56" t="n">
        <f aca="false">IN_BW_G</f>
        <v>8</v>
      </c>
      <c r="H8" s="56" t="n">
        <f aca="false">IN_BW_G</f>
        <v>8</v>
      </c>
      <c r="I8" s="56" t="n">
        <f aca="false">IN_BW_G</f>
        <v>8</v>
      </c>
      <c r="J8" s="3"/>
    </row>
    <row r="9" customFormat="false" ht="15" hidden="false" customHeight="false" outlineLevel="0" collapsed="false">
      <c r="A9" s="8" t="s">
        <v>779</v>
      </c>
      <c r="B9" s="4" t="s">
        <v>780</v>
      </c>
      <c r="C9" s="19" t="s">
        <v>778</v>
      </c>
      <c r="D9" s="56" t="n">
        <f aca="false">IN_EPBW_H</f>
        <v>0.05</v>
      </c>
      <c r="E9" s="56" t="n">
        <f aca="false">IN_EPBW_H</f>
        <v>0.05</v>
      </c>
      <c r="F9" s="56" t="n">
        <f aca="false">IN_EPBW_H</f>
        <v>0.05</v>
      </c>
      <c r="G9" s="56" t="n">
        <f aca="false">IN_EPBW_G</f>
        <v>0.9</v>
      </c>
      <c r="H9" s="56" t="n">
        <f aca="false">IN_EPBW_G</f>
        <v>0.9</v>
      </c>
      <c r="I9" s="56" t="n">
        <f aca="false">IN_EPBW_G</f>
        <v>0.9</v>
      </c>
      <c r="J9" s="3"/>
    </row>
    <row r="10" customFormat="false" ht="15" hidden="false" customHeight="false" outlineLevel="0" collapsed="false">
      <c r="A10" s="8" t="s">
        <v>781</v>
      </c>
      <c r="B10" s="4" t="s">
        <v>782</v>
      </c>
      <c r="C10" s="19" t="s">
        <v>317</v>
      </c>
      <c r="D10" s="56" t="n">
        <f aca="false">IN_EPW_H</f>
        <v>64</v>
      </c>
      <c r="E10" s="56" t="n">
        <f aca="false">IN_EPW_H</f>
        <v>64</v>
      </c>
      <c r="F10" s="56" t="n">
        <f aca="false">IN_EPW_H</f>
        <v>64</v>
      </c>
      <c r="G10" s="56" t="n">
        <f aca="false">IN_EPW_G</f>
        <v>32</v>
      </c>
      <c r="H10" s="56" t="n">
        <f aca="false">IN_EPW_G</f>
        <v>32</v>
      </c>
      <c r="I10" s="56" t="n">
        <f aca="false">IN_EPW_G</f>
        <v>32</v>
      </c>
      <c r="J10" s="3"/>
    </row>
    <row r="11" customFormat="false" ht="15" hidden="false" customHeight="false" outlineLevel="0" collapsed="false">
      <c r="A11" s="8" t="s">
        <v>783</v>
      </c>
      <c r="B11" s="6" t="s">
        <v>784</v>
      </c>
      <c r="C11" s="19" t="s">
        <v>119</v>
      </c>
      <c r="D11" s="56" t="n">
        <f aca="false">IN_EB_H</f>
        <v>1</v>
      </c>
      <c r="E11" s="56" t="n">
        <f aca="false">IN_EB_H</f>
        <v>1</v>
      </c>
      <c r="F11" s="56" t="n">
        <f aca="false">IN_EB_H</f>
        <v>1</v>
      </c>
      <c r="G11" s="56" t="n">
        <f aca="false">IN_EB_G</f>
        <v>0.5625</v>
      </c>
      <c r="H11" s="56" t="n">
        <f aca="false">IN_EB_G</f>
        <v>0.5625</v>
      </c>
      <c r="I11" s="56" t="n">
        <f aca="false">IN_EB_G</f>
        <v>0.5625</v>
      </c>
      <c r="J11" s="3"/>
    </row>
    <row r="12" customFormat="false" ht="15" hidden="false" customHeight="false" outlineLevel="0" collapsed="false">
      <c r="A12" s="8" t="s">
        <v>785</v>
      </c>
      <c r="B12" s="6" t="s">
        <v>786</v>
      </c>
      <c r="C12" s="19" t="s">
        <v>119</v>
      </c>
      <c r="D12" s="56" t="n">
        <f aca="false">IN_NEB_H</f>
        <v>1</v>
      </c>
      <c r="E12" s="56" t="n">
        <f aca="false">IN_NEB_H</f>
        <v>1</v>
      </c>
      <c r="F12" s="56" t="n">
        <f aca="false">IN_NEB_H</f>
        <v>1</v>
      </c>
      <c r="G12" s="56" t="n">
        <f aca="false">IN_NEB_G</f>
        <v>1</v>
      </c>
      <c r="H12" s="56" t="n">
        <f aca="false">IN_NEB_G</f>
        <v>1</v>
      </c>
      <c r="I12" s="56" t="n">
        <f aca="false">IN_NEB_G</f>
        <v>1</v>
      </c>
      <c r="J12" s="3"/>
    </row>
    <row r="13" customFormat="false" ht="15" hidden="false" customHeight="false" outlineLevel="0" collapsed="false">
      <c r="A13" s="8" t="s">
        <v>787</v>
      </c>
      <c r="B13" s="6" t="s">
        <v>788</v>
      </c>
      <c r="C13" s="19" t="s">
        <v>317</v>
      </c>
      <c r="D13" s="56" t="n">
        <f aca="false">IN_PFG_H</f>
        <v>8</v>
      </c>
      <c r="E13" s="56" t="n">
        <f aca="false">IN_PFG_H</f>
        <v>8</v>
      </c>
      <c r="F13" s="56" t="n">
        <f aca="false">IN_PFG_H</f>
        <v>8</v>
      </c>
      <c r="G13" s="56" t="n">
        <f aca="false">IN_PFG_G</f>
        <v>4</v>
      </c>
      <c r="H13" s="56" t="n">
        <f aca="false">IN_PFG_G</f>
        <v>4</v>
      </c>
      <c r="I13" s="56" t="n">
        <f aca="false">IN_PFG_G</f>
        <v>4</v>
      </c>
      <c r="J13" s="3"/>
    </row>
    <row r="14" customFormat="false" ht="15" hidden="false" customHeight="false" outlineLevel="0" collapsed="false">
      <c r="A14" s="8" t="s">
        <v>789</v>
      </c>
      <c r="B14" s="4" t="s">
        <v>790</v>
      </c>
      <c r="C14" s="17" t="s">
        <v>342</v>
      </c>
      <c r="D14" s="56" t="n">
        <f aca="false">IN_GPR_H</f>
        <v>32</v>
      </c>
      <c r="E14" s="56" t="n">
        <f aca="false">IN_GPR_H</f>
        <v>32</v>
      </c>
      <c r="F14" s="56" t="n">
        <f aca="false">IN_GPR_H</f>
        <v>32</v>
      </c>
      <c r="G14" s="56" t="n">
        <f aca="false">IN_GPR_G</f>
        <v>72</v>
      </c>
      <c r="H14" s="56" t="n">
        <f aca="false">IN_GPR_G</f>
        <v>72</v>
      </c>
      <c r="I14" s="56" t="n">
        <f aca="false">IN_GPR_G</f>
        <v>72</v>
      </c>
      <c r="J14" s="3"/>
    </row>
    <row r="15" customFormat="false" ht="15" hidden="false" customHeight="false" outlineLevel="0" collapsed="false">
      <c r="A15" s="8" t="s">
        <v>791</v>
      </c>
      <c r="B15" s="6" t="s">
        <v>792</v>
      </c>
      <c r="C15" s="17" t="s">
        <v>711</v>
      </c>
      <c r="D15" s="56" t="n">
        <f aca="false">4_持有成本!D$8</f>
        <v>22439</v>
      </c>
      <c r="E15" s="56" t="n">
        <f aca="false">4_持有成本!D$8</f>
        <v>22439</v>
      </c>
      <c r="F15" s="56" t="n">
        <f aca="false">4_持有成本!D$8</f>
        <v>22439</v>
      </c>
      <c r="G15" s="56" t="n">
        <f aca="false">4_持有成本!E$8</f>
        <v>6969</v>
      </c>
      <c r="H15" s="56" t="n">
        <f aca="false">4_持有成本!E$8</f>
        <v>6969</v>
      </c>
      <c r="I15" s="56" t="n">
        <f aca="false">4_持有成本!E$8</f>
        <v>6969</v>
      </c>
      <c r="J15" s="3" t="s">
        <v>793</v>
      </c>
    </row>
    <row r="16" customFormat="false" ht="15" hidden="false" customHeight="false" outlineLevel="0" collapsed="false">
      <c r="A16" s="35" t="s">
        <v>794</v>
      </c>
      <c r="B16" s="36"/>
      <c r="C16" s="36"/>
      <c r="D16" s="36"/>
      <c r="E16" s="36"/>
      <c r="F16" s="36"/>
      <c r="G16" s="36"/>
      <c r="H16" s="36"/>
      <c r="I16" s="36"/>
      <c r="J16" s="36"/>
    </row>
    <row r="17" customFormat="false" ht="15" hidden="false" customHeight="false" outlineLevel="0" collapsed="false">
      <c r="A17" s="8" t="s">
        <v>795</v>
      </c>
      <c r="B17" s="6" t="s">
        <v>796</v>
      </c>
      <c r="C17" s="19" t="s">
        <v>119</v>
      </c>
      <c r="D17" s="56" t="n">
        <f aca="false">IN_Act_L</f>
        <v>13</v>
      </c>
      <c r="E17" s="56" t="n">
        <f aca="false">IN_Act_S</f>
        <v>49</v>
      </c>
      <c r="F17" s="56" t="n">
        <f aca="false">IN_Act_A</f>
        <v>180</v>
      </c>
      <c r="G17" s="56" t="n">
        <f aca="false">IN_Act_L</f>
        <v>13</v>
      </c>
      <c r="H17" s="56" t="n">
        <f aca="false">IN_Act_S</f>
        <v>49</v>
      </c>
      <c r="I17" s="56" t="n">
        <f aca="false">IN_Act_A</f>
        <v>180</v>
      </c>
      <c r="J17" s="3"/>
    </row>
    <row r="18" customFormat="false" ht="15" hidden="false" customHeight="false" outlineLevel="0" collapsed="false">
      <c r="A18" s="8" t="s">
        <v>797</v>
      </c>
      <c r="B18" s="6" t="s">
        <v>798</v>
      </c>
      <c r="C18" s="17" t="s">
        <v>377</v>
      </c>
      <c r="D18" s="56" t="n">
        <f aca="false">IN_Lay_L</f>
        <v>43</v>
      </c>
      <c r="E18" s="56" t="n">
        <f aca="false">IN_Lay_S</f>
        <v>61</v>
      </c>
      <c r="F18" s="56" t="n">
        <f aca="false">IN_Lay_A</f>
        <v>100</v>
      </c>
      <c r="G18" s="56" t="n">
        <f aca="false">IN_Lay_L</f>
        <v>43</v>
      </c>
      <c r="H18" s="56" t="n">
        <f aca="false">IN_Lay_S</f>
        <v>61</v>
      </c>
      <c r="I18" s="56" t="n">
        <f aca="false">IN_Lay_A</f>
        <v>100</v>
      </c>
      <c r="J18" s="3"/>
    </row>
    <row r="19" customFormat="false" ht="15" hidden="false" customHeight="false" outlineLevel="0" collapsed="false">
      <c r="A19" s="8" t="s">
        <v>799</v>
      </c>
      <c r="B19" s="4" t="s">
        <v>800</v>
      </c>
      <c r="C19" s="19"/>
      <c r="D19" s="56" t="n">
        <f aca="false">IN_Dm_L</f>
        <v>4096</v>
      </c>
      <c r="E19" s="56" t="n">
        <f aca="false">IN_Dm_S</f>
        <v>7168</v>
      </c>
      <c r="F19" s="56" t="n">
        <f aca="false">IN_Dm_A</f>
        <v>12288</v>
      </c>
      <c r="G19" s="56" t="n">
        <f aca="false">IN_Dm_L</f>
        <v>4096</v>
      </c>
      <c r="H19" s="56" t="n">
        <f aca="false">IN_Dm_S</f>
        <v>7168</v>
      </c>
      <c r="I19" s="56" t="n">
        <f aca="false">IN_Dm_A</f>
        <v>12288</v>
      </c>
      <c r="J19" s="3"/>
    </row>
    <row r="20" customFormat="false" ht="15" hidden="false" customHeight="false" outlineLevel="0" collapsed="false">
      <c r="A20" s="8" t="s">
        <v>801</v>
      </c>
      <c r="B20" s="6" t="s">
        <v>802</v>
      </c>
      <c r="C20" s="19"/>
      <c r="D20" s="56" t="n">
        <f aca="false">IN_Exp_L</f>
        <v>6</v>
      </c>
      <c r="E20" s="56" t="n">
        <f aca="false">IN_Exp_S</f>
        <v>6</v>
      </c>
      <c r="F20" s="56" t="n">
        <f aca="false">IN_Exp_A</f>
        <v>16</v>
      </c>
      <c r="G20" s="56" t="n">
        <f aca="false">IN_Exp_L</f>
        <v>6</v>
      </c>
      <c r="H20" s="56" t="n">
        <f aca="false">IN_Exp_S</f>
        <v>6</v>
      </c>
      <c r="I20" s="56" t="n">
        <f aca="false">IN_Exp_A</f>
        <v>16</v>
      </c>
      <c r="J20" s="3"/>
    </row>
    <row r="21" customFormat="false" ht="15" hidden="false" customHeight="false" outlineLevel="0" collapsed="false">
      <c r="A21" s="8" t="s">
        <v>803</v>
      </c>
      <c r="B21" s="6" t="s">
        <v>804</v>
      </c>
      <c r="C21" s="19" t="s">
        <v>119</v>
      </c>
      <c r="D21" s="56" t="n">
        <f aca="false">IN_NEP_L</f>
        <v>5.412</v>
      </c>
      <c r="E21" s="56" t="n">
        <f aca="false">IN_NEP_S</f>
        <v>20.2777777777778</v>
      </c>
      <c r="F21" s="56" t="n">
        <f aca="false">IN_NEP_A</f>
        <v>49.0725806451613</v>
      </c>
      <c r="G21" s="56" t="n">
        <f aca="false">IN_NEP_L</f>
        <v>5.412</v>
      </c>
      <c r="H21" s="56" t="n">
        <f aca="false">IN_NEP_S</f>
        <v>20.2777777777778</v>
      </c>
      <c r="I21" s="56" t="n">
        <f aca="false">IN_NEP_A</f>
        <v>49.0725806451613</v>
      </c>
      <c r="J21" s="3"/>
    </row>
    <row r="22" customFormat="false" ht="15" hidden="false" customHeight="false" outlineLevel="0" collapsed="false">
      <c r="A22" s="8" t="s">
        <v>805</v>
      </c>
      <c r="B22" s="6" t="s">
        <v>806</v>
      </c>
      <c r="C22" s="19" t="s">
        <v>119</v>
      </c>
      <c r="D22" s="56" t="n">
        <f aca="false">IN_EP_L</f>
        <v>278.588</v>
      </c>
      <c r="E22" s="56" t="n">
        <f aca="false">IN_EP_S</f>
        <v>1579.72222222222</v>
      </c>
      <c r="F22" s="56" t="n">
        <f aca="false">IN_EP_A</f>
        <v>3950.92741935484</v>
      </c>
      <c r="G22" s="56" t="n">
        <f aca="false">IN_EP_L</f>
        <v>278.588</v>
      </c>
      <c r="H22" s="56" t="n">
        <f aca="false">IN_EP_S</f>
        <v>1579.72222222222</v>
      </c>
      <c r="I22" s="56" t="n">
        <f aca="false">IN_EP_A</f>
        <v>3950.92741935484</v>
      </c>
      <c r="J22" s="3"/>
    </row>
    <row r="23" customFormat="false" ht="15" hidden="false" customHeight="false" outlineLevel="0" collapsed="false">
      <c r="A23" s="8" t="s">
        <v>807</v>
      </c>
      <c r="B23" s="4" t="s">
        <v>808</v>
      </c>
      <c r="C23" s="19" t="s">
        <v>119</v>
      </c>
      <c r="D23" s="56" t="n">
        <f aca="false">IN_KV_L</f>
        <v>2795</v>
      </c>
      <c r="E23" s="56" t="n">
        <f aca="false">IN_KV_S</f>
        <v>3965</v>
      </c>
      <c r="F23" s="56" t="n">
        <f aca="false">IN_KV_A</f>
        <v>57600</v>
      </c>
      <c r="G23" s="56" t="n">
        <f aca="false">IN_KV_L</f>
        <v>2795</v>
      </c>
      <c r="H23" s="56" t="n">
        <f aca="false">IN_KV_S</f>
        <v>3965</v>
      </c>
      <c r="I23" s="56" t="n">
        <f aca="false">IN_KV_A</f>
        <v>57600</v>
      </c>
      <c r="J23" s="3"/>
    </row>
    <row r="24" customFormat="false" ht="15" hidden="false" customHeight="false" outlineLevel="0" collapsed="false">
      <c r="A24" s="8" t="s">
        <v>809</v>
      </c>
      <c r="B24" s="6" t="s">
        <v>810</v>
      </c>
      <c r="C24" s="19" t="s">
        <v>433</v>
      </c>
      <c r="D24" s="56" t="n">
        <f aca="false">IN_AF_L</f>
        <v>5636096</v>
      </c>
      <c r="E24" s="56" t="n">
        <f aca="false">IN_AF_S</f>
        <v>15990784</v>
      </c>
      <c r="F24" s="56" t="n">
        <f aca="false">IN_AF_A</f>
        <v>4915200</v>
      </c>
      <c r="G24" s="56" t="n">
        <f aca="false">IN_AF_L</f>
        <v>5636096</v>
      </c>
      <c r="H24" s="56" t="n">
        <f aca="false">IN_AF_S</f>
        <v>15990784</v>
      </c>
      <c r="I24" s="56" t="n">
        <f aca="false">IN_AF_A</f>
        <v>4915200</v>
      </c>
      <c r="J24" s="3"/>
    </row>
    <row r="25" customFormat="false" ht="15" hidden="false" customHeight="false" outlineLevel="0" collapsed="false">
      <c r="A25" s="8" t="s">
        <v>811</v>
      </c>
      <c r="B25" s="6" t="s">
        <v>812</v>
      </c>
      <c r="C25" s="19" t="s">
        <v>121</v>
      </c>
      <c r="D25" s="56" t="n">
        <f aca="false">IN_FA_L</f>
        <v>0.512</v>
      </c>
      <c r="E25" s="56" t="n">
        <f aca="false">IN_FA_S</f>
        <v>0.492</v>
      </c>
      <c r="F25" s="56" t="n">
        <f aca="false">IN_FA_A</f>
        <v>1</v>
      </c>
      <c r="G25" s="56" t="n">
        <f aca="false">IN_FA_L</f>
        <v>0.512</v>
      </c>
      <c r="H25" s="56" t="n">
        <f aca="false">IN_FA_S</f>
        <v>0.492</v>
      </c>
      <c r="I25" s="56" t="n">
        <f aca="false">IN_FA_A</f>
        <v>1</v>
      </c>
      <c r="J25" s="3"/>
    </row>
    <row r="26" customFormat="false" ht="15" hidden="false" customHeight="false" outlineLevel="0" collapsed="false">
      <c r="A26" s="8" t="s">
        <v>813</v>
      </c>
      <c r="B26" s="6" t="s">
        <v>814</v>
      </c>
      <c r="C26" s="19" t="s">
        <v>209</v>
      </c>
      <c r="D26" s="56" t="n">
        <f aca="false">IN_Span_L</f>
        <v>4224</v>
      </c>
      <c r="E26" s="56" t="n">
        <f aca="false">IN_Span_S</f>
        <v>4224</v>
      </c>
      <c r="F26" s="56" t="n">
        <f aca="false">IN_Span_A</f>
        <v>0</v>
      </c>
      <c r="G26" s="56" t="n">
        <f aca="false">IN_Span_L</f>
        <v>4224</v>
      </c>
      <c r="H26" s="56" t="n">
        <f aca="false">IN_Span_S</f>
        <v>4224</v>
      </c>
      <c r="I26" s="56" t="n">
        <f aca="false">IN_Span_A</f>
        <v>0</v>
      </c>
      <c r="J26" s="3"/>
    </row>
    <row r="27" customFormat="false" ht="15" hidden="false" customHeight="false" outlineLevel="0" collapsed="false">
      <c r="A27" s="8" t="s">
        <v>815</v>
      </c>
      <c r="B27" s="6" t="s">
        <v>816</v>
      </c>
      <c r="C27" s="19" t="s">
        <v>29</v>
      </c>
      <c r="D27" s="56" t="n">
        <f aca="false">IN_Cmp_L</f>
        <v>128</v>
      </c>
      <c r="E27" s="56" t="n">
        <f aca="false">IN_Cmp_S</f>
        <v>128</v>
      </c>
      <c r="F27" s="56" t="n">
        <f aca="false">IN_Cmp_A</f>
        <v>1</v>
      </c>
      <c r="G27" s="56" t="n">
        <f aca="false">IN_Cmp_L</f>
        <v>128</v>
      </c>
      <c r="H27" s="56" t="n">
        <f aca="false">IN_Cmp_S</f>
        <v>128</v>
      </c>
      <c r="I27" s="56" t="n">
        <f aca="false">IN_Cmp_A</f>
        <v>1</v>
      </c>
      <c r="J27" s="3"/>
    </row>
    <row r="28" customFormat="false" ht="15" hidden="false" customHeight="false" outlineLevel="0" collapsed="false">
      <c r="A28" s="8" t="s">
        <v>817</v>
      </c>
      <c r="B28" s="6" t="s">
        <v>818</v>
      </c>
      <c r="C28" s="19" t="s">
        <v>209</v>
      </c>
      <c r="D28" s="56" t="n">
        <f aca="false">IN_Win_L</f>
        <v>128</v>
      </c>
      <c r="E28" s="56" t="n">
        <f aca="false">IN_Win_S</f>
        <v>128</v>
      </c>
      <c r="F28" s="56" t="n">
        <f aca="false">IN_Win_A</f>
        <v>0</v>
      </c>
      <c r="G28" s="56" t="n">
        <f aca="false">IN_Win_L</f>
        <v>128</v>
      </c>
      <c r="H28" s="56" t="n">
        <f aca="false">IN_Win_S</f>
        <v>128</v>
      </c>
      <c r="I28" s="56" t="n">
        <f aca="false">IN_Win_A</f>
        <v>0</v>
      </c>
      <c r="J28" s="3"/>
    </row>
    <row r="29" customFormat="false" ht="15" hidden="false" customHeight="false" outlineLevel="0" collapsed="false">
      <c r="A29" s="35" t="s">
        <v>819</v>
      </c>
      <c r="B29" s="36"/>
      <c r="C29" s="36"/>
      <c r="D29" s="36"/>
      <c r="E29" s="36"/>
      <c r="F29" s="36"/>
      <c r="G29" s="36"/>
      <c r="H29" s="36"/>
      <c r="I29" s="36"/>
      <c r="J29" s="36"/>
    </row>
    <row r="30" customFormat="false" ht="15" hidden="false" customHeight="false" outlineLevel="0" collapsed="false">
      <c r="A30" s="8" t="s">
        <v>820</v>
      </c>
      <c r="B30" s="4" t="s">
        <v>821</v>
      </c>
      <c r="C30" s="19" t="s">
        <v>481</v>
      </c>
      <c r="D30" s="56" t="n">
        <f aca="false">IN_SLO_L</f>
        <v>84.3000593119602</v>
      </c>
      <c r="E30" s="56" t="n">
        <f aca="false">IN_SLO_S</f>
        <v>43.31166124729</v>
      </c>
      <c r="F30" s="56" t="n">
        <f aca="false">IN_SLO_A</f>
        <v>40.8313604965595</v>
      </c>
      <c r="G30" s="56" t="n">
        <f aca="false">IN_SLO_L</f>
        <v>84.3000593119602</v>
      </c>
      <c r="H30" s="56" t="n">
        <f aca="false">IN_SLO_S</f>
        <v>43.31166124729</v>
      </c>
      <c r="I30" s="56" t="n">
        <f aca="false">IN_SLO_A</f>
        <v>40.8313604965595</v>
      </c>
      <c r="J30" s="3"/>
    </row>
    <row r="31" customFormat="false" ht="15" hidden="false" customHeight="false" outlineLevel="0" collapsed="false">
      <c r="A31" s="8" t="s">
        <v>822</v>
      </c>
      <c r="B31" s="4" t="s">
        <v>823</v>
      </c>
      <c r="C31" s="19" t="s">
        <v>492</v>
      </c>
      <c r="D31" s="56" t="n">
        <f aca="false">IN_TTFT_L</f>
        <v>2</v>
      </c>
      <c r="E31" s="56" t="n">
        <f aca="false">IN_TTFT_S</f>
        <v>3</v>
      </c>
      <c r="F31" s="56" t="n">
        <f aca="false">IN_TTFT_A</f>
        <v>5</v>
      </c>
      <c r="G31" s="56" t="n">
        <f aca="false">IN_TTFT_L</f>
        <v>2</v>
      </c>
      <c r="H31" s="56" t="n">
        <f aca="false">IN_TTFT_S</f>
        <v>3</v>
      </c>
      <c r="I31" s="56" t="n">
        <f aca="false">IN_TTFT_A</f>
        <v>5</v>
      </c>
      <c r="J31" s="3"/>
    </row>
    <row r="32" customFormat="false" ht="15" hidden="false" customHeight="false" outlineLevel="0" collapsed="false">
      <c r="A32" s="8" t="s">
        <v>824</v>
      </c>
      <c r="B32" s="6" t="s">
        <v>825</v>
      </c>
      <c r="C32" s="19" t="s">
        <v>209</v>
      </c>
      <c r="D32" s="56" t="n">
        <f aca="false">IN_ISL_L</f>
        <v>8192</v>
      </c>
      <c r="E32" s="56" t="n">
        <f aca="false">IN_ISL_S</f>
        <v>16384</v>
      </c>
      <c r="F32" s="56" t="n">
        <f aca="false">IN_ISL_A</f>
        <v>32768</v>
      </c>
      <c r="G32" s="56" t="n">
        <f aca="false">IN_ISL_L</f>
        <v>8192</v>
      </c>
      <c r="H32" s="56" t="n">
        <f aca="false">IN_ISL_S</f>
        <v>16384</v>
      </c>
      <c r="I32" s="56" t="n">
        <f aca="false">IN_ISL_A</f>
        <v>32768</v>
      </c>
      <c r="J32" s="3"/>
    </row>
    <row r="33" customFormat="false" ht="15" hidden="false" customHeight="false" outlineLevel="0" collapsed="false">
      <c r="A33" s="8" t="s">
        <v>826</v>
      </c>
      <c r="B33" s="6" t="s">
        <v>827</v>
      </c>
      <c r="C33" s="19" t="s">
        <v>209</v>
      </c>
      <c r="D33" s="56" t="n">
        <f aca="false">IN_OSL_L</f>
        <v>1024</v>
      </c>
      <c r="E33" s="56" t="n">
        <f aca="false">IN_OSL_S</f>
        <v>2048</v>
      </c>
      <c r="F33" s="56" t="n">
        <f aca="false">IN_OSL_A</f>
        <v>4096</v>
      </c>
      <c r="G33" s="56" t="n">
        <f aca="false">IN_OSL_L</f>
        <v>1024</v>
      </c>
      <c r="H33" s="56" t="n">
        <f aca="false">IN_OSL_S</f>
        <v>2048</v>
      </c>
      <c r="I33" s="56" t="n">
        <f aca="false">IN_OSL_A</f>
        <v>4096</v>
      </c>
      <c r="J33" s="3"/>
    </row>
    <row r="34" customFormat="false" ht="15" hidden="false" customHeight="false" outlineLevel="0" collapsed="false">
      <c r="A34" s="8" t="s">
        <v>828</v>
      </c>
      <c r="B34" s="4" t="s">
        <v>829</v>
      </c>
      <c r="C34" s="19" t="s">
        <v>209</v>
      </c>
      <c r="D34" s="54" t="n">
        <f aca="false">D32+D33/2</f>
        <v>8704</v>
      </c>
      <c r="E34" s="54" t="n">
        <f aca="false">E32+E33/2</f>
        <v>17408</v>
      </c>
      <c r="F34" s="54" t="n">
        <f aca="false">F32+F33/2</f>
        <v>34816</v>
      </c>
      <c r="G34" s="54" t="n">
        <f aca="false">G32+G33/2</f>
        <v>8704</v>
      </c>
      <c r="H34" s="54" t="n">
        <f aca="false">H32+H33/2</f>
        <v>17408</v>
      </c>
      <c r="I34" s="54" t="n">
        <f aca="false">I32+I33/2</f>
        <v>34816</v>
      </c>
      <c r="J34" s="20" t="s">
        <v>830</v>
      </c>
    </row>
    <row r="35" customFormat="false" ht="15" hidden="false" customHeight="false" outlineLevel="0" collapsed="false">
      <c r="A35" s="8" t="s">
        <v>831</v>
      </c>
      <c r="B35" s="4" t="s">
        <v>832</v>
      </c>
      <c r="C35" s="19" t="s">
        <v>209</v>
      </c>
      <c r="D35" s="54" t="n">
        <f aca="false">D32/2</f>
        <v>4096</v>
      </c>
      <c r="E35" s="54" t="n">
        <f aca="false">E32/2</f>
        <v>8192</v>
      </c>
      <c r="F35" s="54" t="n">
        <f aca="false">F32/2</f>
        <v>16384</v>
      </c>
      <c r="G35" s="54" t="n">
        <f aca="false">G32/2</f>
        <v>4096</v>
      </c>
      <c r="H35" s="54" t="n">
        <f aca="false">H32/2</f>
        <v>8192</v>
      </c>
      <c r="I35" s="54" t="n">
        <f aca="false">I32/2</f>
        <v>16384</v>
      </c>
      <c r="J35" s="20" t="s">
        <v>833</v>
      </c>
    </row>
    <row r="36" customFormat="false" ht="15" hidden="false" customHeight="false" outlineLevel="0" collapsed="false">
      <c r="A36" s="8" t="s">
        <v>834</v>
      </c>
      <c r="B36" s="6" t="s">
        <v>835</v>
      </c>
      <c r="C36" s="19" t="s">
        <v>209</v>
      </c>
      <c r="D36" s="54" t="n">
        <f aca="false">(1-IN_MTP_a^(IN_MTP_N+1))/(1-IN_MTP_a)</f>
        <v>2.533</v>
      </c>
      <c r="E36" s="54" t="n">
        <f aca="false">(1-IN_MTP_a^(IN_MTP_N+1))/(1-IN_MTP_a)</f>
        <v>2.533</v>
      </c>
      <c r="F36" s="54" t="n">
        <f aca="false">(1-IN_MTP_a^(IN_MTP_N+1))/(1-IN_MTP_a)</f>
        <v>2.533</v>
      </c>
      <c r="G36" s="54" t="n">
        <f aca="false">(1-IN_MTP_a^(IN_MTP_N+1))/(1-IN_MTP_a)</f>
        <v>2.533</v>
      </c>
      <c r="H36" s="54" t="n">
        <f aca="false">(1-IN_MTP_a^(IN_MTP_N+1))/(1-IN_MTP_a)</f>
        <v>2.533</v>
      </c>
      <c r="I36" s="54" t="n">
        <f aca="false">(1-IN_MTP_a^(IN_MTP_N+1))/(1-IN_MTP_a)</f>
        <v>2.533</v>
      </c>
      <c r="J36" s="20" t="s">
        <v>836</v>
      </c>
    </row>
    <row r="37" customFormat="false" ht="15" hidden="false" customHeight="false" outlineLevel="0" collapsed="false">
      <c r="A37" s="8" t="s">
        <v>837</v>
      </c>
      <c r="B37" s="4" t="s">
        <v>838</v>
      </c>
      <c r="C37" s="19" t="s">
        <v>121</v>
      </c>
      <c r="D37" s="54" t="n">
        <f aca="false">IN_EtaP0*IN_EtaPm_H</f>
        <v>0.149924204143507</v>
      </c>
      <c r="E37" s="54" t="n">
        <f aca="false">IN_EtaP0*IN_EtaPm_H</f>
        <v>0.149924204143507</v>
      </c>
      <c r="F37" s="54" t="n">
        <f aca="false">IN_EtaP0*IN_EtaPm_H</f>
        <v>0.149924204143507</v>
      </c>
      <c r="G37" s="54" t="n">
        <f aca="false">IN_EtaP0*IN_EtaPm_G</f>
        <v>0.3</v>
      </c>
      <c r="H37" s="54" t="n">
        <f aca="false">IN_EtaP0*IN_EtaPm_G</f>
        <v>0.3</v>
      </c>
      <c r="I37" s="54" t="n">
        <f aca="false">IN_EtaP0*IN_EtaPm_G</f>
        <v>0.3</v>
      </c>
      <c r="J37" s="20" t="s">
        <v>839</v>
      </c>
    </row>
    <row r="38" customFormat="false" ht="15" hidden="false" customHeight="false" outlineLevel="0" collapsed="false">
      <c r="A38" s="8" t="s">
        <v>840</v>
      </c>
      <c r="B38" s="4" t="s">
        <v>841</v>
      </c>
      <c r="C38" s="19" t="s">
        <v>121</v>
      </c>
      <c r="D38" s="54" t="n">
        <f aca="false">IN_EtaD0*IN_EtaDm_H</f>
        <v>0.0429060401998603</v>
      </c>
      <c r="E38" s="54" t="n">
        <f aca="false">IN_EtaD0*IN_EtaDm_H</f>
        <v>0.0429060401998603</v>
      </c>
      <c r="F38" s="54" t="n">
        <f aca="false">IN_EtaD0*IN_EtaDm_H</f>
        <v>0.0429060401998603</v>
      </c>
      <c r="G38" s="54" t="n">
        <f aca="false">IN_EtaD0*IN_EtaDm_G</f>
        <v>0.0411182885248661</v>
      </c>
      <c r="H38" s="54" t="n">
        <f aca="false">IN_EtaD0*IN_EtaDm_G</f>
        <v>0.0411182885248661</v>
      </c>
      <c r="I38" s="54" t="n">
        <f aca="false">IN_EtaD0*IN_EtaDm_G</f>
        <v>0.0411182885248661</v>
      </c>
      <c r="J38" s="20" t="s">
        <v>842</v>
      </c>
    </row>
    <row r="39" customFormat="false" ht="15" hidden="false" customHeight="false" outlineLevel="0" collapsed="false">
      <c r="A39" s="8" t="s">
        <v>843</v>
      </c>
      <c r="B39" s="6" t="s">
        <v>844</v>
      </c>
      <c r="C39" s="19" t="s">
        <v>256</v>
      </c>
      <c r="D39" s="54" t="n">
        <f aca="false">IN_Lat0*IN_Latm_H</f>
        <v>241.778007200547</v>
      </c>
      <c r="E39" s="54" t="n">
        <f aca="false">IN_Lat0*IN_Latm_H</f>
        <v>241.778007200547</v>
      </c>
      <c r="F39" s="54" t="n">
        <f aca="false">IN_Lat0*IN_Latm_H</f>
        <v>241.778007200547</v>
      </c>
      <c r="G39" s="54" t="n">
        <f aca="false">IN_Lat0*IN_Latm_G</f>
        <v>161.185338133698</v>
      </c>
      <c r="H39" s="54" t="n">
        <f aca="false">IN_Lat0*IN_Latm_G</f>
        <v>161.185338133698</v>
      </c>
      <c r="I39" s="54" t="n">
        <f aca="false">IN_Lat0*IN_Latm_G</f>
        <v>161.185338133698</v>
      </c>
      <c r="J39" s="20" t="s">
        <v>845</v>
      </c>
    </row>
    <row r="40" customFormat="false" ht="15" hidden="false" customHeight="false" outlineLevel="0" collapsed="false">
      <c r="A40" s="35" t="s">
        <v>846</v>
      </c>
      <c r="B40" s="36"/>
      <c r="C40" s="36"/>
      <c r="D40" s="36"/>
      <c r="E40" s="36"/>
      <c r="F40" s="36"/>
      <c r="G40" s="36"/>
      <c r="H40" s="36"/>
      <c r="I40" s="36"/>
      <c r="J40" s="36"/>
    </row>
    <row r="41" customFormat="false" ht="15" hidden="false" customHeight="false" outlineLevel="0" collapsed="false">
      <c r="A41" s="8" t="s">
        <v>847</v>
      </c>
      <c r="B41" s="4" t="s">
        <v>848</v>
      </c>
      <c r="C41" s="19" t="s">
        <v>209</v>
      </c>
      <c r="D41" s="54" t="n">
        <f aca="false">D25*IF(D26=0,D34,MIN(D34,D26))+(1-D25)*(D34/D27+D28)</f>
        <v>2258.336</v>
      </c>
      <c r="E41" s="54" t="n">
        <f aca="false">E25*IF(E26=0,E34,MIN(E34,E26))+(1-E25)*(E34/E27+E28)</f>
        <v>2212.32</v>
      </c>
      <c r="F41" s="54" t="n">
        <f aca="false">F25*IF(F26=0,F34,MIN(F34,F26))+(1-F25)*(F34/F27+F28)</f>
        <v>34816</v>
      </c>
      <c r="G41" s="54" t="n">
        <f aca="false">G25*IF(G26=0,G34,MIN(G34,G26))+(1-G25)*(G34/G27+G28)</f>
        <v>2258.336</v>
      </c>
      <c r="H41" s="54" t="n">
        <f aca="false">H25*IF(H26=0,H34,MIN(H34,H26))+(1-H25)*(H34/H27+H28)</f>
        <v>2212.32</v>
      </c>
      <c r="I41" s="54" t="n">
        <f aca="false">I25*IF(I26=0,I34,MIN(I34,I26))+(1-I25)*(I34/I27+I28)</f>
        <v>34816</v>
      </c>
      <c r="J41" s="3" t="s">
        <v>849</v>
      </c>
    </row>
    <row r="42" customFormat="false" ht="15" hidden="false" customHeight="false" outlineLevel="0" collapsed="false">
      <c r="A42" s="8" t="s">
        <v>850</v>
      </c>
      <c r="B42" s="4" t="s">
        <v>851</v>
      </c>
      <c r="C42" s="19" t="s">
        <v>852</v>
      </c>
      <c r="D42" s="54" t="n">
        <f aca="false">(2*D17*1000000000+D24*D41)/1000000000</f>
        <v>38.728198496256</v>
      </c>
      <c r="E42" s="54" t="n">
        <f aca="false">(2*E17*1000000000+E24*E41)/1000000000</f>
        <v>133.37673125888</v>
      </c>
      <c r="F42" s="54" t="n">
        <f aca="false">(2*F17*1000000000+F24*F41)/1000000000</f>
        <v>531.1276032</v>
      </c>
      <c r="G42" s="54" t="n">
        <f aca="false">(2*G17*1000000000+G24*G41)/1000000000</f>
        <v>38.728198496256</v>
      </c>
      <c r="H42" s="54" t="n">
        <f aca="false">(2*H17*1000000000+H24*H41)/1000000000</f>
        <v>133.37673125888</v>
      </c>
      <c r="I42" s="54" t="n">
        <f aca="false">(2*I17*1000000000+I24*I41)/1000000000</f>
        <v>531.1276032</v>
      </c>
      <c r="J42" s="20" t="s">
        <v>853</v>
      </c>
    </row>
    <row r="43" customFormat="false" ht="15" hidden="false" customHeight="false" outlineLevel="0" collapsed="false">
      <c r="A43" s="8" t="s">
        <v>854</v>
      </c>
      <c r="B43" s="4" t="s">
        <v>855</v>
      </c>
      <c r="C43" s="19" t="s">
        <v>209</v>
      </c>
      <c r="D43" s="54" t="n">
        <f aca="false">D25*IF(D26=0,D35,MIN(D35,D26))+(1-D25)*(D35/D27+D28)</f>
        <v>2175.232</v>
      </c>
      <c r="E43" s="54" t="n">
        <f aca="false">E25*IF(E26=0,E35,MIN(E35,E26))+(1-E25)*(E35/E27+E28)</f>
        <v>2175.744</v>
      </c>
      <c r="F43" s="54" t="n">
        <f aca="false">F25*IF(F26=0,F35,MIN(F35,F26))+(1-F25)*(F35/F27+F28)</f>
        <v>16384</v>
      </c>
      <c r="G43" s="54" t="n">
        <f aca="false">G25*IF(G26=0,G35,MIN(G35,G26))+(1-G25)*(G35/G27+G28)</f>
        <v>2175.232</v>
      </c>
      <c r="H43" s="54" t="n">
        <f aca="false">H25*IF(H26=0,H35,MIN(H35,H26))+(1-H25)*(H35/H27+H28)</f>
        <v>2175.744</v>
      </c>
      <c r="I43" s="54" t="n">
        <f aca="false">I25*IF(I26=0,I35,MIN(I35,I26))+(1-I25)*(I35/I27+I28)</f>
        <v>16384</v>
      </c>
      <c r="J43" s="3" t="s">
        <v>856</v>
      </c>
    </row>
    <row r="44" customFormat="false" ht="15" hidden="false" customHeight="false" outlineLevel="0" collapsed="false">
      <c r="A44" s="8" t="s">
        <v>857</v>
      </c>
      <c r="B44" s="4" t="s">
        <v>858</v>
      </c>
      <c r="C44" s="19" t="s">
        <v>852</v>
      </c>
      <c r="D44" s="54" t="n">
        <f aca="false">(2*D17*1000000000+D24*D43)/1000000000</f>
        <v>38.259816374272</v>
      </c>
      <c r="E44" s="54" t="n">
        <f aca="false">(2*E17*1000000000+E24*E43)/1000000000</f>
        <v>132.791852343296</v>
      </c>
      <c r="F44" s="54" t="n">
        <f aca="false">(2*F17*1000000000+F24*F43)/1000000000</f>
        <v>440.5306368</v>
      </c>
      <c r="G44" s="54" t="n">
        <f aca="false">(2*G17*1000000000+G24*G43)/1000000000</f>
        <v>38.259816374272</v>
      </c>
      <c r="H44" s="54" t="n">
        <f aca="false">(2*H17*1000000000+H24*H43)/1000000000</f>
        <v>132.791852343296</v>
      </c>
      <c r="I44" s="54" t="n">
        <f aca="false">(2*I17*1000000000+I24*I43)/1000000000</f>
        <v>440.5306368</v>
      </c>
      <c r="J44" s="3"/>
    </row>
    <row r="45" customFormat="false" ht="15" hidden="false" customHeight="false" outlineLevel="0" collapsed="false">
      <c r="A45" s="35" t="s">
        <v>859</v>
      </c>
      <c r="B45" s="36"/>
      <c r="C45" s="36"/>
      <c r="D45" s="36"/>
      <c r="E45" s="36"/>
      <c r="F45" s="36"/>
      <c r="G45" s="36"/>
      <c r="H45" s="36"/>
      <c r="I45" s="36"/>
      <c r="J45" s="36"/>
    </row>
    <row r="46" customFormat="false" ht="15" hidden="false" customHeight="false" outlineLevel="0" collapsed="false">
      <c r="A46" s="8" t="s">
        <v>860</v>
      </c>
      <c r="B46" s="6" t="s">
        <v>861</v>
      </c>
      <c r="C46" s="19" t="s">
        <v>775</v>
      </c>
      <c r="D46" s="54" t="n">
        <f aca="false">D7*(1-IN_HBMres)</f>
        <v>72</v>
      </c>
      <c r="E46" s="54" t="n">
        <f aca="false">E7*(1-IN_HBMres)</f>
        <v>72</v>
      </c>
      <c r="F46" s="54" t="n">
        <f aca="false">F7*(1-IN_HBMres)</f>
        <v>72</v>
      </c>
      <c r="G46" s="54" t="n">
        <f aca="false">G7*(1-IN_HBMres)</f>
        <v>167.4</v>
      </c>
      <c r="H46" s="54" t="n">
        <f aca="false">H7*(1-IN_HBMres)</f>
        <v>167.4</v>
      </c>
      <c r="I46" s="54" t="n">
        <f aca="false">I7*(1-IN_HBMres)</f>
        <v>167.4</v>
      </c>
      <c r="J46" s="20" t="s">
        <v>862</v>
      </c>
    </row>
    <row r="47" customFormat="false" ht="15" hidden="false" customHeight="false" outlineLevel="0" collapsed="false">
      <c r="A47" s="8" t="s">
        <v>863</v>
      </c>
      <c r="B47" s="6" t="s">
        <v>864</v>
      </c>
      <c r="C47" s="19"/>
      <c r="D47" s="54" t="n">
        <f aca="false">MAX(1,CEILING(D21*D12/(IN_NEcap*D46),1))</f>
        <v>1</v>
      </c>
      <c r="E47" s="54" t="n">
        <f aca="false">MAX(1,CEILING(E21*E12/(IN_NEcap*E46),1))</f>
        <v>2</v>
      </c>
      <c r="F47" s="54" t="n">
        <f aca="false">MAX(1,CEILING(F21*F12/(IN_NEcap*F46),1))</f>
        <v>4</v>
      </c>
      <c r="G47" s="54" t="n">
        <f aca="false">MAX(1,CEILING(G21*G12/(IN_NEcap*G46),1))</f>
        <v>1</v>
      </c>
      <c r="H47" s="54" t="n">
        <f aca="false">MAX(1,CEILING(H21*H12/(IN_NEcap*H46),1))</f>
        <v>1</v>
      </c>
      <c r="I47" s="54" t="n">
        <f aca="false">MAX(1,CEILING(I21*I12/(IN_NEcap*I46),1))</f>
        <v>2</v>
      </c>
      <c r="J47" s="3" t="s">
        <v>865</v>
      </c>
    </row>
    <row r="48" customFormat="false" ht="15" hidden="false" customHeight="false" outlineLevel="0" collapsed="false">
      <c r="A48" s="8" t="s">
        <v>866</v>
      </c>
      <c r="B48" s="4" t="s">
        <v>867</v>
      </c>
      <c r="C48" s="19" t="s">
        <v>317</v>
      </c>
      <c r="D48" s="54" t="n">
        <f aca="false">MAX(D10,CEILING(D22*D11/(IN_Ecap*D46),1))</f>
        <v>64</v>
      </c>
      <c r="E48" s="54" t="n">
        <f aca="false">MAX(E10,CEILING(E22*E11/(IN_Ecap*E46),1))</f>
        <v>64</v>
      </c>
      <c r="F48" s="54" t="n">
        <f aca="false">MAX(F10,CEILING(F22*F11/(IN_Ecap*F46),1))</f>
        <v>138</v>
      </c>
      <c r="G48" s="54" t="n">
        <f aca="false">MAX(G10,CEILING(G22*G11/(IN_Ecap*G46),1))</f>
        <v>32</v>
      </c>
      <c r="H48" s="54" t="n">
        <f aca="false">MAX(H10,CEILING(H22*H11/(IN_Ecap*H46),1))</f>
        <v>32</v>
      </c>
      <c r="I48" s="54" t="n">
        <f aca="false">MAX(I10,CEILING(I22*I11/(IN_Ecap*I46),1))</f>
        <v>34</v>
      </c>
      <c r="J48" s="3" t="s">
        <v>868</v>
      </c>
    </row>
    <row r="49" customFormat="false" ht="15" hidden="false" customHeight="false" outlineLevel="0" collapsed="false">
      <c r="A49" s="8" t="s">
        <v>869</v>
      </c>
      <c r="B49" s="6" t="s">
        <v>870</v>
      </c>
      <c r="C49" s="19" t="s">
        <v>775</v>
      </c>
      <c r="D49" s="54" t="n">
        <f aca="false">D21*D12/D47+D22*D11/D48</f>
        <v>9.7649375</v>
      </c>
      <c r="E49" s="54" t="n">
        <f aca="false">E21*E12/E47+E22*E11/E48</f>
        <v>34.8220486111111</v>
      </c>
      <c r="F49" s="54" t="n">
        <f aca="false">F21*F12/F47+F22*F11/F48</f>
        <v>40.898053997195</v>
      </c>
      <c r="G49" s="54" t="n">
        <f aca="false">G21*G12/G47+G22*G11/G48</f>
        <v>10.3090546875</v>
      </c>
      <c r="H49" s="54" t="n">
        <f aca="false">H21*H12/H47+H22*H11/H48</f>
        <v>48.0463324652778</v>
      </c>
      <c r="I49" s="54" t="n">
        <f aca="false">I21*I12/I47+I22*I11/I48</f>
        <v>89.9008983633776</v>
      </c>
      <c r="J49" s="3"/>
    </row>
    <row r="50" customFormat="false" ht="15" hidden="false" customHeight="false" outlineLevel="0" collapsed="false">
      <c r="A50" s="35" t="s">
        <v>871</v>
      </c>
      <c r="B50" s="36"/>
      <c r="C50" s="36"/>
      <c r="D50" s="36"/>
      <c r="E50" s="36"/>
      <c r="F50" s="36"/>
      <c r="G50" s="36"/>
      <c r="H50" s="36"/>
      <c r="I50" s="36"/>
      <c r="J50" s="36"/>
    </row>
    <row r="51" customFormat="false" ht="15" hidden="false" customHeight="false" outlineLevel="0" collapsed="false">
      <c r="A51" s="8" t="s">
        <v>872</v>
      </c>
      <c r="B51" s="4" t="s">
        <v>873</v>
      </c>
      <c r="C51" s="19" t="s">
        <v>481</v>
      </c>
      <c r="D51" s="54" t="n">
        <f aca="false">D37*D6*1000000000000000/(D44*1000000000)</f>
        <v>7754.87255604074</v>
      </c>
      <c r="E51" s="54" t="n">
        <f aca="false">E37*E6*1000000000000000/(E44*1000000000)</f>
        <v>2234.32382909281</v>
      </c>
      <c r="F51" s="54" t="n">
        <f aca="false">F37*F6*1000000000000000/(F44*1000000000)</f>
        <v>673.505938554511</v>
      </c>
      <c r="G51" s="54" t="n">
        <f aca="false">G37*G6*1000000000000000/(G44*1000000000)</f>
        <v>78411.2493027375</v>
      </c>
      <c r="H51" s="54" t="n">
        <f aca="false">H37*H6*1000000000000000/(H44*1000000000)</f>
        <v>22591.7475135774</v>
      </c>
      <c r="I51" s="54" t="n">
        <f aca="false">I37*I6*1000000000000000/(I44*1000000000)</f>
        <v>6809.96904504055</v>
      </c>
      <c r="J51" s="20" t="s">
        <v>874</v>
      </c>
    </row>
    <row r="52" customFormat="false" ht="15" hidden="false" customHeight="false" outlineLevel="0" collapsed="false">
      <c r="A52" s="8" t="s">
        <v>875</v>
      </c>
      <c r="B52" s="4" t="s">
        <v>876</v>
      </c>
      <c r="C52" s="19" t="s">
        <v>492</v>
      </c>
      <c r="D52" s="54" t="n">
        <f aca="false">(D32*(1-IN_Chi))*D44*1000000000/(D37*D6*1000000000000000*D13)</f>
        <v>0.0594207057137328</v>
      </c>
      <c r="E52" s="54" t="n">
        <f aca="false">(E32*(1-IN_Chi))*E44*1000000000/(E37*E6*1000000000000000*E13)</f>
        <v>0.412473782000612</v>
      </c>
      <c r="F52" s="54" t="n">
        <f aca="false">(F32*(1-IN_Chi))*F44*1000000000/(F37*F6*1000000000000000*F13)</f>
        <v>2.73672419868473</v>
      </c>
      <c r="G52" s="54" t="n">
        <f aca="false">(G32*(1-IN_Chi))*G44*1000000000/(G37*G6*1000000000000000*G13)</f>
        <v>0.0117534155901764</v>
      </c>
      <c r="H52" s="54" t="n">
        <f aca="false">(H32*(1-IN_Chi))*H44*1000000000/(H37*H6*1000000000000000*H13)</f>
        <v>0.0815873140797211</v>
      </c>
      <c r="I52" s="54" t="n">
        <f aca="false">(I32*(1-IN_Chi))*I44*1000000000/(I37*I6*1000000000000000*I13)</f>
        <v>0.54132404649984</v>
      </c>
      <c r="J52" s="20" t="s">
        <v>877</v>
      </c>
    </row>
    <row r="53" customFormat="false" ht="15" hidden="false" customHeight="false" outlineLevel="0" collapsed="false">
      <c r="A53" s="8" t="s">
        <v>878</v>
      </c>
      <c r="B53" s="4" t="s">
        <v>879</v>
      </c>
      <c r="C53" s="19"/>
      <c r="D53" s="54" t="str">
        <f aca="false">IF(D52&lt;=D31,"是","否")</f>
        <v>是</v>
      </c>
      <c r="E53" s="54" t="str">
        <f aca="false">IF(E52&lt;=E31,"是","否")</f>
        <v>是</v>
      </c>
      <c r="F53" s="54" t="str">
        <f aca="false">IF(F52&lt;=F31,"是","否")</f>
        <v>是</v>
      </c>
      <c r="G53" s="54" t="str">
        <f aca="false">IF(G52&lt;=G31,"是","否")</f>
        <v>是</v>
      </c>
      <c r="H53" s="54" t="str">
        <f aca="false">IF(H52&lt;=H31,"是","否")</f>
        <v>是</v>
      </c>
      <c r="I53" s="54" t="str">
        <f aca="false">IF(I52&lt;=I31,"是","否")</f>
        <v>是</v>
      </c>
      <c r="J53" s="3"/>
    </row>
    <row r="54" customFormat="false" ht="15" hidden="false" customHeight="false" outlineLevel="0" collapsed="false">
      <c r="A54" s="35" t="s">
        <v>880</v>
      </c>
      <c r="B54" s="36"/>
      <c r="C54" s="36"/>
      <c r="D54" s="36"/>
      <c r="E54" s="36"/>
      <c r="F54" s="36"/>
      <c r="G54" s="36"/>
      <c r="H54" s="36"/>
      <c r="I54" s="36"/>
      <c r="J54" s="36"/>
    </row>
    <row r="55" customFormat="false" ht="15" hidden="false" customHeight="false" outlineLevel="0" collapsed="false">
      <c r="A55" s="8" t="s">
        <v>881</v>
      </c>
      <c r="B55" s="6" t="s">
        <v>882</v>
      </c>
      <c r="C55" s="19" t="s">
        <v>883</v>
      </c>
      <c r="D55" s="54" t="n">
        <f aca="false">D49/D8+(D18+IN_MTP_N)*D39/1000</f>
        <v>14.0366950476431</v>
      </c>
      <c r="E55" s="54" t="n">
        <f aca="false">E49/E8+(E18+IN_MTP_N)*E39/1000</f>
        <v>25.8684338372861</v>
      </c>
      <c r="F55" s="54" t="n">
        <f aca="false">F49/F8+(F18+IN_MTP_N)*F39/1000</f>
        <v>37.1115090691772</v>
      </c>
      <c r="G55" s="54" t="n">
        <f aca="false">G49/G8+(G18+IN_MTP_N)*G39/1000</f>
        <v>8.70315739008761</v>
      </c>
      <c r="H55" s="54" t="n">
        <f aca="false">H49/H8+(H18+IN_MTP_N)*H39/1000</f>
        <v>16.3216531987164</v>
      </c>
      <c r="I55" s="54" t="n">
        <f aca="false">I49/I8+(I18+IN_MTP_N)*I39/1000</f>
        <v>27.8397021231931</v>
      </c>
      <c r="J55" s="3" t="s">
        <v>884</v>
      </c>
    </row>
    <row r="56" customFormat="false" ht="15" hidden="false" customHeight="false" outlineLevel="0" collapsed="false">
      <c r="A56" s="8" t="s">
        <v>885</v>
      </c>
      <c r="B56" s="6" t="s">
        <v>886</v>
      </c>
      <c r="C56" s="19" t="s">
        <v>883</v>
      </c>
      <c r="D56" s="54" t="n">
        <f aca="false">(IN_MTP_N+1)*D42/(D6*D38)/1000</f>
        <v>1.82441257643478</v>
      </c>
      <c r="E56" s="54" t="n">
        <f aca="false">(IN_MTP_N+1)*E42/(E6*E38)/1000</f>
        <v>6.28312690392728</v>
      </c>
      <c r="F56" s="54" t="n">
        <f aca="false">(IN_MTP_N+1)*F42/(F6*F38)/1000</f>
        <v>25.0204222399711</v>
      </c>
      <c r="G56" s="54" t="n">
        <f aca="false">(IN_MTP_N+1)*G42/(G6*G38)/1000</f>
        <v>0.376749129262374</v>
      </c>
      <c r="H56" s="54" t="n">
        <f aca="false">(IN_MTP_N+1)*H42/(H6*H38)/1000</f>
        <v>1.29749302360404</v>
      </c>
      <c r="I56" s="54" t="n">
        <f aca="false">(IN_MTP_N+1)*I42/(I6*I38)/1000</f>
        <v>5.16682597699856</v>
      </c>
      <c r="J56" s="3" t="s">
        <v>887</v>
      </c>
    </row>
    <row r="57" customFormat="false" ht="15" hidden="false" customHeight="false" outlineLevel="0" collapsed="false">
      <c r="A57" s="8" t="s">
        <v>888</v>
      </c>
      <c r="B57" s="6" t="s">
        <v>889</v>
      </c>
      <c r="C57" s="19" t="s">
        <v>883</v>
      </c>
      <c r="D57" s="54" t="n">
        <f aca="false">D23*D34/(D8*IN_KVeff)/1000000000</f>
        <v>0.0103742771855011</v>
      </c>
      <c r="E57" s="54" t="n">
        <f aca="false">E23*E34/(E8*IN_KVeff)/1000000000</f>
        <v>0.0294339957356077</v>
      </c>
      <c r="F57" s="54" t="n">
        <f aca="false">F23*F34/(F8*IN_KVeff)/1000000000</f>
        <v>0.855181918976546</v>
      </c>
      <c r="G57" s="54" t="n">
        <f aca="false">G23*G34/(G8*IN_KVeff)/1000000000</f>
        <v>0.00434422857142857</v>
      </c>
      <c r="H57" s="54" t="n">
        <f aca="false">H23*H34/(H8*IN_KVeff)/1000000000</f>
        <v>0.0123254857142857</v>
      </c>
      <c r="I57" s="54" t="n">
        <f aca="false">I23*I34/(I8*IN_KVeff)/1000000000</f>
        <v>0.358107428571429</v>
      </c>
      <c r="J57" s="20" t="s">
        <v>890</v>
      </c>
    </row>
    <row r="58" customFormat="false" ht="15" hidden="false" customHeight="false" outlineLevel="0" collapsed="false">
      <c r="A58" s="8" t="s">
        <v>891</v>
      </c>
      <c r="B58" s="6" t="s">
        <v>892</v>
      </c>
      <c r="C58" s="19" t="s">
        <v>883</v>
      </c>
      <c r="D58" s="54" t="n">
        <f aca="false">(IN_MTP_N+1)*D18*D20*D19*IN_EPbytes*(D48-1)/D48/(D9*IN_EPeff)/1000000000</f>
        <v>0.3566592</v>
      </c>
      <c r="E58" s="54" t="n">
        <f aca="false">(IN_MTP_N+1)*E18*E20*E19*IN_EPbytes*(E48-1)/E48/(E9*IN_EPeff)/1000000000</f>
        <v>0.8854272</v>
      </c>
      <c r="F58" s="54" t="n">
        <f aca="false">(IN_MTP_N+1)*F18*F20*F19*IN_EPbytes*(F48-1)/F48/(F9*IN_EPeff)/1000000000</f>
        <v>6.69199900621118</v>
      </c>
      <c r="G58" s="54" t="n">
        <f aca="false">(IN_MTP_N+1)*G18*G20*G19*IN_EPbytes*(G48-1)/G48/(G9*IN_EPeff)/1000000000</f>
        <v>0.0194998857142857</v>
      </c>
      <c r="H58" s="54" t="n">
        <f aca="false">(IN_MTP_N+1)*H18*H20*H19*IN_EPbytes*(H48-1)/H48/(H9*IN_EPeff)/1000000000</f>
        <v>0.0484096</v>
      </c>
      <c r="I58" s="54" t="n">
        <f aca="false">(IN_MTP_N+1)*I18*I20*I19*IN_EPbytes*(I48-1)/I48/(I9*IN_EPeff)/1000000000</f>
        <v>0.363476974789916</v>
      </c>
      <c r="J58" s="3"/>
    </row>
    <row r="59" customFormat="false" ht="15" hidden="false" customHeight="false" outlineLevel="0" collapsed="false">
      <c r="A59" s="8" t="s">
        <v>893</v>
      </c>
      <c r="B59" s="6" t="s">
        <v>894</v>
      </c>
      <c r="C59" s="19" t="s">
        <v>883</v>
      </c>
      <c r="D59" s="54" t="n">
        <f aca="false">MAX(D56,D57,D58)</f>
        <v>1.82441257643478</v>
      </c>
      <c r="E59" s="54" t="n">
        <f aca="false">MAX(E56,E57,E58)</f>
        <v>6.28312690392728</v>
      </c>
      <c r="F59" s="54" t="n">
        <f aca="false">MAX(F56,F57,F58)</f>
        <v>25.0204222399711</v>
      </c>
      <c r="G59" s="54" t="n">
        <f aca="false">MAX(G56,G57,G58)</f>
        <v>0.376749129262374</v>
      </c>
      <c r="H59" s="54" t="n">
        <f aca="false">MAX(H56,H57,H58)</f>
        <v>1.29749302360404</v>
      </c>
      <c r="I59" s="54" t="n">
        <f aca="false">MAX(I56,I57,I58)</f>
        <v>5.16682597699856</v>
      </c>
      <c r="J59" s="3"/>
    </row>
    <row r="60" customFormat="false" ht="15" hidden="false" customHeight="false" outlineLevel="0" collapsed="false">
      <c r="A60" s="8" t="s">
        <v>895</v>
      </c>
      <c r="B60" s="4" t="s">
        <v>896</v>
      </c>
      <c r="C60" s="17" t="s">
        <v>897</v>
      </c>
      <c r="D60" s="54" t="n">
        <f aca="false">(1000*D36/D30-D55)/D59</f>
        <v>8.77582932892948</v>
      </c>
      <c r="E60" s="54" t="n">
        <f aca="false">(1000*E36/E30-E55)/E59</f>
        <v>5.19083279341792</v>
      </c>
      <c r="F60" s="54" t="n">
        <f aca="false">(1000*F36/F30-F55)/F59</f>
        <v>0.996151902088557</v>
      </c>
      <c r="G60" s="54" t="n">
        <f aca="false">(1000*G36/G30-G55)/G59</f>
        <v>56.6538032767026</v>
      </c>
      <c r="H60" s="54" t="n">
        <f aca="false">(1000*H36/H30-H55)/H59</f>
        <v>32.4945422053754</v>
      </c>
      <c r="I60" s="54" t="n">
        <f aca="false">(1000*I36/I30-I55)/I59</f>
        <v>6.61836653752655</v>
      </c>
      <c r="J60" s="3" t="s">
        <v>898</v>
      </c>
    </row>
    <row r="61" customFormat="false" ht="15" hidden="false" customHeight="false" outlineLevel="0" collapsed="false">
      <c r="A61" s="8" t="s">
        <v>899</v>
      </c>
      <c r="B61" s="4" t="s">
        <v>900</v>
      </c>
      <c r="C61" s="17" t="s">
        <v>897</v>
      </c>
      <c r="D61" s="54" t="n">
        <f aca="false">(D46-D49)*1000000000/(D23*D34)</f>
        <v>2558.19965159029</v>
      </c>
      <c r="E61" s="54" t="n">
        <f aca="false">(E46-E49)*1000000000/(E23*E34)</f>
        <v>538.633530942984</v>
      </c>
      <c r="F61" s="54" t="n">
        <f aca="false">(F46-F49)*1000000000/(F23*F34)</f>
        <v>15.5090860617669</v>
      </c>
      <c r="G61" s="54" t="n">
        <f aca="false">(G46-G49)*1000000000/(G23*G34)</f>
        <v>6457.29248791911</v>
      </c>
      <c r="H61" s="54" t="n">
        <f aca="false">(H46-H49)*1000000000/(H23*H34)</f>
        <v>1729.19391665125</v>
      </c>
      <c r="I61" s="54" t="n">
        <f aca="false">(I46-I49)*1000000000/(I23*I34)</f>
        <v>38.64517792178</v>
      </c>
      <c r="J61" s="3" t="s">
        <v>901</v>
      </c>
    </row>
    <row r="62" customFormat="false" ht="15" hidden="false" customHeight="false" outlineLevel="0" collapsed="false">
      <c r="A62" s="8" t="s">
        <v>902</v>
      </c>
      <c r="B62" s="6" t="s">
        <v>903</v>
      </c>
      <c r="C62" s="17" t="s">
        <v>897</v>
      </c>
      <c r="D62" s="54" t="n">
        <f aca="false">MAX(0,MIN(D60,D61))</f>
        <v>8.77582932892948</v>
      </c>
      <c r="E62" s="54" t="n">
        <f aca="false">MAX(0,MIN(E60,E61))</f>
        <v>5.19083279341792</v>
      </c>
      <c r="F62" s="54" t="n">
        <f aca="false">MAX(0,MIN(F60,F61))</f>
        <v>0.996151902088557</v>
      </c>
      <c r="G62" s="54" t="n">
        <f aca="false">MAX(0,MIN(G60,G61))</f>
        <v>56.6538032767026</v>
      </c>
      <c r="H62" s="54" t="n">
        <f aca="false">MAX(0,MIN(H60,H61))</f>
        <v>32.4945422053754</v>
      </c>
      <c r="I62" s="54" t="n">
        <f aca="false">MAX(0,MIN(I60,I61))</f>
        <v>6.61836653752655</v>
      </c>
      <c r="J62" s="3"/>
    </row>
    <row r="63" customFormat="false" ht="15" hidden="false" customHeight="false" outlineLevel="0" collapsed="false">
      <c r="A63" s="8" t="s">
        <v>904</v>
      </c>
      <c r="B63" s="4" t="s">
        <v>905</v>
      </c>
      <c r="C63" s="19" t="s">
        <v>481</v>
      </c>
      <c r="D63" s="54" t="n">
        <f aca="false">IF(D62&gt;0,D62*D36/((D55+D62*D59)/1000),0)</f>
        <v>739.802932940395</v>
      </c>
      <c r="E63" s="54" t="n">
        <f aca="false">IF(E62&gt;0,E62*E36/((E55+E62*E59)/1000),0)</f>
        <v>224.823591539841</v>
      </c>
      <c r="F63" s="54" t="n">
        <f aca="false">IF(F62&gt;0,F62*F36/((F55+F62*F59)/1000),0)</f>
        <v>40.6742374235113</v>
      </c>
      <c r="G63" s="54" t="n">
        <f aca="false">IF(G62&gt;0,G62*G36/((G55+G62*G59)/1000),0)</f>
        <v>4775.91897647416</v>
      </c>
      <c r="H63" s="54" t="n">
        <f aca="false">IF(H62&gt;0,H62*H36/((H55+H62*H59)/1000),0)</f>
        <v>1407.39260438499</v>
      </c>
      <c r="I63" s="54" t="n">
        <f aca="false">IF(I62&gt;0,I62*I36/((I55+I62*I59)/1000),0)</f>
        <v>270.236909992113</v>
      </c>
      <c r="J63" s="20" t="s">
        <v>906</v>
      </c>
    </row>
    <row r="64" customFormat="false" ht="15" hidden="false" customHeight="false" outlineLevel="0" collapsed="false">
      <c r="A64" s="35" t="s">
        <v>907</v>
      </c>
      <c r="B64" s="36"/>
      <c r="C64" s="36"/>
      <c r="D64" s="36"/>
      <c r="E64" s="36"/>
      <c r="F64" s="36"/>
      <c r="G64" s="36"/>
      <c r="H64" s="36"/>
      <c r="I64" s="36"/>
      <c r="J64" s="36"/>
    </row>
    <row r="65" customFormat="false" ht="15" hidden="false" customHeight="false" outlineLevel="0" collapsed="false">
      <c r="A65" s="8" t="s">
        <v>908</v>
      </c>
      <c r="B65" s="6" t="s">
        <v>909</v>
      </c>
      <c r="C65" s="19" t="s">
        <v>910</v>
      </c>
      <c r="D65" s="54" t="n">
        <f aca="false">(D32*(1-IN_Chi))/D51+D33/D63</f>
        <v>1.85951803873978</v>
      </c>
      <c r="E65" s="54" t="n">
        <f aca="false">(E32*(1-IN_Chi))/E51+E33/E63</f>
        <v>12.4091545623618</v>
      </c>
      <c r="F65" s="54" t="n">
        <f aca="false">(F32*(1-IN_Chi))/F51+F33/F63</f>
        <v>122.596357656047</v>
      </c>
      <c r="G65" s="54" t="n">
        <f aca="false">(G32*(1-IN_Chi))/G51+G33/G63</f>
        <v>0.261422659884355</v>
      </c>
      <c r="H65" s="54" t="n">
        <f aca="false">(H32*(1-IN_Chi))/H51+H33/H63</f>
        <v>1.78152245647574</v>
      </c>
      <c r="I65" s="54" t="n">
        <f aca="false">(I32*(1-IN_Chi))/I51+I33/I63</f>
        <v>17.322367069172</v>
      </c>
      <c r="J65" s="3" t="s">
        <v>911</v>
      </c>
    </row>
    <row r="66" customFormat="false" ht="15" hidden="false" customHeight="false" outlineLevel="0" collapsed="false">
      <c r="A66" s="8" t="s">
        <v>716</v>
      </c>
      <c r="B66" s="6" t="s">
        <v>912</v>
      </c>
      <c r="C66" s="19" t="s">
        <v>481</v>
      </c>
      <c r="D66" s="54" t="n">
        <f aca="false">D14*(D32+D33)/D65</f>
        <v>158595.933922677</v>
      </c>
      <c r="E66" s="54" t="n">
        <f aca="false">E14*(E32+E33)/E65</f>
        <v>47531.3605802762</v>
      </c>
      <c r="F66" s="54" t="n">
        <f aca="false">F14*(F32+F33)/F65</f>
        <v>9622.21082709151</v>
      </c>
      <c r="G66" s="54" t="n">
        <f aca="false">G14*(G32+G33)/G65</f>
        <v>2538234.44491588</v>
      </c>
      <c r="H66" s="54" t="n">
        <f aca="false">H14*(H32+H33)/H65</f>
        <v>744926.899560567</v>
      </c>
      <c r="I66" s="54" t="n">
        <f aca="false">I14*(I32+I33)/I65</f>
        <v>153224.324909013</v>
      </c>
      <c r="J66" s="20" t="s">
        <v>913</v>
      </c>
    </row>
    <row r="67" customFormat="false" ht="15" hidden="false" customHeight="false" outlineLevel="0" collapsed="false">
      <c r="A67" s="8" t="s">
        <v>914</v>
      </c>
      <c r="B67" s="5" t="s">
        <v>915</v>
      </c>
      <c r="C67" s="19" t="s">
        <v>35</v>
      </c>
      <c r="D67" s="54" t="n">
        <f aca="false">D66*D15*8760*3600/1000000</f>
        <v>112228240510.471</v>
      </c>
      <c r="E67" s="54" t="n">
        <f aca="false">E66*E15*8760*3600/1000000</f>
        <v>33634916325.1179</v>
      </c>
      <c r="F67" s="54" t="n">
        <f aca="false">F66*F15*8760*3600/1000000</f>
        <v>6809025705.99182</v>
      </c>
      <c r="G67" s="54" t="n">
        <f aca="false">G66*G15*8760*3600/1000000</f>
        <v>557838911578.97</v>
      </c>
      <c r="H67" s="54" t="n">
        <f aca="false">H66*H15*8760*3600/1000000</f>
        <v>163715850475.953</v>
      </c>
      <c r="I67" s="54" t="n">
        <f aca="false">I66*I15*8760*3600/1000000</f>
        <v>33674781620.6942</v>
      </c>
      <c r="J67" s="3" t="s">
        <v>916</v>
      </c>
    </row>
    <row r="68" customFormat="false" ht="15" hidden="false" customHeight="false" outlineLevel="0" collapsed="false">
      <c r="A68" s="1"/>
      <c r="B68" s="30" t="s">
        <v>917</v>
      </c>
      <c r="C68" s="1"/>
      <c r="D68" s="42" t="n">
        <v>112228240510.472</v>
      </c>
      <c r="E68" s="42" t="n">
        <v>33634916325.118</v>
      </c>
      <c r="F68" s="42" t="n">
        <v>6809025705.99183</v>
      </c>
      <c r="G68" s="42" t="n">
        <v>557838911578.971</v>
      </c>
      <c r="H68" s="42" t="n">
        <v>163715850475.954</v>
      </c>
      <c r="I68" s="42" t="n">
        <v>33674781620.6943</v>
      </c>
      <c r="J68" s="1"/>
    </row>
    <row r="69" customFormat="false" ht="15" hidden="false" customHeight="false" outlineLevel="0" collapsed="false">
      <c r="A69" s="1"/>
      <c r="B69" s="9" t="s">
        <v>760</v>
      </c>
      <c r="C69" s="1"/>
      <c r="D69" s="57" t="n">
        <f aca="false">D67/D68-1</f>
        <v>-5.99520433297585E-015</v>
      </c>
      <c r="E69" s="57" t="n">
        <f aca="false">E67/E68-1</f>
        <v>0</v>
      </c>
      <c r="F69" s="57" t="n">
        <f aca="false">F67/F68-1</f>
        <v>0</v>
      </c>
      <c r="G69" s="57" t="n">
        <f aca="false">G67/G68-1</f>
        <v>0</v>
      </c>
      <c r="H69" s="57" t="n">
        <f aca="false">H67/H68-1</f>
        <v>-3.77475828372553E-015</v>
      </c>
      <c r="I69" s="57" t="n">
        <f aca="false">I67/I68-1</f>
        <v>0</v>
      </c>
      <c r="J6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9" min="4" style="0" width="12"/>
    <col collapsed="false" customWidth="true" hidden="false" outlineLevel="0" max="10" min="10" style="0" width="10"/>
    <col collapsed="false" customWidth="true" hidden="false" outlineLevel="0" max="11" min="11" style="0" width="50"/>
  </cols>
  <sheetData>
    <row r="1" customFormat="false" ht="20.1" hidden="false" customHeight="false" outlineLevel="0" collapsed="false">
      <c r="A1" s="34" t="s">
        <v>918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30" t="s">
        <v>919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5" hidden="false" customHeight="false" outlineLevel="0" collapsed="false">
      <c r="A4" s="11" t="s">
        <v>920</v>
      </c>
      <c r="B4" s="12" t="s">
        <v>81</v>
      </c>
      <c r="C4" s="12" t="s">
        <v>921</v>
      </c>
      <c r="D4" s="12" t="s">
        <v>922</v>
      </c>
      <c r="E4" s="12" t="s">
        <v>923</v>
      </c>
      <c r="F4" s="11" t="s">
        <v>924</v>
      </c>
      <c r="G4" s="11" t="s">
        <v>925</v>
      </c>
      <c r="H4" s="12" t="s">
        <v>83</v>
      </c>
      <c r="I4" s="12" t="s">
        <v>82</v>
      </c>
      <c r="J4" s="12" t="s">
        <v>926</v>
      </c>
      <c r="K4" s="12" t="s">
        <v>927</v>
      </c>
    </row>
    <row r="5" customFormat="false" ht="15" hidden="false" customHeight="false" outlineLevel="0" collapsed="false">
      <c r="A5" s="1"/>
      <c r="B5" s="58" t="s">
        <v>928</v>
      </c>
      <c r="C5" s="1"/>
      <c r="D5" s="1"/>
      <c r="E5" s="1"/>
      <c r="F5" s="55" t="n">
        <v>0.460003106109943</v>
      </c>
      <c r="G5" s="1"/>
      <c r="H5" s="1"/>
      <c r="I5" s="1"/>
      <c r="J5" s="1"/>
      <c r="K5" s="1"/>
    </row>
    <row r="6" customFormat="false" ht="17.15" hidden="false" customHeight="false" outlineLevel="0" collapsed="false">
      <c r="A6" s="1" t="n">
        <v>1</v>
      </c>
      <c r="B6" s="59" t="s">
        <v>929</v>
      </c>
      <c r="C6" s="59" t="s">
        <v>165</v>
      </c>
      <c r="D6" s="1" t="n">
        <v>3.3</v>
      </c>
      <c r="E6" s="1" t="n">
        <v>5.9</v>
      </c>
      <c r="F6" s="60" t="n">
        <v>0.514505843800694</v>
      </c>
      <c r="G6" s="60" t="n">
        <v>0.409405655720729</v>
      </c>
      <c r="H6" s="33" t="n">
        <f aca="false">IF(OR(D6&lt;=0,E6&lt;=0,F6&lt;=0,G6&lt;=0),"—",LN(G6/F6)/LN(E6/D6))</f>
        <v>-0.393267941184692</v>
      </c>
      <c r="I6" s="32" t="n">
        <f aca="false">ABS(G6-F6)/$F$5</f>
        <v>0.22847712696715</v>
      </c>
      <c r="J6" s="1" t="n">
        <f aca="false">RANK(I6,$I$6:$I$32)</f>
        <v>11</v>
      </c>
      <c r="K6" s="3" t="s">
        <v>930</v>
      </c>
    </row>
    <row r="7" customFormat="false" ht="17.15" hidden="false" customHeight="false" outlineLevel="0" collapsed="false">
      <c r="A7" s="1" t="n">
        <v>2</v>
      </c>
      <c r="B7" s="59" t="s">
        <v>931</v>
      </c>
      <c r="C7" s="59" t="s">
        <v>267</v>
      </c>
      <c r="D7" s="1" t="n">
        <v>0.9</v>
      </c>
      <c r="E7" s="1" t="n">
        <v>1.45</v>
      </c>
      <c r="F7" s="60" t="n">
        <v>0.538514703178552</v>
      </c>
      <c r="G7" s="60" t="n">
        <v>0.395689638202499</v>
      </c>
      <c r="H7" s="33" t="n">
        <f aca="false">IF(OR(D7&lt;=0,E7&lt;=0,F7&lt;=0,G7&lt;=0),"—",LN(G7/F7)/LN(E7/D7))</f>
        <v>-0.646192247689151</v>
      </c>
      <c r="I7" s="32" t="n">
        <f aca="false">ABS(G7-F7)/$F$5</f>
        <v>0.310487175149459</v>
      </c>
      <c r="J7" s="1" t="n">
        <f aca="false">RANK(I7,$I$6:$I$32)</f>
        <v>10</v>
      </c>
      <c r="K7" s="20" t="s">
        <v>932</v>
      </c>
    </row>
    <row r="8" customFormat="false" ht="17.15" hidden="false" customHeight="false" outlineLevel="0" collapsed="false">
      <c r="A8" s="1" t="n">
        <v>3</v>
      </c>
      <c r="B8" s="61" t="s">
        <v>933</v>
      </c>
      <c r="C8" s="59" t="s">
        <v>136</v>
      </c>
      <c r="D8" s="1" t="n">
        <v>0.65</v>
      </c>
      <c r="E8" s="1" t="n">
        <v>1.2</v>
      </c>
      <c r="F8" s="60" t="n">
        <v>0.707697086322989</v>
      </c>
      <c r="G8" s="60" t="n">
        <v>0.383335921758286</v>
      </c>
      <c r="H8" s="33" t="n">
        <f aca="false">IF(OR(D8&lt;=0,E8&lt;=0,F8&lt;=0,G8&lt;=0),"—",LN(G8/F8)/LN(E8/D8))</f>
        <v>-0.999999999999999</v>
      </c>
      <c r="I8" s="32" t="n">
        <f aca="false">ABS(G8-F8)/$F$5</f>
        <v>0.705128205128204</v>
      </c>
      <c r="J8" s="1" t="n">
        <f aca="false">RANK(I8,$I$6:$I$32)</f>
        <v>1</v>
      </c>
      <c r="K8" s="3" t="s">
        <v>934</v>
      </c>
    </row>
    <row r="9" customFormat="false" ht="17.15" hidden="false" customHeight="false" outlineLevel="0" collapsed="false">
      <c r="A9" s="1" t="n">
        <v>4</v>
      </c>
      <c r="B9" s="61" t="s">
        <v>935</v>
      </c>
      <c r="C9" s="59" t="s">
        <v>141</v>
      </c>
      <c r="D9" s="1" t="n">
        <v>0.3</v>
      </c>
      <c r="E9" s="1" t="n">
        <v>0.65</v>
      </c>
      <c r="F9" s="60" t="n">
        <v>0.628670911683588</v>
      </c>
      <c r="G9" s="60" t="n">
        <v>0.339147884513574</v>
      </c>
      <c r="H9" s="33" t="n">
        <f aca="false">IF(OR(D9&lt;=0,E9&lt;=0,F9&lt;=0,G9&lt;=0),"—",LN(G9/F9)/LN(E9/D9))</f>
        <v>-0.798214884270891</v>
      </c>
      <c r="I9" s="32" t="n">
        <f aca="false">ABS(G9-F9)/$F$5</f>
        <v>0.62939363522649</v>
      </c>
      <c r="J9" s="1" t="n">
        <f aca="false">RANK(I9,$I$6:$I$32)</f>
        <v>2</v>
      </c>
      <c r="K9" s="3" t="s">
        <v>936</v>
      </c>
    </row>
    <row r="10" customFormat="false" ht="17.15" hidden="false" customHeight="false" outlineLevel="0" collapsed="false">
      <c r="A10" s="1" t="n">
        <v>5</v>
      </c>
      <c r="B10" s="61" t="s">
        <v>937</v>
      </c>
      <c r="C10" s="59" t="s">
        <v>132</v>
      </c>
      <c r="D10" s="1" t="n">
        <v>0.73</v>
      </c>
      <c r="E10" s="1" t="n">
        <v>1.17</v>
      </c>
      <c r="F10" s="60" t="n">
        <v>0.395061491129716</v>
      </c>
      <c r="G10" s="60" t="n">
        <v>0.633180746057215</v>
      </c>
      <c r="H10" s="33" t="n">
        <f aca="false">IF(OR(D10&lt;=0,E10&lt;=0,F10&lt;=0,G10&lt;=0),"—",LN(G10/F10)/LN(E10/D10))</f>
        <v>0.999999999999996</v>
      </c>
      <c r="I10" s="32" t="n">
        <f aca="false">ABS(G10-F10)/$F$5</f>
        <v>0.517647058823527</v>
      </c>
      <c r="J10" s="1" t="n">
        <f aca="false">RANK(I10,$I$6:$I$32)</f>
        <v>3</v>
      </c>
      <c r="K10" s="20" t="s">
        <v>938</v>
      </c>
    </row>
    <row r="11" customFormat="false" ht="17.15" hidden="false" customHeight="false" outlineLevel="0" collapsed="false">
      <c r="A11" s="1" t="n">
        <v>6</v>
      </c>
      <c r="B11" s="59" t="s">
        <v>939</v>
      </c>
      <c r="C11" s="59" t="s">
        <v>940</v>
      </c>
      <c r="D11" s="1" t="n">
        <v>60</v>
      </c>
      <c r="E11" s="1" t="n">
        <v>250</v>
      </c>
      <c r="F11" s="60" t="n">
        <v>0.322014857053106</v>
      </c>
      <c r="G11" s="60" t="n">
        <v>0.526006417825229</v>
      </c>
      <c r="H11" s="33" t="n">
        <f aca="false">IF(OR(D11&lt;=0,E11&lt;=0,F11&lt;=0,G11&lt;=0),"—",LN(G11/F11)/LN(E11/D11))</f>
        <v>0.343851240661688</v>
      </c>
      <c r="I11" s="32" t="n">
        <f aca="false">ABS(G11-F11)/$F$5</f>
        <v>0.443456920317768</v>
      </c>
      <c r="J11" s="1" t="n">
        <f aca="false">RANK(I11,$I$6:$I$32)</f>
        <v>5</v>
      </c>
      <c r="K11" s="3" t="s">
        <v>941</v>
      </c>
    </row>
    <row r="12" customFormat="false" ht="17.15" hidden="false" customHeight="false" outlineLevel="0" collapsed="false">
      <c r="A12" s="1" t="n">
        <v>7</v>
      </c>
      <c r="B12" s="61" t="s">
        <v>942</v>
      </c>
      <c r="C12" s="59" t="s">
        <v>169</v>
      </c>
      <c r="D12" s="1" t="n">
        <v>0.1</v>
      </c>
      <c r="E12" s="1" t="n">
        <v>0.4</v>
      </c>
      <c r="F12" s="60" t="n">
        <v>0.408891649875505</v>
      </c>
      <c r="G12" s="60" t="n">
        <v>0.613337474813257</v>
      </c>
      <c r="H12" s="33" t="n">
        <f aca="false">IF(OR(D12&lt;=0,E12&lt;=0,F12&lt;=0,G12&lt;=0),"—",LN(G12/F12)/LN(E12/D12))</f>
        <v>0.292481250360578</v>
      </c>
      <c r="I12" s="32" t="n">
        <f aca="false">ABS(G12-F12)/$F$5</f>
        <v>0.444444444444443</v>
      </c>
      <c r="J12" s="1" t="n">
        <f aca="false">RANK(I12,$I$6:$I$32)</f>
        <v>4</v>
      </c>
      <c r="K12" s="20" t="s">
        <v>943</v>
      </c>
    </row>
    <row r="13" customFormat="false" ht="17.15" hidden="false" customHeight="false" outlineLevel="0" collapsed="false">
      <c r="A13" s="1" t="n">
        <v>8</v>
      </c>
      <c r="B13" s="59" t="s">
        <v>944</v>
      </c>
      <c r="C13" s="59" t="s">
        <v>945</v>
      </c>
      <c r="D13" s="1" t="n">
        <v>8192</v>
      </c>
      <c r="E13" s="1" t="n">
        <v>68000</v>
      </c>
      <c r="F13" s="60" t="n">
        <v>0.55435404052786</v>
      </c>
      <c r="G13" s="60" t="n">
        <v>0.373160593945069</v>
      </c>
      <c r="H13" s="33" t="n">
        <f aca="false">IF(OR(D13&lt;=0,E13&lt;=0,F13&lt;=0,G13&lt;=0),"—",LN(G13/F13)/LN(E13/D13))</f>
        <v>-0.187017619540166</v>
      </c>
      <c r="I13" s="32" t="n">
        <f aca="false">ABS(G13-F13)/$F$5</f>
        <v>0.393896137169745</v>
      </c>
      <c r="J13" s="1" t="n">
        <f aca="false">RANK(I13,$I$6:$I$32)</f>
        <v>6</v>
      </c>
      <c r="K13" s="20" t="s">
        <v>946</v>
      </c>
    </row>
    <row r="14" customFormat="false" ht="17.15" hidden="false" customHeight="false" outlineLevel="0" collapsed="false">
      <c r="A14" s="1" t="n">
        <v>9</v>
      </c>
      <c r="B14" s="61" t="s">
        <v>947</v>
      </c>
      <c r="C14" s="59" t="s">
        <v>145</v>
      </c>
      <c r="D14" s="1" t="n">
        <v>0.7</v>
      </c>
      <c r="E14" s="1" t="n">
        <v>1</v>
      </c>
      <c r="F14" s="60" t="n">
        <v>0.558575200276359</v>
      </c>
      <c r="G14" s="60" t="n">
        <v>0.391002640193451</v>
      </c>
      <c r="H14" s="33" t="n">
        <f aca="false">IF(OR(D14&lt;=0,E14&lt;=0,F14&lt;=0,G14&lt;=0),"—",LN(G14/F14)/LN(E14/D14))</f>
        <v>-1</v>
      </c>
      <c r="I14" s="32" t="n">
        <f aca="false">ABS(G14-F14)/$F$5</f>
        <v>0.364285714285715</v>
      </c>
      <c r="J14" s="1" t="n">
        <f aca="false">RANK(I14,$I$6:$I$32)</f>
        <v>7</v>
      </c>
      <c r="K14" s="3" t="s">
        <v>948</v>
      </c>
    </row>
    <row r="15" customFormat="false" ht="17.15" hidden="false" customHeight="false" outlineLevel="0" collapsed="false">
      <c r="A15" s="1" t="n">
        <v>10</v>
      </c>
      <c r="B15" s="59" t="s">
        <v>949</v>
      </c>
      <c r="C15" s="59" t="s">
        <v>950</v>
      </c>
      <c r="D15" s="1" t="n">
        <v>1024</v>
      </c>
      <c r="E15" s="1" t="n">
        <v>4096</v>
      </c>
      <c r="F15" s="60" t="n">
        <v>0.403765342348117</v>
      </c>
      <c r="G15" s="60" t="n">
        <v>0.55559624379835</v>
      </c>
      <c r="H15" s="33" t="n">
        <f aca="false">IF(OR(D15&lt;=0,E15&lt;=0,F15&lt;=0,G15&lt;=0),"—",LN(G15/F15)/LN(E15/D15))</f>
        <v>0.230259882568253</v>
      </c>
      <c r="I15" s="32" t="n">
        <f aca="false">ABS(G15-F15)/$F$5</f>
        <v>0.330064948330903</v>
      </c>
      <c r="J15" s="1" t="n">
        <f aca="false">RANK(I15,$I$6:$I$32)</f>
        <v>9</v>
      </c>
      <c r="K15" s="3" t="s">
        <v>951</v>
      </c>
    </row>
    <row r="16" customFormat="false" ht="17.15" hidden="false" customHeight="false" outlineLevel="0" collapsed="false">
      <c r="A16" s="1" t="n">
        <v>11</v>
      </c>
      <c r="B16" s="61" t="s">
        <v>952</v>
      </c>
      <c r="C16" s="59" t="s">
        <v>953</v>
      </c>
      <c r="D16" s="1" t="s">
        <v>954</v>
      </c>
      <c r="E16" s="1" t="s">
        <v>955</v>
      </c>
      <c r="F16" s="60" t="n">
        <v>0.395331314626801</v>
      </c>
      <c r="G16" s="60" t="n">
        <v>0.54798591765401</v>
      </c>
      <c r="H16" s="1" t="s">
        <v>108</v>
      </c>
      <c r="I16" s="32" t="n">
        <f aca="false">ABS(G16-F16)/$F$5</f>
        <v>0.33185559184186</v>
      </c>
      <c r="J16" s="1" t="n">
        <f aca="false">RANK(I16,$I$6:$I$32)</f>
        <v>8</v>
      </c>
      <c r="K16" s="3" t="s">
        <v>956</v>
      </c>
    </row>
    <row r="17" customFormat="false" ht="17.15" hidden="false" customHeight="false" outlineLevel="0" collapsed="false">
      <c r="A17" s="1" t="n">
        <v>12</v>
      </c>
      <c r="B17" s="61" t="s">
        <v>957</v>
      </c>
      <c r="C17" s="59" t="s">
        <v>114</v>
      </c>
      <c r="D17" s="1" t="n">
        <v>7.5</v>
      </c>
      <c r="E17" s="1" t="n">
        <v>8.8</v>
      </c>
      <c r="F17" s="60" t="n">
        <v>0.515203478843136</v>
      </c>
      <c r="G17" s="60" t="n">
        <v>0.439093874014036</v>
      </c>
      <c r="H17" s="33" t="n">
        <f aca="false">IF(OR(D17&lt;=0,E17&lt;=0,F17&lt;=0,G17&lt;=0),"—",LN(G17/F17)/LN(E17/D17))</f>
        <v>-1.00000000000001</v>
      </c>
      <c r="I17" s="32" t="n">
        <f aca="false">ABS(G17-F17)/$F$5</f>
        <v>0.165454545454546</v>
      </c>
      <c r="J17" s="1" t="n">
        <f aca="false">RANK(I17,$I$6:$I$32)</f>
        <v>15</v>
      </c>
      <c r="K17" s="3" t="s">
        <v>958</v>
      </c>
    </row>
    <row r="18" customFormat="false" ht="17.15" hidden="false" customHeight="false" outlineLevel="0" collapsed="false">
      <c r="A18" s="1" t="n">
        <v>13</v>
      </c>
      <c r="B18" s="61" t="s">
        <v>959</v>
      </c>
      <c r="C18" s="59" t="s">
        <v>220</v>
      </c>
      <c r="D18" s="1" t="n">
        <v>0.3</v>
      </c>
      <c r="E18" s="1" t="n">
        <v>0.75</v>
      </c>
      <c r="F18" s="60" t="n">
        <v>0.503364689337418</v>
      </c>
      <c r="G18" s="60" t="n">
        <v>0.425150251229192</v>
      </c>
      <c r="H18" s="33" t="n">
        <f aca="false">IF(OR(D18&lt;=0,E18&lt;=0,F18&lt;=0,G18&lt;=0),"—",LN(G18/F18)/LN(E18/D18))</f>
        <v>-0.184299907521027</v>
      </c>
      <c r="I18" s="32" t="n">
        <f aca="false">ABS(G18-F18)/$F$5</f>
        <v>0.170030239077413</v>
      </c>
      <c r="J18" s="1" t="n">
        <f aca="false">RANK(I18,$I$6:$I$32)</f>
        <v>14</v>
      </c>
      <c r="K18" s="3"/>
    </row>
    <row r="19" customFormat="false" ht="17.15" hidden="false" customHeight="false" outlineLevel="0" collapsed="false">
      <c r="A19" s="1" t="n">
        <v>14</v>
      </c>
      <c r="B19" s="59" t="s">
        <v>960</v>
      </c>
      <c r="C19" s="59" t="s">
        <v>161</v>
      </c>
      <c r="D19" s="1" t="n">
        <v>1.672</v>
      </c>
      <c r="E19" s="1" t="n">
        <v>2.338</v>
      </c>
      <c r="F19" s="60" t="n">
        <v>0.532160456087973</v>
      </c>
      <c r="G19" s="60" t="n">
        <v>0.441977539102072</v>
      </c>
      <c r="H19" s="33" t="n">
        <f aca="false">IF(OR(D19&lt;=0,E19&lt;=0,F19&lt;=0,G19&lt;=0),"—",LN(G19/F19)/LN(E19/D19))</f>
        <v>-0.553831320055103</v>
      </c>
      <c r="I19" s="32" t="n">
        <f aca="false">ABS(G19-F19)/$F$5</f>
        <v>0.196048495734172</v>
      </c>
      <c r="J19" s="1" t="n">
        <f aca="false">RANK(I19,$I$6:$I$32)</f>
        <v>12</v>
      </c>
      <c r="K19" s="3"/>
    </row>
    <row r="20" customFormat="false" ht="17.15" hidden="false" customHeight="false" outlineLevel="0" collapsed="false">
      <c r="A20" s="1" t="n">
        <v>15</v>
      </c>
      <c r="B20" s="61" t="s">
        <v>961</v>
      </c>
      <c r="C20" s="59" t="s">
        <v>214</v>
      </c>
      <c r="D20" s="1" t="n">
        <v>0.4</v>
      </c>
      <c r="E20" s="1" t="n">
        <v>0.8</v>
      </c>
      <c r="F20" s="60" t="n">
        <v>0.431933036115153</v>
      </c>
      <c r="G20" s="60" t="n">
        <v>0.501313775158878</v>
      </c>
      <c r="H20" s="33" t="n">
        <f aca="false">IF(OR(D20&lt;=0,E20&lt;=0,F20&lt;=0,G20&lt;=0),"—",LN(G20/F20)/LN(E20/D20))</f>
        <v>0.214906212859437</v>
      </c>
      <c r="I20" s="32" t="n">
        <f aca="false">ABS(G20-F20)/$F$5</f>
        <v>0.150826675129325</v>
      </c>
      <c r="J20" s="1" t="n">
        <f aca="false">RANK(I20,$I$6:$I$32)</f>
        <v>17</v>
      </c>
      <c r="K20" s="3"/>
    </row>
    <row r="21" customFormat="false" ht="15" hidden="false" customHeight="false" outlineLevel="0" collapsed="false">
      <c r="A21" s="1" t="n">
        <v>16</v>
      </c>
      <c r="B21" s="59" t="s">
        <v>962</v>
      </c>
      <c r="C21" s="59" t="s">
        <v>579</v>
      </c>
      <c r="D21" s="1" t="n">
        <v>0.08</v>
      </c>
      <c r="E21" s="1" t="n">
        <v>0.13</v>
      </c>
      <c r="F21" s="60" t="n">
        <v>0.433481796884031</v>
      </c>
      <c r="G21" s="60" t="n">
        <v>0.501466039819862</v>
      </c>
      <c r="H21" s="33" t="n">
        <f aca="false">IF(OR(D21&lt;=0,E21&lt;=0,F21&lt;=0,G21&lt;=0),"—",LN(G21/F21)/LN(E21/D21))</f>
        <v>0.300069491913764</v>
      </c>
      <c r="I21" s="32" t="n">
        <f aca="false">ABS(G21-F21)/$F$5</f>
        <v>0.147790834524458</v>
      </c>
      <c r="J21" s="1" t="n">
        <f aca="false">RANK(I21,$I$6:$I$32)</f>
        <v>18</v>
      </c>
      <c r="K21" s="3"/>
    </row>
    <row r="22" customFormat="false" ht="15" hidden="false" customHeight="false" outlineLevel="0" collapsed="false">
      <c r="A22" s="1" t="n">
        <v>17</v>
      </c>
      <c r="B22" s="59" t="s">
        <v>963</v>
      </c>
      <c r="C22" s="59" t="s">
        <v>260</v>
      </c>
      <c r="D22" s="1" t="n">
        <v>0.15</v>
      </c>
      <c r="E22" s="1" t="n">
        <v>0.45</v>
      </c>
      <c r="F22" s="60" t="n">
        <v>0.397000836821871</v>
      </c>
      <c r="G22" s="60" t="n">
        <v>0.475460995042285</v>
      </c>
      <c r="H22" s="33" t="n">
        <f aca="false">IF(OR(D22&lt;=0,E22&lt;=0,F22&lt;=0,G22&lt;=0),"—",LN(G22/F22)/LN(E22/D22))</f>
        <v>0.164158422929263</v>
      </c>
      <c r="I22" s="32" t="n">
        <f aca="false">ABS(G22-F22)/$F$5</f>
        <v>0.170564409627403</v>
      </c>
      <c r="J22" s="1" t="n">
        <f aca="false">RANK(I22,$I$6:$I$32)</f>
        <v>13</v>
      </c>
      <c r="K22" s="3"/>
    </row>
    <row r="23" customFormat="false" ht="17.15" hidden="false" customHeight="false" outlineLevel="0" collapsed="false">
      <c r="A23" s="1" t="n">
        <v>18</v>
      </c>
      <c r="B23" s="61" t="s">
        <v>964</v>
      </c>
      <c r="C23" s="59" t="s">
        <v>210</v>
      </c>
      <c r="D23" s="1" t="n">
        <v>2000</v>
      </c>
      <c r="E23" s="1" t="n">
        <v>11000</v>
      </c>
      <c r="F23" s="60" t="n">
        <v>0.435637832860207</v>
      </c>
      <c r="G23" s="60" t="n">
        <v>0.50137389043787</v>
      </c>
      <c r="H23" s="33" t="n">
        <f aca="false">IF(OR(D23&lt;=0,E23&lt;=0,F23&lt;=0,G23&lt;=0),"—",LN(G23/F23)/LN(E23/D23))</f>
        <v>0.0824408439614697</v>
      </c>
      <c r="I23" s="32" t="n">
        <f aca="false">ABS(G23-F23)/$F$5</f>
        <v>0.142903508051425</v>
      </c>
      <c r="J23" s="1" t="n">
        <f aca="false">RANK(I23,$I$6:$I$32)</f>
        <v>19</v>
      </c>
      <c r="K23" s="3"/>
    </row>
    <row r="24" customFormat="false" ht="17.15" hidden="false" customHeight="false" outlineLevel="0" collapsed="false">
      <c r="A24" s="1" t="n">
        <v>19</v>
      </c>
      <c r="B24" s="59" t="s">
        <v>965</v>
      </c>
      <c r="C24" s="59" t="s">
        <v>263</v>
      </c>
      <c r="D24" s="1" t="n">
        <v>0.8</v>
      </c>
      <c r="E24" s="1" t="n">
        <v>1.6</v>
      </c>
      <c r="F24" s="60" t="n">
        <v>0.492203514473823</v>
      </c>
      <c r="G24" s="60" t="n">
        <v>0.435431254797352</v>
      </c>
      <c r="H24" s="33" t="n">
        <f aca="false">IF(OR(D24&lt;=0,E24&lt;=0,F24&lt;=0,G24&lt;=0),"—",LN(G24/F24)/LN(E24/D24))</f>
        <v>-0.176809992712922</v>
      </c>
      <c r="I24" s="32" t="n">
        <f aca="false">ABS(G24-F24)/$F$5</f>
        <v>0.123417122455043</v>
      </c>
      <c r="J24" s="1" t="n">
        <f aca="false">RANK(I24,$I$6:$I$32)</f>
        <v>20</v>
      </c>
      <c r="K24" s="3"/>
    </row>
    <row r="25" customFormat="false" ht="26.85" hidden="false" customHeight="false" outlineLevel="0" collapsed="false">
      <c r="A25" s="1" t="n">
        <v>20</v>
      </c>
      <c r="B25" s="61" t="s">
        <v>966</v>
      </c>
      <c r="C25" s="59" t="s">
        <v>149</v>
      </c>
      <c r="D25" s="1" t="n">
        <v>0.4</v>
      </c>
      <c r="E25" s="1" t="n">
        <v>0.8</v>
      </c>
      <c r="F25" s="60" t="n">
        <v>0.508721826770362</v>
      </c>
      <c r="G25" s="60" t="n">
        <v>0.460003106109943</v>
      </c>
      <c r="H25" s="33" t="n">
        <f aca="false">IF(OR(D25&lt;=0,E25&lt;=0,F25&lt;=0,G25&lt;=0),"—",LN(G25/F25)/LN(E25/D25))</f>
        <v>-0.145233391721053</v>
      </c>
      <c r="I25" s="32" t="n">
        <f aca="false">ABS(G25-F25)/$F$5</f>
        <v>0.105909547160264</v>
      </c>
      <c r="J25" s="1" t="n">
        <f aca="false">RANK(I25,$I$6:$I$32)</f>
        <v>21</v>
      </c>
      <c r="K25" s="3" t="s">
        <v>967</v>
      </c>
    </row>
    <row r="26" customFormat="false" ht="17.15" hidden="false" customHeight="false" outlineLevel="0" collapsed="false">
      <c r="A26" s="1" t="n">
        <v>21</v>
      </c>
      <c r="B26" s="61" t="s">
        <v>968</v>
      </c>
      <c r="C26" s="59" t="s">
        <v>969</v>
      </c>
      <c r="D26" s="1" t="s">
        <v>970</v>
      </c>
      <c r="E26" s="1" t="s">
        <v>971</v>
      </c>
      <c r="F26" s="60" t="n">
        <v>0.468714334948541</v>
      </c>
      <c r="G26" s="60" t="n">
        <v>0.454080854409836</v>
      </c>
      <c r="H26" s="1" t="s">
        <v>108</v>
      </c>
      <c r="I26" s="32" t="n">
        <f aca="false">ABS(G26-F26)/$F$5</f>
        <v>0.031811699408846</v>
      </c>
      <c r="J26" s="1" t="n">
        <f aca="false">RANK(I26,$I$6:$I$32)</f>
        <v>26</v>
      </c>
      <c r="K26" s="3" t="s">
        <v>972</v>
      </c>
    </row>
    <row r="27" customFormat="false" ht="17.15" hidden="false" customHeight="false" outlineLevel="0" collapsed="false">
      <c r="A27" s="1" t="n">
        <v>22</v>
      </c>
      <c r="B27" s="59" t="s">
        <v>973</v>
      </c>
      <c r="C27" s="59" t="s">
        <v>271</v>
      </c>
      <c r="D27" s="1" t="n">
        <v>1</v>
      </c>
      <c r="E27" s="1" t="n">
        <v>1.5</v>
      </c>
      <c r="F27" s="60" t="n">
        <v>0.440605146073898</v>
      </c>
      <c r="G27" s="60" t="n">
        <v>0.460003106109943</v>
      </c>
      <c r="H27" s="33" t="n">
        <f aca="false">IF(OR(D27&lt;=0,E27&lt;=0,F27&lt;=0,G27&lt;=0),"—",LN(G27/F27)/LN(E27/D27))</f>
        <v>0.106258533757968</v>
      </c>
      <c r="I27" s="32" t="n">
        <f aca="false">ABS(G27-F27)/$F$5</f>
        <v>0.0421691935954206</v>
      </c>
      <c r="J27" s="1" t="n">
        <f aca="false">RANK(I27,$I$6:$I$32)</f>
        <v>24</v>
      </c>
      <c r="K27" s="3"/>
    </row>
    <row r="28" customFormat="false" ht="17.15" hidden="false" customHeight="false" outlineLevel="0" collapsed="false">
      <c r="A28" s="1" t="n">
        <v>23</v>
      </c>
      <c r="B28" s="59" t="s">
        <v>974</v>
      </c>
      <c r="C28" s="59" t="s">
        <v>157</v>
      </c>
      <c r="D28" s="1" t="n">
        <v>0.0669</v>
      </c>
      <c r="E28" s="1" t="n">
        <v>0.3026</v>
      </c>
      <c r="F28" s="60" t="n">
        <v>0.464000853577204</v>
      </c>
      <c r="G28" s="60" t="n">
        <v>0.439408422287567</v>
      </c>
      <c r="H28" s="33" t="n">
        <f aca="false">IF(OR(D28&lt;=0,E28&lt;=0,F28&lt;=0,G28&lt;=0),"—",LN(G28/F28)/LN(E28/D28))</f>
        <v>-0.0360830912172246</v>
      </c>
      <c r="I28" s="32" t="n">
        <f aca="false">ABS(G28-F28)/$F$5</f>
        <v>0.0534614461576251</v>
      </c>
      <c r="J28" s="1" t="n">
        <f aca="false">RANK(I28,$I$6:$I$32)</f>
        <v>22</v>
      </c>
      <c r="K28" s="3"/>
    </row>
    <row r="29" customFormat="false" ht="17.15" hidden="false" customHeight="false" outlineLevel="0" collapsed="false">
      <c r="A29" s="1" t="n">
        <v>24</v>
      </c>
      <c r="B29" s="59" t="s">
        <v>975</v>
      </c>
      <c r="C29" s="59" t="s">
        <v>358</v>
      </c>
      <c r="D29" s="1" t="n">
        <v>0.9</v>
      </c>
      <c r="E29" s="1" t="n">
        <v>1.3</v>
      </c>
      <c r="F29" s="60" t="n">
        <v>0.42353620995437</v>
      </c>
      <c r="G29" s="60" t="n">
        <v>0.496470002265516</v>
      </c>
      <c r="H29" s="33" t="n">
        <f aca="false">IF(OR(D29&lt;=0,E29&lt;=0,F29&lt;=0,G29&lt;=0),"—",LN(G29/F29)/LN(E29/D29))</f>
        <v>0.432073278030929</v>
      </c>
      <c r="I29" s="32" t="n">
        <f aca="false">ABS(G29-F29)/$F$5</f>
        <v>0.158550651816065</v>
      </c>
      <c r="J29" s="1" t="n">
        <f aca="false">RANK(I29,$I$6:$I$32)</f>
        <v>16</v>
      </c>
      <c r="K29" s="3"/>
    </row>
    <row r="30" customFormat="false" ht="17.15" hidden="false" customHeight="false" outlineLevel="0" collapsed="false">
      <c r="A30" s="1" t="n">
        <v>25</v>
      </c>
      <c r="B30" s="59" t="s">
        <v>976</v>
      </c>
      <c r="C30" s="59" t="s">
        <v>362</v>
      </c>
      <c r="D30" s="1" t="n">
        <v>2.8</v>
      </c>
      <c r="E30" s="1" t="n">
        <v>3.4</v>
      </c>
      <c r="F30" s="60" t="n">
        <v>0.448677387525862</v>
      </c>
      <c r="G30" s="60" t="n">
        <v>0.471328824694023</v>
      </c>
      <c r="H30" s="33" t="n">
        <f aca="false">IF(OR(D30&lt;=0,E30&lt;=0,F30&lt;=0,G30&lt;=0),"—",LN(G30/F30)/LN(E30/D30))</f>
        <v>0.253671646429402</v>
      </c>
      <c r="I30" s="32" t="n">
        <f aca="false">ABS(G30-F30)/$F$5</f>
        <v>0.0492419222116017</v>
      </c>
      <c r="J30" s="1" t="n">
        <f aca="false">RANK(I30,$I$6:$I$32)</f>
        <v>23</v>
      </c>
      <c r="K30" s="3"/>
    </row>
    <row r="31" customFormat="false" ht="17.15" hidden="false" customHeight="false" outlineLevel="0" collapsed="false">
      <c r="A31" s="1" t="n">
        <v>26</v>
      </c>
      <c r="B31" s="59" t="s">
        <v>977</v>
      </c>
      <c r="C31" s="59" t="s">
        <v>201</v>
      </c>
      <c r="D31" s="1" t="n">
        <v>0.6</v>
      </c>
      <c r="E31" s="1" t="n">
        <v>0.9</v>
      </c>
      <c r="F31" s="60" t="n">
        <v>0.469002126892075</v>
      </c>
      <c r="G31" s="60" t="n">
        <v>0.452984848054312</v>
      </c>
      <c r="H31" s="33" t="n">
        <f aca="false">IF(OR(D31&lt;=0,E31&lt;=0,F31&lt;=0,G31&lt;=0),"—",LN(G31/F31)/LN(E31/D31))</f>
        <v>-0.0857006577688933</v>
      </c>
      <c r="I31" s="32" t="n">
        <f aca="false">ABS(G31-F31)/$F$5</f>
        <v>0.0348199362678538</v>
      </c>
      <c r="J31" s="1" t="n">
        <f aca="false">RANK(I31,$I$6:$I$32)</f>
        <v>25</v>
      </c>
      <c r="K31" s="3"/>
    </row>
    <row r="32" customFormat="false" ht="17.15" hidden="false" customHeight="false" outlineLevel="0" collapsed="false">
      <c r="A32" s="1" t="n">
        <v>27</v>
      </c>
      <c r="B32" s="59" t="s">
        <v>978</v>
      </c>
      <c r="C32" s="59" t="s">
        <v>979</v>
      </c>
      <c r="D32" s="1" t="n">
        <v>1.59</v>
      </c>
      <c r="E32" s="1" t="n">
        <v>2.64</v>
      </c>
      <c r="F32" s="60" t="n">
        <v>0.460003106109943</v>
      </c>
      <c r="G32" s="60" t="n">
        <v>0.460003106109943</v>
      </c>
      <c r="H32" s="33" t="n">
        <f aca="false">IF(OR(D32&lt;=0,E32&lt;=0,F32&lt;=0,G32&lt;=0),"—",LN(G32/F32)/LN(E32/D32))</f>
        <v>0</v>
      </c>
      <c r="I32" s="32" t="n">
        <f aca="false">ABS(G32-F32)/$F$5</f>
        <v>0</v>
      </c>
      <c r="J32" s="1" t="n">
        <f aca="false">RANK(I32,$I$6:$I$32)</f>
        <v>27</v>
      </c>
      <c r="K32" s="3" t="s">
        <v>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40"/>
    <col collapsed="false" customWidth="true" hidden="false" outlineLevel="0" max="7" min="7" style="0" width="46"/>
    <col collapsed="false" customWidth="true" hidden="false" outlineLevel="0" max="9" min="8" style="0" width="40"/>
    <col collapsed="false" customWidth="true" hidden="false" outlineLevel="0" max="10" min="10" style="0" width="30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53" t="s">
        <v>981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30" t="s">
        <v>982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5" hidden="false" customHeight="false" outlineLevel="0" collapsed="false">
      <c r="A4" s="12" t="s">
        <v>983</v>
      </c>
      <c r="B4" s="12" t="s">
        <v>984</v>
      </c>
      <c r="C4" s="12" t="s">
        <v>985</v>
      </c>
      <c r="D4" s="12" t="s">
        <v>82</v>
      </c>
      <c r="E4" s="12" t="s">
        <v>83</v>
      </c>
      <c r="F4" s="12" t="s">
        <v>986</v>
      </c>
      <c r="G4" s="12" t="s">
        <v>987</v>
      </c>
      <c r="H4" s="12" t="s">
        <v>988</v>
      </c>
      <c r="I4" s="12" t="s">
        <v>989</v>
      </c>
      <c r="J4" s="12" t="s">
        <v>990</v>
      </c>
      <c r="K4" s="12" t="s">
        <v>991</v>
      </c>
    </row>
    <row r="5" customFormat="false" ht="44" hidden="false" customHeight="false" outlineLevel="0" collapsed="false">
      <c r="A5" s="38" t="n">
        <v>1</v>
      </c>
      <c r="B5" s="40" t="s">
        <v>992</v>
      </c>
      <c r="C5" s="38" t="s">
        <v>993</v>
      </c>
      <c r="D5" s="62" t="n">
        <f aca="false">6_敏感度!I8</f>
        <v>0.705128205128204</v>
      </c>
      <c r="E5" s="63" t="n">
        <f aca="false">6_敏感度!H8</f>
        <v>-0.999999999999999</v>
      </c>
      <c r="F5" s="40" t="s">
        <v>994</v>
      </c>
      <c r="G5" s="38" t="s">
        <v>995</v>
      </c>
      <c r="H5" s="38" t="s">
        <v>996</v>
      </c>
      <c r="I5" s="38" t="s">
        <v>997</v>
      </c>
      <c r="J5" s="38" t="s">
        <v>998</v>
      </c>
      <c r="K5" s="38" t="s">
        <v>154</v>
      </c>
    </row>
    <row r="6" customFormat="false" ht="44" hidden="false" customHeight="false" outlineLevel="0" collapsed="false">
      <c r="A6" s="38" t="n">
        <v>2</v>
      </c>
      <c r="B6" s="40" t="s">
        <v>999</v>
      </c>
      <c r="C6" s="38" t="s">
        <v>1000</v>
      </c>
      <c r="D6" s="62" t="n">
        <f aca="false">6_敏感度!I10</f>
        <v>0.517647058823527</v>
      </c>
      <c r="E6" s="63" t="n">
        <f aca="false">6_敏感度!H10</f>
        <v>0.999999999999996</v>
      </c>
      <c r="F6" s="38" t="s">
        <v>1001</v>
      </c>
      <c r="G6" s="38" t="s">
        <v>1002</v>
      </c>
      <c r="H6" s="38" t="s">
        <v>1003</v>
      </c>
      <c r="I6" s="40" t="s">
        <v>1004</v>
      </c>
      <c r="J6" s="38" t="s">
        <v>1005</v>
      </c>
      <c r="K6" s="38" t="s">
        <v>1006</v>
      </c>
    </row>
    <row r="7" customFormat="false" ht="29.85" hidden="false" customHeight="false" outlineLevel="0" collapsed="false">
      <c r="A7" s="38" t="n">
        <v>3</v>
      </c>
      <c r="B7" s="38" t="s">
        <v>1007</v>
      </c>
      <c r="C7" s="38" t="s">
        <v>1008</v>
      </c>
      <c r="D7" s="62" t="n">
        <f aca="false">6_敏感度!I11</f>
        <v>0.443456920317768</v>
      </c>
      <c r="E7" s="63" t="n">
        <f aca="false">6_敏感度!H11</f>
        <v>0.343851240661688</v>
      </c>
      <c r="F7" s="40" t="s">
        <v>1009</v>
      </c>
      <c r="G7" s="40" t="s">
        <v>1010</v>
      </c>
      <c r="H7" s="38" t="s">
        <v>1011</v>
      </c>
      <c r="I7" s="38" t="s">
        <v>1012</v>
      </c>
      <c r="J7" s="38" t="s">
        <v>1013</v>
      </c>
      <c r="K7" s="38" t="s">
        <v>1014</v>
      </c>
    </row>
    <row r="8" customFormat="false" ht="44" hidden="false" customHeight="false" outlineLevel="0" collapsed="false">
      <c r="A8" s="4" t="n">
        <v>4</v>
      </c>
      <c r="B8" s="4" t="s">
        <v>1015</v>
      </c>
      <c r="C8" s="4" t="s">
        <v>1016</v>
      </c>
      <c r="D8" s="64" t="n">
        <f aca="false">6_敏感度!I6</f>
        <v>0.22847712696715</v>
      </c>
      <c r="E8" s="65" t="n">
        <f aca="false">6_敏感度!H6</f>
        <v>-0.393267941184692</v>
      </c>
      <c r="F8" s="6" t="s">
        <v>1017</v>
      </c>
      <c r="G8" s="4" t="s">
        <v>1018</v>
      </c>
      <c r="H8" s="4" t="s">
        <v>1019</v>
      </c>
      <c r="I8" s="4" t="s">
        <v>1020</v>
      </c>
      <c r="J8" s="4" t="s">
        <v>1021</v>
      </c>
      <c r="K8" s="4" t="s">
        <v>1022</v>
      </c>
    </row>
    <row r="9" customFormat="false" ht="29.85" hidden="false" customHeight="false" outlineLevel="0" collapsed="false">
      <c r="A9" s="4" t="n">
        <v>5</v>
      </c>
      <c r="B9" s="4" t="s">
        <v>1023</v>
      </c>
      <c r="C9" s="4" t="s">
        <v>1024</v>
      </c>
      <c r="D9" s="64" t="n">
        <f aca="false">6_敏感度!I19</f>
        <v>0.196048495734172</v>
      </c>
      <c r="E9" s="65" t="n">
        <f aca="false">6_敏感度!H19</f>
        <v>-0.553831320055103</v>
      </c>
      <c r="F9" s="4" t="s">
        <v>1025</v>
      </c>
      <c r="G9" s="4" t="s">
        <v>1026</v>
      </c>
      <c r="H9" s="6" t="s">
        <v>1027</v>
      </c>
      <c r="I9" s="6" t="s">
        <v>1028</v>
      </c>
      <c r="J9" s="4" t="s">
        <v>1029</v>
      </c>
      <c r="K9" s="4" t="s">
        <v>154</v>
      </c>
    </row>
    <row r="10" customFormat="false" ht="44" hidden="false" customHeight="false" outlineLevel="0" collapsed="false">
      <c r="A10" s="4" t="n">
        <v>6</v>
      </c>
      <c r="B10" s="6" t="s">
        <v>1030</v>
      </c>
      <c r="C10" s="4" t="s">
        <v>1031</v>
      </c>
      <c r="D10" s="64" t="n">
        <f aca="false">6_敏感度!I17</f>
        <v>0.165454545454546</v>
      </c>
      <c r="E10" s="65" t="n">
        <f aca="false">6_敏感度!H17</f>
        <v>-1.00000000000001</v>
      </c>
      <c r="F10" s="6" t="s">
        <v>1032</v>
      </c>
      <c r="G10" s="4" t="s">
        <v>1033</v>
      </c>
      <c r="H10" s="4" t="s">
        <v>1034</v>
      </c>
      <c r="I10" s="6" t="s">
        <v>1035</v>
      </c>
      <c r="J10" s="4" t="s">
        <v>1036</v>
      </c>
      <c r="K10" s="4" t="s">
        <v>1006</v>
      </c>
    </row>
    <row r="11" customFormat="false" ht="44" hidden="false" customHeight="false" outlineLevel="0" collapsed="false">
      <c r="A11" s="4" t="n">
        <v>7</v>
      </c>
      <c r="B11" s="4" t="s">
        <v>1037</v>
      </c>
      <c r="C11" s="4" t="s">
        <v>1038</v>
      </c>
      <c r="D11" s="64" t="n">
        <f aca="false">6_敏感度!I24</f>
        <v>0.123417122455043</v>
      </c>
      <c r="E11" s="65" t="n">
        <f aca="false">6_敏感度!H24</f>
        <v>-0.176809992712922</v>
      </c>
      <c r="F11" s="4" t="s">
        <v>1039</v>
      </c>
      <c r="G11" s="6" t="s">
        <v>1040</v>
      </c>
      <c r="H11" s="4" t="s">
        <v>1041</v>
      </c>
      <c r="I11" s="4" t="s">
        <v>1042</v>
      </c>
      <c r="J11" s="4" t="s">
        <v>1043</v>
      </c>
      <c r="K11" s="4" t="s">
        <v>154</v>
      </c>
    </row>
    <row r="12" customFormat="false" ht="44" hidden="false" customHeight="false" outlineLevel="0" collapsed="false">
      <c r="A12" s="4" t="n">
        <v>8</v>
      </c>
      <c r="B12" s="6" t="s">
        <v>1044</v>
      </c>
      <c r="C12" s="4" t="s">
        <v>1045</v>
      </c>
      <c r="D12" s="64" t="n">
        <f aca="false">6_敏感度!I23</f>
        <v>0.142903508051425</v>
      </c>
      <c r="E12" s="65" t="n">
        <f aca="false">6_敏感度!H23</f>
        <v>0.0824408439614697</v>
      </c>
      <c r="F12" s="4" t="s">
        <v>1046</v>
      </c>
      <c r="G12" s="4" t="s">
        <v>1047</v>
      </c>
      <c r="H12" s="4" t="s">
        <v>1048</v>
      </c>
      <c r="I12" s="4" t="s">
        <v>1049</v>
      </c>
      <c r="J12" s="4" t="s">
        <v>1050</v>
      </c>
      <c r="K12" s="4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40"/>
    <col collapsed="false" customWidth="true" hidden="false" outlineLevel="0" max="7" min="7" style="0" width="46"/>
    <col collapsed="false" customWidth="true" hidden="false" outlineLevel="0" max="8" min="8" style="0" width="44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53" t="s">
        <v>1051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8" t="s">
        <v>1052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2" t="s">
        <v>983</v>
      </c>
      <c r="B4" s="12" t="s">
        <v>984</v>
      </c>
      <c r="C4" s="12" t="s">
        <v>985</v>
      </c>
      <c r="D4" s="12" t="s">
        <v>82</v>
      </c>
      <c r="E4" s="12" t="s">
        <v>83</v>
      </c>
      <c r="F4" s="12" t="s">
        <v>986</v>
      </c>
      <c r="G4" s="12" t="s">
        <v>1053</v>
      </c>
      <c r="H4" s="12" t="s">
        <v>1054</v>
      </c>
      <c r="I4" s="12" t="s">
        <v>990</v>
      </c>
      <c r="J4" s="12" t="s">
        <v>991</v>
      </c>
    </row>
    <row r="5" customFormat="false" ht="44" hidden="false" customHeight="false" outlineLevel="0" collapsed="false">
      <c r="A5" s="38" t="n">
        <v>1</v>
      </c>
      <c r="B5" s="40" t="s">
        <v>1055</v>
      </c>
      <c r="C5" s="38" t="s">
        <v>1056</v>
      </c>
      <c r="D5" s="62" t="n">
        <f aca="false">6_敏感度!I9</f>
        <v>0.62939363522649</v>
      </c>
      <c r="E5" s="63" t="n">
        <f aca="false">6_敏感度!H9</f>
        <v>-0.798214884270891</v>
      </c>
      <c r="F5" s="40" t="s">
        <v>1057</v>
      </c>
      <c r="G5" s="40" t="s">
        <v>1058</v>
      </c>
      <c r="H5" s="40" t="s">
        <v>1059</v>
      </c>
      <c r="I5" s="38" t="s">
        <v>1060</v>
      </c>
      <c r="J5" s="38" t="s">
        <v>1061</v>
      </c>
    </row>
    <row r="6" customFormat="false" ht="29.85" hidden="false" customHeight="false" outlineLevel="0" collapsed="false">
      <c r="A6" s="38" t="n">
        <v>2</v>
      </c>
      <c r="B6" s="38" t="s">
        <v>1062</v>
      </c>
      <c r="C6" s="40" t="s">
        <v>1063</v>
      </c>
      <c r="D6" s="62" t="n">
        <f aca="false">6_敏感度!I12</f>
        <v>0.444444444444443</v>
      </c>
      <c r="E6" s="63" t="n">
        <f aca="false">6_敏感度!H12</f>
        <v>0.292481250360578</v>
      </c>
      <c r="F6" s="38" t="s">
        <v>1064</v>
      </c>
      <c r="G6" s="38" t="s">
        <v>1065</v>
      </c>
      <c r="H6" s="38" t="s">
        <v>1066</v>
      </c>
      <c r="I6" s="38" t="s">
        <v>1067</v>
      </c>
      <c r="J6" s="38" t="s">
        <v>1061</v>
      </c>
    </row>
    <row r="7" customFormat="false" ht="29.85" hidden="false" customHeight="false" outlineLevel="0" collapsed="false">
      <c r="A7" s="38" t="n">
        <v>3</v>
      </c>
      <c r="B7" s="40" t="s">
        <v>144</v>
      </c>
      <c r="C7" s="38" t="s">
        <v>1068</v>
      </c>
      <c r="D7" s="62" t="n">
        <f aca="false">6_敏感度!I14</f>
        <v>0.364285714285715</v>
      </c>
      <c r="E7" s="63" t="n">
        <f aca="false">6_敏感度!H14</f>
        <v>-1</v>
      </c>
      <c r="F7" s="40" t="s">
        <v>1069</v>
      </c>
      <c r="G7" s="40" t="s">
        <v>1070</v>
      </c>
      <c r="H7" s="40" t="s">
        <v>1071</v>
      </c>
      <c r="I7" s="38" t="s">
        <v>1072</v>
      </c>
      <c r="J7" s="38" t="s">
        <v>1061</v>
      </c>
    </row>
    <row r="8" customFormat="false" ht="44" hidden="false" customHeight="false" outlineLevel="0" collapsed="false">
      <c r="A8" s="4" t="n">
        <v>4</v>
      </c>
      <c r="B8" s="4" t="s">
        <v>1073</v>
      </c>
      <c r="C8" s="4" t="s">
        <v>1074</v>
      </c>
      <c r="D8" s="64" t="n">
        <f aca="false">6_敏感度!I16</f>
        <v>0.33185559184186</v>
      </c>
      <c r="E8" s="65" t="str">
        <f aca="false">6_敏感度!H16</f>
        <v>—</v>
      </c>
      <c r="F8" s="6" t="s">
        <v>1075</v>
      </c>
      <c r="G8" s="4" t="s">
        <v>1076</v>
      </c>
      <c r="H8" s="6" t="s">
        <v>1077</v>
      </c>
      <c r="I8" s="4" t="s">
        <v>1078</v>
      </c>
      <c r="J8" s="4" t="s">
        <v>1079</v>
      </c>
    </row>
    <row r="9" customFormat="false" ht="58.2" hidden="false" customHeight="false" outlineLevel="0" collapsed="false">
      <c r="A9" s="4" t="n">
        <v>5</v>
      </c>
      <c r="B9" s="6" t="s">
        <v>1080</v>
      </c>
      <c r="C9" s="4" t="s">
        <v>1081</v>
      </c>
      <c r="D9" s="64" t="n">
        <f aca="false">6_敏感度!I29</f>
        <v>0.158550651816065</v>
      </c>
      <c r="E9" s="65" t="n">
        <f aca="false">6_敏感度!H29</f>
        <v>0.432073278030929</v>
      </c>
      <c r="F9" s="6" t="s">
        <v>1082</v>
      </c>
      <c r="G9" s="4" t="s">
        <v>1083</v>
      </c>
      <c r="H9" s="4" t="s">
        <v>1084</v>
      </c>
      <c r="I9" s="4" t="s">
        <v>1085</v>
      </c>
      <c r="J9" s="4" t="s">
        <v>1061</v>
      </c>
    </row>
    <row r="10" customFormat="false" ht="29.85" hidden="false" customHeight="false" outlineLevel="0" collapsed="false">
      <c r="A10" s="4" t="n">
        <v>6</v>
      </c>
      <c r="B10" s="4" t="s">
        <v>1086</v>
      </c>
      <c r="C10" s="4" t="s">
        <v>1087</v>
      </c>
      <c r="D10" s="64" t="n">
        <f aca="false">6_敏感度!I24</f>
        <v>0.123417122455043</v>
      </c>
      <c r="E10" s="65" t="n">
        <f aca="false">6_敏感度!H24</f>
        <v>-0.176809992712922</v>
      </c>
      <c r="F10" s="6" t="s">
        <v>1088</v>
      </c>
      <c r="G10" s="6" t="s">
        <v>1089</v>
      </c>
      <c r="H10" s="6" t="s">
        <v>1090</v>
      </c>
      <c r="I10" s="4" t="s">
        <v>1043</v>
      </c>
      <c r="J10" s="4" t="s">
        <v>1061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80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20.1" hidden="false" customHeight="false" outlineLevel="0" collapsed="false">
      <c r="A1" s="34" t="s">
        <v>1091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30" t="s">
        <v>1092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29.85" hidden="false" customHeight="false" outlineLevel="0" collapsed="false">
      <c r="A4" s="12" t="s">
        <v>1093</v>
      </c>
      <c r="B4" s="12" t="s">
        <v>1094</v>
      </c>
      <c r="C4" s="12" t="s">
        <v>1095</v>
      </c>
      <c r="D4" s="12" t="s">
        <v>1096</v>
      </c>
      <c r="E4" s="12" t="s">
        <v>25</v>
      </c>
      <c r="F4" s="12" t="s">
        <v>1097</v>
      </c>
      <c r="G4" s="12" t="s">
        <v>1098</v>
      </c>
      <c r="H4" s="11" t="s">
        <v>1099</v>
      </c>
    </row>
    <row r="5" customFormat="false" ht="15" hidden="false" customHeight="false" outlineLevel="0" collapsed="false">
      <c r="A5" s="19" t="s">
        <v>1100</v>
      </c>
      <c r="B5" s="19" t="s">
        <v>1101</v>
      </c>
      <c r="C5" s="19" t="n">
        <v>0</v>
      </c>
      <c r="D5" s="17" t="s">
        <v>1102</v>
      </c>
      <c r="E5" s="19" t="n">
        <v>0.460003106109943</v>
      </c>
      <c r="F5" s="17" t="s">
        <v>1103</v>
      </c>
      <c r="G5" s="17" t="s">
        <v>1104</v>
      </c>
      <c r="H5" s="19"/>
    </row>
    <row r="6" customFormat="false" ht="15" hidden="false" customHeight="false" outlineLevel="0" collapsed="false">
      <c r="A6" s="19" t="s">
        <v>1105</v>
      </c>
      <c r="B6" s="19" t="s">
        <v>1106</v>
      </c>
      <c r="C6" s="19" t="n">
        <v>1</v>
      </c>
      <c r="D6" s="17" t="s">
        <v>1107</v>
      </c>
      <c r="E6" s="19" t="s">
        <v>1108</v>
      </c>
      <c r="F6" s="17" t="s">
        <v>1109</v>
      </c>
      <c r="G6" s="17" t="s">
        <v>1104</v>
      </c>
      <c r="H6" s="19"/>
    </row>
    <row r="7" customFormat="false" ht="15" hidden="false" customHeight="false" outlineLevel="0" collapsed="false">
      <c r="A7" s="19" t="s">
        <v>1105</v>
      </c>
      <c r="B7" s="19" t="s">
        <v>1110</v>
      </c>
      <c r="C7" s="19" t="n">
        <v>1</v>
      </c>
      <c r="D7" s="17" t="s">
        <v>1111</v>
      </c>
      <c r="E7" s="19" t="n">
        <v>1.35936</v>
      </c>
      <c r="F7" s="17" t="s">
        <v>1112</v>
      </c>
      <c r="G7" s="17" t="s">
        <v>1104</v>
      </c>
      <c r="H7" s="19"/>
    </row>
    <row r="8" customFormat="false" ht="15" hidden="false" customHeight="false" outlineLevel="0" collapsed="false">
      <c r="A8" s="19" t="s">
        <v>1100</v>
      </c>
      <c r="B8" s="19" t="s">
        <v>1113</v>
      </c>
      <c r="C8" s="19" t="n">
        <v>1</v>
      </c>
      <c r="D8" s="17" t="s">
        <v>1114</v>
      </c>
      <c r="E8" s="19" t="n">
        <v>20901638729.2215</v>
      </c>
      <c r="F8" s="17" t="s">
        <v>1115</v>
      </c>
      <c r="G8" s="17" t="s">
        <v>1104</v>
      </c>
      <c r="H8" s="19"/>
    </row>
    <row r="9" customFormat="false" ht="15" hidden="false" customHeight="false" outlineLevel="0" collapsed="false">
      <c r="A9" s="19" t="s">
        <v>1100</v>
      </c>
      <c r="B9" s="19" t="s">
        <v>1116</v>
      </c>
      <c r="C9" s="19" t="n">
        <v>1</v>
      </c>
      <c r="D9" s="19" t="s">
        <v>1117</v>
      </c>
      <c r="E9" s="19" t="n">
        <v>0.339147884513574</v>
      </c>
      <c r="F9" s="17" t="s">
        <v>1118</v>
      </c>
      <c r="G9" s="17" t="s">
        <v>1104</v>
      </c>
      <c r="H9" s="19"/>
    </row>
    <row r="10" customFormat="false" ht="15" hidden="false" customHeight="false" outlineLevel="0" collapsed="false">
      <c r="A10" s="55" t="s">
        <v>1119</v>
      </c>
      <c r="B10" s="55" t="s">
        <v>1120</v>
      </c>
      <c r="C10" s="55" t="n">
        <v>1</v>
      </c>
      <c r="D10" s="55" t="s">
        <v>1121</v>
      </c>
      <c r="E10" s="55" t="n">
        <v>13.07</v>
      </c>
      <c r="F10" s="55"/>
      <c r="G10" s="66" t="s">
        <v>1122</v>
      </c>
      <c r="H10" s="55"/>
    </row>
    <row r="11" customFormat="false" ht="15" hidden="false" customHeight="false" outlineLevel="0" collapsed="false">
      <c r="A11" s="19" t="s">
        <v>1105</v>
      </c>
      <c r="B11" s="19" t="s">
        <v>1123</v>
      </c>
      <c r="C11" s="19" t="n">
        <v>2</v>
      </c>
      <c r="D11" s="17" t="s">
        <v>1124</v>
      </c>
      <c r="E11" s="19" t="n">
        <v>0.112312801748355</v>
      </c>
      <c r="F11" s="17" t="s">
        <v>1125</v>
      </c>
      <c r="G11" s="17" t="s">
        <v>1104</v>
      </c>
      <c r="H11" s="19"/>
    </row>
    <row r="12" customFormat="false" ht="15" hidden="false" customHeight="false" outlineLevel="0" collapsed="false">
      <c r="A12" s="19" t="s">
        <v>1100</v>
      </c>
      <c r="B12" s="19" t="s">
        <v>1126</v>
      </c>
      <c r="C12" s="19" t="n">
        <v>2</v>
      </c>
      <c r="D12" s="17" t="s">
        <v>1127</v>
      </c>
      <c r="E12" s="19" t="n">
        <v>1.05658373061052</v>
      </c>
      <c r="F12" s="17" t="s">
        <v>1128</v>
      </c>
      <c r="G12" s="17" t="s">
        <v>1104</v>
      </c>
      <c r="H12" s="19"/>
    </row>
    <row r="13" customFormat="false" ht="15" hidden="false" customHeight="false" outlineLevel="0" collapsed="false">
      <c r="A13" s="19" t="s">
        <v>1100</v>
      </c>
      <c r="B13" s="19" t="s">
        <v>1129</v>
      </c>
      <c r="C13" s="19" t="n">
        <v>2</v>
      </c>
      <c r="D13" s="17" t="s">
        <v>1130</v>
      </c>
      <c r="E13" s="19" t="n">
        <v>39539922186.4258</v>
      </c>
      <c r="F13" s="17" t="s">
        <v>1131</v>
      </c>
      <c r="G13" s="17" t="s">
        <v>1104</v>
      </c>
      <c r="H13" s="19"/>
    </row>
    <row r="14" customFormat="false" ht="15" hidden="false" customHeight="false" outlineLevel="0" collapsed="false">
      <c r="A14" s="19" t="s">
        <v>1100</v>
      </c>
      <c r="B14" s="19" t="s">
        <v>1132</v>
      </c>
      <c r="C14" s="19" t="n">
        <v>2</v>
      </c>
      <c r="D14" s="17" t="s">
        <v>1133</v>
      </c>
      <c r="E14" s="19" t="n">
        <v>140654454096.474</v>
      </c>
      <c r="F14" s="17" t="s">
        <v>1134</v>
      </c>
      <c r="G14" s="17" t="s">
        <v>1104</v>
      </c>
      <c r="H14" s="19"/>
    </row>
    <row r="15" customFormat="false" ht="15" hidden="false" customHeight="false" outlineLevel="0" collapsed="false">
      <c r="A15" s="19" t="s">
        <v>1100</v>
      </c>
      <c r="B15" s="19" t="s">
        <v>1135</v>
      </c>
      <c r="C15" s="19" t="n">
        <v>2</v>
      </c>
      <c r="D15" s="17" t="s">
        <v>1136</v>
      </c>
      <c r="E15" s="19" t="n">
        <v>0.572519083969466</v>
      </c>
      <c r="F15" s="17" t="s">
        <v>1137</v>
      </c>
      <c r="G15" s="17" t="s">
        <v>1104</v>
      </c>
      <c r="H15" s="19"/>
    </row>
    <row r="16" customFormat="false" ht="15" hidden="false" customHeight="false" outlineLevel="0" collapsed="false">
      <c r="A16" s="19" t="s">
        <v>1100</v>
      </c>
      <c r="B16" s="19" t="s">
        <v>1138</v>
      </c>
      <c r="C16" s="19" t="n">
        <v>2</v>
      </c>
      <c r="D16" s="17" t="s">
        <v>1139</v>
      </c>
      <c r="E16" s="19" t="n">
        <v>0.580833333333333</v>
      </c>
      <c r="F16" s="17" t="s">
        <v>1140</v>
      </c>
      <c r="G16" s="17" t="s">
        <v>1104</v>
      </c>
      <c r="H16" s="19"/>
    </row>
    <row r="17" customFormat="false" ht="15" hidden="false" customHeight="false" outlineLevel="0" collapsed="false">
      <c r="A17" s="19" t="s">
        <v>1100</v>
      </c>
      <c r="B17" s="19" t="s">
        <v>1141</v>
      </c>
      <c r="C17" s="19" t="n">
        <v>2</v>
      </c>
      <c r="D17" s="17" t="s">
        <v>1142</v>
      </c>
      <c r="E17" s="19" t="n">
        <v>28349929860.3023</v>
      </c>
      <c r="F17" s="17" t="s">
        <v>1143</v>
      </c>
      <c r="G17" s="17" t="s">
        <v>1104</v>
      </c>
      <c r="H17" s="19"/>
    </row>
    <row r="18" customFormat="false" ht="15" hidden="false" customHeight="false" outlineLevel="0" collapsed="false">
      <c r="A18" s="19" t="s">
        <v>1105</v>
      </c>
      <c r="B18" s="19" t="s">
        <v>1144</v>
      </c>
      <c r="C18" s="19" t="n">
        <v>3</v>
      </c>
      <c r="D18" s="17" t="s">
        <v>1145</v>
      </c>
      <c r="E18" s="19" t="n">
        <v>1.35936</v>
      </c>
      <c r="F18" s="17" t="s">
        <v>1146</v>
      </c>
      <c r="G18" s="17" t="s">
        <v>1104</v>
      </c>
      <c r="H18" s="19"/>
    </row>
    <row r="19" customFormat="false" ht="15" hidden="false" customHeight="false" outlineLevel="0" collapsed="false">
      <c r="A19" s="19" t="s">
        <v>1105</v>
      </c>
      <c r="B19" s="19" t="s">
        <v>1147</v>
      </c>
      <c r="C19" s="19" t="n">
        <v>3</v>
      </c>
      <c r="D19" s="17" t="s">
        <v>1148</v>
      </c>
      <c r="E19" s="19" t="n">
        <v>0.6</v>
      </c>
      <c r="F19" s="17" t="s">
        <v>1149</v>
      </c>
      <c r="G19" s="17" t="s">
        <v>1104</v>
      </c>
      <c r="H19" s="19"/>
    </row>
    <row r="20" customFormat="false" ht="15" hidden="false" customHeight="false" outlineLevel="0" collapsed="false">
      <c r="A20" s="19" t="s">
        <v>1105</v>
      </c>
      <c r="B20" s="19" t="s">
        <v>1150</v>
      </c>
      <c r="C20" s="19" t="n">
        <v>3</v>
      </c>
      <c r="D20" s="17" t="s">
        <v>1151</v>
      </c>
      <c r="E20" s="19" t="n">
        <v>1</v>
      </c>
      <c r="F20" s="17" t="s">
        <v>1152</v>
      </c>
      <c r="G20" s="17" t="s">
        <v>1104</v>
      </c>
      <c r="H20" s="19"/>
    </row>
    <row r="21" customFormat="false" ht="15" hidden="false" customHeight="false" outlineLevel="0" collapsed="false">
      <c r="A21" s="19" t="s">
        <v>1105</v>
      </c>
      <c r="B21" s="19" t="s">
        <v>1153</v>
      </c>
      <c r="C21" s="19" t="n">
        <v>3</v>
      </c>
      <c r="D21" s="17" t="s">
        <v>1154</v>
      </c>
      <c r="E21" s="19" t="n">
        <v>15395391054.8974</v>
      </c>
      <c r="F21" s="17" t="s">
        <v>1155</v>
      </c>
      <c r="G21" s="17" t="s">
        <v>1104</v>
      </c>
      <c r="H21" s="19"/>
    </row>
    <row r="22" customFormat="false" ht="15" hidden="false" customHeight="false" outlineLevel="0" collapsed="false">
      <c r="A22" s="19" t="s">
        <v>1105</v>
      </c>
      <c r="B22" s="19" t="s">
        <v>1156</v>
      </c>
      <c r="C22" s="19" t="n">
        <v>3</v>
      </c>
      <c r="D22" s="17" t="s">
        <v>1157</v>
      </c>
      <c r="E22" s="19" t="n">
        <v>1</v>
      </c>
      <c r="F22" s="17" t="s">
        <v>1158</v>
      </c>
      <c r="G22" s="17" t="s">
        <v>1104</v>
      </c>
      <c r="H22" s="19"/>
    </row>
    <row r="23" customFormat="false" ht="15" hidden="false" customHeight="false" outlineLevel="0" collapsed="false">
      <c r="A23" s="19" t="s">
        <v>1105</v>
      </c>
      <c r="B23" s="19" t="s">
        <v>1159</v>
      </c>
      <c r="C23" s="19" t="n">
        <v>3</v>
      </c>
      <c r="D23" s="17" t="s">
        <v>1160</v>
      </c>
      <c r="E23" s="19" t="n">
        <v>39539922186.4258</v>
      </c>
      <c r="F23" s="17" t="s">
        <v>1161</v>
      </c>
      <c r="G23" s="17" t="s">
        <v>1104</v>
      </c>
      <c r="H23" s="19"/>
    </row>
    <row r="24" customFormat="false" ht="15" hidden="false" customHeight="false" outlineLevel="0" collapsed="false">
      <c r="A24" s="19" t="s">
        <v>1105</v>
      </c>
      <c r="B24" s="19" t="s">
        <v>1162</v>
      </c>
      <c r="C24" s="19" t="n">
        <v>3</v>
      </c>
      <c r="D24" s="17" t="s">
        <v>1163</v>
      </c>
      <c r="E24" s="19" t="n">
        <v>0.0967427295876976</v>
      </c>
      <c r="F24" s="17" t="s">
        <v>1164</v>
      </c>
      <c r="G24" s="17" t="s">
        <v>1104</v>
      </c>
      <c r="H24" s="19"/>
    </row>
    <row r="25" customFormat="false" ht="15" hidden="false" customHeight="false" outlineLevel="0" collapsed="false">
      <c r="A25" s="19" t="s">
        <v>1105</v>
      </c>
      <c r="B25" s="19" t="s">
        <v>1165</v>
      </c>
      <c r="C25" s="19" t="n">
        <v>3</v>
      </c>
      <c r="D25" s="17" t="s">
        <v>1166</v>
      </c>
      <c r="E25" s="19" t="n">
        <v>0.0155700721606576</v>
      </c>
      <c r="F25" s="17" t="s">
        <v>1167</v>
      </c>
      <c r="G25" s="17" t="s">
        <v>1104</v>
      </c>
      <c r="H25" s="19"/>
    </row>
    <row r="26" customFormat="false" ht="15" hidden="false" customHeight="false" outlineLevel="0" collapsed="false">
      <c r="A26" s="19" t="s">
        <v>1105</v>
      </c>
      <c r="B26" s="19" t="s">
        <v>1168</v>
      </c>
      <c r="C26" s="19" t="n">
        <v>3</v>
      </c>
      <c r="D26" s="17" t="s">
        <v>1145</v>
      </c>
      <c r="E26" s="19" t="n">
        <v>1.35936</v>
      </c>
      <c r="F26" s="17" t="s">
        <v>1169</v>
      </c>
      <c r="G26" s="17" t="s">
        <v>1104</v>
      </c>
      <c r="H26" s="19"/>
    </row>
    <row r="27" customFormat="false" ht="15" hidden="false" customHeight="false" outlineLevel="0" collapsed="false">
      <c r="A27" s="19" t="s">
        <v>1105</v>
      </c>
      <c r="B27" s="19" t="s">
        <v>1170</v>
      </c>
      <c r="C27" s="19" t="n">
        <v>3</v>
      </c>
      <c r="D27" s="17" t="s">
        <v>1148</v>
      </c>
      <c r="E27" s="19" t="n">
        <v>0.4</v>
      </c>
      <c r="F27" s="17" t="s">
        <v>1171</v>
      </c>
      <c r="G27" s="17" t="s">
        <v>1104</v>
      </c>
      <c r="H27" s="19"/>
    </row>
    <row r="28" customFormat="false" ht="15" hidden="false" customHeight="false" outlineLevel="0" collapsed="false">
      <c r="A28" s="19" t="s">
        <v>1105</v>
      </c>
      <c r="B28" s="19" t="s">
        <v>1172</v>
      </c>
      <c r="C28" s="19" t="n">
        <v>3</v>
      </c>
      <c r="D28" s="17" t="s">
        <v>1151</v>
      </c>
      <c r="E28" s="19" t="n">
        <v>1</v>
      </c>
      <c r="F28" s="17" t="s">
        <v>1173</v>
      </c>
      <c r="G28" s="17" t="s">
        <v>1104</v>
      </c>
      <c r="H28" s="19"/>
    </row>
    <row r="29" customFormat="false" ht="15" hidden="false" customHeight="false" outlineLevel="0" collapsed="false">
      <c r="A29" s="19" t="s">
        <v>1105</v>
      </c>
      <c r="B29" s="19" t="s">
        <v>1174</v>
      </c>
      <c r="C29" s="19" t="n">
        <v>3</v>
      </c>
      <c r="D29" s="17" t="s">
        <v>1154</v>
      </c>
      <c r="E29" s="19" t="n">
        <v>75756718883.7184</v>
      </c>
      <c r="F29" s="17" t="s">
        <v>1175</v>
      </c>
      <c r="G29" s="17" t="s">
        <v>1104</v>
      </c>
      <c r="H29" s="19"/>
    </row>
    <row r="30" customFormat="false" ht="15" hidden="false" customHeight="false" outlineLevel="0" collapsed="false">
      <c r="A30" s="19" t="s">
        <v>1105</v>
      </c>
      <c r="B30" s="19" t="s">
        <v>1176</v>
      </c>
      <c r="C30" s="19" t="n">
        <v>3</v>
      </c>
      <c r="D30" s="17" t="s">
        <v>1145</v>
      </c>
      <c r="E30" s="19" t="n">
        <v>1.35936</v>
      </c>
      <c r="F30" s="17" t="s">
        <v>1177</v>
      </c>
      <c r="G30" s="17" t="s">
        <v>1104</v>
      </c>
      <c r="H30" s="19"/>
    </row>
    <row r="31" customFormat="false" ht="15" hidden="false" customHeight="false" outlineLevel="0" collapsed="false">
      <c r="A31" s="19" t="s">
        <v>1105</v>
      </c>
      <c r="B31" s="19" t="s">
        <v>1178</v>
      </c>
      <c r="C31" s="19" t="n">
        <v>3</v>
      </c>
      <c r="D31" s="17" t="s">
        <v>1148</v>
      </c>
      <c r="E31" s="19" t="n">
        <v>0</v>
      </c>
      <c r="F31" s="17" t="s">
        <v>1179</v>
      </c>
      <c r="G31" s="17" t="s">
        <v>1104</v>
      </c>
      <c r="H31" s="19"/>
    </row>
    <row r="32" customFormat="false" ht="15" hidden="false" customHeight="false" outlineLevel="0" collapsed="false">
      <c r="A32" s="19" t="s">
        <v>1105</v>
      </c>
      <c r="B32" s="19" t="s">
        <v>1180</v>
      </c>
      <c r="C32" s="19" t="n">
        <v>3</v>
      </c>
      <c r="D32" s="17" t="s">
        <v>1151</v>
      </c>
      <c r="E32" s="19" t="n">
        <v>1</v>
      </c>
      <c r="F32" s="17" t="s">
        <v>1181</v>
      </c>
      <c r="G32" s="17" t="s">
        <v>1104</v>
      </c>
      <c r="H32" s="19"/>
    </row>
    <row r="33" customFormat="false" ht="15" hidden="false" customHeight="false" outlineLevel="0" collapsed="false">
      <c r="A33" s="19" t="s">
        <v>1105</v>
      </c>
      <c r="B33" s="19" t="s">
        <v>1182</v>
      </c>
      <c r="C33" s="19" t="n">
        <v>3</v>
      </c>
      <c r="D33" s="17" t="s">
        <v>1154</v>
      </c>
      <c r="E33" s="19" t="n">
        <v>92402809365.7302</v>
      </c>
      <c r="F33" s="17" t="s">
        <v>1183</v>
      </c>
      <c r="G33" s="17" t="s">
        <v>1104</v>
      </c>
      <c r="H33" s="19"/>
    </row>
    <row r="34" customFormat="false" ht="15" hidden="false" customHeight="false" outlineLevel="0" collapsed="false">
      <c r="A34" s="19" t="s">
        <v>1105</v>
      </c>
      <c r="B34" s="19" t="s">
        <v>1184</v>
      </c>
      <c r="C34" s="19" t="n">
        <v>3</v>
      </c>
      <c r="D34" s="17" t="s">
        <v>1145</v>
      </c>
      <c r="E34" s="19" t="n">
        <v>1.35936</v>
      </c>
      <c r="F34" s="17" t="s">
        <v>1185</v>
      </c>
      <c r="G34" s="17" t="s">
        <v>1104</v>
      </c>
      <c r="H34" s="19"/>
    </row>
    <row r="35" customFormat="false" ht="15" hidden="false" customHeight="false" outlineLevel="0" collapsed="false">
      <c r="A35" s="19" t="s">
        <v>1105</v>
      </c>
      <c r="B35" s="19" t="s">
        <v>1186</v>
      </c>
      <c r="C35" s="19" t="n">
        <v>3</v>
      </c>
      <c r="D35" s="17" t="s">
        <v>1148</v>
      </c>
      <c r="E35" s="19" t="n">
        <v>0</v>
      </c>
      <c r="F35" s="17" t="s">
        <v>1187</v>
      </c>
      <c r="G35" s="17" t="s">
        <v>1104</v>
      </c>
      <c r="H35" s="19"/>
    </row>
    <row r="36" customFormat="false" ht="15" hidden="false" customHeight="false" outlineLevel="0" collapsed="false">
      <c r="A36" s="19" t="s">
        <v>1105</v>
      </c>
      <c r="B36" s="19" t="s">
        <v>1188</v>
      </c>
      <c r="C36" s="19" t="n">
        <v>3</v>
      </c>
      <c r="D36" s="17" t="s">
        <v>1151</v>
      </c>
      <c r="E36" s="19" t="n">
        <v>1</v>
      </c>
      <c r="F36" s="17" t="s">
        <v>1189</v>
      </c>
      <c r="G36" s="17" t="s">
        <v>1104</v>
      </c>
      <c r="H36" s="19"/>
    </row>
    <row r="37" customFormat="false" ht="15" hidden="false" customHeight="false" outlineLevel="0" collapsed="false">
      <c r="A37" s="19" t="s">
        <v>1105</v>
      </c>
      <c r="B37" s="19" t="s">
        <v>1190</v>
      </c>
      <c r="C37" s="19" t="n">
        <v>3</v>
      </c>
      <c r="D37" s="17" t="s">
        <v>1154</v>
      </c>
      <c r="E37" s="19" t="n">
        <v>151955347509.519</v>
      </c>
      <c r="F37" s="17" t="s">
        <v>1191</v>
      </c>
      <c r="G37" s="17" t="s">
        <v>1104</v>
      </c>
      <c r="H37" s="19"/>
    </row>
    <row r="38" customFormat="false" ht="15" hidden="false" customHeight="false" outlineLevel="0" collapsed="false">
      <c r="A38" s="55" t="s">
        <v>1192</v>
      </c>
      <c r="B38" s="55" t="s">
        <v>1193</v>
      </c>
      <c r="C38" s="55" t="n">
        <v>3</v>
      </c>
      <c r="D38" s="66" t="s">
        <v>1194</v>
      </c>
      <c r="E38" s="55" t="n">
        <v>0.41</v>
      </c>
      <c r="F38" s="55"/>
      <c r="G38" s="66" t="s">
        <v>1122</v>
      </c>
      <c r="H38" s="55" t="s">
        <v>140</v>
      </c>
    </row>
    <row r="39" customFormat="false" ht="15" hidden="false" customHeight="false" outlineLevel="0" collapsed="false">
      <c r="A39" s="19" t="s">
        <v>1100</v>
      </c>
      <c r="B39" s="19" t="s">
        <v>1195</v>
      </c>
      <c r="C39" s="19" t="n">
        <v>3</v>
      </c>
      <c r="D39" s="17" t="s">
        <v>1196</v>
      </c>
      <c r="E39" s="19" t="n">
        <v>0.787813074077515</v>
      </c>
      <c r="F39" s="17" t="s">
        <v>1197</v>
      </c>
      <c r="G39" s="17" t="s">
        <v>1104</v>
      </c>
      <c r="H39" s="19"/>
    </row>
    <row r="40" customFormat="false" ht="15" hidden="false" customHeight="false" outlineLevel="0" collapsed="false">
      <c r="A40" s="19" t="s">
        <v>1198</v>
      </c>
      <c r="B40" s="19" t="s">
        <v>1199</v>
      </c>
      <c r="C40" s="19" t="n">
        <v>3</v>
      </c>
      <c r="D40" s="17" t="s">
        <v>1200</v>
      </c>
      <c r="E40" s="19" t="n">
        <v>0.6</v>
      </c>
      <c r="F40" s="17" t="s">
        <v>1201</v>
      </c>
      <c r="G40" s="17" t="s">
        <v>1104</v>
      </c>
      <c r="H40" s="19"/>
    </row>
    <row r="41" customFormat="false" ht="15" hidden="false" customHeight="false" outlineLevel="0" collapsed="false">
      <c r="A41" s="55" t="s">
        <v>1202</v>
      </c>
      <c r="B41" s="55" t="s">
        <v>1203</v>
      </c>
      <c r="C41" s="55" t="n">
        <v>3</v>
      </c>
      <c r="D41" s="66" t="s">
        <v>1204</v>
      </c>
      <c r="E41" s="55" t="n">
        <v>0.85</v>
      </c>
      <c r="F41" s="55"/>
      <c r="G41" s="66" t="s">
        <v>1122</v>
      </c>
      <c r="H41" s="55" t="s">
        <v>140</v>
      </c>
    </row>
    <row r="42" customFormat="false" ht="15" hidden="false" customHeight="false" outlineLevel="0" collapsed="false">
      <c r="A42" s="19" t="s">
        <v>1105</v>
      </c>
      <c r="B42" s="19" t="s">
        <v>1205</v>
      </c>
      <c r="C42" s="19" t="n">
        <v>4</v>
      </c>
      <c r="D42" s="17" t="s">
        <v>1206</v>
      </c>
      <c r="E42" s="19" t="n">
        <v>2190000000</v>
      </c>
      <c r="F42" s="17" t="s">
        <v>1207</v>
      </c>
      <c r="G42" s="17" t="s">
        <v>1104</v>
      </c>
      <c r="H42" s="19"/>
    </row>
    <row r="43" customFormat="false" ht="15" hidden="false" customHeight="false" outlineLevel="0" collapsed="false">
      <c r="A43" s="19" t="s">
        <v>1105</v>
      </c>
      <c r="B43" s="19" t="s">
        <v>1113</v>
      </c>
      <c r="C43" s="19" t="n">
        <v>4</v>
      </c>
      <c r="D43" s="17" t="s">
        <v>1208</v>
      </c>
      <c r="E43" s="19" t="n">
        <v>0.787813074077515</v>
      </c>
      <c r="F43" s="17" t="s">
        <v>1209</v>
      </c>
      <c r="G43" s="17" t="s">
        <v>1104</v>
      </c>
      <c r="H43" s="19"/>
    </row>
    <row r="44" customFormat="false" ht="15" hidden="false" customHeight="false" outlineLevel="0" collapsed="false">
      <c r="A44" s="19" t="s">
        <v>1105</v>
      </c>
      <c r="B44" s="19" t="s">
        <v>1210</v>
      </c>
      <c r="C44" s="19" t="n">
        <v>4</v>
      </c>
      <c r="D44" s="19" t="s">
        <v>1211</v>
      </c>
      <c r="E44" s="19" t="n">
        <v>1</v>
      </c>
      <c r="F44" s="17" t="s">
        <v>1212</v>
      </c>
      <c r="G44" s="17" t="s">
        <v>1104</v>
      </c>
      <c r="H44" s="19"/>
    </row>
    <row r="45" customFormat="false" ht="15" hidden="false" customHeight="false" outlineLevel="0" collapsed="false">
      <c r="A45" s="19" t="s">
        <v>1105</v>
      </c>
      <c r="B45" s="19" t="s">
        <v>1213</v>
      </c>
      <c r="C45" s="19" t="n">
        <v>4</v>
      </c>
      <c r="D45" s="19" t="s">
        <v>1214</v>
      </c>
      <c r="E45" s="19" t="n">
        <v>1</v>
      </c>
      <c r="F45" s="17" t="s">
        <v>1215</v>
      </c>
      <c r="G45" s="17" t="s">
        <v>1104</v>
      </c>
      <c r="H45" s="19"/>
    </row>
    <row r="46" customFormat="false" ht="15" hidden="false" customHeight="false" outlineLevel="0" collapsed="false">
      <c r="A46" s="19" t="s">
        <v>1105</v>
      </c>
      <c r="B46" s="19" t="s">
        <v>1216</v>
      </c>
      <c r="C46" s="19" t="n">
        <v>4</v>
      </c>
      <c r="D46" s="19" t="s">
        <v>1217</v>
      </c>
      <c r="E46" s="19" t="n">
        <v>1</v>
      </c>
      <c r="F46" s="17" t="s">
        <v>1218</v>
      </c>
      <c r="G46" s="17" t="s">
        <v>1104</v>
      </c>
      <c r="H46" s="19"/>
    </row>
    <row r="47" customFormat="false" ht="15" hidden="false" customHeight="false" outlineLevel="0" collapsed="false">
      <c r="A47" s="19" t="s">
        <v>1105</v>
      </c>
      <c r="B47" s="19" t="s">
        <v>1219</v>
      </c>
      <c r="C47" s="19" t="n">
        <v>4</v>
      </c>
      <c r="D47" s="17" t="s">
        <v>1220</v>
      </c>
      <c r="E47" s="19" t="n">
        <v>1</v>
      </c>
      <c r="F47" s="17" t="s">
        <v>1221</v>
      </c>
      <c r="G47" s="17" t="s">
        <v>1104</v>
      </c>
      <c r="H47" s="19"/>
    </row>
    <row r="48" customFormat="false" ht="15" hidden="false" customHeight="false" outlineLevel="0" collapsed="false">
      <c r="A48" s="19" t="s">
        <v>1105</v>
      </c>
      <c r="B48" s="19" t="s">
        <v>1222</v>
      </c>
      <c r="C48" s="19" t="n">
        <v>4</v>
      </c>
      <c r="D48" s="17" t="s">
        <v>1223</v>
      </c>
      <c r="E48" s="19" t="n">
        <v>140654454096.474</v>
      </c>
      <c r="F48" s="17" t="s">
        <v>1224</v>
      </c>
      <c r="G48" s="17" t="s">
        <v>1104</v>
      </c>
      <c r="H48" s="19"/>
    </row>
    <row r="49" customFormat="false" ht="15" hidden="false" customHeight="false" outlineLevel="0" collapsed="false">
      <c r="A49" s="19" t="s">
        <v>1105</v>
      </c>
      <c r="B49" s="19" t="s">
        <v>1225</v>
      </c>
      <c r="C49" s="19" t="n">
        <v>4</v>
      </c>
      <c r="D49" s="17" t="s">
        <v>1226</v>
      </c>
      <c r="E49" s="19" t="n">
        <v>0.89809617101894</v>
      </c>
      <c r="F49" s="17" t="s">
        <v>1227</v>
      </c>
      <c r="G49" s="17" t="s">
        <v>1104</v>
      </c>
      <c r="H49" s="19"/>
    </row>
    <row r="50" customFormat="false" ht="15" hidden="false" customHeight="false" outlineLevel="0" collapsed="false">
      <c r="A50" s="19" t="s">
        <v>1105</v>
      </c>
      <c r="B50" s="19" t="s">
        <v>1228</v>
      </c>
      <c r="C50" s="19" t="n">
        <v>4</v>
      </c>
      <c r="D50" s="17" t="s">
        <v>1229</v>
      </c>
      <c r="E50" s="19" t="n">
        <v>3825200000</v>
      </c>
      <c r="F50" s="17" t="s">
        <v>1230</v>
      </c>
      <c r="G50" s="17" t="s">
        <v>1104</v>
      </c>
      <c r="H50" s="19"/>
    </row>
    <row r="51" customFormat="false" ht="15" hidden="false" customHeight="false" outlineLevel="0" collapsed="false">
      <c r="A51" s="19" t="s">
        <v>1105</v>
      </c>
      <c r="B51" s="19" t="s">
        <v>1231</v>
      </c>
      <c r="C51" s="19" t="n">
        <v>4</v>
      </c>
      <c r="D51" s="19" t="s">
        <v>1211</v>
      </c>
      <c r="E51" s="19" t="n">
        <v>1</v>
      </c>
      <c r="F51" s="17" t="s">
        <v>1232</v>
      </c>
      <c r="G51" s="17" t="s">
        <v>1104</v>
      </c>
      <c r="H51" s="19"/>
    </row>
    <row r="52" customFormat="false" ht="15" hidden="false" customHeight="false" outlineLevel="0" collapsed="false">
      <c r="A52" s="19" t="s">
        <v>1105</v>
      </c>
      <c r="B52" s="19" t="s">
        <v>1233</v>
      </c>
      <c r="C52" s="19" t="n">
        <v>4</v>
      </c>
      <c r="D52" s="19" t="s">
        <v>1214</v>
      </c>
      <c r="E52" s="19" t="n">
        <v>1</v>
      </c>
      <c r="F52" s="17" t="s">
        <v>1234</v>
      </c>
      <c r="G52" s="17" t="s">
        <v>1104</v>
      </c>
      <c r="H52" s="19"/>
    </row>
    <row r="53" customFormat="false" ht="15" hidden="false" customHeight="false" outlineLevel="0" collapsed="false">
      <c r="A53" s="19" t="s">
        <v>1105</v>
      </c>
      <c r="B53" s="19" t="s">
        <v>1235</v>
      </c>
      <c r="C53" s="19" t="n">
        <v>4</v>
      </c>
      <c r="D53" s="19" t="s">
        <v>1217</v>
      </c>
      <c r="E53" s="19" t="n">
        <v>1</v>
      </c>
      <c r="F53" s="17" t="s">
        <v>1236</v>
      </c>
      <c r="G53" s="17" t="s">
        <v>1104</v>
      </c>
      <c r="H53" s="19"/>
    </row>
    <row r="54" customFormat="false" ht="15" hidden="false" customHeight="false" outlineLevel="0" collapsed="false">
      <c r="A54" s="19" t="s">
        <v>1105</v>
      </c>
      <c r="B54" s="19" t="s">
        <v>1237</v>
      </c>
      <c r="C54" s="19" t="n">
        <v>4</v>
      </c>
      <c r="D54" s="17" t="s">
        <v>1220</v>
      </c>
      <c r="E54" s="19" t="n">
        <v>1</v>
      </c>
      <c r="F54" s="17" t="s">
        <v>1238</v>
      </c>
      <c r="G54" s="17" t="s">
        <v>1104</v>
      </c>
      <c r="H54" s="19"/>
    </row>
    <row r="55" customFormat="false" ht="15" hidden="false" customHeight="false" outlineLevel="0" collapsed="false">
      <c r="A55" s="19" t="s">
        <v>1105</v>
      </c>
      <c r="B55" s="19" t="s">
        <v>1239</v>
      </c>
      <c r="C55" s="19" t="n">
        <v>4</v>
      </c>
      <c r="D55" s="19" t="s">
        <v>1211</v>
      </c>
      <c r="E55" s="19" t="n">
        <v>1</v>
      </c>
      <c r="F55" s="17" t="s">
        <v>1240</v>
      </c>
      <c r="G55" s="17" t="s">
        <v>1104</v>
      </c>
      <c r="H55" s="19"/>
    </row>
    <row r="56" customFormat="false" ht="15" hidden="false" customHeight="false" outlineLevel="0" collapsed="false">
      <c r="A56" s="19" t="s">
        <v>1105</v>
      </c>
      <c r="B56" s="19" t="s">
        <v>1241</v>
      </c>
      <c r="C56" s="19" t="n">
        <v>4</v>
      </c>
      <c r="D56" s="19" t="s">
        <v>1214</v>
      </c>
      <c r="E56" s="19" t="n">
        <v>1</v>
      </c>
      <c r="F56" s="17" t="s">
        <v>1242</v>
      </c>
      <c r="G56" s="17" t="s">
        <v>1104</v>
      </c>
      <c r="H56" s="19"/>
    </row>
    <row r="57" customFormat="false" ht="15" hidden="false" customHeight="false" outlineLevel="0" collapsed="false">
      <c r="A57" s="19" t="s">
        <v>1105</v>
      </c>
      <c r="B57" s="19" t="s">
        <v>1243</v>
      </c>
      <c r="C57" s="19" t="n">
        <v>4</v>
      </c>
      <c r="D57" s="19" t="s">
        <v>1217</v>
      </c>
      <c r="E57" s="19" t="n">
        <v>1</v>
      </c>
      <c r="F57" s="17" t="s">
        <v>1244</v>
      </c>
      <c r="G57" s="17" t="s">
        <v>1104</v>
      </c>
      <c r="H57" s="19"/>
    </row>
    <row r="58" customFormat="false" ht="15" hidden="false" customHeight="false" outlineLevel="0" collapsed="false">
      <c r="A58" s="19" t="s">
        <v>1105</v>
      </c>
      <c r="B58" s="19" t="s">
        <v>1245</v>
      </c>
      <c r="C58" s="19" t="n">
        <v>4</v>
      </c>
      <c r="D58" s="17" t="s">
        <v>1220</v>
      </c>
      <c r="E58" s="19" t="n">
        <v>1</v>
      </c>
      <c r="F58" s="17" t="s">
        <v>1246</v>
      </c>
      <c r="G58" s="17" t="s">
        <v>1104</v>
      </c>
      <c r="H58" s="19"/>
    </row>
    <row r="59" customFormat="false" ht="15" hidden="false" customHeight="false" outlineLevel="0" collapsed="false">
      <c r="A59" s="19" t="s">
        <v>1105</v>
      </c>
      <c r="B59" s="19" t="s">
        <v>1247</v>
      </c>
      <c r="C59" s="19" t="n">
        <v>4</v>
      </c>
      <c r="D59" s="19" t="s">
        <v>1211</v>
      </c>
      <c r="E59" s="19" t="n">
        <v>1</v>
      </c>
      <c r="F59" s="17" t="s">
        <v>1248</v>
      </c>
      <c r="G59" s="17" t="s">
        <v>1104</v>
      </c>
      <c r="H59" s="19"/>
    </row>
    <row r="60" customFormat="false" ht="15" hidden="false" customHeight="false" outlineLevel="0" collapsed="false">
      <c r="A60" s="19" t="s">
        <v>1105</v>
      </c>
      <c r="B60" s="19" t="s">
        <v>1249</v>
      </c>
      <c r="C60" s="19" t="n">
        <v>4</v>
      </c>
      <c r="D60" s="19" t="s">
        <v>1214</v>
      </c>
      <c r="E60" s="19" t="n">
        <v>1</v>
      </c>
      <c r="F60" s="17" t="s">
        <v>1250</v>
      </c>
      <c r="G60" s="17" t="s">
        <v>1104</v>
      </c>
      <c r="H60" s="19"/>
    </row>
    <row r="61" customFormat="false" ht="15" hidden="false" customHeight="false" outlineLevel="0" collapsed="false">
      <c r="A61" s="19" t="s">
        <v>1105</v>
      </c>
      <c r="B61" s="19" t="s">
        <v>1251</v>
      </c>
      <c r="C61" s="19" t="n">
        <v>4</v>
      </c>
      <c r="D61" s="19" t="s">
        <v>1217</v>
      </c>
      <c r="E61" s="19" t="n">
        <v>1</v>
      </c>
      <c r="F61" s="17" t="s">
        <v>1252</v>
      </c>
      <c r="G61" s="17" t="s">
        <v>1104</v>
      </c>
      <c r="H61" s="19"/>
    </row>
    <row r="62" customFormat="false" ht="15" hidden="false" customHeight="false" outlineLevel="0" collapsed="false">
      <c r="A62" s="19" t="s">
        <v>1105</v>
      </c>
      <c r="B62" s="19" t="s">
        <v>1253</v>
      </c>
      <c r="C62" s="19" t="n">
        <v>4</v>
      </c>
      <c r="D62" s="17" t="s">
        <v>1220</v>
      </c>
      <c r="E62" s="19" t="n">
        <v>1</v>
      </c>
      <c r="F62" s="17" t="s">
        <v>1254</v>
      </c>
      <c r="G62" s="17" t="s">
        <v>1104</v>
      </c>
      <c r="H62" s="19"/>
    </row>
    <row r="63" customFormat="false" ht="15" hidden="false" customHeight="false" outlineLevel="0" collapsed="false">
      <c r="A63" s="55" t="s">
        <v>1192</v>
      </c>
      <c r="B63" s="55" t="s">
        <v>1255</v>
      </c>
      <c r="C63" s="55" t="n">
        <v>4</v>
      </c>
      <c r="D63" s="66" t="s">
        <v>1256</v>
      </c>
      <c r="E63" s="55" t="n">
        <v>0.85</v>
      </c>
      <c r="F63" s="55"/>
      <c r="G63" s="66" t="s">
        <v>1122</v>
      </c>
      <c r="H63" s="55" t="s">
        <v>131</v>
      </c>
    </row>
    <row r="64" customFormat="false" ht="15" hidden="false" customHeight="false" outlineLevel="0" collapsed="false">
      <c r="A64" s="55" t="s">
        <v>1192</v>
      </c>
      <c r="B64" s="55" t="s">
        <v>1150</v>
      </c>
      <c r="C64" s="55" t="n">
        <v>4</v>
      </c>
      <c r="D64" s="66" t="s">
        <v>1257</v>
      </c>
      <c r="E64" s="55" t="n">
        <v>1</v>
      </c>
      <c r="F64" s="55"/>
      <c r="G64" s="66" t="s">
        <v>1122</v>
      </c>
      <c r="H64" s="55" t="s">
        <v>131</v>
      </c>
    </row>
    <row r="65" customFormat="false" ht="15" hidden="false" customHeight="false" outlineLevel="0" collapsed="false">
      <c r="A65" s="55" t="s">
        <v>1100</v>
      </c>
      <c r="B65" s="55" t="s">
        <v>1258</v>
      </c>
      <c r="C65" s="55" t="n">
        <v>4</v>
      </c>
      <c r="D65" s="66" t="s">
        <v>1259</v>
      </c>
      <c r="E65" s="55" t="n">
        <v>0.2</v>
      </c>
      <c r="F65" s="55"/>
      <c r="G65" s="66" t="s">
        <v>1122</v>
      </c>
      <c r="H65" s="55" t="s">
        <v>140</v>
      </c>
    </row>
    <row r="66" customFormat="false" ht="15" hidden="false" customHeight="false" outlineLevel="0" collapsed="false">
      <c r="A66" s="55" t="s">
        <v>1100</v>
      </c>
      <c r="B66" s="55" t="s">
        <v>1260</v>
      </c>
      <c r="C66" s="55" t="n">
        <v>4</v>
      </c>
      <c r="D66" s="55" t="s">
        <v>1261</v>
      </c>
      <c r="E66" s="55" t="n">
        <v>0.1035</v>
      </c>
      <c r="F66" s="55"/>
      <c r="G66" s="66" t="s">
        <v>1122</v>
      </c>
      <c r="H66" s="55" t="s">
        <v>131</v>
      </c>
    </row>
    <row r="67" customFormat="false" ht="15" hidden="false" customHeight="false" outlineLevel="0" collapsed="false">
      <c r="A67" s="55" t="s">
        <v>1100</v>
      </c>
      <c r="B67" s="55" t="s">
        <v>1262</v>
      </c>
      <c r="C67" s="55" t="n">
        <v>4</v>
      </c>
      <c r="D67" s="55" t="s">
        <v>1263</v>
      </c>
      <c r="E67" s="55" t="n">
        <v>2.184</v>
      </c>
      <c r="F67" s="55"/>
      <c r="G67" s="66" t="s">
        <v>1122</v>
      </c>
      <c r="H67" s="55" t="s">
        <v>131</v>
      </c>
    </row>
    <row r="68" customFormat="false" ht="15" hidden="false" customHeight="false" outlineLevel="0" collapsed="false">
      <c r="A68" s="55" t="s">
        <v>1100</v>
      </c>
      <c r="B68" s="55" t="s">
        <v>1264</v>
      </c>
      <c r="C68" s="55" t="n">
        <v>4</v>
      </c>
      <c r="D68" s="55" t="s">
        <v>1265</v>
      </c>
      <c r="E68" s="55" t="n">
        <v>4.5</v>
      </c>
      <c r="F68" s="55"/>
      <c r="G68" s="66" t="s">
        <v>1122</v>
      </c>
      <c r="H68" s="55" t="s">
        <v>131</v>
      </c>
    </row>
    <row r="69" customFormat="false" ht="15" hidden="false" customHeight="false" outlineLevel="0" collapsed="false">
      <c r="A69" s="55" t="s">
        <v>1100</v>
      </c>
      <c r="B69" s="55" t="s">
        <v>1156</v>
      </c>
      <c r="C69" s="55" t="n">
        <v>4</v>
      </c>
      <c r="D69" s="66" t="s">
        <v>1266</v>
      </c>
      <c r="E69" s="55" t="n">
        <v>0.4</v>
      </c>
      <c r="F69" s="55"/>
      <c r="G69" s="66" t="s">
        <v>1122</v>
      </c>
      <c r="H69" s="55"/>
    </row>
    <row r="70" customFormat="false" ht="15" hidden="false" customHeight="false" outlineLevel="0" collapsed="false">
      <c r="A70" s="55" t="s">
        <v>1100</v>
      </c>
      <c r="B70" s="55" t="s">
        <v>1267</v>
      </c>
      <c r="C70" s="55" t="n">
        <v>4</v>
      </c>
      <c r="D70" s="66" t="s">
        <v>1266</v>
      </c>
      <c r="E70" s="55" t="n">
        <v>0.45</v>
      </c>
      <c r="F70" s="55"/>
      <c r="G70" s="66" t="s">
        <v>1122</v>
      </c>
      <c r="H70" s="55"/>
    </row>
    <row r="71" customFormat="false" ht="15" hidden="false" customHeight="false" outlineLevel="0" collapsed="false">
      <c r="A71" s="55" t="s">
        <v>1100</v>
      </c>
      <c r="B71" s="55" t="s">
        <v>1268</v>
      </c>
      <c r="C71" s="55" t="n">
        <v>4</v>
      </c>
      <c r="D71" s="66" t="s">
        <v>1266</v>
      </c>
      <c r="E71" s="55" t="n">
        <v>0.15</v>
      </c>
      <c r="F71" s="55"/>
      <c r="G71" s="66" t="s">
        <v>1122</v>
      </c>
      <c r="H71" s="55"/>
    </row>
    <row r="72" customFormat="false" ht="15" hidden="false" customHeight="false" outlineLevel="0" collapsed="false">
      <c r="A72" s="19" t="s">
        <v>1105</v>
      </c>
      <c r="B72" s="19" t="s">
        <v>1195</v>
      </c>
      <c r="C72" s="19" t="n">
        <v>5</v>
      </c>
      <c r="D72" s="17" t="s">
        <v>1269</v>
      </c>
      <c r="E72" s="19" t="n">
        <v>31150067646.4739</v>
      </c>
      <c r="F72" s="17" t="s">
        <v>1270</v>
      </c>
      <c r="G72" s="17" t="s">
        <v>1104</v>
      </c>
      <c r="H72" s="19"/>
    </row>
    <row r="73" customFormat="false" ht="15" hidden="false" customHeight="false" outlineLevel="0" collapsed="false">
      <c r="A73" s="19" t="s">
        <v>1105</v>
      </c>
      <c r="B73" s="19" t="s">
        <v>1271</v>
      </c>
      <c r="C73" s="19" t="n">
        <v>5</v>
      </c>
      <c r="D73" s="17" t="s">
        <v>1272</v>
      </c>
      <c r="E73" s="19" t="n">
        <v>54582804988.7847</v>
      </c>
      <c r="F73" s="17" t="s">
        <v>1273</v>
      </c>
      <c r="G73" s="17" t="s">
        <v>1104</v>
      </c>
      <c r="H73" s="19"/>
    </row>
    <row r="74" customFormat="false" ht="15" hidden="false" customHeight="false" outlineLevel="0" collapsed="false">
      <c r="A74" s="19" t="s">
        <v>1105</v>
      </c>
      <c r="B74" s="19" t="s">
        <v>1274</v>
      </c>
      <c r="C74" s="19" t="n">
        <v>5</v>
      </c>
      <c r="D74" s="17" t="s">
        <v>1275</v>
      </c>
      <c r="E74" s="19" t="n">
        <v>9.70308728611469</v>
      </c>
      <c r="F74" s="17" t="s">
        <v>1276</v>
      </c>
      <c r="G74" s="17" t="s">
        <v>1104</v>
      </c>
      <c r="H74" s="19"/>
    </row>
    <row r="75" customFormat="false" ht="15" hidden="false" customHeight="false" outlineLevel="0" collapsed="false">
      <c r="A75" s="19" t="s">
        <v>1105</v>
      </c>
      <c r="B75" s="19" t="s">
        <v>1277</v>
      </c>
      <c r="C75" s="19" t="n">
        <v>5</v>
      </c>
      <c r="D75" s="19" t="s">
        <v>1278</v>
      </c>
      <c r="E75" s="19" t="n">
        <v>2365200000</v>
      </c>
      <c r="F75" s="17" t="s">
        <v>1279</v>
      </c>
      <c r="G75" s="17" t="s">
        <v>1104</v>
      </c>
      <c r="H75" s="19"/>
    </row>
    <row r="76" customFormat="false" ht="15" hidden="false" customHeight="false" outlineLevel="0" collapsed="false">
      <c r="A76" s="19" t="s">
        <v>1105</v>
      </c>
      <c r="B76" s="19" t="s">
        <v>1280</v>
      </c>
      <c r="C76" s="19" t="n">
        <v>5</v>
      </c>
      <c r="D76" s="19" t="s">
        <v>641</v>
      </c>
      <c r="E76" s="19" t="n">
        <v>2190000000</v>
      </c>
      <c r="F76" s="17" t="s">
        <v>1281</v>
      </c>
      <c r="G76" s="17" t="s">
        <v>1104</v>
      </c>
      <c r="H76" s="19"/>
    </row>
    <row r="77" customFormat="false" ht="15" hidden="false" customHeight="false" outlineLevel="0" collapsed="false">
      <c r="A77" s="19" t="s">
        <v>1105</v>
      </c>
      <c r="B77" s="19" t="s">
        <v>1282</v>
      </c>
      <c r="C77" s="19" t="n">
        <v>5</v>
      </c>
      <c r="D77" s="19" t="s">
        <v>1283</v>
      </c>
      <c r="E77" s="19" t="n">
        <v>1460000000</v>
      </c>
      <c r="F77" s="17" t="s">
        <v>1284</v>
      </c>
      <c r="G77" s="17" t="s">
        <v>1104</v>
      </c>
      <c r="H77" s="19"/>
    </row>
    <row r="78" customFormat="false" ht="15" hidden="false" customHeight="false" outlineLevel="0" collapsed="false">
      <c r="A78" s="19" t="s">
        <v>1105</v>
      </c>
      <c r="B78" s="19" t="s">
        <v>1285</v>
      </c>
      <c r="C78" s="19" t="n">
        <v>5</v>
      </c>
      <c r="D78" s="17" t="s">
        <v>1272</v>
      </c>
      <c r="E78" s="19" t="n">
        <v>269761927758.009</v>
      </c>
      <c r="F78" s="17" t="s">
        <v>1286</v>
      </c>
      <c r="G78" s="17" t="s">
        <v>1104</v>
      </c>
      <c r="H78" s="19"/>
    </row>
    <row r="79" customFormat="false" ht="15" hidden="false" customHeight="false" outlineLevel="0" collapsed="false">
      <c r="A79" s="19" t="s">
        <v>1105</v>
      </c>
      <c r="B79" s="19" t="s">
        <v>1287</v>
      </c>
      <c r="C79" s="19" t="n">
        <v>5</v>
      </c>
      <c r="D79" s="17" t="s">
        <v>1275</v>
      </c>
      <c r="E79" s="19" t="n">
        <v>8.82816556596761</v>
      </c>
      <c r="F79" s="17" t="s">
        <v>1288</v>
      </c>
      <c r="G79" s="17" t="s">
        <v>1104</v>
      </c>
      <c r="H79" s="19"/>
    </row>
    <row r="80" customFormat="false" ht="15" hidden="false" customHeight="false" outlineLevel="0" collapsed="false">
      <c r="A80" s="19" t="s">
        <v>1105</v>
      </c>
      <c r="B80" s="19" t="s">
        <v>1289</v>
      </c>
      <c r="C80" s="19" t="n">
        <v>5</v>
      </c>
      <c r="D80" s="17" t="s">
        <v>1272</v>
      </c>
      <c r="E80" s="19" t="n">
        <v>349759256732.35</v>
      </c>
      <c r="F80" s="17" t="s">
        <v>1290</v>
      </c>
      <c r="G80" s="17" t="s">
        <v>1104</v>
      </c>
      <c r="H80" s="19"/>
    </row>
    <row r="81" customFormat="false" ht="15" hidden="false" customHeight="false" outlineLevel="0" collapsed="false">
      <c r="A81" s="19" t="s">
        <v>1105</v>
      </c>
      <c r="B81" s="19" t="s">
        <v>1291</v>
      </c>
      <c r="C81" s="19" t="n">
        <v>5</v>
      </c>
      <c r="D81" s="17" t="s">
        <v>1275</v>
      </c>
      <c r="E81" s="19" t="n">
        <v>10.8864110021101</v>
      </c>
      <c r="F81" s="17" t="s">
        <v>1292</v>
      </c>
      <c r="G81" s="17" t="s">
        <v>1104</v>
      </c>
      <c r="H81" s="19"/>
    </row>
    <row r="82" customFormat="false" ht="15" hidden="false" customHeight="false" outlineLevel="0" collapsed="false">
      <c r="A82" s="19" t="s">
        <v>1105</v>
      </c>
      <c r="B82" s="19" t="s">
        <v>1293</v>
      </c>
      <c r="C82" s="19" t="n">
        <v>5</v>
      </c>
      <c r="D82" s="17" t="s">
        <v>1272</v>
      </c>
      <c r="E82" s="19" t="n">
        <v>510130972611.328</v>
      </c>
      <c r="F82" s="17" t="s">
        <v>1294</v>
      </c>
      <c r="G82" s="17" t="s">
        <v>1104</v>
      </c>
      <c r="H82" s="19"/>
    </row>
    <row r="83" customFormat="false" ht="15" hidden="false" customHeight="false" outlineLevel="0" collapsed="false">
      <c r="A83" s="19" t="s">
        <v>1105</v>
      </c>
      <c r="B83" s="19" t="s">
        <v>1295</v>
      </c>
      <c r="C83" s="19" t="n">
        <v>5</v>
      </c>
      <c r="D83" s="17" t="s">
        <v>1275</v>
      </c>
      <c r="E83" s="19" t="n">
        <v>12.2254710045841</v>
      </c>
      <c r="F83" s="17" t="s">
        <v>1296</v>
      </c>
      <c r="G83" s="17" t="s">
        <v>1104</v>
      </c>
      <c r="H83" s="19"/>
    </row>
    <row r="84" customFormat="false" ht="15" hidden="false" customHeight="false" outlineLevel="0" collapsed="false">
      <c r="A84" s="55" t="s">
        <v>1119</v>
      </c>
      <c r="B84" s="55" t="s">
        <v>1282</v>
      </c>
      <c r="C84" s="55" t="n">
        <v>5</v>
      </c>
      <c r="D84" s="55" t="s">
        <v>1297</v>
      </c>
      <c r="E84" s="55" t="n">
        <v>8.4</v>
      </c>
      <c r="F84" s="55"/>
      <c r="G84" s="66" t="s">
        <v>1122</v>
      </c>
      <c r="H84" s="55"/>
    </row>
    <row r="85" customFormat="false" ht="15" hidden="false" customHeight="false" outlineLevel="0" collapsed="false">
      <c r="A85" s="19" t="s">
        <v>1105</v>
      </c>
      <c r="B85" s="19" t="s">
        <v>1138</v>
      </c>
      <c r="C85" s="19" t="n">
        <v>6</v>
      </c>
      <c r="D85" s="17" t="s">
        <v>1298</v>
      </c>
      <c r="E85" s="19" t="n">
        <v>11560847553.8819</v>
      </c>
      <c r="F85" s="17" t="s">
        <v>1299</v>
      </c>
      <c r="G85" s="17" t="s">
        <v>1104</v>
      </c>
      <c r="H85" s="19"/>
    </row>
    <row r="86" customFormat="false" ht="15" hidden="false" customHeight="false" outlineLevel="0" collapsed="false">
      <c r="A86" s="19" t="s">
        <v>1105</v>
      </c>
      <c r="B86" s="19" t="s">
        <v>1300</v>
      </c>
      <c r="C86" s="19" t="n">
        <v>6</v>
      </c>
      <c r="D86" s="19" t="s">
        <v>1301</v>
      </c>
      <c r="E86" s="19" t="n">
        <v>2</v>
      </c>
      <c r="F86" s="17" t="s">
        <v>1302</v>
      </c>
      <c r="G86" s="17" t="s">
        <v>1104</v>
      </c>
      <c r="H86" s="19"/>
    </row>
    <row r="87" customFormat="false" ht="15" hidden="false" customHeight="false" outlineLevel="0" collapsed="false">
      <c r="A87" s="19" t="s">
        <v>1105</v>
      </c>
      <c r="B87" s="19" t="s">
        <v>1303</v>
      </c>
      <c r="C87" s="19" t="n">
        <v>6</v>
      </c>
      <c r="D87" s="19" t="s">
        <v>1304</v>
      </c>
      <c r="E87" s="19" t="n">
        <v>3.8972702795304E-011</v>
      </c>
      <c r="F87" s="17" t="s">
        <v>1305</v>
      </c>
      <c r="G87" s="17" t="s">
        <v>1104</v>
      </c>
      <c r="H87" s="19"/>
    </row>
    <row r="88" customFormat="false" ht="15" hidden="false" customHeight="false" outlineLevel="0" collapsed="false">
      <c r="A88" s="19" t="s">
        <v>1105</v>
      </c>
      <c r="B88" s="19" t="s">
        <v>1203</v>
      </c>
      <c r="C88" s="19" t="n">
        <v>6</v>
      </c>
      <c r="D88" s="19" t="s">
        <v>1306</v>
      </c>
      <c r="E88" s="19" t="n">
        <v>1.09924728148963E-011</v>
      </c>
      <c r="F88" s="17" t="s">
        <v>1307</v>
      </c>
      <c r="G88" s="17" t="s">
        <v>1104</v>
      </c>
      <c r="H88" s="19"/>
    </row>
    <row r="89" customFormat="false" ht="15" hidden="false" customHeight="false" outlineLevel="0" collapsed="false">
      <c r="A89" s="19" t="s">
        <v>1105</v>
      </c>
      <c r="B89" s="19" t="s">
        <v>1308</v>
      </c>
      <c r="C89" s="19" t="n">
        <v>6</v>
      </c>
      <c r="D89" s="19" t="s">
        <v>1309</v>
      </c>
      <c r="E89" s="19" t="n">
        <v>3650000000</v>
      </c>
      <c r="F89" s="17" t="s">
        <v>1310</v>
      </c>
      <c r="G89" s="17" t="s">
        <v>1104</v>
      </c>
      <c r="H89" s="19"/>
    </row>
    <row r="90" customFormat="false" ht="15" hidden="false" customHeight="false" outlineLevel="0" collapsed="false">
      <c r="A90" s="19" t="s">
        <v>1105</v>
      </c>
      <c r="B90" s="19" t="s">
        <v>1311</v>
      </c>
      <c r="C90" s="19" t="n">
        <v>6</v>
      </c>
      <c r="D90" s="17" t="s">
        <v>1298</v>
      </c>
      <c r="E90" s="19" t="n">
        <v>60533897785.3618</v>
      </c>
      <c r="F90" s="17" t="s">
        <v>1312</v>
      </c>
      <c r="G90" s="17" t="s">
        <v>1104</v>
      </c>
      <c r="H90" s="19"/>
    </row>
    <row r="91" customFormat="false" ht="15" hidden="false" customHeight="false" outlineLevel="0" collapsed="false">
      <c r="A91" s="19" t="s">
        <v>1105</v>
      </c>
      <c r="B91" s="19" t="s">
        <v>1313</v>
      </c>
      <c r="C91" s="19" t="n">
        <v>6</v>
      </c>
      <c r="D91" s="19" t="s">
        <v>1301</v>
      </c>
      <c r="E91" s="19" t="n">
        <v>5</v>
      </c>
      <c r="F91" s="17" t="s">
        <v>1314</v>
      </c>
      <c r="G91" s="17" t="s">
        <v>1104</v>
      </c>
      <c r="H91" s="19"/>
    </row>
    <row r="92" customFormat="false" ht="15" hidden="false" customHeight="false" outlineLevel="0" collapsed="false">
      <c r="A92" s="19" t="s">
        <v>1105</v>
      </c>
      <c r="B92" s="19" t="s">
        <v>1315</v>
      </c>
      <c r="C92" s="19" t="n">
        <v>6</v>
      </c>
      <c r="D92" s="19" t="s">
        <v>1304</v>
      </c>
      <c r="E92" s="19" t="n">
        <v>7.92008958203378E-012</v>
      </c>
      <c r="F92" s="17" t="s">
        <v>1316</v>
      </c>
      <c r="G92" s="17" t="s">
        <v>1104</v>
      </c>
      <c r="H92" s="19"/>
    </row>
    <row r="93" customFormat="false" ht="15" hidden="false" customHeight="false" outlineLevel="0" collapsed="false">
      <c r="A93" s="19" t="s">
        <v>1105</v>
      </c>
      <c r="B93" s="19" t="s">
        <v>1317</v>
      </c>
      <c r="C93" s="19" t="n">
        <v>6</v>
      </c>
      <c r="D93" s="19" t="s">
        <v>1306</v>
      </c>
      <c r="E93" s="19" t="n">
        <v>2.22418339380431E-012</v>
      </c>
      <c r="F93" s="17" t="s">
        <v>1318</v>
      </c>
      <c r="G93" s="17" t="s">
        <v>1104</v>
      </c>
      <c r="H93" s="19"/>
    </row>
    <row r="94" customFormat="false" ht="15" hidden="false" customHeight="false" outlineLevel="0" collapsed="false">
      <c r="A94" s="19" t="s">
        <v>1105</v>
      </c>
      <c r="B94" s="19" t="s">
        <v>1319</v>
      </c>
      <c r="C94" s="19" t="n">
        <v>6</v>
      </c>
      <c r="D94" s="17" t="s">
        <v>1298</v>
      </c>
      <c r="E94" s="19" t="n">
        <v>73196929071.7996</v>
      </c>
      <c r="F94" s="17" t="s">
        <v>1320</v>
      </c>
      <c r="G94" s="17" t="s">
        <v>1104</v>
      </c>
      <c r="H94" s="19"/>
    </row>
    <row r="95" customFormat="false" ht="15" hidden="false" customHeight="false" outlineLevel="0" collapsed="false">
      <c r="A95" s="19" t="s">
        <v>1105</v>
      </c>
      <c r="B95" s="19" t="s">
        <v>1321</v>
      </c>
      <c r="C95" s="19" t="n">
        <v>6</v>
      </c>
      <c r="D95" s="19" t="s">
        <v>1301</v>
      </c>
      <c r="E95" s="19" t="n">
        <v>8</v>
      </c>
      <c r="F95" s="17" t="s">
        <v>1322</v>
      </c>
      <c r="G95" s="17" t="s">
        <v>1104</v>
      </c>
      <c r="H95" s="19"/>
    </row>
    <row r="96" customFormat="false" ht="15" hidden="false" customHeight="false" outlineLevel="0" collapsed="false">
      <c r="A96" s="19" t="s">
        <v>1105</v>
      </c>
      <c r="B96" s="19" t="s">
        <v>1323</v>
      </c>
      <c r="C96" s="19" t="n">
        <v>6</v>
      </c>
      <c r="D96" s="19" t="s">
        <v>1304</v>
      </c>
      <c r="E96" s="19" t="n">
        <v>6.49330906839857E-012</v>
      </c>
      <c r="F96" s="17" t="s">
        <v>1324</v>
      </c>
      <c r="G96" s="17" t="s">
        <v>1104</v>
      </c>
      <c r="H96" s="19"/>
    </row>
    <row r="97" customFormat="false" ht="15" hidden="false" customHeight="false" outlineLevel="0" collapsed="false">
      <c r="A97" s="19" t="s">
        <v>1105</v>
      </c>
      <c r="B97" s="19" t="s">
        <v>1325</v>
      </c>
      <c r="C97" s="19" t="n">
        <v>6</v>
      </c>
      <c r="D97" s="19" t="s">
        <v>1306</v>
      </c>
      <c r="E97" s="19" t="n">
        <v>1.71546567660722E-012</v>
      </c>
      <c r="F97" s="17" t="s">
        <v>1326</v>
      </c>
      <c r="G97" s="17" t="s">
        <v>1104</v>
      </c>
      <c r="H97" s="19"/>
    </row>
    <row r="98" customFormat="false" ht="15" hidden="false" customHeight="false" outlineLevel="0" collapsed="false">
      <c r="A98" s="19" t="s">
        <v>1105</v>
      </c>
      <c r="B98" s="19" t="s">
        <v>1327</v>
      </c>
      <c r="C98" s="19" t="n">
        <v>6</v>
      </c>
      <c r="D98" s="17" t="s">
        <v>1298</v>
      </c>
      <c r="E98" s="19" t="n">
        <v>122448413353.576</v>
      </c>
      <c r="F98" s="17" t="s">
        <v>1328</v>
      </c>
      <c r="G98" s="17" t="s">
        <v>1104</v>
      </c>
      <c r="H98" s="19"/>
    </row>
    <row r="99" customFormat="false" ht="15" hidden="false" customHeight="false" outlineLevel="0" collapsed="false">
      <c r="A99" s="19" t="s">
        <v>1105</v>
      </c>
      <c r="B99" s="19" t="s">
        <v>1329</v>
      </c>
      <c r="C99" s="19" t="n">
        <v>6</v>
      </c>
      <c r="D99" s="19" t="s">
        <v>1301</v>
      </c>
      <c r="E99" s="19" t="n">
        <v>11</v>
      </c>
      <c r="F99" s="17" t="s">
        <v>1330</v>
      </c>
      <c r="G99" s="17" t="s">
        <v>1104</v>
      </c>
      <c r="H99" s="19"/>
    </row>
    <row r="100" customFormat="false" ht="15" hidden="false" customHeight="false" outlineLevel="0" collapsed="false">
      <c r="A100" s="19" t="s">
        <v>1105</v>
      </c>
      <c r="B100" s="19" t="s">
        <v>1331</v>
      </c>
      <c r="C100" s="19" t="n">
        <v>6</v>
      </c>
      <c r="D100" s="19" t="s">
        <v>1304</v>
      </c>
      <c r="E100" s="19" t="n">
        <v>3.94852836595575E-012</v>
      </c>
      <c r="F100" s="17" t="s">
        <v>1332</v>
      </c>
      <c r="G100" s="17" t="s">
        <v>1104</v>
      </c>
      <c r="H100" s="19"/>
    </row>
    <row r="101" customFormat="false" ht="15" hidden="false" customHeight="false" outlineLevel="0" collapsed="false">
      <c r="A101" s="19" t="s">
        <v>1105</v>
      </c>
      <c r="B101" s="19" t="s">
        <v>1333</v>
      </c>
      <c r="C101" s="19" t="n">
        <v>6</v>
      </c>
      <c r="D101" s="19" t="s">
        <v>1306</v>
      </c>
      <c r="E101" s="19" t="n">
        <v>1.17616853752015E-012</v>
      </c>
      <c r="F101" s="17" t="s">
        <v>1334</v>
      </c>
      <c r="G101" s="17" t="s">
        <v>1104</v>
      </c>
      <c r="H101" s="19"/>
    </row>
    <row r="102" customFormat="false" ht="15" hidden="false" customHeight="false" outlineLevel="0" collapsed="false">
      <c r="A102" s="55" t="s">
        <v>1192</v>
      </c>
      <c r="B102" s="55" t="s">
        <v>1335</v>
      </c>
      <c r="C102" s="55" t="n">
        <v>6</v>
      </c>
      <c r="D102" s="55" t="s">
        <v>1336</v>
      </c>
      <c r="E102" s="55" t="n">
        <v>0.75</v>
      </c>
      <c r="F102" s="55"/>
      <c r="G102" s="66" t="s">
        <v>1122</v>
      </c>
      <c r="H102" s="55" t="s">
        <v>140</v>
      </c>
    </row>
    <row r="103" customFormat="false" ht="15" hidden="false" customHeight="false" outlineLevel="0" collapsed="false">
      <c r="A103" s="55" t="s">
        <v>1192</v>
      </c>
      <c r="B103" s="55" t="s">
        <v>1337</v>
      </c>
      <c r="C103" s="55" t="n">
        <v>6</v>
      </c>
      <c r="D103" s="55" t="s">
        <v>1338</v>
      </c>
      <c r="E103" s="55" t="n">
        <v>0.6</v>
      </c>
      <c r="F103" s="55"/>
      <c r="G103" s="66" t="s">
        <v>1122</v>
      </c>
      <c r="H103" s="55" t="s">
        <v>140</v>
      </c>
    </row>
    <row r="104" customFormat="false" ht="15" hidden="false" customHeight="false" outlineLevel="0" collapsed="false">
      <c r="A104" s="19" t="s">
        <v>1198</v>
      </c>
      <c r="B104" s="19" t="s">
        <v>1339</v>
      </c>
      <c r="C104" s="19" t="n">
        <v>6</v>
      </c>
      <c r="D104" s="17" t="s">
        <v>1340</v>
      </c>
      <c r="E104" s="19" t="n">
        <v>6.79107465326444</v>
      </c>
      <c r="F104" s="17" t="s">
        <v>1341</v>
      </c>
      <c r="G104" s="17" t="s">
        <v>1104</v>
      </c>
      <c r="H104" s="19"/>
    </row>
    <row r="105" customFormat="false" ht="15" hidden="false" customHeight="false" outlineLevel="0" collapsed="false">
      <c r="A105" s="19" t="s">
        <v>1198</v>
      </c>
      <c r="B105" s="19" t="s">
        <v>1342</v>
      </c>
      <c r="C105" s="19" t="n">
        <v>6</v>
      </c>
      <c r="D105" s="17" t="s">
        <v>1340</v>
      </c>
      <c r="E105" s="19" t="n">
        <v>9.70308728611469</v>
      </c>
      <c r="F105" s="17" t="s">
        <v>1343</v>
      </c>
      <c r="G105" s="17" t="s">
        <v>1104</v>
      </c>
      <c r="H105" s="19"/>
    </row>
    <row r="106" customFormat="false" ht="15" hidden="false" customHeight="false" outlineLevel="0" collapsed="false">
      <c r="A106" s="19" t="s">
        <v>1198</v>
      </c>
      <c r="B106" s="19" t="s">
        <v>1344</v>
      </c>
      <c r="C106" s="19" t="n">
        <v>6</v>
      </c>
      <c r="D106" s="17" t="s">
        <v>1340</v>
      </c>
      <c r="E106" s="19" t="n">
        <v>16.6637697337026</v>
      </c>
      <c r="F106" s="17" t="s">
        <v>1345</v>
      </c>
      <c r="G106" s="17" t="s">
        <v>1104</v>
      </c>
      <c r="H106" s="19"/>
    </row>
    <row r="107" customFormat="false" ht="15" hidden="false" customHeight="false" outlineLevel="0" collapsed="false">
      <c r="A107" s="19" t="s">
        <v>1198</v>
      </c>
      <c r="B107" s="19" t="s">
        <v>1346</v>
      </c>
      <c r="C107" s="19" t="n">
        <v>6</v>
      </c>
      <c r="D107" s="17" t="s">
        <v>1340</v>
      </c>
      <c r="E107" s="19" t="n">
        <v>6.6118162762144</v>
      </c>
      <c r="F107" s="17" t="s">
        <v>1347</v>
      </c>
      <c r="G107" s="17" t="s">
        <v>1104</v>
      </c>
      <c r="H107" s="19"/>
    </row>
    <row r="108" customFormat="false" ht="15" hidden="false" customHeight="false" outlineLevel="0" collapsed="false">
      <c r="A108" s="19" t="s">
        <v>1198</v>
      </c>
      <c r="B108" s="19" t="s">
        <v>1348</v>
      </c>
      <c r="C108" s="19" t="n">
        <v>6</v>
      </c>
      <c r="D108" s="17" t="s">
        <v>1340</v>
      </c>
      <c r="E108" s="19" t="n">
        <v>8.82816556596761</v>
      </c>
      <c r="F108" s="17" t="s">
        <v>1349</v>
      </c>
      <c r="G108" s="17" t="s">
        <v>1104</v>
      </c>
      <c r="H108" s="19"/>
    </row>
    <row r="109" customFormat="false" ht="15" hidden="false" customHeight="false" outlineLevel="0" collapsed="false">
      <c r="A109" s="19" t="s">
        <v>1198</v>
      </c>
      <c r="B109" s="19" t="s">
        <v>1350</v>
      </c>
      <c r="C109" s="19" t="n">
        <v>6</v>
      </c>
      <c r="D109" s="17" t="s">
        <v>1340</v>
      </c>
      <c r="E109" s="19" t="n">
        <v>14.3185748619737</v>
      </c>
      <c r="F109" s="17" t="s">
        <v>1351</v>
      </c>
      <c r="G109" s="17" t="s">
        <v>1104</v>
      </c>
      <c r="H109" s="19"/>
    </row>
    <row r="110" customFormat="false" ht="15" hidden="false" customHeight="false" outlineLevel="0" collapsed="false">
      <c r="A110" s="19" t="s">
        <v>1198</v>
      </c>
      <c r="B110" s="19" t="s">
        <v>1352</v>
      </c>
      <c r="C110" s="19" t="n">
        <v>6</v>
      </c>
      <c r="D110" s="17" t="s">
        <v>1340</v>
      </c>
      <c r="E110" s="19" t="n">
        <v>8.42889912085495</v>
      </c>
      <c r="F110" s="17" t="s">
        <v>1353</v>
      </c>
      <c r="G110" s="17" t="s">
        <v>1104</v>
      </c>
      <c r="H110" s="19"/>
    </row>
    <row r="111" customFormat="false" ht="15" hidden="false" customHeight="false" outlineLevel="0" collapsed="false">
      <c r="A111" s="19" t="s">
        <v>1198</v>
      </c>
      <c r="B111" s="19" t="s">
        <v>1354</v>
      </c>
      <c r="C111" s="19" t="n">
        <v>6</v>
      </c>
      <c r="D111" s="17" t="s">
        <v>1340</v>
      </c>
      <c r="E111" s="19" t="n">
        <v>10.8864110021101</v>
      </c>
      <c r="F111" s="17" t="s">
        <v>1355</v>
      </c>
      <c r="G111" s="17" t="s">
        <v>1104</v>
      </c>
      <c r="H111" s="19"/>
    </row>
    <row r="112" customFormat="false" ht="15" hidden="false" customHeight="false" outlineLevel="0" collapsed="false">
      <c r="A112" s="19" t="s">
        <v>1198</v>
      </c>
      <c r="B112" s="19" t="s">
        <v>1356</v>
      </c>
      <c r="C112" s="19" t="n">
        <v>6</v>
      </c>
      <c r="D112" s="17" t="s">
        <v>1340</v>
      </c>
      <c r="E112" s="19" t="n">
        <v>18.5346455040469</v>
      </c>
      <c r="F112" s="17" t="s">
        <v>1357</v>
      </c>
      <c r="G112" s="17" t="s">
        <v>1104</v>
      </c>
      <c r="H112" s="19"/>
    </row>
    <row r="113" customFormat="false" ht="15" hidden="false" customHeight="false" outlineLevel="0" collapsed="false">
      <c r="A113" s="19" t="s">
        <v>1198</v>
      </c>
      <c r="B113" s="19" t="s">
        <v>1358</v>
      </c>
      <c r="C113" s="19" t="n">
        <v>6</v>
      </c>
      <c r="D113" s="17" t="s">
        <v>1340</v>
      </c>
      <c r="E113" s="19" t="n">
        <v>9.51207691858967</v>
      </c>
      <c r="F113" s="17" t="s">
        <v>1359</v>
      </c>
      <c r="G113" s="17" t="s">
        <v>1104</v>
      </c>
      <c r="H113" s="19"/>
    </row>
    <row r="114" customFormat="false" ht="15" hidden="false" customHeight="false" outlineLevel="0" collapsed="false">
      <c r="A114" s="19" t="s">
        <v>1198</v>
      </c>
      <c r="B114" s="19" t="s">
        <v>1360</v>
      </c>
      <c r="C114" s="19" t="n">
        <v>6</v>
      </c>
      <c r="D114" s="17" t="s">
        <v>1340</v>
      </c>
      <c r="E114" s="19" t="n">
        <v>12.2254710045841</v>
      </c>
      <c r="F114" s="17" t="s">
        <v>1361</v>
      </c>
      <c r="G114" s="17" t="s">
        <v>1104</v>
      </c>
      <c r="H114" s="19"/>
    </row>
    <row r="115" customFormat="false" ht="15" hidden="false" customHeight="false" outlineLevel="0" collapsed="false">
      <c r="A115" s="19" t="s">
        <v>1198</v>
      </c>
      <c r="B115" s="19" t="s">
        <v>1362</v>
      </c>
      <c r="C115" s="19" t="n">
        <v>6</v>
      </c>
      <c r="D115" s="17" t="s">
        <v>1340</v>
      </c>
      <c r="E115" s="19" t="n">
        <v>19.7506269894487</v>
      </c>
      <c r="F115" s="17" t="s">
        <v>1363</v>
      </c>
      <c r="G115" s="17" t="s">
        <v>1104</v>
      </c>
      <c r="H115" s="19"/>
    </row>
    <row r="116" customFormat="false" ht="15" hidden="false" customHeight="false" outlineLevel="0" collapsed="false">
      <c r="A116" s="19" t="s">
        <v>1198</v>
      </c>
      <c r="B116" s="19" t="s">
        <v>1364</v>
      </c>
      <c r="C116" s="19" t="n">
        <v>6</v>
      </c>
      <c r="D116" s="17" t="s">
        <v>1340</v>
      </c>
      <c r="E116" s="19" t="n">
        <v>10.1025446864987</v>
      </c>
      <c r="F116" s="17" t="s">
        <v>1365</v>
      </c>
      <c r="G116" s="17" t="s">
        <v>1104</v>
      </c>
      <c r="H116" s="19"/>
    </row>
    <row r="117" customFormat="false" ht="15" hidden="false" customHeight="false" outlineLevel="0" collapsed="false">
      <c r="A117" s="19" t="s">
        <v>1198</v>
      </c>
      <c r="B117" s="19" t="s">
        <v>1366</v>
      </c>
      <c r="C117" s="19" t="n">
        <v>6</v>
      </c>
      <c r="D117" s="17" t="s">
        <v>1340</v>
      </c>
      <c r="E117" s="19" t="n">
        <v>15.3544827030524</v>
      </c>
      <c r="F117" s="17" t="s">
        <v>1367</v>
      </c>
      <c r="G117" s="17" t="s">
        <v>1104</v>
      </c>
      <c r="H117" s="19"/>
    </row>
    <row r="118" customFormat="false" ht="15" hidden="false" customHeight="false" outlineLevel="0" collapsed="false">
      <c r="A118" s="19" t="s">
        <v>1198</v>
      </c>
      <c r="B118" s="19" t="s">
        <v>1368</v>
      </c>
      <c r="C118" s="19" t="n">
        <v>6</v>
      </c>
      <c r="D118" s="17" t="s">
        <v>1340</v>
      </c>
      <c r="E118" s="19" t="n">
        <v>28.0302450108258</v>
      </c>
      <c r="F118" s="17" t="s">
        <v>1369</v>
      </c>
      <c r="G118" s="17" t="s">
        <v>1104</v>
      </c>
      <c r="H118" s="19"/>
    </row>
    <row r="119" customFormat="false" ht="15" hidden="false" customHeight="false" outlineLevel="0" collapsed="false">
      <c r="A119" s="55" t="s">
        <v>1119</v>
      </c>
      <c r="B119" s="55" t="s">
        <v>1335</v>
      </c>
      <c r="C119" s="55" t="n">
        <v>6</v>
      </c>
      <c r="D119" s="55" t="s">
        <v>1370</v>
      </c>
      <c r="E119" s="55" t="n">
        <v>6</v>
      </c>
      <c r="F119" s="55"/>
      <c r="G119" s="66" t="s">
        <v>1122</v>
      </c>
      <c r="H119" s="55"/>
    </row>
    <row r="120" customFormat="false" ht="15" hidden="false" customHeight="false" outlineLevel="0" collapsed="false">
      <c r="A120" s="19" t="s">
        <v>1105</v>
      </c>
      <c r="B120" s="19" t="s">
        <v>1255</v>
      </c>
      <c r="C120" s="19" t="n">
        <v>7</v>
      </c>
      <c r="D120" s="17" t="s">
        <v>1371</v>
      </c>
      <c r="E120" s="19" t="n">
        <v>1</v>
      </c>
      <c r="F120" s="17" t="s">
        <v>1372</v>
      </c>
      <c r="G120" s="17" t="s">
        <v>1104</v>
      </c>
      <c r="H120" s="19"/>
    </row>
    <row r="121" customFormat="false" ht="15" hidden="false" customHeight="false" outlineLevel="0" collapsed="false">
      <c r="A121" s="19" t="s">
        <v>1105</v>
      </c>
      <c r="B121" s="19" t="s">
        <v>1373</v>
      </c>
      <c r="C121" s="19" t="n">
        <v>7</v>
      </c>
      <c r="D121" s="17" t="s">
        <v>1371</v>
      </c>
      <c r="E121" s="19" t="n">
        <v>1</v>
      </c>
      <c r="F121" s="17" t="s">
        <v>1374</v>
      </c>
      <c r="G121" s="17" t="s">
        <v>1104</v>
      </c>
      <c r="H121" s="19"/>
    </row>
    <row r="122" customFormat="false" ht="15" hidden="false" customHeight="false" outlineLevel="0" collapsed="false">
      <c r="A122" s="19" t="s">
        <v>1105</v>
      </c>
      <c r="B122" s="19" t="s">
        <v>1375</v>
      </c>
      <c r="C122" s="19" t="n">
        <v>7</v>
      </c>
      <c r="D122" s="17" t="s">
        <v>1371</v>
      </c>
      <c r="E122" s="19" t="n">
        <v>1</v>
      </c>
      <c r="F122" s="17" t="s">
        <v>1376</v>
      </c>
      <c r="G122" s="17" t="s">
        <v>1104</v>
      </c>
      <c r="H122" s="19"/>
    </row>
    <row r="123" customFormat="false" ht="15" hidden="false" customHeight="false" outlineLevel="0" collapsed="false">
      <c r="A123" s="19" t="s">
        <v>1105</v>
      </c>
      <c r="B123" s="19" t="s">
        <v>1377</v>
      </c>
      <c r="C123" s="19" t="n">
        <v>7</v>
      </c>
      <c r="D123" s="17" t="s">
        <v>1371</v>
      </c>
      <c r="E123" s="19" t="n">
        <v>1</v>
      </c>
      <c r="F123" s="17" t="s">
        <v>1378</v>
      </c>
      <c r="G123" s="17" t="s">
        <v>1104</v>
      </c>
      <c r="H123" s="19"/>
    </row>
    <row r="124" customFormat="false" ht="15" hidden="false" customHeight="false" outlineLevel="0" collapsed="false">
      <c r="A124" s="55" t="s">
        <v>1192</v>
      </c>
      <c r="B124" s="55" t="s">
        <v>1205</v>
      </c>
      <c r="C124" s="55" t="n">
        <v>7</v>
      </c>
      <c r="D124" s="66" t="s">
        <v>1379</v>
      </c>
      <c r="E124" s="55" t="n">
        <v>0.4</v>
      </c>
      <c r="F124" s="55"/>
      <c r="G124" s="66" t="s">
        <v>1122</v>
      </c>
      <c r="H124" s="55"/>
    </row>
    <row r="125" customFormat="false" ht="15" hidden="false" customHeight="false" outlineLevel="0" collapsed="false">
      <c r="A125" s="55" t="s">
        <v>1192</v>
      </c>
      <c r="B125" s="55" t="s">
        <v>1120</v>
      </c>
      <c r="C125" s="55" t="n">
        <v>7</v>
      </c>
      <c r="D125" s="66" t="s">
        <v>1380</v>
      </c>
      <c r="E125" s="55" t="n">
        <v>0</v>
      </c>
      <c r="F125" s="55"/>
      <c r="G125" s="66" t="s">
        <v>1122</v>
      </c>
      <c r="H125" s="55"/>
    </row>
    <row r="126" customFormat="false" ht="15" hidden="false" customHeight="false" outlineLevel="0" collapsed="false">
      <c r="A126" s="55" t="s">
        <v>1192</v>
      </c>
      <c r="B126" s="55" t="s">
        <v>1258</v>
      </c>
      <c r="C126" s="55" t="n">
        <v>7</v>
      </c>
      <c r="D126" s="66" t="s">
        <v>1381</v>
      </c>
      <c r="E126" s="55" t="n">
        <v>0</v>
      </c>
      <c r="F126" s="55"/>
      <c r="G126" s="66" t="s">
        <v>1122</v>
      </c>
      <c r="H126" s="55"/>
    </row>
    <row r="127" customFormat="false" ht="15" hidden="false" customHeight="false" outlineLevel="0" collapsed="false">
      <c r="A127" s="55" t="s">
        <v>1192</v>
      </c>
      <c r="B127" s="55" t="s">
        <v>1382</v>
      </c>
      <c r="C127" s="55" t="n">
        <v>7</v>
      </c>
      <c r="D127" s="66" t="s">
        <v>1383</v>
      </c>
      <c r="E127" s="55" t="n">
        <v>4000</v>
      </c>
      <c r="F127" s="55"/>
      <c r="G127" s="66" t="s">
        <v>1122</v>
      </c>
      <c r="H127" s="55" t="s">
        <v>140</v>
      </c>
    </row>
    <row r="128" customFormat="false" ht="15" hidden="false" customHeight="false" outlineLevel="0" collapsed="false">
      <c r="A128" s="55" t="s">
        <v>1192</v>
      </c>
      <c r="B128" s="55" t="s">
        <v>1228</v>
      </c>
      <c r="C128" s="55" t="n">
        <v>7</v>
      </c>
      <c r="D128" s="66" t="s">
        <v>1384</v>
      </c>
      <c r="E128" s="55" t="n">
        <v>0.6</v>
      </c>
      <c r="F128" s="55"/>
      <c r="G128" s="66" t="s">
        <v>1122</v>
      </c>
      <c r="H128" s="55"/>
    </row>
    <row r="129" customFormat="false" ht="15" hidden="false" customHeight="false" outlineLevel="0" collapsed="false">
      <c r="A129" s="55" t="s">
        <v>1100</v>
      </c>
      <c r="B129" s="55" t="s">
        <v>1385</v>
      </c>
      <c r="C129" s="55" t="n">
        <v>7</v>
      </c>
      <c r="D129" s="66" t="s">
        <v>1386</v>
      </c>
      <c r="E129" s="55" t="n">
        <v>0.9</v>
      </c>
      <c r="F129" s="55"/>
      <c r="G129" s="66" t="s">
        <v>1122</v>
      </c>
      <c r="H129" s="55"/>
    </row>
    <row r="130" customFormat="false" ht="15" hidden="false" customHeight="false" outlineLevel="0" collapsed="false">
      <c r="A130" s="55" t="s">
        <v>1100</v>
      </c>
      <c r="B130" s="55" t="s">
        <v>1387</v>
      </c>
      <c r="C130" s="55" t="n">
        <v>7</v>
      </c>
      <c r="D130" s="66" t="s">
        <v>1386</v>
      </c>
      <c r="E130" s="55" t="n">
        <v>0.1</v>
      </c>
      <c r="F130" s="55"/>
      <c r="G130" s="66" t="s">
        <v>1122</v>
      </c>
      <c r="H130" s="55"/>
    </row>
    <row r="131" customFormat="false" ht="15" hidden="false" customHeight="false" outlineLevel="0" collapsed="false">
      <c r="A131" s="55" t="s">
        <v>1100</v>
      </c>
      <c r="B131" s="55" t="s">
        <v>1388</v>
      </c>
      <c r="C131" s="55" t="n">
        <v>7</v>
      </c>
      <c r="D131" s="66" t="s">
        <v>1386</v>
      </c>
      <c r="E131" s="55" t="n">
        <v>0</v>
      </c>
      <c r="F131" s="55"/>
      <c r="G131" s="66" t="s">
        <v>1122</v>
      </c>
      <c r="H131" s="55"/>
    </row>
    <row r="132" customFormat="false" ht="15" hidden="false" customHeight="false" outlineLevel="0" collapsed="false">
      <c r="A132" s="19" t="s">
        <v>1389</v>
      </c>
      <c r="B132" s="19" t="s">
        <v>1390</v>
      </c>
      <c r="C132" s="19" t="n">
        <v>7</v>
      </c>
      <c r="D132" s="17" t="s">
        <v>1391</v>
      </c>
      <c r="E132" s="19" t="n">
        <v>6.79107465326444</v>
      </c>
      <c r="F132" s="17" t="s">
        <v>1392</v>
      </c>
      <c r="G132" s="17" t="s">
        <v>1104</v>
      </c>
      <c r="H132" s="19"/>
    </row>
    <row r="133" customFormat="false" ht="15" hidden="false" customHeight="false" outlineLevel="0" collapsed="false">
      <c r="A133" s="19" t="s">
        <v>1389</v>
      </c>
      <c r="B133" s="19" t="s">
        <v>1393</v>
      </c>
      <c r="C133" s="19" t="n">
        <v>7</v>
      </c>
      <c r="D133" s="17" t="s">
        <v>1391</v>
      </c>
      <c r="E133" s="19" t="n">
        <v>9.70308728611469</v>
      </c>
      <c r="F133" s="17" t="s">
        <v>1394</v>
      </c>
      <c r="G133" s="17" t="s">
        <v>1104</v>
      </c>
      <c r="H133" s="19"/>
    </row>
    <row r="134" customFormat="false" ht="15" hidden="false" customHeight="false" outlineLevel="0" collapsed="false">
      <c r="A134" s="19" t="s">
        <v>1389</v>
      </c>
      <c r="B134" s="19" t="s">
        <v>1395</v>
      </c>
      <c r="C134" s="19" t="n">
        <v>7</v>
      </c>
      <c r="D134" s="17" t="s">
        <v>1391</v>
      </c>
      <c r="E134" s="19" t="n">
        <v>16.6637697337026</v>
      </c>
      <c r="F134" s="17" t="s">
        <v>1396</v>
      </c>
      <c r="G134" s="17" t="s">
        <v>1104</v>
      </c>
      <c r="H134" s="19"/>
    </row>
    <row r="135" customFormat="false" ht="15" hidden="false" customHeight="false" outlineLevel="0" collapsed="false">
      <c r="A135" s="19" t="s">
        <v>1389</v>
      </c>
      <c r="B135" s="19" t="s">
        <v>1397</v>
      </c>
      <c r="C135" s="19" t="n">
        <v>7</v>
      </c>
      <c r="D135" s="17" t="s">
        <v>1391</v>
      </c>
      <c r="E135" s="19" t="n">
        <v>6.6118162762144</v>
      </c>
      <c r="F135" s="17" t="s">
        <v>1398</v>
      </c>
      <c r="G135" s="17" t="s">
        <v>1104</v>
      </c>
      <c r="H135" s="19"/>
    </row>
    <row r="136" customFormat="false" ht="15" hidden="false" customHeight="false" outlineLevel="0" collapsed="false">
      <c r="A136" s="19" t="s">
        <v>1389</v>
      </c>
      <c r="B136" s="19" t="s">
        <v>1399</v>
      </c>
      <c r="C136" s="19" t="n">
        <v>7</v>
      </c>
      <c r="D136" s="17" t="s">
        <v>1391</v>
      </c>
      <c r="E136" s="19" t="n">
        <v>8.82816556596761</v>
      </c>
      <c r="F136" s="17" t="s">
        <v>1400</v>
      </c>
      <c r="G136" s="17" t="s">
        <v>1104</v>
      </c>
      <c r="H136" s="19"/>
    </row>
    <row r="137" customFormat="false" ht="15" hidden="false" customHeight="false" outlineLevel="0" collapsed="false">
      <c r="A137" s="19" t="s">
        <v>1389</v>
      </c>
      <c r="B137" s="19" t="s">
        <v>1401</v>
      </c>
      <c r="C137" s="19" t="n">
        <v>7</v>
      </c>
      <c r="D137" s="17" t="s">
        <v>1391</v>
      </c>
      <c r="E137" s="19" t="n">
        <v>14.3185748619737</v>
      </c>
      <c r="F137" s="17" t="s">
        <v>1402</v>
      </c>
      <c r="G137" s="17" t="s">
        <v>1104</v>
      </c>
      <c r="H137" s="19"/>
    </row>
    <row r="138" customFormat="false" ht="15" hidden="false" customHeight="false" outlineLevel="0" collapsed="false">
      <c r="A138" s="19" t="s">
        <v>1389</v>
      </c>
      <c r="B138" s="19" t="s">
        <v>1403</v>
      </c>
      <c r="C138" s="19" t="n">
        <v>7</v>
      </c>
      <c r="D138" s="17" t="s">
        <v>1391</v>
      </c>
      <c r="E138" s="19" t="n">
        <v>8.42889912085495</v>
      </c>
      <c r="F138" s="17" t="s">
        <v>1404</v>
      </c>
      <c r="G138" s="17" t="s">
        <v>1104</v>
      </c>
      <c r="H138" s="19"/>
    </row>
    <row r="139" customFormat="false" ht="15" hidden="false" customHeight="false" outlineLevel="0" collapsed="false">
      <c r="A139" s="19" t="s">
        <v>1389</v>
      </c>
      <c r="B139" s="19" t="s">
        <v>1405</v>
      </c>
      <c r="C139" s="19" t="n">
        <v>7</v>
      </c>
      <c r="D139" s="17" t="s">
        <v>1391</v>
      </c>
      <c r="E139" s="19" t="n">
        <v>10.8864110021101</v>
      </c>
      <c r="F139" s="17" t="s">
        <v>1406</v>
      </c>
      <c r="G139" s="17" t="s">
        <v>1104</v>
      </c>
      <c r="H139" s="19"/>
    </row>
    <row r="140" customFormat="false" ht="15" hidden="false" customHeight="false" outlineLevel="0" collapsed="false">
      <c r="A140" s="19" t="s">
        <v>1389</v>
      </c>
      <c r="B140" s="19" t="s">
        <v>1407</v>
      </c>
      <c r="C140" s="19" t="n">
        <v>7</v>
      </c>
      <c r="D140" s="17" t="s">
        <v>1391</v>
      </c>
      <c r="E140" s="19" t="n">
        <v>18.5346455040469</v>
      </c>
      <c r="F140" s="17" t="s">
        <v>1408</v>
      </c>
      <c r="G140" s="17" t="s">
        <v>1104</v>
      </c>
      <c r="H140" s="19"/>
    </row>
    <row r="141" customFormat="false" ht="15" hidden="false" customHeight="false" outlineLevel="0" collapsed="false">
      <c r="A141" s="19" t="s">
        <v>1389</v>
      </c>
      <c r="B141" s="19" t="s">
        <v>1409</v>
      </c>
      <c r="C141" s="19" t="n">
        <v>7</v>
      </c>
      <c r="D141" s="17" t="s">
        <v>1391</v>
      </c>
      <c r="E141" s="19" t="n">
        <v>9.51207691858967</v>
      </c>
      <c r="F141" s="17" t="s">
        <v>1410</v>
      </c>
      <c r="G141" s="17" t="s">
        <v>1104</v>
      </c>
      <c r="H141" s="19"/>
    </row>
    <row r="142" customFormat="false" ht="15" hidden="false" customHeight="false" outlineLevel="0" collapsed="false">
      <c r="A142" s="19" t="s">
        <v>1389</v>
      </c>
      <c r="B142" s="19" t="s">
        <v>1411</v>
      </c>
      <c r="C142" s="19" t="n">
        <v>7</v>
      </c>
      <c r="D142" s="17" t="s">
        <v>1391</v>
      </c>
      <c r="E142" s="19" t="n">
        <v>12.2254710045841</v>
      </c>
      <c r="F142" s="17" t="s">
        <v>1412</v>
      </c>
      <c r="G142" s="17" t="s">
        <v>1104</v>
      </c>
      <c r="H142" s="19"/>
    </row>
    <row r="143" customFormat="false" ht="15" hidden="false" customHeight="false" outlineLevel="0" collapsed="false">
      <c r="A143" s="19" t="s">
        <v>1389</v>
      </c>
      <c r="B143" s="19" t="s">
        <v>1413</v>
      </c>
      <c r="C143" s="19" t="n">
        <v>7</v>
      </c>
      <c r="D143" s="17" t="s">
        <v>1391</v>
      </c>
      <c r="E143" s="19" t="n">
        <v>19.7506269894487</v>
      </c>
      <c r="F143" s="17" t="s">
        <v>1414</v>
      </c>
      <c r="G143" s="17" t="s">
        <v>1104</v>
      </c>
      <c r="H143" s="19"/>
    </row>
    <row r="144" customFormat="false" ht="15" hidden="false" customHeight="false" outlineLevel="0" collapsed="false">
      <c r="A144" s="19" t="s">
        <v>1389</v>
      </c>
      <c r="B144" s="19" t="s">
        <v>1415</v>
      </c>
      <c r="C144" s="19" t="n">
        <v>7</v>
      </c>
      <c r="D144" s="17" t="s">
        <v>1391</v>
      </c>
      <c r="E144" s="19" t="n">
        <v>10.1025446864987</v>
      </c>
      <c r="F144" s="17" t="s">
        <v>1416</v>
      </c>
      <c r="G144" s="17" t="s">
        <v>1104</v>
      </c>
      <c r="H144" s="19"/>
    </row>
    <row r="145" customFormat="false" ht="15" hidden="false" customHeight="false" outlineLevel="0" collapsed="false">
      <c r="A145" s="19" t="s">
        <v>1389</v>
      </c>
      <c r="B145" s="19" t="s">
        <v>1417</v>
      </c>
      <c r="C145" s="19" t="n">
        <v>7</v>
      </c>
      <c r="D145" s="17" t="s">
        <v>1391</v>
      </c>
      <c r="E145" s="19" t="n">
        <v>15.3544827030524</v>
      </c>
      <c r="F145" s="17" t="s">
        <v>1418</v>
      </c>
      <c r="G145" s="17" t="s">
        <v>1104</v>
      </c>
      <c r="H145" s="19"/>
    </row>
    <row r="146" customFormat="false" ht="15" hidden="false" customHeight="false" outlineLevel="0" collapsed="false">
      <c r="A146" s="19" t="s">
        <v>1389</v>
      </c>
      <c r="B146" s="19" t="s">
        <v>1419</v>
      </c>
      <c r="C146" s="19" t="n">
        <v>7</v>
      </c>
      <c r="D146" s="17" t="s">
        <v>1391</v>
      </c>
      <c r="E146" s="19" t="n">
        <v>28.0302450108258</v>
      </c>
      <c r="F146" s="17" t="s">
        <v>1420</v>
      </c>
      <c r="G146" s="17" t="s">
        <v>1104</v>
      </c>
      <c r="H146" s="19"/>
    </row>
    <row r="147" customFormat="false" ht="15" hidden="false" customHeight="false" outlineLevel="0" collapsed="false">
      <c r="A147" s="19" t="s">
        <v>1421</v>
      </c>
      <c r="B147" s="19" t="s">
        <v>1210</v>
      </c>
      <c r="C147" s="19" t="n">
        <v>7</v>
      </c>
      <c r="D147" s="17" t="s">
        <v>1422</v>
      </c>
      <c r="E147" s="19" t="n">
        <v>3408539579.55429</v>
      </c>
      <c r="F147" s="17" t="s">
        <v>1423</v>
      </c>
      <c r="G147" s="17" t="s">
        <v>1104</v>
      </c>
      <c r="H147" s="19"/>
    </row>
    <row r="148" customFormat="false" ht="15" hidden="false" customHeight="false" outlineLevel="0" collapsed="false">
      <c r="A148" s="19" t="s">
        <v>1421</v>
      </c>
      <c r="B148" s="19" t="s">
        <v>1231</v>
      </c>
      <c r="C148" s="19" t="n">
        <v>7</v>
      </c>
      <c r="D148" s="17" t="s">
        <v>1422</v>
      </c>
      <c r="E148" s="19" t="n">
        <v>3408539579.55429</v>
      </c>
      <c r="F148" s="17" t="s">
        <v>1424</v>
      </c>
      <c r="G148" s="17" t="s">
        <v>1104</v>
      </c>
      <c r="H148" s="19"/>
    </row>
    <row r="149" customFormat="false" ht="15" hidden="false" customHeight="false" outlineLevel="0" collapsed="false">
      <c r="A149" s="19" t="s">
        <v>1421</v>
      </c>
      <c r="B149" s="19" t="s">
        <v>1239</v>
      </c>
      <c r="C149" s="19" t="n">
        <v>7</v>
      </c>
      <c r="D149" s="17" t="s">
        <v>1422</v>
      </c>
      <c r="E149" s="19" t="n">
        <v>3408539579.55429</v>
      </c>
      <c r="F149" s="17" t="s">
        <v>1425</v>
      </c>
      <c r="G149" s="17" t="s">
        <v>1104</v>
      </c>
      <c r="H149" s="19"/>
    </row>
    <row r="150" customFormat="false" ht="15" hidden="false" customHeight="false" outlineLevel="0" collapsed="false">
      <c r="A150" s="19" t="s">
        <v>1421</v>
      </c>
      <c r="B150" s="19" t="s">
        <v>1247</v>
      </c>
      <c r="C150" s="19" t="n">
        <v>7</v>
      </c>
      <c r="D150" s="17" t="s">
        <v>1422</v>
      </c>
      <c r="E150" s="19" t="n">
        <v>16772537560.8553</v>
      </c>
      <c r="F150" s="17" t="s">
        <v>1426</v>
      </c>
      <c r="G150" s="17" t="s">
        <v>1104</v>
      </c>
      <c r="H150" s="19"/>
    </row>
    <row r="151" customFormat="false" ht="15" hidden="false" customHeight="false" outlineLevel="0" collapsed="false">
      <c r="A151" s="19" t="s">
        <v>1421</v>
      </c>
      <c r="B151" s="19" t="s">
        <v>1427</v>
      </c>
      <c r="C151" s="19" t="n">
        <v>7</v>
      </c>
      <c r="D151" s="17" t="s">
        <v>1422</v>
      </c>
      <c r="E151" s="19" t="n">
        <v>16772537560.8553</v>
      </c>
      <c r="F151" s="17" t="s">
        <v>1428</v>
      </c>
      <c r="G151" s="17" t="s">
        <v>1104</v>
      </c>
      <c r="H151" s="19"/>
    </row>
    <row r="152" customFormat="false" ht="15" hidden="false" customHeight="false" outlineLevel="0" collapsed="false">
      <c r="A152" s="19" t="s">
        <v>1421</v>
      </c>
      <c r="B152" s="19" t="s">
        <v>1429</v>
      </c>
      <c r="C152" s="19" t="n">
        <v>7</v>
      </c>
      <c r="D152" s="17" t="s">
        <v>1422</v>
      </c>
      <c r="E152" s="19" t="n">
        <v>16772537560.8553</v>
      </c>
      <c r="F152" s="17" t="s">
        <v>1430</v>
      </c>
      <c r="G152" s="17" t="s">
        <v>1104</v>
      </c>
      <c r="H152" s="19"/>
    </row>
    <row r="153" customFormat="false" ht="15" hidden="false" customHeight="false" outlineLevel="0" collapsed="false">
      <c r="A153" s="19" t="s">
        <v>1421</v>
      </c>
      <c r="B153" s="19" t="s">
        <v>1431</v>
      </c>
      <c r="C153" s="19" t="n">
        <v>7</v>
      </c>
      <c r="D153" s="17" t="s">
        <v>1422</v>
      </c>
      <c r="E153" s="19" t="n">
        <v>20457981993.5727</v>
      </c>
      <c r="F153" s="17" t="s">
        <v>1432</v>
      </c>
      <c r="G153" s="17" t="s">
        <v>1104</v>
      </c>
      <c r="H153" s="19"/>
    </row>
    <row r="154" customFormat="false" ht="15" hidden="false" customHeight="false" outlineLevel="0" collapsed="false">
      <c r="A154" s="19" t="s">
        <v>1421</v>
      </c>
      <c r="B154" s="19" t="s">
        <v>1433</v>
      </c>
      <c r="C154" s="19" t="n">
        <v>7</v>
      </c>
      <c r="D154" s="17" t="s">
        <v>1422</v>
      </c>
      <c r="E154" s="19" t="n">
        <v>20457981993.5727</v>
      </c>
      <c r="F154" s="17" t="s">
        <v>1434</v>
      </c>
      <c r="G154" s="17" t="s">
        <v>1104</v>
      </c>
      <c r="H154" s="19"/>
    </row>
    <row r="155" customFormat="false" ht="15" hidden="false" customHeight="false" outlineLevel="0" collapsed="false">
      <c r="A155" s="19" t="s">
        <v>1421</v>
      </c>
      <c r="B155" s="19" t="s">
        <v>1435</v>
      </c>
      <c r="C155" s="19" t="n">
        <v>7</v>
      </c>
      <c r="D155" s="17" t="s">
        <v>1422</v>
      </c>
      <c r="E155" s="19" t="n">
        <v>20457981993.5727</v>
      </c>
      <c r="F155" s="17" t="s">
        <v>1436</v>
      </c>
      <c r="G155" s="17" t="s">
        <v>1104</v>
      </c>
      <c r="H155" s="19"/>
    </row>
    <row r="156" customFormat="false" ht="15" hidden="false" customHeight="false" outlineLevel="0" collapsed="false">
      <c r="A156" s="19" t="s">
        <v>1421</v>
      </c>
      <c r="B156" s="19" t="s">
        <v>1437</v>
      </c>
      <c r="C156" s="19" t="n">
        <v>7</v>
      </c>
      <c r="D156" s="17" t="s">
        <v>1422</v>
      </c>
      <c r="E156" s="19" t="n">
        <v>33642913938.6076</v>
      </c>
      <c r="F156" s="17" t="s">
        <v>1438</v>
      </c>
      <c r="G156" s="17" t="s">
        <v>1104</v>
      </c>
      <c r="H156" s="19"/>
    </row>
    <row r="157" customFormat="false" ht="15" hidden="false" customHeight="false" outlineLevel="0" collapsed="false">
      <c r="A157" s="19" t="s">
        <v>1421</v>
      </c>
      <c r="B157" s="19" t="s">
        <v>1439</v>
      </c>
      <c r="C157" s="19" t="n">
        <v>7</v>
      </c>
      <c r="D157" s="17" t="s">
        <v>1422</v>
      </c>
      <c r="E157" s="19" t="n">
        <v>33642913938.6076</v>
      </c>
      <c r="F157" s="17" t="s">
        <v>1440</v>
      </c>
      <c r="G157" s="17" t="s">
        <v>1104</v>
      </c>
      <c r="H157" s="19"/>
    </row>
    <row r="158" customFormat="false" ht="15" hidden="false" customHeight="false" outlineLevel="0" collapsed="false">
      <c r="A158" s="19" t="s">
        <v>1421</v>
      </c>
      <c r="B158" s="19" t="s">
        <v>1441</v>
      </c>
      <c r="C158" s="19" t="n">
        <v>7</v>
      </c>
      <c r="D158" s="17" t="s">
        <v>1422</v>
      </c>
      <c r="E158" s="19" t="n">
        <v>33642913938.6076</v>
      </c>
      <c r="F158" s="17" t="s">
        <v>1442</v>
      </c>
      <c r="G158" s="17" t="s">
        <v>1104</v>
      </c>
      <c r="H158" s="19"/>
    </row>
    <row r="159" customFormat="false" ht="15" hidden="false" customHeight="false" outlineLevel="0" collapsed="false">
      <c r="A159" s="19" t="s">
        <v>1421</v>
      </c>
      <c r="B159" s="19" t="s">
        <v>1443</v>
      </c>
      <c r="C159" s="19" t="n">
        <v>7</v>
      </c>
      <c r="D159" s="17" t="s">
        <v>1422</v>
      </c>
      <c r="E159" s="19" t="n">
        <v>46721206278.4315</v>
      </c>
      <c r="F159" s="17" t="s">
        <v>1444</v>
      </c>
      <c r="G159" s="17" t="s">
        <v>1104</v>
      </c>
      <c r="H159" s="19"/>
    </row>
    <row r="160" customFormat="false" ht="15" hidden="false" customHeight="false" outlineLevel="0" collapsed="false">
      <c r="A160" s="19" t="s">
        <v>1421</v>
      </c>
      <c r="B160" s="19" t="s">
        <v>1445</v>
      </c>
      <c r="C160" s="19" t="n">
        <v>7</v>
      </c>
      <c r="D160" s="17" t="s">
        <v>1422</v>
      </c>
      <c r="E160" s="19" t="n">
        <v>46721206278.4315</v>
      </c>
      <c r="F160" s="17" t="s">
        <v>1446</v>
      </c>
      <c r="G160" s="17" t="s">
        <v>1104</v>
      </c>
      <c r="H160" s="19"/>
    </row>
    <row r="161" customFormat="false" ht="15" hidden="false" customHeight="false" outlineLevel="0" collapsed="false">
      <c r="A161" s="19" t="s">
        <v>1421</v>
      </c>
      <c r="B161" s="19" t="s">
        <v>1447</v>
      </c>
      <c r="C161" s="19" t="n">
        <v>7</v>
      </c>
      <c r="D161" s="17" t="s">
        <v>1422</v>
      </c>
      <c r="E161" s="19" t="n">
        <v>46721206278.4315</v>
      </c>
      <c r="F161" s="17" t="s">
        <v>1448</v>
      </c>
      <c r="G161" s="17" t="s">
        <v>1104</v>
      </c>
      <c r="H161" s="19"/>
    </row>
    <row r="162" customFormat="false" ht="15" hidden="false" customHeight="false" outlineLevel="0" collapsed="false">
      <c r="A162" s="19" t="s">
        <v>1449</v>
      </c>
      <c r="B162" s="19" t="s">
        <v>1210</v>
      </c>
      <c r="C162" s="19" t="n">
        <v>7</v>
      </c>
      <c r="D162" s="17" t="s">
        <v>1422</v>
      </c>
      <c r="E162" s="19" t="n">
        <v>2559571648.42946</v>
      </c>
      <c r="F162" s="17" t="s">
        <v>1450</v>
      </c>
      <c r="G162" s="17" t="s">
        <v>1104</v>
      </c>
      <c r="H162" s="19"/>
    </row>
    <row r="163" customFormat="false" ht="15" hidden="false" customHeight="false" outlineLevel="0" collapsed="false">
      <c r="A163" s="19" t="s">
        <v>1449</v>
      </c>
      <c r="B163" s="19" t="s">
        <v>1231</v>
      </c>
      <c r="C163" s="19" t="n">
        <v>7</v>
      </c>
      <c r="D163" s="17" t="s">
        <v>1422</v>
      </c>
      <c r="E163" s="19" t="n">
        <v>2559571648.42946</v>
      </c>
      <c r="F163" s="17" t="s">
        <v>1451</v>
      </c>
      <c r="G163" s="17" t="s">
        <v>1104</v>
      </c>
      <c r="H163" s="19"/>
    </row>
    <row r="164" customFormat="false" ht="15" hidden="false" customHeight="false" outlineLevel="0" collapsed="false">
      <c r="A164" s="19" t="s">
        <v>1449</v>
      </c>
      <c r="B164" s="19" t="s">
        <v>1239</v>
      </c>
      <c r="C164" s="19" t="n">
        <v>7</v>
      </c>
      <c r="D164" s="17" t="s">
        <v>1422</v>
      </c>
      <c r="E164" s="19" t="n">
        <v>2559571648.42946</v>
      </c>
      <c r="F164" s="17" t="s">
        <v>1452</v>
      </c>
      <c r="G164" s="17" t="s">
        <v>1104</v>
      </c>
      <c r="H164" s="19"/>
    </row>
    <row r="165" customFormat="false" ht="15" hidden="false" customHeight="false" outlineLevel="0" collapsed="false">
      <c r="A165" s="19" t="s">
        <v>1449</v>
      </c>
      <c r="B165" s="19" t="s">
        <v>1247</v>
      </c>
      <c r="C165" s="19" t="n">
        <v>7</v>
      </c>
      <c r="D165" s="17" t="s">
        <v>1422</v>
      </c>
      <c r="E165" s="19" t="n">
        <v>13402204969.6791</v>
      </c>
      <c r="F165" s="17" t="s">
        <v>1453</v>
      </c>
      <c r="G165" s="17" t="s">
        <v>1104</v>
      </c>
      <c r="H165" s="19"/>
    </row>
    <row r="166" customFormat="false" ht="15" hidden="false" customHeight="false" outlineLevel="0" collapsed="false">
      <c r="A166" s="19" t="s">
        <v>1449</v>
      </c>
      <c r="B166" s="19" t="s">
        <v>1427</v>
      </c>
      <c r="C166" s="19" t="n">
        <v>7</v>
      </c>
      <c r="D166" s="17" t="s">
        <v>1422</v>
      </c>
      <c r="E166" s="19" t="n">
        <v>13402204969.6791</v>
      </c>
      <c r="F166" s="17" t="s">
        <v>1454</v>
      </c>
      <c r="G166" s="17" t="s">
        <v>1104</v>
      </c>
      <c r="H166" s="19"/>
    </row>
    <row r="167" customFormat="false" ht="15" hidden="false" customHeight="false" outlineLevel="0" collapsed="false">
      <c r="A167" s="19" t="s">
        <v>1449</v>
      </c>
      <c r="B167" s="19" t="s">
        <v>1429</v>
      </c>
      <c r="C167" s="19" t="n">
        <v>7</v>
      </c>
      <c r="D167" s="17" t="s">
        <v>1422</v>
      </c>
      <c r="E167" s="19" t="n">
        <v>13402204969.6791</v>
      </c>
      <c r="F167" s="17" t="s">
        <v>1455</v>
      </c>
      <c r="G167" s="17" t="s">
        <v>1104</v>
      </c>
      <c r="H167" s="19"/>
    </row>
    <row r="168" customFormat="false" ht="15" hidden="false" customHeight="false" outlineLevel="0" collapsed="false">
      <c r="A168" s="19" t="s">
        <v>1449</v>
      </c>
      <c r="B168" s="19" t="s">
        <v>1431</v>
      </c>
      <c r="C168" s="19" t="n">
        <v>7</v>
      </c>
      <c r="D168" s="17" t="s">
        <v>1422</v>
      </c>
      <c r="E168" s="19" t="n">
        <v>16205800096.4964</v>
      </c>
      <c r="F168" s="17" t="s">
        <v>1456</v>
      </c>
      <c r="G168" s="17" t="s">
        <v>1104</v>
      </c>
      <c r="H168" s="19"/>
    </row>
    <row r="169" customFormat="false" ht="15" hidden="false" customHeight="false" outlineLevel="0" collapsed="false">
      <c r="A169" s="19" t="s">
        <v>1449</v>
      </c>
      <c r="B169" s="19" t="s">
        <v>1433</v>
      </c>
      <c r="C169" s="19" t="n">
        <v>7</v>
      </c>
      <c r="D169" s="17" t="s">
        <v>1422</v>
      </c>
      <c r="E169" s="19" t="n">
        <v>16205800096.4964</v>
      </c>
      <c r="F169" s="17" t="s">
        <v>1457</v>
      </c>
      <c r="G169" s="17" t="s">
        <v>1104</v>
      </c>
      <c r="H169" s="19"/>
    </row>
    <row r="170" customFormat="false" ht="15" hidden="false" customHeight="false" outlineLevel="0" collapsed="false">
      <c r="A170" s="19" t="s">
        <v>1449</v>
      </c>
      <c r="B170" s="19" t="s">
        <v>1435</v>
      </c>
      <c r="C170" s="19" t="n">
        <v>7</v>
      </c>
      <c r="D170" s="17" t="s">
        <v>1422</v>
      </c>
      <c r="E170" s="19" t="n">
        <v>16205800096.4964</v>
      </c>
      <c r="F170" s="17" t="s">
        <v>1458</v>
      </c>
      <c r="G170" s="17" t="s">
        <v>1104</v>
      </c>
      <c r="H170" s="19"/>
    </row>
    <row r="171" customFormat="false" ht="15" hidden="false" customHeight="false" outlineLevel="0" collapsed="false">
      <c r="A171" s="19" t="s">
        <v>1449</v>
      </c>
      <c r="B171" s="19" t="s">
        <v>1437</v>
      </c>
      <c r="C171" s="19" t="n">
        <v>7</v>
      </c>
      <c r="D171" s="17" t="s">
        <v>1422</v>
      </c>
      <c r="E171" s="19" t="n">
        <v>27110078716.4817</v>
      </c>
      <c r="F171" s="17" t="s">
        <v>1459</v>
      </c>
      <c r="G171" s="17" t="s">
        <v>1104</v>
      </c>
      <c r="H171" s="19"/>
    </row>
    <row r="172" customFormat="false" ht="15" hidden="false" customHeight="false" outlineLevel="0" collapsed="false">
      <c r="A172" s="19" t="s">
        <v>1449</v>
      </c>
      <c r="B172" s="19" t="s">
        <v>1439</v>
      </c>
      <c r="C172" s="19" t="n">
        <v>7</v>
      </c>
      <c r="D172" s="17" t="s">
        <v>1422</v>
      </c>
      <c r="E172" s="19" t="n">
        <v>27110078716.4817</v>
      </c>
      <c r="F172" s="17" t="s">
        <v>1460</v>
      </c>
      <c r="G172" s="17" t="s">
        <v>1104</v>
      </c>
      <c r="H172" s="19"/>
    </row>
    <row r="173" customFormat="false" ht="15" hidden="false" customHeight="false" outlineLevel="0" collapsed="false">
      <c r="A173" s="19" t="s">
        <v>1449</v>
      </c>
      <c r="B173" s="19" t="s">
        <v>1441</v>
      </c>
      <c r="C173" s="19" t="n">
        <v>7</v>
      </c>
      <c r="D173" s="17" t="s">
        <v>1422</v>
      </c>
      <c r="E173" s="19" t="n">
        <v>27110078716.4817</v>
      </c>
      <c r="F173" s="17" t="s">
        <v>1461</v>
      </c>
      <c r="G173" s="17" t="s">
        <v>1104</v>
      </c>
      <c r="H173" s="19"/>
    </row>
    <row r="174" customFormat="false" ht="15" hidden="false" customHeight="false" outlineLevel="0" collapsed="false">
      <c r="A174" s="19" t="s">
        <v>1449</v>
      </c>
      <c r="B174" s="19" t="s">
        <v>1443</v>
      </c>
      <c r="C174" s="19" t="n">
        <v>7</v>
      </c>
      <c r="D174" s="17" t="s">
        <v>1422</v>
      </c>
      <c r="E174" s="19" t="n">
        <v>37776976910.437</v>
      </c>
      <c r="F174" s="17" t="s">
        <v>1462</v>
      </c>
      <c r="G174" s="17" t="s">
        <v>1104</v>
      </c>
      <c r="H174" s="19"/>
    </row>
    <row r="175" customFormat="false" ht="15" hidden="false" customHeight="false" outlineLevel="0" collapsed="false">
      <c r="A175" s="19" t="s">
        <v>1449</v>
      </c>
      <c r="B175" s="19" t="s">
        <v>1445</v>
      </c>
      <c r="C175" s="19" t="n">
        <v>7</v>
      </c>
      <c r="D175" s="17" t="s">
        <v>1422</v>
      </c>
      <c r="E175" s="19" t="n">
        <v>37776976910.437</v>
      </c>
      <c r="F175" s="17" t="s">
        <v>1463</v>
      </c>
      <c r="G175" s="17" t="s">
        <v>1104</v>
      </c>
      <c r="H175" s="19"/>
    </row>
    <row r="176" customFormat="false" ht="15" hidden="false" customHeight="false" outlineLevel="0" collapsed="false">
      <c r="A176" s="19" t="s">
        <v>1449</v>
      </c>
      <c r="B176" s="19" t="s">
        <v>1447</v>
      </c>
      <c r="C176" s="19" t="n">
        <v>7</v>
      </c>
      <c r="D176" s="17" t="s">
        <v>1422</v>
      </c>
      <c r="E176" s="19" t="n">
        <v>37776976910.437</v>
      </c>
      <c r="F176" s="17" t="s">
        <v>1464</v>
      </c>
      <c r="G176" s="17" t="s">
        <v>1104</v>
      </c>
      <c r="H176" s="19"/>
    </row>
    <row r="177" customFormat="false" ht="15" hidden="false" customHeight="false" outlineLevel="0" collapsed="false">
      <c r="A177" s="55" t="s">
        <v>1465</v>
      </c>
      <c r="B177" s="55" t="s">
        <v>1466</v>
      </c>
      <c r="C177" s="55" t="n">
        <v>7</v>
      </c>
      <c r="D177" s="55" t="s">
        <v>1467</v>
      </c>
      <c r="E177" s="55" t="n">
        <v>1</v>
      </c>
      <c r="F177" s="55"/>
      <c r="G177" s="66" t="s">
        <v>1122</v>
      </c>
      <c r="H177" s="55" t="s">
        <v>343</v>
      </c>
    </row>
    <row r="178" customFormat="false" ht="15" hidden="false" customHeight="false" outlineLevel="0" collapsed="false">
      <c r="A178" s="19" t="s">
        <v>1198</v>
      </c>
      <c r="B178" s="19" t="s">
        <v>1216</v>
      </c>
      <c r="C178" s="19" t="n">
        <v>7</v>
      </c>
      <c r="D178" s="17" t="s">
        <v>1468</v>
      </c>
      <c r="E178" s="19" t="n">
        <v>112228240510.472</v>
      </c>
      <c r="F178" s="17" t="s">
        <v>1469</v>
      </c>
      <c r="G178" s="17" t="s">
        <v>1104</v>
      </c>
      <c r="H178" s="19"/>
    </row>
    <row r="179" customFormat="false" ht="15" hidden="false" customHeight="false" outlineLevel="0" collapsed="false">
      <c r="A179" s="19" t="s">
        <v>1198</v>
      </c>
      <c r="B179" s="19" t="s">
        <v>1156</v>
      </c>
      <c r="C179" s="19" t="n">
        <v>7</v>
      </c>
      <c r="D179" s="17" t="s">
        <v>1470</v>
      </c>
      <c r="E179" s="19" t="n">
        <v>33634916325.118</v>
      </c>
      <c r="F179" s="17" t="s">
        <v>1471</v>
      </c>
      <c r="G179" s="17" t="s">
        <v>1104</v>
      </c>
      <c r="H179" s="19"/>
    </row>
    <row r="180" customFormat="false" ht="15" hidden="false" customHeight="false" outlineLevel="0" collapsed="false">
      <c r="A180" s="19" t="s">
        <v>1198</v>
      </c>
      <c r="B180" s="19" t="s">
        <v>1472</v>
      </c>
      <c r="C180" s="19" t="n">
        <v>7</v>
      </c>
      <c r="D180" s="17" t="s">
        <v>1473</v>
      </c>
      <c r="E180" s="19" t="n">
        <v>6809025705.99183</v>
      </c>
      <c r="F180" s="17" t="s">
        <v>1474</v>
      </c>
      <c r="G180" s="17" t="s">
        <v>1104</v>
      </c>
      <c r="H180" s="19"/>
    </row>
    <row r="181" customFormat="false" ht="15" hidden="false" customHeight="false" outlineLevel="0" collapsed="false">
      <c r="A181" s="19" t="s">
        <v>1198</v>
      </c>
      <c r="B181" s="19" t="s">
        <v>1235</v>
      </c>
      <c r="C181" s="19" t="n">
        <v>7</v>
      </c>
      <c r="D181" s="17" t="s">
        <v>1468</v>
      </c>
      <c r="E181" s="19" t="n">
        <v>112228240510.472</v>
      </c>
      <c r="F181" s="17" t="s">
        <v>1475</v>
      </c>
      <c r="G181" s="17" t="s">
        <v>1104</v>
      </c>
      <c r="H181" s="19"/>
    </row>
    <row r="182" customFormat="false" ht="15" hidden="false" customHeight="false" outlineLevel="0" collapsed="false">
      <c r="A182" s="19" t="s">
        <v>1198</v>
      </c>
      <c r="B182" s="19" t="s">
        <v>1267</v>
      </c>
      <c r="C182" s="19" t="n">
        <v>7</v>
      </c>
      <c r="D182" s="17" t="s">
        <v>1470</v>
      </c>
      <c r="E182" s="19" t="n">
        <v>33634916325.118</v>
      </c>
      <c r="F182" s="17" t="s">
        <v>1476</v>
      </c>
      <c r="G182" s="17" t="s">
        <v>1104</v>
      </c>
      <c r="H182" s="19"/>
    </row>
    <row r="183" customFormat="false" ht="15" hidden="false" customHeight="false" outlineLevel="0" collapsed="false">
      <c r="A183" s="19" t="s">
        <v>1198</v>
      </c>
      <c r="B183" s="19" t="s">
        <v>1477</v>
      </c>
      <c r="C183" s="19" t="n">
        <v>7</v>
      </c>
      <c r="D183" s="17" t="s">
        <v>1473</v>
      </c>
      <c r="E183" s="19" t="n">
        <v>6809025705.99183</v>
      </c>
      <c r="F183" s="17" t="s">
        <v>1478</v>
      </c>
      <c r="G183" s="17" t="s">
        <v>1104</v>
      </c>
      <c r="H183" s="19"/>
    </row>
    <row r="184" customFormat="false" ht="15" hidden="false" customHeight="false" outlineLevel="0" collapsed="false">
      <c r="A184" s="19" t="s">
        <v>1198</v>
      </c>
      <c r="B184" s="19" t="s">
        <v>1243</v>
      </c>
      <c r="C184" s="19" t="n">
        <v>7</v>
      </c>
      <c r="D184" s="17" t="s">
        <v>1468</v>
      </c>
      <c r="E184" s="19" t="n">
        <v>112228240510.472</v>
      </c>
      <c r="F184" s="17" t="s">
        <v>1479</v>
      </c>
      <c r="G184" s="17" t="s">
        <v>1104</v>
      </c>
      <c r="H184" s="19"/>
    </row>
    <row r="185" customFormat="false" ht="15" hidden="false" customHeight="false" outlineLevel="0" collapsed="false">
      <c r="A185" s="19" t="s">
        <v>1198</v>
      </c>
      <c r="B185" s="19" t="s">
        <v>1268</v>
      </c>
      <c r="C185" s="19" t="n">
        <v>7</v>
      </c>
      <c r="D185" s="17" t="s">
        <v>1470</v>
      </c>
      <c r="E185" s="19" t="n">
        <v>33634916325.118</v>
      </c>
      <c r="F185" s="17" t="s">
        <v>1480</v>
      </c>
      <c r="G185" s="17" t="s">
        <v>1104</v>
      </c>
      <c r="H185" s="19"/>
    </row>
    <row r="186" customFormat="false" ht="15" hidden="false" customHeight="false" outlineLevel="0" collapsed="false">
      <c r="A186" s="19" t="s">
        <v>1198</v>
      </c>
      <c r="B186" s="19" t="s">
        <v>1481</v>
      </c>
      <c r="C186" s="19" t="n">
        <v>7</v>
      </c>
      <c r="D186" s="17" t="s">
        <v>1473</v>
      </c>
      <c r="E186" s="19" t="n">
        <v>6809025705.99183</v>
      </c>
      <c r="F186" s="17" t="s">
        <v>1482</v>
      </c>
      <c r="G186" s="17" t="s">
        <v>1104</v>
      </c>
      <c r="H186" s="19"/>
    </row>
    <row r="187" customFormat="false" ht="15" hidden="false" customHeight="false" outlineLevel="0" collapsed="false">
      <c r="A187" s="19" t="s">
        <v>1198</v>
      </c>
      <c r="B187" s="19" t="s">
        <v>1251</v>
      </c>
      <c r="C187" s="19" t="n">
        <v>7</v>
      </c>
      <c r="D187" s="17" t="s">
        <v>1468</v>
      </c>
      <c r="E187" s="19" t="n">
        <v>557838911578.971</v>
      </c>
      <c r="F187" s="17" t="s">
        <v>1483</v>
      </c>
      <c r="G187" s="17" t="s">
        <v>1104</v>
      </c>
      <c r="H187" s="19"/>
    </row>
    <row r="188" customFormat="false" ht="15" hidden="false" customHeight="false" outlineLevel="0" collapsed="false">
      <c r="A188" s="19" t="s">
        <v>1198</v>
      </c>
      <c r="B188" s="19" t="s">
        <v>1484</v>
      </c>
      <c r="C188" s="19" t="n">
        <v>7</v>
      </c>
      <c r="D188" s="17" t="s">
        <v>1470</v>
      </c>
      <c r="E188" s="19" t="n">
        <v>163715850475.954</v>
      </c>
      <c r="F188" s="17" t="s">
        <v>1485</v>
      </c>
      <c r="G188" s="17" t="s">
        <v>1104</v>
      </c>
      <c r="H188" s="19"/>
    </row>
    <row r="189" customFormat="false" ht="15" hidden="false" customHeight="false" outlineLevel="0" collapsed="false">
      <c r="A189" s="19" t="s">
        <v>1198</v>
      </c>
      <c r="B189" s="19" t="s">
        <v>1486</v>
      </c>
      <c r="C189" s="19" t="n">
        <v>7</v>
      </c>
      <c r="D189" s="17" t="s">
        <v>1473</v>
      </c>
      <c r="E189" s="19" t="n">
        <v>33674781620.6943</v>
      </c>
      <c r="F189" s="17" t="s">
        <v>1487</v>
      </c>
      <c r="G189" s="17" t="s">
        <v>1104</v>
      </c>
      <c r="H189" s="19"/>
    </row>
    <row r="190" customFormat="false" ht="15" hidden="false" customHeight="false" outlineLevel="0" collapsed="false">
      <c r="A190" s="19" t="s">
        <v>1198</v>
      </c>
      <c r="B190" s="19" t="s">
        <v>1488</v>
      </c>
      <c r="C190" s="19" t="n">
        <v>7</v>
      </c>
      <c r="D190" s="17" t="s">
        <v>1468</v>
      </c>
      <c r="E190" s="19" t="n">
        <v>557838911578.971</v>
      </c>
      <c r="F190" s="17" t="s">
        <v>1489</v>
      </c>
      <c r="G190" s="17" t="s">
        <v>1104</v>
      </c>
      <c r="H190" s="19"/>
    </row>
    <row r="191" customFormat="false" ht="15" hidden="false" customHeight="false" outlineLevel="0" collapsed="false">
      <c r="A191" s="19" t="s">
        <v>1198</v>
      </c>
      <c r="B191" s="19" t="s">
        <v>1490</v>
      </c>
      <c r="C191" s="19" t="n">
        <v>7</v>
      </c>
      <c r="D191" s="17" t="s">
        <v>1470</v>
      </c>
      <c r="E191" s="19" t="n">
        <v>163715850475.954</v>
      </c>
      <c r="F191" s="17" t="s">
        <v>1491</v>
      </c>
      <c r="G191" s="17" t="s">
        <v>1104</v>
      </c>
      <c r="H191" s="19"/>
    </row>
    <row r="192" customFormat="false" ht="15" hidden="false" customHeight="false" outlineLevel="0" collapsed="false">
      <c r="A192" s="19" t="s">
        <v>1198</v>
      </c>
      <c r="B192" s="19" t="s">
        <v>1492</v>
      </c>
      <c r="C192" s="19" t="n">
        <v>7</v>
      </c>
      <c r="D192" s="17" t="s">
        <v>1473</v>
      </c>
      <c r="E192" s="19" t="n">
        <v>33674781620.6943</v>
      </c>
      <c r="F192" s="17" t="s">
        <v>1493</v>
      </c>
      <c r="G192" s="17" t="s">
        <v>1104</v>
      </c>
      <c r="H192" s="19"/>
    </row>
    <row r="193" customFormat="false" ht="15" hidden="false" customHeight="false" outlineLevel="0" collapsed="false">
      <c r="A193" s="19" t="s">
        <v>1198</v>
      </c>
      <c r="B193" s="19" t="s">
        <v>1494</v>
      </c>
      <c r="C193" s="19" t="n">
        <v>7</v>
      </c>
      <c r="D193" s="17" t="s">
        <v>1468</v>
      </c>
      <c r="E193" s="19" t="n">
        <v>557838911578.971</v>
      </c>
      <c r="F193" s="17" t="s">
        <v>1495</v>
      </c>
      <c r="G193" s="17" t="s">
        <v>1104</v>
      </c>
      <c r="H193" s="19"/>
    </row>
    <row r="194" customFormat="false" ht="15" hidden="false" customHeight="false" outlineLevel="0" collapsed="false">
      <c r="A194" s="19" t="s">
        <v>1198</v>
      </c>
      <c r="B194" s="19" t="s">
        <v>1496</v>
      </c>
      <c r="C194" s="19" t="n">
        <v>7</v>
      </c>
      <c r="D194" s="17" t="s">
        <v>1470</v>
      </c>
      <c r="E194" s="19" t="n">
        <v>163715850475.954</v>
      </c>
      <c r="F194" s="17" t="s">
        <v>1497</v>
      </c>
      <c r="G194" s="17" t="s">
        <v>1104</v>
      </c>
      <c r="H194" s="19"/>
    </row>
    <row r="195" customFormat="false" ht="15" hidden="false" customHeight="false" outlineLevel="0" collapsed="false">
      <c r="A195" s="19" t="s">
        <v>1198</v>
      </c>
      <c r="B195" s="19" t="s">
        <v>1498</v>
      </c>
      <c r="C195" s="19" t="n">
        <v>7</v>
      </c>
      <c r="D195" s="17" t="s">
        <v>1473</v>
      </c>
      <c r="E195" s="19" t="n">
        <v>33674781620.6943</v>
      </c>
      <c r="F195" s="17" t="s">
        <v>1499</v>
      </c>
      <c r="G195" s="17" t="s">
        <v>1104</v>
      </c>
      <c r="H195" s="19"/>
    </row>
    <row r="196" customFormat="false" ht="15" hidden="false" customHeight="false" outlineLevel="0" collapsed="false">
      <c r="A196" s="19" t="s">
        <v>1198</v>
      </c>
      <c r="B196" s="19" t="s">
        <v>1500</v>
      </c>
      <c r="C196" s="19" t="n">
        <v>7</v>
      </c>
      <c r="D196" s="17" t="s">
        <v>1468</v>
      </c>
      <c r="E196" s="19" t="n">
        <v>723176042011.176</v>
      </c>
      <c r="F196" s="17" t="s">
        <v>1501</v>
      </c>
      <c r="G196" s="17" t="s">
        <v>1104</v>
      </c>
      <c r="H196" s="19"/>
    </row>
    <row r="197" customFormat="false" ht="15" hidden="false" customHeight="false" outlineLevel="0" collapsed="false">
      <c r="A197" s="19" t="s">
        <v>1198</v>
      </c>
      <c r="B197" s="19" t="s">
        <v>1502</v>
      </c>
      <c r="C197" s="19" t="n">
        <v>7</v>
      </c>
      <c r="D197" s="17" t="s">
        <v>1470</v>
      </c>
      <c r="E197" s="19" t="n">
        <v>212334321421.888</v>
      </c>
      <c r="F197" s="17" t="s">
        <v>1503</v>
      </c>
      <c r="G197" s="17" t="s">
        <v>1104</v>
      </c>
      <c r="H197" s="19"/>
    </row>
    <row r="198" customFormat="false" ht="15" hidden="false" customHeight="false" outlineLevel="0" collapsed="false">
      <c r="A198" s="19" t="s">
        <v>1198</v>
      </c>
      <c r="B198" s="19" t="s">
        <v>1504</v>
      </c>
      <c r="C198" s="19" t="n">
        <v>7</v>
      </c>
      <c r="D198" s="17" t="s">
        <v>1473</v>
      </c>
      <c r="E198" s="19" t="n">
        <v>39257828144.5082</v>
      </c>
      <c r="F198" s="17" t="s">
        <v>1505</v>
      </c>
      <c r="G198" s="17" t="s">
        <v>1104</v>
      </c>
      <c r="H198" s="19"/>
    </row>
    <row r="199" customFormat="false" ht="15" hidden="false" customHeight="false" outlineLevel="0" collapsed="false">
      <c r="A199" s="19" t="s">
        <v>1198</v>
      </c>
      <c r="B199" s="19" t="s">
        <v>1506</v>
      </c>
      <c r="C199" s="19" t="n">
        <v>7</v>
      </c>
      <c r="D199" s="17" t="s">
        <v>1468</v>
      </c>
      <c r="E199" s="19" t="n">
        <v>723176042011.176</v>
      </c>
      <c r="F199" s="17" t="s">
        <v>1507</v>
      </c>
      <c r="G199" s="17" t="s">
        <v>1104</v>
      </c>
      <c r="H199" s="19"/>
    </row>
    <row r="200" customFormat="false" ht="15" hidden="false" customHeight="false" outlineLevel="0" collapsed="false">
      <c r="A200" s="19" t="s">
        <v>1198</v>
      </c>
      <c r="B200" s="19" t="s">
        <v>1508</v>
      </c>
      <c r="C200" s="19" t="n">
        <v>7</v>
      </c>
      <c r="D200" s="17" t="s">
        <v>1470</v>
      </c>
      <c r="E200" s="19" t="n">
        <v>212334321421.888</v>
      </c>
      <c r="F200" s="17" t="s">
        <v>1509</v>
      </c>
      <c r="G200" s="17" t="s">
        <v>1104</v>
      </c>
      <c r="H200" s="19"/>
    </row>
    <row r="201" customFormat="false" ht="15" hidden="false" customHeight="false" outlineLevel="0" collapsed="false">
      <c r="A201" s="19" t="s">
        <v>1198</v>
      </c>
      <c r="B201" s="19" t="s">
        <v>1510</v>
      </c>
      <c r="C201" s="19" t="n">
        <v>7</v>
      </c>
      <c r="D201" s="17" t="s">
        <v>1473</v>
      </c>
      <c r="E201" s="19" t="n">
        <v>39257828144.5082</v>
      </c>
      <c r="F201" s="17" t="s">
        <v>1511</v>
      </c>
      <c r="G201" s="17" t="s">
        <v>1104</v>
      </c>
      <c r="H201" s="19"/>
    </row>
    <row r="202" customFormat="false" ht="15" hidden="false" customHeight="false" outlineLevel="0" collapsed="false">
      <c r="A202" s="19" t="s">
        <v>1198</v>
      </c>
      <c r="B202" s="19" t="s">
        <v>1512</v>
      </c>
      <c r="C202" s="19" t="n">
        <v>7</v>
      </c>
      <c r="D202" s="17" t="s">
        <v>1468</v>
      </c>
      <c r="E202" s="19" t="n">
        <v>723176042011.176</v>
      </c>
      <c r="F202" s="17" t="s">
        <v>1513</v>
      </c>
      <c r="G202" s="17" t="s">
        <v>1104</v>
      </c>
      <c r="H202" s="19"/>
    </row>
    <row r="203" customFormat="false" ht="15" hidden="false" customHeight="false" outlineLevel="0" collapsed="false">
      <c r="A203" s="19" t="s">
        <v>1198</v>
      </c>
      <c r="B203" s="19" t="s">
        <v>1514</v>
      </c>
      <c r="C203" s="19" t="n">
        <v>7</v>
      </c>
      <c r="D203" s="17" t="s">
        <v>1470</v>
      </c>
      <c r="E203" s="19" t="n">
        <v>212334321421.888</v>
      </c>
      <c r="F203" s="17" t="s">
        <v>1515</v>
      </c>
      <c r="G203" s="17" t="s">
        <v>1104</v>
      </c>
      <c r="H203" s="19"/>
    </row>
    <row r="204" customFormat="false" ht="15" hidden="false" customHeight="false" outlineLevel="0" collapsed="false">
      <c r="A204" s="19" t="s">
        <v>1198</v>
      </c>
      <c r="B204" s="19" t="s">
        <v>1516</v>
      </c>
      <c r="C204" s="19" t="n">
        <v>7</v>
      </c>
      <c r="D204" s="17" t="s">
        <v>1473</v>
      </c>
      <c r="E204" s="19" t="n">
        <v>39257828144.5082</v>
      </c>
      <c r="F204" s="17" t="s">
        <v>1517</v>
      </c>
      <c r="G204" s="17" t="s">
        <v>1104</v>
      </c>
      <c r="H204" s="19"/>
    </row>
    <row r="205" customFormat="false" ht="15" hidden="false" customHeight="false" outlineLevel="0" collapsed="false">
      <c r="A205" s="19" t="s">
        <v>1198</v>
      </c>
      <c r="B205" s="19" t="s">
        <v>1518</v>
      </c>
      <c r="C205" s="19" t="n">
        <v>7</v>
      </c>
      <c r="D205" s="17" t="s">
        <v>1468</v>
      </c>
      <c r="E205" s="19" t="n">
        <v>1043267705667.06</v>
      </c>
      <c r="F205" s="17" t="s">
        <v>1519</v>
      </c>
      <c r="G205" s="17" t="s">
        <v>1104</v>
      </c>
      <c r="H205" s="19"/>
    </row>
    <row r="206" customFormat="false" ht="15" hidden="false" customHeight="false" outlineLevel="0" collapsed="false">
      <c r="A206" s="19" t="s">
        <v>1198</v>
      </c>
      <c r="B206" s="19" t="s">
        <v>1520</v>
      </c>
      <c r="C206" s="19" t="n">
        <v>7</v>
      </c>
      <c r="D206" s="17" t="s">
        <v>1470</v>
      </c>
      <c r="E206" s="19" t="n">
        <v>318984897819.054</v>
      </c>
      <c r="F206" s="17" t="s">
        <v>1521</v>
      </c>
      <c r="G206" s="17" t="s">
        <v>1104</v>
      </c>
      <c r="H206" s="19"/>
    </row>
    <row r="207" customFormat="false" ht="15" hidden="false" customHeight="false" outlineLevel="0" collapsed="false">
      <c r="A207" s="19" t="s">
        <v>1198</v>
      </c>
      <c r="B207" s="19" t="s">
        <v>1522</v>
      </c>
      <c r="C207" s="19" t="n">
        <v>7</v>
      </c>
      <c r="D207" s="17" t="s">
        <v>1473</v>
      </c>
      <c r="E207" s="19" t="n">
        <v>69625193603.6778</v>
      </c>
      <c r="F207" s="17" t="s">
        <v>1523</v>
      </c>
      <c r="G207" s="17" t="s">
        <v>1104</v>
      </c>
      <c r="H207" s="19"/>
    </row>
    <row r="208" customFormat="false" ht="15" hidden="false" customHeight="false" outlineLevel="0" collapsed="false">
      <c r="A208" s="19" t="s">
        <v>1198</v>
      </c>
      <c r="B208" s="19" t="s">
        <v>1524</v>
      </c>
      <c r="C208" s="19" t="n">
        <v>7</v>
      </c>
      <c r="D208" s="17" t="s">
        <v>1468</v>
      </c>
      <c r="E208" s="19" t="n">
        <v>1043267705667.06</v>
      </c>
      <c r="F208" s="17" t="s">
        <v>1525</v>
      </c>
      <c r="G208" s="17" t="s">
        <v>1104</v>
      </c>
      <c r="H208" s="19"/>
    </row>
    <row r="209" customFormat="false" ht="15" hidden="false" customHeight="false" outlineLevel="0" collapsed="false">
      <c r="A209" s="19" t="s">
        <v>1198</v>
      </c>
      <c r="B209" s="19" t="s">
        <v>1526</v>
      </c>
      <c r="C209" s="19" t="n">
        <v>7</v>
      </c>
      <c r="D209" s="17" t="s">
        <v>1470</v>
      </c>
      <c r="E209" s="19" t="n">
        <v>318984897819.054</v>
      </c>
      <c r="F209" s="17" t="s">
        <v>1527</v>
      </c>
      <c r="G209" s="17" t="s">
        <v>1104</v>
      </c>
      <c r="H209" s="19"/>
    </row>
    <row r="210" customFormat="false" ht="15" hidden="false" customHeight="false" outlineLevel="0" collapsed="false">
      <c r="A210" s="19" t="s">
        <v>1198</v>
      </c>
      <c r="B210" s="19" t="s">
        <v>1528</v>
      </c>
      <c r="C210" s="19" t="n">
        <v>7</v>
      </c>
      <c r="D210" s="17" t="s">
        <v>1473</v>
      </c>
      <c r="E210" s="19" t="n">
        <v>69625193603.6778</v>
      </c>
      <c r="F210" s="17" t="s">
        <v>1529</v>
      </c>
      <c r="G210" s="17" t="s">
        <v>1104</v>
      </c>
      <c r="H210" s="19"/>
    </row>
    <row r="211" customFormat="false" ht="15" hidden="false" customHeight="false" outlineLevel="0" collapsed="false">
      <c r="A211" s="19" t="s">
        <v>1198</v>
      </c>
      <c r="B211" s="19" t="s">
        <v>1530</v>
      </c>
      <c r="C211" s="19" t="n">
        <v>7</v>
      </c>
      <c r="D211" s="17" t="s">
        <v>1468</v>
      </c>
      <c r="E211" s="19" t="n">
        <v>1043267705667.06</v>
      </c>
      <c r="F211" s="17" t="s">
        <v>1531</v>
      </c>
      <c r="G211" s="17" t="s">
        <v>1104</v>
      </c>
      <c r="H211" s="19"/>
    </row>
    <row r="212" customFormat="false" ht="15" hidden="false" customHeight="false" outlineLevel="0" collapsed="false">
      <c r="A212" s="19" t="s">
        <v>1198</v>
      </c>
      <c r="B212" s="19" t="s">
        <v>1532</v>
      </c>
      <c r="C212" s="19" t="n">
        <v>7</v>
      </c>
      <c r="D212" s="17" t="s">
        <v>1470</v>
      </c>
      <c r="E212" s="19" t="n">
        <v>318984897819.054</v>
      </c>
      <c r="F212" s="17" t="s">
        <v>1533</v>
      </c>
      <c r="G212" s="17" t="s">
        <v>1104</v>
      </c>
      <c r="H212" s="19"/>
    </row>
    <row r="213" customFormat="false" ht="15" hidden="false" customHeight="false" outlineLevel="0" collapsed="false">
      <c r="A213" s="19" t="s">
        <v>1198</v>
      </c>
      <c r="B213" s="19" t="s">
        <v>1534</v>
      </c>
      <c r="C213" s="19" t="n">
        <v>7</v>
      </c>
      <c r="D213" s="17" t="s">
        <v>1473</v>
      </c>
      <c r="E213" s="19" t="n">
        <v>69625193603.6778</v>
      </c>
      <c r="F213" s="17" t="s">
        <v>1535</v>
      </c>
      <c r="G213" s="17" t="s">
        <v>1104</v>
      </c>
      <c r="H213" s="19"/>
    </row>
    <row r="214" customFormat="false" ht="15" hidden="false" customHeight="false" outlineLevel="0" collapsed="false">
      <c r="A214" s="19" t="s">
        <v>1198</v>
      </c>
      <c r="B214" s="19" t="s">
        <v>1536</v>
      </c>
      <c r="C214" s="19" t="n">
        <v>7</v>
      </c>
      <c r="D214" s="17" t="s">
        <v>1468</v>
      </c>
      <c r="E214" s="19" t="n">
        <v>1404587982526.55</v>
      </c>
      <c r="F214" s="17" t="s">
        <v>1537</v>
      </c>
      <c r="G214" s="17" t="s">
        <v>1104</v>
      </c>
      <c r="H214" s="19"/>
    </row>
    <row r="215" customFormat="false" ht="15" hidden="false" customHeight="false" outlineLevel="0" collapsed="false">
      <c r="A215" s="19" t="s">
        <v>1198</v>
      </c>
      <c r="B215" s="19" t="s">
        <v>1538</v>
      </c>
      <c r="C215" s="19" t="n">
        <v>7</v>
      </c>
      <c r="D215" s="17" t="s">
        <v>1470</v>
      </c>
      <c r="E215" s="19" t="n">
        <v>434380455314.928</v>
      </c>
      <c r="F215" s="17" t="s">
        <v>1539</v>
      </c>
      <c r="G215" s="17" t="s">
        <v>1104</v>
      </c>
      <c r="H215" s="19"/>
    </row>
    <row r="216" customFormat="false" ht="15" hidden="false" customHeight="false" outlineLevel="0" collapsed="false">
      <c r="A216" s="19" t="s">
        <v>1198</v>
      </c>
      <c r="B216" s="19" t="s">
        <v>1540</v>
      </c>
      <c r="C216" s="19" t="n">
        <v>7</v>
      </c>
      <c r="D216" s="17" t="s">
        <v>1473</v>
      </c>
      <c r="E216" s="19" t="n">
        <v>98521567397.5749</v>
      </c>
      <c r="F216" s="17" t="s">
        <v>1541</v>
      </c>
      <c r="G216" s="17" t="s">
        <v>1104</v>
      </c>
      <c r="H216" s="19"/>
    </row>
    <row r="217" customFormat="false" ht="15" hidden="false" customHeight="false" outlineLevel="0" collapsed="false">
      <c r="A217" s="19" t="s">
        <v>1198</v>
      </c>
      <c r="B217" s="19" t="s">
        <v>1542</v>
      </c>
      <c r="C217" s="19" t="n">
        <v>7</v>
      </c>
      <c r="D217" s="17" t="s">
        <v>1468</v>
      </c>
      <c r="E217" s="19" t="n">
        <v>1404587982526.55</v>
      </c>
      <c r="F217" s="17" t="s">
        <v>1543</v>
      </c>
      <c r="G217" s="17" t="s">
        <v>1104</v>
      </c>
      <c r="H217" s="19"/>
    </row>
    <row r="218" customFormat="false" ht="15" hidden="false" customHeight="false" outlineLevel="0" collapsed="false">
      <c r="A218" s="19" t="s">
        <v>1198</v>
      </c>
      <c r="B218" s="19" t="s">
        <v>1544</v>
      </c>
      <c r="C218" s="19" t="n">
        <v>7</v>
      </c>
      <c r="D218" s="17" t="s">
        <v>1470</v>
      </c>
      <c r="E218" s="19" t="n">
        <v>434380455314.928</v>
      </c>
      <c r="F218" s="17" t="s">
        <v>1545</v>
      </c>
      <c r="G218" s="17" t="s">
        <v>1104</v>
      </c>
      <c r="H218" s="19"/>
    </row>
    <row r="219" customFormat="false" ht="15" hidden="false" customHeight="false" outlineLevel="0" collapsed="false">
      <c r="A219" s="19" t="s">
        <v>1198</v>
      </c>
      <c r="B219" s="19" t="s">
        <v>1546</v>
      </c>
      <c r="C219" s="19" t="n">
        <v>7</v>
      </c>
      <c r="D219" s="17" t="s">
        <v>1473</v>
      </c>
      <c r="E219" s="19" t="n">
        <v>98521567397.5749</v>
      </c>
      <c r="F219" s="17" t="s">
        <v>1547</v>
      </c>
      <c r="G219" s="17" t="s">
        <v>1104</v>
      </c>
      <c r="H219" s="19"/>
    </row>
    <row r="220" customFormat="false" ht="15" hidden="false" customHeight="false" outlineLevel="0" collapsed="false">
      <c r="A220" s="19" t="s">
        <v>1198</v>
      </c>
      <c r="B220" s="19" t="s">
        <v>1548</v>
      </c>
      <c r="C220" s="19" t="n">
        <v>7</v>
      </c>
      <c r="D220" s="17" t="s">
        <v>1468</v>
      </c>
      <c r="E220" s="19" t="n">
        <v>1404587982526.55</v>
      </c>
      <c r="F220" s="17" t="s">
        <v>1549</v>
      </c>
      <c r="G220" s="17" t="s">
        <v>1104</v>
      </c>
      <c r="H220" s="19"/>
    </row>
    <row r="221" customFormat="false" ht="15" hidden="false" customHeight="false" outlineLevel="0" collapsed="false">
      <c r="A221" s="19" t="s">
        <v>1198</v>
      </c>
      <c r="B221" s="19" t="s">
        <v>1550</v>
      </c>
      <c r="C221" s="19" t="n">
        <v>7</v>
      </c>
      <c r="D221" s="17" t="s">
        <v>1470</v>
      </c>
      <c r="E221" s="19" t="n">
        <v>434380455314.928</v>
      </c>
      <c r="F221" s="17" t="s">
        <v>1551</v>
      </c>
      <c r="G221" s="17" t="s">
        <v>1104</v>
      </c>
      <c r="H221" s="19"/>
    </row>
    <row r="222" customFormat="false" ht="15" hidden="false" customHeight="false" outlineLevel="0" collapsed="false">
      <c r="A222" s="19" t="s">
        <v>1198</v>
      </c>
      <c r="B222" s="19" t="s">
        <v>1552</v>
      </c>
      <c r="C222" s="19" t="n">
        <v>7</v>
      </c>
      <c r="D222" s="17" t="s">
        <v>1473</v>
      </c>
      <c r="E222" s="19" t="n">
        <v>98521567397.5749</v>
      </c>
      <c r="F222" s="17" t="s">
        <v>1553</v>
      </c>
      <c r="G222" s="17" t="s">
        <v>1104</v>
      </c>
      <c r="H222" s="19"/>
    </row>
    <row r="223" customFormat="false" ht="15" hidden="false" customHeight="false" outlineLevel="0" collapsed="false">
      <c r="A223" s="55" t="s">
        <v>1119</v>
      </c>
      <c r="B223" s="55" t="s">
        <v>1337</v>
      </c>
      <c r="C223" s="55" t="n">
        <v>7</v>
      </c>
      <c r="D223" s="55" t="s">
        <v>1554</v>
      </c>
      <c r="E223" s="55" t="n">
        <v>2.5</v>
      </c>
      <c r="F223" s="55"/>
      <c r="G223" s="66" t="s">
        <v>1122</v>
      </c>
      <c r="H223" s="55"/>
    </row>
    <row r="224" customFormat="false" ht="15" hidden="false" customHeight="false" outlineLevel="0" collapsed="false">
      <c r="A224" s="55" t="s">
        <v>1202</v>
      </c>
      <c r="B224" s="55" t="s">
        <v>1300</v>
      </c>
      <c r="C224" s="55" t="n">
        <v>7</v>
      </c>
      <c r="D224" s="66" t="s">
        <v>1555</v>
      </c>
      <c r="E224" s="55" t="n">
        <v>0.6</v>
      </c>
      <c r="F224" s="55"/>
      <c r="G224" s="66" t="s">
        <v>1122</v>
      </c>
      <c r="H224" s="55" t="s">
        <v>140</v>
      </c>
    </row>
    <row r="225" customFormat="false" ht="15" hidden="false" customHeight="false" outlineLevel="0" collapsed="false">
      <c r="A225" s="19" t="s">
        <v>1389</v>
      </c>
      <c r="B225" s="19" t="s">
        <v>1199</v>
      </c>
      <c r="C225" s="19" t="n">
        <v>8</v>
      </c>
      <c r="D225" s="17" t="s">
        <v>1556</v>
      </c>
      <c r="E225" s="19" t="n">
        <v>1.11222553908253</v>
      </c>
      <c r="F225" s="17" t="s">
        <v>1557</v>
      </c>
      <c r="G225" s="17" t="s">
        <v>1104</v>
      </c>
      <c r="H225" s="19"/>
    </row>
    <row r="226" customFormat="false" ht="15" hidden="false" customHeight="false" outlineLevel="0" collapsed="false">
      <c r="A226" s="19" t="s">
        <v>1389</v>
      </c>
      <c r="B226" s="19" t="s">
        <v>1558</v>
      </c>
      <c r="C226" s="19" t="n">
        <v>8</v>
      </c>
      <c r="D226" s="19" t="s">
        <v>753</v>
      </c>
      <c r="E226" s="19" t="n">
        <v>4.63353384839044</v>
      </c>
      <c r="F226" s="17" t="s">
        <v>1559</v>
      </c>
      <c r="G226" s="17" t="s">
        <v>1104</v>
      </c>
      <c r="H226" s="19"/>
    </row>
    <row r="227" customFormat="false" ht="15" hidden="false" customHeight="false" outlineLevel="0" collapsed="false">
      <c r="A227" s="19" t="s">
        <v>1389</v>
      </c>
      <c r="B227" s="19" t="s">
        <v>1560</v>
      </c>
      <c r="C227" s="19" t="n">
        <v>8</v>
      </c>
      <c r="D227" s="17" t="s">
        <v>755</v>
      </c>
      <c r="E227" s="19" t="n">
        <v>1.04531526579147</v>
      </c>
      <c r="F227" s="17" t="s">
        <v>1561</v>
      </c>
      <c r="G227" s="17" t="s">
        <v>1104</v>
      </c>
      <c r="H227" s="19"/>
    </row>
    <row r="228" customFormat="false" ht="15" hidden="false" customHeight="false" outlineLevel="0" collapsed="false">
      <c r="A228" s="19" t="s">
        <v>1389</v>
      </c>
      <c r="B228" s="19" t="s">
        <v>1562</v>
      </c>
      <c r="C228" s="19" t="n">
        <v>8</v>
      </c>
      <c r="D228" s="17" t="s">
        <v>1556</v>
      </c>
      <c r="E228" s="19" t="n">
        <v>1.88466748019734</v>
      </c>
      <c r="F228" s="17" t="s">
        <v>1563</v>
      </c>
      <c r="G228" s="17" t="s">
        <v>1104</v>
      </c>
      <c r="H228" s="19"/>
    </row>
    <row r="229" customFormat="false" ht="15" hidden="false" customHeight="false" outlineLevel="0" collapsed="false">
      <c r="A229" s="19" t="s">
        <v>1389</v>
      </c>
      <c r="B229" s="19" t="s">
        <v>1564</v>
      </c>
      <c r="C229" s="19" t="n">
        <v>8</v>
      </c>
      <c r="D229" s="19" t="s">
        <v>753</v>
      </c>
      <c r="E229" s="19" t="n">
        <v>6.31654816975637</v>
      </c>
      <c r="F229" s="17" t="s">
        <v>1565</v>
      </c>
      <c r="G229" s="17" t="s">
        <v>1104</v>
      </c>
      <c r="H229" s="19"/>
    </row>
    <row r="230" customFormat="false" ht="15" hidden="false" customHeight="false" outlineLevel="0" collapsed="false">
      <c r="A230" s="19" t="s">
        <v>1389</v>
      </c>
      <c r="B230" s="19" t="s">
        <v>1566</v>
      </c>
      <c r="C230" s="19" t="n">
        <v>8</v>
      </c>
      <c r="D230" s="17" t="s">
        <v>755</v>
      </c>
      <c r="E230" s="19" t="n">
        <v>1.50187163616098</v>
      </c>
      <c r="F230" s="17" t="s">
        <v>1567</v>
      </c>
      <c r="G230" s="17" t="s">
        <v>1104</v>
      </c>
      <c r="H230" s="19"/>
    </row>
    <row r="231" customFormat="false" ht="15" hidden="false" customHeight="false" outlineLevel="0" collapsed="false">
      <c r="A231" s="19" t="s">
        <v>1389</v>
      </c>
      <c r="B231" s="19" t="s">
        <v>1568</v>
      </c>
      <c r="C231" s="19" t="n">
        <v>8</v>
      </c>
      <c r="D231" s="17" t="s">
        <v>1556</v>
      </c>
      <c r="E231" s="19" t="n">
        <v>2.8646513532112</v>
      </c>
      <c r="F231" s="17" t="s">
        <v>1569</v>
      </c>
      <c r="G231" s="17" t="s">
        <v>1104</v>
      </c>
      <c r="H231" s="19"/>
    </row>
    <row r="232" customFormat="false" ht="15" hidden="false" customHeight="false" outlineLevel="0" collapsed="false">
      <c r="A232" s="19" t="s">
        <v>1389</v>
      </c>
      <c r="B232" s="19" t="s">
        <v>1570</v>
      </c>
      <c r="C232" s="19" t="n">
        <v>8</v>
      </c>
      <c r="D232" s="19" t="s">
        <v>753</v>
      </c>
      <c r="E232" s="19" t="n">
        <v>11.47119594228</v>
      </c>
      <c r="F232" s="17" t="s">
        <v>1571</v>
      </c>
      <c r="G232" s="17" t="s">
        <v>1104</v>
      </c>
      <c r="H232" s="19"/>
    </row>
    <row r="233" customFormat="false" ht="15" hidden="false" customHeight="false" outlineLevel="0" collapsed="false">
      <c r="A233" s="19" t="s">
        <v>1389</v>
      </c>
      <c r="B233" s="19" t="s">
        <v>1572</v>
      </c>
      <c r="C233" s="19" t="n">
        <v>8</v>
      </c>
      <c r="D233" s="17" t="s">
        <v>755</v>
      </c>
      <c r="E233" s="19" t="n">
        <v>2.32792243821144</v>
      </c>
      <c r="F233" s="17" t="s">
        <v>1573</v>
      </c>
      <c r="G233" s="17" t="s">
        <v>1104</v>
      </c>
      <c r="H233" s="19"/>
    </row>
    <row r="234" customFormat="false" ht="15" hidden="false" customHeight="false" outlineLevel="0" collapsed="false">
      <c r="A234" s="19" t="s">
        <v>1389</v>
      </c>
      <c r="B234" s="19" t="s">
        <v>1574</v>
      </c>
      <c r="C234" s="19" t="n">
        <v>8</v>
      </c>
      <c r="D234" s="17" t="s">
        <v>1556</v>
      </c>
      <c r="E234" s="19" t="n">
        <v>1.10188330451562</v>
      </c>
      <c r="F234" s="17" t="s">
        <v>1575</v>
      </c>
      <c r="G234" s="17" t="s">
        <v>1104</v>
      </c>
      <c r="H234" s="19"/>
    </row>
    <row r="235" customFormat="false" ht="15" hidden="false" customHeight="false" outlineLevel="0" collapsed="false">
      <c r="A235" s="19" t="s">
        <v>1389</v>
      </c>
      <c r="B235" s="19" t="s">
        <v>1576</v>
      </c>
      <c r="C235" s="19" t="n">
        <v>8</v>
      </c>
      <c r="D235" s="19" t="s">
        <v>753</v>
      </c>
      <c r="E235" s="19" t="n">
        <v>4.46461770590731</v>
      </c>
      <c r="F235" s="17" t="s">
        <v>1577</v>
      </c>
      <c r="G235" s="17" t="s">
        <v>1104</v>
      </c>
      <c r="H235" s="19"/>
    </row>
    <row r="236" customFormat="false" ht="15" hidden="false" customHeight="false" outlineLevel="0" collapsed="false">
      <c r="A236" s="19" t="s">
        <v>1389</v>
      </c>
      <c r="B236" s="19" t="s">
        <v>1578</v>
      </c>
      <c r="C236" s="19" t="n">
        <v>8</v>
      </c>
      <c r="D236" s="17" t="s">
        <v>755</v>
      </c>
      <c r="E236" s="19" t="n">
        <v>1.04531526579147</v>
      </c>
      <c r="F236" s="17" t="s">
        <v>1579</v>
      </c>
      <c r="G236" s="17" t="s">
        <v>1104</v>
      </c>
      <c r="H236" s="19"/>
    </row>
    <row r="237" customFormat="false" ht="15" hidden="false" customHeight="false" outlineLevel="0" collapsed="false">
      <c r="A237" s="19" t="s">
        <v>1389</v>
      </c>
      <c r="B237" s="19" t="s">
        <v>1580</v>
      </c>
      <c r="C237" s="19" t="n">
        <v>8</v>
      </c>
      <c r="D237" s="17" t="s">
        <v>1556</v>
      </c>
      <c r="E237" s="19" t="n">
        <v>1.812232738713</v>
      </c>
      <c r="F237" s="17" t="s">
        <v>1581</v>
      </c>
      <c r="G237" s="17" t="s">
        <v>1104</v>
      </c>
      <c r="H237" s="19"/>
    </row>
    <row r="238" customFormat="false" ht="15" hidden="false" customHeight="false" outlineLevel="0" collapsed="false">
      <c r="A238" s="19" t="s">
        <v>1389</v>
      </c>
      <c r="B238" s="19" t="s">
        <v>1582</v>
      </c>
      <c r="C238" s="19" t="n">
        <v>8</v>
      </c>
      <c r="D238" s="19" t="s">
        <v>753</v>
      </c>
      <c r="E238" s="19" t="n">
        <v>5.51406119109364</v>
      </c>
      <c r="F238" s="17" t="s">
        <v>1583</v>
      </c>
      <c r="G238" s="17" t="s">
        <v>1104</v>
      </c>
      <c r="H238" s="19"/>
    </row>
    <row r="239" customFormat="false" ht="15" hidden="false" customHeight="false" outlineLevel="0" collapsed="false">
      <c r="A239" s="19" t="s">
        <v>1389</v>
      </c>
      <c r="B239" s="19" t="s">
        <v>1584</v>
      </c>
      <c r="C239" s="19" t="n">
        <v>8</v>
      </c>
      <c r="D239" s="17" t="s">
        <v>755</v>
      </c>
      <c r="E239" s="19" t="n">
        <v>1.50187163616098</v>
      </c>
      <c r="F239" s="17" t="s">
        <v>1585</v>
      </c>
      <c r="G239" s="17" t="s">
        <v>1104</v>
      </c>
      <c r="H239" s="19"/>
    </row>
    <row r="240" customFormat="false" ht="15" hidden="false" customHeight="false" outlineLevel="0" collapsed="false">
      <c r="A240" s="19" t="s">
        <v>1389</v>
      </c>
      <c r="B240" s="19" t="s">
        <v>1586</v>
      </c>
      <c r="C240" s="19" t="n">
        <v>8</v>
      </c>
      <c r="D240" s="17" t="s">
        <v>1556</v>
      </c>
      <c r="E240" s="19" t="n">
        <v>2.69481414737547</v>
      </c>
      <c r="F240" s="17" t="s">
        <v>1587</v>
      </c>
      <c r="G240" s="17" t="s">
        <v>1104</v>
      </c>
      <c r="H240" s="19"/>
    </row>
    <row r="241" customFormat="false" ht="15" hidden="false" customHeight="false" outlineLevel="0" collapsed="false">
      <c r="A241" s="19" t="s">
        <v>1389</v>
      </c>
      <c r="B241" s="19" t="s">
        <v>1588</v>
      </c>
      <c r="C241" s="19" t="n">
        <v>8</v>
      </c>
      <c r="D241" s="19" t="s">
        <v>753</v>
      </c>
      <c r="E241" s="19" t="n">
        <v>9.29583827638681</v>
      </c>
      <c r="F241" s="17" t="s">
        <v>1589</v>
      </c>
      <c r="G241" s="17" t="s">
        <v>1104</v>
      </c>
      <c r="H241" s="19"/>
    </row>
    <row r="242" customFormat="false" ht="15" hidden="false" customHeight="false" outlineLevel="0" collapsed="false">
      <c r="A242" s="19" t="s">
        <v>1389</v>
      </c>
      <c r="B242" s="19" t="s">
        <v>1590</v>
      </c>
      <c r="C242" s="19" t="n">
        <v>8</v>
      </c>
      <c r="D242" s="17" t="s">
        <v>755</v>
      </c>
      <c r="E242" s="19" t="n">
        <v>2.32792243821144</v>
      </c>
      <c r="F242" s="17" t="s">
        <v>1591</v>
      </c>
      <c r="G242" s="17" t="s">
        <v>1104</v>
      </c>
      <c r="H242" s="19"/>
    </row>
    <row r="243" customFormat="false" ht="15" hidden="false" customHeight="false" outlineLevel="0" collapsed="false">
      <c r="A243" s="19" t="s">
        <v>1389</v>
      </c>
      <c r="B243" s="19" t="s">
        <v>1592</v>
      </c>
      <c r="C243" s="19" t="n">
        <v>8</v>
      </c>
      <c r="D243" s="17" t="s">
        <v>1556</v>
      </c>
      <c r="E243" s="19" t="n">
        <v>1.20671911367581</v>
      </c>
      <c r="F243" s="17" t="s">
        <v>1593</v>
      </c>
      <c r="G243" s="17" t="s">
        <v>1104</v>
      </c>
      <c r="H243" s="19"/>
    </row>
    <row r="244" customFormat="false" ht="15" hidden="false" customHeight="false" outlineLevel="0" collapsed="false">
      <c r="A244" s="19" t="s">
        <v>1389</v>
      </c>
      <c r="B244" s="19" t="s">
        <v>1594</v>
      </c>
      <c r="C244" s="19" t="n">
        <v>8</v>
      </c>
      <c r="D244" s="19" t="s">
        <v>753</v>
      </c>
      <c r="E244" s="19" t="n">
        <v>6.17686474138768</v>
      </c>
      <c r="F244" s="17" t="s">
        <v>1595</v>
      </c>
      <c r="G244" s="17" t="s">
        <v>1104</v>
      </c>
      <c r="H244" s="19"/>
    </row>
    <row r="245" customFormat="false" ht="15" hidden="false" customHeight="false" outlineLevel="0" collapsed="false">
      <c r="A245" s="19" t="s">
        <v>1389</v>
      </c>
      <c r="B245" s="19" t="s">
        <v>1596</v>
      </c>
      <c r="C245" s="19" t="n">
        <v>8</v>
      </c>
      <c r="D245" s="17" t="s">
        <v>755</v>
      </c>
      <c r="E245" s="19" t="n">
        <v>1.04531526579147</v>
      </c>
      <c r="F245" s="17" t="s">
        <v>1597</v>
      </c>
      <c r="G245" s="17" t="s">
        <v>1104</v>
      </c>
      <c r="H245" s="19"/>
    </row>
    <row r="246" customFormat="false" ht="15" hidden="false" customHeight="false" outlineLevel="0" collapsed="false">
      <c r="A246" s="19" t="s">
        <v>1389</v>
      </c>
      <c r="B246" s="19" t="s">
        <v>1598</v>
      </c>
      <c r="C246" s="19" t="n">
        <v>8</v>
      </c>
      <c r="D246" s="17" t="s">
        <v>1556</v>
      </c>
      <c r="E246" s="19" t="n">
        <v>1.98263481314457</v>
      </c>
      <c r="F246" s="17" t="s">
        <v>1599</v>
      </c>
      <c r="G246" s="17" t="s">
        <v>1104</v>
      </c>
      <c r="H246" s="19"/>
    </row>
    <row r="247" customFormat="false" ht="15" hidden="false" customHeight="false" outlineLevel="0" collapsed="false">
      <c r="A247" s="19" t="s">
        <v>1389</v>
      </c>
      <c r="B247" s="19" t="s">
        <v>1600</v>
      </c>
      <c r="C247" s="19" t="n">
        <v>8</v>
      </c>
      <c r="D247" s="19" t="s">
        <v>753</v>
      </c>
      <c r="E247" s="19" t="n">
        <v>7.4019045528045</v>
      </c>
      <c r="F247" s="17" t="s">
        <v>1601</v>
      </c>
      <c r="G247" s="17" t="s">
        <v>1104</v>
      </c>
      <c r="H247" s="19"/>
    </row>
    <row r="248" customFormat="false" ht="15" hidden="false" customHeight="false" outlineLevel="0" collapsed="false">
      <c r="A248" s="19" t="s">
        <v>1389</v>
      </c>
      <c r="B248" s="19" t="s">
        <v>1602</v>
      </c>
      <c r="C248" s="19" t="n">
        <v>8</v>
      </c>
      <c r="D248" s="17" t="s">
        <v>755</v>
      </c>
      <c r="E248" s="19" t="n">
        <v>1.50187163616098</v>
      </c>
      <c r="F248" s="17" t="s">
        <v>1603</v>
      </c>
      <c r="G248" s="17" t="s">
        <v>1104</v>
      </c>
      <c r="H248" s="19"/>
    </row>
    <row r="249" customFormat="false" ht="15" hidden="false" customHeight="false" outlineLevel="0" collapsed="false">
      <c r="A249" s="19" t="s">
        <v>1389</v>
      </c>
      <c r="B249" s="19" t="s">
        <v>1604</v>
      </c>
      <c r="C249" s="19" t="n">
        <v>8</v>
      </c>
      <c r="D249" s="17" t="s">
        <v>1556</v>
      </c>
      <c r="E249" s="19" t="n">
        <v>3.00013873514752</v>
      </c>
      <c r="F249" s="17" t="s">
        <v>1605</v>
      </c>
      <c r="G249" s="17" t="s">
        <v>1104</v>
      </c>
      <c r="H249" s="19"/>
    </row>
    <row r="250" customFormat="false" ht="15" hidden="false" customHeight="false" outlineLevel="0" collapsed="false">
      <c r="A250" s="19" t="s">
        <v>1389</v>
      </c>
      <c r="B250" s="19" t="s">
        <v>1606</v>
      </c>
      <c r="C250" s="19" t="n">
        <v>8</v>
      </c>
      <c r="D250" s="19" t="s">
        <v>753</v>
      </c>
      <c r="E250" s="19" t="n">
        <v>13.2065843306879</v>
      </c>
      <c r="F250" s="17" t="s">
        <v>1607</v>
      </c>
      <c r="G250" s="17" t="s">
        <v>1104</v>
      </c>
      <c r="H250" s="19"/>
    </row>
    <row r="251" customFormat="false" ht="15" hidden="false" customHeight="false" outlineLevel="0" collapsed="false">
      <c r="A251" s="19" t="s">
        <v>1389</v>
      </c>
      <c r="B251" s="19" t="s">
        <v>1608</v>
      </c>
      <c r="C251" s="19" t="n">
        <v>8</v>
      </c>
      <c r="D251" s="17" t="s">
        <v>755</v>
      </c>
      <c r="E251" s="19" t="n">
        <v>2.32792243821144</v>
      </c>
      <c r="F251" s="17" t="s">
        <v>1609</v>
      </c>
      <c r="G251" s="17" t="s">
        <v>1104</v>
      </c>
      <c r="H251" s="19"/>
    </row>
    <row r="252" customFormat="false" ht="15" hidden="false" customHeight="false" outlineLevel="0" collapsed="false">
      <c r="A252" s="19" t="s">
        <v>1389</v>
      </c>
      <c r="B252" s="19" t="s">
        <v>1610</v>
      </c>
      <c r="C252" s="19" t="n">
        <v>8</v>
      </c>
      <c r="D252" s="17" t="s">
        <v>1556</v>
      </c>
      <c r="E252" s="19" t="n">
        <v>1.26921258843664</v>
      </c>
      <c r="F252" s="17" t="s">
        <v>1611</v>
      </c>
      <c r="G252" s="17" t="s">
        <v>1104</v>
      </c>
      <c r="H252" s="19"/>
    </row>
    <row r="253" customFormat="false" ht="15" hidden="false" customHeight="false" outlineLevel="0" collapsed="false">
      <c r="A253" s="19" t="s">
        <v>1389</v>
      </c>
      <c r="B253" s="19" t="s">
        <v>1612</v>
      </c>
      <c r="C253" s="19" t="n">
        <v>8</v>
      </c>
      <c r="D253" s="19" t="s">
        <v>753</v>
      </c>
      <c r="E253" s="19" t="n">
        <v>7.19754906436157</v>
      </c>
      <c r="F253" s="17" t="s">
        <v>1613</v>
      </c>
      <c r="G253" s="17" t="s">
        <v>1104</v>
      </c>
      <c r="H253" s="19"/>
    </row>
    <row r="254" customFormat="false" ht="15" hidden="false" customHeight="false" outlineLevel="0" collapsed="false">
      <c r="A254" s="19" t="s">
        <v>1389</v>
      </c>
      <c r="B254" s="19" t="s">
        <v>1614</v>
      </c>
      <c r="C254" s="19" t="n">
        <v>8</v>
      </c>
      <c r="D254" s="17" t="s">
        <v>755</v>
      </c>
      <c r="E254" s="19" t="n">
        <v>1.04531526579147</v>
      </c>
      <c r="F254" s="17" t="s">
        <v>1615</v>
      </c>
      <c r="G254" s="17" t="s">
        <v>1104</v>
      </c>
      <c r="H254" s="19"/>
    </row>
    <row r="255" customFormat="false" ht="15" hidden="false" customHeight="false" outlineLevel="0" collapsed="false">
      <c r="A255" s="19" t="s">
        <v>1389</v>
      </c>
      <c r="B255" s="19" t="s">
        <v>1616</v>
      </c>
      <c r="C255" s="19" t="n">
        <v>8</v>
      </c>
      <c r="D255" s="17" t="s">
        <v>1556</v>
      </c>
      <c r="E255" s="19" t="n">
        <v>2.09349554831403</v>
      </c>
      <c r="F255" s="17" t="s">
        <v>1617</v>
      </c>
      <c r="G255" s="17" t="s">
        <v>1104</v>
      </c>
      <c r="H255" s="19"/>
    </row>
    <row r="256" customFormat="false" ht="15" hidden="false" customHeight="false" outlineLevel="0" collapsed="false">
      <c r="A256" s="19" t="s">
        <v>1389</v>
      </c>
      <c r="B256" s="19" t="s">
        <v>1618</v>
      </c>
      <c r="C256" s="19" t="n">
        <v>8</v>
      </c>
      <c r="D256" s="19" t="s">
        <v>753</v>
      </c>
      <c r="E256" s="19" t="n">
        <v>8.6301038201091</v>
      </c>
      <c r="F256" s="17" t="s">
        <v>1619</v>
      </c>
      <c r="G256" s="17" t="s">
        <v>1104</v>
      </c>
      <c r="H256" s="19"/>
    </row>
    <row r="257" customFormat="false" ht="15" hidden="false" customHeight="false" outlineLevel="0" collapsed="false">
      <c r="A257" s="19" t="s">
        <v>1389</v>
      </c>
      <c r="B257" s="19" t="s">
        <v>1620</v>
      </c>
      <c r="C257" s="19" t="n">
        <v>8</v>
      </c>
      <c r="D257" s="17" t="s">
        <v>755</v>
      </c>
      <c r="E257" s="19" t="n">
        <v>1.50187163616098</v>
      </c>
      <c r="F257" s="17" t="s">
        <v>1621</v>
      </c>
      <c r="G257" s="17" t="s">
        <v>1104</v>
      </c>
      <c r="H257" s="19"/>
    </row>
    <row r="258" customFormat="false" ht="15" hidden="false" customHeight="false" outlineLevel="0" collapsed="false">
      <c r="A258" s="19" t="s">
        <v>1389</v>
      </c>
      <c r="B258" s="19" t="s">
        <v>1622</v>
      </c>
      <c r="C258" s="19" t="n">
        <v>8</v>
      </c>
      <c r="D258" s="17" t="s">
        <v>1556</v>
      </c>
      <c r="E258" s="19" t="n">
        <v>3.08819917750912</v>
      </c>
      <c r="F258" s="17" t="s">
        <v>1623</v>
      </c>
      <c r="G258" s="17" t="s">
        <v>1104</v>
      </c>
      <c r="H258" s="19"/>
    </row>
    <row r="259" customFormat="false" ht="15" hidden="false" customHeight="false" outlineLevel="0" collapsed="false">
      <c r="A259" s="19" t="s">
        <v>1389</v>
      </c>
      <c r="B259" s="19" t="s">
        <v>1624</v>
      </c>
      <c r="C259" s="19" t="n">
        <v>8</v>
      </c>
      <c r="D259" s="19" t="s">
        <v>753</v>
      </c>
      <c r="E259" s="19" t="n">
        <v>14.3345053737281</v>
      </c>
      <c r="F259" s="17" t="s">
        <v>1625</v>
      </c>
      <c r="G259" s="17" t="s">
        <v>1104</v>
      </c>
      <c r="H259" s="19"/>
    </row>
    <row r="260" customFormat="false" ht="15" hidden="false" customHeight="false" outlineLevel="0" collapsed="false">
      <c r="A260" s="19" t="s">
        <v>1389</v>
      </c>
      <c r="B260" s="19" t="s">
        <v>1626</v>
      </c>
      <c r="C260" s="19" t="n">
        <v>8</v>
      </c>
      <c r="D260" s="17" t="s">
        <v>755</v>
      </c>
      <c r="E260" s="19" t="n">
        <v>2.32792243821144</v>
      </c>
      <c r="F260" s="17" t="s">
        <v>1627</v>
      </c>
      <c r="G260" s="17" t="s">
        <v>1104</v>
      </c>
      <c r="H260" s="19"/>
    </row>
    <row r="261" customFormat="false" ht="15" hidden="false" customHeight="false" outlineLevel="0" collapsed="false">
      <c r="A261" s="19" t="s">
        <v>1389</v>
      </c>
      <c r="B261" s="19" t="s">
        <v>1628</v>
      </c>
      <c r="C261" s="19" t="n">
        <v>8</v>
      </c>
      <c r="D261" s="17" t="s">
        <v>1556</v>
      </c>
      <c r="E261" s="19" t="n">
        <v>1.30327937103509</v>
      </c>
      <c r="F261" s="17" t="s">
        <v>1629</v>
      </c>
      <c r="G261" s="17" t="s">
        <v>1104</v>
      </c>
      <c r="H261" s="19"/>
    </row>
    <row r="262" customFormat="false" ht="15" hidden="false" customHeight="false" outlineLevel="0" collapsed="false">
      <c r="A262" s="19" t="s">
        <v>1389</v>
      </c>
      <c r="B262" s="19" t="s">
        <v>1630</v>
      </c>
      <c r="C262" s="19" t="n">
        <v>8</v>
      </c>
      <c r="D262" s="19" t="s">
        <v>753</v>
      </c>
      <c r="E262" s="19" t="n">
        <v>7.75395004967209</v>
      </c>
      <c r="F262" s="17" t="s">
        <v>1631</v>
      </c>
      <c r="G262" s="17" t="s">
        <v>1104</v>
      </c>
      <c r="H262" s="19"/>
    </row>
    <row r="263" customFormat="false" ht="15" hidden="false" customHeight="false" outlineLevel="0" collapsed="false">
      <c r="A263" s="19" t="s">
        <v>1389</v>
      </c>
      <c r="B263" s="19" t="s">
        <v>1632</v>
      </c>
      <c r="C263" s="19" t="n">
        <v>8</v>
      </c>
      <c r="D263" s="17" t="s">
        <v>755</v>
      </c>
      <c r="E263" s="19" t="n">
        <v>1.04531526579147</v>
      </c>
      <c r="F263" s="17" t="s">
        <v>1633</v>
      </c>
      <c r="G263" s="17" t="s">
        <v>1104</v>
      </c>
      <c r="H263" s="19"/>
    </row>
    <row r="264" customFormat="false" ht="15" hidden="false" customHeight="false" outlineLevel="0" collapsed="false">
      <c r="A264" s="19" t="s">
        <v>1389</v>
      </c>
      <c r="B264" s="19" t="s">
        <v>1634</v>
      </c>
      <c r="C264" s="19" t="n">
        <v>8</v>
      </c>
      <c r="D264" s="17" t="s">
        <v>1556</v>
      </c>
      <c r="E264" s="19" t="n">
        <v>2.35254632767053</v>
      </c>
      <c r="F264" s="17" t="s">
        <v>1635</v>
      </c>
      <c r="G264" s="17" t="s">
        <v>1104</v>
      </c>
      <c r="H264" s="19"/>
    </row>
    <row r="265" customFormat="false" ht="15" hidden="false" customHeight="false" outlineLevel="0" collapsed="false">
      <c r="A265" s="19" t="s">
        <v>1389</v>
      </c>
      <c r="B265" s="19" t="s">
        <v>1636</v>
      </c>
      <c r="C265" s="19" t="n">
        <v>8</v>
      </c>
      <c r="D265" s="19" t="s">
        <v>753</v>
      </c>
      <c r="E265" s="19" t="n">
        <v>11.5000647392209</v>
      </c>
      <c r="F265" s="17" t="s">
        <v>1637</v>
      </c>
      <c r="G265" s="17" t="s">
        <v>1104</v>
      </c>
      <c r="H265" s="19"/>
    </row>
    <row r="266" customFormat="false" ht="15" hidden="false" customHeight="false" outlineLevel="0" collapsed="false">
      <c r="A266" s="19" t="s">
        <v>1389</v>
      </c>
      <c r="B266" s="19" t="s">
        <v>1638</v>
      </c>
      <c r="C266" s="19" t="n">
        <v>8</v>
      </c>
      <c r="D266" s="17" t="s">
        <v>755</v>
      </c>
      <c r="E266" s="19" t="n">
        <v>1.50187163616098</v>
      </c>
      <c r="F266" s="17" t="s">
        <v>1639</v>
      </c>
      <c r="G266" s="17" t="s">
        <v>1104</v>
      </c>
      <c r="H266" s="19"/>
    </row>
    <row r="267" customFormat="false" ht="15" hidden="false" customHeight="false" outlineLevel="0" collapsed="false">
      <c r="A267" s="19" t="s">
        <v>1389</v>
      </c>
      <c r="B267" s="19" t="s">
        <v>1640</v>
      </c>
      <c r="C267" s="19" t="n">
        <v>8</v>
      </c>
      <c r="D267" s="17" t="s">
        <v>1556</v>
      </c>
      <c r="E267" s="19" t="n">
        <v>3.68780273586978</v>
      </c>
      <c r="F267" s="17" t="s">
        <v>1641</v>
      </c>
      <c r="G267" s="17" t="s">
        <v>1104</v>
      </c>
      <c r="H267" s="19"/>
    </row>
    <row r="268" customFormat="false" ht="15" hidden="false" customHeight="false" outlineLevel="0" collapsed="false">
      <c r="A268" s="19" t="s">
        <v>1389</v>
      </c>
      <c r="B268" s="19" t="s">
        <v>1642</v>
      </c>
      <c r="C268" s="19" t="n">
        <v>8</v>
      </c>
      <c r="D268" s="19" t="s">
        <v>753</v>
      </c>
      <c r="E268" s="19" t="n">
        <v>22.0145198367446</v>
      </c>
      <c r="F268" s="17" t="s">
        <v>1643</v>
      </c>
      <c r="G268" s="17" t="s">
        <v>1104</v>
      </c>
      <c r="H268" s="19"/>
    </row>
    <row r="269" customFormat="false" ht="15" hidden="false" customHeight="false" outlineLevel="0" collapsed="false">
      <c r="A269" s="19" t="s">
        <v>1389</v>
      </c>
      <c r="B269" s="19" t="s">
        <v>1644</v>
      </c>
      <c r="C269" s="19" t="n">
        <v>8</v>
      </c>
      <c r="D269" s="17" t="s">
        <v>755</v>
      </c>
      <c r="E269" s="19" t="n">
        <v>2.32792243821144</v>
      </c>
      <c r="F269" s="17" t="s">
        <v>1645</v>
      </c>
      <c r="G269" s="17" t="s">
        <v>1104</v>
      </c>
      <c r="H269" s="19"/>
    </row>
    <row r="270" customFormat="false" ht="15" hidden="false" customHeight="false" outlineLevel="0" collapsed="false">
      <c r="A270" s="19" t="s">
        <v>1421</v>
      </c>
      <c r="B270" s="19" t="s">
        <v>1120</v>
      </c>
      <c r="C270" s="19" t="n">
        <v>8</v>
      </c>
      <c r="D270" s="17" t="s">
        <v>1646</v>
      </c>
      <c r="E270" s="19" t="n">
        <v>0.2214</v>
      </c>
      <c r="F270" s="17" t="s">
        <v>1647</v>
      </c>
      <c r="G270" s="17" t="s">
        <v>1104</v>
      </c>
      <c r="H270" s="19"/>
    </row>
    <row r="271" customFormat="false" ht="15" hidden="false" customHeight="false" outlineLevel="0" collapsed="false">
      <c r="A271" s="19" t="s">
        <v>1421</v>
      </c>
      <c r="B271" s="19" t="s">
        <v>1147</v>
      </c>
      <c r="C271" s="19" t="n">
        <v>8</v>
      </c>
      <c r="D271" s="17" t="s">
        <v>1648</v>
      </c>
      <c r="E271" s="19" t="n">
        <v>1</v>
      </c>
      <c r="F271" s="17" t="s">
        <v>1649</v>
      </c>
      <c r="G271" s="17" t="s">
        <v>1104</v>
      </c>
      <c r="H271" s="19"/>
    </row>
    <row r="272" customFormat="false" ht="15" hidden="false" customHeight="false" outlineLevel="0" collapsed="false">
      <c r="A272" s="19" t="s">
        <v>1421</v>
      </c>
      <c r="B272" s="19" t="s">
        <v>1650</v>
      </c>
      <c r="C272" s="19" t="n">
        <v>8</v>
      </c>
      <c r="D272" s="19" t="s">
        <v>1651</v>
      </c>
      <c r="E272" s="19" t="n">
        <v>1</v>
      </c>
      <c r="F272" s="17" t="s">
        <v>1652</v>
      </c>
      <c r="G272" s="17" t="s">
        <v>1104</v>
      </c>
      <c r="H272" s="19"/>
    </row>
    <row r="273" customFormat="false" ht="15" hidden="false" customHeight="false" outlineLevel="0" collapsed="false">
      <c r="A273" s="19" t="s">
        <v>1421</v>
      </c>
      <c r="B273" s="19" t="s">
        <v>1274</v>
      </c>
      <c r="C273" s="19" t="n">
        <v>8</v>
      </c>
      <c r="D273" s="19" t="s">
        <v>1653</v>
      </c>
      <c r="E273" s="19" t="n">
        <v>1</v>
      </c>
      <c r="F273" s="17" t="s">
        <v>1654</v>
      </c>
      <c r="G273" s="17" t="s">
        <v>1104</v>
      </c>
      <c r="H273" s="19"/>
    </row>
    <row r="274" customFormat="false" ht="15" hidden="false" customHeight="false" outlineLevel="0" collapsed="false">
      <c r="A274" s="19" t="s">
        <v>1421</v>
      </c>
      <c r="B274" s="19" t="s">
        <v>1655</v>
      </c>
      <c r="C274" s="19" t="n">
        <v>8</v>
      </c>
      <c r="D274" s="19" t="s">
        <v>1656</v>
      </c>
      <c r="E274" s="19" t="n">
        <v>1</v>
      </c>
      <c r="F274" s="17" t="s">
        <v>1657</v>
      </c>
      <c r="G274" s="17" t="s">
        <v>1104</v>
      </c>
      <c r="H274" s="19"/>
    </row>
    <row r="275" customFormat="false" ht="15" hidden="false" customHeight="false" outlineLevel="0" collapsed="false">
      <c r="A275" s="19" t="s">
        <v>1421</v>
      </c>
      <c r="B275" s="19" t="s">
        <v>1658</v>
      </c>
      <c r="C275" s="19" t="n">
        <v>8</v>
      </c>
      <c r="D275" s="19" t="s">
        <v>1659</v>
      </c>
      <c r="E275" s="19" t="n">
        <v>0.4</v>
      </c>
      <c r="F275" s="17" t="s">
        <v>1660</v>
      </c>
      <c r="G275" s="17" t="s">
        <v>1104</v>
      </c>
      <c r="H275" s="19"/>
    </row>
    <row r="276" customFormat="false" ht="15" hidden="false" customHeight="false" outlineLevel="0" collapsed="false">
      <c r="A276" s="19" t="s">
        <v>1421</v>
      </c>
      <c r="B276" s="19" t="s">
        <v>1661</v>
      </c>
      <c r="C276" s="19" t="n">
        <v>8</v>
      </c>
      <c r="D276" s="19" t="s">
        <v>1662</v>
      </c>
      <c r="E276" s="19" t="n">
        <v>0.45</v>
      </c>
      <c r="F276" s="17" t="s">
        <v>1663</v>
      </c>
      <c r="G276" s="17" t="s">
        <v>1104</v>
      </c>
      <c r="H276" s="19"/>
    </row>
    <row r="277" customFormat="false" ht="15" hidden="false" customHeight="false" outlineLevel="0" collapsed="false">
      <c r="A277" s="19" t="s">
        <v>1421</v>
      </c>
      <c r="B277" s="19" t="s">
        <v>1664</v>
      </c>
      <c r="C277" s="19" t="n">
        <v>8</v>
      </c>
      <c r="D277" s="19" t="s">
        <v>1665</v>
      </c>
      <c r="E277" s="19" t="n">
        <v>0.15</v>
      </c>
      <c r="F277" s="17" t="s">
        <v>1666</v>
      </c>
      <c r="G277" s="17" t="s">
        <v>1104</v>
      </c>
      <c r="H277" s="19"/>
    </row>
    <row r="278" customFormat="false" ht="15" hidden="false" customHeight="false" outlineLevel="0" collapsed="false">
      <c r="A278" s="55" t="s">
        <v>1421</v>
      </c>
      <c r="B278" s="55" t="s">
        <v>1280</v>
      </c>
      <c r="C278" s="55" t="n">
        <v>8</v>
      </c>
      <c r="D278" s="66" t="s">
        <v>1667</v>
      </c>
      <c r="E278" s="55" t="n">
        <v>1</v>
      </c>
      <c r="F278" s="55"/>
      <c r="G278" s="66" t="s">
        <v>1122</v>
      </c>
      <c r="H278" s="55"/>
    </row>
    <row r="279" customFormat="false" ht="15" hidden="false" customHeight="false" outlineLevel="0" collapsed="false">
      <c r="A279" s="19" t="s">
        <v>1421</v>
      </c>
      <c r="B279" s="19" t="s">
        <v>1668</v>
      </c>
      <c r="C279" s="19" t="n">
        <v>8</v>
      </c>
      <c r="D279" s="17" t="s">
        <v>1646</v>
      </c>
      <c r="E279" s="19" t="n">
        <v>0.2214</v>
      </c>
      <c r="F279" s="17" t="s">
        <v>1647</v>
      </c>
      <c r="G279" s="17" t="s">
        <v>1104</v>
      </c>
      <c r="H279" s="19"/>
    </row>
    <row r="280" customFormat="false" ht="15" hidden="false" customHeight="false" outlineLevel="0" collapsed="false">
      <c r="A280" s="19" t="s">
        <v>1421</v>
      </c>
      <c r="B280" s="19" t="s">
        <v>1170</v>
      </c>
      <c r="C280" s="19" t="n">
        <v>8</v>
      </c>
      <c r="D280" s="17" t="s">
        <v>1648</v>
      </c>
      <c r="E280" s="19" t="n">
        <v>1</v>
      </c>
      <c r="F280" s="17" t="s">
        <v>1669</v>
      </c>
      <c r="G280" s="17" t="s">
        <v>1104</v>
      </c>
      <c r="H280" s="19"/>
    </row>
    <row r="281" customFormat="false" ht="15" hidden="false" customHeight="false" outlineLevel="0" collapsed="false">
      <c r="A281" s="19" t="s">
        <v>1421</v>
      </c>
      <c r="B281" s="19" t="s">
        <v>1670</v>
      </c>
      <c r="C281" s="19" t="n">
        <v>8</v>
      </c>
      <c r="D281" s="19" t="s">
        <v>1651</v>
      </c>
      <c r="E281" s="19" t="n">
        <v>1</v>
      </c>
      <c r="F281" s="17" t="s">
        <v>1671</v>
      </c>
      <c r="G281" s="17" t="s">
        <v>1104</v>
      </c>
      <c r="H281" s="19"/>
    </row>
    <row r="282" customFormat="false" ht="15" hidden="false" customHeight="false" outlineLevel="0" collapsed="false">
      <c r="A282" s="19" t="s">
        <v>1421</v>
      </c>
      <c r="B282" s="19" t="s">
        <v>1287</v>
      </c>
      <c r="C282" s="19" t="n">
        <v>8</v>
      </c>
      <c r="D282" s="19" t="s">
        <v>1653</v>
      </c>
      <c r="E282" s="19" t="n">
        <v>1</v>
      </c>
      <c r="F282" s="17" t="s">
        <v>1672</v>
      </c>
      <c r="G282" s="17" t="s">
        <v>1104</v>
      </c>
      <c r="H282" s="19"/>
    </row>
    <row r="283" customFormat="false" ht="15" hidden="false" customHeight="false" outlineLevel="0" collapsed="false">
      <c r="A283" s="19" t="s">
        <v>1421</v>
      </c>
      <c r="B283" s="19" t="s">
        <v>1673</v>
      </c>
      <c r="C283" s="19" t="n">
        <v>8</v>
      </c>
      <c r="D283" s="19" t="s">
        <v>1656</v>
      </c>
      <c r="E283" s="19" t="n">
        <v>1</v>
      </c>
      <c r="F283" s="17" t="s">
        <v>1674</v>
      </c>
      <c r="G283" s="17" t="s">
        <v>1104</v>
      </c>
      <c r="H283" s="19"/>
    </row>
    <row r="284" customFormat="false" ht="15" hidden="false" customHeight="false" outlineLevel="0" collapsed="false">
      <c r="A284" s="19" t="s">
        <v>1421</v>
      </c>
      <c r="B284" s="19" t="s">
        <v>1675</v>
      </c>
      <c r="C284" s="19" t="n">
        <v>8</v>
      </c>
      <c r="D284" s="19" t="s">
        <v>1659</v>
      </c>
      <c r="E284" s="19" t="n">
        <v>0.4</v>
      </c>
      <c r="F284" s="17" t="s">
        <v>1676</v>
      </c>
      <c r="G284" s="17" t="s">
        <v>1104</v>
      </c>
      <c r="H284" s="19"/>
    </row>
    <row r="285" customFormat="false" ht="15" hidden="false" customHeight="false" outlineLevel="0" collapsed="false">
      <c r="A285" s="19" t="s">
        <v>1421</v>
      </c>
      <c r="B285" s="19" t="s">
        <v>1677</v>
      </c>
      <c r="C285" s="19" t="n">
        <v>8</v>
      </c>
      <c r="D285" s="19" t="s">
        <v>1662</v>
      </c>
      <c r="E285" s="19" t="n">
        <v>0.45</v>
      </c>
      <c r="F285" s="17" t="s">
        <v>1678</v>
      </c>
      <c r="G285" s="17" t="s">
        <v>1104</v>
      </c>
      <c r="H285" s="19"/>
    </row>
    <row r="286" customFormat="false" ht="15" hidden="false" customHeight="false" outlineLevel="0" collapsed="false">
      <c r="A286" s="19" t="s">
        <v>1421</v>
      </c>
      <c r="B286" s="19" t="s">
        <v>1679</v>
      </c>
      <c r="C286" s="19" t="n">
        <v>8</v>
      </c>
      <c r="D286" s="19" t="s">
        <v>1665</v>
      </c>
      <c r="E286" s="19" t="n">
        <v>0.15</v>
      </c>
      <c r="F286" s="17" t="s">
        <v>1680</v>
      </c>
      <c r="G286" s="17" t="s">
        <v>1104</v>
      </c>
      <c r="H286" s="19"/>
    </row>
    <row r="287" customFormat="false" ht="15" hidden="false" customHeight="false" outlineLevel="0" collapsed="false">
      <c r="A287" s="55" t="s">
        <v>1421</v>
      </c>
      <c r="B287" s="55" t="s">
        <v>1681</v>
      </c>
      <c r="C287" s="55" t="n">
        <v>8</v>
      </c>
      <c r="D287" s="66" t="s">
        <v>1667</v>
      </c>
      <c r="E287" s="55" t="n">
        <v>2</v>
      </c>
      <c r="F287" s="55"/>
      <c r="G287" s="66" t="s">
        <v>1122</v>
      </c>
      <c r="H287" s="55"/>
    </row>
    <row r="288" customFormat="false" ht="15" hidden="false" customHeight="false" outlineLevel="0" collapsed="false">
      <c r="A288" s="19" t="s">
        <v>1421</v>
      </c>
      <c r="B288" s="19" t="s">
        <v>1682</v>
      </c>
      <c r="C288" s="19" t="n">
        <v>8</v>
      </c>
      <c r="D288" s="17" t="s">
        <v>1646</v>
      </c>
      <c r="E288" s="19" t="n">
        <v>0.2214</v>
      </c>
      <c r="F288" s="17" t="s">
        <v>1647</v>
      </c>
      <c r="G288" s="17" t="s">
        <v>1104</v>
      </c>
      <c r="H288" s="19"/>
    </row>
    <row r="289" customFormat="false" ht="15" hidden="false" customHeight="false" outlineLevel="0" collapsed="false">
      <c r="A289" s="19" t="s">
        <v>1421</v>
      </c>
      <c r="B289" s="19" t="s">
        <v>1178</v>
      </c>
      <c r="C289" s="19" t="n">
        <v>8</v>
      </c>
      <c r="D289" s="17" t="s">
        <v>1648</v>
      </c>
      <c r="E289" s="19" t="n">
        <v>1</v>
      </c>
      <c r="F289" s="17" t="s">
        <v>1683</v>
      </c>
      <c r="G289" s="17" t="s">
        <v>1104</v>
      </c>
      <c r="H289" s="19"/>
    </row>
    <row r="290" customFormat="false" ht="15" hidden="false" customHeight="false" outlineLevel="0" collapsed="false">
      <c r="A290" s="19" t="s">
        <v>1421</v>
      </c>
      <c r="B290" s="19" t="s">
        <v>1684</v>
      </c>
      <c r="C290" s="19" t="n">
        <v>8</v>
      </c>
      <c r="D290" s="19" t="s">
        <v>1651</v>
      </c>
      <c r="E290" s="19" t="n">
        <v>1</v>
      </c>
      <c r="F290" s="17" t="s">
        <v>1685</v>
      </c>
      <c r="G290" s="17" t="s">
        <v>1104</v>
      </c>
      <c r="H290" s="19"/>
    </row>
    <row r="291" customFormat="false" ht="15" hidden="false" customHeight="false" outlineLevel="0" collapsed="false">
      <c r="A291" s="19" t="s">
        <v>1421</v>
      </c>
      <c r="B291" s="19" t="s">
        <v>1291</v>
      </c>
      <c r="C291" s="19" t="n">
        <v>8</v>
      </c>
      <c r="D291" s="19" t="s">
        <v>1653</v>
      </c>
      <c r="E291" s="19" t="n">
        <v>1</v>
      </c>
      <c r="F291" s="17" t="s">
        <v>1686</v>
      </c>
      <c r="G291" s="17" t="s">
        <v>1104</v>
      </c>
      <c r="H291" s="19"/>
    </row>
    <row r="292" customFormat="false" ht="15" hidden="false" customHeight="false" outlineLevel="0" collapsed="false">
      <c r="A292" s="19" t="s">
        <v>1421</v>
      </c>
      <c r="B292" s="19" t="s">
        <v>1687</v>
      </c>
      <c r="C292" s="19" t="n">
        <v>8</v>
      </c>
      <c r="D292" s="19" t="s">
        <v>1656</v>
      </c>
      <c r="E292" s="19" t="n">
        <v>1</v>
      </c>
      <c r="F292" s="17" t="s">
        <v>1688</v>
      </c>
      <c r="G292" s="17" t="s">
        <v>1104</v>
      </c>
      <c r="H292" s="19"/>
    </row>
    <row r="293" customFormat="false" ht="15" hidden="false" customHeight="false" outlineLevel="0" collapsed="false">
      <c r="A293" s="19" t="s">
        <v>1421</v>
      </c>
      <c r="B293" s="19" t="s">
        <v>1689</v>
      </c>
      <c r="C293" s="19" t="n">
        <v>8</v>
      </c>
      <c r="D293" s="19" t="s">
        <v>1659</v>
      </c>
      <c r="E293" s="19" t="n">
        <v>0.4</v>
      </c>
      <c r="F293" s="17" t="s">
        <v>1690</v>
      </c>
      <c r="G293" s="17" t="s">
        <v>1104</v>
      </c>
      <c r="H293" s="19"/>
    </row>
    <row r="294" customFormat="false" ht="15" hidden="false" customHeight="false" outlineLevel="0" collapsed="false">
      <c r="A294" s="19" t="s">
        <v>1421</v>
      </c>
      <c r="B294" s="19" t="s">
        <v>1691</v>
      </c>
      <c r="C294" s="19" t="n">
        <v>8</v>
      </c>
      <c r="D294" s="19" t="s">
        <v>1662</v>
      </c>
      <c r="E294" s="19" t="n">
        <v>0.45</v>
      </c>
      <c r="F294" s="17" t="s">
        <v>1692</v>
      </c>
      <c r="G294" s="17" t="s">
        <v>1104</v>
      </c>
      <c r="H294" s="19"/>
    </row>
    <row r="295" customFormat="false" ht="15" hidden="false" customHeight="false" outlineLevel="0" collapsed="false">
      <c r="A295" s="19" t="s">
        <v>1421</v>
      </c>
      <c r="B295" s="19" t="s">
        <v>1693</v>
      </c>
      <c r="C295" s="19" t="n">
        <v>8</v>
      </c>
      <c r="D295" s="19" t="s">
        <v>1665</v>
      </c>
      <c r="E295" s="19" t="n">
        <v>0.15</v>
      </c>
      <c r="F295" s="17" t="s">
        <v>1694</v>
      </c>
      <c r="G295" s="17" t="s">
        <v>1104</v>
      </c>
      <c r="H295" s="19"/>
    </row>
    <row r="296" customFormat="false" ht="15" hidden="false" customHeight="false" outlineLevel="0" collapsed="false">
      <c r="A296" s="55" t="s">
        <v>1421</v>
      </c>
      <c r="B296" s="55" t="s">
        <v>1695</v>
      </c>
      <c r="C296" s="55" t="n">
        <v>8</v>
      </c>
      <c r="D296" s="66" t="s">
        <v>1667</v>
      </c>
      <c r="E296" s="55" t="n">
        <v>3</v>
      </c>
      <c r="F296" s="55"/>
      <c r="G296" s="66" t="s">
        <v>1122</v>
      </c>
      <c r="H296" s="55"/>
    </row>
    <row r="297" customFormat="false" ht="15" hidden="false" customHeight="false" outlineLevel="0" collapsed="false">
      <c r="A297" s="19" t="s">
        <v>1421</v>
      </c>
      <c r="B297" s="19" t="s">
        <v>1696</v>
      </c>
      <c r="C297" s="19" t="n">
        <v>8</v>
      </c>
      <c r="D297" s="17" t="s">
        <v>1646</v>
      </c>
      <c r="E297" s="19" t="n">
        <v>0.2214</v>
      </c>
      <c r="F297" s="17" t="s">
        <v>1647</v>
      </c>
      <c r="G297" s="17" t="s">
        <v>1104</v>
      </c>
      <c r="H297" s="19"/>
    </row>
    <row r="298" customFormat="false" ht="15" hidden="false" customHeight="false" outlineLevel="0" collapsed="false">
      <c r="A298" s="19" t="s">
        <v>1421</v>
      </c>
      <c r="B298" s="19" t="s">
        <v>1186</v>
      </c>
      <c r="C298" s="19" t="n">
        <v>8</v>
      </c>
      <c r="D298" s="17" t="s">
        <v>1648</v>
      </c>
      <c r="E298" s="19" t="n">
        <v>1</v>
      </c>
      <c r="F298" s="17" t="s">
        <v>1697</v>
      </c>
      <c r="G298" s="17" t="s">
        <v>1104</v>
      </c>
      <c r="H298" s="19"/>
    </row>
    <row r="299" customFormat="false" ht="15" hidden="false" customHeight="false" outlineLevel="0" collapsed="false">
      <c r="A299" s="19" t="s">
        <v>1421</v>
      </c>
      <c r="B299" s="19" t="s">
        <v>1698</v>
      </c>
      <c r="C299" s="19" t="n">
        <v>8</v>
      </c>
      <c r="D299" s="19" t="s">
        <v>1651</v>
      </c>
      <c r="E299" s="19" t="n">
        <v>1</v>
      </c>
      <c r="F299" s="17" t="s">
        <v>1699</v>
      </c>
      <c r="G299" s="17" t="s">
        <v>1104</v>
      </c>
      <c r="H299" s="19"/>
    </row>
    <row r="300" customFormat="false" ht="15" hidden="false" customHeight="false" outlineLevel="0" collapsed="false">
      <c r="A300" s="19" t="s">
        <v>1421</v>
      </c>
      <c r="B300" s="19" t="s">
        <v>1295</v>
      </c>
      <c r="C300" s="19" t="n">
        <v>8</v>
      </c>
      <c r="D300" s="19" t="s">
        <v>1653</v>
      </c>
      <c r="E300" s="19" t="n">
        <v>1</v>
      </c>
      <c r="F300" s="17" t="s">
        <v>1700</v>
      </c>
      <c r="G300" s="17" t="s">
        <v>1104</v>
      </c>
      <c r="H300" s="19"/>
    </row>
    <row r="301" customFormat="false" ht="15" hidden="false" customHeight="false" outlineLevel="0" collapsed="false">
      <c r="A301" s="19" t="s">
        <v>1421</v>
      </c>
      <c r="B301" s="19" t="s">
        <v>1701</v>
      </c>
      <c r="C301" s="19" t="n">
        <v>8</v>
      </c>
      <c r="D301" s="19" t="s">
        <v>1656</v>
      </c>
      <c r="E301" s="19" t="n">
        <v>1</v>
      </c>
      <c r="F301" s="17" t="s">
        <v>1702</v>
      </c>
      <c r="G301" s="17" t="s">
        <v>1104</v>
      </c>
      <c r="H301" s="19"/>
    </row>
    <row r="302" customFormat="false" ht="15" hidden="false" customHeight="false" outlineLevel="0" collapsed="false">
      <c r="A302" s="19" t="s">
        <v>1421</v>
      </c>
      <c r="B302" s="19" t="s">
        <v>1703</v>
      </c>
      <c r="C302" s="19" t="n">
        <v>8</v>
      </c>
      <c r="D302" s="19" t="s">
        <v>1659</v>
      </c>
      <c r="E302" s="19" t="n">
        <v>0.4</v>
      </c>
      <c r="F302" s="17" t="s">
        <v>1704</v>
      </c>
      <c r="G302" s="17" t="s">
        <v>1104</v>
      </c>
      <c r="H302" s="19"/>
    </row>
    <row r="303" customFormat="false" ht="15" hidden="false" customHeight="false" outlineLevel="0" collapsed="false">
      <c r="A303" s="19" t="s">
        <v>1421</v>
      </c>
      <c r="B303" s="19" t="s">
        <v>1705</v>
      </c>
      <c r="C303" s="19" t="n">
        <v>8</v>
      </c>
      <c r="D303" s="19" t="s">
        <v>1662</v>
      </c>
      <c r="E303" s="19" t="n">
        <v>0.45</v>
      </c>
      <c r="F303" s="17" t="s">
        <v>1706</v>
      </c>
      <c r="G303" s="17" t="s">
        <v>1104</v>
      </c>
      <c r="H303" s="19"/>
    </row>
    <row r="304" customFormat="false" ht="15" hidden="false" customHeight="false" outlineLevel="0" collapsed="false">
      <c r="A304" s="19" t="s">
        <v>1421</v>
      </c>
      <c r="B304" s="19" t="s">
        <v>1707</v>
      </c>
      <c r="C304" s="19" t="n">
        <v>8</v>
      </c>
      <c r="D304" s="19" t="s">
        <v>1665</v>
      </c>
      <c r="E304" s="19" t="n">
        <v>0.15</v>
      </c>
      <c r="F304" s="17" t="s">
        <v>1708</v>
      </c>
      <c r="G304" s="17" t="s">
        <v>1104</v>
      </c>
      <c r="H304" s="19"/>
    </row>
    <row r="305" customFormat="false" ht="15" hidden="false" customHeight="false" outlineLevel="0" collapsed="false">
      <c r="A305" s="55" t="s">
        <v>1421</v>
      </c>
      <c r="B305" s="55" t="s">
        <v>1709</v>
      </c>
      <c r="C305" s="55" t="n">
        <v>8</v>
      </c>
      <c r="D305" s="66" t="s">
        <v>1667</v>
      </c>
      <c r="E305" s="55" t="n">
        <v>4</v>
      </c>
      <c r="F305" s="55"/>
      <c r="G305" s="66" t="s">
        <v>1122</v>
      </c>
      <c r="H305" s="55"/>
    </row>
    <row r="306" customFormat="false" ht="15" hidden="false" customHeight="false" outlineLevel="0" collapsed="false">
      <c r="A306" s="19" t="s">
        <v>1421</v>
      </c>
      <c r="B306" s="19" t="s">
        <v>1710</v>
      </c>
      <c r="C306" s="19" t="n">
        <v>8</v>
      </c>
      <c r="D306" s="17" t="s">
        <v>1646</v>
      </c>
      <c r="E306" s="19" t="n">
        <v>0.2214</v>
      </c>
      <c r="F306" s="17" t="s">
        <v>1647</v>
      </c>
      <c r="G306" s="17" t="s">
        <v>1104</v>
      </c>
      <c r="H306" s="19"/>
    </row>
    <row r="307" customFormat="false" ht="15" hidden="false" customHeight="false" outlineLevel="0" collapsed="false">
      <c r="A307" s="19" t="s">
        <v>1421</v>
      </c>
      <c r="B307" s="19" t="s">
        <v>1711</v>
      </c>
      <c r="C307" s="19" t="n">
        <v>8</v>
      </c>
      <c r="D307" s="17" t="s">
        <v>1648</v>
      </c>
      <c r="E307" s="19" t="n">
        <v>1</v>
      </c>
      <c r="F307" s="17" t="s">
        <v>1712</v>
      </c>
      <c r="G307" s="17" t="s">
        <v>1104</v>
      </c>
      <c r="H307" s="19"/>
    </row>
    <row r="308" customFormat="false" ht="15" hidden="false" customHeight="false" outlineLevel="0" collapsed="false">
      <c r="A308" s="19" t="s">
        <v>1421</v>
      </c>
      <c r="B308" s="19" t="s">
        <v>1713</v>
      </c>
      <c r="C308" s="19" t="n">
        <v>8</v>
      </c>
      <c r="D308" s="19" t="s">
        <v>1651</v>
      </c>
      <c r="E308" s="19" t="n">
        <v>1</v>
      </c>
      <c r="F308" s="17" t="s">
        <v>1714</v>
      </c>
      <c r="G308" s="17" t="s">
        <v>1104</v>
      </c>
      <c r="H308" s="19"/>
    </row>
    <row r="309" customFormat="false" ht="15" hidden="false" customHeight="false" outlineLevel="0" collapsed="false">
      <c r="A309" s="19" t="s">
        <v>1421</v>
      </c>
      <c r="B309" s="19" t="s">
        <v>1715</v>
      </c>
      <c r="C309" s="19" t="n">
        <v>8</v>
      </c>
      <c r="D309" s="19" t="s">
        <v>1653</v>
      </c>
      <c r="E309" s="19" t="n">
        <v>1</v>
      </c>
      <c r="F309" s="17" t="s">
        <v>1716</v>
      </c>
      <c r="G309" s="17" t="s">
        <v>1104</v>
      </c>
      <c r="H309" s="19"/>
    </row>
    <row r="310" customFormat="false" ht="15" hidden="false" customHeight="false" outlineLevel="0" collapsed="false">
      <c r="A310" s="19" t="s">
        <v>1421</v>
      </c>
      <c r="B310" s="19" t="s">
        <v>1717</v>
      </c>
      <c r="C310" s="19" t="n">
        <v>8</v>
      </c>
      <c r="D310" s="19" t="s">
        <v>1656</v>
      </c>
      <c r="E310" s="19" t="n">
        <v>1</v>
      </c>
      <c r="F310" s="17" t="s">
        <v>1718</v>
      </c>
      <c r="G310" s="17" t="s">
        <v>1104</v>
      </c>
      <c r="H310" s="19"/>
    </row>
    <row r="311" customFormat="false" ht="15" hidden="false" customHeight="false" outlineLevel="0" collapsed="false">
      <c r="A311" s="19" t="s">
        <v>1421</v>
      </c>
      <c r="B311" s="19" t="s">
        <v>1719</v>
      </c>
      <c r="C311" s="19" t="n">
        <v>8</v>
      </c>
      <c r="D311" s="19" t="s">
        <v>1659</v>
      </c>
      <c r="E311" s="19" t="n">
        <v>0.4</v>
      </c>
      <c r="F311" s="17" t="s">
        <v>1720</v>
      </c>
      <c r="G311" s="17" t="s">
        <v>1104</v>
      </c>
      <c r="H311" s="19"/>
    </row>
    <row r="312" customFormat="false" ht="15" hidden="false" customHeight="false" outlineLevel="0" collapsed="false">
      <c r="A312" s="19" t="s">
        <v>1421</v>
      </c>
      <c r="B312" s="19" t="s">
        <v>1721</v>
      </c>
      <c r="C312" s="19" t="n">
        <v>8</v>
      </c>
      <c r="D312" s="19" t="s">
        <v>1662</v>
      </c>
      <c r="E312" s="19" t="n">
        <v>0.45</v>
      </c>
      <c r="F312" s="17" t="s">
        <v>1722</v>
      </c>
      <c r="G312" s="17" t="s">
        <v>1104</v>
      </c>
      <c r="H312" s="19"/>
    </row>
    <row r="313" customFormat="false" ht="15" hidden="false" customHeight="false" outlineLevel="0" collapsed="false">
      <c r="A313" s="19" t="s">
        <v>1421</v>
      </c>
      <c r="B313" s="19" t="s">
        <v>1723</v>
      </c>
      <c r="C313" s="19" t="n">
        <v>8</v>
      </c>
      <c r="D313" s="19" t="s">
        <v>1665</v>
      </c>
      <c r="E313" s="19" t="n">
        <v>0.15</v>
      </c>
      <c r="F313" s="17" t="s">
        <v>1724</v>
      </c>
      <c r="G313" s="17" t="s">
        <v>1104</v>
      </c>
      <c r="H313" s="19"/>
    </row>
    <row r="314" customFormat="false" ht="15" hidden="false" customHeight="false" outlineLevel="0" collapsed="false">
      <c r="A314" s="55" t="s">
        <v>1421</v>
      </c>
      <c r="B314" s="55" t="s">
        <v>1725</v>
      </c>
      <c r="C314" s="55" t="n">
        <v>8</v>
      </c>
      <c r="D314" s="66" t="s">
        <v>1667</v>
      </c>
      <c r="E314" s="55" t="n">
        <v>5</v>
      </c>
      <c r="F314" s="55"/>
      <c r="G314" s="66" t="s">
        <v>1122</v>
      </c>
      <c r="H314" s="55"/>
    </row>
    <row r="315" customFormat="false" ht="15" hidden="false" customHeight="false" outlineLevel="0" collapsed="false">
      <c r="A315" s="19" t="s">
        <v>1421</v>
      </c>
      <c r="B315" s="19" t="s">
        <v>1726</v>
      </c>
      <c r="C315" s="19" t="n">
        <v>8</v>
      </c>
      <c r="D315" s="17" t="s">
        <v>1646</v>
      </c>
      <c r="E315" s="19" t="n">
        <v>0.2214</v>
      </c>
      <c r="F315" s="17" t="s">
        <v>1647</v>
      </c>
      <c r="G315" s="17" t="s">
        <v>1104</v>
      </c>
      <c r="H315" s="19"/>
    </row>
    <row r="316" customFormat="false" ht="15" hidden="false" customHeight="false" outlineLevel="0" collapsed="false">
      <c r="A316" s="19" t="s">
        <v>1421</v>
      </c>
      <c r="B316" s="19" t="s">
        <v>1727</v>
      </c>
      <c r="C316" s="19" t="n">
        <v>8</v>
      </c>
      <c r="D316" s="17" t="s">
        <v>1648</v>
      </c>
      <c r="E316" s="19" t="n">
        <v>1</v>
      </c>
      <c r="F316" s="17" t="s">
        <v>1728</v>
      </c>
      <c r="G316" s="17" t="s">
        <v>1104</v>
      </c>
      <c r="H316" s="19"/>
    </row>
    <row r="317" customFormat="false" ht="15" hidden="false" customHeight="false" outlineLevel="0" collapsed="false">
      <c r="A317" s="19" t="s">
        <v>1421</v>
      </c>
      <c r="B317" s="19" t="s">
        <v>1729</v>
      </c>
      <c r="C317" s="19" t="n">
        <v>8</v>
      </c>
      <c r="D317" s="19" t="s">
        <v>1651</v>
      </c>
      <c r="E317" s="19" t="n">
        <v>1</v>
      </c>
      <c r="F317" s="17" t="s">
        <v>1730</v>
      </c>
      <c r="G317" s="17" t="s">
        <v>1104</v>
      </c>
      <c r="H317" s="19"/>
    </row>
    <row r="318" customFormat="false" ht="15" hidden="false" customHeight="false" outlineLevel="0" collapsed="false">
      <c r="A318" s="19" t="s">
        <v>1421</v>
      </c>
      <c r="B318" s="19" t="s">
        <v>1731</v>
      </c>
      <c r="C318" s="19" t="n">
        <v>8</v>
      </c>
      <c r="D318" s="19" t="s">
        <v>1653</v>
      </c>
      <c r="E318" s="19" t="n">
        <v>1</v>
      </c>
      <c r="F318" s="17" t="s">
        <v>1732</v>
      </c>
      <c r="G318" s="17" t="s">
        <v>1104</v>
      </c>
      <c r="H318" s="19"/>
    </row>
    <row r="319" customFormat="false" ht="15" hidden="false" customHeight="false" outlineLevel="0" collapsed="false">
      <c r="A319" s="19" t="s">
        <v>1421</v>
      </c>
      <c r="B319" s="19" t="s">
        <v>1733</v>
      </c>
      <c r="C319" s="19" t="n">
        <v>8</v>
      </c>
      <c r="D319" s="19" t="s">
        <v>1656</v>
      </c>
      <c r="E319" s="19" t="n">
        <v>1</v>
      </c>
      <c r="F319" s="17" t="s">
        <v>1734</v>
      </c>
      <c r="G319" s="17" t="s">
        <v>1104</v>
      </c>
      <c r="H319" s="19"/>
    </row>
    <row r="320" customFormat="false" ht="15" hidden="false" customHeight="false" outlineLevel="0" collapsed="false">
      <c r="A320" s="19" t="s">
        <v>1421</v>
      </c>
      <c r="B320" s="19" t="s">
        <v>1735</v>
      </c>
      <c r="C320" s="19" t="n">
        <v>8</v>
      </c>
      <c r="D320" s="19" t="s">
        <v>1659</v>
      </c>
      <c r="E320" s="19" t="n">
        <v>0.4</v>
      </c>
      <c r="F320" s="17" t="s">
        <v>1736</v>
      </c>
      <c r="G320" s="17" t="s">
        <v>1104</v>
      </c>
      <c r="H320" s="19"/>
    </row>
    <row r="321" customFormat="false" ht="15" hidden="false" customHeight="false" outlineLevel="0" collapsed="false">
      <c r="A321" s="19" t="s">
        <v>1421</v>
      </c>
      <c r="B321" s="19" t="s">
        <v>1737</v>
      </c>
      <c r="C321" s="19" t="n">
        <v>8</v>
      </c>
      <c r="D321" s="19" t="s">
        <v>1662</v>
      </c>
      <c r="E321" s="19" t="n">
        <v>0.45</v>
      </c>
      <c r="F321" s="17" t="s">
        <v>1738</v>
      </c>
      <c r="G321" s="17" t="s">
        <v>1104</v>
      </c>
      <c r="H321" s="19"/>
    </row>
    <row r="322" customFormat="false" ht="15" hidden="false" customHeight="false" outlineLevel="0" collapsed="false">
      <c r="A322" s="19" t="s">
        <v>1421</v>
      </c>
      <c r="B322" s="19" t="s">
        <v>1739</v>
      </c>
      <c r="C322" s="19" t="n">
        <v>8</v>
      </c>
      <c r="D322" s="19" t="s">
        <v>1665</v>
      </c>
      <c r="E322" s="19" t="n">
        <v>0.15</v>
      </c>
      <c r="F322" s="17" t="s">
        <v>1740</v>
      </c>
      <c r="G322" s="17" t="s">
        <v>1104</v>
      </c>
      <c r="H322" s="19"/>
    </row>
    <row r="323" customFormat="false" ht="15" hidden="false" customHeight="false" outlineLevel="0" collapsed="false">
      <c r="A323" s="55" t="s">
        <v>1421</v>
      </c>
      <c r="B323" s="55" t="s">
        <v>1741</v>
      </c>
      <c r="C323" s="55" t="n">
        <v>8</v>
      </c>
      <c r="D323" s="66" t="s">
        <v>1667</v>
      </c>
      <c r="E323" s="55" t="n">
        <v>6</v>
      </c>
      <c r="F323" s="55"/>
      <c r="G323" s="66" t="s">
        <v>1122</v>
      </c>
      <c r="H323" s="55"/>
    </row>
    <row r="324" customFormat="false" ht="15" hidden="false" customHeight="false" outlineLevel="0" collapsed="false">
      <c r="A324" s="19" t="s">
        <v>1421</v>
      </c>
      <c r="B324" s="19" t="s">
        <v>1742</v>
      </c>
      <c r="C324" s="19" t="n">
        <v>8</v>
      </c>
      <c r="D324" s="17" t="s">
        <v>1646</v>
      </c>
      <c r="E324" s="19" t="n">
        <v>0.2214</v>
      </c>
      <c r="F324" s="17" t="s">
        <v>1647</v>
      </c>
      <c r="G324" s="17" t="s">
        <v>1104</v>
      </c>
      <c r="H324" s="19"/>
    </row>
    <row r="325" customFormat="false" ht="15" hidden="false" customHeight="false" outlineLevel="0" collapsed="false">
      <c r="A325" s="19" t="s">
        <v>1421</v>
      </c>
      <c r="B325" s="19" t="s">
        <v>1743</v>
      </c>
      <c r="C325" s="19" t="n">
        <v>8</v>
      </c>
      <c r="D325" s="17" t="s">
        <v>1648</v>
      </c>
      <c r="E325" s="19" t="n">
        <v>1</v>
      </c>
      <c r="F325" s="17" t="s">
        <v>1744</v>
      </c>
      <c r="G325" s="17" t="s">
        <v>1104</v>
      </c>
      <c r="H325" s="19"/>
    </row>
    <row r="326" customFormat="false" ht="15" hidden="false" customHeight="false" outlineLevel="0" collapsed="false">
      <c r="A326" s="19" t="s">
        <v>1421</v>
      </c>
      <c r="B326" s="19" t="s">
        <v>1745</v>
      </c>
      <c r="C326" s="19" t="n">
        <v>8</v>
      </c>
      <c r="D326" s="19" t="s">
        <v>1651</v>
      </c>
      <c r="E326" s="19" t="n">
        <v>1</v>
      </c>
      <c r="F326" s="17" t="s">
        <v>1746</v>
      </c>
      <c r="G326" s="17" t="s">
        <v>1104</v>
      </c>
      <c r="H326" s="19"/>
    </row>
    <row r="327" customFormat="false" ht="15" hidden="false" customHeight="false" outlineLevel="0" collapsed="false">
      <c r="A327" s="19" t="s">
        <v>1421</v>
      </c>
      <c r="B327" s="19" t="s">
        <v>1747</v>
      </c>
      <c r="C327" s="19" t="n">
        <v>8</v>
      </c>
      <c r="D327" s="19" t="s">
        <v>1653</v>
      </c>
      <c r="E327" s="19" t="n">
        <v>1</v>
      </c>
      <c r="F327" s="17" t="s">
        <v>1748</v>
      </c>
      <c r="G327" s="17" t="s">
        <v>1104</v>
      </c>
      <c r="H327" s="19"/>
    </row>
    <row r="328" customFormat="false" ht="15" hidden="false" customHeight="false" outlineLevel="0" collapsed="false">
      <c r="A328" s="19" t="s">
        <v>1421</v>
      </c>
      <c r="B328" s="19" t="s">
        <v>1749</v>
      </c>
      <c r="C328" s="19" t="n">
        <v>8</v>
      </c>
      <c r="D328" s="19" t="s">
        <v>1656</v>
      </c>
      <c r="E328" s="19" t="n">
        <v>1</v>
      </c>
      <c r="F328" s="17" t="s">
        <v>1750</v>
      </c>
      <c r="G328" s="17" t="s">
        <v>1104</v>
      </c>
      <c r="H328" s="19"/>
    </row>
    <row r="329" customFormat="false" ht="15" hidden="false" customHeight="false" outlineLevel="0" collapsed="false">
      <c r="A329" s="19" t="s">
        <v>1421</v>
      </c>
      <c r="B329" s="19" t="s">
        <v>1751</v>
      </c>
      <c r="C329" s="19" t="n">
        <v>8</v>
      </c>
      <c r="D329" s="19" t="s">
        <v>1659</v>
      </c>
      <c r="E329" s="19" t="n">
        <v>0.4</v>
      </c>
      <c r="F329" s="17" t="s">
        <v>1752</v>
      </c>
      <c r="G329" s="17" t="s">
        <v>1104</v>
      </c>
      <c r="H329" s="19"/>
    </row>
    <row r="330" customFormat="false" ht="15" hidden="false" customHeight="false" outlineLevel="0" collapsed="false">
      <c r="A330" s="19" t="s">
        <v>1421</v>
      </c>
      <c r="B330" s="19" t="s">
        <v>1753</v>
      </c>
      <c r="C330" s="19" t="n">
        <v>8</v>
      </c>
      <c r="D330" s="19" t="s">
        <v>1662</v>
      </c>
      <c r="E330" s="19" t="n">
        <v>0.45</v>
      </c>
      <c r="F330" s="17" t="s">
        <v>1754</v>
      </c>
      <c r="G330" s="17" t="s">
        <v>1104</v>
      </c>
      <c r="H330" s="19"/>
    </row>
    <row r="331" customFormat="false" ht="15" hidden="false" customHeight="false" outlineLevel="0" collapsed="false">
      <c r="A331" s="19" t="s">
        <v>1421</v>
      </c>
      <c r="B331" s="19" t="s">
        <v>1755</v>
      </c>
      <c r="C331" s="19" t="n">
        <v>8</v>
      </c>
      <c r="D331" s="19" t="s">
        <v>1665</v>
      </c>
      <c r="E331" s="19" t="n">
        <v>0.15</v>
      </c>
      <c r="F331" s="17" t="s">
        <v>1756</v>
      </c>
      <c r="G331" s="17" t="s">
        <v>1104</v>
      </c>
      <c r="H331" s="19"/>
    </row>
    <row r="332" customFormat="false" ht="15" hidden="false" customHeight="false" outlineLevel="0" collapsed="false">
      <c r="A332" s="55" t="s">
        <v>1421</v>
      </c>
      <c r="B332" s="55" t="s">
        <v>1757</v>
      </c>
      <c r="C332" s="55" t="n">
        <v>8</v>
      </c>
      <c r="D332" s="66" t="s">
        <v>1667</v>
      </c>
      <c r="E332" s="55" t="n">
        <v>7</v>
      </c>
      <c r="F332" s="55"/>
      <c r="G332" s="66" t="s">
        <v>1122</v>
      </c>
      <c r="H332" s="55"/>
    </row>
    <row r="333" customFormat="false" ht="15" hidden="false" customHeight="false" outlineLevel="0" collapsed="false">
      <c r="A333" s="19" t="s">
        <v>1421</v>
      </c>
      <c r="B333" s="19" t="s">
        <v>1758</v>
      </c>
      <c r="C333" s="19" t="n">
        <v>8</v>
      </c>
      <c r="D333" s="17" t="s">
        <v>1646</v>
      </c>
      <c r="E333" s="19" t="n">
        <v>0.2214</v>
      </c>
      <c r="F333" s="17" t="s">
        <v>1647</v>
      </c>
      <c r="G333" s="17" t="s">
        <v>1104</v>
      </c>
      <c r="H333" s="19"/>
    </row>
    <row r="334" customFormat="false" ht="15" hidden="false" customHeight="false" outlineLevel="0" collapsed="false">
      <c r="A334" s="19" t="s">
        <v>1421</v>
      </c>
      <c r="B334" s="19" t="s">
        <v>1759</v>
      </c>
      <c r="C334" s="19" t="n">
        <v>8</v>
      </c>
      <c r="D334" s="17" t="s">
        <v>1648</v>
      </c>
      <c r="E334" s="19" t="n">
        <v>1</v>
      </c>
      <c r="F334" s="17" t="s">
        <v>1760</v>
      </c>
      <c r="G334" s="17" t="s">
        <v>1104</v>
      </c>
      <c r="H334" s="19"/>
    </row>
    <row r="335" customFormat="false" ht="15" hidden="false" customHeight="false" outlineLevel="0" collapsed="false">
      <c r="A335" s="19" t="s">
        <v>1421</v>
      </c>
      <c r="B335" s="19" t="s">
        <v>1761</v>
      </c>
      <c r="C335" s="19" t="n">
        <v>8</v>
      </c>
      <c r="D335" s="19" t="s">
        <v>1651</v>
      </c>
      <c r="E335" s="19" t="n">
        <v>1</v>
      </c>
      <c r="F335" s="17" t="s">
        <v>1762</v>
      </c>
      <c r="G335" s="17" t="s">
        <v>1104</v>
      </c>
      <c r="H335" s="19"/>
    </row>
    <row r="336" customFormat="false" ht="15" hidden="false" customHeight="false" outlineLevel="0" collapsed="false">
      <c r="A336" s="19" t="s">
        <v>1421</v>
      </c>
      <c r="B336" s="19" t="s">
        <v>1763</v>
      </c>
      <c r="C336" s="19" t="n">
        <v>8</v>
      </c>
      <c r="D336" s="19" t="s">
        <v>1653</v>
      </c>
      <c r="E336" s="19" t="n">
        <v>1</v>
      </c>
      <c r="F336" s="17" t="s">
        <v>1764</v>
      </c>
      <c r="G336" s="17" t="s">
        <v>1104</v>
      </c>
      <c r="H336" s="19"/>
    </row>
    <row r="337" customFormat="false" ht="15" hidden="false" customHeight="false" outlineLevel="0" collapsed="false">
      <c r="A337" s="19" t="s">
        <v>1421</v>
      </c>
      <c r="B337" s="19" t="s">
        <v>1765</v>
      </c>
      <c r="C337" s="19" t="n">
        <v>8</v>
      </c>
      <c r="D337" s="19" t="s">
        <v>1656</v>
      </c>
      <c r="E337" s="19" t="n">
        <v>1</v>
      </c>
      <c r="F337" s="17" t="s">
        <v>1766</v>
      </c>
      <c r="G337" s="17" t="s">
        <v>1104</v>
      </c>
      <c r="H337" s="19"/>
    </row>
    <row r="338" customFormat="false" ht="15" hidden="false" customHeight="false" outlineLevel="0" collapsed="false">
      <c r="A338" s="19" t="s">
        <v>1421</v>
      </c>
      <c r="B338" s="19" t="s">
        <v>1767</v>
      </c>
      <c r="C338" s="19" t="n">
        <v>8</v>
      </c>
      <c r="D338" s="19" t="s">
        <v>1659</v>
      </c>
      <c r="E338" s="19" t="n">
        <v>0.4</v>
      </c>
      <c r="F338" s="17" t="s">
        <v>1768</v>
      </c>
      <c r="G338" s="17" t="s">
        <v>1104</v>
      </c>
      <c r="H338" s="19"/>
    </row>
    <row r="339" customFormat="false" ht="15" hidden="false" customHeight="false" outlineLevel="0" collapsed="false">
      <c r="A339" s="19" t="s">
        <v>1421</v>
      </c>
      <c r="B339" s="19" t="s">
        <v>1769</v>
      </c>
      <c r="C339" s="19" t="n">
        <v>8</v>
      </c>
      <c r="D339" s="19" t="s">
        <v>1662</v>
      </c>
      <c r="E339" s="19" t="n">
        <v>0.45</v>
      </c>
      <c r="F339" s="17" t="s">
        <v>1770</v>
      </c>
      <c r="G339" s="17" t="s">
        <v>1104</v>
      </c>
      <c r="H339" s="19"/>
    </row>
    <row r="340" customFormat="false" ht="15" hidden="false" customHeight="false" outlineLevel="0" collapsed="false">
      <c r="A340" s="19" t="s">
        <v>1421</v>
      </c>
      <c r="B340" s="19" t="s">
        <v>1771</v>
      </c>
      <c r="C340" s="19" t="n">
        <v>8</v>
      </c>
      <c r="D340" s="19" t="s">
        <v>1665</v>
      </c>
      <c r="E340" s="19" t="n">
        <v>0.15</v>
      </c>
      <c r="F340" s="17" t="s">
        <v>1772</v>
      </c>
      <c r="G340" s="17" t="s">
        <v>1104</v>
      </c>
      <c r="H340" s="19"/>
    </row>
    <row r="341" customFormat="false" ht="15" hidden="false" customHeight="false" outlineLevel="0" collapsed="false">
      <c r="A341" s="55" t="s">
        <v>1421</v>
      </c>
      <c r="B341" s="55" t="s">
        <v>1773</v>
      </c>
      <c r="C341" s="55" t="n">
        <v>8</v>
      </c>
      <c r="D341" s="66" t="s">
        <v>1667</v>
      </c>
      <c r="E341" s="55" t="n">
        <v>8</v>
      </c>
      <c r="F341" s="55"/>
      <c r="G341" s="66" t="s">
        <v>1122</v>
      </c>
      <c r="H341" s="55"/>
    </row>
    <row r="342" customFormat="false" ht="15" hidden="false" customHeight="false" outlineLevel="0" collapsed="false">
      <c r="A342" s="19" t="s">
        <v>1421</v>
      </c>
      <c r="B342" s="19" t="s">
        <v>1774</v>
      </c>
      <c r="C342" s="19" t="n">
        <v>8</v>
      </c>
      <c r="D342" s="17" t="s">
        <v>1646</v>
      </c>
      <c r="E342" s="19" t="n">
        <v>0.2214</v>
      </c>
      <c r="F342" s="17" t="s">
        <v>1647</v>
      </c>
      <c r="G342" s="17" t="s">
        <v>1104</v>
      </c>
      <c r="H342" s="19"/>
    </row>
    <row r="343" customFormat="false" ht="15" hidden="false" customHeight="false" outlineLevel="0" collapsed="false">
      <c r="A343" s="19" t="s">
        <v>1421</v>
      </c>
      <c r="B343" s="19" t="s">
        <v>1775</v>
      </c>
      <c r="C343" s="19" t="n">
        <v>8</v>
      </c>
      <c r="D343" s="17" t="s">
        <v>1648</v>
      </c>
      <c r="E343" s="19" t="n">
        <v>1</v>
      </c>
      <c r="F343" s="17" t="s">
        <v>1776</v>
      </c>
      <c r="G343" s="17" t="s">
        <v>1104</v>
      </c>
      <c r="H343" s="19"/>
    </row>
    <row r="344" customFormat="false" ht="15" hidden="false" customHeight="false" outlineLevel="0" collapsed="false">
      <c r="A344" s="19" t="s">
        <v>1421</v>
      </c>
      <c r="B344" s="19" t="s">
        <v>1777</v>
      </c>
      <c r="C344" s="19" t="n">
        <v>8</v>
      </c>
      <c r="D344" s="19" t="s">
        <v>1651</v>
      </c>
      <c r="E344" s="19" t="n">
        <v>1</v>
      </c>
      <c r="F344" s="17" t="s">
        <v>1778</v>
      </c>
      <c r="G344" s="17" t="s">
        <v>1104</v>
      </c>
      <c r="H344" s="19"/>
    </row>
    <row r="345" customFormat="false" ht="15" hidden="false" customHeight="false" outlineLevel="0" collapsed="false">
      <c r="A345" s="19" t="s">
        <v>1421</v>
      </c>
      <c r="B345" s="19" t="s">
        <v>1779</v>
      </c>
      <c r="C345" s="19" t="n">
        <v>8</v>
      </c>
      <c r="D345" s="19" t="s">
        <v>1653</v>
      </c>
      <c r="E345" s="19" t="n">
        <v>1</v>
      </c>
      <c r="F345" s="17" t="s">
        <v>1780</v>
      </c>
      <c r="G345" s="17" t="s">
        <v>1104</v>
      </c>
      <c r="H345" s="19"/>
    </row>
    <row r="346" customFormat="false" ht="15" hidden="false" customHeight="false" outlineLevel="0" collapsed="false">
      <c r="A346" s="19" t="s">
        <v>1421</v>
      </c>
      <c r="B346" s="19" t="s">
        <v>1781</v>
      </c>
      <c r="C346" s="19" t="n">
        <v>8</v>
      </c>
      <c r="D346" s="19" t="s">
        <v>1656</v>
      </c>
      <c r="E346" s="19" t="n">
        <v>1</v>
      </c>
      <c r="F346" s="17" t="s">
        <v>1782</v>
      </c>
      <c r="G346" s="17" t="s">
        <v>1104</v>
      </c>
      <c r="H346" s="19"/>
    </row>
    <row r="347" customFormat="false" ht="15" hidden="false" customHeight="false" outlineLevel="0" collapsed="false">
      <c r="A347" s="19" t="s">
        <v>1421</v>
      </c>
      <c r="B347" s="19" t="s">
        <v>1783</v>
      </c>
      <c r="C347" s="19" t="n">
        <v>8</v>
      </c>
      <c r="D347" s="19" t="s">
        <v>1659</v>
      </c>
      <c r="E347" s="19" t="n">
        <v>0.4</v>
      </c>
      <c r="F347" s="17" t="s">
        <v>1784</v>
      </c>
      <c r="G347" s="17" t="s">
        <v>1104</v>
      </c>
      <c r="H347" s="19"/>
    </row>
    <row r="348" customFormat="false" ht="15" hidden="false" customHeight="false" outlineLevel="0" collapsed="false">
      <c r="A348" s="19" t="s">
        <v>1421</v>
      </c>
      <c r="B348" s="19" t="s">
        <v>1785</v>
      </c>
      <c r="C348" s="19" t="n">
        <v>8</v>
      </c>
      <c r="D348" s="19" t="s">
        <v>1662</v>
      </c>
      <c r="E348" s="19" t="n">
        <v>0.45</v>
      </c>
      <c r="F348" s="17" t="s">
        <v>1786</v>
      </c>
      <c r="G348" s="17" t="s">
        <v>1104</v>
      </c>
      <c r="H348" s="19"/>
    </row>
    <row r="349" customFormat="false" ht="15" hidden="false" customHeight="false" outlineLevel="0" collapsed="false">
      <c r="A349" s="19" t="s">
        <v>1421</v>
      </c>
      <c r="B349" s="19" t="s">
        <v>1787</v>
      </c>
      <c r="C349" s="19" t="n">
        <v>8</v>
      </c>
      <c r="D349" s="19" t="s">
        <v>1665</v>
      </c>
      <c r="E349" s="19" t="n">
        <v>0.15</v>
      </c>
      <c r="F349" s="17" t="s">
        <v>1788</v>
      </c>
      <c r="G349" s="17" t="s">
        <v>1104</v>
      </c>
      <c r="H349" s="19"/>
    </row>
    <row r="350" customFormat="false" ht="15" hidden="false" customHeight="false" outlineLevel="0" collapsed="false">
      <c r="A350" s="55" t="s">
        <v>1421</v>
      </c>
      <c r="B350" s="55" t="s">
        <v>1789</v>
      </c>
      <c r="C350" s="55" t="n">
        <v>8</v>
      </c>
      <c r="D350" s="66" t="s">
        <v>1667</v>
      </c>
      <c r="E350" s="55" t="n">
        <v>9</v>
      </c>
      <c r="F350" s="55"/>
      <c r="G350" s="66" t="s">
        <v>1122</v>
      </c>
      <c r="H350" s="55"/>
    </row>
    <row r="351" customFormat="false" ht="15" hidden="false" customHeight="false" outlineLevel="0" collapsed="false">
      <c r="A351" s="19" t="s">
        <v>1421</v>
      </c>
      <c r="B351" s="19" t="s">
        <v>1790</v>
      </c>
      <c r="C351" s="19" t="n">
        <v>8</v>
      </c>
      <c r="D351" s="17" t="s">
        <v>1646</v>
      </c>
      <c r="E351" s="19" t="n">
        <v>0.2214</v>
      </c>
      <c r="F351" s="17" t="s">
        <v>1647</v>
      </c>
      <c r="G351" s="17" t="s">
        <v>1104</v>
      </c>
      <c r="H351" s="19"/>
    </row>
    <row r="352" customFormat="false" ht="15" hidden="false" customHeight="false" outlineLevel="0" collapsed="false">
      <c r="A352" s="19" t="s">
        <v>1421</v>
      </c>
      <c r="B352" s="19" t="s">
        <v>1791</v>
      </c>
      <c r="C352" s="19" t="n">
        <v>8</v>
      </c>
      <c r="D352" s="17" t="s">
        <v>1648</v>
      </c>
      <c r="E352" s="19" t="n">
        <v>1</v>
      </c>
      <c r="F352" s="17" t="s">
        <v>1792</v>
      </c>
      <c r="G352" s="17" t="s">
        <v>1104</v>
      </c>
      <c r="H352" s="19"/>
    </row>
    <row r="353" customFormat="false" ht="15" hidden="false" customHeight="false" outlineLevel="0" collapsed="false">
      <c r="A353" s="19" t="s">
        <v>1421</v>
      </c>
      <c r="B353" s="19" t="s">
        <v>1793</v>
      </c>
      <c r="C353" s="19" t="n">
        <v>8</v>
      </c>
      <c r="D353" s="19" t="s">
        <v>1651</v>
      </c>
      <c r="E353" s="19" t="n">
        <v>1</v>
      </c>
      <c r="F353" s="17" t="s">
        <v>1794</v>
      </c>
      <c r="G353" s="17" t="s">
        <v>1104</v>
      </c>
      <c r="H353" s="19"/>
    </row>
    <row r="354" customFormat="false" ht="15" hidden="false" customHeight="false" outlineLevel="0" collapsed="false">
      <c r="A354" s="19" t="s">
        <v>1421</v>
      </c>
      <c r="B354" s="19" t="s">
        <v>1795</v>
      </c>
      <c r="C354" s="19" t="n">
        <v>8</v>
      </c>
      <c r="D354" s="19" t="s">
        <v>1653</v>
      </c>
      <c r="E354" s="19" t="n">
        <v>1</v>
      </c>
      <c r="F354" s="17" t="s">
        <v>1796</v>
      </c>
      <c r="G354" s="17" t="s">
        <v>1104</v>
      </c>
      <c r="H354" s="19"/>
    </row>
    <row r="355" customFormat="false" ht="15" hidden="false" customHeight="false" outlineLevel="0" collapsed="false">
      <c r="A355" s="19" t="s">
        <v>1421</v>
      </c>
      <c r="B355" s="19" t="s">
        <v>1797</v>
      </c>
      <c r="C355" s="19" t="n">
        <v>8</v>
      </c>
      <c r="D355" s="19" t="s">
        <v>1656</v>
      </c>
      <c r="E355" s="19" t="n">
        <v>1</v>
      </c>
      <c r="F355" s="17" t="s">
        <v>1798</v>
      </c>
      <c r="G355" s="17" t="s">
        <v>1104</v>
      </c>
      <c r="H355" s="19"/>
    </row>
    <row r="356" customFormat="false" ht="15" hidden="false" customHeight="false" outlineLevel="0" collapsed="false">
      <c r="A356" s="19" t="s">
        <v>1421</v>
      </c>
      <c r="B356" s="19" t="s">
        <v>1799</v>
      </c>
      <c r="C356" s="19" t="n">
        <v>8</v>
      </c>
      <c r="D356" s="19" t="s">
        <v>1659</v>
      </c>
      <c r="E356" s="19" t="n">
        <v>0.4</v>
      </c>
      <c r="F356" s="17" t="s">
        <v>1800</v>
      </c>
      <c r="G356" s="17" t="s">
        <v>1104</v>
      </c>
      <c r="H356" s="19"/>
    </row>
    <row r="357" customFormat="false" ht="15" hidden="false" customHeight="false" outlineLevel="0" collapsed="false">
      <c r="A357" s="19" t="s">
        <v>1421</v>
      </c>
      <c r="B357" s="19" t="s">
        <v>1801</v>
      </c>
      <c r="C357" s="19" t="n">
        <v>8</v>
      </c>
      <c r="D357" s="19" t="s">
        <v>1662</v>
      </c>
      <c r="E357" s="19" t="n">
        <v>0.45</v>
      </c>
      <c r="F357" s="17" t="s">
        <v>1802</v>
      </c>
      <c r="G357" s="17" t="s">
        <v>1104</v>
      </c>
      <c r="H357" s="19"/>
    </row>
    <row r="358" customFormat="false" ht="15" hidden="false" customHeight="false" outlineLevel="0" collapsed="false">
      <c r="A358" s="19" t="s">
        <v>1421</v>
      </c>
      <c r="B358" s="19" t="s">
        <v>1803</v>
      </c>
      <c r="C358" s="19" t="n">
        <v>8</v>
      </c>
      <c r="D358" s="19" t="s">
        <v>1665</v>
      </c>
      <c r="E358" s="19" t="n">
        <v>0.15</v>
      </c>
      <c r="F358" s="17" t="s">
        <v>1804</v>
      </c>
      <c r="G358" s="17" t="s">
        <v>1104</v>
      </c>
      <c r="H358" s="19"/>
    </row>
    <row r="359" customFormat="false" ht="15" hidden="false" customHeight="false" outlineLevel="0" collapsed="false">
      <c r="A359" s="55" t="s">
        <v>1421</v>
      </c>
      <c r="B359" s="55" t="s">
        <v>1805</v>
      </c>
      <c r="C359" s="55" t="n">
        <v>8</v>
      </c>
      <c r="D359" s="66" t="s">
        <v>1667</v>
      </c>
      <c r="E359" s="55" t="n">
        <v>10</v>
      </c>
      <c r="F359" s="55"/>
      <c r="G359" s="66" t="s">
        <v>1122</v>
      </c>
      <c r="H359" s="55"/>
    </row>
    <row r="360" customFormat="false" ht="15" hidden="false" customHeight="false" outlineLevel="0" collapsed="false">
      <c r="A360" s="19" t="s">
        <v>1421</v>
      </c>
      <c r="B360" s="19" t="s">
        <v>1806</v>
      </c>
      <c r="C360" s="19" t="n">
        <v>8</v>
      </c>
      <c r="D360" s="17" t="s">
        <v>1646</v>
      </c>
      <c r="E360" s="19" t="n">
        <v>0.2214</v>
      </c>
      <c r="F360" s="17" t="s">
        <v>1647</v>
      </c>
      <c r="G360" s="17" t="s">
        <v>1104</v>
      </c>
      <c r="H360" s="19"/>
    </row>
    <row r="361" customFormat="false" ht="15" hidden="false" customHeight="false" outlineLevel="0" collapsed="false">
      <c r="A361" s="19" t="s">
        <v>1421</v>
      </c>
      <c r="B361" s="19" t="s">
        <v>1807</v>
      </c>
      <c r="C361" s="19" t="n">
        <v>8</v>
      </c>
      <c r="D361" s="17" t="s">
        <v>1648</v>
      </c>
      <c r="E361" s="19" t="n">
        <v>1</v>
      </c>
      <c r="F361" s="17" t="s">
        <v>1808</v>
      </c>
      <c r="G361" s="17" t="s">
        <v>1104</v>
      </c>
      <c r="H361" s="19"/>
    </row>
    <row r="362" customFormat="false" ht="15" hidden="false" customHeight="false" outlineLevel="0" collapsed="false">
      <c r="A362" s="19" t="s">
        <v>1421</v>
      </c>
      <c r="B362" s="19" t="s">
        <v>1809</v>
      </c>
      <c r="C362" s="19" t="n">
        <v>8</v>
      </c>
      <c r="D362" s="19" t="s">
        <v>1651</v>
      </c>
      <c r="E362" s="19" t="n">
        <v>1</v>
      </c>
      <c r="F362" s="17" t="s">
        <v>1810</v>
      </c>
      <c r="G362" s="17" t="s">
        <v>1104</v>
      </c>
      <c r="H362" s="19"/>
    </row>
    <row r="363" customFormat="false" ht="15" hidden="false" customHeight="false" outlineLevel="0" collapsed="false">
      <c r="A363" s="19" t="s">
        <v>1421</v>
      </c>
      <c r="B363" s="19" t="s">
        <v>1811</v>
      </c>
      <c r="C363" s="19" t="n">
        <v>8</v>
      </c>
      <c r="D363" s="19" t="s">
        <v>1653</v>
      </c>
      <c r="E363" s="19" t="n">
        <v>1</v>
      </c>
      <c r="F363" s="17" t="s">
        <v>1812</v>
      </c>
      <c r="G363" s="17" t="s">
        <v>1104</v>
      </c>
      <c r="H363" s="19"/>
    </row>
    <row r="364" customFormat="false" ht="15" hidden="false" customHeight="false" outlineLevel="0" collapsed="false">
      <c r="A364" s="19" t="s">
        <v>1421</v>
      </c>
      <c r="B364" s="19" t="s">
        <v>1813</v>
      </c>
      <c r="C364" s="19" t="n">
        <v>8</v>
      </c>
      <c r="D364" s="19" t="s">
        <v>1656</v>
      </c>
      <c r="E364" s="19" t="n">
        <v>1</v>
      </c>
      <c r="F364" s="17" t="s">
        <v>1814</v>
      </c>
      <c r="G364" s="17" t="s">
        <v>1104</v>
      </c>
      <c r="H364" s="19"/>
    </row>
    <row r="365" customFormat="false" ht="15" hidden="false" customHeight="false" outlineLevel="0" collapsed="false">
      <c r="A365" s="19" t="s">
        <v>1421</v>
      </c>
      <c r="B365" s="19" t="s">
        <v>1815</v>
      </c>
      <c r="C365" s="19" t="n">
        <v>8</v>
      </c>
      <c r="D365" s="19" t="s">
        <v>1659</v>
      </c>
      <c r="E365" s="19" t="n">
        <v>0.4</v>
      </c>
      <c r="F365" s="17" t="s">
        <v>1816</v>
      </c>
      <c r="G365" s="17" t="s">
        <v>1104</v>
      </c>
      <c r="H365" s="19"/>
    </row>
    <row r="366" customFormat="false" ht="15" hidden="false" customHeight="false" outlineLevel="0" collapsed="false">
      <c r="A366" s="19" t="s">
        <v>1421</v>
      </c>
      <c r="B366" s="19" t="s">
        <v>1817</v>
      </c>
      <c r="C366" s="19" t="n">
        <v>8</v>
      </c>
      <c r="D366" s="19" t="s">
        <v>1662</v>
      </c>
      <c r="E366" s="19" t="n">
        <v>0.45</v>
      </c>
      <c r="F366" s="17" t="s">
        <v>1818</v>
      </c>
      <c r="G366" s="17" t="s">
        <v>1104</v>
      </c>
      <c r="H366" s="19"/>
    </row>
    <row r="367" customFormat="false" ht="15" hidden="false" customHeight="false" outlineLevel="0" collapsed="false">
      <c r="A367" s="19" t="s">
        <v>1421</v>
      </c>
      <c r="B367" s="19" t="s">
        <v>1819</v>
      </c>
      <c r="C367" s="19" t="n">
        <v>8</v>
      </c>
      <c r="D367" s="19" t="s">
        <v>1665</v>
      </c>
      <c r="E367" s="19" t="n">
        <v>0.15</v>
      </c>
      <c r="F367" s="17" t="s">
        <v>1820</v>
      </c>
      <c r="G367" s="17" t="s">
        <v>1104</v>
      </c>
      <c r="H367" s="19"/>
    </row>
    <row r="368" customFormat="false" ht="15" hidden="false" customHeight="false" outlineLevel="0" collapsed="false">
      <c r="A368" s="55" t="s">
        <v>1421</v>
      </c>
      <c r="B368" s="55" t="s">
        <v>1821</v>
      </c>
      <c r="C368" s="55" t="n">
        <v>8</v>
      </c>
      <c r="D368" s="66" t="s">
        <v>1667</v>
      </c>
      <c r="E368" s="55" t="n">
        <v>11</v>
      </c>
      <c r="F368" s="55"/>
      <c r="G368" s="66" t="s">
        <v>1122</v>
      </c>
      <c r="H368" s="55"/>
    </row>
    <row r="369" customFormat="false" ht="15" hidden="false" customHeight="false" outlineLevel="0" collapsed="false">
      <c r="A369" s="19" t="s">
        <v>1421</v>
      </c>
      <c r="B369" s="19" t="s">
        <v>1822</v>
      </c>
      <c r="C369" s="19" t="n">
        <v>8</v>
      </c>
      <c r="D369" s="17" t="s">
        <v>1646</v>
      </c>
      <c r="E369" s="19" t="n">
        <v>0.2214</v>
      </c>
      <c r="F369" s="17" t="s">
        <v>1647</v>
      </c>
      <c r="G369" s="17" t="s">
        <v>1104</v>
      </c>
      <c r="H369" s="19"/>
    </row>
    <row r="370" customFormat="false" ht="15" hidden="false" customHeight="false" outlineLevel="0" collapsed="false">
      <c r="A370" s="19" t="s">
        <v>1421</v>
      </c>
      <c r="B370" s="19" t="s">
        <v>1823</v>
      </c>
      <c r="C370" s="19" t="n">
        <v>8</v>
      </c>
      <c r="D370" s="17" t="s">
        <v>1648</v>
      </c>
      <c r="E370" s="19" t="n">
        <v>1</v>
      </c>
      <c r="F370" s="17" t="s">
        <v>1824</v>
      </c>
      <c r="G370" s="17" t="s">
        <v>1104</v>
      </c>
      <c r="H370" s="19"/>
    </row>
    <row r="371" customFormat="false" ht="15" hidden="false" customHeight="false" outlineLevel="0" collapsed="false">
      <c r="A371" s="19" t="s">
        <v>1421</v>
      </c>
      <c r="B371" s="19" t="s">
        <v>1825</v>
      </c>
      <c r="C371" s="19" t="n">
        <v>8</v>
      </c>
      <c r="D371" s="19" t="s">
        <v>1651</v>
      </c>
      <c r="E371" s="19" t="n">
        <v>1</v>
      </c>
      <c r="F371" s="17" t="s">
        <v>1826</v>
      </c>
      <c r="G371" s="17" t="s">
        <v>1104</v>
      </c>
      <c r="H371" s="19"/>
    </row>
    <row r="372" customFormat="false" ht="15" hidden="false" customHeight="false" outlineLevel="0" collapsed="false">
      <c r="A372" s="19" t="s">
        <v>1421</v>
      </c>
      <c r="B372" s="19" t="s">
        <v>1827</v>
      </c>
      <c r="C372" s="19" t="n">
        <v>8</v>
      </c>
      <c r="D372" s="19" t="s">
        <v>1653</v>
      </c>
      <c r="E372" s="19" t="n">
        <v>1</v>
      </c>
      <c r="F372" s="17" t="s">
        <v>1828</v>
      </c>
      <c r="G372" s="17" t="s">
        <v>1104</v>
      </c>
      <c r="H372" s="19"/>
    </row>
    <row r="373" customFormat="false" ht="15" hidden="false" customHeight="false" outlineLevel="0" collapsed="false">
      <c r="A373" s="19" t="s">
        <v>1421</v>
      </c>
      <c r="B373" s="19" t="s">
        <v>1829</v>
      </c>
      <c r="C373" s="19" t="n">
        <v>8</v>
      </c>
      <c r="D373" s="19" t="s">
        <v>1656</v>
      </c>
      <c r="E373" s="19" t="n">
        <v>1</v>
      </c>
      <c r="F373" s="17" t="s">
        <v>1830</v>
      </c>
      <c r="G373" s="17" t="s">
        <v>1104</v>
      </c>
      <c r="H373" s="19"/>
    </row>
    <row r="374" customFormat="false" ht="15" hidden="false" customHeight="false" outlineLevel="0" collapsed="false">
      <c r="A374" s="19" t="s">
        <v>1421</v>
      </c>
      <c r="B374" s="19" t="s">
        <v>1831</v>
      </c>
      <c r="C374" s="19" t="n">
        <v>8</v>
      </c>
      <c r="D374" s="19" t="s">
        <v>1659</v>
      </c>
      <c r="E374" s="19" t="n">
        <v>0.4</v>
      </c>
      <c r="F374" s="17" t="s">
        <v>1832</v>
      </c>
      <c r="G374" s="17" t="s">
        <v>1104</v>
      </c>
      <c r="H374" s="19"/>
    </row>
    <row r="375" customFormat="false" ht="15" hidden="false" customHeight="false" outlineLevel="0" collapsed="false">
      <c r="A375" s="19" t="s">
        <v>1421</v>
      </c>
      <c r="B375" s="19" t="s">
        <v>1833</v>
      </c>
      <c r="C375" s="19" t="n">
        <v>8</v>
      </c>
      <c r="D375" s="19" t="s">
        <v>1662</v>
      </c>
      <c r="E375" s="19" t="n">
        <v>0.45</v>
      </c>
      <c r="F375" s="17" t="s">
        <v>1834</v>
      </c>
      <c r="G375" s="17" t="s">
        <v>1104</v>
      </c>
      <c r="H375" s="19"/>
    </row>
    <row r="376" customFormat="false" ht="15" hidden="false" customHeight="false" outlineLevel="0" collapsed="false">
      <c r="A376" s="19" t="s">
        <v>1421</v>
      </c>
      <c r="B376" s="19" t="s">
        <v>1835</v>
      </c>
      <c r="C376" s="19" t="n">
        <v>8</v>
      </c>
      <c r="D376" s="19" t="s">
        <v>1665</v>
      </c>
      <c r="E376" s="19" t="n">
        <v>0.15</v>
      </c>
      <c r="F376" s="17" t="s">
        <v>1836</v>
      </c>
      <c r="G376" s="17" t="s">
        <v>1104</v>
      </c>
      <c r="H376" s="19"/>
    </row>
    <row r="377" customFormat="false" ht="15" hidden="false" customHeight="false" outlineLevel="0" collapsed="false">
      <c r="A377" s="55" t="s">
        <v>1421</v>
      </c>
      <c r="B377" s="55" t="s">
        <v>1837</v>
      </c>
      <c r="C377" s="55" t="n">
        <v>8</v>
      </c>
      <c r="D377" s="66" t="s">
        <v>1667</v>
      </c>
      <c r="E377" s="55" t="n">
        <v>12</v>
      </c>
      <c r="F377" s="55"/>
      <c r="G377" s="66" t="s">
        <v>1122</v>
      </c>
      <c r="H377" s="55"/>
    </row>
    <row r="378" customFormat="false" ht="15" hidden="false" customHeight="false" outlineLevel="0" collapsed="false">
      <c r="A378" s="19" t="s">
        <v>1421</v>
      </c>
      <c r="B378" s="19" t="s">
        <v>1838</v>
      </c>
      <c r="C378" s="19" t="n">
        <v>8</v>
      </c>
      <c r="D378" s="17" t="s">
        <v>1646</v>
      </c>
      <c r="E378" s="19" t="n">
        <v>0.2214</v>
      </c>
      <c r="F378" s="17" t="s">
        <v>1647</v>
      </c>
      <c r="G378" s="17" t="s">
        <v>1104</v>
      </c>
      <c r="H378" s="19"/>
    </row>
    <row r="379" customFormat="false" ht="15" hidden="false" customHeight="false" outlineLevel="0" collapsed="false">
      <c r="A379" s="19" t="s">
        <v>1421</v>
      </c>
      <c r="B379" s="19" t="s">
        <v>1839</v>
      </c>
      <c r="C379" s="19" t="n">
        <v>8</v>
      </c>
      <c r="D379" s="17" t="s">
        <v>1648</v>
      </c>
      <c r="E379" s="19" t="n">
        <v>1</v>
      </c>
      <c r="F379" s="17" t="s">
        <v>1840</v>
      </c>
      <c r="G379" s="17" t="s">
        <v>1104</v>
      </c>
      <c r="H379" s="19"/>
    </row>
    <row r="380" customFormat="false" ht="15" hidden="false" customHeight="false" outlineLevel="0" collapsed="false">
      <c r="A380" s="19" t="s">
        <v>1421</v>
      </c>
      <c r="B380" s="19" t="s">
        <v>1841</v>
      </c>
      <c r="C380" s="19" t="n">
        <v>8</v>
      </c>
      <c r="D380" s="19" t="s">
        <v>1651</v>
      </c>
      <c r="E380" s="19" t="n">
        <v>1</v>
      </c>
      <c r="F380" s="17" t="s">
        <v>1842</v>
      </c>
      <c r="G380" s="17" t="s">
        <v>1104</v>
      </c>
      <c r="H380" s="19"/>
    </row>
    <row r="381" customFormat="false" ht="15" hidden="false" customHeight="false" outlineLevel="0" collapsed="false">
      <c r="A381" s="19" t="s">
        <v>1421</v>
      </c>
      <c r="B381" s="19" t="s">
        <v>1843</v>
      </c>
      <c r="C381" s="19" t="n">
        <v>8</v>
      </c>
      <c r="D381" s="19" t="s">
        <v>1653</v>
      </c>
      <c r="E381" s="19" t="n">
        <v>1</v>
      </c>
      <c r="F381" s="17" t="s">
        <v>1844</v>
      </c>
      <c r="G381" s="17" t="s">
        <v>1104</v>
      </c>
      <c r="H381" s="19"/>
    </row>
    <row r="382" customFormat="false" ht="15" hidden="false" customHeight="false" outlineLevel="0" collapsed="false">
      <c r="A382" s="19" t="s">
        <v>1421</v>
      </c>
      <c r="B382" s="19" t="s">
        <v>1845</v>
      </c>
      <c r="C382" s="19" t="n">
        <v>8</v>
      </c>
      <c r="D382" s="19" t="s">
        <v>1656</v>
      </c>
      <c r="E382" s="19" t="n">
        <v>1</v>
      </c>
      <c r="F382" s="17" t="s">
        <v>1846</v>
      </c>
      <c r="G382" s="17" t="s">
        <v>1104</v>
      </c>
      <c r="H382" s="19"/>
    </row>
    <row r="383" customFormat="false" ht="15" hidden="false" customHeight="false" outlineLevel="0" collapsed="false">
      <c r="A383" s="19" t="s">
        <v>1421</v>
      </c>
      <c r="B383" s="19" t="s">
        <v>1847</v>
      </c>
      <c r="C383" s="19" t="n">
        <v>8</v>
      </c>
      <c r="D383" s="19" t="s">
        <v>1659</v>
      </c>
      <c r="E383" s="19" t="n">
        <v>0.4</v>
      </c>
      <c r="F383" s="17" t="s">
        <v>1848</v>
      </c>
      <c r="G383" s="17" t="s">
        <v>1104</v>
      </c>
      <c r="H383" s="19"/>
    </row>
    <row r="384" customFormat="false" ht="15" hidden="false" customHeight="false" outlineLevel="0" collapsed="false">
      <c r="A384" s="19" t="s">
        <v>1421</v>
      </c>
      <c r="B384" s="19" t="s">
        <v>1849</v>
      </c>
      <c r="C384" s="19" t="n">
        <v>8</v>
      </c>
      <c r="D384" s="19" t="s">
        <v>1662</v>
      </c>
      <c r="E384" s="19" t="n">
        <v>0.45</v>
      </c>
      <c r="F384" s="17" t="s">
        <v>1850</v>
      </c>
      <c r="G384" s="17" t="s">
        <v>1104</v>
      </c>
      <c r="H384" s="19"/>
    </row>
    <row r="385" customFormat="false" ht="15" hidden="false" customHeight="false" outlineLevel="0" collapsed="false">
      <c r="A385" s="19" t="s">
        <v>1421</v>
      </c>
      <c r="B385" s="19" t="s">
        <v>1851</v>
      </c>
      <c r="C385" s="19" t="n">
        <v>8</v>
      </c>
      <c r="D385" s="19" t="s">
        <v>1665</v>
      </c>
      <c r="E385" s="19" t="n">
        <v>0.15</v>
      </c>
      <c r="F385" s="17" t="s">
        <v>1852</v>
      </c>
      <c r="G385" s="17" t="s">
        <v>1104</v>
      </c>
      <c r="H385" s="19"/>
    </row>
    <row r="386" customFormat="false" ht="15" hidden="false" customHeight="false" outlineLevel="0" collapsed="false">
      <c r="A386" s="55" t="s">
        <v>1421</v>
      </c>
      <c r="B386" s="55" t="s">
        <v>1853</v>
      </c>
      <c r="C386" s="55" t="n">
        <v>8</v>
      </c>
      <c r="D386" s="66" t="s">
        <v>1667</v>
      </c>
      <c r="E386" s="55" t="n">
        <v>13</v>
      </c>
      <c r="F386" s="55"/>
      <c r="G386" s="66" t="s">
        <v>1122</v>
      </c>
      <c r="H386" s="55"/>
    </row>
    <row r="387" customFormat="false" ht="15" hidden="false" customHeight="false" outlineLevel="0" collapsed="false">
      <c r="A387" s="19" t="s">
        <v>1421</v>
      </c>
      <c r="B387" s="19" t="s">
        <v>1854</v>
      </c>
      <c r="C387" s="19" t="n">
        <v>8</v>
      </c>
      <c r="D387" s="17" t="s">
        <v>1646</v>
      </c>
      <c r="E387" s="19" t="n">
        <v>0.2214</v>
      </c>
      <c r="F387" s="17" t="s">
        <v>1647</v>
      </c>
      <c r="G387" s="17" t="s">
        <v>1104</v>
      </c>
      <c r="H387" s="19"/>
    </row>
    <row r="388" customFormat="false" ht="15" hidden="false" customHeight="false" outlineLevel="0" collapsed="false">
      <c r="A388" s="19" t="s">
        <v>1421</v>
      </c>
      <c r="B388" s="19" t="s">
        <v>1855</v>
      </c>
      <c r="C388" s="19" t="n">
        <v>8</v>
      </c>
      <c r="D388" s="17" t="s">
        <v>1648</v>
      </c>
      <c r="E388" s="19" t="n">
        <v>1</v>
      </c>
      <c r="F388" s="17" t="s">
        <v>1856</v>
      </c>
      <c r="G388" s="17" t="s">
        <v>1104</v>
      </c>
      <c r="H388" s="19"/>
    </row>
    <row r="389" customFormat="false" ht="15" hidden="false" customHeight="false" outlineLevel="0" collapsed="false">
      <c r="A389" s="19" t="s">
        <v>1421</v>
      </c>
      <c r="B389" s="19" t="s">
        <v>1857</v>
      </c>
      <c r="C389" s="19" t="n">
        <v>8</v>
      </c>
      <c r="D389" s="19" t="s">
        <v>1651</v>
      </c>
      <c r="E389" s="19" t="n">
        <v>1</v>
      </c>
      <c r="F389" s="17" t="s">
        <v>1858</v>
      </c>
      <c r="G389" s="17" t="s">
        <v>1104</v>
      </c>
      <c r="H389" s="19"/>
    </row>
    <row r="390" customFormat="false" ht="15" hidden="false" customHeight="false" outlineLevel="0" collapsed="false">
      <c r="A390" s="19" t="s">
        <v>1421</v>
      </c>
      <c r="B390" s="19" t="s">
        <v>1859</v>
      </c>
      <c r="C390" s="19" t="n">
        <v>8</v>
      </c>
      <c r="D390" s="19" t="s">
        <v>1653</v>
      </c>
      <c r="E390" s="19" t="n">
        <v>1</v>
      </c>
      <c r="F390" s="17" t="s">
        <v>1860</v>
      </c>
      <c r="G390" s="17" t="s">
        <v>1104</v>
      </c>
      <c r="H390" s="19"/>
    </row>
    <row r="391" customFormat="false" ht="15" hidden="false" customHeight="false" outlineLevel="0" collapsed="false">
      <c r="A391" s="19" t="s">
        <v>1421</v>
      </c>
      <c r="B391" s="19" t="s">
        <v>1861</v>
      </c>
      <c r="C391" s="19" t="n">
        <v>8</v>
      </c>
      <c r="D391" s="19" t="s">
        <v>1656</v>
      </c>
      <c r="E391" s="19" t="n">
        <v>1</v>
      </c>
      <c r="F391" s="17" t="s">
        <v>1862</v>
      </c>
      <c r="G391" s="17" t="s">
        <v>1104</v>
      </c>
      <c r="H391" s="19"/>
    </row>
    <row r="392" customFormat="false" ht="15" hidden="false" customHeight="false" outlineLevel="0" collapsed="false">
      <c r="A392" s="19" t="s">
        <v>1421</v>
      </c>
      <c r="B392" s="19" t="s">
        <v>1863</v>
      </c>
      <c r="C392" s="19" t="n">
        <v>8</v>
      </c>
      <c r="D392" s="19" t="s">
        <v>1659</v>
      </c>
      <c r="E392" s="19" t="n">
        <v>0.4</v>
      </c>
      <c r="F392" s="17" t="s">
        <v>1864</v>
      </c>
      <c r="G392" s="17" t="s">
        <v>1104</v>
      </c>
      <c r="H392" s="19"/>
    </row>
    <row r="393" customFormat="false" ht="15" hidden="false" customHeight="false" outlineLevel="0" collapsed="false">
      <c r="A393" s="19" t="s">
        <v>1421</v>
      </c>
      <c r="B393" s="19" t="s">
        <v>1865</v>
      </c>
      <c r="C393" s="19" t="n">
        <v>8</v>
      </c>
      <c r="D393" s="19" t="s">
        <v>1662</v>
      </c>
      <c r="E393" s="19" t="n">
        <v>0.45</v>
      </c>
      <c r="F393" s="17" t="s">
        <v>1866</v>
      </c>
      <c r="G393" s="17" t="s">
        <v>1104</v>
      </c>
      <c r="H393" s="19"/>
    </row>
    <row r="394" customFormat="false" ht="15" hidden="false" customHeight="false" outlineLevel="0" collapsed="false">
      <c r="A394" s="19" t="s">
        <v>1421</v>
      </c>
      <c r="B394" s="19" t="s">
        <v>1867</v>
      </c>
      <c r="C394" s="19" t="n">
        <v>8</v>
      </c>
      <c r="D394" s="19" t="s">
        <v>1665</v>
      </c>
      <c r="E394" s="19" t="n">
        <v>0.15</v>
      </c>
      <c r="F394" s="17" t="s">
        <v>1868</v>
      </c>
      <c r="G394" s="17" t="s">
        <v>1104</v>
      </c>
      <c r="H394" s="19"/>
    </row>
    <row r="395" customFormat="false" ht="15" hidden="false" customHeight="false" outlineLevel="0" collapsed="false">
      <c r="A395" s="55" t="s">
        <v>1421</v>
      </c>
      <c r="B395" s="55" t="s">
        <v>1869</v>
      </c>
      <c r="C395" s="55" t="n">
        <v>8</v>
      </c>
      <c r="D395" s="66" t="s">
        <v>1667</v>
      </c>
      <c r="E395" s="55" t="n">
        <v>14</v>
      </c>
      <c r="F395" s="55"/>
      <c r="G395" s="66" t="s">
        <v>1122</v>
      </c>
      <c r="H395" s="55"/>
    </row>
    <row r="396" customFormat="false" ht="15" hidden="false" customHeight="false" outlineLevel="0" collapsed="false">
      <c r="A396" s="19" t="s">
        <v>1421</v>
      </c>
      <c r="B396" s="19" t="s">
        <v>1870</v>
      </c>
      <c r="C396" s="19" t="n">
        <v>8</v>
      </c>
      <c r="D396" s="17" t="s">
        <v>1646</v>
      </c>
      <c r="E396" s="19" t="n">
        <v>0.2214</v>
      </c>
      <c r="F396" s="17" t="s">
        <v>1647</v>
      </c>
      <c r="G396" s="17" t="s">
        <v>1104</v>
      </c>
      <c r="H396" s="19"/>
    </row>
    <row r="397" customFormat="false" ht="15" hidden="false" customHeight="false" outlineLevel="0" collapsed="false">
      <c r="A397" s="19" t="s">
        <v>1421</v>
      </c>
      <c r="B397" s="19" t="s">
        <v>1871</v>
      </c>
      <c r="C397" s="19" t="n">
        <v>8</v>
      </c>
      <c r="D397" s="17" t="s">
        <v>1648</v>
      </c>
      <c r="E397" s="19" t="n">
        <v>1</v>
      </c>
      <c r="F397" s="17" t="s">
        <v>1872</v>
      </c>
      <c r="G397" s="17" t="s">
        <v>1104</v>
      </c>
      <c r="H397" s="19"/>
    </row>
    <row r="398" customFormat="false" ht="15" hidden="false" customHeight="false" outlineLevel="0" collapsed="false">
      <c r="A398" s="19" t="s">
        <v>1421</v>
      </c>
      <c r="B398" s="19" t="s">
        <v>1873</v>
      </c>
      <c r="C398" s="19" t="n">
        <v>8</v>
      </c>
      <c r="D398" s="19" t="s">
        <v>1651</v>
      </c>
      <c r="E398" s="19" t="n">
        <v>1</v>
      </c>
      <c r="F398" s="17" t="s">
        <v>1874</v>
      </c>
      <c r="G398" s="17" t="s">
        <v>1104</v>
      </c>
      <c r="H398" s="19"/>
    </row>
    <row r="399" customFormat="false" ht="15" hidden="false" customHeight="false" outlineLevel="0" collapsed="false">
      <c r="A399" s="19" t="s">
        <v>1421</v>
      </c>
      <c r="B399" s="19" t="s">
        <v>1875</v>
      </c>
      <c r="C399" s="19" t="n">
        <v>8</v>
      </c>
      <c r="D399" s="19" t="s">
        <v>1653</v>
      </c>
      <c r="E399" s="19" t="n">
        <v>1</v>
      </c>
      <c r="F399" s="17" t="s">
        <v>1876</v>
      </c>
      <c r="G399" s="17" t="s">
        <v>1104</v>
      </c>
      <c r="H399" s="19"/>
    </row>
    <row r="400" customFormat="false" ht="15" hidden="false" customHeight="false" outlineLevel="0" collapsed="false">
      <c r="A400" s="19" t="s">
        <v>1421</v>
      </c>
      <c r="B400" s="19" t="s">
        <v>1877</v>
      </c>
      <c r="C400" s="19" t="n">
        <v>8</v>
      </c>
      <c r="D400" s="19" t="s">
        <v>1656</v>
      </c>
      <c r="E400" s="19" t="n">
        <v>1</v>
      </c>
      <c r="F400" s="17" t="s">
        <v>1878</v>
      </c>
      <c r="G400" s="17" t="s">
        <v>1104</v>
      </c>
      <c r="H400" s="19"/>
    </row>
    <row r="401" customFormat="false" ht="15" hidden="false" customHeight="false" outlineLevel="0" collapsed="false">
      <c r="A401" s="19" t="s">
        <v>1421</v>
      </c>
      <c r="B401" s="19" t="s">
        <v>1879</v>
      </c>
      <c r="C401" s="19" t="n">
        <v>8</v>
      </c>
      <c r="D401" s="19" t="s">
        <v>1659</v>
      </c>
      <c r="E401" s="19" t="n">
        <v>0.4</v>
      </c>
      <c r="F401" s="17" t="s">
        <v>1880</v>
      </c>
      <c r="G401" s="17" t="s">
        <v>1104</v>
      </c>
      <c r="H401" s="19"/>
    </row>
    <row r="402" customFormat="false" ht="15" hidden="false" customHeight="false" outlineLevel="0" collapsed="false">
      <c r="A402" s="19" t="s">
        <v>1421</v>
      </c>
      <c r="B402" s="19" t="s">
        <v>1881</v>
      </c>
      <c r="C402" s="19" t="n">
        <v>8</v>
      </c>
      <c r="D402" s="19" t="s">
        <v>1662</v>
      </c>
      <c r="E402" s="19" t="n">
        <v>0.45</v>
      </c>
      <c r="F402" s="17" t="s">
        <v>1882</v>
      </c>
      <c r="G402" s="17" t="s">
        <v>1104</v>
      </c>
      <c r="H402" s="19"/>
    </row>
    <row r="403" customFormat="false" ht="15" hidden="false" customHeight="false" outlineLevel="0" collapsed="false">
      <c r="A403" s="19" t="s">
        <v>1421</v>
      </c>
      <c r="B403" s="19" t="s">
        <v>1883</v>
      </c>
      <c r="C403" s="19" t="n">
        <v>8</v>
      </c>
      <c r="D403" s="19" t="s">
        <v>1665</v>
      </c>
      <c r="E403" s="19" t="n">
        <v>0.15</v>
      </c>
      <c r="F403" s="17" t="s">
        <v>1884</v>
      </c>
      <c r="G403" s="17" t="s">
        <v>1104</v>
      </c>
      <c r="H403" s="19"/>
    </row>
    <row r="404" customFormat="false" ht="15" hidden="false" customHeight="false" outlineLevel="0" collapsed="false">
      <c r="A404" s="55" t="s">
        <v>1421</v>
      </c>
      <c r="B404" s="55" t="s">
        <v>1885</v>
      </c>
      <c r="C404" s="55" t="n">
        <v>8</v>
      </c>
      <c r="D404" s="66" t="s">
        <v>1667</v>
      </c>
      <c r="E404" s="55" t="n">
        <v>15</v>
      </c>
      <c r="F404" s="55"/>
      <c r="G404" s="66" t="s">
        <v>1122</v>
      </c>
      <c r="H404" s="55"/>
    </row>
    <row r="405" customFormat="false" ht="15" hidden="false" customHeight="false" outlineLevel="0" collapsed="false">
      <c r="A405" s="19" t="s">
        <v>1449</v>
      </c>
      <c r="B405" s="19" t="s">
        <v>1147</v>
      </c>
      <c r="C405" s="19" t="n">
        <v>8</v>
      </c>
      <c r="D405" s="17" t="s">
        <v>1648</v>
      </c>
      <c r="E405" s="19" t="n">
        <v>1</v>
      </c>
      <c r="F405" s="17" t="s">
        <v>1886</v>
      </c>
      <c r="G405" s="17" t="s">
        <v>1104</v>
      </c>
      <c r="H405" s="19"/>
    </row>
    <row r="406" customFormat="false" ht="15" hidden="false" customHeight="false" outlineLevel="0" collapsed="false">
      <c r="A406" s="19" t="s">
        <v>1449</v>
      </c>
      <c r="B406" s="19" t="s">
        <v>1650</v>
      </c>
      <c r="C406" s="19" t="n">
        <v>8</v>
      </c>
      <c r="D406" s="19" t="s">
        <v>1651</v>
      </c>
      <c r="E406" s="19" t="n">
        <v>1</v>
      </c>
      <c r="F406" s="17" t="s">
        <v>1887</v>
      </c>
      <c r="G406" s="17" t="s">
        <v>1104</v>
      </c>
      <c r="H406" s="19"/>
    </row>
    <row r="407" customFormat="false" ht="15" hidden="false" customHeight="false" outlineLevel="0" collapsed="false">
      <c r="A407" s="19" t="s">
        <v>1449</v>
      </c>
      <c r="B407" s="19" t="s">
        <v>1274</v>
      </c>
      <c r="C407" s="19" t="n">
        <v>8</v>
      </c>
      <c r="D407" s="19" t="s">
        <v>1653</v>
      </c>
      <c r="E407" s="19" t="n">
        <v>1</v>
      </c>
      <c r="F407" s="17" t="s">
        <v>1888</v>
      </c>
      <c r="G407" s="17" t="s">
        <v>1104</v>
      </c>
      <c r="H407" s="19"/>
    </row>
    <row r="408" customFormat="false" ht="15" hidden="false" customHeight="false" outlineLevel="0" collapsed="false">
      <c r="A408" s="19" t="s">
        <v>1449</v>
      </c>
      <c r="B408" s="19" t="s">
        <v>1655</v>
      </c>
      <c r="C408" s="19" t="n">
        <v>8</v>
      </c>
      <c r="D408" s="19" t="s">
        <v>1656</v>
      </c>
      <c r="E408" s="19" t="n">
        <v>1</v>
      </c>
      <c r="F408" s="17" t="s">
        <v>1889</v>
      </c>
      <c r="G408" s="17" t="s">
        <v>1104</v>
      </c>
      <c r="H408" s="19"/>
    </row>
    <row r="409" customFormat="false" ht="15" hidden="false" customHeight="false" outlineLevel="0" collapsed="false">
      <c r="A409" s="19" t="s">
        <v>1449</v>
      </c>
      <c r="B409" s="19" t="s">
        <v>1658</v>
      </c>
      <c r="C409" s="19" t="n">
        <v>8</v>
      </c>
      <c r="D409" s="19" t="s">
        <v>1659</v>
      </c>
      <c r="E409" s="19" t="n">
        <v>0.4</v>
      </c>
      <c r="F409" s="17" t="s">
        <v>1890</v>
      </c>
      <c r="G409" s="17" t="s">
        <v>1104</v>
      </c>
      <c r="H409" s="19"/>
    </row>
    <row r="410" customFormat="false" ht="15" hidden="false" customHeight="false" outlineLevel="0" collapsed="false">
      <c r="A410" s="19" t="s">
        <v>1449</v>
      </c>
      <c r="B410" s="19" t="s">
        <v>1661</v>
      </c>
      <c r="C410" s="19" t="n">
        <v>8</v>
      </c>
      <c r="D410" s="19" t="s">
        <v>1662</v>
      </c>
      <c r="E410" s="19" t="n">
        <v>0.45</v>
      </c>
      <c r="F410" s="17" t="s">
        <v>1891</v>
      </c>
      <c r="G410" s="17" t="s">
        <v>1104</v>
      </c>
      <c r="H410" s="19"/>
    </row>
    <row r="411" customFormat="false" ht="15" hidden="false" customHeight="false" outlineLevel="0" collapsed="false">
      <c r="A411" s="19" t="s">
        <v>1449</v>
      </c>
      <c r="B411" s="19" t="s">
        <v>1664</v>
      </c>
      <c r="C411" s="19" t="n">
        <v>8</v>
      </c>
      <c r="D411" s="19" t="s">
        <v>1665</v>
      </c>
      <c r="E411" s="19" t="n">
        <v>0.15</v>
      </c>
      <c r="F411" s="17" t="s">
        <v>1892</v>
      </c>
      <c r="G411" s="17" t="s">
        <v>1104</v>
      </c>
      <c r="H411" s="19"/>
    </row>
    <row r="412" customFormat="false" ht="15" hidden="false" customHeight="false" outlineLevel="0" collapsed="false">
      <c r="A412" s="19" t="s">
        <v>1449</v>
      </c>
      <c r="B412" s="19" t="s">
        <v>1170</v>
      </c>
      <c r="C412" s="19" t="n">
        <v>8</v>
      </c>
      <c r="D412" s="17" t="s">
        <v>1648</v>
      </c>
      <c r="E412" s="19" t="n">
        <v>1</v>
      </c>
      <c r="F412" s="17" t="s">
        <v>1893</v>
      </c>
      <c r="G412" s="17" t="s">
        <v>1104</v>
      </c>
      <c r="H412" s="19"/>
    </row>
    <row r="413" customFormat="false" ht="15" hidden="false" customHeight="false" outlineLevel="0" collapsed="false">
      <c r="A413" s="19" t="s">
        <v>1449</v>
      </c>
      <c r="B413" s="19" t="s">
        <v>1670</v>
      </c>
      <c r="C413" s="19" t="n">
        <v>8</v>
      </c>
      <c r="D413" s="19" t="s">
        <v>1651</v>
      </c>
      <c r="E413" s="19" t="n">
        <v>1</v>
      </c>
      <c r="F413" s="17" t="s">
        <v>1894</v>
      </c>
      <c r="G413" s="17" t="s">
        <v>1104</v>
      </c>
      <c r="H413" s="19"/>
    </row>
    <row r="414" customFormat="false" ht="15" hidden="false" customHeight="false" outlineLevel="0" collapsed="false">
      <c r="A414" s="19" t="s">
        <v>1449</v>
      </c>
      <c r="B414" s="19" t="s">
        <v>1287</v>
      </c>
      <c r="C414" s="19" t="n">
        <v>8</v>
      </c>
      <c r="D414" s="19" t="s">
        <v>1653</v>
      </c>
      <c r="E414" s="19" t="n">
        <v>1</v>
      </c>
      <c r="F414" s="17" t="s">
        <v>1895</v>
      </c>
      <c r="G414" s="17" t="s">
        <v>1104</v>
      </c>
      <c r="H414" s="19"/>
    </row>
    <row r="415" customFormat="false" ht="15" hidden="false" customHeight="false" outlineLevel="0" collapsed="false">
      <c r="A415" s="19" t="s">
        <v>1449</v>
      </c>
      <c r="B415" s="19" t="s">
        <v>1673</v>
      </c>
      <c r="C415" s="19" t="n">
        <v>8</v>
      </c>
      <c r="D415" s="19" t="s">
        <v>1656</v>
      </c>
      <c r="E415" s="19" t="n">
        <v>1</v>
      </c>
      <c r="F415" s="17" t="s">
        <v>1896</v>
      </c>
      <c r="G415" s="17" t="s">
        <v>1104</v>
      </c>
      <c r="H415" s="19"/>
    </row>
    <row r="416" customFormat="false" ht="15" hidden="false" customHeight="false" outlineLevel="0" collapsed="false">
      <c r="A416" s="19" t="s">
        <v>1449</v>
      </c>
      <c r="B416" s="19" t="s">
        <v>1675</v>
      </c>
      <c r="C416" s="19" t="n">
        <v>8</v>
      </c>
      <c r="D416" s="19" t="s">
        <v>1659</v>
      </c>
      <c r="E416" s="19" t="n">
        <v>0.4</v>
      </c>
      <c r="F416" s="17" t="s">
        <v>1897</v>
      </c>
      <c r="G416" s="17" t="s">
        <v>1104</v>
      </c>
      <c r="H416" s="19"/>
    </row>
    <row r="417" customFormat="false" ht="15" hidden="false" customHeight="false" outlineLevel="0" collapsed="false">
      <c r="A417" s="19" t="s">
        <v>1449</v>
      </c>
      <c r="B417" s="19" t="s">
        <v>1677</v>
      </c>
      <c r="C417" s="19" t="n">
        <v>8</v>
      </c>
      <c r="D417" s="19" t="s">
        <v>1662</v>
      </c>
      <c r="E417" s="19" t="n">
        <v>0.45</v>
      </c>
      <c r="F417" s="17" t="s">
        <v>1898</v>
      </c>
      <c r="G417" s="17" t="s">
        <v>1104</v>
      </c>
      <c r="H417" s="19"/>
    </row>
    <row r="418" customFormat="false" ht="15" hidden="false" customHeight="false" outlineLevel="0" collapsed="false">
      <c r="A418" s="19" t="s">
        <v>1449</v>
      </c>
      <c r="B418" s="19" t="s">
        <v>1679</v>
      </c>
      <c r="C418" s="19" t="n">
        <v>8</v>
      </c>
      <c r="D418" s="19" t="s">
        <v>1665</v>
      </c>
      <c r="E418" s="19" t="n">
        <v>0.15</v>
      </c>
      <c r="F418" s="17" t="s">
        <v>1899</v>
      </c>
      <c r="G418" s="17" t="s">
        <v>1104</v>
      </c>
      <c r="H418" s="19"/>
    </row>
    <row r="419" customFormat="false" ht="15" hidden="false" customHeight="false" outlineLevel="0" collapsed="false">
      <c r="A419" s="19" t="s">
        <v>1449</v>
      </c>
      <c r="B419" s="19" t="s">
        <v>1178</v>
      </c>
      <c r="C419" s="19" t="n">
        <v>8</v>
      </c>
      <c r="D419" s="17" t="s">
        <v>1648</v>
      </c>
      <c r="E419" s="19" t="n">
        <v>1</v>
      </c>
      <c r="F419" s="17" t="s">
        <v>1900</v>
      </c>
      <c r="G419" s="17" t="s">
        <v>1104</v>
      </c>
      <c r="H419" s="19"/>
    </row>
    <row r="420" customFormat="false" ht="15" hidden="false" customHeight="false" outlineLevel="0" collapsed="false">
      <c r="A420" s="19" t="s">
        <v>1449</v>
      </c>
      <c r="B420" s="19" t="s">
        <v>1684</v>
      </c>
      <c r="C420" s="19" t="n">
        <v>8</v>
      </c>
      <c r="D420" s="19" t="s">
        <v>1651</v>
      </c>
      <c r="E420" s="19" t="n">
        <v>1</v>
      </c>
      <c r="F420" s="17" t="s">
        <v>1901</v>
      </c>
      <c r="G420" s="17" t="s">
        <v>1104</v>
      </c>
      <c r="H420" s="19"/>
    </row>
    <row r="421" customFormat="false" ht="15" hidden="false" customHeight="false" outlineLevel="0" collapsed="false">
      <c r="A421" s="19" t="s">
        <v>1449</v>
      </c>
      <c r="B421" s="19" t="s">
        <v>1291</v>
      </c>
      <c r="C421" s="19" t="n">
        <v>8</v>
      </c>
      <c r="D421" s="19" t="s">
        <v>1653</v>
      </c>
      <c r="E421" s="19" t="n">
        <v>1</v>
      </c>
      <c r="F421" s="17" t="s">
        <v>1902</v>
      </c>
      <c r="G421" s="17" t="s">
        <v>1104</v>
      </c>
      <c r="H421" s="19"/>
    </row>
    <row r="422" customFormat="false" ht="15" hidden="false" customHeight="false" outlineLevel="0" collapsed="false">
      <c r="A422" s="19" t="s">
        <v>1449</v>
      </c>
      <c r="B422" s="19" t="s">
        <v>1687</v>
      </c>
      <c r="C422" s="19" t="n">
        <v>8</v>
      </c>
      <c r="D422" s="19" t="s">
        <v>1656</v>
      </c>
      <c r="E422" s="19" t="n">
        <v>1</v>
      </c>
      <c r="F422" s="17" t="s">
        <v>1903</v>
      </c>
      <c r="G422" s="17" t="s">
        <v>1104</v>
      </c>
      <c r="H422" s="19"/>
    </row>
    <row r="423" customFormat="false" ht="15" hidden="false" customHeight="false" outlineLevel="0" collapsed="false">
      <c r="A423" s="19" t="s">
        <v>1449</v>
      </c>
      <c r="B423" s="19" t="s">
        <v>1689</v>
      </c>
      <c r="C423" s="19" t="n">
        <v>8</v>
      </c>
      <c r="D423" s="19" t="s">
        <v>1659</v>
      </c>
      <c r="E423" s="19" t="n">
        <v>0.4</v>
      </c>
      <c r="F423" s="17" t="s">
        <v>1904</v>
      </c>
      <c r="G423" s="17" t="s">
        <v>1104</v>
      </c>
      <c r="H423" s="19"/>
    </row>
    <row r="424" customFormat="false" ht="15" hidden="false" customHeight="false" outlineLevel="0" collapsed="false">
      <c r="A424" s="19" t="s">
        <v>1449</v>
      </c>
      <c r="B424" s="19" t="s">
        <v>1691</v>
      </c>
      <c r="C424" s="19" t="n">
        <v>8</v>
      </c>
      <c r="D424" s="19" t="s">
        <v>1662</v>
      </c>
      <c r="E424" s="19" t="n">
        <v>0.45</v>
      </c>
      <c r="F424" s="17" t="s">
        <v>1905</v>
      </c>
      <c r="G424" s="17" t="s">
        <v>1104</v>
      </c>
      <c r="H424" s="19"/>
    </row>
    <row r="425" customFormat="false" ht="15" hidden="false" customHeight="false" outlineLevel="0" collapsed="false">
      <c r="A425" s="19" t="s">
        <v>1449</v>
      </c>
      <c r="B425" s="19" t="s">
        <v>1693</v>
      </c>
      <c r="C425" s="19" t="n">
        <v>8</v>
      </c>
      <c r="D425" s="19" t="s">
        <v>1665</v>
      </c>
      <c r="E425" s="19" t="n">
        <v>0.15</v>
      </c>
      <c r="F425" s="17" t="s">
        <v>1906</v>
      </c>
      <c r="G425" s="17" t="s">
        <v>1104</v>
      </c>
      <c r="H425" s="19"/>
    </row>
    <row r="426" customFormat="false" ht="15" hidden="false" customHeight="false" outlineLevel="0" collapsed="false">
      <c r="A426" s="19" t="s">
        <v>1449</v>
      </c>
      <c r="B426" s="19" t="s">
        <v>1186</v>
      </c>
      <c r="C426" s="19" t="n">
        <v>8</v>
      </c>
      <c r="D426" s="17" t="s">
        <v>1648</v>
      </c>
      <c r="E426" s="19" t="n">
        <v>1</v>
      </c>
      <c r="F426" s="17" t="s">
        <v>1907</v>
      </c>
      <c r="G426" s="17" t="s">
        <v>1104</v>
      </c>
      <c r="H426" s="19"/>
    </row>
    <row r="427" customFormat="false" ht="15" hidden="false" customHeight="false" outlineLevel="0" collapsed="false">
      <c r="A427" s="19" t="s">
        <v>1449</v>
      </c>
      <c r="B427" s="19" t="s">
        <v>1698</v>
      </c>
      <c r="C427" s="19" t="n">
        <v>8</v>
      </c>
      <c r="D427" s="19" t="s">
        <v>1651</v>
      </c>
      <c r="E427" s="19" t="n">
        <v>1</v>
      </c>
      <c r="F427" s="17" t="s">
        <v>1908</v>
      </c>
      <c r="G427" s="17" t="s">
        <v>1104</v>
      </c>
      <c r="H427" s="19"/>
    </row>
    <row r="428" customFormat="false" ht="15" hidden="false" customHeight="false" outlineLevel="0" collapsed="false">
      <c r="A428" s="19" t="s">
        <v>1449</v>
      </c>
      <c r="B428" s="19" t="s">
        <v>1295</v>
      </c>
      <c r="C428" s="19" t="n">
        <v>8</v>
      </c>
      <c r="D428" s="19" t="s">
        <v>1653</v>
      </c>
      <c r="E428" s="19" t="n">
        <v>1</v>
      </c>
      <c r="F428" s="17" t="s">
        <v>1909</v>
      </c>
      <c r="G428" s="17" t="s">
        <v>1104</v>
      </c>
      <c r="H428" s="19"/>
    </row>
    <row r="429" customFormat="false" ht="15" hidden="false" customHeight="false" outlineLevel="0" collapsed="false">
      <c r="A429" s="19" t="s">
        <v>1449</v>
      </c>
      <c r="B429" s="19" t="s">
        <v>1701</v>
      </c>
      <c r="C429" s="19" t="n">
        <v>8</v>
      </c>
      <c r="D429" s="19" t="s">
        <v>1656</v>
      </c>
      <c r="E429" s="19" t="n">
        <v>1</v>
      </c>
      <c r="F429" s="17" t="s">
        <v>1910</v>
      </c>
      <c r="G429" s="17" t="s">
        <v>1104</v>
      </c>
      <c r="H429" s="19"/>
    </row>
    <row r="430" customFormat="false" ht="15" hidden="false" customHeight="false" outlineLevel="0" collapsed="false">
      <c r="A430" s="19" t="s">
        <v>1449</v>
      </c>
      <c r="B430" s="19" t="s">
        <v>1703</v>
      </c>
      <c r="C430" s="19" t="n">
        <v>8</v>
      </c>
      <c r="D430" s="19" t="s">
        <v>1659</v>
      </c>
      <c r="E430" s="19" t="n">
        <v>0.4</v>
      </c>
      <c r="F430" s="17" t="s">
        <v>1911</v>
      </c>
      <c r="G430" s="17" t="s">
        <v>1104</v>
      </c>
      <c r="H430" s="19"/>
    </row>
    <row r="431" customFormat="false" ht="15" hidden="false" customHeight="false" outlineLevel="0" collapsed="false">
      <c r="A431" s="19" t="s">
        <v>1449</v>
      </c>
      <c r="B431" s="19" t="s">
        <v>1705</v>
      </c>
      <c r="C431" s="19" t="n">
        <v>8</v>
      </c>
      <c r="D431" s="19" t="s">
        <v>1662</v>
      </c>
      <c r="E431" s="19" t="n">
        <v>0.45</v>
      </c>
      <c r="F431" s="17" t="s">
        <v>1912</v>
      </c>
      <c r="G431" s="17" t="s">
        <v>1104</v>
      </c>
      <c r="H431" s="19"/>
    </row>
    <row r="432" customFormat="false" ht="15" hidden="false" customHeight="false" outlineLevel="0" collapsed="false">
      <c r="A432" s="19" t="s">
        <v>1449</v>
      </c>
      <c r="B432" s="19" t="s">
        <v>1707</v>
      </c>
      <c r="C432" s="19" t="n">
        <v>8</v>
      </c>
      <c r="D432" s="19" t="s">
        <v>1665</v>
      </c>
      <c r="E432" s="19" t="n">
        <v>0.15</v>
      </c>
      <c r="F432" s="17" t="s">
        <v>1913</v>
      </c>
      <c r="G432" s="17" t="s">
        <v>1104</v>
      </c>
      <c r="H432" s="19"/>
    </row>
    <row r="433" customFormat="false" ht="15" hidden="false" customHeight="false" outlineLevel="0" collapsed="false">
      <c r="A433" s="19" t="s">
        <v>1449</v>
      </c>
      <c r="B433" s="19" t="s">
        <v>1711</v>
      </c>
      <c r="C433" s="19" t="n">
        <v>8</v>
      </c>
      <c r="D433" s="17" t="s">
        <v>1648</v>
      </c>
      <c r="E433" s="19" t="n">
        <v>1</v>
      </c>
      <c r="F433" s="17" t="s">
        <v>1914</v>
      </c>
      <c r="G433" s="17" t="s">
        <v>1104</v>
      </c>
      <c r="H433" s="19"/>
    </row>
    <row r="434" customFormat="false" ht="15" hidden="false" customHeight="false" outlineLevel="0" collapsed="false">
      <c r="A434" s="19" t="s">
        <v>1449</v>
      </c>
      <c r="B434" s="19" t="s">
        <v>1713</v>
      </c>
      <c r="C434" s="19" t="n">
        <v>8</v>
      </c>
      <c r="D434" s="19" t="s">
        <v>1651</v>
      </c>
      <c r="E434" s="19" t="n">
        <v>1</v>
      </c>
      <c r="F434" s="17" t="s">
        <v>1915</v>
      </c>
      <c r="G434" s="17" t="s">
        <v>1104</v>
      </c>
      <c r="H434" s="19"/>
    </row>
    <row r="435" customFormat="false" ht="15" hidden="false" customHeight="false" outlineLevel="0" collapsed="false">
      <c r="A435" s="19" t="s">
        <v>1449</v>
      </c>
      <c r="B435" s="19" t="s">
        <v>1715</v>
      </c>
      <c r="C435" s="19" t="n">
        <v>8</v>
      </c>
      <c r="D435" s="19" t="s">
        <v>1653</v>
      </c>
      <c r="E435" s="19" t="n">
        <v>1</v>
      </c>
      <c r="F435" s="17" t="s">
        <v>1916</v>
      </c>
      <c r="G435" s="17" t="s">
        <v>1104</v>
      </c>
      <c r="H435" s="19"/>
    </row>
    <row r="436" customFormat="false" ht="15" hidden="false" customHeight="false" outlineLevel="0" collapsed="false">
      <c r="A436" s="19" t="s">
        <v>1449</v>
      </c>
      <c r="B436" s="19" t="s">
        <v>1717</v>
      </c>
      <c r="C436" s="19" t="n">
        <v>8</v>
      </c>
      <c r="D436" s="19" t="s">
        <v>1656</v>
      </c>
      <c r="E436" s="19" t="n">
        <v>1</v>
      </c>
      <c r="F436" s="17" t="s">
        <v>1917</v>
      </c>
      <c r="G436" s="17" t="s">
        <v>1104</v>
      </c>
      <c r="H436" s="19"/>
    </row>
    <row r="437" customFormat="false" ht="15" hidden="false" customHeight="false" outlineLevel="0" collapsed="false">
      <c r="A437" s="19" t="s">
        <v>1449</v>
      </c>
      <c r="B437" s="19" t="s">
        <v>1719</v>
      </c>
      <c r="C437" s="19" t="n">
        <v>8</v>
      </c>
      <c r="D437" s="19" t="s">
        <v>1659</v>
      </c>
      <c r="E437" s="19" t="n">
        <v>0.4</v>
      </c>
      <c r="F437" s="17" t="s">
        <v>1918</v>
      </c>
      <c r="G437" s="17" t="s">
        <v>1104</v>
      </c>
      <c r="H437" s="19"/>
    </row>
    <row r="438" customFormat="false" ht="15" hidden="false" customHeight="false" outlineLevel="0" collapsed="false">
      <c r="A438" s="19" t="s">
        <v>1449</v>
      </c>
      <c r="B438" s="19" t="s">
        <v>1721</v>
      </c>
      <c r="C438" s="19" t="n">
        <v>8</v>
      </c>
      <c r="D438" s="19" t="s">
        <v>1662</v>
      </c>
      <c r="E438" s="19" t="n">
        <v>0.45</v>
      </c>
      <c r="F438" s="17" t="s">
        <v>1919</v>
      </c>
      <c r="G438" s="17" t="s">
        <v>1104</v>
      </c>
      <c r="H438" s="19"/>
    </row>
    <row r="439" customFormat="false" ht="15" hidden="false" customHeight="false" outlineLevel="0" collapsed="false">
      <c r="A439" s="19" t="s">
        <v>1449</v>
      </c>
      <c r="B439" s="19" t="s">
        <v>1723</v>
      </c>
      <c r="C439" s="19" t="n">
        <v>8</v>
      </c>
      <c r="D439" s="19" t="s">
        <v>1665</v>
      </c>
      <c r="E439" s="19" t="n">
        <v>0.15</v>
      </c>
      <c r="F439" s="17" t="s">
        <v>1920</v>
      </c>
      <c r="G439" s="17" t="s">
        <v>1104</v>
      </c>
      <c r="H439" s="19"/>
    </row>
    <row r="440" customFormat="false" ht="15" hidden="false" customHeight="false" outlineLevel="0" collapsed="false">
      <c r="A440" s="19" t="s">
        <v>1449</v>
      </c>
      <c r="B440" s="19" t="s">
        <v>1727</v>
      </c>
      <c r="C440" s="19" t="n">
        <v>8</v>
      </c>
      <c r="D440" s="17" t="s">
        <v>1648</v>
      </c>
      <c r="E440" s="19" t="n">
        <v>1</v>
      </c>
      <c r="F440" s="17" t="s">
        <v>1921</v>
      </c>
      <c r="G440" s="17" t="s">
        <v>1104</v>
      </c>
      <c r="H440" s="19"/>
    </row>
    <row r="441" customFormat="false" ht="15" hidden="false" customHeight="false" outlineLevel="0" collapsed="false">
      <c r="A441" s="19" t="s">
        <v>1449</v>
      </c>
      <c r="B441" s="19" t="s">
        <v>1729</v>
      </c>
      <c r="C441" s="19" t="n">
        <v>8</v>
      </c>
      <c r="D441" s="19" t="s">
        <v>1651</v>
      </c>
      <c r="E441" s="19" t="n">
        <v>1</v>
      </c>
      <c r="F441" s="17" t="s">
        <v>1922</v>
      </c>
      <c r="G441" s="17" t="s">
        <v>1104</v>
      </c>
      <c r="H441" s="19"/>
    </row>
    <row r="442" customFormat="false" ht="15" hidden="false" customHeight="false" outlineLevel="0" collapsed="false">
      <c r="A442" s="19" t="s">
        <v>1449</v>
      </c>
      <c r="B442" s="19" t="s">
        <v>1731</v>
      </c>
      <c r="C442" s="19" t="n">
        <v>8</v>
      </c>
      <c r="D442" s="19" t="s">
        <v>1653</v>
      </c>
      <c r="E442" s="19" t="n">
        <v>1</v>
      </c>
      <c r="F442" s="17" t="s">
        <v>1923</v>
      </c>
      <c r="G442" s="17" t="s">
        <v>1104</v>
      </c>
      <c r="H442" s="19"/>
    </row>
    <row r="443" customFormat="false" ht="15" hidden="false" customHeight="false" outlineLevel="0" collapsed="false">
      <c r="A443" s="19" t="s">
        <v>1449</v>
      </c>
      <c r="B443" s="19" t="s">
        <v>1733</v>
      </c>
      <c r="C443" s="19" t="n">
        <v>8</v>
      </c>
      <c r="D443" s="19" t="s">
        <v>1656</v>
      </c>
      <c r="E443" s="19" t="n">
        <v>1</v>
      </c>
      <c r="F443" s="17" t="s">
        <v>1924</v>
      </c>
      <c r="G443" s="17" t="s">
        <v>1104</v>
      </c>
      <c r="H443" s="19"/>
    </row>
    <row r="444" customFormat="false" ht="15" hidden="false" customHeight="false" outlineLevel="0" collapsed="false">
      <c r="A444" s="19" t="s">
        <v>1449</v>
      </c>
      <c r="B444" s="19" t="s">
        <v>1735</v>
      </c>
      <c r="C444" s="19" t="n">
        <v>8</v>
      </c>
      <c r="D444" s="19" t="s">
        <v>1659</v>
      </c>
      <c r="E444" s="19" t="n">
        <v>0.4</v>
      </c>
      <c r="F444" s="17" t="s">
        <v>1925</v>
      </c>
      <c r="G444" s="17" t="s">
        <v>1104</v>
      </c>
      <c r="H444" s="19"/>
    </row>
    <row r="445" customFormat="false" ht="15" hidden="false" customHeight="false" outlineLevel="0" collapsed="false">
      <c r="A445" s="19" t="s">
        <v>1449</v>
      </c>
      <c r="B445" s="19" t="s">
        <v>1737</v>
      </c>
      <c r="C445" s="19" t="n">
        <v>8</v>
      </c>
      <c r="D445" s="19" t="s">
        <v>1662</v>
      </c>
      <c r="E445" s="19" t="n">
        <v>0.45</v>
      </c>
      <c r="F445" s="17" t="s">
        <v>1926</v>
      </c>
      <c r="G445" s="17" t="s">
        <v>1104</v>
      </c>
      <c r="H445" s="19"/>
    </row>
    <row r="446" customFormat="false" ht="15" hidden="false" customHeight="false" outlineLevel="0" collapsed="false">
      <c r="A446" s="19" t="s">
        <v>1449</v>
      </c>
      <c r="B446" s="19" t="s">
        <v>1739</v>
      </c>
      <c r="C446" s="19" t="n">
        <v>8</v>
      </c>
      <c r="D446" s="19" t="s">
        <v>1665</v>
      </c>
      <c r="E446" s="19" t="n">
        <v>0.15</v>
      </c>
      <c r="F446" s="17" t="s">
        <v>1927</v>
      </c>
      <c r="G446" s="17" t="s">
        <v>1104</v>
      </c>
      <c r="H446" s="19"/>
    </row>
    <row r="447" customFormat="false" ht="15" hidden="false" customHeight="false" outlineLevel="0" collapsed="false">
      <c r="A447" s="19" t="s">
        <v>1449</v>
      </c>
      <c r="B447" s="19" t="s">
        <v>1743</v>
      </c>
      <c r="C447" s="19" t="n">
        <v>8</v>
      </c>
      <c r="D447" s="17" t="s">
        <v>1648</v>
      </c>
      <c r="E447" s="19" t="n">
        <v>1</v>
      </c>
      <c r="F447" s="17" t="s">
        <v>1928</v>
      </c>
      <c r="G447" s="17" t="s">
        <v>1104</v>
      </c>
      <c r="H447" s="19"/>
    </row>
    <row r="448" customFormat="false" ht="15" hidden="false" customHeight="false" outlineLevel="0" collapsed="false">
      <c r="A448" s="19" t="s">
        <v>1449</v>
      </c>
      <c r="B448" s="19" t="s">
        <v>1745</v>
      </c>
      <c r="C448" s="19" t="n">
        <v>8</v>
      </c>
      <c r="D448" s="19" t="s">
        <v>1651</v>
      </c>
      <c r="E448" s="19" t="n">
        <v>1</v>
      </c>
      <c r="F448" s="17" t="s">
        <v>1929</v>
      </c>
      <c r="G448" s="17" t="s">
        <v>1104</v>
      </c>
      <c r="H448" s="19"/>
    </row>
    <row r="449" customFormat="false" ht="15" hidden="false" customHeight="false" outlineLevel="0" collapsed="false">
      <c r="A449" s="19" t="s">
        <v>1449</v>
      </c>
      <c r="B449" s="19" t="s">
        <v>1747</v>
      </c>
      <c r="C449" s="19" t="n">
        <v>8</v>
      </c>
      <c r="D449" s="19" t="s">
        <v>1653</v>
      </c>
      <c r="E449" s="19" t="n">
        <v>1</v>
      </c>
      <c r="F449" s="17" t="s">
        <v>1930</v>
      </c>
      <c r="G449" s="17" t="s">
        <v>1104</v>
      </c>
      <c r="H449" s="19"/>
    </row>
    <row r="450" customFormat="false" ht="15" hidden="false" customHeight="false" outlineLevel="0" collapsed="false">
      <c r="A450" s="19" t="s">
        <v>1449</v>
      </c>
      <c r="B450" s="19" t="s">
        <v>1749</v>
      </c>
      <c r="C450" s="19" t="n">
        <v>8</v>
      </c>
      <c r="D450" s="19" t="s">
        <v>1656</v>
      </c>
      <c r="E450" s="19" t="n">
        <v>1</v>
      </c>
      <c r="F450" s="17" t="s">
        <v>1931</v>
      </c>
      <c r="G450" s="17" t="s">
        <v>1104</v>
      </c>
      <c r="H450" s="19"/>
    </row>
    <row r="451" customFormat="false" ht="15" hidden="false" customHeight="false" outlineLevel="0" collapsed="false">
      <c r="A451" s="19" t="s">
        <v>1449</v>
      </c>
      <c r="B451" s="19" t="s">
        <v>1751</v>
      </c>
      <c r="C451" s="19" t="n">
        <v>8</v>
      </c>
      <c r="D451" s="19" t="s">
        <v>1659</v>
      </c>
      <c r="E451" s="19" t="n">
        <v>0.4</v>
      </c>
      <c r="F451" s="17" t="s">
        <v>1932</v>
      </c>
      <c r="G451" s="17" t="s">
        <v>1104</v>
      </c>
      <c r="H451" s="19"/>
    </row>
    <row r="452" customFormat="false" ht="15" hidden="false" customHeight="false" outlineLevel="0" collapsed="false">
      <c r="A452" s="19" t="s">
        <v>1449</v>
      </c>
      <c r="B452" s="19" t="s">
        <v>1753</v>
      </c>
      <c r="C452" s="19" t="n">
        <v>8</v>
      </c>
      <c r="D452" s="19" t="s">
        <v>1662</v>
      </c>
      <c r="E452" s="19" t="n">
        <v>0.45</v>
      </c>
      <c r="F452" s="17" t="s">
        <v>1933</v>
      </c>
      <c r="G452" s="17" t="s">
        <v>1104</v>
      </c>
      <c r="H452" s="19"/>
    </row>
    <row r="453" customFormat="false" ht="15" hidden="false" customHeight="false" outlineLevel="0" collapsed="false">
      <c r="A453" s="19" t="s">
        <v>1449</v>
      </c>
      <c r="B453" s="19" t="s">
        <v>1755</v>
      </c>
      <c r="C453" s="19" t="n">
        <v>8</v>
      </c>
      <c r="D453" s="19" t="s">
        <v>1665</v>
      </c>
      <c r="E453" s="19" t="n">
        <v>0.15</v>
      </c>
      <c r="F453" s="17" t="s">
        <v>1934</v>
      </c>
      <c r="G453" s="17" t="s">
        <v>1104</v>
      </c>
      <c r="H453" s="19"/>
    </row>
    <row r="454" customFormat="false" ht="15" hidden="false" customHeight="false" outlineLevel="0" collapsed="false">
      <c r="A454" s="19" t="s">
        <v>1449</v>
      </c>
      <c r="B454" s="19" t="s">
        <v>1759</v>
      </c>
      <c r="C454" s="19" t="n">
        <v>8</v>
      </c>
      <c r="D454" s="17" t="s">
        <v>1648</v>
      </c>
      <c r="E454" s="19" t="n">
        <v>1</v>
      </c>
      <c r="F454" s="17" t="s">
        <v>1935</v>
      </c>
      <c r="G454" s="17" t="s">
        <v>1104</v>
      </c>
      <c r="H454" s="19"/>
    </row>
    <row r="455" customFormat="false" ht="15" hidden="false" customHeight="false" outlineLevel="0" collapsed="false">
      <c r="A455" s="19" t="s">
        <v>1449</v>
      </c>
      <c r="B455" s="19" t="s">
        <v>1761</v>
      </c>
      <c r="C455" s="19" t="n">
        <v>8</v>
      </c>
      <c r="D455" s="19" t="s">
        <v>1651</v>
      </c>
      <c r="E455" s="19" t="n">
        <v>1</v>
      </c>
      <c r="F455" s="17" t="s">
        <v>1936</v>
      </c>
      <c r="G455" s="17" t="s">
        <v>1104</v>
      </c>
      <c r="H455" s="19"/>
    </row>
    <row r="456" customFormat="false" ht="15" hidden="false" customHeight="false" outlineLevel="0" collapsed="false">
      <c r="A456" s="19" t="s">
        <v>1449</v>
      </c>
      <c r="B456" s="19" t="s">
        <v>1763</v>
      </c>
      <c r="C456" s="19" t="n">
        <v>8</v>
      </c>
      <c r="D456" s="19" t="s">
        <v>1653</v>
      </c>
      <c r="E456" s="19" t="n">
        <v>1</v>
      </c>
      <c r="F456" s="17" t="s">
        <v>1937</v>
      </c>
      <c r="G456" s="17" t="s">
        <v>1104</v>
      </c>
      <c r="H456" s="19"/>
    </row>
    <row r="457" customFormat="false" ht="15" hidden="false" customHeight="false" outlineLevel="0" collapsed="false">
      <c r="A457" s="19" t="s">
        <v>1449</v>
      </c>
      <c r="B457" s="19" t="s">
        <v>1765</v>
      </c>
      <c r="C457" s="19" t="n">
        <v>8</v>
      </c>
      <c r="D457" s="19" t="s">
        <v>1656</v>
      </c>
      <c r="E457" s="19" t="n">
        <v>1</v>
      </c>
      <c r="F457" s="17" t="s">
        <v>1938</v>
      </c>
      <c r="G457" s="17" t="s">
        <v>1104</v>
      </c>
      <c r="H457" s="19"/>
    </row>
    <row r="458" customFormat="false" ht="15" hidden="false" customHeight="false" outlineLevel="0" collapsed="false">
      <c r="A458" s="19" t="s">
        <v>1449</v>
      </c>
      <c r="B458" s="19" t="s">
        <v>1767</v>
      </c>
      <c r="C458" s="19" t="n">
        <v>8</v>
      </c>
      <c r="D458" s="19" t="s">
        <v>1659</v>
      </c>
      <c r="E458" s="19" t="n">
        <v>0.4</v>
      </c>
      <c r="F458" s="17" t="s">
        <v>1939</v>
      </c>
      <c r="G458" s="17" t="s">
        <v>1104</v>
      </c>
      <c r="H458" s="19"/>
    </row>
    <row r="459" customFormat="false" ht="15" hidden="false" customHeight="false" outlineLevel="0" collapsed="false">
      <c r="A459" s="19" t="s">
        <v>1449</v>
      </c>
      <c r="B459" s="19" t="s">
        <v>1769</v>
      </c>
      <c r="C459" s="19" t="n">
        <v>8</v>
      </c>
      <c r="D459" s="19" t="s">
        <v>1662</v>
      </c>
      <c r="E459" s="19" t="n">
        <v>0.45</v>
      </c>
      <c r="F459" s="17" t="s">
        <v>1940</v>
      </c>
      <c r="G459" s="17" t="s">
        <v>1104</v>
      </c>
      <c r="H459" s="19"/>
    </row>
    <row r="460" customFormat="false" ht="15" hidden="false" customHeight="false" outlineLevel="0" collapsed="false">
      <c r="A460" s="19" t="s">
        <v>1449</v>
      </c>
      <c r="B460" s="19" t="s">
        <v>1771</v>
      </c>
      <c r="C460" s="19" t="n">
        <v>8</v>
      </c>
      <c r="D460" s="19" t="s">
        <v>1665</v>
      </c>
      <c r="E460" s="19" t="n">
        <v>0.15</v>
      </c>
      <c r="F460" s="17" t="s">
        <v>1941</v>
      </c>
      <c r="G460" s="17" t="s">
        <v>1104</v>
      </c>
      <c r="H460" s="19"/>
    </row>
    <row r="461" customFormat="false" ht="15" hidden="false" customHeight="false" outlineLevel="0" collapsed="false">
      <c r="A461" s="19" t="s">
        <v>1449</v>
      </c>
      <c r="B461" s="19" t="s">
        <v>1775</v>
      </c>
      <c r="C461" s="19" t="n">
        <v>8</v>
      </c>
      <c r="D461" s="17" t="s">
        <v>1648</v>
      </c>
      <c r="E461" s="19" t="n">
        <v>1</v>
      </c>
      <c r="F461" s="17" t="s">
        <v>1942</v>
      </c>
      <c r="G461" s="17" t="s">
        <v>1104</v>
      </c>
      <c r="H461" s="19"/>
    </row>
    <row r="462" customFormat="false" ht="15" hidden="false" customHeight="false" outlineLevel="0" collapsed="false">
      <c r="A462" s="19" t="s">
        <v>1449</v>
      </c>
      <c r="B462" s="19" t="s">
        <v>1777</v>
      </c>
      <c r="C462" s="19" t="n">
        <v>8</v>
      </c>
      <c r="D462" s="19" t="s">
        <v>1651</v>
      </c>
      <c r="E462" s="19" t="n">
        <v>1</v>
      </c>
      <c r="F462" s="17" t="s">
        <v>1943</v>
      </c>
      <c r="G462" s="17" t="s">
        <v>1104</v>
      </c>
      <c r="H462" s="19"/>
    </row>
    <row r="463" customFormat="false" ht="15" hidden="false" customHeight="false" outlineLevel="0" collapsed="false">
      <c r="A463" s="19" t="s">
        <v>1449</v>
      </c>
      <c r="B463" s="19" t="s">
        <v>1779</v>
      </c>
      <c r="C463" s="19" t="n">
        <v>8</v>
      </c>
      <c r="D463" s="19" t="s">
        <v>1653</v>
      </c>
      <c r="E463" s="19" t="n">
        <v>1</v>
      </c>
      <c r="F463" s="17" t="s">
        <v>1944</v>
      </c>
      <c r="G463" s="17" t="s">
        <v>1104</v>
      </c>
      <c r="H463" s="19"/>
    </row>
    <row r="464" customFormat="false" ht="15" hidden="false" customHeight="false" outlineLevel="0" collapsed="false">
      <c r="A464" s="19" t="s">
        <v>1449</v>
      </c>
      <c r="B464" s="19" t="s">
        <v>1781</v>
      </c>
      <c r="C464" s="19" t="n">
        <v>8</v>
      </c>
      <c r="D464" s="19" t="s">
        <v>1656</v>
      </c>
      <c r="E464" s="19" t="n">
        <v>1</v>
      </c>
      <c r="F464" s="17" t="s">
        <v>1945</v>
      </c>
      <c r="G464" s="17" t="s">
        <v>1104</v>
      </c>
      <c r="H464" s="19"/>
    </row>
    <row r="465" customFormat="false" ht="15" hidden="false" customHeight="false" outlineLevel="0" collapsed="false">
      <c r="A465" s="19" t="s">
        <v>1449</v>
      </c>
      <c r="B465" s="19" t="s">
        <v>1783</v>
      </c>
      <c r="C465" s="19" t="n">
        <v>8</v>
      </c>
      <c r="D465" s="19" t="s">
        <v>1659</v>
      </c>
      <c r="E465" s="19" t="n">
        <v>0.4</v>
      </c>
      <c r="F465" s="17" t="s">
        <v>1946</v>
      </c>
      <c r="G465" s="17" t="s">
        <v>1104</v>
      </c>
      <c r="H465" s="19"/>
    </row>
    <row r="466" customFormat="false" ht="15" hidden="false" customHeight="false" outlineLevel="0" collapsed="false">
      <c r="A466" s="19" t="s">
        <v>1449</v>
      </c>
      <c r="B466" s="19" t="s">
        <v>1785</v>
      </c>
      <c r="C466" s="19" t="n">
        <v>8</v>
      </c>
      <c r="D466" s="19" t="s">
        <v>1662</v>
      </c>
      <c r="E466" s="19" t="n">
        <v>0.45</v>
      </c>
      <c r="F466" s="17" t="s">
        <v>1947</v>
      </c>
      <c r="G466" s="17" t="s">
        <v>1104</v>
      </c>
      <c r="H466" s="19"/>
    </row>
    <row r="467" customFormat="false" ht="15" hidden="false" customHeight="false" outlineLevel="0" collapsed="false">
      <c r="A467" s="19" t="s">
        <v>1449</v>
      </c>
      <c r="B467" s="19" t="s">
        <v>1787</v>
      </c>
      <c r="C467" s="19" t="n">
        <v>8</v>
      </c>
      <c r="D467" s="19" t="s">
        <v>1665</v>
      </c>
      <c r="E467" s="19" t="n">
        <v>0.15</v>
      </c>
      <c r="F467" s="17" t="s">
        <v>1948</v>
      </c>
      <c r="G467" s="17" t="s">
        <v>1104</v>
      </c>
      <c r="H467" s="19"/>
    </row>
    <row r="468" customFormat="false" ht="15" hidden="false" customHeight="false" outlineLevel="0" collapsed="false">
      <c r="A468" s="19" t="s">
        <v>1449</v>
      </c>
      <c r="B468" s="19" t="s">
        <v>1791</v>
      </c>
      <c r="C468" s="19" t="n">
        <v>8</v>
      </c>
      <c r="D468" s="17" t="s">
        <v>1648</v>
      </c>
      <c r="E468" s="19" t="n">
        <v>1</v>
      </c>
      <c r="F468" s="17" t="s">
        <v>1949</v>
      </c>
      <c r="G468" s="17" t="s">
        <v>1104</v>
      </c>
      <c r="H468" s="19"/>
    </row>
    <row r="469" customFormat="false" ht="15" hidden="false" customHeight="false" outlineLevel="0" collapsed="false">
      <c r="A469" s="19" t="s">
        <v>1449</v>
      </c>
      <c r="B469" s="19" t="s">
        <v>1793</v>
      </c>
      <c r="C469" s="19" t="n">
        <v>8</v>
      </c>
      <c r="D469" s="19" t="s">
        <v>1651</v>
      </c>
      <c r="E469" s="19" t="n">
        <v>1</v>
      </c>
      <c r="F469" s="17" t="s">
        <v>1950</v>
      </c>
      <c r="G469" s="17" t="s">
        <v>1104</v>
      </c>
      <c r="H469" s="19"/>
    </row>
    <row r="470" customFormat="false" ht="15" hidden="false" customHeight="false" outlineLevel="0" collapsed="false">
      <c r="A470" s="19" t="s">
        <v>1449</v>
      </c>
      <c r="B470" s="19" t="s">
        <v>1795</v>
      </c>
      <c r="C470" s="19" t="n">
        <v>8</v>
      </c>
      <c r="D470" s="19" t="s">
        <v>1653</v>
      </c>
      <c r="E470" s="19" t="n">
        <v>1</v>
      </c>
      <c r="F470" s="17" t="s">
        <v>1951</v>
      </c>
      <c r="G470" s="17" t="s">
        <v>1104</v>
      </c>
      <c r="H470" s="19"/>
    </row>
    <row r="471" customFormat="false" ht="15" hidden="false" customHeight="false" outlineLevel="0" collapsed="false">
      <c r="A471" s="19" t="s">
        <v>1449</v>
      </c>
      <c r="B471" s="19" t="s">
        <v>1797</v>
      </c>
      <c r="C471" s="19" t="n">
        <v>8</v>
      </c>
      <c r="D471" s="19" t="s">
        <v>1656</v>
      </c>
      <c r="E471" s="19" t="n">
        <v>1</v>
      </c>
      <c r="F471" s="17" t="s">
        <v>1952</v>
      </c>
      <c r="G471" s="17" t="s">
        <v>1104</v>
      </c>
      <c r="H471" s="19"/>
    </row>
    <row r="472" customFormat="false" ht="15" hidden="false" customHeight="false" outlineLevel="0" collapsed="false">
      <c r="A472" s="19" t="s">
        <v>1449</v>
      </c>
      <c r="B472" s="19" t="s">
        <v>1799</v>
      </c>
      <c r="C472" s="19" t="n">
        <v>8</v>
      </c>
      <c r="D472" s="19" t="s">
        <v>1659</v>
      </c>
      <c r="E472" s="19" t="n">
        <v>0.4</v>
      </c>
      <c r="F472" s="17" t="s">
        <v>1953</v>
      </c>
      <c r="G472" s="17" t="s">
        <v>1104</v>
      </c>
      <c r="H472" s="19"/>
    </row>
    <row r="473" customFormat="false" ht="15" hidden="false" customHeight="false" outlineLevel="0" collapsed="false">
      <c r="A473" s="19" t="s">
        <v>1449</v>
      </c>
      <c r="B473" s="19" t="s">
        <v>1801</v>
      </c>
      <c r="C473" s="19" t="n">
        <v>8</v>
      </c>
      <c r="D473" s="19" t="s">
        <v>1662</v>
      </c>
      <c r="E473" s="19" t="n">
        <v>0.45</v>
      </c>
      <c r="F473" s="17" t="s">
        <v>1954</v>
      </c>
      <c r="G473" s="17" t="s">
        <v>1104</v>
      </c>
      <c r="H473" s="19"/>
    </row>
    <row r="474" customFormat="false" ht="15" hidden="false" customHeight="false" outlineLevel="0" collapsed="false">
      <c r="A474" s="19" t="s">
        <v>1449</v>
      </c>
      <c r="B474" s="19" t="s">
        <v>1803</v>
      </c>
      <c r="C474" s="19" t="n">
        <v>8</v>
      </c>
      <c r="D474" s="19" t="s">
        <v>1665</v>
      </c>
      <c r="E474" s="19" t="n">
        <v>0.15</v>
      </c>
      <c r="F474" s="17" t="s">
        <v>1955</v>
      </c>
      <c r="G474" s="17" t="s">
        <v>1104</v>
      </c>
      <c r="H474" s="19"/>
    </row>
    <row r="475" customFormat="false" ht="15" hidden="false" customHeight="false" outlineLevel="0" collapsed="false">
      <c r="A475" s="19" t="s">
        <v>1449</v>
      </c>
      <c r="B475" s="19" t="s">
        <v>1807</v>
      </c>
      <c r="C475" s="19" t="n">
        <v>8</v>
      </c>
      <c r="D475" s="17" t="s">
        <v>1648</v>
      </c>
      <c r="E475" s="19" t="n">
        <v>1</v>
      </c>
      <c r="F475" s="17" t="s">
        <v>1956</v>
      </c>
      <c r="G475" s="17" t="s">
        <v>1104</v>
      </c>
      <c r="H475" s="19"/>
    </row>
    <row r="476" customFormat="false" ht="15" hidden="false" customHeight="false" outlineLevel="0" collapsed="false">
      <c r="A476" s="19" t="s">
        <v>1449</v>
      </c>
      <c r="B476" s="19" t="s">
        <v>1809</v>
      </c>
      <c r="C476" s="19" t="n">
        <v>8</v>
      </c>
      <c r="D476" s="19" t="s">
        <v>1651</v>
      </c>
      <c r="E476" s="19" t="n">
        <v>1</v>
      </c>
      <c r="F476" s="17" t="s">
        <v>1957</v>
      </c>
      <c r="G476" s="17" t="s">
        <v>1104</v>
      </c>
      <c r="H476" s="19"/>
    </row>
    <row r="477" customFormat="false" ht="15" hidden="false" customHeight="false" outlineLevel="0" collapsed="false">
      <c r="A477" s="19" t="s">
        <v>1449</v>
      </c>
      <c r="B477" s="19" t="s">
        <v>1811</v>
      </c>
      <c r="C477" s="19" t="n">
        <v>8</v>
      </c>
      <c r="D477" s="19" t="s">
        <v>1653</v>
      </c>
      <c r="E477" s="19" t="n">
        <v>1</v>
      </c>
      <c r="F477" s="17" t="s">
        <v>1958</v>
      </c>
      <c r="G477" s="17" t="s">
        <v>1104</v>
      </c>
      <c r="H477" s="19"/>
    </row>
    <row r="478" customFormat="false" ht="15" hidden="false" customHeight="false" outlineLevel="0" collapsed="false">
      <c r="A478" s="19" t="s">
        <v>1449</v>
      </c>
      <c r="B478" s="19" t="s">
        <v>1813</v>
      </c>
      <c r="C478" s="19" t="n">
        <v>8</v>
      </c>
      <c r="D478" s="19" t="s">
        <v>1656</v>
      </c>
      <c r="E478" s="19" t="n">
        <v>1</v>
      </c>
      <c r="F478" s="17" t="s">
        <v>1959</v>
      </c>
      <c r="G478" s="17" t="s">
        <v>1104</v>
      </c>
      <c r="H478" s="19"/>
    </row>
    <row r="479" customFormat="false" ht="15" hidden="false" customHeight="false" outlineLevel="0" collapsed="false">
      <c r="A479" s="19" t="s">
        <v>1449</v>
      </c>
      <c r="B479" s="19" t="s">
        <v>1815</v>
      </c>
      <c r="C479" s="19" t="n">
        <v>8</v>
      </c>
      <c r="D479" s="19" t="s">
        <v>1659</v>
      </c>
      <c r="E479" s="19" t="n">
        <v>0.4</v>
      </c>
      <c r="F479" s="17" t="s">
        <v>1960</v>
      </c>
      <c r="G479" s="17" t="s">
        <v>1104</v>
      </c>
      <c r="H479" s="19"/>
    </row>
    <row r="480" customFormat="false" ht="15" hidden="false" customHeight="false" outlineLevel="0" collapsed="false">
      <c r="A480" s="19" t="s">
        <v>1449</v>
      </c>
      <c r="B480" s="19" t="s">
        <v>1817</v>
      </c>
      <c r="C480" s="19" t="n">
        <v>8</v>
      </c>
      <c r="D480" s="19" t="s">
        <v>1662</v>
      </c>
      <c r="E480" s="19" t="n">
        <v>0.45</v>
      </c>
      <c r="F480" s="17" t="s">
        <v>1961</v>
      </c>
      <c r="G480" s="17" t="s">
        <v>1104</v>
      </c>
      <c r="H480" s="19"/>
    </row>
    <row r="481" customFormat="false" ht="15" hidden="false" customHeight="false" outlineLevel="0" collapsed="false">
      <c r="A481" s="19" t="s">
        <v>1449</v>
      </c>
      <c r="B481" s="19" t="s">
        <v>1819</v>
      </c>
      <c r="C481" s="19" t="n">
        <v>8</v>
      </c>
      <c r="D481" s="19" t="s">
        <v>1665</v>
      </c>
      <c r="E481" s="19" t="n">
        <v>0.15</v>
      </c>
      <c r="F481" s="17" t="s">
        <v>1962</v>
      </c>
      <c r="G481" s="17" t="s">
        <v>1104</v>
      </c>
      <c r="H481" s="19"/>
    </row>
    <row r="482" customFormat="false" ht="15" hidden="false" customHeight="false" outlineLevel="0" collapsed="false">
      <c r="A482" s="19" t="s">
        <v>1449</v>
      </c>
      <c r="B482" s="19" t="s">
        <v>1823</v>
      </c>
      <c r="C482" s="19" t="n">
        <v>8</v>
      </c>
      <c r="D482" s="17" t="s">
        <v>1648</v>
      </c>
      <c r="E482" s="19" t="n">
        <v>1</v>
      </c>
      <c r="F482" s="17" t="s">
        <v>1963</v>
      </c>
      <c r="G482" s="17" t="s">
        <v>1104</v>
      </c>
      <c r="H482" s="19"/>
    </row>
    <row r="483" customFormat="false" ht="15" hidden="false" customHeight="false" outlineLevel="0" collapsed="false">
      <c r="A483" s="19" t="s">
        <v>1449</v>
      </c>
      <c r="B483" s="19" t="s">
        <v>1825</v>
      </c>
      <c r="C483" s="19" t="n">
        <v>8</v>
      </c>
      <c r="D483" s="19" t="s">
        <v>1651</v>
      </c>
      <c r="E483" s="19" t="n">
        <v>1</v>
      </c>
      <c r="F483" s="17" t="s">
        <v>1964</v>
      </c>
      <c r="G483" s="17" t="s">
        <v>1104</v>
      </c>
      <c r="H483" s="19"/>
    </row>
    <row r="484" customFormat="false" ht="15" hidden="false" customHeight="false" outlineLevel="0" collapsed="false">
      <c r="A484" s="19" t="s">
        <v>1449</v>
      </c>
      <c r="B484" s="19" t="s">
        <v>1827</v>
      </c>
      <c r="C484" s="19" t="n">
        <v>8</v>
      </c>
      <c r="D484" s="19" t="s">
        <v>1653</v>
      </c>
      <c r="E484" s="19" t="n">
        <v>1</v>
      </c>
      <c r="F484" s="17" t="s">
        <v>1965</v>
      </c>
      <c r="G484" s="17" t="s">
        <v>1104</v>
      </c>
      <c r="H484" s="19"/>
    </row>
    <row r="485" customFormat="false" ht="15" hidden="false" customHeight="false" outlineLevel="0" collapsed="false">
      <c r="A485" s="19" t="s">
        <v>1449</v>
      </c>
      <c r="B485" s="19" t="s">
        <v>1829</v>
      </c>
      <c r="C485" s="19" t="n">
        <v>8</v>
      </c>
      <c r="D485" s="19" t="s">
        <v>1656</v>
      </c>
      <c r="E485" s="19" t="n">
        <v>1</v>
      </c>
      <c r="F485" s="17" t="s">
        <v>1966</v>
      </c>
      <c r="G485" s="17" t="s">
        <v>1104</v>
      </c>
      <c r="H485" s="19"/>
    </row>
    <row r="486" customFormat="false" ht="15" hidden="false" customHeight="false" outlineLevel="0" collapsed="false">
      <c r="A486" s="19" t="s">
        <v>1449</v>
      </c>
      <c r="B486" s="19" t="s">
        <v>1831</v>
      </c>
      <c r="C486" s="19" t="n">
        <v>8</v>
      </c>
      <c r="D486" s="19" t="s">
        <v>1659</v>
      </c>
      <c r="E486" s="19" t="n">
        <v>0.4</v>
      </c>
      <c r="F486" s="17" t="s">
        <v>1967</v>
      </c>
      <c r="G486" s="17" t="s">
        <v>1104</v>
      </c>
      <c r="H486" s="19"/>
    </row>
    <row r="487" customFormat="false" ht="15" hidden="false" customHeight="false" outlineLevel="0" collapsed="false">
      <c r="A487" s="19" t="s">
        <v>1449</v>
      </c>
      <c r="B487" s="19" t="s">
        <v>1833</v>
      </c>
      <c r="C487" s="19" t="n">
        <v>8</v>
      </c>
      <c r="D487" s="19" t="s">
        <v>1662</v>
      </c>
      <c r="E487" s="19" t="n">
        <v>0.45</v>
      </c>
      <c r="F487" s="17" t="s">
        <v>1968</v>
      </c>
      <c r="G487" s="17" t="s">
        <v>1104</v>
      </c>
      <c r="H487" s="19"/>
    </row>
    <row r="488" customFormat="false" ht="15" hidden="false" customHeight="false" outlineLevel="0" collapsed="false">
      <c r="A488" s="19" t="s">
        <v>1449</v>
      </c>
      <c r="B488" s="19" t="s">
        <v>1835</v>
      </c>
      <c r="C488" s="19" t="n">
        <v>8</v>
      </c>
      <c r="D488" s="19" t="s">
        <v>1665</v>
      </c>
      <c r="E488" s="19" t="n">
        <v>0.15</v>
      </c>
      <c r="F488" s="17" t="s">
        <v>1969</v>
      </c>
      <c r="G488" s="17" t="s">
        <v>1104</v>
      </c>
      <c r="H488" s="19"/>
    </row>
    <row r="489" customFormat="false" ht="15" hidden="false" customHeight="false" outlineLevel="0" collapsed="false">
      <c r="A489" s="19" t="s">
        <v>1449</v>
      </c>
      <c r="B489" s="19" t="s">
        <v>1839</v>
      </c>
      <c r="C489" s="19" t="n">
        <v>8</v>
      </c>
      <c r="D489" s="17" t="s">
        <v>1648</v>
      </c>
      <c r="E489" s="19" t="n">
        <v>1</v>
      </c>
      <c r="F489" s="17" t="s">
        <v>1970</v>
      </c>
      <c r="G489" s="17" t="s">
        <v>1104</v>
      </c>
      <c r="H489" s="19"/>
    </row>
    <row r="490" customFormat="false" ht="15" hidden="false" customHeight="false" outlineLevel="0" collapsed="false">
      <c r="A490" s="19" t="s">
        <v>1449</v>
      </c>
      <c r="B490" s="19" t="s">
        <v>1841</v>
      </c>
      <c r="C490" s="19" t="n">
        <v>8</v>
      </c>
      <c r="D490" s="19" t="s">
        <v>1651</v>
      </c>
      <c r="E490" s="19" t="n">
        <v>1</v>
      </c>
      <c r="F490" s="17" t="s">
        <v>1971</v>
      </c>
      <c r="G490" s="17" t="s">
        <v>1104</v>
      </c>
      <c r="H490" s="19"/>
    </row>
    <row r="491" customFormat="false" ht="15" hidden="false" customHeight="false" outlineLevel="0" collapsed="false">
      <c r="A491" s="19" t="s">
        <v>1449</v>
      </c>
      <c r="B491" s="19" t="s">
        <v>1843</v>
      </c>
      <c r="C491" s="19" t="n">
        <v>8</v>
      </c>
      <c r="D491" s="19" t="s">
        <v>1653</v>
      </c>
      <c r="E491" s="19" t="n">
        <v>1</v>
      </c>
      <c r="F491" s="17" t="s">
        <v>1972</v>
      </c>
      <c r="G491" s="17" t="s">
        <v>1104</v>
      </c>
      <c r="H491" s="19"/>
    </row>
    <row r="492" customFormat="false" ht="15" hidden="false" customHeight="false" outlineLevel="0" collapsed="false">
      <c r="A492" s="19" t="s">
        <v>1449</v>
      </c>
      <c r="B492" s="19" t="s">
        <v>1845</v>
      </c>
      <c r="C492" s="19" t="n">
        <v>8</v>
      </c>
      <c r="D492" s="19" t="s">
        <v>1656</v>
      </c>
      <c r="E492" s="19" t="n">
        <v>1</v>
      </c>
      <c r="F492" s="17" t="s">
        <v>1973</v>
      </c>
      <c r="G492" s="17" t="s">
        <v>1104</v>
      </c>
      <c r="H492" s="19"/>
    </row>
    <row r="493" customFormat="false" ht="15" hidden="false" customHeight="false" outlineLevel="0" collapsed="false">
      <c r="A493" s="19" t="s">
        <v>1449</v>
      </c>
      <c r="B493" s="19" t="s">
        <v>1847</v>
      </c>
      <c r="C493" s="19" t="n">
        <v>8</v>
      </c>
      <c r="D493" s="19" t="s">
        <v>1659</v>
      </c>
      <c r="E493" s="19" t="n">
        <v>0.4</v>
      </c>
      <c r="F493" s="17" t="s">
        <v>1974</v>
      </c>
      <c r="G493" s="17" t="s">
        <v>1104</v>
      </c>
      <c r="H493" s="19"/>
    </row>
    <row r="494" customFormat="false" ht="15" hidden="false" customHeight="false" outlineLevel="0" collapsed="false">
      <c r="A494" s="19" t="s">
        <v>1449</v>
      </c>
      <c r="B494" s="19" t="s">
        <v>1849</v>
      </c>
      <c r="C494" s="19" t="n">
        <v>8</v>
      </c>
      <c r="D494" s="19" t="s">
        <v>1662</v>
      </c>
      <c r="E494" s="19" t="n">
        <v>0.45</v>
      </c>
      <c r="F494" s="17" t="s">
        <v>1975</v>
      </c>
      <c r="G494" s="17" t="s">
        <v>1104</v>
      </c>
      <c r="H494" s="19"/>
    </row>
    <row r="495" customFormat="false" ht="15" hidden="false" customHeight="false" outlineLevel="0" collapsed="false">
      <c r="A495" s="19" t="s">
        <v>1449</v>
      </c>
      <c r="B495" s="19" t="s">
        <v>1851</v>
      </c>
      <c r="C495" s="19" t="n">
        <v>8</v>
      </c>
      <c r="D495" s="19" t="s">
        <v>1665</v>
      </c>
      <c r="E495" s="19" t="n">
        <v>0.15</v>
      </c>
      <c r="F495" s="17" t="s">
        <v>1976</v>
      </c>
      <c r="G495" s="17" t="s">
        <v>1104</v>
      </c>
      <c r="H495" s="19"/>
    </row>
    <row r="496" customFormat="false" ht="15" hidden="false" customHeight="false" outlineLevel="0" collapsed="false">
      <c r="A496" s="19" t="s">
        <v>1449</v>
      </c>
      <c r="B496" s="19" t="s">
        <v>1855</v>
      </c>
      <c r="C496" s="19" t="n">
        <v>8</v>
      </c>
      <c r="D496" s="17" t="s">
        <v>1648</v>
      </c>
      <c r="E496" s="19" t="n">
        <v>1</v>
      </c>
      <c r="F496" s="17" t="s">
        <v>1977</v>
      </c>
      <c r="G496" s="17" t="s">
        <v>1104</v>
      </c>
      <c r="H496" s="19"/>
    </row>
    <row r="497" customFormat="false" ht="15" hidden="false" customHeight="false" outlineLevel="0" collapsed="false">
      <c r="A497" s="19" t="s">
        <v>1449</v>
      </c>
      <c r="B497" s="19" t="s">
        <v>1857</v>
      </c>
      <c r="C497" s="19" t="n">
        <v>8</v>
      </c>
      <c r="D497" s="19" t="s">
        <v>1651</v>
      </c>
      <c r="E497" s="19" t="n">
        <v>1</v>
      </c>
      <c r="F497" s="17" t="s">
        <v>1978</v>
      </c>
      <c r="G497" s="17" t="s">
        <v>1104</v>
      </c>
      <c r="H497" s="19"/>
    </row>
    <row r="498" customFormat="false" ht="15" hidden="false" customHeight="false" outlineLevel="0" collapsed="false">
      <c r="A498" s="19" t="s">
        <v>1449</v>
      </c>
      <c r="B498" s="19" t="s">
        <v>1859</v>
      </c>
      <c r="C498" s="19" t="n">
        <v>8</v>
      </c>
      <c r="D498" s="19" t="s">
        <v>1653</v>
      </c>
      <c r="E498" s="19" t="n">
        <v>1</v>
      </c>
      <c r="F498" s="17" t="s">
        <v>1979</v>
      </c>
      <c r="G498" s="17" t="s">
        <v>1104</v>
      </c>
      <c r="H498" s="19"/>
    </row>
    <row r="499" customFormat="false" ht="15" hidden="false" customHeight="false" outlineLevel="0" collapsed="false">
      <c r="A499" s="19" t="s">
        <v>1449</v>
      </c>
      <c r="B499" s="19" t="s">
        <v>1861</v>
      </c>
      <c r="C499" s="19" t="n">
        <v>8</v>
      </c>
      <c r="D499" s="19" t="s">
        <v>1656</v>
      </c>
      <c r="E499" s="19" t="n">
        <v>1</v>
      </c>
      <c r="F499" s="17" t="s">
        <v>1980</v>
      </c>
      <c r="G499" s="17" t="s">
        <v>1104</v>
      </c>
      <c r="H499" s="19"/>
    </row>
    <row r="500" customFormat="false" ht="15" hidden="false" customHeight="false" outlineLevel="0" collapsed="false">
      <c r="A500" s="19" t="s">
        <v>1449</v>
      </c>
      <c r="B500" s="19" t="s">
        <v>1863</v>
      </c>
      <c r="C500" s="19" t="n">
        <v>8</v>
      </c>
      <c r="D500" s="19" t="s">
        <v>1659</v>
      </c>
      <c r="E500" s="19" t="n">
        <v>0.4</v>
      </c>
      <c r="F500" s="17" t="s">
        <v>1981</v>
      </c>
      <c r="G500" s="17" t="s">
        <v>1104</v>
      </c>
      <c r="H500" s="19"/>
    </row>
    <row r="501" customFormat="false" ht="15" hidden="false" customHeight="false" outlineLevel="0" collapsed="false">
      <c r="A501" s="19" t="s">
        <v>1449</v>
      </c>
      <c r="B501" s="19" t="s">
        <v>1865</v>
      </c>
      <c r="C501" s="19" t="n">
        <v>8</v>
      </c>
      <c r="D501" s="19" t="s">
        <v>1662</v>
      </c>
      <c r="E501" s="19" t="n">
        <v>0.45</v>
      </c>
      <c r="F501" s="17" t="s">
        <v>1982</v>
      </c>
      <c r="G501" s="17" t="s">
        <v>1104</v>
      </c>
      <c r="H501" s="19"/>
    </row>
    <row r="502" customFormat="false" ht="15" hidden="false" customHeight="false" outlineLevel="0" collapsed="false">
      <c r="A502" s="19" t="s">
        <v>1449</v>
      </c>
      <c r="B502" s="19" t="s">
        <v>1867</v>
      </c>
      <c r="C502" s="19" t="n">
        <v>8</v>
      </c>
      <c r="D502" s="19" t="s">
        <v>1665</v>
      </c>
      <c r="E502" s="19" t="n">
        <v>0.15</v>
      </c>
      <c r="F502" s="17" t="s">
        <v>1983</v>
      </c>
      <c r="G502" s="17" t="s">
        <v>1104</v>
      </c>
      <c r="H502" s="19"/>
    </row>
    <row r="503" customFormat="false" ht="15" hidden="false" customHeight="false" outlineLevel="0" collapsed="false">
      <c r="A503" s="19" t="s">
        <v>1449</v>
      </c>
      <c r="B503" s="19" t="s">
        <v>1871</v>
      </c>
      <c r="C503" s="19" t="n">
        <v>8</v>
      </c>
      <c r="D503" s="17" t="s">
        <v>1648</v>
      </c>
      <c r="E503" s="19" t="n">
        <v>1</v>
      </c>
      <c r="F503" s="17" t="s">
        <v>1984</v>
      </c>
      <c r="G503" s="17" t="s">
        <v>1104</v>
      </c>
      <c r="H503" s="19"/>
    </row>
    <row r="504" customFormat="false" ht="15" hidden="false" customHeight="false" outlineLevel="0" collapsed="false">
      <c r="A504" s="19" t="s">
        <v>1449</v>
      </c>
      <c r="B504" s="19" t="s">
        <v>1873</v>
      </c>
      <c r="C504" s="19" t="n">
        <v>8</v>
      </c>
      <c r="D504" s="19" t="s">
        <v>1651</v>
      </c>
      <c r="E504" s="19" t="n">
        <v>1</v>
      </c>
      <c r="F504" s="17" t="s">
        <v>1985</v>
      </c>
      <c r="G504" s="17" t="s">
        <v>1104</v>
      </c>
      <c r="H504" s="19"/>
    </row>
    <row r="505" customFormat="false" ht="15" hidden="false" customHeight="false" outlineLevel="0" collapsed="false">
      <c r="A505" s="19" t="s">
        <v>1449</v>
      </c>
      <c r="B505" s="19" t="s">
        <v>1875</v>
      </c>
      <c r="C505" s="19" t="n">
        <v>8</v>
      </c>
      <c r="D505" s="19" t="s">
        <v>1653</v>
      </c>
      <c r="E505" s="19" t="n">
        <v>1</v>
      </c>
      <c r="F505" s="17" t="s">
        <v>1986</v>
      </c>
      <c r="G505" s="17" t="s">
        <v>1104</v>
      </c>
      <c r="H505" s="19"/>
    </row>
    <row r="506" customFormat="false" ht="15" hidden="false" customHeight="false" outlineLevel="0" collapsed="false">
      <c r="A506" s="19" t="s">
        <v>1449</v>
      </c>
      <c r="B506" s="19" t="s">
        <v>1877</v>
      </c>
      <c r="C506" s="19" t="n">
        <v>8</v>
      </c>
      <c r="D506" s="19" t="s">
        <v>1656</v>
      </c>
      <c r="E506" s="19" t="n">
        <v>1</v>
      </c>
      <c r="F506" s="17" t="s">
        <v>1987</v>
      </c>
      <c r="G506" s="17" t="s">
        <v>1104</v>
      </c>
      <c r="H506" s="19"/>
    </row>
    <row r="507" customFormat="false" ht="15" hidden="false" customHeight="false" outlineLevel="0" collapsed="false">
      <c r="A507" s="19" t="s">
        <v>1449</v>
      </c>
      <c r="B507" s="19" t="s">
        <v>1879</v>
      </c>
      <c r="C507" s="19" t="n">
        <v>8</v>
      </c>
      <c r="D507" s="19" t="s">
        <v>1659</v>
      </c>
      <c r="E507" s="19" t="n">
        <v>0.4</v>
      </c>
      <c r="F507" s="17" t="s">
        <v>1988</v>
      </c>
      <c r="G507" s="17" t="s">
        <v>1104</v>
      </c>
      <c r="H507" s="19"/>
    </row>
    <row r="508" customFormat="false" ht="15" hidden="false" customHeight="false" outlineLevel="0" collapsed="false">
      <c r="A508" s="19" t="s">
        <v>1449</v>
      </c>
      <c r="B508" s="19" t="s">
        <v>1881</v>
      </c>
      <c r="C508" s="19" t="n">
        <v>8</v>
      </c>
      <c r="D508" s="19" t="s">
        <v>1662</v>
      </c>
      <c r="E508" s="19" t="n">
        <v>0.45</v>
      </c>
      <c r="F508" s="17" t="s">
        <v>1989</v>
      </c>
      <c r="G508" s="17" t="s">
        <v>1104</v>
      </c>
      <c r="H508" s="19"/>
    </row>
    <row r="509" customFormat="false" ht="15" hidden="false" customHeight="false" outlineLevel="0" collapsed="false">
      <c r="A509" s="19" t="s">
        <v>1449</v>
      </c>
      <c r="B509" s="19" t="s">
        <v>1883</v>
      </c>
      <c r="C509" s="19" t="n">
        <v>8</v>
      </c>
      <c r="D509" s="19" t="s">
        <v>1665</v>
      </c>
      <c r="E509" s="19" t="n">
        <v>0.15</v>
      </c>
      <c r="F509" s="17" t="s">
        <v>1990</v>
      </c>
      <c r="G509" s="17" t="s">
        <v>1104</v>
      </c>
      <c r="H509" s="19"/>
    </row>
    <row r="510" customFormat="false" ht="15" hidden="false" customHeight="false" outlineLevel="0" collapsed="false">
      <c r="A510" s="19" t="s">
        <v>1991</v>
      </c>
      <c r="B510" s="19" t="s">
        <v>1216</v>
      </c>
      <c r="C510" s="19" t="n">
        <v>8</v>
      </c>
      <c r="D510" s="17" t="s">
        <v>1468</v>
      </c>
      <c r="E510" s="19" t="n">
        <v>86407975794.7352</v>
      </c>
      <c r="F510" s="17" t="s">
        <v>1992</v>
      </c>
      <c r="G510" s="17" t="s">
        <v>1104</v>
      </c>
      <c r="H510" s="19"/>
    </row>
    <row r="511" customFormat="false" ht="15" hidden="false" customHeight="false" outlineLevel="0" collapsed="false">
      <c r="A511" s="19" t="s">
        <v>1991</v>
      </c>
      <c r="B511" s="19" t="s">
        <v>1156</v>
      </c>
      <c r="C511" s="19" t="n">
        <v>8</v>
      </c>
      <c r="D511" s="17" t="s">
        <v>1470</v>
      </c>
      <c r="E511" s="19" t="n">
        <v>26792506585.9425</v>
      </c>
      <c r="F511" s="17" t="s">
        <v>1993</v>
      </c>
      <c r="G511" s="17" t="s">
        <v>1104</v>
      </c>
      <c r="H511" s="19"/>
    </row>
    <row r="512" customFormat="false" ht="15" hidden="false" customHeight="false" outlineLevel="0" collapsed="false">
      <c r="A512" s="19" t="s">
        <v>1991</v>
      </c>
      <c r="B512" s="19" t="s">
        <v>1472</v>
      </c>
      <c r="C512" s="19" t="n">
        <v>8</v>
      </c>
      <c r="D512" s="17" t="s">
        <v>1473</v>
      </c>
      <c r="E512" s="19" t="n">
        <v>4922169701.51936</v>
      </c>
      <c r="F512" s="17" t="s">
        <v>1994</v>
      </c>
      <c r="G512" s="17" t="s">
        <v>1104</v>
      </c>
      <c r="H512" s="19"/>
    </row>
    <row r="513" customFormat="false" ht="15" hidden="false" customHeight="false" outlineLevel="0" collapsed="false">
      <c r="A513" s="19" t="s">
        <v>1991</v>
      </c>
      <c r="B513" s="19" t="s">
        <v>1235</v>
      </c>
      <c r="C513" s="19" t="n">
        <v>8</v>
      </c>
      <c r="D513" s="17" t="s">
        <v>1468</v>
      </c>
      <c r="E513" s="19" t="n">
        <v>86407975794.7352</v>
      </c>
      <c r="F513" s="17" t="s">
        <v>1995</v>
      </c>
      <c r="G513" s="17" t="s">
        <v>1104</v>
      </c>
      <c r="H513" s="19"/>
    </row>
    <row r="514" customFormat="false" ht="15" hidden="false" customHeight="false" outlineLevel="0" collapsed="false">
      <c r="A514" s="19" t="s">
        <v>1991</v>
      </c>
      <c r="B514" s="19" t="s">
        <v>1267</v>
      </c>
      <c r="C514" s="19" t="n">
        <v>8</v>
      </c>
      <c r="D514" s="17" t="s">
        <v>1470</v>
      </c>
      <c r="E514" s="19" t="n">
        <v>26792506585.9425</v>
      </c>
      <c r="F514" s="17" t="s">
        <v>1996</v>
      </c>
      <c r="G514" s="17" t="s">
        <v>1104</v>
      </c>
      <c r="H514" s="19"/>
    </row>
    <row r="515" customFormat="false" ht="15" hidden="false" customHeight="false" outlineLevel="0" collapsed="false">
      <c r="A515" s="19" t="s">
        <v>1991</v>
      </c>
      <c r="B515" s="19" t="s">
        <v>1477</v>
      </c>
      <c r="C515" s="19" t="n">
        <v>8</v>
      </c>
      <c r="D515" s="17" t="s">
        <v>1473</v>
      </c>
      <c r="E515" s="19" t="n">
        <v>4922169701.51936</v>
      </c>
      <c r="F515" s="17" t="s">
        <v>1997</v>
      </c>
      <c r="G515" s="17" t="s">
        <v>1104</v>
      </c>
      <c r="H515" s="19"/>
    </row>
    <row r="516" customFormat="false" ht="15" hidden="false" customHeight="false" outlineLevel="0" collapsed="false">
      <c r="A516" s="19" t="s">
        <v>1991</v>
      </c>
      <c r="B516" s="19" t="s">
        <v>1243</v>
      </c>
      <c r="C516" s="19" t="n">
        <v>8</v>
      </c>
      <c r="D516" s="17" t="s">
        <v>1468</v>
      </c>
      <c r="E516" s="19" t="n">
        <v>86407975794.7352</v>
      </c>
      <c r="F516" s="17" t="s">
        <v>1998</v>
      </c>
      <c r="G516" s="17" t="s">
        <v>1104</v>
      </c>
      <c r="H516" s="19"/>
    </row>
    <row r="517" customFormat="false" ht="15" hidden="false" customHeight="false" outlineLevel="0" collapsed="false">
      <c r="A517" s="19" t="s">
        <v>1991</v>
      </c>
      <c r="B517" s="19" t="s">
        <v>1268</v>
      </c>
      <c r="C517" s="19" t="n">
        <v>8</v>
      </c>
      <c r="D517" s="17" t="s">
        <v>1470</v>
      </c>
      <c r="E517" s="19" t="n">
        <v>26792506585.9425</v>
      </c>
      <c r="F517" s="17" t="s">
        <v>1999</v>
      </c>
      <c r="G517" s="17" t="s">
        <v>1104</v>
      </c>
      <c r="H517" s="19"/>
    </row>
    <row r="518" customFormat="false" ht="15" hidden="false" customHeight="false" outlineLevel="0" collapsed="false">
      <c r="A518" s="19" t="s">
        <v>1991</v>
      </c>
      <c r="B518" s="19" t="s">
        <v>1481</v>
      </c>
      <c r="C518" s="19" t="n">
        <v>8</v>
      </c>
      <c r="D518" s="17" t="s">
        <v>1473</v>
      </c>
      <c r="E518" s="19" t="n">
        <v>4922169701.51936</v>
      </c>
      <c r="F518" s="17" t="s">
        <v>2000</v>
      </c>
      <c r="G518" s="17" t="s">
        <v>1104</v>
      </c>
      <c r="H518" s="19"/>
    </row>
    <row r="519" customFormat="false" ht="15" hidden="false" customHeight="false" outlineLevel="0" collapsed="false">
      <c r="A519" s="19" t="s">
        <v>1991</v>
      </c>
      <c r="B519" s="19" t="s">
        <v>1251</v>
      </c>
      <c r="C519" s="19" t="n">
        <v>8</v>
      </c>
      <c r="D519" s="17" t="s">
        <v>1468</v>
      </c>
      <c r="E519" s="19" t="n">
        <v>450057565855.446</v>
      </c>
      <c r="F519" s="17" t="s">
        <v>2001</v>
      </c>
      <c r="G519" s="17" t="s">
        <v>1104</v>
      </c>
      <c r="H519" s="19"/>
    </row>
    <row r="520" customFormat="false" ht="15" hidden="false" customHeight="false" outlineLevel="0" collapsed="false">
      <c r="A520" s="19" t="s">
        <v>1991</v>
      </c>
      <c r="B520" s="19" t="s">
        <v>1484</v>
      </c>
      <c r="C520" s="19" t="n">
        <v>8</v>
      </c>
      <c r="D520" s="17" t="s">
        <v>1470</v>
      </c>
      <c r="E520" s="19" t="n">
        <v>134211447108.45</v>
      </c>
      <c r="F520" s="17" t="s">
        <v>2002</v>
      </c>
      <c r="G520" s="17" t="s">
        <v>1104</v>
      </c>
      <c r="H520" s="19"/>
    </row>
    <row r="521" customFormat="false" ht="15" hidden="false" customHeight="false" outlineLevel="0" collapsed="false">
      <c r="A521" s="19" t="s">
        <v>1991</v>
      </c>
      <c r="B521" s="19" t="s">
        <v>1486</v>
      </c>
      <c r="C521" s="19" t="n">
        <v>8</v>
      </c>
      <c r="D521" s="17" t="s">
        <v>1473</v>
      </c>
      <c r="E521" s="19" t="n">
        <v>26454520304.8426</v>
      </c>
      <c r="F521" s="17" t="s">
        <v>2003</v>
      </c>
      <c r="G521" s="17" t="s">
        <v>1104</v>
      </c>
      <c r="H521" s="19"/>
    </row>
    <row r="522" customFormat="false" ht="15" hidden="false" customHeight="false" outlineLevel="0" collapsed="false">
      <c r="A522" s="19" t="s">
        <v>1991</v>
      </c>
      <c r="B522" s="19" t="s">
        <v>1488</v>
      </c>
      <c r="C522" s="19" t="n">
        <v>8</v>
      </c>
      <c r="D522" s="17" t="s">
        <v>1468</v>
      </c>
      <c r="E522" s="19" t="n">
        <v>450057565855.446</v>
      </c>
      <c r="F522" s="17" t="s">
        <v>2004</v>
      </c>
      <c r="G522" s="17" t="s">
        <v>1104</v>
      </c>
      <c r="H522" s="19"/>
    </row>
    <row r="523" customFormat="false" ht="15" hidden="false" customHeight="false" outlineLevel="0" collapsed="false">
      <c r="A523" s="19" t="s">
        <v>1991</v>
      </c>
      <c r="B523" s="19" t="s">
        <v>1490</v>
      </c>
      <c r="C523" s="19" t="n">
        <v>8</v>
      </c>
      <c r="D523" s="17" t="s">
        <v>1470</v>
      </c>
      <c r="E523" s="19" t="n">
        <v>134211447108.45</v>
      </c>
      <c r="F523" s="17" t="s">
        <v>2005</v>
      </c>
      <c r="G523" s="17" t="s">
        <v>1104</v>
      </c>
      <c r="H523" s="19"/>
    </row>
    <row r="524" customFormat="false" ht="15" hidden="false" customHeight="false" outlineLevel="0" collapsed="false">
      <c r="A524" s="19" t="s">
        <v>1991</v>
      </c>
      <c r="B524" s="19" t="s">
        <v>1492</v>
      </c>
      <c r="C524" s="19" t="n">
        <v>8</v>
      </c>
      <c r="D524" s="17" t="s">
        <v>1473</v>
      </c>
      <c r="E524" s="19" t="n">
        <v>26454520304.8426</v>
      </c>
      <c r="F524" s="17" t="s">
        <v>2006</v>
      </c>
      <c r="G524" s="17" t="s">
        <v>1104</v>
      </c>
      <c r="H524" s="19"/>
    </row>
    <row r="525" customFormat="false" ht="15" hidden="false" customHeight="false" outlineLevel="0" collapsed="false">
      <c r="A525" s="19" t="s">
        <v>1991</v>
      </c>
      <c r="B525" s="19" t="s">
        <v>1494</v>
      </c>
      <c r="C525" s="19" t="n">
        <v>8</v>
      </c>
      <c r="D525" s="17" t="s">
        <v>1468</v>
      </c>
      <c r="E525" s="19" t="n">
        <v>450057565855.446</v>
      </c>
      <c r="F525" s="17" t="s">
        <v>2007</v>
      </c>
      <c r="G525" s="17" t="s">
        <v>1104</v>
      </c>
      <c r="H525" s="19"/>
    </row>
    <row r="526" customFormat="false" ht="15" hidden="false" customHeight="false" outlineLevel="0" collapsed="false">
      <c r="A526" s="19" t="s">
        <v>1991</v>
      </c>
      <c r="B526" s="19" t="s">
        <v>1496</v>
      </c>
      <c r="C526" s="19" t="n">
        <v>8</v>
      </c>
      <c r="D526" s="17" t="s">
        <v>1470</v>
      </c>
      <c r="E526" s="19" t="n">
        <v>134211447108.45</v>
      </c>
      <c r="F526" s="17" t="s">
        <v>2008</v>
      </c>
      <c r="G526" s="17" t="s">
        <v>1104</v>
      </c>
      <c r="H526" s="19"/>
    </row>
    <row r="527" customFormat="false" ht="15" hidden="false" customHeight="false" outlineLevel="0" collapsed="false">
      <c r="A527" s="19" t="s">
        <v>1991</v>
      </c>
      <c r="B527" s="19" t="s">
        <v>1498</v>
      </c>
      <c r="C527" s="19" t="n">
        <v>8</v>
      </c>
      <c r="D527" s="17" t="s">
        <v>1473</v>
      </c>
      <c r="E527" s="19" t="n">
        <v>26454520304.8426</v>
      </c>
      <c r="F527" s="17" t="s">
        <v>2009</v>
      </c>
      <c r="G527" s="17" t="s">
        <v>1104</v>
      </c>
      <c r="H527" s="19"/>
    </row>
    <row r="528" customFormat="false" ht="15" hidden="false" customHeight="false" outlineLevel="0" collapsed="false">
      <c r="A528" s="19" t="s">
        <v>1991</v>
      </c>
      <c r="B528" s="19" t="s">
        <v>1500</v>
      </c>
      <c r="C528" s="19" t="n">
        <v>8</v>
      </c>
      <c r="D528" s="17" t="s">
        <v>1468</v>
      </c>
      <c r="E528" s="19" t="n">
        <v>582737912578.515</v>
      </c>
      <c r="F528" s="17" t="s">
        <v>2010</v>
      </c>
      <c r="G528" s="17" t="s">
        <v>1104</v>
      </c>
      <c r="H528" s="19"/>
    </row>
    <row r="529" customFormat="false" ht="15" hidden="false" customHeight="false" outlineLevel="0" collapsed="false">
      <c r="A529" s="19" t="s">
        <v>1991</v>
      </c>
      <c r="B529" s="19" t="s">
        <v>1502</v>
      </c>
      <c r="C529" s="19" t="n">
        <v>8</v>
      </c>
      <c r="D529" s="17" t="s">
        <v>1470</v>
      </c>
      <c r="E529" s="19" t="n">
        <v>173916692578.355</v>
      </c>
      <c r="F529" s="17" t="s">
        <v>2011</v>
      </c>
      <c r="G529" s="17" t="s">
        <v>1104</v>
      </c>
      <c r="H529" s="19"/>
    </row>
    <row r="530" customFormat="false" ht="15" hidden="false" customHeight="false" outlineLevel="0" collapsed="false">
      <c r="A530" s="19" t="s">
        <v>1991</v>
      </c>
      <c r="B530" s="19" t="s">
        <v>1504</v>
      </c>
      <c r="C530" s="19" t="n">
        <v>8</v>
      </c>
      <c r="D530" s="17" t="s">
        <v>1473</v>
      </c>
      <c r="E530" s="19" t="n">
        <v>30467960042.7945</v>
      </c>
      <c r="F530" s="17" t="s">
        <v>2012</v>
      </c>
      <c r="G530" s="17" t="s">
        <v>1104</v>
      </c>
      <c r="H530" s="19"/>
    </row>
    <row r="531" customFormat="false" ht="15" hidden="false" customHeight="false" outlineLevel="0" collapsed="false">
      <c r="A531" s="19" t="s">
        <v>1991</v>
      </c>
      <c r="B531" s="19" t="s">
        <v>1506</v>
      </c>
      <c r="C531" s="19" t="n">
        <v>8</v>
      </c>
      <c r="D531" s="17" t="s">
        <v>1468</v>
      </c>
      <c r="E531" s="19" t="n">
        <v>582737912578.515</v>
      </c>
      <c r="F531" s="17" t="s">
        <v>2013</v>
      </c>
      <c r="G531" s="17" t="s">
        <v>1104</v>
      </c>
      <c r="H531" s="19"/>
    </row>
    <row r="532" customFormat="false" ht="15" hidden="false" customHeight="false" outlineLevel="0" collapsed="false">
      <c r="A532" s="19" t="s">
        <v>1991</v>
      </c>
      <c r="B532" s="19" t="s">
        <v>1508</v>
      </c>
      <c r="C532" s="19" t="n">
        <v>8</v>
      </c>
      <c r="D532" s="17" t="s">
        <v>1470</v>
      </c>
      <c r="E532" s="19" t="n">
        <v>173916692578.355</v>
      </c>
      <c r="F532" s="17" t="s">
        <v>2014</v>
      </c>
      <c r="G532" s="17" t="s">
        <v>1104</v>
      </c>
      <c r="H532" s="19"/>
    </row>
    <row r="533" customFormat="false" ht="15" hidden="false" customHeight="false" outlineLevel="0" collapsed="false">
      <c r="A533" s="19" t="s">
        <v>1991</v>
      </c>
      <c r="B533" s="19" t="s">
        <v>1510</v>
      </c>
      <c r="C533" s="19" t="n">
        <v>8</v>
      </c>
      <c r="D533" s="17" t="s">
        <v>1473</v>
      </c>
      <c r="E533" s="19" t="n">
        <v>30467960042.7945</v>
      </c>
      <c r="F533" s="17" t="s">
        <v>2015</v>
      </c>
      <c r="G533" s="17" t="s">
        <v>1104</v>
      </c>
      <c r="H533" s="19"/>
    </row>
    <row r="534" customFormat="false" ht="15" hidden="false" customHeight="false" outlineLevel="0" collapsed="false">
      <c r="A534" s="19" t="s">
        <v>1991</v>
      </c>
      <c r="B534" s="19" t="s">
        <v>1512</v>
      </c>
      <c r="C534" s="19" t="n">
        <v>8</v>
      </c>
      <c r="D534" s="17" t="s">
        <v>1468</v>
      </c>
      <c r="E534" s="19" t="n">
        <v>582737912578.515</v>
      </c>
      <c r="F534" s="17" t="s">
        <v>2016</v>
      </c>
      <c r="G534" s="17" t="s">
        <v>1104</v>
      </c>
      <c r="H534" s="19"/>
    </row>
    <row r="535" customFormat="false" ht="15" hidden="false" customHeight="false" outlineLevel="0" collapsed="false">
      <c r="A535" s="19" t="s">
        <v>1991</v>
      </c>
      <c r="B535" s="19" t="s">
        <v>1514</v>
      </c>
      <c r="C535" s="19" t="n">
        <v>8</v>
      </c>
      <c r="D535" s="17" t="s">
        <v>1470</v>
      </c>
      <c r="E535" s="19" t="n">
        <v>173916692578.355</v>
      </c>
      <c r="F535" s="17" t="s">
        <v>2017</v>
      </c>
      <c r="G535" s="17" t="s">
        <v>1104</v>
      </c>
      <c r="H535" s="19"/>
    </row>
    <row r="536" customFormat="false" ht="15" hidden="false" customHeight="false" outlineLevel="0" collapsed="false">
      <c r="A536" s="19" t="s">
        <v>1991</v>
      </c>
      <c r="B536" s="19" t="s">
        <v>1516</v>
      </c>
      <c r="C536" s="19" t="n">
        <v>8</v>
      </c>
      <c r="D536" s="17" t="s">
        <v>1473</v>
      </c>
      <c r="E536" s="19" t="n">
        <v>30467960042.7945</v>
      </c>
      <c r="F536" s="17" t="s">
        <v>2018</v>
      </c>
      <c r="G536" s="17" t="s">
        <v>1104</v>
      </c>
      <c r="H536" s="19"/>
    </row>
    <row r="537" customFormat="false" ht="15" hidden="false" customHeight="false" outlineLevel="0" collapsed="false">
      <c r="A537" s="19" t="s">
        <v>1991</v>
      </c>
      <c r="B537" s="19" t="s">
        <v>1518</v>
      </c>
      <c r="C537" s="19" t="n">
        <v>8</v>
      </c>
      <c r="D537" s="17" t="s">
        <v>1468</v>
      </c>
      <c r="E537" s="19" t="n">
        <v>842649072093.88</v>
      </c>
      <c r="F537" s="17" t="s">
        <v>2019</v>
      </c>
      <c r="G537" s="17" t="s">
        <v>1104</v>
      </c>
      <c r="H537" s="19"/>
    </row>
    <row r="538" customFormat="false" ht="15" hidden="false" customHeight="false" outlineLevel="0" collapsed="false">
      <c r="A538" s="19" t="s">
        <v>1991</v>
      </c>
      <c r="B538" s="19" t="s">
        <v>1520</v>
      </c>
      <c r="C538" s="19" t="n">
        <v>8</v>
      </c>
      <c r="D538" s="17" t="s">
        <v>1470</v>
      </c>
      <c r="E538" s="19" t="n">
        <v>262223800714.127</v>
      </c>
      <c r="F538" s="17" t="s">
        <v>2020</v>
      </c>
      <c r="G538" s="17" t="s">
        <v>1104</v>
      </c>
      <c r="H538" s="19"/>
    </row>
    <row r="539" customFormat="false" ht="15" hidden="false" customHeight="false" outlineLevel="0" collapsed="false">
      <c r="A539" s="19" t="s">
        <v>1991</v>
      </c>
      <c r="B539" s="19" t="s">
        <v>1522</v>
      </c>
      <c r="C539" s="19" t="n">
        <v>8</v>
      </c>
      <c r="D539" s="17" t="s">
        <v>1473</v>
      </c>
      <c r="E539" s="19" t="n">
        <v>55366124692.1116</v>
      </c>
      <c r="F539" s="17" t="s">
        <v>2021</v>
      </c>
      <c r="G539" s="17" t="s">
        <v>1104</v>
      </c>
      <c r="H539" s="19"/>
    </row>
    <row r="540" customFormat="false" ht="15" hidden="false" customHeight="false" outlineLevel="0" collapsed="false">
      <c r="A540" s="19" t="s">
        <v>1991</v>
      </c>
      <c r="B540" s="19" t="s">
        <v>1524</v>
      </c>
      <c r="C540" s="19" t="n">
        <v>8</v>
      </c>
      <c r="D540" s="17" t="s">
        <v>1468</v>
      </c>
      <c r="E540" s="19" t="n">
        <v>842649072093.88</v>
      </c>
      <c r="F540" s="17" t="s">
        <v>2022</v>
      </c>
      <c r="G540" s="17" t="s">
        <v>1104</v>
      </c>
      <c r="H540" s="19"/>
    </row>
    <row r="541" customFormat="false" ht="15" hidden="false" customHeight="false" outlineLevel="0" collapsed="false">
      <c r="A541" s="19" t="s">
        <v>1991</v>
      </c>
      <c r="B541" s="19" t="s">
        <v>1526</v>
      </c>
      <c r="C541" s="19" t="n">
        <v>8</v>
      </c>
      <c r="D541" s="17" t="s">
        <v>1470</v>
      </c>
      <c r="E541" s="19" t="n">
        <v>262223800714.127</v>
      </c>
      <c r="F541" s="17" t="s">
        <v>2023</v>
      </c>
      <c r="G541" s="17" t="s">
        <v>1104</v>
      </c>
      <c r="H541" s="19"/>
    </row>
    <row r="542" customFormat="false" ht="15" hidden="false" customHeight="false" outlineLevel="0" collapsed="false">
      <c r="A542" s="19" t="s">
        <v>1991</v>
      </c>
      <c r="B542" s="19" t="s">
        <v>1528</v>
      </c>
      <c r="C542" s="19" t="n">
        <v>8</v>
      </c>
      <c r="D542" s="17" t="s">
        <v>1473</v>
      </c>
      <c r="E542" s="19" t="n">
        <v>55366124692.1116</v>
      </c>
      <c r="F542" s="17" t="s">
        <v>2024</v>
      </c>
      <c r="G542" s="17" t="s">
        <v>1104</v>
      </c>
      <c r="H542" s="19"/>
    </row>
    <row r="543" customFormat="false" ht="15" hidden="false" customHeight="false" outlineLevel="0" collapsed="false">
      <c r="A543" s="19" t="s">
        <v>1991</v>
      </c>
      <c r="B543" s="19" t="s">
        <v>1530</v>
      </c>
      <c r="C543" s="19" t="n">
        <v>8</v>
      </c>
      <c r="D543" s="17" t="s">
        <v>1468</v>
      </c>
      <c r="E543" s="19" t="n">
        <v>842649072093.88</v>
      </c>
      <c r="F543" s="17" t="s">
        <v>2025</v>
      </c>
      <c r="G543" s="17" t="s">
        <v>1104</v>
      </c>
      <c r="H543" s="19"/>
    </row>
    <row r="544" customFormat="false" ht="15" hidden="false" customHeight="false" outlineLevel="0" collapsed="false">
      <c r="A544" s="19" t="s">
        <v>1991</v>
      </c>
      <c r="B544" s="19" t="s">
        <v>1532</v>
      </c>
      <c r="C544" s="19" t="n">
        <v>8</v>
      </c>
      <c r="D544" s="17" t="s">
        <v>1470</v>
      </c>
      <c r="E544" s="19" t="n">
        <v>262223800714.127</v>
      </c>
      <c r="F544" s="17" t="s">
        <v>2026</v>
      </c>
      <c r="G544" s="17" t="s">
        <v>1104</v>
      </c>
      <c r="H544" s="19"/>
    </row>
    <row r="545" customFormat="false" ht="15" hidden="false" customHeight="false" outlineLevel="0" collapsed="false">
      <c r="A545" s="19" t="s">
        <v>1991</v>
      </c>
      <c r="B545" s="19" t="s">
        <v>1534</v>
      </c>
      <c r="C545" s="19" t="n">
        <v>8</v>
      </c>
      <c r="D545" s="17" t="s">
        <v>1473</v>
      </c>
      <c r="E545" s="19" t="n">
        <v>55366124692.1116</v>
      </c>
      <c r="F545" s="17" t="s">
        <v>2027</v>
      </c>
      <c r="G545" s="17" t="s">
        <v>1104</v>
      </c>
      <c r="H545" s="19"/>
    </row>
    <row r="546" customFormat="false" ht="15" hidden="false" customHeight="false" outlineLevel="0" collapsed="false">
      <c r="A546" s="19" t="s">
        <v>1991</v>
      </c>
      <c r="B546" s="19" t="s">
        <v>1536</v>
      </c>
      <c r="C546" s="19" t="n">
        <v>8</v>
      </c>
      <c r="D546" s="17" t="s">
        <v>1468</v>
      </c>
      <c r="E546" s="19" t="n">
        <v>1135178323762.64</v>
      </c>
      <c r="F546" s="17" t="s">
        <v>2028</v>
      </c>
      <c r="G546" s="17" t="s">
        <v>1104</v>
      </c>
      <c r="H546" s="19"/>
    </row>
    <row r="547" customFormat="false" ht="15" hidden="false" customHeight="false" outlineLevel="0" collapsed="false">
      <c r="A547" s="19" t="s">
        <v>1991</v>
      </c>
      <c r="B547" s="19" t="s">
        <v>1538</v>
      </c>
      <c r="C547" s="19" t="n">
        <v>8</v>
      </c>
      <c r="D547" s="17" t="s">
        <v>1470</v>
      </c>
      <c r="E547" s="19" t="n">
        <v>357423824607.946</v>
      </c>
      <c r="F547" s="17" t="s">
        <v>2029</v>
      </c>
      <c r="G547" s="17" t="s">
        <v>1104</v>
      </c>
      <c r="H547" s="19"/>
    </row>
    <row r="548" customFormat="false" ht="15" hidden="false" customHeight="false" outlineLevel="0" collapsed="false">
      <c r="A548" s="19" t="s">
        <v>1991</v>
      </c>
      <c r="B548" s="19" t="s">
        <v>1540</v>
      </c>
      <c r="C548" s="19" t="n">
        <v>8</v>
      </c>
      <c r="D548" s="17" t="s">
        <v>1473</v>
      </c>
      <c r="E548" s="19" t="n">
        <v>78738073685.4024</v>
      </c>
      <c r="F548" s="17" t="s">
        <v>2030</v>
      </c>
      <c r="G548" s="17" t="s">
        <v>1104</v>
      </c>
      <c r="H548" s="19"/>
    </row>
    <row r="549" customFormat="false" ht="15" hidden="false" customHeight="false" outlineLevel="0" collapsed="false">
      <c r="A549" s="19" t="s">
        <v>1991</v>
      </c>
      <c r="B549" s="19" t="s">
        <v>1542</v>
      </c>
      <c r="C549" s="19" t="n">
        <v>8</v>
      </c>
      <c r="D549" s="17" t="s">
        <v>1468</v>
      </c>
      <c r="E549" s="19" t="n">
        <v>1135178323762.64</v>
      </c>
      <c r="F549" s="17" t="s">
        <v>2031</v>
      </c>
      <c r="G549" s="17" t="s">
        <v>1104</v>
      </c>
      <c r="H549" s="19"/>
    </row>
    <row r="550" customFormat="false" ht="15" hidden="false" customHeight="false" outlineLevel="0" collapsed="false">
      <c r="A550" s="19" t="s">
        <v>1991</v>
      </c>
      <c r="B550" s="19" t="s">
        <v>1544</v>
      </c>
      <c r="C550" s="19" t="n">
        <v>8</v>
      </c>
      <c r="D550" s="17" t="s">
        <v>1470</v>
      </c>
      <c r="E550" s="19" t="n">
        <v>357423824607.946</v>
      </c>
      <c r="F550" s="17" t="s">
        <v>2032</v>
      </c>
      <c r="G550" s="17" t="s">
        <v>1104</v>
      </c>
      <c r="H550" s="19"/>
    </row>
    <row r="551" customFormat="false" ht="15" hidden="false" customHeight="false" outlineLevel="0" collapsed="false">
      <c r="A551" s="19" t="s">
        <v>1991</v>
      </c>
      <c r="B551" s="19" t="s">
        <v>1546</v>
      </c>
      <c r="C551" s="19" t="n">
        <v>8</v>
      </c>
      <c r="D551" s="17" t="s">
        <v>1473</v>
      </c>
      <c r="E551" s="19" t="n">
        <v>78738073685.4024</v>
      </c>
      <c r="F551" s="17" t="s">
        <v>2033</v>
      </c>
      <c r="G551" s="17" t="s">
        <v>1104</v>
      </c>
      <c r="H551" s="19"/>
    </row>
    <row r="552" customFormat="false" ht="15" hidden="false" customHeight="false" outlineLevel="0" collapsed="false">
      <c r="A552" s="19" t="s">
        <v>1991</v>
      </c>
      <c r="B552" s="19" t="s">
        <v>1548</v>
      </c>
      <c r="C552" s="19" t="n">
        <v>8</v>
      </c>
      <c r="D552" s="17" t="s">
        <v>1468</v>
      </c>
      <c r="E552" s="19" t="n">
        <v>1135178323762.64</v>
      </c>
      <c r="F552" s="17" t="s">
        <v>2034</v>
      </c>
      <c r="G552" s="17" t="s">
        <v>1104</v>
      </c>
      <c r="H552" s="19"/>
    </row>
    <row r="553" customFormat="false" ht="15" hidden="false" customHeight="false" outlineLevel="0" collapsed="false">
      <c r="A553" s="19" t="s">
        <v>1991</v>
      </c>
      <c r="B553" s="19" t="s">
        <v>1550</v>
      </c>
      <c r="C553" s="19" t="n">
        <v>8</v>
      </c>
      <c r="D553" s="17" t="s">
        <v>1470</v>
      </c>
      <c r="E553" s="19" t="n">
        <v>357423824607.946</v>
      </c>
      <c r="F553" s="17" t="s">
        <v>2035</v>
      </c>
      <c r="G553" s="17" t="s">
        <v>1104</v>
      </c>
      <c r="H553" s="19"/>
    </row>
    <row r="554" customFormat="false" ht="15" hidden="false" customHeight="false" outlineLevel="0" collapsed="false">
      <c r="A554" s="19" t="s">
        <v>1991</v>
      </c>
      <c r="B554" s="19" t="s">
        <v>1552</v>
      </c>
      <c r="C554" s="19" t="n">
        <v>8</v>
      </c>
      <c r="D554" s="17" t="s">
        <v>1473</v>
      </c>
      <c r="E554" s="19" t="n">
        <v>78738073685.4024</v>
      </c>
      <c r="F554" s="17" t="s">
        <v>2036</v>
      </c>
      <c r="G554" s="17" t="s">
        <v>1104</v>
      </c>
      <c r="H554" s="19"/>
    </row>
    <row r="555" customFormat="false" ht="15" hidden="false" customHeight="false" outlineLevel="0" collapsed="false">
      <c r="A555" s="55" t="s">
        <v>1100</v>
      </c>
      <c r="B555" s="55" t="s">
        <v>1203</v>
      </c>
      <c r="C555" s="55" t="n">
        <v>9</v>
      </c>
      <c r="D555" s="66" t="s">
        <v>2037</v>
      </c>
      <c r="E555" s="55" t="n">
        <v>0.41</v>
      </c>
      <c r="F555" s="55"/>
      <c r="G555" s="66" t="s">
        <v>1122</v>
      </c>
      <c r="H555" s="66" t="s">
        <v>2038</v>
      </c>
    </row>
    <row r="556" customFormat="false" ht="15" hidden="false" customHeight="false" outlineLevel="0" collapsed="false">
      <c r="A556" s="55" t="s">
        <v>1100</v>
      </c>
      <c r="B556" s="55" t="s">
        <v>1153</v>
      </c>
      <c r="C556" s="55" t="n">
        <v>9</v>
      </c>
      <c r="D556" s="66" t="s">
        <v>2039</v>
      </c>
      <c r="E556" s="55" t="n">
        <v>0.46</v>
      </c>
      <c r="F556" s="55"/>
      <c r="G556" s="66" t="s">
        <v>1122</v>
      </c>
      <c r="H556" s="66" t="s">
        <v>2038</v>
      </c>
    </row>
    <row r="557" customFormat="false" ht="15" hidden="false" customHeight="false" outlineLevel="0" collapsed="false">
      <c r="A557" s="19" t="s">
        <v>1389</v>
      </c>
      <c r="B557" s="19" t="s">
        <v>1193</v>
      </c>
      <c r="C557" s="19" t="n">
        <v>9</v>
      </c>
      <c r="D557" s="19" t="s">
        <v>724</v>
      </c>
      <c r="E557" s="19" t="n">
        <v>21.4202694</v>
      </c>
      <c r="F557" s="17" t="s">
        <v>2040</v>
      </c>
      <c r="G557" s="17" t="s">
        <v>1104</v>
      </c>
      <c r="H557" s="19"/>
    </row>
    <row r="558" customFormat="false" ht="15" hidden="false" customHeight="false" outlineLevel="0" collapsed="false">
      <c r="A558" s="19" t="s">
        <v>1389</v>
      </c>
      <c r="B558" s="19" t="s">
        <v>2041</v>
      </c>
      <c r="C558" s="19" t="n">
        <v>9</v>
      </c>
      <c r="D558" s="17" t="s">
        <v>542</v>
      </c>
      <c r="E558" s="19" t="n">
        <v>0.02</v>
      </c>
      <c r="F558" s="17" t="s">
        <v>2042</v>
      </c>
      <c r="G558" s="17" t="s">
        <v>1104</v>
      </c>
      <c r="H558" s="19"/>
    </row>
    <row r="559" customFormat="false" ht="15" hidden="false" customHeight="false" outlineLevel="0" collapsed="false">
      <c r="A559" s="19" t="s">
        <v>1389</v>
      </c>
      <c r="B559" s="19" t="s">
        <v>1150</v>
      </c>
      <c r="C559" s="19" t="n">
        <v>9</v>
      </c>
      <c r="D559" s="17" t="s">
        <v>727</v>
      </c>
      <c r="E559" s="19" t="n">
        <v>3</v>
      </c>
      <c r="F559" s="17" t="s">
        <v>2043</v>
      </c>
      <c r="G559" s="17" t="s">
        <v>1104</v>
      </c>
      <c r="H559" s="19"/>
    </row>
    <row r="560" customFormat="false" ht="15" hidden="false" customHeight="false" outlineLevel="0" collapsed="false">
      <c r="A560" s="19" t="s">
        <v>1389</v>
      </c>
      <c r="B560" s="19" t="s">
        <v>1303</v>
      </c>
      <c r="C560" s="19" t="n">
        <v>9</v>
      </c>
      <c r="D560" s="17" t="s">
        <v>549</v>
      </c>
      <c r="E560" s="19" t="n">
        <v>3.8</v>
      </c>
      <c r="F560" s="17" t="s">
        <v>2044</v>
      </c>
      <c r="G560" s="17" t="s">
        <v>1104</v>
      </c>
      <c r="H560" s="19"/>
    </row>
    <row r="561" customFormat="false" ht="15" hidden="false" customHeight="false" outlineLevel="0" collapsed="false">
      <c r="A561" s="19" t="s">
        <v>1389</v>
      </c>
      <c r="B561" s="19" t="s">
        <v>1203</v>
      </c>
      <c r="C561" s="19" t="n">
        <v>9</v>
      </c>
      <c r="D561" s="17" t="s">
        <v>552</v>
      </c>
      <c r="E561" s="19" t="n">
        <v>2</v>
      </c>
      <c r="F561" s="17" t="s">
        <v>2045</v>
      </c>
      <c r="G561" s="17" t="s">
        <v>1104</v>
      </c>
      <c r="H561" s="19"/>
    </row>
    <row r="562" customFormat="false" ht="15" hidden="false" customHeight="false" outlineLevel="0" collapsed="false">
      <c r="A562" s="19" t="s">
        <v>1389</v>
      </c>
      <c r="B562" s="19" t="s">
        <v>1153</v>
      </c>
      <c r="C562" s="19" t="n">
        <v>9</v>
      </c>
      <c r="D562" s="17" t="s">
        <v>731</v>
      </c>
      <c r="E562" s="19" t="n">
        <v>0.3</v>
      </c>
      <c r="F562" s="17" t="s">
        <v>2046</v>
      </c>
      <c r="G562" s="17" t="s">
        <v>1104</v>
      </c>
      <c r="H562" s="19"/>
    </row>
    <row r="563" customFormat="false" ht="15" hidden="false" customHeight="false" outlineLevel="0" collapsed="false">
      <c r="A563" s="19" t="s">
        <v>1389</v>
      </c>
      <c r="B563" s="19" t="s">
        <v>1271</v>
      </c>
      <c r="C563" s="19" t="n">
        <v>9</v>
      </c>
      <c r="D563" s="17" t="s">
        <v>2047</v>
      </c>
      <c r="E563" s="19" t="n">
        <v>0.12</v>
      </c>
      <c r="F563" s="17" t="s">
        <v>2048</v>
      </c>
      <c r="G563" s="17" t="s">
        <v>1104</v>
      </c>
      <c r="H563" s="19"/>
    </row>
    <row r="564" customFormat="false" ht="15" hidden="false" customHeight="false" outlineLevel="0" collapsed="false">
      <c r="A564" s="19" t="s">
        <v>1389</v>
      </c>
      <c r="B564" s="19" t="s">
        <v>2049</v>
      </c>
      <c r="C564" s="19" t="n">
        <v>9</v>
      </c>
      <c r="D564" s="17" t="s">
        <v>739</v>
      </c>
      <c r="E564" s="19" t="n">
        <v>0.404712</v>
      </c>
      <c r="F564" s="17" t="s">
        <v>2050</v>
      </c>
      <c r="G564" s="17" t="s">
        <v>1104</v>
      </c>
      <c r="H564" s="19"/>
    </row>
    <row r="565" customFormat="false" ht="15" hidden="false" customHeight="false" outlineLevel="0" collapsed="false">
      <c r="A565" s="19" t="s">
        <v>1389</v>
      </c>
      <c r="B565" s="19" t="s">
        <v>1658</v>
      </c>
      <c r="C565" s="19" t="n">
        <v>9</v>
      </c>
      <c r="D565" s="19" t="s">
        <v>581</v>
      </c>
      <c r="E565" s="19" t="n">
        <v>0.219436730882534</v>
      </c>
      <c r="F565" s="17" t="s">
        <v>2051</v>
      </c>
      <c r="G565" s="17" t="s">
        <v>1104</v>
      </c>
      <c r="H565" s="19"/>
    </row>
    <row r="566" customFormat="false" ht="15" hidden="false" customHeight="false" outlineLevel="0" collapsed="false">
      <c r="A566" s="19" t="s">
        <v>1389</v>
      </c>
      <c r="B566" s="19" t="s">
        <v>1661</v>
      </c>
      <c r="C566" s="19" t="n">
        <v>9</v>
      </c>
      <c r="D566" s="17" t="s">
        <v>585</v>
      </c>
      <c r="E566" s="19" t="n">
        <v>0.15318</v>
      </c>
      <c r="F566" s="17" t="s">
        <v>2052</v>
      </c>
      <c r="G566" s="17" t="s">
        <v>1104</v>
      </c>
      <c r="H566" s="19"/>
    </row>
    <row r="567" customFormat="false" ht="15" hidden="false" customHeight="false" outlineLevel="0" collapsed="false">
      <c r="A567" s="19" t="s">
        <v>1389</v>
      </c>
      <c r="B567" s="19" t="s">
        <v>1664</v>
      </c>
      <c r="C567" s="19" t="n">
        <v>9</v>
      </c>
      <c r="D567" s="17" t="s">
        <v>2053</v>
      </c>
      <c r="E567" s="19" t="n">
        <v>0.24</v>
      </c>
      <c r="F567" s="17" t="s">
        <v>2054</v>
      </c>
      <c r="G567" s="17" t="s">
        <v>1104</v>
      </c>
      <c r="H567" s="19"/>
    </row>
    <row r="568" customFormat="false" ht="15" hidden="false" customHeight="false" outlineLevel="0" collapsed="false">
      <c r="A568" s="19" t="s">
        <v>1389</v>
      </c>
      <c r="B568" s="19" t="s">
        <v>2055</v>
      </c>
      <c r="C568" s="19" t="n">
        <v>9</v>
      </c>
      <c r="D568" s="17" t="s">
        <v>600</v>
      </c>
      <c r="E568" s="19" t="n">
        <v>0.0948968082</v>
      </c>
      <c r="F568" s="17" t="s">
        <v>2056</v>
      </c>
      <c r="G568" s="17" t="s">
        <v>1104</v>
      </c>
      <c r="H568" s="19"/>
    </row>
    <row r="569" customFormat="false" ht="15" hidden="false" customHeight="false" outlineLevel="0" collapsed="false">
      <c r="A569" s="19" t="s">
        <v>1389</v>
      </c>
      <c r="B569" s="19" t="s">
        <v>2057</v>
      </c>
      <c r="C569" s="19" t="n">
        <v>9</v>
      </c>
      <c r="D569" s="19" t="s">
        <v>962</v>
      </c>
      <c r="E569" s="19" t="n">
        <v>0.08</v>
      </c>
      <c r="F569" s="17" t="s">
        <v>2058</v>
      </c>
      <c r="G569" s="17" t="s">
        <v>1104</v>
      </c>
      <c r="H569" s="19"/>
    </row>
    <row r="570" customFormat="false" ht="15" hidden="false" customHeight="false" outlineLevel="0" collapsed="false">
      <c r="A570" s="19" t="s">
        <v>1389</v>
      </c>
      <c r="B570" s="19" t="s">
        <v>2059</v>
      </c>
      <c r="C570" s="19" t="n">
        <v>9</v>
      </c>
      <c r="D570" s="19" t="s">
        <v>750</v>
      </c>
      <c r="E570" s="19" t="n">
        <v>0.21631538622901</v>
      </c>
      <c r="F570" s="17" t="s">
        <v>2060</v>
      </c>
      <c r="G570" s="17" t="s">
        <v>1104</v>
      </c>
      <c r="H570" s="19"/>
    </row>
    <row r="571" customFormat="false" ht="15" hidden="false" customHeight="false" outlineLevel="0" collapsed="false">
      <c r="A571" s="19" t="s">
        <v>1389</v>
      </c>
      <c r="B571" s="19" t="s">
        <v>2061</v>
      </c>
      <c r="C571" s="19" t="n">
        <v>9</v>
      </c>
      <c r="D571" s="19" t="s">
        <v>724</v>
      </c>
      <c r="E571" s="19" t="n">
        <v>27.510214</v>
      </c>
      <c r="F571" s="17" t="s">
        <v>2062</v>
      </c>
      <c r="G571" s="17" t="s">
        <v>1104</v>
      </c>
      <c r="H571" s="19"/>
    </row>
    <row r="572" customFormat="false" ht="15" hidden="false" customHeight="false" outlineLevel="0" collapsed="false">
      <c r="A572" s="19" t="s">
        <v>1389</v>
      </c>
      <c r="B572" s="19" t="s">
        <v>2063</v>
      </c>
      <c r="C572" s="19" t="n">
        <v>9</v>
      </c>
      <c r="D572" s="17" t="s">
        <v>542</v>
      </c>
      <c r="E572" s="19" t="n">
        <v>0.02</v>
      </c>
      <c r="F572" s="17" t="s">
        <v>2064</v>
      </c>
      <c r="G572" s="17" t="s">
        <v>1104</v>
      </c>
      <c r="H572" s="19"/>
    </row>
    <row r="573" customFormat="false" ht="15" hidden="false" customHeight="false" outlineLevel="0" collapsed="false">
      <c r="A573" s="19" t="s">
        <v>1389</v>
      </c>
      <c r="B573" s="19" t="s">
        <v>1172</v>
      </c>
      <c r="C573" s="19" t="n">
        <v>9</v>
      </c>
      <c r="D573" s="17" t="s">
        <v>727</v>
      </c>
      <c r="E573" s="19" t="n">
        <v>3.6</v>
      </c>
      <c r="F573" s="17" t="s">
        <v>2065</v>
      </c>
      <c r="G573" s="17" t="s">
        <v>1104</v>
      </c>
      <c r="H573" s="19"/>
    </row>
    <row r="574" customFormat="false" ht="15" hidden="false" customHeight="false" outlineLevel="0" collapsed="false">
      <c r="A574" s="19" t="s">
        <v>1389</v>
      </c>
      <c r="B574" s="19" t="s">
        <v>1315</v>
      </c>
      <c r="C574" s="19" t="n">
        <v>9</v>
      </c>
      <c r="D574" s="17" t="s">
        <v>549</v>
      </c>
      <c r="E574" s="19" t="n">
        <v>4.5</v>
      </c>
      <c r="F574" s="17" t="s">
        <v>2066</v>
      </c>
      <c r="G574" s="17" t="s">
        <v>1104</v>
      </c>
      <c r="H574" s="19"/>
    </row>
    <row r="575" customFormat="false" ht="15" hidden="false" customHeight="false" outlineLevel="0" collapsed="false">
      <c r="A575" s="19" t="s">
        <v>1389</v>
      </c>
      <c r="B575" s="19" t="s">
        <v>1317</v>
      </c>
      <c r="C575" s="19" t="n">
        <v>9</v>
      </c>
      <c r="D575" s="17" t="s">
        <v>552</v>
      </c>
      <c r="E575" s="19" t="n">
        <v>2.5</v>
      </c>
      <c r="F575" s="17" t="s">
        <v>2067</v>
      </c>
      <c r="G575" s="17" t="s">
        <v>1104</v>
      </c>
      <c r="H575" s="19"/>
    </row>
    <row r="576" customFormat="false" ht="15" hidden="false" customHeight="false" outlineLevel="0" collapsed="false">
      <c r="A576" s="19" t="s">
        <v>1389</v>
      </c>
      <c r="B576" s="19" t="s">
        <v>1174</v>
      </c>
      <c r="C576" s="19" t="n">
        <v>9</v>
      </c>
      <c r="D576" s="17" t="s">
        <v>731</v>
      </c>
      <c r="E576" s="19" t="n">
        <v>0.4</v>
      </c>
      <c r="F576" s="17" t="s">
        <v>2068</v>
      </c>
      <c r="G576" s="17" t="s">
        <v>1104</v>
      </c>
      <c r="H576" s="19"/>
    </row>
    <row r="577" customFormat="false" ht="15" hidden="false" customHeight="false" outlineLevel="0" collapsed="false">
      <c r="A577" s="19" t="s">
        <v>1389</v>
      </c>
      <c r="B577" s="19" t="s">
        <v>1285</v>
      </c>
      <c r="C577" s="19" t="n">
        <v>9</v>
      </c>
      <c r="D577" s="17" t="s">
        <v>2047</v>
      </c>
      <c r="E577" s="19" t="n">
        <v>0.15</v>
      </c>
      <c r="F577" s="17" t="s">
        <v>2069</v>
      </c>
      <c r="G577" s="17" t="s">
        <v>1104</v>
      </c>
      <c r="H577" s="19"/>
    </row>
    <row r="578" customFormat="false" ht="15" hidden="false" customHeight="false" outlineLevel="0" collapsed="false">
      <c r="A578" s="19" t="s">
        <v>1389</v>
      </c>
      <c r="B578" s="19" t="s">
        <v>2070</v>
      </c>
      <c r="C578" s="19" t="n">
        <v>9</v>
      </c>
      <c r="D578" s="17" t="s">
        <v>739</v>
      </c>
      <c r="E578" s="19" t="n">
        <v>0.672768</v>
      </c>
      <c r="F578" s="17" t="s">
        <v>2071</v>
      </c>
      <c r="G578" s="17" t="s">
        <v>1104</v>
      </c>
      <c r="H578" s="19"/>
    </row>
    <row r="579" customFormat="false" ht="15" hidden="false" customHeight="false" outlineLevel="0" collapsed="false">
      <c r="A579" s="19" t="s">
        <v>1389</v>
      </c>
      <c r="B579" s="19" t="s">
        <v>1675</v>
      </c>
      <c r="C579" s="19" t="n">
        <v>9</v>
      </c>
      <c r="D579" s="19" t="s">
        <v>581</v>
      </c>
      <c r="E579" s="19" t="n">
        <v>0.43259841019734</v>
      </c>
      <c r="F579" s="17" t="s">
        <v>2072</v>
      </c>
      <c r="G579" s="17" t="s">
        <v>1104</v>
      </c>
      <c r="H579" s="19"/>
    </row>
    <row r="580" customFormat="false" ht="15" hidden="false" customHeight="false" outlineLevel="0" collapsed="false">
      <c r="A580" s="19" t="s">
        <v>1389</v>
      </c>
      <c r="B580" s="19" t="s">
        <v>1677</v>
      </c>
      <c r="C580" s="19" t="n">
        <v>9</v>
      </c>
      <c r="D580" s="17" t="s">
        <v>585</v>
      </c>
      <c r="E580" s="19" t="n">
        <v>0.2534</v>
      </c>
      <c r="F580" s="17" t="s">
        <v>2073</v>
      </c>
      <c r="G580" s="17" t="s">
        <v>1104</v>
      </c>
      <c r="H580" s="19"/>
    </row>
    <row r="581" customFormat="false" ht="15" hidden="false" customHeight="false" outlineLevel="0" collapsed="false">
      <c r="A581" s="19" t="s">
        <v>1389</v>
      </c>
      <c r="B581" s="19" t="s">
        <v>1679</v>
      </c>
      <c r="C581" s="19" t="n">
        <v>9</v>
      </c>
      <c r="D581" s="17" t="s">
        <v>2053</v>
      </c>
      <c r="E581" s="19" t="n">
        <v>0.325</v>
      </c>
      <c r="F581" s="17" t="s">
        <v>2074</v>
      </c>
      <c r="G581" s="17" t="s">
        <v>1104</v>
      </c>
      <c r="H581" s="19"/>
    </row>
    <row r="582" customFormat="false" ht="15" hidden="false" customHeight="false" outlineLevel="0" collapsed="false">
      <c r="A582" s="19" t="s">
        <v>1389</v>
      </c>
      <c r="B582" s="19" t="s">
        <v>2075</v>
      </c>
      <c r="C582" s="19" t="n">
        <v>9</v>
      </c>
      <c r="D582" s="17" t="s">
        <v>600</v>
      </c>
      <c r="E582" s="19" t="n">
        <v>0.20090107</v>
      </c>
      <c r="F582" s="17" t="s">
        <v>2076</v>
      </c>
      <c r="G582" s="17" t="s">
        <v>1104</v>
      </c>
      <c r="H582" s="19"/>
    </row>
    <row r="583" customFormat="false" ht="15" hidden="false" customHeight="false" outlineLevel="0" collapsed="false">
      <c r="A583" s="19" t="s">
        <v>1389</v>
      </c>
      <c r="B583" s="19" t="s">
        <v>2077</v>
      </c>
      <c r="C583" s="19" t="n">
        <v>9</v>
      </c>
      <c r="D583" s="19" t="s">
        <v>962</v>
      </c>
      <c r="E583" s="19" t="n">
        <v>0.1</v>
      </c>
      <c r="F583" s="17" t="s">
        <v>2078</v>
      </c>
      <c r="G583" s="17" t="s">
        <v>1104</v>
      </c>
      <c r="H583" s="19"/>
    </row>
    <row r="584" customFormat="false" ht="15" hidden="false" customHeight="false" outlineLevel="0" collapsed="false">
      <c r="A584" s="19" t="s">
        <v>1389</v>
      </c>
      <c r="B584" s="19" t="s">
        <v>2079</v>
      </c>
      <c r="C584" s="19" t="n">
        <v>9</v>
      </c>
      <c r="D584" s="19" t="s">
        <v>750</v>
      </c>
      <c r="E584" s="19" t="n">
        <v>0.229607380362667</v>
      </c>
      <c r="F584" s="17" t="s">
        <v>2080</v>
      </c>
      <c r="G584" s="17" t="s">
        <v>1104</v>
      </c>
      <c r="H584" s="19"/>
    </row>
    <row r="585" customFormat="false" ht="15" hidden="false" customHeight="false" outlineLevel="0" collapsed="false">
      <c r="A585" s="19" t="s">
        <v>1389</v>
      </c>
      <c r="B585" s="19" t="s">
        <v>2081</v>
      </c>
      <c r="C585" s="19" t="n">
        <v>9</v>
      </c>
      <c r="D585" s="19" t="s">
        <v>724</v>
      </c>
      <c r="E585" s="19" t="n">
        <v>34.1207434</v>
      </c>
      <c r="F585" s="17" t="s">
        <v>2082</v>
      </c>
      <c r="G585" s="17" t="s">
        <v>1104</v>
      </c>
      <c r="H585" s="19"/>
    </row>
    <row r="586" customFormat="false" ht="15" hidden="false" customHeight="false" outlineLevel="0" collapsed="false">
      <c r="A586" s="19" t="s">
        <v>1389</v>
      </c>
      <c r="B586" s="19" t="s">
        <v>2083</v>
      </c>
      <c r="C586" s="19" t="n">
        <v>9</v>
      </c>
      <c r="D586" s="17" t="s">
        <v>542</v>
      </c>
      <c r="E586" s="19" t="n">
        <v>0.02</v>
      </c>
      <c r="F586" s="17" t="s">
        <v>2084</v>
      </c>
      <c r="G586" s="17" t="s">
        <v>1104</v>
      </c>
      <c r="H586" s="19"/>
    </row>
    <row r="587" customFormat="false" ht="15" hidden="false" customHeight="false" outlineLevel="0" collapsed="false">
      <c r="A587" s="19" t="s">
        <v>1389</v>
      </c>
      <c r="B587" s="19" t="s">
        <v>1180</v>
      </c>
      <c r="C587" s="19" t="n">
        <v>9</v>
      </c>
      <c r="D587" s="17" t="s">
        <v>727</v>
      </c>
      <c r="E587" s="19" t="n">
        <v>4.5</v>
      </c>
      <c r="F587" s="17" t="s">
        <v>2085</v>
      </c>
      <c r="G587" s="17" t="s">
        <v>1104</v>
      </c>
      <c r="H587" s="19"/>
    </row>
    <row r="588" customFormat="false" ht="15" hidden="false" customHeight="false" outlineLevel="0" collapsed="false">
      <c r="A588" s="19" t="s">
        <v>1389</v>
      </c>
      <c r="B588" s="19" t="s">
        <v>1323</v>
      </c>
      <c r="C588" s="19" t="n">
        <v>9</v>
      </c>
      <c r="D588" s="17" t="s">
        <v>549</v>
      </c>
      <c r="E588" s="19" t="n">
        <v>5.5</v>
      </c>
      <c r="F588" s="17" t="s">
        <v>2086</v>
      </c>
      <c r="G588" s="17" t="s">
        <v>1104</v>
      </c>
      <c r="H588" s="19"/>
    </row>
    <row r="589" customFormat="false" ht="15" hidden="false" customHeight="false" outlineLevel="0" collapsed="false">
      <c r="A589" s="19" t="s">
        <v>1389</v>
      </c>
      <c r="B589" s="19" t="s">
        <v>1325</v>
      </c>
      <c r="C589" s="19" t="n">
        <v>9</v>
      </c>
      <c r="D589" s="17" t="s">
        <v>552</v>
      </c>
      <c r="E589" s="19" t="n">
        <v>3.2</v>
      </c>
      <c r="F589" s="17" t="s">
        <v>2087</v>
      </c>
      <c r="G589" s="17" t="s">
        <v>1104</v>
      </c>
      <c r="H589" s="19"/>
    </row>
    <row r="590" customFormat="false" ht="15" hidden="false" customHeight="false" outlineLevel="0" collapsed="false">
      <c r="A590" s="19" t="s">
        <v>1389</v>
      </c>
      <c r="B590" s="19" t="s">
        <v>1182</v>
      </c>
      <c r="C590" s="19" t="n">
        <v>9</v>
      </c>
      <c r="D590" s="17" t="s">
        <v>731</v>
      </c>
      <c r="E590" s="19" t="n">
        <v>0.5</v>
      </c>
      <c r="F590" s="17" t="s">
        <v>2088</v>
      </c>
      <c r="G590" s="17" t="s">
        <v>1104</v>
      </c>
      <c r="H590" s="19"/>
    </row>
    <row r="591" customFormat="false" ht="15" hidden="false" customHeight="false" outlineLevel="0" collapsed="false">
      <c r="A591" s="19" t="s">
        <v>1389</v>
      </c>
      <c r="B591" s="19" t="s">
        <v>1289</v>
      </c>
      <c r="C591" s="19" t="n">
        <v>9</v>
      </c>
      <c r="D591" s="17" t="s">
        <v>2047</v>
      </c>
      <c r="E591" s="19" t="n">
        <v>0.18</v>
      </c>
      <c r="F591" s="17" t="s">
        <v>2089</v>
      </c>
      <c r="G591" s="17" t="s">
        <v>1104</v>
      </c>
      <c r="H591" s="19"/>
    </row>
    <row r="592" customFormat="false" ht="15" hidden="false" customHeight="false" outlineLevel="0" collapsed="false">
      <c r="A592" s="19" t="s">
        <v>1389</v>
      </c>
      <c r="B592" s="19" t="s">
        <v>2090</v>
      </c>
      <c r="C592" s="19" t="n">
        <v>9</v>
      </c>
      <c r="D592" s="17" t="s">
        <v>739</v>
      </c>
      <c r="E592" s="19" t="n">
        <v>1.02492</v>
      </c>
      <c r="F592" s="17" t="s">
        <v>2091</v>
      </c>
      <c r="G592" s="17" t="s">
        <v>1104</v>
      </c>
      <c r="H592" s="19"/>
    </row>
    <row r="593" customFormat="false" ht="15" hidden="false" customHeight="false" outlineLevel="0" collapsed="false">
      <c r="A593" s="19" t="s">
        <v>1389</v>
      </c>
      <c r="B593" s="19" t="s">
        <v>1689</v>
      </c>
      <c r="C593" s="19" t="n">
        <v>9</v>
      </c>
      <c r="D593" s="19" t="s">
        <v>581</v>
      </c>
      <c r="E593" s="19" t="n">
        <v>0.6226274060112</v>
      </c>
      <c r="F593" s="17" t="s">
        <v>2092</v>
      </c>
      <c r="G593" s="17" t="s">
        <v>1104</v>
      </c>
      <c r="H593" s="19"/>
    </row>
    <row r="594" customFormat="false" ht="15" hidden="false" customHeight="false" outlineLevel="0" collapsed="false">
      <c r="A594" s="19" t="s">
        <v>1389</v>
      </c>
      <c r="B594" s="19" t="s">
        <v>1691</v>
      </c>
      <c r="C594" s="19" t="n">
        <v>9</v>
      </c>
      <c r="D594" s="17" t="s">
        <v>585</v>
      </c>
      <c r="E594" s="19" t="n">
        <v>0.40465</v>
      </c>
      <c r="F594" s="17" t="s">
        <v>2093</v>
      </c>
      <c r="G594" s="17" t="s">
        <v>1104</v>
      </c>
      <c r="H594" s="19"/>
    </row>
    <row r="595" customFormat="false" ht="15" hidden="false" customHeight="false" outlineLevel="0" collapsed="false">
      <c r="A595" s="19" t="s">
        <v>1389</v>
      </c>
      <c r="B595" s="19" t="s">
        <v>1693</v>
      </c>
      <c r="C595" s="19" t="n">
        <v>9</v>
      </c>
      <c r="D595" s="17" t="s">
        <v>2053</v>
      </c>
      <c r="E595" s="19" t="n">
        <v>0.41</v>
      </c>
      <c r="F595" s="17" t="s">
        <v>2094</v>
      </c>
      <c r="G595" s="17" t="s">
        <v>1104</v>
      </c>
      <c r="H595" s="19"/>
    </row>
    <row r="596" customFormat="false" ht="15" hidden="false" customHeight="false" outlineLevel="0" collapsed="false">
      <c r="A596" s="19" t="s">
        <v>1389</v>
      </c>
      <c r="B596" s="19" t="s">
        <v>2095</v>
      </c>
      <c r="C596" s="19" t="n">
        <v>9</v>
      </c>
      <c r="D596" s="17" t="s">
        <v>600</v>
      </c>
      <c r="E596" s="19" t="n">
        <v>0.4024539472</v>
      </c>
      <c r="F596" s="17" t="s">
        <v>2096</v>
      </c>
      <c r="G596" s="17" t="s">
        <v>1104</v>
      </c>
      <c r="H596" s="19"/>
    </row>
    <row r="597" customFormat="false" ht="15" hidden="false" customHeight="false" outlineLevel="0" collapsed="false">
      <c r="A597" s="19" t="s">
        <v>1389</v>
      </c>
      <c r="B597" s="19" t="s">
        <v>2097</v>
      </c>
      <c r="C597" s="19" t="n">
        <v>9</v>
      </c>
      <c r="D597" s="19" t="s">
        <v>962</v>
      </c>
      <c r="E597" s="19" t="n">
        <v>0.13</v>
      </c>
      <c r="F597" s="17" t="s">
        <v>2098</v>
      </c>
      <c r="G597" s="17" t="s">
        <v>1104</v>
      </c>
      <c r="H597" s="19"/>
    </row>
    <row r="598" customFormat="false" ht="15" hidden="false" customHeight="false" outlineLevel="0" collapsed="false">
      <c r="A598" s="19" t="s">
        <v>1389</v>
      </c>
      <c r="B598" s="19" t="s">
        <v>2099</v>
      </c>
      <c r="C598" s="19" t="n">
        <v>9</v>
      </c>
      <c r="D598" s="19" t="s">
        <v>750</v>
      </c>
      <c r="E598" s="19" t="n">
        <v>0.336194197406613</v>
      </c>
      <c r="F598" s="17" t="s">
        <v>2100</v>
      </c>
      <c r="G598" s="17" t="s">
        <v>1104</v>
      </c>
      <c r="H598" s="19"/>
    </row>
    <row r="599" customFormat="false" ht="15" hidden="false" customHeight="false" outlineLevel="0" collapsed="false">
      <c r="A599" s="19" t="s">
        <v>1389</v>
      </c>
      <c r="B599" s="19" t="s">
        <v>2101</v>
      </c>
      <c r="C599" s="19" t="n">
        <v>9</v>
      </c>
      <c r="D599" s="19" t="s">
        <v>724</v>
      </c>
      <c r="E599" s="19" t="n">
        <v>20.6393904</v>
      </c>
      <c r="F599" s="17" t="s">
        <v>2102</v>
      </c>
      <c r="G599" s="17" t="s">
        <v>1104</v>
      </c>
      <c r="H599" s="19"/>
    </row>
    <row r="600" customFormat="false" ht="15" hidden="false" customHeight="false" outlineLevel="0" collapsed="false">
      <c r="A600" s="19" t="s">
        <v>1389</v>
      </c>
      <c r="B600" s="19" t="s">
        <v>2103</v>
      </c>
      <c r="C600" s="19" t="n">
        <v>9</v>
      </c>
      <c r="D600" s="17" t="s">
        <v>542</v>
      </c>
      <c r="E600" s="19" t="n">
        <v>0.02</v>
      </c>
      <c r="F600" s="17" t="s">
        <v>2104</v>
      </c>
      <c r="G600" s="17" t="s">
        <v>1104</v>
      </c>
      <c r="H600" s="19"/>
    </row>
    <row r="601" customFormat="false" ht="15" hidden="false" customHeight="false" outlineLevel="0" collapsed="false">
      <c r="A601" s="19" t="s">
        <v>1389</v>
      </c>
      <c r="B601" s="19" t="s">
        <v>1188</v>
      </c>
      <c r="C601" s="19" t="n">
        <v>9</v>
      </c>
      <c r="D601" s="17" t="s">
        <v>727</v>
      </c>
      <c r="E601" s="19" t="n">
        <v>3</v>
      </c>
      <c r="F601" s="17" t="s">
        <v>2105</v>
      </c>
      <c r="G601" s="17" t="s">
        <v>1104</v>
      </c>
      <c r="H601" s="19"/>
    </row>
    <row r="602" customFormat="false" ht="15" hidden="false" customHeight="false" outlineLevel="0" collapsed="false">
      <c r="A602" s="19" t="s">
        <v>1389</v>
      </c>
      <c r="B602" s="19" t="s">
        <v>1331</v>
      </c>
      <c r="C602" s="19" t="n">
        <v>9</v>
      </c>
      <c r="D602" s="17" t="s">
        <v>549</v>
      </c>
      <c r="E602" s="19" t="n">
        <v>3.8</v>
      </c>
      <c r="F602" s="17" t="s">
        <v>2106</v>
      </c>
      <c r="G602" s="17" t="s">
        <v>1104</v>
      </c>
      <c r="H602" s="19"/>
    </row>
    <row r="603" customFormat="false" ht="15" hidden="false" customHeight="false" outlineLevel="0" collapsed="false">
      <c r="A603" s="19" t="s">
        <v>1389</v>
      </c>
      <c r="B603" s="19" t="s">
        <v>1333</v>
      </c>
      <c r="C603" s="19" t="n">
        <v>9</v>
      </c>
      <c r="D603" s="17" t="s">
        <v>552</v>
      </c>
      <c r="E603" s="19" t="n">
        <v>2</v>
      </c>
      <c r="F603" s="17" t="s">
        <v>2107</v>
      </c>
      <c r="G603" s="17" t="s">
        <v>1104</v>
      </c>
      <c r="H603" s="19"/>
    </row>
    <row r="604" customFormat="false" ht="15" hidden="false" customHeight="false" outlineLevel="0" collapsed="false">
      <c r="A604" s="19" t="s">
        <v>1389</v>
      </c>
      <c r="B604" s="19" t="s">
        <v>1190</v>
      </c>
      <c r="C604" s="19" t="n">
        <v>9</v>
      </c>
      <c r="D604" s="17" t="s">
        <v>731</v>
      </c>
      <c r="E604" s="19" t="n">
        <v>0.3</v>
      </c>
      <c r="F604" s="17" t="s">
        <v>2108</v>
      </c>
      <c r="G604" s="17" t="s">
        <v>1104</v>
      </c>
      <c r="H604" s="19"/>
    </row>
    <row r="605" customFormat="false" ht="15" hidden="false" customHeight="false" outlineLevel="0" collapsed="false">
      <c r="A605" s="19" t="s">
        <v>1389</v>
      </c>
      <c r="B605" s="19" t="s">
        <v>1293</v>
      </c>
      <c r="C605" s="19" t="n">
        <v>9</v>
      </c>
      <c r="D605" s="17" t="s">
        <v>2047</v>
      </c>
      <c r="E605" s="19" t="n">
        <v>0.12</v>
      </c>
      <c r="F605" s="17" t="s">
        <v>2048</v>
      </c>
      <c r="G605" s="17" t="s">
        <v>1104</v>
      </c>
      <c r="H605" s="19"/>
    </row>
    <row r="606" customFormat="false" ht="15" hidden="false" customHeight="false" outlineLevel="0" collapsed="false">
      <c r="A606" s="19" t="s">
        <v>1389</v>
      </c>
      <c r="B606" s="19" t="s">
        <v>2109</v>
      </c>
      <c r="C606" s="19" t="n">
        <v>9</v>
      </c>
      <c r="D606" s="17" t="s">
        <v>739</v>
      </c>
      <c r="E606" s="19" t="n">
        <v>0.404712</v>
      </c>
      <c r="F606" s="17" t="s">
        <v>2110</v>
      </c>
      <c r="G606" s="17" t="s">
        <v>1104</v>
      </c>
      <c r="H606" s="19"/>
    </row>
    <row r="607" customFormat="false" ht="15" hidden="false" customHeight="false" outlineLevel="0" collapsed="false">
      <c r="A607" s="19" t="s">
        <v>1389</v>
      </c>
      <c r="B607" s="19" t="s">
        <v>1703</v>
      </c>
      <c r="C607" s="19" t="n">
        <v>9</v>
      </c>
      <c r="D607" s="19" t="s">
        <v>581</v>
      </c>
      <c r="E607" s="19" t="n">
        <v>0.211437133315623</v>
      </c>
      <c r="F607" s="17" t="s">
        <v>2111</v>
      </c>
      <c r="G607" s="17" t="s">
        <v>1104</v>
      </c>
      <c r="H607" s="19"/>
    </row>
    <row r="608" customFormat="false" ht="15" hidden="false" customHeight="false" outlineLevel="0" collapsed="false">
      <c r="A608" s="19" t="s">
        <v>1389</v>
      </c>
      <c r="B608" s="19" t="s">
        <v>1705</v>
      </c>
      <c r="C608" s="19" t="n">
        <v>9</v>
      </c>
      <c r="D608" s="17" t="s">
        <v>585</v>
      </c>
      <c r="E608" s="19" t="n">
        <v>0.15318</v>
      </c>
      <c r="F608" s="17" t="s">
        <v>2112</v>
      </c>
      <c r="G608" s="17" t="s">
        <v>1104</v>
      </c>
      <c r="H608" s="19"/>
    </row>
    <row r="609" customFormat="false" ht="15" hidden="false" customHeight="false" outlineLevel="0" collapsed="false">
      <c r="A609" s="19" t="s">
        <v>1389</v>
      </c>
      <c r="B609" s="19" t="s">
        <v>1707</v>
      </c>
      <c r="C609" s="19" t="n">
        <v>9</v>
      </c>
      <c r="D609" s="17" t="s">
        <v>2053</v>
      </c>
      <c r="E609" s="19" t="n">
        <v>0.24</v>
      </c>
      <c r="F609" s="17" t="s">
        <v>2113</v>
      </c>
      <c r="G609" s="17" t="s">
        <v>1104</v>
      </c>
      <c r="H609" s="19"/>
    </row>
    <row r="610" customFormat="false" ht="15" hidden="false" customHeight="false" outlineLevel="0" collapsed="false">
      <c r="A610" s="19" t="s">
        <v>1389</v>
      </c>
      <c r="B610" s="19" t="s">
        <v>2114</v>
      </c>
      <c r="C610" s="19" t="n">
        <v>9</v>
      </c>
      <c r="D610" s="17" t="s">
        <v>600</v>
      </c>
      <c r="E610" s="19" t="n">
        <v>0.0925541712</v>
      </c>
      <c r="F610" s="17" t="s">
        <v>2115</v>
      </c>
      <c r="G610" s="17" t="s">
        <v>1104</v>
      </c>
      <c r="H610" s="19"/>
    </row>
    <row r="611" customFormat="false" ht="15" hidden="false" customHeight="false" outlineLevel="0" collapsed="false">
      <c r="A611" s="19" t="s">
        <v>1389</v>
      </c>
      <c r="B611" s="19" t="s">
        <v>2116</v>
      </c>
      <c r="C611" s="19" t="n">
        <v>9</v>
      </c>
      <c r="D611" s="19" t="s">
        <v>962</v>
      </c>
      <c r="E611" s="19" t="n">
        <v>0.08</v>
      </c>
      <c r="F611" s="17" t="s">
        <v>2058</v>
      </c>
      <c r="G611" s="17" t="s">
        <v>1104</v>
      </c>
      <c r="H611" s="19"/>
    </row>
    <row r="612" customFormat="false" ht="15" hidden="false" customHeight="false" outlineLevel="0" collapsed="false">
      <c r="A612" s="19" t="s">
        <v>1389</v>
      </c>
      <c r="B612" s="19" t="s">
        <v>2117</v>
      </c>
      <c r="C612" s="19" t="n">
        <v>9</v>
      </c>
      <c r="D612" s="19" t="s">
        <v>750</v>
      </c>
      <c r="E612" s="19" t="n">
        <v>0.21631538622901</v>
      </c>
      <c r="F612" s="17" t="s">
        <v>2118</v>
      </c>
      <c r="G612" s="17" t="s">
        <v>1104</v>
      </c>
      <c r="H612" s="19"/>
    </row>
    <row r="613" customFormat="false" ht="15" hidden="false" customHeight="false" outlineLevel="0" collapsed="false">
      <c r="A613" s="19" t="s">
        <v>1389</v>
      </c>
      <c r="B613" s="19" t="s">
        <v>2119</v>
      </c>
      <c r="C613" s="19" t="n">
        <v>9</v>
      </c>
      <c r="D613" s="19" t="s">
        <v>724</v>
      </c>
      <c r="E613" s="19" t="n">
        <v>24.015174</v>
      </c>
      <c r="F613" s="17" t="s">
        <v>2120</v>
      </c>
      <c r="G613" s="17" t="s">
        <v>1104</v>
      </c>
      <c r="H613" s="19"/>
    </row>
    <row r="614" customFormat="false" ht="15" hidden="false" customHeight="false" outlineLevel="0" collapsed="false">
      <c r="A614" s="19" t="s">
        <v>1389</v>
      </c>
      <c r="B614" s="19" t="s">
        <v>2121</v>
      </c>
      <c r="C614" s="19" t="n">
        <v>9</v>
      </c>
      <c r="D614" s="17" t="s">
        <v>542</v>
      </c>
      <c r="E614" s="19" t="n">
        <v>0.02</v>
      </c>
      <c r="F614" s="17" t="s">
        <v>2122</v>
      </c>
      <c r="G614" s="17" t="s">
        <v>1104</v>
      </c>
      <c r="H614" s="19"/>
    </row>
    <row r="615" customFormat="false" ht="15" hidden="false" customHeight="false" outlineLevel="0" collapsed="false">
      <c r="A615" s="19" t="s">
        <v>1389</v>
      </c>
      <c r="B615" s="19" t="s">
        <v>2123</v>
      </c>
      <c r="C615" s="19" t="n">
        <v>9</v>
      </c>
      <c r="D615" s="17" t="s">
        <v>727</v>
      </c>
      <c r="E615" s="19" t="n">
        <v>3.6</v>
      </c>
      <c r="F615" s="17" t="s">
        <v>2124</v>
      </c>
      <c r="G615" s="17" t="s">
        <v>1104</v>
      </c>
      <c r="H615" s="19"/>
    </row>
    <row r="616" customFormat="false" ht="15" hidden="false" customHeight="false" outlineLevel="0" collapsed="false">
      <c r="A616" s="19" t="s">
        <v>1389</v>
      </c>
      <c r="B616" s="19" t="s">
        <v>2125</v>
      </c>
      <c r="C616" s="19" t="n">
        <v>9</v>
      </c>
      <c r="D616" s="17" t="s">
        <v>549</v>
      </c>
      <c r="E616" s="19" t="n">
        <v>4.5</v>
      </c>
      <c r="F616" s="17" t="s">
        <v>2126</v>
      </c>
      <c r="G616" s="17" t="s">
        <v>1104</v>
      </c>
      <c r="H616" s="19"/>
    </row>
    <row r="617" customFormat="false" ht="15" hidden="false" customHeight="false" outlineLevel="0" collapsed="false">
      <c r="A617" s="19" t="s">
        <v>1389</v>
      </c>
      <c r="B617" s="19" t="s">
        <v>2127</v>
      </c>
      <c r="C617" s="19" t="n">
        <v>9</v>
      </c>
      <c r="D617" s="17" t="s">
        <v>552</v>
      </c>
      <c r="E617" s="19" t="n">
        <v>2.5</v>
      </c>
      <c r="F617" s="17" t="s">
        <v>2128</v>
      </c>
      <c r="G617" s="17" t="s">
        <v>1104</v>
      </c>
      <c r="H617" s="19"/>
    </row>
    <row r="618" customFormat="false" ht="15" hidden="false" customHeight="false" outlineLevel="0" collapsed="false">
      <c r="A618" s="19" t="s">
        <v>1389</v>
      </c>
      <c r="B618" s="19" t="s">
        <v>2129</v>
      </c>
      <c r="C618" s="19" t="n">
        <v>9</v>
      </c>
      <c r="D618" s="17" t="s">
        <v>731</v>
      </c>
      <c r="E618" s="19" t="n">
        <v>0.4</v>
      </c>
      <c r="F618" s="17" t="s">
        <v>2130</v>
      </c>
      <c r="G618" s="17" t="s">
        <v>1104</v>
      </c>
      <c r="H618" s="19"/>
    </row>
    <row r="619" customFormat="false" ht="15" hidden="false" customHeight="false" outlineLevel="0" collapsed="false">
      <c r="A619" s="19" t="s">
        <v>1389</v>
      </c>
      <c r="B619" s="19" t="s">
        <v>2131</v>
      </c>
      <c r="C619" s="19" t="n">
        <v>9</v>
      </c>
      <c r="D619" s="17" t="s">
        <v>2047</v>
      </c>
      <c r="E619" s="19" t="n">
        <v>0.15</v>
      </c>
      <c r="F619" s="17" t="s">
        <v>2069</v>
      </c>
      <c r="G619" s="17" t="s">
        <v>1104</v>
      </c>
      <c r="H619" s="19"/>
    </row>
    <row r="620" customFormat="false" ht="15" hidden="false" customHeight="false" outlineLevel="0" collapsed="false">
      <c r="A620" s="19" t="s">
        <v>1389</v>
      </c>
      <c r="B620" s="19" t="s">
        <v>2132</v>
      </c>
      <c r="C620" s="19" t="n">
        <v>9</v>
      </c>
      <c r="D620" s="17" t="s">
        <v>739</v>
      </c>
      <c r="E620" s="19" t="n">
        <v>0.672768</v>
      </c>
      <c r="F620" s="17" t="s">
        <v>2133</v>
      </c>
      <c r="G620" s="17" t="s">
        <v>1104</v>
      </c>
      <c r="H620" s="19"/>
    </row>
    <row r="621" customFormat="false" ht="15" hidden="false" customHeight="false" outlineLevel="0" collapsed="false">
      <c r="A621" s="19" t="s">
        <v>1389</v>
      </c>
      <c r="B621" s="19" t="s">
        <v>1719</v>
      </c>
      <c r="C621" s="19" t="n">
        <v>9</v>
      </c>
      <c r="D621" s="19" t="s">
        <v>581</v>
      </c>
      <c r="E621" s="19" t="n">
        <v>0.377638868712999</v>
      </c>
      <c r="F621" s="17" t="s">
        <v>2134</v>
      </c>
      <c r="G621" s="17" t="s">
        <v>1104</v>
      </c>
      <c r="H621" s="19"/>
    </row>
    <row r="622" customFormat="false" ht="15" hidden="false" customHeight="false" outlineLevel="0" collapsed="false">
      <c r="A622" s="19" t="s">
        <v>1389</v>
      </c>
      <c r="B622" s="19" t="s">
        <v>1721</v>
      </c>
      <c r="C622" s="19" t="n">
        <v>9</v>
      </c>
      <c r="D622" s="17" t="s">
        <v>585</v>
      </c>
      <c r="E622" s="19" t="n">
        <v>0.2534</v>
      </c>
      <c r="F622" s="17" t="s">
        <v>2135</v>
      </c>
      <c r="G622" s="17" t="s">
        <v>1104</v>
      </c>
      <c r="H622" s="19"/>
    </row>
    <row r="623" customFormat="false" ht="15" hidden="false" customHeight="false" outlineLevel="0" collapsed="false">
      <c r="A623" s="19" t="s">
        <v>1389</v>
      </c>
      <c r="B623" s="19" t="s">
        <v>1723</v>
      </c>
      <c r="C623" s="19" t="n">
        <v>9</v>
      </c>
      <c r="D623" s="17" t="s">
        <v>2053</v>
      </c>
      <c r="E623" s="19" t="n">
        <v>0.325</v>
      </c>
      <c r="F623" s="17" t="s">
        <v>2136</v>
      </c>
      <c r="G623" s="17" t="s">
        <v>1104</v>
      </c>
      <c r="H623" s="19"/>
    </row>
    <row r="624" customFormat="false" ht="15" hidden="false" customHeight="false" outlineLevel="0" collapsed="false">
      <c r="A624" s="19" t="s">
        <v>1389</v>
      </c>
      <c r="B624" s="19" t="s">
        <v>2137</v>
      </c>
      <c r="C624" s="19" t="n">
        <v>9</v>
      </c>
      <c r="D624" s="17" t="s">
        <v>600</v>
      </c>
      <c r="E624" s="19" t="n">
        <v>0.18342587</v>
      </c>
      <c r="F624" s="17" t="s">
        <v>2138</v>
      </c>
      <c r="G624" s="17" t="s">
        <v>1104</v>
      </c>
      <c r="H624" s="19"/>
    </row>
    <row r="625" customFormat="false" ht="15" hidden="false" customHeight="false" outlineLevel="0" collapsed="false">
      <c r="A625" s="19" t="s">
        <v>1389</v>
      </c>
      <c r="B625" s="19" t="s">
        <v>2139</v>
      </c>
      <c r="C625" s="19" t="n">
        <v>9</v>
      </c>
      <c r="D625" s="19" t="s">
        <v>962</v>
      </c>
      <c r="E625" s="19" t="n">
        <v>0.1</v>
      </c>
      <c r="F625" s="17" t="s">
        <v>2078</v>
      </c>
      <c r="G625" s="17" t="s">
        <v>1104</v>
      </c>
      <c r="H625" s="19"/>
    </row>
    <row r="626" customFormat="false" ht="15" hidden="false" customHeight="false" outlineLevel="0" collapsed="false">
      <c r="A626" s="19" t="s">
        <v>1389</v>
      </c>
      <c r="B626" s="19" t="s">
        <v>2140</v>
      </c>
      <c r="C626" s="19" t="n">
        <v>9</v>
      </c>
      <c r="D626" s="19" t="s">
        <v>750</v>
      </c>
      <c r="E626" s="19" t="n">
        <v>0.229607380362667</v>
      </c>
      <c r="F626" s="17" t="s">
        <v>2141</v>
      </c>
      <c r="G626" s="17" t="s">
        <v>1104</v>
      </c>
      <c r="H626" s="19"/>
    </row>
    <row r="627" customFormat="false" ht="15" hidden="false" customHeight="false" outlineLevel="0" collapsed="false">
      <c r="A627" s="19" t="s">
        <v>1389</v>
      </c>
      <c r="B627" s="19" t="s">
        <v>2142</v>
      </c>
      <c r="C627" s="19" t="n">
        <v>9</v>
      </c>
      <c r="D627" s="19" t="s">
        <v>724</v>
      </c>
      <c r="E627" s="19" t="n">
        <v>27.6502044</v>
      </c>
      <c r="F627" s="17" t="s">
        <v>2143</v>
      </c>
      <c r="G627" s="17" t="s">
        <v>1104</v>
      </c>
      <c r="H627" s="19"/>
    </row>
    <row r="628" customFormat="false" ht="15" hidden="false" customHeight="false" outlineLevel="0" collapsed="false">
      <c r="A628" s="19" t="s">
        <v>1389</v>
      </c>
      <c r="B628" s="19" t="s">
        <v>2144</v>
      </c>
      <c r="C628" s="19" t="n">
        <v>9</v>
      </c>
      <c r="D628" s="17" t="s">
        <v>542</v>
      </c>
      <c r="E628" s="19" t="n">
        <v>0.02</v>
      </c>
      <c r="F628" s="17" t="s">
        <v>2145</v>
      </c>
      <c r="G628" s="17" t="s">
        <v>1104</v>
      </c>
      <c r="H628" s="19"/>
    </row>
    <row r="629" customFormat="false" ht="15" hidden="false" customHeight="false" outlineLevel="0" collapsed="false">
      <c r="A629" s="19" t="s">
        <v>1389</v>
      </c>
      <c r="B629" s="19" t="s">
        <v>2146</v>
      </c>
      <c r="C629" s="19" t="n">
        <v>9</v>
      </c>
      <c r="D629" s="17" t="s">
        <v>727</v>
      </c>
      <c r="E629" s="19" t="n">
        <v>4.5</v>
      </c>
      <c r="F629" s="17" t="s">
        <v>2147</v>
      </c>
      <c r="G629" s="17" t="s">
        <v>1104</v>
      </c>
      <c r="H629" s="19"/>
    </row>
    <row r="630" customFormat="false" ht="15" hidden="false" customHeight="false" outlineLevel="0" collapsed="false">
      <c r="A630" s="19" t="s">
        <v>1389</v>
      </c>
      <c r="B630" s="19" t="s">
        <v>2148</v>
      </c>
      <c r="C630" s="19" t="n">
        <v>9</v>
      </c>
      <c r="D630" s="17" t="s">
        <v>549</v>
      </c>
      <c r="E630" s="19" t="n">
        <v>5.5</v>
      </c>
      <c r="F630" s="17" t="s">
        <v>2149</v>
      </c>
      <c r="G630" s="17" t="s">
        <v>1104</v>
      </c>
      <c r="H630" s="19"/>
    </row>
    <row r="631" customFormat="false" ht="15" hidden="false" customHeight="false" outlineLevel="0" collapsed="false">
      <c r="A631" s="19" t="s">
        <v>1389</v>
      </c>
      <c r="B631" s="19" t="s">
        <v>2150</v>
      </c>
      <c r="C631" s="19" t="n">
        <v>9</v>
      </c>
      <c r="D631" s="17" t="s">
        <v>552</v>
      </c>
      <c r="E631" s="19" t="n">
        <v>3.2</v>
      </c>
      <c r="F631" s="17" t="s">
        <v>2151</v>
      </c>
      <c r="G631" s="17" t="s">
        <v>1104</v>
      </c>
      <c r="H631" s="19"/>
    </row>
    <row r="632" customFormat="false" ht="15" hidden="false" customHeight="false" outlineLevel="0" collapsed="false">
      <c r="A632" s="19" t="s">
        <v>1389</v>
      </c>
      <c r="B632" s="19" t="s">
        <v>2152</v>
      </c>
      <c r="C632" s="19" t="n">
        <v>9</v>
      </c>
      <c r="D632" s="17" t="s">
        <v>731</v>
      </c>
      <c r="E632" s="19" t="n">
        <v>0.5</v>
      </c>
      <c r="F632" s="17" t="s">
        <v>2153</v>
      </c>
      <c r="G632" s="17" t="s">
        <v>1104</v>
      </c>
      <c r="H632" s="19"/>
    </row>
    <row r="633" customFormat="false" ht="15" hidden="false" customHeight="false" outlineLevel="0" collapsed="false">
      <c r="A633" s="19" t="s">
        <v>1389</v>
      </c>
      <c r="B633" s="19" t="s">
        <v>2154</v>
      </c>
      <c r="C633" s="19" t="n">
        <v>9</v>
      </c>
      <c r="D633" s="17" t="s">
        <v>2047</v>
      </c>
      <c r="E633" s="19" t="n">
        <v>0.18</v>
      </c>
      <c r="F633" s="17" t="s">
        <v>2089</v>
      </c>
      <c r="G633" s="17" t="s">
        <v>1104</v>
      </c>
      <c r="H633" s="19"/>
    </row>
    <row r="634" customFormat="false" ht="15" hidden="false" customHeight="false" outlineLevel="0" collapsed="false">
      <c r="A634" s="19" t="s">
        <v>1389</v>
      </c>
      <c r="B634" s="19" t="s">
        <v>2155</v>
      </c>
      <c r="C634" s="19" t="n">
        <v>9</v>
      </c>
      <c r="D634" s="17" t="s">
        <v>739</v>
      </c>
      <c r="E634" s="19" t="n">
        <v>1.02492</v>
      </c>
      <c r="F634" s="17" t="s">
        <v>2156</v>
      </c>
      <c r="G634" s="17" t="s">
        <v>1104</v>
      </c>
      <c r="H634" s="19"/>
    </row>
    <row r="635" customFormat="false" ht="15" hidden="false" customHeight="false" outlineLevel="0" collapsed="false">
      <c r="A635" s="19" t="s">
        <v>1389</v>
      </c>
      <c r="B635" s="19" t="s">
        <v>1735</v>
      </c>
      <c r="C635" s="19" t="n">
        <v>9</v>
      </c>
      <c r="D635" s="19" t="s">
        <v>581</v>
      </c>
      <c r="E635" s="19" t="n">
        <v>0.504554512175472</v>
      </c>
      <c r="F635" s="17" t="s">
        <v>2157</v>
      </c>
      <c r="G635" s="17" t="s">
        <v>1104</v>
      </c>
      <c r="H635" s="19"/>
    </row>
    <row r="636" customFormat="false" ht="15" hidden="false" customHeight="false" outlineLevel="0" collapsed="false">
      <c r="A636" s="19" t="s">
        <v>1389</v>
      </c>
      <c r="B636" s="19" t="s">
        <v>1737</v>
      </c>
      <c r="C636" s="19" t="n">
        <v>9</v>
      </c>
      <c r="D636" s="17" t="s">
        <v>585</v>
      </c>
      <c r="E636" s="19" t="n">
        <v>0.40465</v>
      </c>
      <c r="F636" s="17" t="s">
        <v>2158</v>
      </c>
      <c r="G636" s="17" t="s">
        <v>1104</v>
      </c>
      <c r="H636" s="19"/>
    </row>
    <row r="637" customFormat="false" ht="15" hidden="false" customHeight="false" outlineLevel="0" collapsed="false">
      <c r="A637" s="19" t="s">
        <v>1389</v>
      </c>
      <c r="B637" s="19" t="s">
        <v>1739</v>
      </c>
      <c r="C637" s="19" t="n">
        <v>9</v>
      </c>
      <c r="D637" s="17" t="s">
        <v>2053</v>
      </c>
      <c r="E637" s="19" t="n">
        <v>0.41</v>
      </c>
      <c r="F637" s="17" t="s">
        <v>2159</v>
      </c>
      <c r="G637" s="17" t="s">
        <v>1104</v>
      </c>
      <c r="H637" s="19"/>
    </row>
    <row r="638" customFormat="false" ht="15" hidden="false" customHeight="false" outlineLevel="0" collapsed="false">
      <c r="A638" s="19" t="s">
        <v>1389</v>
      </c>
      <c r="B638" s="19" t="s">
        <v>2160</v>
      </c>
      <c r="C638" s="19" t="n">
        <v>9</v>
      </c>
      <c r="D638" s="17" t="s">
        <v>600</v>
      </c>
      <c r="E638" s="19" t="n">
        <v>0.3506896352</v>
      </c>
      <c r="F638" s="17" t="s">
        <v>2161</v>
      </c>
      <c r="G638" s="17" t="s">
        <v>1104</v>
      </c>
      <c r="H638" s="19"/>
    </row>
    <row r="639" customFormat="false" ht="15" hidden="false" customHeight="false" outlineLevel="0" collapsed="false">
      <c r="A639" s="19" t="s">
        <v>1389</v>
      </c>
      <c r="B639" s="19" t="s">
        <v>2162</v>
      </c>
      <c r="C639" s="19" t="n">
        <v>9</v>
      </c>
      <c r="D639" s="19" t="s">
        <v>962</v>
      </c>
      <c r="E639" s="19" t="n">
        <v>0.13</v>
      </c>
      <c r="F639" s="17" t="s">
        <v>2098</v>
      </c>
      <c r="G639" s="17" t="s">
        <v>1104</v>
      </c>
      <c r="H639" s="19"/>
    </row>
    <row r="640" customFormat="false" ht="15" hidden="false" customHeight="false" outlineLevel="0" collapsed="false">
      <c r="A640" s="19" t="s">
        <v>1389</v>
      </c>
      <c r="B640" s="19" t="s">
        <v>2163</v>
      </c>
      <c r="C640" s="19" t="n">
        <v>9</v>
      </c>
      <c r="D640" s="19" t="s">
        <v>750</v>
      </c>
      <c r="E640" s="19" t="n">
        <v>0.336194197406613</v>
      </c>
      <c r="F640" s="17" t="s">
        <v>2164</v>
      </c>
      <c r="G640" s="17" t="s">
        <v>1104</v>
      </c>
      <c r="H640" s="19"/>
    </row>
    <row r="641" customFormat="false" ht="15" hidden="false" customHeight="false" outlineLevel="0" collapsed="false">
      <c r="A641" s="19" t="s">
        <v>1389</v>
      </c>
      <c r="B641" s="19" t="s">
        <v>2165</v>
      </c>
      <c r="C641" s="19" t="n">
        <v>9</v>
      </c>
      <c r="D641" s="19" t="s">
        <v>724</v>
      </c>
      <c r="E641" s="19" t="n">
        <v>28.5549024</v>
      </c>
      <c r="F641" s="17" t="s">
        <v>2166</v>
      </c>
      <c r="G641" s="17" t="s">
        <v>1104</v>
      </c>
      <c r="H641" s="19"/>
    </row>
    <row r="642" customFormat="false" ht="15" hidden="false" customHeight="false" outlineLevel="0" collapsed="false">
      <c r="A642" s="19" t="s">
        <v>1389</v>
      </c>
      <c r="B642" s="19" t="s">
        <v>2167</v>
      </c>
      <c r="C642" s="19" t="n">
        <v>9</v>
      </c>
      <c r="D642" s="17" t="s">
        <v>542</v>
      </c>
      <c r="E642" s="19" t="n">
        <v>0.02</v>
      </c>
      <c r="F642" s="17" t="s">
        <v>2168</v>
      </c>
      <c r="G642" s="17" t="s">
        <v>1104</v>
      </c>
      <c r="H642" s="19"/>
    </row>
    <row r="643" customFormat="false" ht="15" hidden="false" customHeight="false" outlineLevel="0" collapsed="false">
      <c r="A643" s="19" t="s">
        <v>1389</v>
      </c>
      <c r="B643" s="19" t="s">
        <v>2169</v>
      </c>
      <c r="C643" s="19" t="n">
        <v>9</v>
      </c>
      <c r="D643" s="17" t="s">
        <v>727</v>
      </c>
      <c r="E643" s="19" t="n">
        <v>3</v>
      </c>
      <c r="F643" s="17" t="s">
        <v>2170</v>
      </c>
      <c r="G643" s="17" t="s">
        <v>1104</v>
      </c>
      <c r="H643" s="19"/>
    </row>
    <row r="644" customFormat="false" ht="15" hidden="false" customHeight="false" outlineLevel="0" collapsed="false">
      <c r="A644" s="19" t="s">
        <v>1389</v>
      </c>
      <c r="B644" s="19" t="s">
        <v>2171</v>
      </c>
      <c r="C644" s="19" t="n">
        <v>9</v>
      </c>
      <c r="D644" s="17" t="s">
        <v>549</v>
      </c>
      <c r="E644" s="19" t="n">
        <v>3.8</v>
      </c>
      <c r="F644" s="17" t="s">
        <v>2172</v>
      </c>
      <c r="G644" s="17" t="s">
        <v>1104</v>
      </c>
      <c r="H644" s="19"/>
    </row>
    <row r="645" customFormat="false" ht="15" hidden="false" customHeight="false" outlineLevel="0" collapsed="false">
      <c r="A645" s="19" t="s">
        <v>1389</v>
      </c>
      <c r="B645" s="19" t="s">
        <v>2173</v>
      </c>
      <c r="C645" s="19" t="n">
        <v>9</v>
      </c>
      <c r="D645" s="17" t="s">
        <v>552</v>
      </c>
      <c r="E645" s="19" t="n">
        <v>2</v>
      </c>
      <c r="F645" s="17" t="s">
        <v>2174</v>
      </c>
      <c r="G645" s="17" t="s">
        <v>1104</v>
      </c>
      <c r="H645" s="19"/>
    </row>
    <row r="646" customFormat="false" ht="15" hidden="false" customHeight="false" outlineLevel="0" collapsed="false">
      <c r="A646" s="19" t="s">
        <v>1389</v>
      </c>
      <c r="B646" s="19" t="s">
        <v>2175</v>
      </c>
      <c r="C646" s="19" t="n">
        <v>9</v>
      </c>
      <c r="D646" s="17" t="s">
        <v>731</v>
      </c>
      <c r="E646" s="19" t="n">
        <v>0.3</v>
      </c>
      <c r="F646" s="17" t="s">
        <v>2176</v>
      </c>
      <c r="G646" s="17" t="s">
        <v>1104</v>
      </c>
      <c r="H646" s="19"/>
    </row>
    <row r="647" customFormat="false" ht="15" hidden="false" customHeight="false" outlineLevel="0" collapsed="false">
      <c r="A647" s="19" t="s">
        <v>1389</v>
      </c>
      <c r="B647" s="19" t="s">
        <v>2177</v>
      </c>
      <c r="C647" s="19" t="n">
        <v>9</v>
      </c>
      <c r="D647" s="17" t="s">
        <v>2047</v>
      </c>
      <c r="E647" s="19" t="n">
        <v>0.12</v>
      </c>
      <c r="F647" s="17" t="s">
        <v>2048</v>
      </c>
      <c r="G647" s="17" t="s">
        <v>1104</v>
      </c>
      <c r="H647" s="19"/>
    </row>
    <row r="648" customFormat="false" ht="15" hidden="false" customHeight="false" outlineLevel="0" collapsed="false">
      <c r="A648" s="19" t="s">
        <v>1389</v>
      </c>
      <c r="B648" s="19" t="s">
        <v>2178</v>
      </c>
      <c r="C648" s="19" t="n">
        <v>9</v>
      </c>
      <c r="D648" s="17" t="s">
        <v>739</v>
      </c>
      <c r="E648" s="19" t="n">
        <v>0.404712</v>
      </c>
      <c r="F648" s="17" t="s">
        <v>2179</v>
      </c>
      <c r="G648" s="17" t="s">
        <v>1104</v>
      </c>
      <c r="H648" s="19"/>
    </row>
    <row r="649" customFormat="false" ht="15" hidden="false" customHeight="false" outlineLevel="0" collapsed="false">
      <c r="A649" s="19" t="s">
        <v>1389</v>
      </c>
      <c r="B649" s="19" t="s">
        <v>1751</v>
      </c>
      <c r="C649" s="19" t="n">
        <v>9</v>
      </c>
      <c r="D649" s="19" t="s">
        <v>581</v>
      </c>
      <c r="E649" s="19" t="n">
        <v>0.292526406475813</v>
      </c>
      <c r="F649" s="17" t="s">
        <v>2180</v>
      </c>
      <c r="G649" s="17" t="s">
        <v>1104</v>
      </c>
      <c r="H649" s="19"/>
    </row>
    <row r="650" customFormat="false" ht="15" hidden="false" customHeight="false" outlineLevel="0" collapsed="false">
      <c r="A650" s="19" t="s">
        <v>1389</v>
      </c>
      <c r="B650" s="19" t="s">
        <v>1753</v>
      </c>
      <c r="C650" s="19" t="n">
        <v>9</v>
      </c>
      <c r="D650" s="17" t="s">
        <v>585</v>
      </c>
      <c r="E650" s="19" t="n">
        <v>0.15318</v>
      </c>
      <c r="F650" s="17" t="s">
        <v>2181</v>
      </c>
      <c r="G650" s="17" t="s">
        <v>1104</v>
      </c>
      <c r="H650" s="19"/>
    </row>
    <row r="651" customFormat="false" ht="15" hidden="false" customHeight="false" outlineLevel="0" collapsed="false">
      <c r="A651" s="19" t="s">
        <v>1389</v>
      </c>
      <c r="B651" s="19" t="s">
        <v>1755</v>
      </c>
      <c r="C651" s="19" t="n">
        <v>9</v>
      </c>
      <c r="D651" s="17" t="s">
        <v>2053</v>
      </c>
      <c r="E651" s="19" t="n">
        <v>0.24</v>
      </c>
      <c r="F651" s="17" t="s">
        <v>2182</v>
      </c>
      <c r="G651" s="17" t="s">
        <v>1104</v>
      </c>
      <c r="H651" s="19"/>
    </row>
    <row r="652" customFormat="false" ht="15" hidden="false" customHeight="false" outlineLevel="0" collapsed="false">
      <c r="A652" s="19" t="s">
        <v>1389</v>
      </c>
      <c r="B652" s="19" t="s">
        <v>2183</v>
      </c>
      <c r="C652" s="19" t="n">
        <v>9</v>
      </c>
      <c r="D652" s="17" t="s">
        <v>600</v>
      </c>
      <c r="E652" s="19" t="n">
        <v>0.1163007072</v>
      </c>
      <c r="F652" s="17" t="s">
        <v>2184</v>
      </c>
      <c r="G652" s="17" t="s">
        <v>1104</v>
      </c>
      <c r="H652" s="19"/>
    </row>
    <row r="653" customFormat="false" ht="15" hidden="false" customHeight="false" outlineLevel="0" collapsed="false">
      <c r="A653" s="19" t="s">
        <v>1389</v>
      </c>
      <c r="B653" s="19" t="s">
        <v>2185</v>
      </c>
      <c r="C653" s="19" t="n">
        <v>9</v>
      </c>
      <c r="D653" s="19" t="s">
        <v>962</v>
      </c>
      <c r="E653" s="19" t="n">
        <v>0.08</v>
      </c>
      <c r="F653" s="17" t="s">
        <v>2058</v>
      </c>
      <c r="G653" s="17" t="s">
        <v>1104</v>
      </c>
      <c r="H653" s="19"/>
    </row>
    <row r="654" customFormat="false" ht="15" hidden="false" customHeight="false" outlineLevel="0" collapsed="false">
      <c r="A654" s="19" t="s">
        <v>1389</v>
      </c>
      <c r="B654" s="19" t="s">
        <v>2186</v>
      </c>
      <c r="C654" s="19" t="n">
        <v>9</v>
      </c>
      <c r="D654" s="19" t="s">
        <v>750</v>
      </c>
      <c r="E654" s="19" t="n">
        <v>0.21631538622901</v>
      </c>
      <c r="F654" s="17" t="s">
        <v>2187</v>
      </c>
      <c r="G654" s="17" t="s">
        <v>1104</v>
      </c>
      <c r="H654" s="19"/>
    </row>
    <row r="655" customFormat="false" ht="15" hidden="false" customHeight="false" outlineLevel="0" collapsed="false">
      <c r="A655" s="19" t="s">
        <v>1389</v>
      </c>
      <c r="B655" s="19" t="s">
        <v>2188</v>
      </c>
      <c r="C655" s="19" t="n">
        <v>9</v>
      </c>
      <c r="D655" s="19" t="s">
        <v>724</v>
      </c>
      <c r="E655" s="19" t="n">
        <v>32.237224</v>
      </c>
      <c r="F655" s="17" t="s">
        <v>2189</v>
      </c>
      <c r="G655" s="17" t="s">
        <v>1104</v>
      </c>
      <c r="H655" s="19"/>
    </row>
    <row r="656" customFormat="false" ht="15" hidden="false" customHeight="false" outlineLevel="0" collapsed="false">
      <c r="A656" s="19" t="s">
        <v>1389</v>
      </c>
      <c r="B656" s="19" t="s">
        <v>2190</v>
      </c>
      <c r="C656" s="19" t="n">
        <v>9</v>
      </c>
      <c r="D656" s="17" t="s">
        <v>542</v>
      </c>
      <c r="E656" s="19" t="n">
        <v>0.02</v>
      </c>
      <c r="F656" s="17" t="s">
        <v>2191</v>
      </c>
      <c r="G656" s="17" t="s">
        <v>1104</v>
      </c>
      <c r="H656" s="19"/>
    </row>
    <row r="657" customFormat="false" ht="15" hidden="false" customHeight="false" outlineLevel="0" collapsed="false">
      <c r="A657" s="19" t="s">
        <v>1389</v>
      </c>
      <c r="B657" s="19" t="s">
        <v>2192</v>
      </c>
      <c r="C657" s="19" t="n">
        <v>9</v>
      </c>
      <c r="D657" s="17" t="s">
        <v>727</v>
      </c>
      <c r="E657" s="19" t="n">
        <v>3.6</v>
      </c>
      <c r="F657" s="17" t="s">
        <v>2193</v>
      </c>
      <c r="G657" s="17" t="s">
        <v>1104</v>
      </c>
      <c r="H657" s="19"/>
    </row>
    <row r="658" customFormat="false" ht="15" hidden="false" customHeight="false" outlineLevel="0" collapsed="false">
      <c r="A658" s="19" t="s">
        <v>1389</v>
      </c>
      <c r="B658" s="19" t="s">
        <v>2194</v>
      </c>
      <c r="C658" s="19" t="n">
        <v>9</v>
      </c>
      <c r="D658" s="17" t="s">
        <v>549</v>
      </c>
      <c r="E658" s="19" t="n">
        <v>4.5</v>
      </c>
      <c r="F658" s="17" t="s">
        <v>2195</v>
      </c>
      <c r="G658" s="17" t="s">
        <v>1104</v>
      </c>
      <c r="H658" s="19"/>
    </row>
    <row r="659" customFormat="false" ht="15" hidden="false" customHeight="false" outlineLevel="0" collapsed="false">
      <c r="A659" s="19" t="s">
        <v>1389</v>
      </c>
      <c r="B659" s="19" t="s">
        <v>2196</v>
      </c>
      <c r="C659" s="19" t="n">
        <v>9</v>
      </c>
      <c r="D659" s="17" t="s">
        <v>552</v>
      </c>
      <c r="E659" s="19" t="n">
        <v>2.5</v>
      </c>
      <c r="F659" s="17" t="s">
        <v>2197</v>
      </c>
      <c r="G659" s="17" t="s">
        <v>1104</v>
      </c>
      <c r="H659" s="19"/>
    </row>
    <row r="660" customFormat="false" ht="15" hidden="false" customHeight="false" outlineLevel="0" collapsed="false">
      <c r="A660" s="19" t="s">
        <v>1389</v>
      </c>
      <c r="B660" s="19" t="s">
        <v>2198</v>
      </c>
      <c r="C660" s="19" t="n">
        <v>9</v>
      </c>
      <c r="D660" s="17" t="s">
        <v>731</v>
      </c>
      <c r="E660" s="19" t="n">
        <v>0.4</v>
      </c>
      <c r="F660" s="17" t="s">
        <v>2199</v>
      </c>
      <c r="G660" s="17" t="s">
        <v>1104</v>
      </c>
      <c r="H660" s="19"/>
    </row>
    <row r="661" customFormat="false" ht="15" hidden="false" customHeight="false" outlineLevel="0" collapsed="false">
      <c r="A661" s="19" t="s">
        <v>1389</v>
      </c>
      <c r="B661" s="19" t="s">
        <v>2200</v>
      </c>
      <c r="C661" s="19" t="n">
        <v>9</v>
      </c>
      <c r="D661" s="17" t="s">
        <v>2047</v>
      </c>
      <c r="E661" s="19" t="n">
        <v>0.15</v>
      </c>
      <c r="F661" s="17" t="s">
        <v>2069</v>
      </c>
      <c r="G661" s="17" t="s">
        <v>1104</v>
      </c>
      <c r="H661" s="19"/>
    </row>
    <row r="662" customFormat="false" ht="15" hidden="false" customHeight="false" outlineLevel="0" collapsed="false">
      <c r="A662" s="19" t="s">
        <v>1389</v>
      </c>
      <c r="B662" s="19" t="s">
        <v>2201</v>
      </c>
      <c r="C662" s="19" t="n">
        <v>9</v>
      </c>
      <c r="D662" s="17" t="s">
        <v>739</v>
      </c>
      <c r="E662" s="19" t="n">
        <v>0.672768</v>
      </c>
      <c r="F662" s="17" t="s">
        <v>2202</v>
      </c>
      <c r="G662" s="17" t="s">
        <v>1104</v>
      </c>
      <c r="H662" s="19"/>
    </row>
    <row r="663" customFormat="false" ht="15" hidden="false" customHeight="false" outlineLevel="0" collapsed="false">
      <c r="A663" s="19" t="s">
        <v>1389</v>
      </c>
      <c r="B663" s="19" t="s">
        <v>1767</v>
      </c>
      <c r="C663" s="19" t="n">
        <v>9</v>
      </c>
      <c r="D663" s="19" t="s">
        <v>581</v>
      </c>
      <c r="E663" s="19" t="n">
        <v>0.506930693144573</v>
      </c>
      <c r="F663" s="17" t="s">
        <v>2203</v>
      </c>
      <c r="G663" s="17" t="s">
        <v>1104</v>
      </c>
      <c r="H663" s="19"/>
    </row>
    <row r="664" customFormat="false" ht="15" hidden="false" customHeight="false" outlineLevel="0" collapsed="false">
      <c r="A664" s="19" t="s">
        <v>1389</v>
      </c>
      <c r="B664" s="19" t="s">
        <v>1769</v>
      </c>
      <c r="C664" s="19" t="n">
        <v>9</v>
      </c>
      <c r="D664" s="17" t="s">
        <v>585</v>
      </c>
      <c r="E664" s="19" t="n">
        <v>0.2534</v>
      </c>
      <c r="F664" s="17" t="s">
        <v>2204</v>
      </c>
      <c r="G664" s="17" t="s">
        <v>1104</v>
      </c>
      <c r="H664" s="19"/>
    </row>
    <row r="665" customFormat="false" ht="15" hidden="false" customHeight="false" outlineLevel="0" collapsed="false">
      <c r="A665" s="19" t="s">
        <v>1389</v>
      </c>
      <c r="B665" s="19" t="s">
        <v>1771</v>
      </c>
      <c r="C665" s="19" t="n">
        <v>9</v>
      </c>
      <c r="D665" s="17" t="s">
        <v>2053</v>
      </c>
      <c r="E665" s="19" t="n">
        <v>0.325</v>
      </c>
      <c r="F665" s="17" t="s">
        <v>2205</v>
      </c>
      <c r="G665" s="17" t="s">
        <v>1104</v>
      </c>
      <c r="H665" s="19"/>
    </row>
    <row r="666" customFormat="false" ht="15" hidden="false" customHeight="false" outlineLevel="0" collapsed="false">
      <c r="A666" s="19" t="s">
        <v>1389</v>
      </c>
      <c r="B666" s="19" t="s">
        <v>2206</v>
      </c>
      <c r="C666" s="19" t="n">
        <v>9</v>
      </c>
      <c r="D666" s="17" t="s">
        <v>600</v>
      </c>
      <c r="E666" s="19" t="n">
        <v>0.22453612</v>
      </c>
      <c r="F666" s="17" t="s">
        <v>2207</v>
      </c>
      <c r="G666" s="17" t="s">
        <v>1104</v>
      </c>
      <c r="H666" s="19"/>
    </row>
    <row r="667" customFormat="false" ht="15" hidden="false" customHeight="false" outlineLevel="0" collapsed="false">
      <c r="A667" s="19" t="s">
        <v>1389</v>
      </c>
      <c r="B667" s="19" t="s">
        <v>2208</v>
      </c>
      <c r="C667" s="19" t="n">
        <v>9</v>
      </c>
      <c r="D667" s="19" t="s">
        <v>962</v>
      </c>
      <c r="E667" s="19" t="n">
        <v>0.1</v>
      </c>
      <c r="F667" s="17" t="s">
        <v>2078</v>
      </c>
      <c r="G667" s="17" t="s">
        <v>1104</v>
      </c>
      <c r="H667" s="19"/>
    </row>
    <row r="668" customFormat="false" ht="15" hidden="false" customHeight="false" outlineLevel="0" collapsed="false">
      <c r="A668" s="19" t="s">
        <v>1389</v>
      </c>
      <c r="B668" s="19" t="s">
        <v>2209</v>
      </c>
      <c r="C668" s="19" t="n">
        <v>9</v>
      </c>
      <c r="D668" s="19" t="s">
        <v>750</v>
      </c>
      <c r="E668" s="19" t="n">
        <v>0.229607380362667</v>
      </c>
      <c r="F668" s="17" t="s">
        <v>2210</v>
      </c>
      <c r="G668" s="17" t="s">
        <v>1104</v>
      </c>
      <c r="H668" s="19"/>
    </row>
    <row r="669" customFormat="false" ht="15" hidden="false" customHeight="false" outlineLevel="0" collapsed="false">
      <c r="A669" s="19" t="s">
        <v>1389</v>
      </c>
      <c r="B669" s="19" t="s">
        <v>2211</v>
      </c>
      <c r="C669" s="19" t="n">
        <v>9</v>
      </c>
      <c r="D669" s="19" t="s">
        <v>724</v>
      </c>
      <c r="E669" s="19" t="n">
        <v>39.2826064</v>
      </c>
      <c r="F669" s="17" t="s">
        <v>2212</v>
      </c>
      <c r="G669" s="17" t="s">
        <v>1104</v>
      </c>
      <c r="H669" s="19"/>
    </row>
    <row r="670" customFormat="false" ht="15" hidden="false" customHeight="false" outlineLevel="0" collapsed="false">
      <c r="A670" s="19" t="s">
        <v>1389</v>
      </c>
      <c r="B670" s="19" t="s">
        <v>2213</v>
      </c>
      <c r="C670" s="19" t="n">
        <v>9</v>
      </c>
      <c r="D670" s="17" t="s">
        <v>542</v>
      </c>
      <c r="E670" s="19" t="n">
        <v>0.02</v>
      </c>
      <c r="F670" s="17" t="s">
        <v>2214</v>
      </c>
      <c r="G670" s="17" t="s">
        <v>1104</v>
      </c>
      <c r="H670" s="19"/>
    </row>
    <row r="671" customFormat="false" ht="15" hidden="false" customHeight="false" outlineLevel="0" collapsed="false">
      <c r="A671" s="19" t="s">
        <v>1389</v>
      </c>
      <c r="B671" s="19" t="s">
        <v>2215</v>
      </c>
      <c r="C671" s="19" t="n">
        <v>9</v>
      </c>
      <c r="D671" s="17" t="s">
        <v>727</v>
      </c>
      <c r="E671" s="19" t="n">
        <v>4.5</v>
      </c>
      <c r="F671" s="17" t="s">
        <v>2216</v>
      </c>
      <c r="G671" s="17" t="s">
        <v>1104</v>
      </c>
      <c r="H671" s="19"/>
    </row>
    <row r="672" customFormat="false" ht="15" hidden="false" customHeight="false" outlineLevel="0" collapsed="false">
      <c r="A672" s="19" t="s">
        <v>1389</v>
      </c>
      <c r="B672" s="19" t="s">
        <v>2217</v>
      </c>
      <c r="C672" s="19" t="n">
        <v>9</v>
      </c>
      <c r="D672" s="17" t="s">
        <v>549</v>
      </c>
      <c r="E672" s="19" t="n">
        <v>5.5</v>
      </c>
      <c r="F672" s="17" t="s">
        <v>2218</v>
      </c>
      <c r="G672" s="17" t="s">
        <v>1104</v>
      </c>
      <c r="H672" s="19"/>
    </row>
    <row r="673" customFormat="false" ht="15" hidden="false" customHeight="false" outlineLevel="0" collapsed="false">
      <c r="A673" s="19" t="s">
        <v>1389</v>
      </c>
      <c r="B673" s="19" t="s">
        <v>2219</v>
      </c>
      <c r="C673" s="19" t="n">
        <v>9</v>
      </c>
      <c r="D673" s="17" t="s">
        <v>552</v>
      </c>
      <c r="E673" s="19" t="n">
        <v>3.2</v>
      </c>
      <c r="F673" s="17" t="s">
        <v>2220</v>
      </c>
      <c r="G673" s="17" t="s">
        <v>1104</v>
      </c>
      <c r="H673" s="19"/>
    </row>
    <row r="674" customFormat="false" ht="15" hidden="false" customHeight="false" outlineLevel="0" collapsed="false">
      <c r="A674" s="19" t="s">
        <v>1389</v>
      </c>
      <c r="B674" s="19" t="s">
        <v>2221</v>
      </c>
      <c r="C674" s="19" t="n">
        <v>9</v>
      </c>
      <c r="D674" s="17" t="s">
        <v>731</v>
      </c>
      <c r="E674" s="19" t="n">
        <v>0.5</v>
      </c>
      <c r="F674" s="17" t="s">
        <v>2222</v>
      </c>
      <c r="G674" s="17" t="s">
        <v>1104</v>
      </c>
      <c r="H674" s="19"/>
    </row>
    <row r="675" customFormat="false" ht="15" hidden="false" customHeight="false" outlineLevel="0" collapsed="false">
      <c r="A675" s="19" t="s">
        <v>1389</v>
      </c>
      <c r="B675" s="19" t="s">
        <v>2223</v>
      </c>
      <c r="C675" s="19" t="n">
        <v>9</v>
      </c>
      <c r="D675" s="17" t="s">
        <v>2047</v>
      </c>
      <c r="E675" s="19" t="n">
        <v>0.18</v>
      </c>
      <c r="F675" s="17" t="s">
        <v>2089</v>
      </c>
      <c r="G675" s="17" t="s">
        <v>1104</v>
      </c>
      <c r="H675" s="19"/>
    </row>
    <row r="676" customFormat="false" ht="15" hidden="false" customHeight="false" outlineLevel="0" collapsed="false">
      <c r="A676" s="19" t="s">
        <v>1389</v>
      </c>
      <c r="B676" s="19" t="s">
        <v>2224</v>
      </c>
      <c r="C676" s="19" t="n">
        <v>9</v>
      </c>
      <c r="D676" s="17" t="s">
        <v>739</v>
      </c>
      <c r="E676" s="19" t="n">
        <v>1.02492</v>
      </c>
      <c r="F676" s="17" t="s">
        <v>2225</v>
      </c>
      <c r="G676" s="17" t="s">
        <v>1104</v>
      </c>
      <c r="H676" s="19"/>
    </row>
    <row r="677" customFormat="false" ht="15" hidden="false" customHeight="false" outlineLevel="0" collapsed="false">
      <c r="A677" s="19" t="s">
        <v>1389</v>
      </c>
      <c r="B677" s="19" t="s">
        <v>1783</v>
      </c>
      <c r="C677" s="19" t="n">
        <v>9</v>
      </c>
      <c r="D677" s="19" t="s">
        <v>581</v>
      </c>
      <c r="E677" s="19" t="n">
        <v>0.716819883947515</v>
      </c>
      <c r="F677" s="17" t="s">
        <v>2226</v>
      </c>
      <c r="G677" s="17" t="s">
        <v>1104</v>
      </c>
      <c r="H677" s="19"/>
    </row>
    <row r="678" customFormat="false" ht="15" hidden="false" customHeight="false" outlineLevel="0" collapsed="false">
      <c r="A678" s="19" t="s">
        <v>1389</v>
      </c>
      <c r="B678" s="19" t="s">
        <v>1785</v>
      </c>
      <c r="C678" s="19" t="n">
        <v>9</v>
      </c>
      <c r="D678" s="17" t="s">
        <v>585</v>
      </c>
      <c r="E678" s="19" t="n">
        <v>0.40465</v>
      </c>
      <c r="F678" s="17" t="s">
        <v>2227</v>
      </c>
      <c r="G678" s="17" t="s">
        <v>1104</v>
      </c>
      <c r="H678" s="19"/>
    </row>
    <row r="679" customFormat="false" ht="15" hidden="false" customHeight="false" outlineLevel="0" collapsed="false">
      <c r="A679" s="19" t="s">
        <v>1389</v>
      </c>
      <c r="B679" s="19" t="s">
        <v>1787</v>
      </c>
      <c r="C679" s="19" t="n">
        <v>9</v>
      </c>
      <c r="D679" s="17" t="s">
        <v>2053</v>
      </c>
      <c r="E679" s="19" t="n">
        <v>0.41</v>
      </c>
      <c r="F679" s="17" t="s">
        <v>2228</v>
      </c>
      <c r="G679" s="17" t="s">
        <v>1104</v>
      </c>
      <c r="H679" s="19"/>
    </row>
    <row r="680" customFormat="false" ht="15" hidden="false" customHeight="false" outlineLevel="0" collapsed="false">
      <c r="A680" s="19" t="s">
        <v>1389</v>
      </c>
      <c r="B680" s="19" t="s">
        <v>2229</v>
      </c>
      <c r="C680" s="19" t="n">
        <v>9</v>
      </c>
      <c r="D680" s="17" t="s">
        <v>600</v>
      </c>
      <c r="E680" s="19" t="n">
        <v>0.4437488512</v>
      </c>
      <c r="F680" s="17" t="s">
        <v>2230</v>
      </c>
      <c r="G680" s="17" t="s">
        <v>1104</v>
      </c>
      <c r="H680" s="19"/>
    </row>
    <row r="681" customFormat="false" ht="15" hidden="false" customHeight="false" outlineLevel="0" collapsed="false">
      <c r="A681" s="19" t="s">
        <v>1389</v>
      </c>
      <c r="B681" s="19" t="s">
        <v>2231</v>
      </c>
      <c r="C681" s="19" t="n">
        <v>9</v>
      </c>
      <c r="D681" s="19" t="s">
        <v>962</v>
      </c>
      <c r="E681" s="19" t="n">
        <v>0.13</v>
      </c>
      <c r="F681" s="17" t="s">
        <v>2098</v>
      </c>
      <c r="G681" s="17" t="s">
        <v>1104</v>
      </c>
      <c r="H681" s="19"/>
    </row>
    <row r="682" customFormat="false" ht="15" hidden="false" customHeight="false" outlineLevel="0" collapsed="false">
      <c r="A682" s="19" t="s">
        <v>1389</v>
      </c>
      <c r="B682" s="19" t="s">
        <v>2232</v>
      </c>
      <c r="C682" s="19" t="n">
        <v>9</v>
      </c>
      <c r="D682" s="19" t="s">
        <v>750</v>
      </c>
      <c r="E682" s="19" t="n">
        <v>0.336194197406613</v>
      </c>
      <c r="F682" s="17" t="s">
        <v>2233</v>
      </c>
      <c r="G682" s="17" t="s">
        <v>1104</v>
      </c>
      <c r="H682" s="19"/>
    </row>
    <row r="683" customFormat="false" ht="15" hidden="false" customHeight="false" outlineLevel="0" collapsed="false">
      <c r="A683" s="19" t="s">
        <v>1389</v>
      </c>
      <c r="B683" s="19" t="s">
        <v>2234</v>
      </c>
      <c r="C683" s="19" t="n">
        <v>9</v>
      </c>
      <c r="D683" s="19" t="s">
        <v>724</v>
      </c>
      <c r="E683" s="19" t="n">
        <v>33.2734032</v>
      </c>
      <c r="F683" s="17" t="s">
        <v>2235</v>
      </c>
      <c r="G683" s="17" t="s">
        <v>1104</v>
      </c>
      <c r="H683" s="19"/>
    </row>
    <row r="684" customFormat="false" ht="15" hidden="false" customHeight="false" outlineLevel="0" collapsed="false">
      <c r="A684" s="19" t="s">
        <v>1389</v>
      </c>
      <c r="B684" s="19" t="s">
        <v>2236</v>
      </c>
      <c r="C684" s="19" t="n">
        <v>9</v>
      </c>
      <c r="D684" s="17" t="s">
        <v>542</v>
      </c>
      <c r="E684" s="19" t="n">
        <v>0.02</v>
      </c>
      <c r="F684" s="17" t="s">
        <v>2237</v>
      </c>
      <c r="G684" s="17" t="s">
        <v>1104</v>
      </c>
      <c r="H684" s="19"/>
    </row>
    <row r="685" customFormat="false" ht="15" hidden="false" customHeight="false" outlineLevel="0" collapsed="false">
      <c r="A685" s="19" t="s">
        <v>1389</v>
      </c>
      <c r="B685" s="19" t="s">
        <v>2238</v>
      </c>
      <c r="C685" s="19" t="n">
        <v>9</v>
      </c>
      <c r="D685" s="17" t="s">
        <v>727</v>
      </c>
      <c r="E685" s="19" t="n">
        <v>3</v>
      </c>
      <c r="F685" s="17" t="s">
        <v>2239</v>
      </c>
      <c r="G685" s="17" t="s">
        <v>1104</v>
      </c>
      <c r="H685" s="19"/>
    </row>
    <row r="686" customFormat="false" ht="15" hidden="false" customHeight="false" outlineLevel="0" collapsed="false">
      <c r="A686" s="19" t="s">
        <v>1389</v>
      </c>
      <c r="B686" s="19" t="s">
        <v>2240</v>
      </c>
      <c r="C686" s="19" t="n">
        <v>9</v>
      </c>
      <c r="D686" s="17" t="s">
        <v>549</v>
      </c>
      <c r="E686" s="19" t="n">
        <v>3.8</v>
      </c>
      <c r="F686" s="17" t="s">
        <v>2241</v>
      </c>
      <c r="G686" s="17" t="s">
        <v>1104</v>
      </c>
      <c r="H686" s="19"/>
    </row>
    <row r="687" customFormat="false" ht="15" hidden="false" customHeight="false" outlineLevel="0" collapsed="false">
      <c r="A687" s="19" t="s">
        <v>1389</v>
      </c>
      <c r="B687" s="19" t="s">
        <v>2242</v>
      </c>
      <c r="C687" s="19" t="n">
        <v>9</v>
      </c>
      <c r="D687" s="17" t="s">
        <v>552</v>
      </c>
      <c r="E687" s="19" t="n">
        <v>2</v>
      </c>
      <c r="F687" s="17" t="s">
        <v>2243</v>
      </c>
      <c r="G687" s="17" t="s">
        <v>1104</v>
      </c>
      <c r="H687" s="19"/>
    </row>
    <row r="688" customFormat="false" ht="15" hidden="false" customHeight="false" outlineLevel="0" collapsed="false">
      <c r="A688" s="19" t="s">
        <v>1389</v>
      </c>
      <c r="B688" s="19" t="s">
        <v>2244</v>
      </c>
      <c r="C688" s="19" t="n">
        <v>9</v>
      </c>
      <c r="D688" s="17" t="s">
        <v>731</v>
      </c>
      <c r="E688" s="19" t="n">
        <v>0.3</v>
      </c>
      <c r="F688" s="17" t="s">
        <v>2245</v>
      </c>
      <c r="G688" s="17" t="s">
        <v>1104</v>
      </c>
      <c r="H688" s="19"/>
    </row>
    <row r="689" customFormat="false" ht="15" hidden="false" customHeight="false" outlineLevel="0" collapsed="false">
      <c r="A689" s="19" t="s">
        <v>1389</v>
      </c>
      <c r="B689" s="19" t="s">
        <v>2246</v>
      </c>
      <c r="C689" s="19" t="n">
        <v>9</v>
      </c>
      <c r="D689" s="17" t="s">
        <v>2047</v>
      </c>
      <c r="E689" s="19" t="n">
        <v>0.12</v>
      </c>
      <c r="F689" s="17" t="s">
        <v>2048</v>
      </c>
      <c r="G689" s="17" t="s">
        <v>1104</v>
      </c>
      <c r="H689" s="19"/>
    </row>
    <row r="690" customFormat="false" ht="15" hidden="false" customHeight="false" outlineLevel="0" collapsed="false">
      <c r="A690" s="19" t="s">
        <v>1389</v>
      </c>
      <c r="B690" s="19" t="s">
        <v>2247</v>
      </c>
      <c r="C690" s="19" t="n">
        <v>9</v>
      </c>
      <c r="D690" s="17" t="s">
        <v>739</v>
      </c>
      <c r="E690" s="19" t="n">
        <v>0.404712</v>
      </c>
      <c r="F690" s="17" t="s">
        <v>2248</v>
      </c>
      <c r="G690" s="17" t="s">
        <v>1104</v>
      </c>
      <c r="H690" s="19"/>
    </row>
    <row r="691" customFormat="false" ht="15" hidden="false" customHeight="false" outlineLevel="0" collapsed="false">
      <c r="A691" s="19" t="s">
        <v>1389</v>
      </c>
      <c r="B691" s="19" t="s">
        <v>1799</v>
      </c>
      <c r="C691" s="19" t="n">
        <v>9</v>
      </c>
      <c r="D691" s="19" t="s">
        <v>581</v>
      </c>
      <c r="E691" s="19" t="n">
        <v>0.340864378836638</v>
      </c>
      <c r="F691" s="17" t="s">
        <v>2249</v>
      </c>
      <c r="G691" s="17" t="s">
        <v>1104</v>
      </c>
      <c r="H691" s="19"/>
    </row>
    <row r="692" customFormat="false" ht="15" hidden="false" customHeight="false" outlineLevel="0" collapsed="false">
      <c r="A692" s="19" t="s">
        <v>1389</v>
      </c>
      <c r="B692" s="19" t="s">
        <v>1801</v>
      </c>
      <c r="C692" s="19" t="n">
        <v>9</v>
      </c>
      <c r="D692" s="17" t="s">
        <v>585</v>
      </c>
      <c r="E692" s="19" t="n">
        <v>0.15318</v>
      </c>
      <c r="F692" s="17" t="s">
        <v>2250</v>
      </c>
      <c r="G692" s="17" t="s">
        <v>1104</v>
      </c>
      <c r="H692" s="19"/>
    </row>
    <row r="693" customFormat="false" ht="15" hidden="false" customHeight="false" outlineLevel="0" collapsed="false">
      <c r="A693" s="19" t="s">
        <v>1389</v>
      </c>
      <c r="B693" s="19" t="s">
        <v>1803</v>
      </c>
      <c r="C693" s="19" t="n">
        <v>9</v>
      </c>
      <c r="D693" s="17" t="s">
        <v>2053</v>
      </c>
      <c r="E693" s="19" t="n">
        <v>0.24</v>
      </c>
      <c r="F693" s="17" t="s">
        <v>2251</v>
      </c>
      <c r="G693" s="17" t="s">
        <v>1104</v>
      </c>
      <c r="H693" s="19"/>
    </row>
    <row r="694" customFormat="false" ht="15" hidden="false" customHeight="false" outlineLevel="0" collapsed="false">
      <c r="A694" s="19" t="s">
        <v>1389</v>
      </c>
      <c r="B694" s="19" t="s">
        <v>2252</v>
      </c>
      <c r="C694" s="19" t="n">
        <v>9</v>
      </c>
      <c r="D694" s="17" t="s">
        <v>600</v>
      </c>
      <c r="E694" s="19" t="n">
        <v>0.1304562096</v>
      </c>
      <c r="F694" s="17" t="s">
        <v>2253</v>
      </c>
      <c r="G694" s="17" t="s">
        <v>1104</v>
      </c>
      <c r="H694" s="19"/>
    </row>
    <row r="695" customFormat="false" ht="15" hidden="false" customHeight="false" outlineLevel="0" collapsed="false">
      <c r="A695" s="19" t="s">
        <v>1389</v>
      </c>
      <c r="B695" s="19" t="s">
        <v>2254</v>
      </c>
      <c r="C695" s="19" t="n">
        <v>9</v>
      </c>
      <c r="D695" s="19" t="s">
        <v>962</v>
      </c>
      <c r="E695" s="19" t="n">
        <v>0.08</v>
      </c>
      <c r="F695" s="17" t="s">
        <v>2058</v>
      </c>
      <c r="G695" s="17" t="s">
        <v>1104</v>
      </c>
      <c r="H695" s="19"/>
    </row>
    <row r="696" customFormat="false" ht="15" hidden="false" customHeight="false" outlineLevel="0" collapsed="false">
      <c r="A696" s="19" t="s">
        <v>1389</v>
      </c>
      <c r="B696" s="19" t="s">
        <v>2255</v>
      </c>
      <c r="C696" s="19" t="n">
        <v>9</v>
      </c>
      <c r="D696" s="19" t="s">
        <v>750</v>
      </c>
      <c r="E696" s="19" t="n">
        <v>0.21631538622901</v>
      </c>
      <c r="F696" s="17" t="s">
        <v>2256</v>
      </c>
      <c r="G696" s="17" t="s">
        <v>1104</v>
      </c>
      <c r="H696" s="19"/>
    </row>
    <row r="697" customFormat="false" ht="15" hidden="false" customHeight="false" outlineLevel="0" collapsed="false">
      <c r="A697" s="19" t="s">
        <v>1389</v>
      </c>
      <c r="B697" s="19" t="s">
        <v>2257</v>
      </c>
      <c r="C697" s="19" t="n">
        <v>9</v>
      </c>
      <c r="D697" s="19" t="s">
        <v>724</v>
      </c>
      <c r="E697" s="19" t="n">
        <v>37.586352</v>
      </c>
      <c r="F697" s="17" t="s">
        <v>2258</v>
      </c>
      <c r="G697" s="17" t="s">
        <v>1104</v>
      </c>
      <c r="H697" s="19"/>
    </row>
    <row r="698" customFormat="false" ht="15" hidden="false" customHeight="false" outlineLevel="0" collapsed="false">
      <c r="A698" s="19" t="s">
        <v>1389</v>
      </c>
      <c r="B698" s="19" t="s">
        <v>2259</v>
      </c>
      <c r="C698" s="19" t="n">
        <v>9</v>
      </c>
      <c r="D698" s="17" t="s">
        <v>542</v>
      </c>
      <c r="E698" s="19" t="n">
        <v>0.02</v>
      </c>
      <c r="F698" s="17" t="s">
        <v>2260</v>
      </c>
      <c r="G698" s="17" t="s">
        <v>1104</v>
      </c>
      <c r="H698" s="19"/>
    </row>
    <row r="699" customFormat="false" ht="15" hidden="false" customHeight="false" outlineLevel="0" collapsed="false">
      <c r="A699" s="19" t="s">
        <v>1389</v>
      </c>
      <c r="B699" s="19" t="s">
        <v>2261</v>
      </c>
      <c r="C699" s="19" t="n">
        <v>9</v>
      </c>
      <c r="D699" s="17" t="s">
        <v>727</v>
      </c>
      <c r="E699" s="19" t="n">
        <v>3.6</v>
      </c>
      <c r="F699" s="17" t="s">
        <v>2262</v>
      </c>
      <c r="G699" s="17" t="s">
        <v>1104</v>
      </c>
      <c r="H699" s="19"/>
    </row>
    <row r="700" customFormat="false" ht="15" hidden="false" customHeight="false" outlineLevel="0" collapsed="false">
      <c r="A700" s="19" t="s">
        <v>1389</v>
      </c>
      <c r="B700" s="19" t="s">
        <v>2263</v>
      </c>
      <c r="C700" s="19" t="n">
        <v>9</v>
      </c>
      <c r="D700" s="17" t="s">
        <v>549</v>
      </c>
      <c r="E700" s="19" t="n">
        <v>4.5</v>
      </c>
      <c r="F700" s="17" t="s">
        <v>2264</v>
      </c>
      <c r="G700" s="17" t="s">
        <v>1104</v>
      </c>
      <c r="H700" s="19"/>
    </row>
    <row r="701" customFormat="false" ht="15" hidden="false" customHeight="false" outlineLevel="0" collapsed="false">
      <c r="A701" s="19" t="s">
        <v>1389</v>
      </c>
      <c r="B701" s="19" t="s">
        <v>2265</v>
      </c>
      <c r="C701" s="19" t="n">
        <v>9</v>
      </c>
      <c r="D701" s="17" t="s">
        <v>552</v>
      </c>
      <c r="E701" s="19" t="n">
        <v>2.5</v>
      </c>
      <c r="F701" s="17" t="s">
        <v>2266</v>
      </c>
      <c r="G701" s="17" t="s">
        <v>1104</v>
      </c>
      <c r="H701" s="19"/>
    </row>
    <row r="702" customFormat="false" ht="15" hidden="false" customHeight="false" outlineLevel="0" collapsed="false">
      <c r="A702" s="19" t="s">
        <v>1389</v>
      </c>
      <c r="B702" s="19" t="s">
        <v>2267</v>
      </c>
      <c r="C702" s="19" t="n">
        <v>9</v>
      </c>
      <c r="D702" s="17" t="s">
        <v>731</v>
      </c>
      <c r="E702" s="19" t="n">
        <v>0.4</v>
      </c>
      <c r="F702" s="17" t="s">
        <v>2268</v>
      </c>
      <c r="G702" s="17" t="s">
        <v>1104</v>
      </c>
      <c r="H702" s="19"/>
    </row>
    <row r="703" customFormat="false" ht="15" hidden="false" customHeight="false" outlineLevel="0" collapsed="false">
      <c r="A703" s="19" t="s">
        <v>1389</v>
      </c>
      <c r="B703" s="19" t="s">
        <v>2269</v>
      </c>
      <c r="C703" s="19" t="n">
        <v>9</v>
      </c>
      <c r="D703" s="17" t="s">
        <v>2047</v>
      </c>
      <c r="E703" s="19" t="n">
        <v>0.15</v>
      </c>
      <c r="F703" s="17" t="s">
        <v>2069</v>
      </c>
      <c r="G703" s="17" t="s">
        <v>1104</v>
      </c>
      <c r="H703" s="19"/>
    </row>
    <row r="704" customFormat="false" ht="15" hidden="false" customHeight="false" outlineLevel="0" collapsed="false">
      <c r="A704" s="19" t="s">
        <v>1389</v>
      </c>
      <c r="B704" s="19" t="s">
        <v>2270</v>
      </c>
      <c r="C704" s="19" t="n">
        <v>9</v>
      </c>
      <c r="D704" s="17" t="s">
        <v>739</v>
      </c>
      <c r="E704" s="19" t="n">
        <v>0.672768</v>
      </c>
      <c r="F704" s="17" t="s">
        <v>2271</v>
      </c>
      <c r="G704" s="17" t="s">
        <v>1104</v>
      </c>
      <c r="H704" s="19"/>
    </row>
    <row r="705" customFormat="false" ht="15" hidden="false" customHeight="false" outlineLevel="0" collapsed="false">
      <c r="A705" s="19" t="s">
        <v>1389</v>
      </c>
      <c r="B705" s="19" t="s">
        <v>1815</v>
      </c>
      <c r="C705" s="19" t="n">
        <v>9</v>
      </c>
      <c r="D705" s="19" t="s">
        <v>581</v>
      </c>
      <c r="E705" s="19" t="n">
        <v>0.591045788314028</v>
      </c>
      <c r="F705" s="17" t="s">
        <v>2272</v>
      </c>
      <c r="G705" s="17" t="s">
        <v>1104</v>
      </c>
      <c r="H705" s="19"/>
    </row>
    <row r="706" customFormat="false" ht="15" hidden="false" customHeight="false" outlineLevel="0" collapsed="false">
      <c r="A706" s="19" t="s">
        <v>1389</v>
      </c>
      <c r="B706" s="19" t="s">
        <v>1817</v>
      </c>
      <c r="C706" s="19" t="n">
        <v>9</v>
      </c>
      <c r="D706" s="17" t="s">
        <v>585</v>
      </c>
      <c r="E706" s="19" t="n">
        <v>0.2534</v>
      </c>
      <c r="F706" s="17" t="s">
        <v>2273</v>
      </c>
      <c r="G706" s="17" t="s">
        <v>1104</v>
      </c>
      <c r="H706" s="19"/>
    </row>
    <row r="707" customFormat="false" ht="15" hidden="false" customHeight="false" outlineLevel="0" collapsed="false">
      <c r="A707" s="19" t="s">
        <v>1389</v>
      </c>
      <c r="B707" s="19" t="s">
        <v>1819</v>
      </c>
      <c r="C707" s="19" t="n">
        <v>9</v>
      </c>
      <c r="D707" s="17" t="s">
        <v>2053</v>
      </c>
      <c r="E707" s="19" t="n">
        <v>0.325</v>
      </c>
      <c r="F707" s="17" t="s">
        <v>2274</v>
      </c>
      <c r="G707" s="17" t="s">
        <v>1104</v>
      </c>
      <c r="H707" s="19"/>
    </row>
    <row r="708" customFormat="false" ht="15" hidden="false" customHeight="false" outlineLevel="0" collapsed="false">
      <c r="A708" s="19" t="s">
        <v>1389</v>
      </c>
      <c r="B708" s="19" t="s">
        <v>2275</v>
      </c>
      <c r="C708" s="19" t="n">
        <v>9</v>
      </c>
      <c r="D708" s="17" t="s">
        <v>600</v>
      </c>
      <c r="E708" s="19" t="n">
        <v>0.25128176</v>
      </c>
      <c r="F708" s="17" t="s">
        <v>2276</v>
      </c>
      <c r="G708" s="17" t="s">
        <v>1104</v>
      </c>
      <c r="H708" s="19"/>
    </row>
    <row r="709" customFormat="false" ht="15" hidden="false" customHeight="false" outlineLevel="0" collapsed="false">
      <c r="A709" s="19" t="s">
        <v>1389</v>
      </c>
      <c r="B709" s="19" t="s">
        <v>2277</v>
      </c>
      <c r="C709" s="19" t="n">
        <v>9</v>
      </c>
      <c r="D709" s="19" t="s">
        <v>962</v>
      </c>
      <c r="E709" s="19" t="n">
        <v>0.1</v>
      </c>
      <c r="F709" s="17" t="s">
        <v>2078</v>
      </c>
      <c r="G709" s="17" t="s">
        <v>1104</v>
      </c>
      <c r="H709" s="19"/>
    </row>
    <row r="710" customFormat="false" ht="15" hidden="false" customHeight="false" outlineLevel="0" collapsed="false">
      <c r="A710" s="19" t="s">
        <v>1389</v>
      </c>
      <c r="B710" s="19" t="s">
        <v>2278</v>
      </c>
      <c r="C710" s="19" t="n">
        <v>9</v>
      </c>
      <c r="D710" s="19" t="s">
        <v>750</v>
      </c>
      <c r="E710" s="19" t="n">
        <v>0.229607380362667</v>
      </c>
      <c r="F710" s="17" t="s">
        <v>2279</v>
      </c>
      <c r="G710" s="17" t="s">
        <v>1104</v>
      </c>
      <c r="H710" s="19"/>
    </row>
    <row r="711" customFormat="false" ht="15" hidden="false" customHeight="false" outlineLevel="0" collapsed="false">
      <c r="A711" s="19" t="s">
        <v>1389</v>
      </c>
      <c r="B711" s="19" t="s">
        <v>2280</v>
      </c>
      <c r="C711" s="19" t="n">
        <v>9</v>
      </c>
      <c r="D711" s="19" t="s">
        <v>724</v>
      </c>
      <c r="E711" s="19" t="n">
        <v>42.6375752</v>
      </c>
      <c r="F711" s="17" t="s">
        <v>2281</v>
      </c>
      <c r="G711" s="17" t="s">
        <v>1104</v>
      </c>
      <c r="H711" s="19"/>
    </row>
    <row r="712" customFormat="false" ht="15" hidden="false" customHeight="false" outlineLevel="0" collapsed="false">
      <c r="A712" s="19" t="s">
        <v>1389</v>
      </c>
      <c r="B712" s="19" t="s">
        <v>2282</v>
      </c>
      <c r="C712" s="19" t="n">
        <v>9</v>
      </c>
      <c r="D712" s="17" t="s">
        <v>542</v>
      </c>
      <c r="E712" s="19" t="n">
        <v>0.02</v>
      </c>
      <c r="F712" s="17" t="s">
        <v>2283</v>
      </c>
      <c r="G712" s="17" t="s">
        <v>1104</v>
      </c>
      <c r="H712" s="19"/>
    </row>
    <row r="713" customFormat="false" ht="15" hidden="false" customHeight="false" outlineLevel="0" collapsed="false">
      <c r="A713" s="19" t="s">
        <v>1389</v>
      </c>
      <c r="B713" s="19" t="s">
        <v>2284</v>
      </c>
      <c r="C713" s="19" t="n">
        <v>9</v>
      </c>
      <c r="D713" s="17" t="s">
        <v>727</v>
      </c>
      <c r="E713" s="19" t="n">
        <v>4.5</v>
      </c>
      <c r="F713" s="17" t="s">
        <v>2285</v>
      </c>
      <c r="G713" s="17" t="s">
        <v>1104</v>
      </c>
      <c r="H713" s="19"/>
    </row>
    <row r="714" customFormat="false" ht="15" hidden="false" customHeight="false" outlineLevel="0" collapsed="false">
      <c r="A714" s="19" t="s">
        <v>1389</v>
      </c>
      <c r="B714" s="19" t="s">
        <v>2286</v>
      </c>
      <c r="C714" s="19" t="n">
        <v>9</v>
      </c>
      <c r="D714" s="17" t="s">
        <v>549</v>
      </c>
      <c r="E714" s="19" t="n">
        <v>5.5</v>
      </c>
      <c r="F714" s="17" t="s">
        <v>2287</v>
      </c>
      <c r="G714" s="17" t="s">
        <v>1104</v>
      </c>
      <c r="H714" s="19"/>
    </row>
    <row r="715" customFormat="false" ht="15" hidden="false" customHeight="false" outlineLevel="0" collapsed="false">
      <c r="A715" s="19" t="s">
        <v>1389</v>
      </c>
      <c r="B715" s="19" t="s">
        <v>2288</v>
      </c>
      <c r="C715" s="19" t="n">
        <v>9</v>
      </c>
      <c r="D715" s="17" t="s">
        <v>552</v>
      </c>
      <c r="E715" s="19" t="n">
        <v>3.2</v>
      </c>
      <c r="F715" s="17" t="s">
        <v>2289</v>
      </c>
      <c r="G715" s="17" t="s">
        <v>1104</v>
      </c>
      <c r="H715" s="19"/>
    </row>
    <row r="716" customFormat="false" ht="15" hidden="false" customHeight="false" outlineLevel="0" collapsed="false">
      <c r="A716" s="19" t="s">
        <v>1389</v>
      </c>
      <c r="B716" s="19" t="s">
        <v>2290</v>
      </c>
      <c r="C716" s="19" t="n">
        <v>9</v>
      </c>
      <c r="D716" s="17" t="s">
        <v>731</v>
      </c>
      <c r="E716" s="19" t="n">
        <v>0.5</v>
      </c>
      <c r="F716" s="17" t="s">
        <v>2291</v>
      </c>
      <c r="G716" s="17" t="s">
        <v>1104</v>
      </c>
      <c r="H716" s="19"/>
    </row>
    <row r="717" customFormat="false" ht="15" hidden="false" customHeight="false" outlineLevel="0" collapsed="false">
      <c r="A717" s="19" t="s">
        <v>1389</v>
      </c>
      <c r="B717" s="19" t="s">
        <v>2292</v>
      </c>
      <c r="C717" s="19" t="n">
        <v>9</v>
      </c>
      <c r="D717" s="17" t="s">
        <v>2047</v>
      </c>
      <c r="E717" s="19" t="n">
        <v>0.18</v>
      </c>
      <c r="F717" s="17" t="s">
        <v>2089</v>
      </c>
      <c r="G717" s="17" t="s">
        <v>1104</v>
      </c>
      <c r="H717" s="19"/>
    </row>
    <row r="718" customFormat="false" ht="15" hidden="false" customHeight="false" outlineLevel="0" collapsed="false">
      <c r="A718" s="19" t="s">
        <v>1389</v>
      </c>
      <c r="B718" s="19" t="s">
        <v>2293</v>
      </c>
      <c r="C718" s="19" t="n">
        <v>9</v>
      </c>
      <c r="D718" s="17" t="s">
        <v>739</v>
      </c>
      <c r="E718" s="19" t="n">
        <v>1.02492</v>
      </c>
      <c r="F718" s="17" t="s">
        <v>2294</v>
      </c>
      <c r="G718" s="17" t="s">
        <v>1104</v>
      </c>
      <c r="H718" s="19"/>
    </row>
    <row r="719" customFormat="false" ht="15" hidden="false" customHeight="false" outlineLevel="0" collapsed="false">
      <c r="A719" s="19" t="s">
        <v>1389</v>
      </c>
      <c r="B719" s="19" t="s">
        <v>1831</v>
      </c>
      <c r="C719" s="19" t="n">
        <v>9</v>
      </c>
      <c r="D719" s="19" t="s">
        <v>581</v>
      </c>
      <c r="E719" s="19" t="n">
        <v>0.778040575909124</v>
      </c>
      <c r="F719" s="17" t="s">
        <v>2295</v>
      </c>
      <c r="G719" s="17" t="s">
        <v>1104</v>
      </c>
      <c r="H719" s="19"/>
    </row>
    <row r="720" customFormat="false" ht="15" hidden="false" customHeight="false" outlineLevel="0" collapsed="false">
      <c r="A720" s="19" t="s">
        <v>1389</v>
      </c>
      <c r="B720" s="19" t="s">
        <v>1833</v>
      </c>
      <c r="C720" s="19" t="n">
        <v>9</v>
      </c>
      <c r="D720" s="17" t="s">
        <v>585</v>
      </c>
      <c r="E720" s="19" t="n">
        <v>0.40465</v>
      </c>
      <c r="F720" s="17" t="s">
        <v>2296</v>
      </c>
      <c r="G720" s="17" t="s">
        <v>1104</v>
      </c>
      <c r="H720" s="19"/>
    </row>
    <row r="721" customFormat="false" ht="15" hidden="false" customHeight="false" outlineLevel="0" collapsed="false">
      <c r="A721" s="19" t="s">
        <v>1389</v>
      </c>
      <c r="B721" s="19" t="s">
        <v>1835</v>
      </c>
      <c r="C721" s="19" t="n">
        <v>9</v>
      </c>
      <c r="D721" s="17" t="s">
        <v>2053</v>
      </c>
      <c r="E721" s="19" t="n">
        <v>0.41</v>
      </c>
      <c r="F721" s="17" t="s">
        <v>2297</v>
      </c>
      <c r="G721" s="17" t="s">
        <v>1104</v>
      </c>
      <c r="H721" s="19"/>
    </row>
    <row r="722" customFormat="false" ht="15" hidden="false" customHeight="false" outlineLevel="0" collapsed="false">
      <c r="A722" s="19" t="s">
        <v>1389</v>
      </c>
      <c r="B722" s="19" t="s">
        <v>2298</v>
      </c>
      <c r="C722" s="19" t="n">
        <v>9</v>
      </c>
      <c r="D722" s="17" t="s">
        <v>600</v>
      </c>
      <c r="E722" s="19" t="n">
        <v>0.4705886016</v>
      </c>
      <c r="F722" s="17" t="s">
        <v>2299</v>
      </c>
      <c r="G722" s="17" t="s">
        <v>1104</v>
      </c>
      <c r="H722" s="19"/>
    </row>
    <row r="723" customFormat="false" ht="15" hidden="false" customHeight="false" outlineLevel="0" collapsed="false">
      <c r="A723" s="19" t="s">
        <v>1389</v>
      </c>
      <c r="B723" s="19" t="s">
        <v>2300</v>
      </c>
      <c r="C723" s="19" t="n">
        <v>9</v>
      </c>
      <c r="D723" s="19" t="s">
        <v>962</v>
      </c>
      <c r="E723" s="19" t="n">
        <v>0.13</v>
      </c>
      <c r="F723" s="17" t="s">
        <v>2098</v>
      </c>
      <c r="G723" s="17" t="s">
        <v>1104</v>
      </c>
      <c r="H723" s="19"/>
    </row>
    <row r="724" customFormat="false" ht="15" hidden="false" customHeight="false" outlineLevel="0" collapsed="false">
      <c r="A724" s="19" t="s">
        <v>1389</v>
      </c>
      <c r="B724" s="19" t="s">
        <v>2301</v>
      </c>
      <c r="C724" s="19" t="n">
        <v>9</v>
      </c>
      <c r="D724" s="19" t="s">
        <v>750</v>
      </c>
      <c r="E724" s="19" t="n">
        <v>0.336194197406613</v>
      </c>
      <c r="F724" s="17" t="s">
        <v>2302</v>
      </c>
      <c r="G724" s="17" t="s">
        <v>1104</v>
      </c>
      <c r="H724" s="19"/>
    </row>
    <row r="725" customFormat="false" ht="15" hidden="false" customHeight="false" outlineLevel="0" collapsed="false">
      <c r="A725" s="19" t="s">
        <v>1389</v>
      </c>
      <c r="B725" s="19" t="s">
        <v>2303</v>
      </c>
      <c r="C725" s="19" t="n">
        <v>9</v>
      </c>
      <c r="D725" s="19" t="s">
        <v>724</v>
      </c>
      <c r="E725" s="19" t="n">
        <v>35.845578</v>
      </c>
      <c r="F725" s="17" t="s">
        <v>2304</v>
      </c>
      <c r="G725" s="17" t="s">
        <v>1104</v>
      </c>
      <c r="H725" s="19"/>
    </row>
    <row r="726" customFormat="false" ht="15" hidden="false" customHeight="false" outlineLevel="0" collapsed="false">
      <c r="A726" s="19" t="s">
        <v>1389</v>
      </c>
      <c r="B726" s="19" t="s">
        <v>2305</v>
      </c>
      <c r="C726" s="19" t="n">
        <v>9</v>
      </c>
      <c r="D726" s="17" t="s">
        <v>542</v>
      </c>
      <c r="E726" s="19" t="n">
        <v>0.02</v>
      </c>
      <c r="F726" s="17" t="s">
        <v>2306</v>
      </c>
      <c r="G726" s="17" t="s">
        <v>1104</v>
      </c>
      <c r="H726" s="19"/>
    </row>
    <row r="727" customFormat="false" ht="15" hidden="false" customHeight="false" outlineLevel="0" collapsed="false">
      <c r="A727" s="19" t="s">
        <v>1389</v>
      </c>
      <c r="B727" s="19" t="s">
        <v>2307</v>
      </c>
      <c r="C727" s="19" t="n">
        <v>9</v>
      </c>
      <c r="D727" s="17" t="s">
        <v>727</v>
      </c>
      <c r="E727" s="19" t="n">
        <v>3</v>
      </c>
      <c r="F727" s="17" t="s">
        <v>2308</v>
      </c>
      <c r="G727" s="17" t="s">
        <v>1104</v>
      </c>
      <c r="H727" s="19"/>
    </row>
    <row r="728" customFormat="false" ht="15" hidden="false" customHeight="false" outlineLevel="0" collapsed="false">
      <c r="A728" s="19" t="s">
        <v>1389</v>
      </c>
      <c r="B728" s="19" t="s">
        <v>2309</v>
      </c>
      <c r="C728" s="19" t="n">
        <v>9</v>
      </c>
      <c r="D728" s="17" t="s">
        <v>549</v>
      </c>
      <c r="E728" s="19" t="n">
        <v>3.8</v>
      </c>
      <c r="F728" s="17" t="s">
        <v>2310</v>
      </c>
      <c r="G728" s="17" t="s">
        <v>1104</v>
      </c>
      <c r="H728" s="19"/>
    </row>
    <row r="729" customFormat="false" ht="15" hidden="false" customHeight="false" outlineLevel="0" collapsed="false">
      <c r="A729" s="19" t="s">
        <v>1389</v>
      </c>
      <c r="B729" s="19" t="s">
        <v>2311</v>
      </c>
      <c r="C729" s="19" t="n">
        <v>9</v>
      </c>
      <c r="D729" s="17" t="s">
        <v>552</v>
      </c>
      <c r="E729" s="19" t="n">
        <v>2</v>
      </c>
      <c r="F729" s="17" t="s">
        <v>2312</v>
      </c>
      <c r="G729" s="17" t="s">
        <v>1104</v>
      </c>
      <c r="H729" s="19"/>
    </row>
    <row r="730" customFormat="false" ht="15" hidden="false" customHeight="false" outlineLevel="0" collapsed="false">
      <c r="A730" s="19" t="s">
        <v>1389</v>
      </c>
      <c r="B730" s="19" t="s">
        <v>2313</v>
      </c>
      <c r="C730" s="19" t="n">
        <v>9</v>
      </c>
      <c r="D730" s="17" t="s">
        <v>731</v>
      </c>
      <c r="E730" s="19" t="n">
        <v>0.3</v>
      </c>
      <c r="F730" s="17" t="s">
        <v>2314</v>
      </c>
      <c r="G730" s="17" t="s">
        <v>1104</v>
      </c>
      <c r="H730" s="19"/>
    </row>
    <row r="731" customFormat="false" ht="15" hidden="false" customHeight="false" outlineLevel="0" collapsed="false">
      <c r="A731" s="19" t="s">
        <v>1389</v>
      </c>
      <c r="B731" s="19" t="s">
        <v>2315</v>
      </c>
      <c r="C731" s="19" t="n">
        <v>9</v>
      </c>
      <c r="D731" s="17" t="s">
        <v>2047</v>
      </c>
      <c r="E731" s="19" t="n">
        <v>0.12</v>
      </c>
      <c r="F731" s="17" t="s">
        <v>2048</v>
      </c>
      <c r="G731" s="17" t="s">
        <v>1104</v>
      </c>
      <c r="H731" s="19"/>
    </row>
    <row r="732" customFormat="false" ht="15" hidden="false" customHeight="false" outlineLevel="0" collapsed="false">
      <c r="A732" s="19" t="s">
        <v>1389</v>
      </c>
      <c r="B732" s="19" t="s">
        <v>2316</v>
      </c>
      <c r="C732" s="19" t="n">
        <v>9</v>
      </c>
      <c r="D732" s="17" t="s">
        <v>739</v>
      </c>
      <c r="E732" s="19" t="n">
        <v>0.404712</v>
      </c>
      <c r="F732" s="17" t="s">
        <v>2317</v>
      </c>
      <c r="G732" s="17" t="s">
        <v>1104</v>
      </c>
      <c r="H732" s="19"/>
    </row>
    <row r="733" customFormat="false" ht="15" hidden="false" customHeight="false" outlineLevel="0" collapsed="false">
      <c r="A733" s="19" t="s">
        <v>1389</v>
      </c>
      <c r="B733" s="19" t="s">
        <v>1847</v>
      </c>
      <c r="C733" s="19" t="n">
        <v>9</v>
      </c>
      <c r="D733" s="19" t="s">
        <v>581</v>
      </c>
      <c r="E733" s="19" t="n">
        <v>0.367214637035091</v>
      </c>
      <c r="F733" s="17" t="s">
        <v>2318</v>
      </c>
      <c r="G733" s="17" t="s">
        <v>1104</v>
      </c>
      <c r="H733" s="19"/>
    </row>
    <row r="734" customFormat="false" ht="15" hidden="false" customHeight="false" outlineLevel="0" collapsed="false">
      <c r="A734" s="19" t="s">
        <v>1389</v>
      </c>
      <c r="B734" s="19" t="s">
        <v>1849</v>
      </c>
      <c r="C734" s="19" t="n">
        <v>9</v>
      </c>
      <c r="D734" s="17" t="s">
        <v>585</v>
      </c>
      <c r="E734" s="19" t="n">
        <v>0.15318</v>
      </c>
      <c r="F734" s="17" t="s">
        <v>2319</v>
      </c>
      <c r="G734" s="17" t="s">
        <v>1104</v>
      </c>
      <c r="H734" s="19"/>
    </row>
    <row r="735" customFormat="false" ht="15" hidden="false" customHeight="false" outlineLevel="0" collapsed="false">
      <c r="A735" s="19" t="s">
        <v>1389</v>
      </c>
      <c r="B735" s="19" t="s">
        <v>1851</v>
      </c>
      <c r="C735" s="19" t="n">
        <v>9</v>
      </c>
      <c r="D735" s="17" t="s">
        <v>2053</v>
      </c>
      <c r="E735" s="19" t="n">
        <v>0.24</v>
      </c>
      <c r="F735" s="17" t="s">
        <v>2320</v>
      </c>
      <c r="G735" s="17" t="s">
        <v>1104</v>
      </c>
      <c r="H735" s="19"/>
    </row>
    <row r="736" customFormat="false" ht="15" hidden="false" customHeight="false" outlineLevel="0" collapsed="false">
      <c r="A736" s="19" t="s">
        <v>1389</v>
      </c>
      <c r="B736" s="19" t="s">
        <v>2321</v>
      </c>
      <c r="C736" s="19" t="n">
        <v>9</v>
      </c>
      <c r="D736" s="17" t="s">
        <v>600</v>
      </c>
      <c r="E736" s="19" t="n">
        <v>0.138172734</v>
      </c>
      <c r="F736" s="17" t="s">
        <v>2322</v>
      </c>
      <c r="G736" s="17" t="s">
        <v>1104</v>
      </c>
      <c r="H736" s="19"/>
    </row>
    <row r="737" customFormat="false" ht="15" hidden="false" customHeight="false" outlineLevel="0" collapsed="false">
      <c r="A737" s="19" t="s">
        <v>1389</v>
      </c>
      <c r="B737" s="19" t="s">
        <v>2323</v>
      </c>
      <c r="C737" s="19" t="n">
        <v>9</v>
      </c>
      <c r="D737" s="19" t="s">
        <v>962</v>
      </c>
      <c r="E737" s="19" t="n">
        <v>0.08</v>
      </c>
      <c r="F737" s="17" t="s">
        <v>2058</v>
      </c>
      <c r="G737" s="17" t="s">
        <v>1104</v>
      </c>
      <c r="H737" s="19"/>
    </row>
    <row r="738" customFormat="false" ht="15" hidden="false" customHeight="false" outlineLevel="0" collapsed="false">
      <c r="A738" s="19" t="s">
        <v>1389</v>
      </c>
      <c r="B738" s="19" t="s">
        <v>2324</v>
      </c>
      <c r="C738" s="19" t="n">
        <v>9</v>
      </c>
      <c r="D738" s="19" t="s">
        <v>750</v>
      </c>
      <c r="E738" s="19" t="n">
        <v>0.21631538622901</v>
      </c>
      <c r="F738" s="17" t="s">
        <v>2325</v>
      </c>
      <c r="G738" s="17" t="s">
        <v>1104</v>
      </c>
      <c r="H738" s="19"/>
    </row>
    <row r="739" customFormat="false" ht="15" hidden="false" customHeight="false" outlineLevel="0" collapsed="false">
      <c r="A739" s="19" t="s">
        <v>1389</v>
      </c>
      <c r="B739" s="19" t="s">
        <v>2326</v>
      </c>
      <c r="C739" s="19" t="n">
        <v>9</v>
      </c>
      <c r="D739" s="19" t="s">
        <v>724</v>
      </c>
      <c r="E739" s="19" t="n">
        <v>50.08578</v>
      </c>
      <c r="F739" s="17" t="s">
        <v>2327</v>
      </c>
      <c r="G739" s="17" t="s">
        <v>1104</v>
      </c>
      <c r="H739" s="19"/>
    </row>
    <row r="740" customFormat="false" ht="15" hidden="false" customHeight="false" outlineLevel="0" collapsed="false">
      <c r="A740" s="19" t="s">
        <v>1389</v>
      </c>
      <c r="B740" s="19" t="s">
        <v>2328</v>
      </c>
      <c r="C740" s="19" t="n">
        <v>9</v>
      </c>
      <c r="D740" s="17" t="s">
        <v>542</v>
      </c>
      <c r="E740" s="19" t="n">
        <v>0.02</v>
      </c>
      <c r="F740" s="17" t="s">
        <v>2329</v>
      </c>
      <c r="G740" s="17" t="s">
        <v>1104</v>
      </c>
      <c r="H740" s="19"/>
    </row>
    <row r="741" customFormat="false" ht="15" hidden="false" customHeight="false" outlineLevel="0" collapsed="false">
      <c r="A741" s="19" t="s">
        <v>1389</v>
      </c>
      <c r="B741" s="19" t="s">
        <v>2330</v>
      </c>
      <c r="C741" s="19" t="n">
        <v>9</v>
      </c>
      <c r="D741" s="17" t="s">
        <v>727</v>
      </c>
      <c r="E741" s="19" t="n">
        <v>3.6</v>
      </c>
      <c r="F741" s="17" t="s">
        <v>2331</v>
      </c>
      <c r="G741" s="17" t="s">
        <v>1104</v>
      </c>
      <c r="H741" s="19"/>
    </row>
    <row r="742" customFormat="false" ht="15" hidden="false" customHeight="false" outlineLevel="0" collapsed="false">
      <c r="A742" s="19" t="s">
        <v>1389</v>
      </c>
      <c r="B742" s="19" t="s">
        <v>2332</v>
      </c>
      <c r="C742" s="19" t="n">
        <v>9</v>
      </c>
      <c r="D742" s="17" t="s">
        <v>549</v>
      </c>
      <c r="E742" s="19" t="n">
        <v>4.5</v>
      </c>
      <c r="F742" s="17" t="s">
        <v>2333</v>
      </c>
      <c r="G742" s="17" t="s">
        <v>1104</v>
      </c>
      <c r="H742" s="19"/>
    </row>
    <row r="743" customFormat="false" ht="15" hidden="false" customHeight="false" outlineLevel="0" collapsed="false">
      <c r="A743" s="19" t="s">
        <v>1389</v>
      </c>
      <c r="B743" s="19" t="s">
        <v>2334</v>
      </c>
      <c r="C743" s="19" t="n">
        <v>9</v>
      </c>
      <c r="D743" s="17" t="s">
        <v>552</v>
      </c>
      <c r="E743" s="19" t="n">
        <v>2.5</v>
      </c>
      <c r="F743" s="17" t="s">
        <v>2335</v>
      </c>
      <c r="G743" s="17" t="s">
        <v>1104</v>
      </c>
      <c r="H743" s="19"/>
    </row>
    <row r="744" customFormat="false" ht="15" hidden="false" customHeight="false" outlineLevel="0" collapsed="false">
      <c r="A744" s="19" t="s">
        <v>1389</v>
      </c>
      <c r="B744" s="19" t="s">
        <v>2336</v>
      </c>
      <c r="C744" s="19" t="n">
        <v>9</v>
      </c>
      <c r="D744" s="17" t="s">
        <v>731</v>
      </c>
      <c r="E744" s="19" t="n">
        <v>0.4</v>
      </c>
      <c r="F744" s="17" t="s">
        <v>2337</v>
      </c>
      <c r="G744" s="17" t="s">
        <v>1104</v>
      </c>
      <c r="H744" s="19"/>
    </row>
    <row r="745" customFormat="false" ht="15" hidden="false" customHeight="false" outlineLevel="0" collapsed="false">
      <c r="A745" s="19" t="s">
        <v>1389</v>
      </c>
      <c r="B745" s="19" t="s">
        <v>2338</v>
      </c>
      <c r="C745" s="19" t="n">
        <v>9</v>
      </c>
      <c r="D745" s="17" t="s">
        <v>2047</v>
      </c>
      <c r="E745" s="19" t="n">
        <v>0.15</v>
      </c>
      <c r="F745" s="17" t="s">
        <v>2069</v>
      </c>
      <c r="G745" s="17" t="s">
        <v>1104</v>
      </c>
      <c r="H745" s="19"/>
    </row>
    <row r="746" customFormat="false" ht="15" hidden="false" customHeight="false" outlineLevel="0" collapsed="false">
      <c r="A746" s="19" t="s">
        <v>1389</v>
      </c>
      <c r="B746" s="19" t="s">
        <v>2339</v>
      </c>
      <c r="C746" s="19" t="n">
        <v>9</v>
      </c>
      <c r="D746" s="17" t="s">
        <v>739</v>
      </c>
      <c r="E746" s="19" t="n">
        <v>0.672768</v>
      </c>
      <c r="F746" s="17" t="s">
        <v>2340</v>
      </c>
      <c r="G746" s="17" t="s">
        <v>1104</v>
      </c>
      <c r="H746" s="19"/>
    </row>
    <row r="747" customFormat="false" ht="15" hidden="false" customHeight="false" outlineLevel="0" collapsed="false">
      <c r="A747" s="19" t="s">
        <v>1389</v>
      </c>
      <c r="B747" s="19" t="s">
        <v>1863</v>
      </c>
      <c r="C747" s="19" t="n">
        <v>9</v>
      </c>
      <c r="D747" s="19" t="s">
        <v>581</v>
      </c>
      <c r="E747" s="19" t="n">
        <v>0.787599427670528</v>
      </c>
      <c r="F747" s="17" t="s">
        <v>2341</v>
      </c>
      <c r="G747" s="17" t="s">
        <v>1104</v>
      </c>
      <c r="H747" s="19"/>
    </row>
    <row r="748" customFormat="false" ht="15" hidden="false" customHeight="false" outlineLevel="0" collapsed="false">
      <c r="A748" s="19" t="s">
        <v>1389</v>
      </c>
      <c r="B748" s="19" t="s">
        <v>1865</v>
      </c>
      <c r="C748" s="19" t="n">
        <v>9</v>
      </c>
      <c r="D748" s="17" t="s">
        <v>585</v>
      </c>
      <c r="E748" s="19" t="n">
        <v>0.2534</v>
      </c>
      <c r="F748" s="17" t="s">
        <v>2342</v>
      </c>
      <c r="G748" s="17" t="s">
        <v>1104</v>
      </c>
      <c r="H748" s="19"/>
    </row>
    <row r="749" customFormat="false" ht="15" hidden="false" customHeight="false" outlineLevel="0" collapsed="false">
      <c r="A749" s="19" t="s">
        <v>1389</v>
      </c>
      <c r="B749" s="19" t="s">
        <v>1867</v>
      </c>
      <c r="C749" s="19" t="n">
        <v>9</v>
      </c>
      <c r="D749" s="17" t="s">
        <v>2053</v>
      </c>
      <c r="E749" s="19" t="n">
        <v>0.325</v>
      </c>
      <c r="F749" s="17" t="s">
        <v>2343</v>
      </c>
      <c r="G749" s="17" t="s">
        <v>1104</v>
      </c>
      <c r="H749" s="19"/>
    </row>
    <row r="750" customFormat="false" ht="15" hidden="false" customHeight="false" outlineLevel="0" collapsed="false">
      <c r="A750" s="19" t="s">
        <v>1389</v>
      </c>
      <c r="B750" s="19" t="s">
        <v>2344</v>
      </c>
      <c r="C750" s="19" t="n">
        <v>9</v>
      </c>
      <c r="D750" s="17" t="s">
        <v>600</v>
      </c>
      <c r="E750" s="19" t="n">
        <v>0.3137789</v>
      </c>
      <c r="F750" s="17" t="s">
        <v>2345</v>
      </c>
      <c r="G750" s="17" t="s">
        <v>1104</v>
      </c>
      <c r="H750" s="19"/>
    </row>
    <row r="751" customFormat="false" ht="15" hidden="false" customHeight="false" outlineLevel="0" collapsed="false">
      <c r="A751" s="19" t="s">
        <v>1389</v>
      </c>
      <c r="B751" s="19" t="s">
        <v>2346</v>
      </c>
      <c r="C751" s="19" t="n">
        <v>9</v>
      </c>
      <c r="D751" s="19" t="s">
        <v>962</v>
      </c>
      <c r="E751" s="19" t="n">
        <v>0.1</v>
      </c>
      <c r="F751" s="17" t="s">
        <v>2078</v>
      </c>
      <c r="G751" s="17" t="s">
        <v>1104</v>
      </c>
      <c r="H751" s="19"/>
    </row>
    <row r="752" customFormat="false" ht="15" hidden="false" customHeight="false" outlineLevel="0" collapsed="false">
      <c r="A752" s="19" t="s">
        <v>1389</v>
      </c>
      <c r="B752" s="19" t="s">
        <v>2347</v>
      </c>
      <c r="C752" s="19" t="n">
        <v>9</v>
      </c>
      <c r="D752" s="19" t="s">
        <v>750</v>
      </c>
      <c r="E752" s="19" t="n">
        <v>0.229607380362667</v>
      </c>
      <c r="F752" s="17" t="s">
        <v>2348</v>
      </c>
      <c r="G752" s="17" t="s">
        <v>1104</v>
      </c>
      <c r="H752" s="19"/>
    </row>
    <row r="753" customFormat="false" ht="15" hidden="false" customHeight="false" outlineLevel="0" collapsed="false">
      <c r="A753" s="19" t="s">
        <v>1389</v>
      </c>
      <c r="B753" s="19" t="s">
        <v>2349</v>
      </c>
      <c r="C753" s="19" t="n">
        <v>9</v>
      </c>
      <c r="D753" s="19" t="s">
        <v>724</v>
      </c>
      <c r="E753" s="19" t="n">
        <v>65.481558</v>
      </c>
      <c r="F753" s="17" t="s">
        <v>2350</v>
      </c>
      <c r="G753" s="17" t="s">
        <v>1104</v>
      </c>
      <c r="H753" s="19"/>
    </row>
    <row r="754" customFormat="false" ht="15" hidden="false" customHeight="false" outlineLevel="0" collapsed="false">
      <c r="A754" s="19" t="s">
        <v>1389</v>
      </c>
      <c r="B754" s="19" t="s">
        <v>2351</v>
      </c>
      <c r="C754" s="19" t="n">
        <v>9</v>
      </c>
      <c r="D754" s="17" t="s">
        <v>542</v>
      </c>
      <c r="E754" s="19" t="n">
        <v>0.02</v>
      </c>
      <c r="F754" s="17" t="s">
        <v>2352</v>
      </c>
      <c r="G754" s="17" t="s">
        <v>1104</v>
      </c>
      <c r="H754" s="19"/>
    </row>
    <row r="755" customFormat="false" ht="15" hidden="false" customHeight="false" outlineLevel="0" collapsed="false">
      <c r="A755" s="19" t="s">
        <v>1389</v>
      </c>
      <c r="B755" s="19" t="s">
        <v>2353</v>
      </c>
      <c r="C755" s="19" t="n">
        <v>9</v>
      </c>
      <c r="D755" s="17" t="s">
        <v>727</v>
      </c>
      <c r="E755" s="19" t="n">
        <v>4.5</v>
      </c>
      <c r="F755" s="17" t="s">
        <v>2354</v>
      </c>
      <c r="G755" s="17" t="s">
        <v>1104</v>
      </c>
      <c r="H755" s="19"/>
    </row>
    <row r="756" customFormat="false" ht="15" hidden="false" customHeight="false" outlineLevel="0" collapsed="false">
      <c r="A756" s="19" t="s">
        <v>1389</v>
      </c>
      <c r="B756" s="19" t="s">
        <v>2355</v>
      </c>
      <c r="C756" s="19" t="n">
        <v>9</v>
      </c>
      <c r="D756" s="17" t="s">
        <v>549</v>
      </c>
      <c r="E756" s="19" t="n">
        <v>5.5</v>
      </c>
      <c r="F756" s="17" t="s">
        <v>2356</v>
      </c>
      <c r="G756" s="17" t="s">
        <v>1104</v>
      </c>
      <c r="H756" s="19"/>
    </row>
    <row r="757" customFormat="false" ht="15" hidden="false" customHeight="false" outlineLevel="0" collapsed="false">
      <c r="A757" s="19" t="s">
        <v>1389</v>
      </c>
      <c r="B757" s="19" t="s">
        <v>2357</v>
      </c>
      <c r="C757" s="19" t="n">
        <v>9</v>
      </c>
      <c r="D757" s="17" t="s">
        <v>552</v>
      </c>
      <c r="E757" s="19" t="n">
        <v>3.2</v>
      </c>
      <c r="F757" s="17" t="s">
        <v>2358</v>
      </c>
      <c r="G757" s="17" t="s">
        <v>1104</v>
      </c>
      <c r="H757" s="19"/>
    </row>
    <row r="758" customFormat="false" ht="15" hidden="false" customHeight="false" outlineLevel="0" collapsed="false">
      <c r="A758" s="19" t="s">
        <v>1389</v>
      </c>
      <c r="B758" s="19" t="s">
        <v>2359</v>
      </c>
      <c r="C758" s="19" t="n">
        <v>9</v>
      </c>
      <c r="D758" s="17" t="s">
        <v>731</v>
      </c>
      <c r="E758" s="19" t="n">
        <v>0.5</v>
      </c>
      <c r="F758" s="17" t="s">
        <v>2360</v>
      </c>
      <c r="G758" s="17" t="s">
        <v>1104</v>
      </c>
      <c r="H758" s="19"/>
    </row>
    <row r="759" customFormat="false" ht="15" hidden="false" customHeight="false" outlineLevel="0" collapsed="false">
      <c r="A759" s="19" t="s">
        <v>1389</v>
      </c>
      <c r="B759" s="19" t="s">
        <v>2361</v>
      </c>
      <c r="C759" s="19" t="n">
        <v>9</v>
      </c>
      <c r="D759" s="17" t="s">
        <v>2047</v>
      </c>
      <c r="E759" s="19" t="n">
        <v>0.18</v>
      </c>
      <c r="F759" s="17" t="s">
        <v>2089</v>
      </c>
      <c r="G759" s="17" t="s">
        <v>1104</v>
      </c>
      <c r="H759" s="19"/>
    </row>
    <row r="760" customFormat="false" ht="15" hidden="false" customHeight="false" outlineLevel="0" collapsed="false">
      <c r="A760" s="19" t="s">
        <v>1389</v>
      </c>
      <c r="B760" s="19" t="s">
        <v>2362</v>
      </c>
      <c r="C760" s="19" t="n">
        <v>9</v>
      </c>
      <c r="D760" s="17" t="s">
        <v>739</v>
      </c>
      <c r="E760" s="19" t="n">
        <v>1.02492</v>
      </c>
      <c r="F760" s="17" t="s">
        <v>2363</v>
      </c>
      <c r="G760" s="17" t="s">
        <v>1104</v>
      </c>
      <c r="H760" s="19"/>
    </row>
    <row r="761" customFormat="false" ht="15" hidden="false" customHeight="false" outlineLevel="0" collapsed="false">
      <c r="A761" s="19" t="s">
        <v>1389</v>
      </c>
      <c r="B761" s="19" t="s">
        <v>1879</v>
      </c>
      <c r="C761" s="19" t="n">
        <v>9</v>
      </c>
      <c r="D761" s="19" t="s">
        <v>581</v>
      </c>
      <c r="E761" s="19" t="n">
        <v>1.19489227186978</v>
      </c>
      <c r="F761" s="17" t="s">
        <v>2364</v>
      </c>
      <c r="G761" s="17" t="s">
        <v>1104</v>
      </c>
      <c r="H761" s="19"/>
    </row>
    <row r="762" customFormat="false" ht="15" hidden="false" customHeight="false" outlineLevel="0" collapsed="false">
      <c r="A762" s="19" t="s">
        <v>1389</v>
      </c>
      <c r="B762" s="19" t="s">
        <v>1881</v>
      </c>
      <c r="C762" s="19" t="n">
        <v>9</v>
      </c>
      <c r="D762" s="17" t="s">
        <v>585</v>
      </c>
      <c r="E762" s="19" t="n">
        <v>0.40465</v>
      </c>
      <c r="F762" s="17" t="s">
        <v>2365</v>
      </c>
      <c r="G762" s="17" t="s">
        <v>1104</v>
      </c>
      <c r="H762" s="19"/>
    </row>
    <row r="763" customFormat="false" ht="15" hidden="false" customHeight="false" outlineLevel="0" collapsed="false">
      <c r="A763" s="19" t="s">
        <v>1389</v>
      </c>
      <c r="B763" s="19" t="s">
        <v>1883</v>
      </c>
      <c r="C763" s="19" t="n">
        <v>9</v>
      </c>
      <c r="D763" s="17" t="s">
        <v>2053</v>
      </c>
      <c r="E763" s="19" t="n">
        <v>0.41</v>
      </c>
      <c r="F763" s="17" t="s">
        <v>2366</v>
      </c>
      <c r="G763" s="17" t="s">
        <v>1104</v>
      </c>
      <c r="H763" s="19"/>
    </row>
    <row r="764" customFormat="false" ht="15" hidden="false" customHeight="false" outlineLevel="0" collapsed="false">
      <c r="A764" s="19" t="s">
        <v>1389</v>
      </c>
      <c r="B764" s="19" t="s">
        <v>2367</v>
      </c>
      <c r="C764" s="19" t="n">
        <v>9</v>
      </c>
      <c r="D764" s="17" t="s">
        <v>600</v>
      </c>
      <c r="E764" s="19" t="n">
        <v>0.653340464</v>
      </c>
      <c r="F764" s="17" t="s">
        <v>2368</v>
      </c>
      <c r="G764" s="17" t="s">
        <v>1104</v>
      </c>
      <c r="H764" s="19"/>
    </row>
    <row r="765" customFormat="false" ht="15" hidden="false" customHeight="false" outlineLevel="0" collapsed="false">
      <c r="A765" s="19" t="s">
        <v>1389</v>
      </c>
      <c r="B765" s="19" t="s">
        <v>2369</v>
      </c>
      <c r="C765" s="19" t="n">
        <v>9</v>
      </c>
      <c r="D765" s="19" t="s">
        <v>962</v>
      </c>
      <c r="E765" s="19" t="n">
        <v>0.13</v>
      </c>
      <c r="F765" s="17" t="s">
        <v>2098</v>
      </c>
      <c r="G765" s="17" t="s">
        <v>1104</v>
      </c>
      <c r="H765" s="19"/>
    </row>
    <row r="766" customFormat="false" ht="15" hidden="false" customHeight="false" outlineLevel="0" collapsed="false">
      <c r="A766" s="19" t="s">
        <v>1389</v>
      </c>
      <c r="B766" s="19" t="s">
        <v>2370</v>
      </c>
      <c r="C766" s="19" t="n">
        <v>9</v>
      </c>
      <c r="D766" s="19" t="s">
        <v>750</v>
      </c>
      <c r="E766" s="19" t="n">
        <v>0.336194197406613</v>
      </c>
      <c r="F766" s="17" t="s">
        <v>2371</v>
      </c>
      <c r="G766" s="17" t="s">
        <v>1104</v>
      </c>
      <c r="H766" s="19"/>
    </row>
    <row r="767" customFormat="false" ht="15" hidden="false" customHeight="false" outlineLevel="0" collapsed="false">
      <c r="A767" s="19" t="s">
        <v>1421</v>
      </c>
      <c r="B767" s="19" t="s">
        <v>1472</v>
      </c>
      <c r="C767" s="19" t="n">
        <v>9</v>
      </c>
      <c r="D767" s="17" t="s">
        <v>2372</v>
      </c>
      <c r="E767" s="19" t="n">
        <v>1</v>
      </c>
      <c r="F767" s="17" t="s">
        <v>2373</v>
      </c>
      <c r="G767" s="17" t="s">
        <v>1104</v>
      </c>
      <c r="H767" s="19"/>
    </row>
    <row r="768" customFormat="false" ht="15" hidden="false" customHeight="false" outlineLevel="0" collapsed="false">
      <c r="A768" s="19" t="s">
        <v>1421</v>
      </c>
      <c r="B768" s="19" t="s">
        <v>2374</v>
      </c>
      <c r="C768" s="19" t="n">
        <v>9</v>
      </c>
      <c r="D768" s="17" t="s">
        <v>2375</v>
      </c>
      <c r="E768" s="19" t="n">
        <v>1</v>
      </c>
      <c r="F768" s="17" t="s">
        <v>2376</v>
      </c>
      <c r="G768" s="17" t="s">
        <v>1104</v>
      </c>
      <c r="H768" s="19"/>
    </row>
    <row r="769" customFormat="false" ht="15" hidden="false" customHeight="false" outlineLevel="0" collapsed="false">
      <c r="A769" s="19" t="s">
        <v>1421</v>
      </c>
      <c r="B769" s="19" t="s">
        <v>1477</v>
      </c>
      <c r="C769" s="19" t="n">
        <v>9</v>
      </c>
      <c r="D769" s="17" t="s">
        <v>2372</v>
      </c>
      <c r="E769" s="19" t="n">
        <v>1</v>
      </c>
      <c r="F769" s="17" t="s">
        <v>2377</v>
      </c>
      <c r="G769" s="17" t="s">
        <v>1104</v>
      </c>
      <c r="H769" s="19"/>
    </row>
    <row r="770" customFormat="false" ht="15" hidden="false" customHeight="false" outlineLevel="0" collapsed="false">
      <c r="A770" s="19" t="s">
        <v>1421</v>
      </c>
      <c r="B770" s="19" t="s">
        <v>2378</v>
      </c>
      <c r="C770" s="19" t="n">
        <v>9</v>
      </c>
      <c r="D770" s="17" t="s">
        <v>2375</v>
      </c>
      <c r="E770" s="19" t="n">
        <v>1</v>
      </c>
      <c r="F770" s="17" t="s">
        <v>2379</v>
      </c>
      <c r="G770" s="17" t="s">
        <v>1104</v>
      </c>
      <c r="H770" s="19"/>
    </row>
    <row r="771" customFormat="false" ht="15" hidden="false" customHeight="false" outlineLevel="0" collapsed="false">
      <c r="A771" s="19" t="s">
        <v>1421</v>
      </c>
      <c r="B771" s="19" t="s">
        <v>1481</v>
      </c>
      <c r="C771" s="19" t="n">
        <v>9</v>
      </c>
      <c r="D771" s="17" t="s">
        <v>2372</v>
      </c>
      <c r="E771" s="19" t="n">
        <v>1</v>
      </c>
      <c r="F771" s="17" t="s">
        <v>2380</v>
      </c>
      <c r="G771" s="17" t="s">
        <v>1104</v>
      </c>
      <c r="H771" s="19"/>
    </row>
    <row r="772" customFormat="false" ht="15" hidden="false" customHeight="false" outlineLevel="0" collapsed="false">
      <c r="A772" s="19" t="s">
        <v>1421</v>
      </c>
      <c r="B772" s="19" t="s">
        <v>2381</v>
      </c>
      <c r="C772" s="19" t="n">
        <v>9</v>
      </c>
      <c r="D772" s="17" t="s">
        <v>2375</v>
      </c>
      <c r="E772" s="19" t="n">
        <v>1</v>
      </c>
      <c r="F772" s="17" t="s">
        <v>2382</v>
      </c>
      <c r="G772" s="17" t="s">
        <v>1104</v>
      </c>
      <c r="H772" s="19"/>
    </row>
    <row r="773" customFormat="false" ht="15" hidden="false" customHeight="false" outlineLevel="0" collapsed="false">
      <c r="A773" s="19" t="s">
        <v>1421</v>
      </c>
      <c r="B773" s="19" t="s">
        <v>1486</v>
      </c>
      <c r="C773" s="19" t="n">
        <v>9</v>
      </c>
      <c r="D773" s="17" t="s">
        <v>2372</v>
      </c>
      <c r="E773" s="19" t="n">
        <v>1</v>
      </c>
      <c r="F773" s="17" t="s">
        <v>2383</v>
      </c>
      <c r="G773" s="17" t="s">
        <v>1104</v>
      </c>
      <c r="H773" s="19"/>
    </row>
    <row r="774" customFormat="false" ht="15" hidden="false" customHeight="false" outlineLevel="0" collapsed="false">
      <c r="A774" s="19" t="s">
        <v>1421</v>
      </c>
      <c r="B774" s="19" t="s">
        <v>2384</v>
      </c>
      <c r="C774" s="19" t="n">
        <v>9</v>
      </c>
      <c r="D774" s="17" t="s">
        <v>2375</v>
      </c>
      <c r="E774" s="19" t="n">
        <v>1</v>
      </c>
      <c r="F774" s="17" t="s">
        <v>2385</v>
      </c>
      <c r="G774" s="17" t="s">
        <v>1104</v>
      </c>
      <c r="H774" s="19"/>
    </row>
    <row r="775" customFormat="false" ht="15" hidden="false" customHeight="false" outlineLevel="0" collapsed="false">
      <c r="A775" s="19" t="s">
        <v>1421</v>
      </c>
      <c r="B775" s="19" t="s">
        <v>1492</v>
      </c>
      <c r="C775" s="19" t="n">
        <v>9</v>
      </c>
      <c r="D775" s="17" t="s">
        <v>2372</v>
      </c>
      <c r="E775" s="19" t="n">
        <v>1</v>
      </c>
      <c r="F775" s="17" t="s">
        <v>2386</v>
      </c>
      <c r="G775" s="17" t="s">
        <v>1104</v>
      </c>
      <c r="H775" s="19"/>
    </row>
    <row r="776" customFormat="false" ht="15" hidden="false" customHeight="false" outlineLevel="0" collapsed="false">
      <c r="A776" s="19" t="s">
        <v>1421</v>
      </c>
      <c r="B776" s="19" t="s">
        <v>2387</v>
      </c>
      <c r="C776" s="19" t="n">
        <v>9</v>
      </c>
      <c r="D776" s="17" t="s">
        <v>2375</v>
      </c>
      <c r="E776" s="19" t="n">
        <v>1</v>
      </c>
      <c r="F776" s="17" t="s">
        <v>2388</v>
      </c>
      <c r="G776" s="17" t="s">
        <v>1104</v>
      </c>
      <c r="H776" s="19"/>
    </row>
    <row r="777" customFormat="false" ht="15" hidden="false" customHeight="false" outlineLevel="0" collapsed="false">
      <c r="A777" s="19" t="s">
        <v>1421</v>
      </c>
      <c r="B777" s="19" t="s">
        <v>1498</v>
      </c>
      <c r="C777" s="19" t="n">
        <v>9</v>
      </c>
      <c r="D777" s="17" t="s">
        <v>2372</v>
      </c>
      <c r="E777" s="19" t="n">
        <v>1</v>
      </c>
      <c r="F777" s="17" t="s">
        <v>2389</v>
      </c>
      <c r="G777" s="17" t="s">
        <v>1104</v>
      </c>
      <c r="H777" s="19"/>
    </row>
    <row r="778" customFormat="false" ht="15" hidden="false" customHeight="false" outlineLevel="0" collapsed="false">
      <c r="A778" s="19" t="s">
        <v>1421</v>
      </c>
      <c r="B778" s="19" t="s">
        <v>2390</v>
      </c>
      <c r="C778" s="19" t="n">
        <v>9</v>
      </c>
      <c r="D778" s="17" t="s">
        <v>2375</v>
      </c>
      <c r="E778" s="19" t="n">
        <v>1</v>
      </c>
      <c r="F778" s="17" t="s">
        <v>2391</v>
      </c>
      <c r="G778" s="17" t="s">
        <v>1104</v>
      </c>
      <c r="H778" s="19"/>
    </row>
    <row r="779" customFormat="false" ht="15" hidden="false" customHeight="false" outlineLevel="0" collapsed="false">
      <c r="A779" s="19" t="s">
        <v>1421</v>
      </c>
      <c r="B779" s="19" t="s">
        <v>1504</v>
      </c>
      <c r="C779" s="19" t="n">
        <v>9</v>
      </c>
      <c r="D779" s="17" t="s">
        <v>2372</v>
      </c>
      <c r="E779" s="19" t="n">
        <v>1</v>
      </c>
      <c r="F779" s="17" t="s">
        <v>2392</v>
      </c>
      <c r="G779" s="17" t="s">
        <v>1104</v>
      </c>
      <c r="H779" s="19"/>
    </row>
    <row r="780" customFormat="false" ht="15" hidden="false" customHeight="false" outlineLevel="0" collapsed="false">
      <c r="A780" s="19" t="s">
        <v>1421</v>
      </c>
      <c r="B780" s="19" t="s">
        <v>2393</v>
      </c>
      <c r="C780" s="19" t="n">
        <v>9</v>
      </c>
      <c r="D780" s="17" t="s">
        <v>2375</v>
      </c>
      <c r="E780" s="19" t="n">
        <v>1</v>
      </c>
      <c r="F780" s="17" t="s">
        <v>2394</v>
      </c>
      <c r="G780" s="17" t="s">
        <v>1104</v>
      </c>
      <c r="H780" s="19"/>
    </row>
    <row r="781" customFormat="false" ht="15" hidden="false" customHeight="false" outlineLevel="0" collapsed="false">
      <c r="A781" s="19" t="s">
        <v>1421</v>
      </c>
      <c r="B781" s="19" t="s">
        <v>1510</v>
      </c>
      <c r="C781" s="19" t="n">
        <v>9</v>
      </c>
      <c r="D781" s="17" t="s">
        <v>2372</v>
      </c>
      <c r="E781" s="19" t="n">
        <v>1</v>
      </c>
      <c r="F781" s="17" t="s">
        <v>2395</v>
      </c>
      <c r="G781" s="17" t="s">
        <v>1104</v>
      </c>
      <c r="H781" s="19"/>
    </row>
    <row r="782" customFormat="false" ht="15" hidden="false" customHeight="false" outlineLevel="0" collapsed="false">
      <c r="A782" s="19" t="s">
        <v>1421</v>
      </c>
      <c r="B782" s="19" t="s">
        <v>2396</v>
      </c>
      <c r="C782" s="19" t="n">
        <v>9</v>
      </c>
      <c r="D782" s="17" t="s">
        <v>2375</v>
      </c>
      <c r="E782" s="19" t="n">
        <v>1</v>
      </c>
      <c r="F782" s="17" t="s">
        <v>2397</v>
      </c>
      <c r="G782" s="17" t="s">
        <v>1104</v>
      </c>
      <c r="H782" s="19"/>
    </row>
    <row r="783" customFormat="false" ht="15" hidden="false" customHeight="false" outlineLevel="0" collapsed="false">
      <c r="A783" s="19" t="s">
        <v>1421</v>
      </c>
      <c r="B783" s="19" t="s">
        <v>1516</v>
      </c>
      <c r="C783" s="19" t="n">
        <v>9</v>
      </c>
      <c r="D783" s="17" t="s">
        <v>2372</v>
      </c>
      <c r="E783" s="19" t="n">
        <v>1</v>
      </c>
      <c r="F783" s="17" t="s">
        <v>2398</v>
      </c>
      <c r="G783" s="17" t="s">
        <v>1104</v>
      </c>
      <c r="H783" s="19"/>
    </row>
    <row r="784" customFormat="false" ht="15" hidden="false" customHeight="false" outlineLevel="0" collapsed="false">
      <c r="A784" s="19" t="s">
        <v>1421</v>
      </c>
      <c r="B784" s="19" t="s">
        <v>2399</v>
      </c>
      <c r="C784" s="19" t="n">
        <v>9</v>
      </c>
      <c r="D784" s="17" t="s">
        <v>2375</v>
      </c>
      <c r="E784" s="19" t="n">
        <v>1</v>
      </c>
      <c r="F784" s="17" t="s">
        <v>2400</v>
      </c>
      <c r="G784" s="17" t="s">
        <v>1104</v>
      </c>
      <c r="H784" s="19"/>
    </row>
    <row r="785" customFormat="false" ht="15" hidden="false" customHeight="false" outlineLevel="0" collapsed="false">
      <c r="A785" s="19" t="s">
        <v>1421</v>
      </c>
      <c r="B785" s="19" t="s">
        <v>1522</v>
      </c>
      <c r="C785" s="19" t="n">
        <v>9</v>
      </c>
      <c r="D785" s="17" t="s">
        <v>2372</v>
      </c>
      <c r="E785" s="19" t="n">
        <v>1</v>
      </c>
      <c r="F785" s="17" t="s">
        <v>2401</v>
      </c>
      <c r="G785" s="17" t="s">
        <v>1104</v>
      </c>
      <c r="H785" s="19"/>
    </row>
    <row r="786" customFormat="false" ht="15" hidden="false" customHeight="false" outlineLevel="0" collapsed="false">
      <c r="A786" s="19" t="s">
        <v>1421</v>
      </c>
      <c r="B786" s="19" t="s">
        <v>2402</v>
      </c>
      <c r="C786" s="19" t="n">
        <v>9</v>
      </c>
      <c r="D786" s="17" t="s">
        <v>2375</v>
      </c>
      <c r="E786" s="19" t="n">
        <v>1</v>
      </c>
      <c r="F786" s="17" t="s">
        <v>2403</v>
      </c>
      <c r="G786" s="17" t="s">
        <v>1104</v>
      </c>
      <c r="H786" s="19"/>
    </row>
    <row r="787" customFormat="false" ht="15" hidden="false" customHeight="false" outlineLevel="0" collapsed="false">
      <c r="A787" s="19" t="s">
        <v>1421</v>
      </c>
      <c r="B787" s="19" t="s">
        <v>1528</v>
      </c>
      <c r="C787" s="19" t="n">
        <v>9</v>
      </c>
      <c r="D787" s="17" t="s">
        <v>2372</v>
      </c>
      <c r="E787" s="19" t="n">
        <v>1</v>
      </c>
      <c r="F787" s="17" t="s">
        <v>2404</v>
      </c>
      <c r="G787" s="17" t="s">
        <v>1104</v>
      </c>
      <c r="H787" s="19"/>
    </row>
    <row r="788" customFormat="false" ht="15" hidden="false" customHeight="false" outlineLevel="0" collapsed="false">
      <c r="A788" s="19" t="s">
        <v>1421</v>
      </c>
      <c r="B788" s="19" t="s">
        <v>2405</v>
      </c>
      <c r="C788" s="19" t="n">
        <v>9</v>
      </c>
      <c r="D788" s="17" t="s">
        <v>2375</v>
      </c>
      <c r="E788" s="19" t="n">
        <v>1</v>
      </c>
      <c r="F788" s="17" t="s">
        <v>2406</v>
      </c>
      <c r="G788" s="17" t="s">
        <v>1104</v>
      </c>
      <c r="H788" s="19"/>
    </row>
    <row r="789" customFormat="false" ht="15" hidden="false" customHeight="false" outlineLevel="0" collapsed="false">
      <c r="A789" s="19" t="s">
        <v>1421</v>
      </c>
      <c r="B789" s="19" t="s">
        <v>1534</v>
      </c>
      <c r="C789" s="19" t="n">
        <v>9</v>
      </c>
      <c r="D789" s="17" t="s">
        <v>2372</v>
      </c>
      <c r="E789" s="19" t="n">
        <v>1</v>
      </c>
      <c r="F789" s="17" t="s">
        <v>2407</v>
      </c>
      <c r="G789" s="17" t="s">
        <v>1104</v>
      </c>
      <c r="H789" s="19"/>
    </row>
    <row r="790" customFormat="false" ht="15" hidden="false" customHeight="false" outlineLevel="0" collapsed="false">
      <c r="A790" s="19" t="s">
        <v>1421</v>
      </c>
      <c r="B790" s="19" t="s">
        <v>2408</v>
      </c>
      <c r="C790" s="19" t="n">
        <v>9</v>
      </c>
      <c r="D790" s="17" t="s">
        <v>2375</v>
      </c>
      <c r="E790" s="19" t="n">
        <v>1</v>
      </c>
      <c r="F790" s="17" t="s">
        <v>2409</v>
      </c>
      <c r="G790" s="17" t="s">
        <v>1104</v>
      </c>
      <c r="H790" s="19"/>
    </row>
    <row r="791" customFormat="false" ht="15" hidden="false" customHeight="false" outlineLevel="0" collapsed="false">
      <c r="A791" s="19" t="s">
        <v>1421</v>
      </c>
      <c r="B791" s="19" t="s">
        <v>1540</v>
      </c>
      <c r="C791" s="19" t="n">
        <v>9</v>
      </c>
      <c r="D791" s="17" t="s">
        <v>2372</v>
      </c>
      <c r="E791" s="19" t="n">
        <v>1</v>
      </c>
      <c r="F791" s="17" t="s">
        <v>2410</v>
      </c>
      <c r="G791" s="17" t="s">
        <v>1104</v>
      </c>
      <c r="H791" s="19"/>
    </row>
    <row r="792" customFormat="false" ht="15" hidden="false" customHeight="false" outlineLevel="0" collapsed="false">
      <c r="A792" s="19" t="s">
        <v>1421</v>
      </c>
      <c r="B792" s="19" t="s">
        <v>2411</v>
      </c>
      <c r="C792" s="19" t="n">
        <v>9</v>
      </c>
      <c r="D792" s="17" t="s">
        <v>2375</v>
      </c>
      <c r="E792" s="19" t="n">
        <v>1</v>
      </c>
      <c r="F792" s="17" t="s">
        <v>2412</v>
      </c>
      <c r="G792" s="17" t="s">
        <v>1104</v>
      </c>
      <c r="H792" s="19"/>
    </row>
    <row r="793" customFormat="false" ht="15" hidden="false" customHeight="false" outlineLevel="0" collapsed="false">
      <c r="A793" s="19" t="s">
        <v>1421</v>
      </c>
      <c r="B793" s="19" t="s">
        <v>1546</v>
      </c>
      <c r="C793" s="19" t="n">
        <v>9</v>
      </c>
      <c r="D793" s="17" t="s">
        <v>2372</v>
      </c>
      <c r="E793" s="19" t="n">
        <v>1</v>
      </c>
      <c r="F793" s="17" t="s">
        <v>2413</v>
      </c>
      <c r="G793" s="17" t="s">
        <v>1104</v>
      </c>
      <c r="H793" s="19"/>
    </row>
    <row r="794" customFormat="false" ht="15" hidden="false" customHeight="false" outlineLevel="0" collapsed="false">
      <c r="A794" s="19" t="s">
        <v>1421</v>
      </c>
      <c r="B794" s="19" t="s">
        <v>2414</v>
      </c>
      <c r="C794" s="19" t="n">
        <v>9</v>
      </c>
      <c r="D794" s="17" t="s">
        <v>2375</v>
      </c>
      <c r="E794" s="19" t="n">
        <v>1</v>
      </c>
      <c r="F794" s="17" t="s">
        <v>2415</v>
      </c>
      <c r="G794" s="17" t="s">
        <v>1104</v>
      </c>
      <c r="H794" s="19"/>
    </row>
    <row r="795" customFormat="false" ht="15" hidden="false" customHeight="false" outlineLevel="0" collapsed="false">
      <c r="A795" s="19" t="s">
        <v>1421</v>
      </c>
      <c r="B795" s="19" t="s">
        <v>1552</v>
      </c>
      <c r="C795" s="19" t="n">
        <v>9</v>
      </c>
      <c r="D795" s="17" t="s">
        <v>2372</v>
      </c>
      <c r="E795" s="19" t="n">
        <v>1</v>
      </c>
      <c r="F795" s="17" t="s">
        <v>2416</v>
      </c>
      <c r="G795" s="17" t="s">
        <v>1104</v>
      </c>
      <c r="H795" s="19"/>
    </row>
    <row r="796" customFormat="false" ht="15" hidden="false" customHeight="false" outlineLevel="0" collapsed="false">
      <c r="A796" s="19" t="s">
        <v>1421</v>
      </c>
      <c r="B796" s="19" t="s">
        <v>2417</v>
      </c>
      <c r="C796" s="19" t="n">
        <v>9</v>
      </c>
      <c r="D796" s="17" t="s">
        <v>2375</v>
      </c>
      <c r="E796" s="19" t="n">
        <v>1</v>
      </c>
      <c r="F796" s="17" t="s">
        <v>2418</v>
      </c>
      <c r="G796" s="17" t="s">
        <v>1104</v>
      </c>
      <c r="H796" s="19"/>
    </row>
    <row r="797" customFormat="false" ht="15" hidden="false" customHeight="false" outlineLevel="0" collapsed="false">
      <c r="A797" s="19" t="s">
        <v>1449</v>
      </c>
      <c r="B797" s="19" t="s">
        <v>1472</v>
      </c>
      <c r="C797" s="19" t="n">
        <v>9</v>
      </c>
      <c r="D797" s="17" t="s">
        <v>2372</v>
      </c>
      <c r="E797" s="19" t="n">
        <v>1</v>
      </c>
      <c r="F797" s="17" t="s">
        <v>2419</v>
      </c>
      <c r="G797" s="17" t="s">
        <v>1104</v>
      </c>
      <c r="H797" s="19"/>
    </row>
    <row r="798" customFormat="false" ht="15" hidden="false" customHeight="false" outlineLevel="0" collapsed="false">
      <c r="A798" s="19" t="s">
        <v>1449</v>
      </c>
      <c r="B798" s="19" t="s">
        <v>2374</v>
      </c>
      <c r="C798" s="19" t="n">
        <v>9</v>
      </c>
      <c r="D798" s="17" t="s">
        <v>2375</v>
      </c>
      <c r="E798" s="19" t="n">
        <v>1</v>
      </c>
      <c r="F798" s="17" t="s">
        <v>2420</v>
      </c>
      <c r="G798" s="17" t="s">
        <v>1104</v>
      </c>
      <c r="H798" s="19"/>
    </row>
    <row r="799" customFormat="false" ht="15" hidden="false" customHeight="false" outlineLevel="0" collapsed="false">
      <c r="A799" s="19" t="s">
        <v>1449</v>
      </c>
      <c r="B799" s="19" t="s">
        <v>1477</v>
      </c>
      <c r="C799" s="19" t="n">
        <v>9</v>
      </c>
      <c r="D799" s="17" t="s">
        <v>2372</v>
      </c>
      <c r="E799" s="19" t="n">
        <v>1</v>
      </c>
      <c r="F799" s="17" t="s">
        <v>2421</v>
      </c>
      <c r="G799" s="17" t="s">
        <v>1104</v>
      </c>
      <c r="H799" s="19"/>
    </row>
    <row r="800" customFormat="false" ht="15" hidden="false" customHeight="false" outlineLevel="0" collapsed="false">
      <c r="A800" s="19" t="s">
        <v>1449</v>
      </c>
      <c r="B800" s="19" t="s">
        <v>2378</v>
      </c>
      <c r="C800" s="19" t="n">
        <v>9</v>
      </c>
      <c r="D800" s="17" t="s">
        <v>2375</v>
      </c>
      <c r="E800" s="19" t="n">
        <v>1</v>
      </c>
      <c r="F800" s="17" t="s">
        <v>2422</v>
      </c>
      <c r="G800" s="17" t="s">
        <v>1104</v>
      </c>
      <c r="H800" s="19"/>
    </row>
    <row r="801" customFormat="false" ht="15" hidden="false" customHeight="false" outlineLevel="0" collapsed="false">
      <c r="A801" s="19" t="s">
        <v>1449</v>
      </c>
      <c r="B801" s="19" t="s">
        <v>1481</v>
      </c>
      <c r="C801" s="19" t="n">
        <v>9</v>
      </c>
      <c r="D801" s="17" t="s">
        <v>2372</v>
      </c>
      <c r="E801" s="19" t="n">
        <v>1</v>
      </c>
      <c r="F801" s="17" t="s">
        <v>2423</v>
      </c>
      <c r="G801" s="17" t="s">
        <v>1104</v>
      </c>
      <c r="H801" s="19"/>
    </row>
    <row r="802" customFormat="false" ht="15" hidden="false" customHeight="false" outlineLevel="0" collapsed="false">
      <c r="A802" s="19" t="s">
        <v>1449</v>
      </c>
      <c r="B802" s="19" t="s">
        <v>2381</v>
      </c>
      <c r="C802" s="19" t="n">
        <v>9</v>
      </c>
      <c r="D802" s="17" t="s">
        <v>2375</v>
      </c>
      <c r="E802" s="19" t="n">
        <v>1</v>
      </c>
      <c r="F802" s="17" t="s">
        <v>2424</v>
      </c>
      <c r="G802" s="17" t="s">
        <v>1104</v>
      </c>
      <c r="H802" s="19"/>
    </row>
    <row r="803" customFormat="false" ht="15" hidden="false" customHeight="false" outlineLevel="0" collapsed="false">
      <c r="A803" s="19" t="s">
        <v>1449</v>
      </c>
      <c r="B803" s="19" t="s">
        <v>1486</v>
      </c>
      <c r="C803" s="19" t="n">
        <v>9</v>
      </c>
      <c r="D803" s="17" t="s">
        <v>2372</v>
      </c>
      <c r="E803" s="19" t="n">
        <v>1</v>
      </c>
      <c r="F803" s="17" t="s">
        <v>2425</v>
      </c>
      <c r="G803" s="17" t="s">
        <v>1104</v>
      </c>
      <c r="H803" s="19"/>
    </row>
    <row r="804" customFormat="false" ht="15" hidden="false" customHeight="false" outlineLevel="0" collapsed="false">
      <c r="A804" s="19" t="s">
        <v>1449</v>
      </c>
      <c r="B804" s="19" t="s">
        <v>2384</v>
      </c>
      <c r="C804" s="19" t="n">
        <v>9</v>
      </c>
      <c r="D804" s="17" t="s">
        <v>2375</v>
      </c>
      <c r="E804" s="19" t="n">
        <v>1</v>
      </c>
      <c r="F804" s="17" t="s">
        <v>2426</v>
      </c>
      <c r="G804" s="17" t="s">
        <v>1104</v>
      </c>
      <c r="H804" s="19"/>
    </row>
    <row r="805" customFormat="false" ht="15" hidden="false" customHeight="false" outlineLevel="0" collapsed="false">
      <c r="A805" s="19" t="s">
        <v>1449</v>
      </c>
      <c r="B805" s="19" t="s">
        <v>1492</v>
      </c>
      <c r="C805" s="19" t="n">
        <v>9</v>
      </c>
      <c r="D805" s="17" t="s">
        <v>2372</v>
      </c>
      <c r="E805" s="19" t="n">
        <v>1</v>
      </c>
      <c r="F805" s="17" t="s">
        <v>2427</v>
      </c>
      <c r="G805" s="17" t="s">
        <v>1104</v>
      </c>
      <c r="H805" s="19"/>
    </row>
    <row r="806" customFormat="false" ht="15" hidden="false" customHeight="false" outlineLevel="0" collapsed="false">
      <c r="A806" s="19" t="s">
        <v>1449</v>
      </c>
      <c r="B806" s="19" t="s">
        <v>2387</v>
      </c>
      <c r="C806" s="19" t="n">
        <v>9</v>
      </c>
      <c r="D806" s="17" t="s">
        <v>2375</v>
      </c>
      <c r="E806" s="19" t="n">
        <v>1</v>
      </c>
      <c r="F806" s="17" t="s">
        <v>2428</v>
      </c>
      <c r="G806" s="17" t="s">
        <v>1104</v>
      </c>
      <c r="H806" s="19"/>
    </row>
    <row r="807" customFormat="false" ht="15" hidden="false" customHeight="false" outlineLevel="0" collapsed="false">
      <c r="A807" s="19" t="s">
        <v>1449</v>
      </c>
      <c r="B807" s="19" t="s">
        <v>1498</v>
      </c>
      <c r="C807" s="19" t="n">
        <v>9</v>
      </c>
      <c r="D807" s="17" t="s">
        <v>2372</v>
      </c>
      <c r="E807" s="19" t="n">
        <v>1</v>
      </c>
      <c r="F807" s="17" t="s">
        <v>2429</v>
      </c>
      <c r="G807" s="17" t="s">
        <v>1104</v>
      </c>
      <c r="H807" s="19"/>
    </row>
    <row r="808" customFormat="false" ht="15" hidden="false" customHeight="false" outlineLevel="0" collapsed="false">
      <c r="A808" s="19" t="s">
        <v>1449</v>
      </c>
      <c r="B808" s="19" t="s">
        <v>2390</v>
      </c>
      <c r="C808" s="19" t="n">
        <v>9</v>
      </c>
      <c r="D808" s="17" t="s">
        <v>2375</v>
      </c>
      <c r="E808" s="19" t="n">
        <v>1</v>
      </c>
      <c r="F808" s="17" t="s">
        <v>2430</v>
      </c>
      <c r="G808" s="17" t="s">
        <v>1104</v>
      </c>
      <c r="H808" s="19"/>
    </row>
    <row r="809" customFormat="false" ht="15" hidden="false" customHeight="false" outlineLevel="0" collapsed="false">
      <c r="A809" s="19" t="s">
        <v>1449</v>
      </c>
      <c r="B809" s="19" t="s">
        <v>1504</v>
      </c>
      <c r="C809" s="19" t="n">
        <v>9</v>
      </c>
      <c r="D809" s="17" t="s">
        <v>2372</v>
      </c>
      <c r="E809" s="19" t="n">
        <v>1</v>
      </c>
      <c r="F809" s="17" t="s">
        <v>2431</v>
      </c>
      <c r="G809" s="17" t="s">
        <v>1104</v>
      </c>
      <c r="H809" s="19"/>
    </row>
    <row r="810" customFormat="false" ht="15" hidden="false" customHeight="false" outlineLevel="0" collapsed="false">
      <c r="A810" s="19" t="s">
        <v>1449</v>
      </c>
      <c r="B810" s="19" t="s">
        <v>2393</v>
      </c>
      <c r="C810" s="19" t="n">
        <v>9</v>
      </c>
      <c r="D810" s="17" t="s">
        <v>2375</v>
      </c>
      <c r="E810" s="19" t="n">
        <v>1</v>
      </c>
      <c r="F810" s="17" t="s">
        <v>2432</v>
      </c>
      <c r="G810" s="17" t="s">
        <v>1104</v>
      </c>
      <c r="H810" s="19"/>
    </row>
    <row r="811" customFormat="false" ht="15" hidden="false" customHeight="false" outlineLevel="0" collapsed="false">
      <c r="A811" s="19" t="s">
        <v>1449</v>
      </c>
      <c r="B811" s="19" t="s">
        <v>1510</v>
      </c>
      <c r="C811" s="19" t="n">
        <v>9</v>
      </c>
      <c r="D811" s="17" t="s">
        <v>2372</v>
      </c>
      <c r="E811" s="19" t="n">
        <v>1</v>
      </c>
      <c r="F811" s="17" t="s">
        <v>2433</v>
      </c>
      <c r="G811" s="17" t="s">
        <v>1104</v>
      </c>
      <c r="H811" s="19"/>
    </row>
    <row r="812" customFormat="false" ht="15" hidden="false" customHeight="false" outlineLevel="0" collapsed="false">
      <c r="A812" s="19" t="s">
        <v>1449</v>
      </c>
      <c r="B812" s="19" t="s">
        <v>2396</v>
      </c>
      <c r="C812" s="19" t="n">
        <v>9</v>
      </c>
      <c r="D812" s="17" t="s">
        <v>2375</v>
      </c>
      <c r="E812" s="19" t="n">
        <v>1</v>
      </c>
      <c r="F812" s="17" t="s">
        <v>2434</v>
      </c>
      <c r="G812" s="17" t="s">
        <v>1104</v>
      </c>
      <c r="H812" s="19"/>
    </row>
    <row r="813" customFormat="false" ht="15" hidden="false" customHeight="false" outlineLevel="0" collapsed="false">
      <c r="A813" s="19" t="s">
        <v>1449</v>
      </c>
      <c r="B813" s="19" t="s">
        <v>1516</v>
      </c>
      <c r="C813" s="19" t="n">
        <v>9</v>
      </c>
      <c r="D813" s="17" t="s">
        <v>2372</v>
      </c>
      <c r="E813" s="19" t="n">
        <v>1</v>
      </c>
      <c r="F813" s="17" t="s">
        <v>2435</v>
      </c>
      <c r="G813" s="17" t="s">
        <v>1104</v>
      </c>
      <c r="H813" s="19"/>
    </row>
    <row r="814" customFormat="false" ht="15" hidden="false" customHeight="false" outlineLevel="0" collapsed="false">
      <c r="A814" s="19" t="s">
        <v>1449</v>
      </c>
      <c r="B814" s="19" t="s">
        <v>2399</v>
      </c>
      <c r="C814" s="19" t="n">
        <v>9</v>
      </c>
      <c r="D814" s="17" t="s">
        <v>2375</v>
      </c>
      <c r="E814" s="19" t="n">
        <v>1</v>
      </c>
      <c r="F814" s="17" t="s">
        <v>2436</v>
      </c>
      <c r="G814" s="17" t="s">
        <v>1104</v>
      </c>
      <c r="H814" s="19"/>
    </row>
    <row r="815" customFormat="false" ht="15" hidden="false" customHeight="false" outlineLevel="0" collapsed="false">
      <c r="A815" s="19" t="s">
        <v>1449</v>
      </c>
      <c r="B815" s="19" t="s">
        <v>1522</v>
      </c>
      <c r="C815" s="19" t="n">
        <v>9</v>
      </c>
      <c r="D815" s="17" t="s">
        <v>2372</v>
      </c>
      <c r="E815" s="19" t="n">
        <v>1</v>
      </c>
      <c r="F815" s="17" t="s">
        <v>2437</v>
      </c>
      <c r="G815" s="17" t="s">
        <v>1104</v>
      </c>
      <c r="H815" s="19"/>
    </row>
    <row r="816" customFormat="false" ht="15" hidden="false" customHeight="false" outlineLevel="0" collapsed="false">
      <c r="A816" s="19" t="s">
        <v>1449</v>
      </c>
      <c r="B816" s="19" t="s">
        <v>2402</v>
      </c>
      <c r="C816" s="19" t="n">
        <v>9</v>
      </c>
      <c r="D816" s="17" t="s">
        <v>2375</v>
      </c>
      <c r="E816" s="19" t="n">
        <v>1</v>
      </c>
      <c r="F816" s="17" t="s">
        <v>2438</v>
      </c>
      <c r="G816" s="17" t="s">
        <v>1104</v>
      </c>
      <c r="H816" s="19"/>
    </row>
    <row r="817" customFormat="false" ht="15" hidden="false" customHeight="false" outlineLevel="0" collapsed="false">
      <c r="A817" s="19" t="s">
        <v>1449</v>
      </c>
      <c r="B817" s="19" t="s">
        <v>1528</v>
      </c>
      <c r="C817" s="19" t="n">
        <v>9</v>
      </c>
      <c r="D817" s="17" t="s">
        <v>2372</v>
      </c>
      <c r="E817" s="19" t="n">
        <v>1</v>
      </c>
      <c r="F817" s="17" t="s">
        <v>2439</v>
      </c>
      <c r="G817" s="17" t="s">
        <v>1104</v>
      </c>
      <c r="H817" s="19"/>
    </row>
    <row r="818" customFormat="false" ht="15" hidden="false" customHeight="false" outlineLevel="0" collapsed="false">
      <c r="A818" s="19" t="s">
        <v>1449</v>
      </c>
      <c r="B818" s="19" t="s">
        <v>2405</v>
      </c>
      <c r="C818" s="19" t="n">
        <v>9</v>
      </c>
      <c r="D818" s="17" t="s">
        <v>2375</v>
      </c>
      <c r="E818" s="19" t="n">
        <v>1</v>
      </c>
      <c r="F818" s="17" t="s">
        <v>2440</v>
      </c>
      <c r="G818" s="17" t="s">
        <v>1104</v>
      </c>
      <c r="H818" s="19"/>
    </row>
    <row r="819" customFormat="false" ht="15" hidden="false" customHeight="false" outlineLevel="0" collapsed="false">
      <c r="A819" s="19" t="s">
        <v>1449</v>
      </c>
      <c r="B819" s="19" t="s">
        <v>1534</v>
      </c>
      <c r="C819" s="19" t="n">
        <v>9</v>
      </c>
      <c r="D819" s="17" t="s">
        <v>2372</v>
      </c>
      <c r="E819" s="19" t="n">
        <v>1</v>
      </c>
      <c r="F819" s="17" t="s">
        <v>2441</v>
      </c>
      <c r="G819" s="17" t="s">
        <v>1104</v>
      </c>
      <c r="H819" s="19"/>
    </row>
    <row r="820" customFormat="false" ht="15" hidden="false" customHeight="false" outlineLevel="0" collapsed="false">
      <c r="A820" s="19" t="s">
        <v>1449</v>
      </c>
      <c r="B820" s="19" t="s">
        <v>2408</v>
      </c>
      <c r="C820" s="19" t="n">
        <v>9</v>
      </c>
      <c r="D820" s="17" t="s">
        <v>2375</v>
      </c>
      <c r="E820" s="19" t="n">
        <v>1</v>
      </c>
      <c r="F820" s="17" t="s">
        <v>2442</v>
      </c>
      <c r="G820" s="17" t="s">
        <v>1104</v>
      </c>
      <c r="H820" s="19"/>
    </row>
    <row r="821" customFormat="false" ht="15" hidden="false" customHeight="false" outlineLevel="0" collapsed="false">
      <c r="A821" s="19" t="s">
        <v>1449</v>
      </c>
      <c r="B821" s="19" t="s">
        <v>1540</v>
      </c>
      <c r="C821" s="19" t="n">
        <v>9</v>
      </c>
      <c r="D821" s="17" t="s">
        <v>2372</v>
      </c>
      <c r="E821" s="19" t="n">
        <v>1</v>
      </c>
      <c r="F821" s="17" t="s">
        <v>2443</v>
      </c>
      <c r="G821" s="17" t="s">
        <v>1104</v>
      </c>
      <c r="H821" s="19"/>
    </row>
    <row r="822" customFormat="false" ht="15" hidden="false" customHeight="false" outlineLevel="0" collapsed="false">
      <c r="A822" s="19" t="s">
        <v>1449</v>
      </c>
      <c r="B822" s="19" t="s">
        <v>2411</v>
      </c>
      <c r="C822" s="19" t="n">
        <v>9</v>
      </c>
      <c r="D822" s="17" t="s">
        <v>2375</v>
      </c>
      <c r="E822" s="19" t="n">
        <v>1</v>
      </c>
      <c r="F822" s="17" t="s">
        <v>2444</v>
      </c>
      <c r="G822" s="17" t="s">
        <v>1104</v>
      </c>
      <c r="H822" s="19"/>
    </row>
    <row r="823" customFormat="false" ht="15" hidden="false" customHeight="false" outlineLevel="0" collapsed="false">
      <c r="A823" s="19" t="s">
        <v>1449</v>
      </c>
      <c r="B823" s="19" t="s">
        <v>1546</v>
      </c>
      <c r="C823" s="19" t="n">
        <v>9</v>
      </c>
      <c r="D823" s="17" t="s">
        <v>2372</v>
      </c>
      <c r="E823" s="19" t="n">
        <v>1</v>
      </c>
      <c r="F823" s="17" t="s">
        <v>2445</v>
      </c>
      <c r="G823" s="17" t="s">
        <v>1104</v>
      </c>
      <c r="H823" s="19"/>
    </row>
    <row r="824" customFormat="false" ht="15" hidden="false" customHeight="false" outlineLevel="0" collapsed="false">
      <c r="A824" s="19" t="s">
        <v>1449</v>
      </c>
      <c r="B824" s="19" t="s">
        <v>2414</v>
      </c>
      <c r="C824" s="19" t="n">
        <v>9</v>
      </c>
      <c r="D824" s="17" t="s">
        <v>2375</v>
      </c>
      <c r="E824" s="19" t="n">
        <v>1</v>
      </c>
      <c r="F824" s="17" t="s">
        <v>2446</v>
      </c>
      <c r="G824" s="17" t="s">
        <v>1104</v>
      </c>
      <c r="H824" s="19"/>
    </row>
    <row r="825" customFormat="false" ht="15" hidden="false" customHeight="false" outlineLevel="0" collapsed="false">
      <c r="A825" s="19" t="s">
        <v>1449</v>
      </c>
      <c r="B825" s="19" t="s">
        <v>1552</v>
      </c>
      <c r="C825" s="19" t="n">
        <v>9</v>
      </c>
      <c r="D825" s="17" t="s">
        <v>2372</v>
      </c>
      <c r="E825" s="19" t="n">
        <v>1</v>
      </c>
      <c r="F825" s="17" t="s">
        <v>2447</v>
      </c>
      <c r="G825" s="17" t="s">
        <v>1104</v>
      </c>
      <c r="H825" s="19"/>
    </row>
    <row r="826" customFormat="false" ht="15" hidden="false" customHeight="false" outlineLevel="0" collapsed="false">
      <c r="A826" s="19" t="s">
        <v>1449</v>
      </c>
      <c r="B826" s="19" t="s">
        <v>2417</v>
      </c>
      <c r="C826" s="19" t="n">
        <v>9</v>
      </c>
      <c r="D826" s="17" t="s">
        <v>2375</v>
      </c>
      <c r="E826" s="19" t="n">
        <v>1</v>
      </c>
      <c r="F826" s="17" t="s">
        <v>2448</v>
      </c>
      <c r="G826" s="17" t="s">
        <v>1104</v>
      </c>
      <c r="H826" s="19"/>
    </row>
    <row r="827" customFormat="false" ht="15" hidden="false" customHeight="false" outlineLevel="0" collapsed="false">
      <c r="A827" s="19" t="s">
        <v>1465</v>
      </c>
      <c r="B827" s="19" t="s">
        <v>2061</v>
      </c>
      <c r="C827" s="19" t="n">
        <v>9</v>
      </c>
      <c r="D827" s="17" t="s">
        <v>566</v>
      </c>
      <c r="E827" s="19" t="n">
        <v>30</v>
      </c>
      <c r="F827" s="17" t="s">
        <v>2449</v>
      </c>
      <c r="G827" s="17" t="s">
        <v>1104</v>
      </c>
      <c r="H827" s="19"/>
    </row>
    <row r="828" customFormat="false" ht="15" hidden="false" customHeight="false" outlineLevel="0" collapsed="false">
      <c r="A828" s="19" t="s">
        <v>1465</v>
      </c>
      <c r="B828" s="19" t="s">
        <v>2063</v>
      </c>
      <c r="C828" s="19" t="n">
        <v>9</v>
      </c>
      <c r="D828" s="17" t="s">
        <v>569</v>
      </c>
      <c r="E828" s="19" t="n">
        <v>20</v>
      </c>
      <c r="F828" s="17" t="s">
        <v>2450</v>
      </c>
      <c r="G828" s="17" t="s">
        <v>1104</v>
      </c>
      <c r="H828" s="19"/>
    </row>
    <row r="829" customFormat="false" ht="15" hidden="false" customHeight="false" outlineLevel="0" collapsed="false">
      <c r="A829" s="19" t="s">
        <v>1465</v>
      </c>
      <c r="B829" s="19" t="s">
        <v>1172</v>
      </c>
      <c r="C829" s="19" t="n">
        <v>9</v>
      </c>
      <c r="D829" s="17" t="s">
        <v>572</v>
      </c>
      <c r="E829" s="19" t="n">
        <v>15</v>
      </c>
      <c r="F829" s="17" t="s">
        <v>2451</v>
      </c>
      <c r="G829" s="17" t="s">
        <v>1104</v>
      </c>
      <c r="H829" s="19"/>
    </row>
    <row r="830" customFormat="false" ht="15" hidden="false" customHeight="false" outlineLevel="0" collapsed="false">
      <c r="A830" s="19" t="s">
        <v>1465</v>
      </c>
      <c r="B830" s="19" t="s">
        <v>1315</v>
      </c>
      <c r="C830" s="19" t="n">
        <v>9</v>
      </c>
      <c r="D830" s="17" t="s">
        <v>575</v>
      </c>
      <c r="E830" s="19" t="n">
        <v>10</v>
      </c>
      <c r="F830" s="17" t="s">
        <v>2452</v>
      </c>
      <c r="G830" s="17" t="s">
        <v>1104</v>
      </c>
      <c r="H830" s="19"/>
    </row>
    <row r="831" customFormat="false" ht="15" hidden="false" customHeight="false" outlineLevel="0" collapsed="false">
      <c r="A831" s="55" t="s">
        <v>1465</v>
      </c>
      <c r="B831" s="55" t="s">
        <v>2081</v>
      </c>
      <c r="C831" s="55" t="n">
        <v>9</v>
      </c>
      <c r="D831" s="66" t="s">
        <v>566</v>
      </c>
      <c r="E831" s="55" t="n">
        <v>30</v>
      </c>
      <c r="F831" s="55"/>
      <c r="G831" s="66" t="s">
        <v>1122</v>
      </c>
      <c r="H831" s="55" t="s">
        <v>140</v>
      </c>
    </row>
    <row r="832" customFormat="false" ht="15" hidden="false" customHeight="false" outlineLevel="0" collapsed="false">
      <c r="A832" s="55" t="s">
        <v>1465</v>
      </c>
      <c r="B832" s="55" t="s">
        <v>2083</v>
      </c>
      <c r="C832" s="55" t="n">
        <v>9</v>
      </c>
      <c r="D832" s="66" t="s">
        <v>569</v>
      </c>
      <c r="E832" s="55" t="n">
        <v>20</v>
      </c>
      <c r="F832" s="55"/>
      <c r="G832" s="66" t="s">
        <v>1122</v>
      </c>
      <c r="H832" s="55" t="s">
        <v>140</v>
      </c>
    </row>
    <row r="833" customFormat="false" ht="15" hidden="false" customHeight="false" outlineLevel="0" collapsed="false">
      <c r="A833" s="55" t="s">
        <v>1465</v>
      </c>
      <c r="B833" s="55" t="s">
        <v>1180</v>
      </c>
      <c r="C833" s="55" t="n">
        <v>9</v>
      </c>
      <c r="D833" s="66" t="s">
        <v>572</v>
      </c>
      <c r="E833" s="55" t="n">
        <v>15</v>
      </c>
      <c r="F833" s="55"/>
      <c r="G833" s="66" t="s">
        <v>1122</v>
      </c>
      <c r="H833" s="55" t="s">
        <v>140</v>
      </c>
    </row>
    <row r="834" customFormat="false" ht="15" hidden="false" customHeight="false" outlineLevel="0" collapsed="false">
      <c r="A834" s="55" t="s">
        <v>1465</v>
      </c>
      <c r="B834" s="55" t="s">
        <v>1323</v>
      </c>
      <c r="C834" s="55" t="n">
        <v>9</v>
      </c>
      <c r="D834" s="66" t="s">
        <v>575</v>
      </c>
      <c r="E834" s="55" t="n">
        <v>10</v>
      </c>
      <c r="F834" s="55"/>
      <c r="G834" s="66" t="s">
        <v>1122</v>
      </c>
      <c r="H834" s="55" t="s">
        <v>140</v>
      </c>
    </row>
    <row r="835" customFormat="false" ht="15" hidden="false" customHeight="false" outlineLevel="0" collapsed="false">
      <c r="A835" s="19" t="s">
        <v>1465</v>
      </c>
      <c r="B835" s="19" t="s">
        <v>2101</v>
      </c>
      <c r="C835" s="19" t="n">
        <v>9</v>
      </c>
      <c r="D835" s="17" t="s">
        <v>566</v>
      </c>
      <c r="E835" s="19" t="n">
        <v>30</v>
      </c>
      <c r="F835" s="17" t="s">
        <v>2449</v>
      </c>
      <c r="G835" s="17" t="s">
        <v>1104</v>
      </c>
      <c r="H835" s="19"/>
    </row>
    <row r="836" customFormat="false" ht="15" hidden="false" customHeight="false" outlineLevel="0" collapsed="false">
      <c r="A836" s="19" t="s">
        <v>1465</v>
      </c>
      <c r="B836" s="19" t="s">
        <v>2103</v>
      </c>
      <c r="C836" s="19" t="n">
        <v>9</v>
      </c>
      <c r="D836" s="17" t="s">
        <v>569</v>
      </c>
      <c r="E836" s="19" t="n">
        <v>20</v>
      </c>
      <c r="F836" s="17" t="s">
        <v>2450</v>
      </c>
      <c r="G836" s="17" t="s">
        <v>1104</v>
      </c>
      <c r="H836" s="19"/>
    </row>
    <row r="837" customFormat="false" ht="15" hidden="false" customHeight="false" outlineLevel="0" collapsed="false">
      <c r="A837" s="19" t="s">
        <v>1465</v>
      </c>
      <c r="B837" s="19" t="s">
        <v>1188</v>
      </c>
      <c r="C837" s="19" t="n">
        <v>9</v>
      </c>
      <c r="D837" s="17" t="s">
        <v>572</v>
      </c>
      <c r="E837" s="19" t="n">
        <v>15</v>
      </c>
      <c r="F837" s="17" t="s">
        <v>2451</v>
      </c>
      <c r="G837" s="17" t="s">
        <v>1104</v>
      </c>
      <c r="H837" s="19"/>
    </row>
    <row r="838" customFormat="false" ht="15" hidden="false" customHeight="false" outlineLevel="0" collapsed="false">
      <c r="A838" s="19" t="s">
        <v>1465</v>
      </c>
      <c r="B838" s="19" t="s">
        <v>1331</v>
      </c>
      <c r="C838" s="19" t="n">
        <v>9</v>
      </c>
      <c r="D838" s="17" t="s">
        <v>575</v>
      </c>
      <c r="E838" s="19" t="n">
        <v>10</v>
      </c>
      <c r="F838" s="17" t="s">
        <v>2452</v>
      </c>
      <c r="G838" s="17" t="s">
        <v>1104</v>
      </c>
      <c r="H838" s="19"/>
    </row>
    <row r="839" customFormat="false" ht="15" hidden="false" customHeight="false" outlineLevel="0" collapsed="false">
      <c r="A839" s="19" t="s">
        <v>2453</v>
      </c>
      <c r="B839" s="19" t="s">
        <v>2454</v>
      </c>
      <c r="C839" s="19" t="n">
        <v>9</v>
      </c>
      <c r="D839" s="17" t="s">
        <v>2455</v>
      </c>
      <c r="E839" s="19" t="n">
        <v>86407975794.7352</v>
      </c>
      <c r="F839" s="17" t="s">
        <v>2456</v>
      </c>
      <c r="G839" s="17" t="s">
        <v>1104</v>
      </c>
      <c r="H839" s="19"/>
    </row>
    <row r="840" customFormat="false" ht="15" hidden="false" customHeight="false" outlineLevel="0" collapsed="false">
      <c r="A840" s="19" t="s">
        <v>2453</v>
      </c>
      <c r="B840" s="19" t="s">
        <v>2457</v>
      </c>
      <c r="C840" s="19" t="n">
        <v>9</v>
      </c>
      <c r="D840" s="17" t="s">
        <v>2455</v>
      </c>
      <c r="E840" s="19" t="n">
        <v>26792506585.9425</v>
      </c>
      <c r="F840" s="17" t="s">
        <v>2458</v>
      </c>
      <c r="G840" s="17" t="s">
        <v>1104</v>
      </c>
      <c r="H840" s="19"/>
    </row>
    <row r="841" customFormat="false" ht="15" hidden="false" customHeight="false" outlineLevel="0" collapsed="false">
      <c r="A841" s="19" t="s">
        <v>2453</v>
      </c>
      <c r="B841" s="19" t="s">
        <v>2459</v>
      </c>
      <c r="C841" s="19" t="n">
        <v>9</v>
      </c>
      <c r="D841" s="17" t="s">
        <v>2455</v>
      </c>
      <c r="E841" s="19" t="n">
        <v>4922169701.51936</v>
      </c>
      <c r="F841" s="17" t="s">
        <v>2460</v>
      </c>
      <c r="G841" s="17" t="s">
        <v>1104</v>
      </c>
      <c r="H841" s="19"/>
    </row>
    <row r="842" customFormat="false" ht="15" hidden="false" customHeight="false" outlineLevel="0" collapsed="false">
      <c r="A842" s="19" t="s">
        <v>2453</v>
      </c>
      <c r="B842" s="19" t="s">
        <v>2461</v>
      </c>
      <c r="C842" s="19" t="n">
        <v>9</v>
      </c>
      <c r="D842" s="17" t="s">
        <v>2455</v>
      </c>
      <c r="E842" s="19" t="n">
        <v>450057565855.446</v>
      </c>
      <c r="F842" s="17" t="s">
        <v>2462</v>
      </c>
      <c r="G842" s="17" t="s">
        <v>1104</v>
      </c>
      <c r="H842" s="19"/>
    </row>
    <row r="843" customFormat="false" ht="15" hidden="false" customHeight="false" outlineLevel="0" collapsed="false">
      <c r="A843" s="19" t="s">
        <v>2453</v>
      </c>
      <c r="B843" s="19" t="s">
        <v>2463</v>
      </c>
      <c r="C843" s="19" t="n">
        <v>9</v>
      </c>
      <c r="D843" s="17" t="s">
        <v>2455</v>
      </c>
      <c r="E843" s="19" t="n">
        <v>134211447108.45</v>
      </c>
      <c r="F843" s="17" t="s">
        <v>2464</v>
      </c>
      <c r="G843" s="17" t="s">
        <v>1104</v>
      </c>
      <c r="H843" s="19"/>
    </row>
    <row r="844" customFormat="false" ht="15" hidden="false" customHeight="false" outlineLevel="0" collapsed="false">
      <c r="A844" s="19" t="s">
        <v>2453</v>
      </c>
      <c r="B844" s="19" t="s">
        <v>2465</v>
      </c>
      <c r="C844" s="19" t="n">
        <v>9</v>
      </c>
      <c r="D844" s="17" t="s">
        <v>2455</v>
      </c>
      <c r="E844" s="19" t="n">
        <v>26454520304.8426</v>
      </c>
      <c r="F844" s="17" t="s">
        <v>2466</v>
      </c>
      <c r="G844" s="17" t="s">
        <v>1104</v>
      </c>
      <c r="H844" s="19"/>
    </row>
    <row r="845" customFormat="false" ht="15" hidden="false" customHeight="false" outlineLevel="0" collapsed="false">
      <c r="A845" s="19" t="s">
        <v>2453</v>
      </c>
      <c r="B845" s="19" t="s">
        <v>2467</v>
      </c>
      <c r="C845" s="19" t="n">
        <v>9</v>
      </c>
      <c r="D845" s="17" t="s">
        <v>2455</v>
      </c>
      <c r="E845" s="19" t="n">
        <v>582737912578.515</v>
      </c>
      <c r="F845" s="17" t="s">
        <v>2468</v>
      </c>
      <c r="G845" s="17" t="s">
        <v>1104</v>
      </c>
      <c r="H845" s="19"/>
    </row>
    <row r="846" customFormat="false" ht="15" hidden="false" customHeight="false" outlineLevel="0" collapsed="false">
      <c r="A846" s="19" t="s">
        <v>2453</v>
      </c>
      <c r="B846" s="19" t="s">
        <v>2469</v>
      </c>
      <c r="C846" s="19" t="n">
        <v>9</v>
      </c>
      <c r="D846" s="17" t="s">
        <v>2455</v>
      </c>
      <c r="E846" s="19" t="n">
        <v>173916692578.355</v>
      </c>
      <c r="F846" s="17" t="s">
        <v>2470</v>
      </c>
      <c r="G846" s="17" t="s">
        <v>1104</v>
      </c>
      <c r="H846" s="19"/>
    </row>
    <row r="847" customFormat="false" ht="15" hidden="false" customHeight="false" outlineLevel="0" collapsed="false">
      <c r="A847" s="19" t="s">
        <v>2453</v>
      </c>
      <c r="B847" s="19" t="s">
        <v>2471</v>
      </c>
      <c r="C847" s="19" t="n">
        <v>9</v>
      </c>
      <c r="D847" s="17" t="s">
        <v>2455</v>
      </c>
      <c r="E847" s="19" t="n">
        <v>30467960042.7945</v>
      </c>
      <c r="F847" s="17" t="s">
        <v>2472</v>
      </c>
      <c r="G847" s="17" t="s">
        <v>1104</v>
      </c>
      <c r="H847" s="19"/>
    </row>
    <row r="848" customFormat="false" ht="15" hidden="false" customHeight="false" outlineLevel="0" collapsed="false">
      <c r="A848" s="19" t="s">
        <v>2453</v>
      </c>
      <c r="B848" s="19" t="s">
        <v>2473</v>
      </c>
      <c r="C848" s="19" t="n">
        <v>9</v>
      </c>
      <c r="D848" s="17" t="s">
        <v>2455</v>
      </c>
      <c r="E848" s="19" t="n">
        <v>842649072093.88</v>
      </c>
      <c r="F848" s="17" t="s">
        <v>2474</v>
      </c>
      <c r="G848" s="17" t="s">
        <v>1104</v>
      </c>
      <c r="H848" s="19"/>
    </row>
    <row r="849" customFormat="false" ht="15" hidden="false" customHeight="false" outlineLevel="0" collapsed="false">
      <c r="A849" s="19" t="s">
        <v>2453</v>
      </c>
      <c r="B849" s="19" t="s">
        <v>2475</v>
      </c>
      <c r="C849" s="19" t="n">
        <v>9</v>
      </c>
      <c r="D849" s="17" t="s">
        <v>2455</v>
      </c>
      <c r="E849" s="19" t="n">
        <v>262223800714.127</v>
      </c>
      <c r="F849" s="17" t="s">
        <v>2476</v>
      </c>
      <c r="G849" s="17" t="s">
        <v>1104</v>
      </c>
      <c r="H849" s="19"/>
    </row>
    <row r="850" customFormat="false" ht="15" hidden="false" customHeight="false" outlineLevel="0" collapsed="false">
      <c r="A850" s="19" t="s">
        <v>2453</v>
      </c>
      <c r="B850" s="19" t="s">
        <v>2477</v>
      </c>
      <c r="C850" s="19" t="n">
        <v>9</v>
      </c>
      <c r="D850" s="17" t="s">
        <v>2455</v>
      </c>
      <c r="E850" s="19" t="n">
        <v>55366124692.1116</v>
      </c>
      <c r="F850" s="17" t="s">
        <v>2478</v>
      </c>
      <c r="G850" s="17" t="s">
        <v>1104</v>
      </c>
      <c r="H850" s="19"/>
    </row>
    <row r="851" customFormat="false" ht="15" hidden="false" customHeight="false" outlineLevel="0" collapsed="false">
      <c r="A851" s="19" t="s">
        <v>2453</v>
      </c>
      <c r="B851" s="19" t="s">
        <v>2479</v>
      </c>
      <c r="C851" s="19" t="n">
        <v>9</v>
      </c>
      <c r="D851" s="17" t="s">
        <v>2455</v>
      </c>
      <c r="E851" s="19" t="n">
        <v>1135178323762.64</v>
      </c>
      <c r="F851" s="17" t="s">
        <v>2480</v>
      </c>
      <c r="G851" s="17" t="s">
        <v>1104</v>
      </c>
      <c r="H851" s="19"/>
    </row>
    <row r="852" customFormat="false" ht="15" hidden="false" customHeight="false" outlineLevel="0" collapsed="false">
      <c r="A852" s="19" t="s">
        <v>2453</v>
      </c>
      <c r="B852" s="19" t="s">
        <v>2481</v>
      </c>
      <c r="C852" s="19" t="n">
        <v>9</v>
      </c>
      <c r="D852" s="17" t="s">
        <v>2455</v>
      </c>
      <c r="E852" s="19" t="n">
        <v>357423824607.946</v>
      </c>
      <c r="F852" s="17" t="s">
        <v>2482</v>
      </c>
      <c r="G852" s="17" t="s">
        <v>1104</v>
      </c>
      <c r="H852" s="19"/>
    </row>
    <row r="853" customFormat="false" ht="15" hidden="false" customHeight="false" outlineLevel="0" collapsed="false">
      <c r="A853" s="19" t="s">
        <v>2453</v>
      </c>
      <c r="B853" s="19" t="s">
        <v>2483</v>
      </c>
      <c r="C853" s="19" t="n">
        <v>9</v>
      </c>
      <c r="D853" s="17" t="s">
        <v>2455</v>
      </c>
      <c r="E853" s="19" t="n">
        <v>78738073685.4024</v>
      </c>
      <c r="F853" s="17" t="s">
        <v>2484</v>
      </c>
      <c r="G853" s="17" t="s">
        <v>1104</v>
      </c>
      <c r="H853" s="19"/>
    </row>
    <row r="854" customFormat="false" ht="15" hidden="false" customHeight="false" outlineLevel="0" collapsed="false">
      <c r="A854" s="55" t="s">
        <v>2485</v>
      </c>
      <c r="B854" s="55" t="s">
        <v>1308</v>
      </c>
      <c r="C854" s="55" t="n">
        <v>9</v>
      </c>
      <c r="D854" s="66" t="s">
        <v>2486</v>
      </c>
      <c r="E854" s="55" t="n">
        <v>1</v>
      </c>
      <c r="F854" s="55"/>
      <c r="G854" s="66" t="s">
        <v>1122</v>
      </c>
      <c r="H854" s="55"/>
    </row>
    <row r="855" customFormat="false" ht="15" hidden="false" customHeight="false" outlineLevel="0" collapsed="false">
      <c r="A855" s="55" t="s">
        <v>2485</v>
      </c>
      <c r="B855" s="55" t="s">
        <v>2487</v>
      </c>
      <c r="C855" s="55" t="n">
        <v>9</v>
      </c>
      <c r="D855" s="66" t="s">
        <v>2486</v>
      </c>
      <c r="E855" s="55" t="n">
        <v>1</v>
      </c>
      <c r="F855" s="55"/>
      <c r="G855" s="66" t="s">
        <v>1122</v>
      </c>
      <c r="H855" s="55"/>
    </row>
    <row r="856" customFormat="false" ht="15" hidden="false" customHeight="false" outlineLevel="0" collapsed="false">
      <c r="A856" s="55" t="s">
        <v>2485</v>
      </c>
      <c r="B856" s="55" t="s">
        <v>2488</v>
      </c>
      <c r="C856" s="55" t="n">
        <v>9</v>
      </c>
      <c r="D856" s="66" t="s">
        <v>2486</v>
      </c>
      <c r="E856" s="55" t="n">
        <v>1</v>
      </c>
      <c r="F856" s="55"/>
      <c r="G856" s="66" t="s">
        <v>1122</v>
      </c>
      <c r="H856" s="55"/>
    </row>
    <row r="857" customFormat="false" ht="15" hidden="false" customHeight="false" outlineLevel="0" collapsed="false">
      <c r="A857" s="55" t="s">
        <v>2485</v>
      </c>
      <c r="B857" s="55" t="s">
        <v>2489</v>
      </c>
      <c r="C857" s="55" t="n">
        <v>9</v>
      </c>
      <c r="D857" s="66" t="s">
        <v>2486</v>
      </c>
      <c r="E857" s="55" t="n">
        <v>2</v>
      </c>
      <c r="F857" s="55"/>
      <c r="G857" s="66" t="s">
        <v>1122</v>
      </c>
      <c r="H857" s="55"/>
    </row>
    <row r="858" customFormat="false" ht="15" hidden="false" customHeight="false" outlineLevel="0" collapsed="false">
      <c r="A858" s="55" t="s">
        <v>2485</v>
      </c>
      <c r="B858" s="55" t="s">
        <v>2490</v>
      </c>
      <c r="C858" s="55" t="n">
        <v>9</v>
      </c>
      <c r="D858" s="66" t="s">
        <v>2486</v>
      </c>
      <c r="E858" s="55" t="n">
        <v>2</v>
      </c>
      <c r="F858" s="55"/>
      <c r="G858" s="66" t="s">
        <v>1122</v>
      </c>
      <c r="H858" s="55"/>
    </row>
    <row r="859" customFormat="false" ht="15" hidden="false" customHeight="false" outlineLevel="0" collapsed="false">
      <c r="A859" s="55" t="s">
        <v>2485</v>
      </c>
      <c r="B859" s="55" t="s">
        <v>2491</v>
      </c>
      <c r="C859" s="55" t="n">
        <v>9</v>
      </c>
      <c r="D859" s="66" t="s">
        <v>2486</v>
      </c>
      <c r="E859" s="55" t="n">
        <v>2</v>
      </c>
      <c r="F859" s="55"/>
      <c r="G859" s="66" t="s">
        <v>1122</v>
      </c>
      <c r="H859" s="55"/>
    </row>
    <row r="860" customFormat="false" ht="15" hidden="false" customHeight="false" outlineLevel="0" collapsed="false">
      <c r="A860" s="55" t="s">
        <v>2485</v>
      </c>
      <c r="B860" s="55" t="s">
        <v>2492</v>
      </c>
      <c r="C860" s="55" t="n">
        <v>9</v>
      </c>
      <c r="D860" s="66" t="s">
        <v>2486</v>
      </c>
      <c r="E860" s="55" t="n">
        <v>3</v>
      </c>
      <c r="F860" s="55"/>
      <c r="G860" s="66" t="s">
        <v>1122</v>
      </c>
      <c r="H860" s="55"/>
    </row>
    <row r="861" customFormat="false" ht="15" hidden="false" customHeight="false" outlineLevel="0" collapsed="false">
      <c r="A861" s="55" t="s">
        <v>2485</v>
      </c>
      <c r="B861" s="55" t="s">
        <v>2493</v>
      </c>
      <c r="C861" s="55" t="n">
        <v>9</v>
      </c>
      <c r="D861" s="66" t="s">
        <v>2486</v>
      </c>
      <c r="E861" s="55" t="n">
        <v>3</v>
      </c>
      <c r="F861" s="55"/>
      <c r="G861" s="66" t="s">
        <v>1122</v>
      </c>
      <c r="H861" s="55"/>
    </row>
    <row r="862" customFormat="false" ht="15" hidden="false" customHeight="false" outlineLevel="0" collapsed="false">
      <c r="A862" s="55" t="s">
        <v>2485</v>
      </c>
      <c r="B862" s="55" t="s">
        <v>2494</v>
      </c>
      <c r="C862" s="55" t="n">
        <v>9</v>
      </c>
      <c r="D862" s="66" t="s">
        <v>2486</v>
      </c>
      <c r="E862" s="55" t="n">
        <v>3</v>
      </c>
      <c r="F862" s="55"/>
      <c r="G862" s="66" t="s">
        <v>1122</v>
      </c>
      <c r="H862" s="55"/>
    </row>
    <row r="863" customFormat="false" ht="15" hidden="false" customHeight="false" outlineLevel="0" collapsed="false">
      <c r="A863" s="55" t="s">
        <v>2485</v>
      </c>
      <c r="B863" s="55" t="s">
        <v>2495</v>
      </c>
      <c r="C863" s="55" t="n">
        <v>9</v>
      </c>
      <c r="D863" s="66" t="s">
        <v>2486</v>
      </c>
      <c r="E863" s="55" t="n">
        <v>4</v>
      </c>
      <c r="F863" s="55"/>
      <c r="G863" s="66" t="s">
        <v>1122</v>
      </c>
      <c r="H863" s="55"/>
    </row>
    <row r="864" customFormat="false" ht="15" hidden="false" customHeight="false" outlineLevel="0" collapsed="false">
      <c r="A864" s="55" t="s">
        <v>2485</v>
      </c>
      <c r="B864" s="55" t="s">
        <v>2496</v>
      </c>
      <c r="C864" s="55" t="n">
        <v>9</v>
      </c>
      <c r="D864" s="66" t="s">
        <v>2486</v>
      </c>
      <c r="E864" s="55" t="n">
        <v>4</v>
      </c>
      <c r="F864" s="55"/>
      <c r="G864" s="66" t="s">
        <v>1122</v>
      </c>
      <c r="H864" s="55"/>
    </row>
    <row r="865" customFormat="false" ht="15" hidden="false" customHeight="false" outlineLevel="0" collapsed="false">
      <c r="A865" s="55" t="s">
        <v>2485</v>
      </c>
      <c r="B865" s="55" t="s">
        <v>2497</v>
      </c>
      <c r="C865" s="55" t="n">
        <v>9</v>
      </c>
      <c r="D865" s="66" t="s">
        <v>2486</v>
      </c>
      <c r="E865" s="55" t="n">
        <v>4</v>
      </c>
      <c r="F865" s="55"/>
      <c r="G865" s="66" t="s">
        <v>1122</v>
      </c>
      <c r="H865" s="55"/>
    </row>
    <row r="866" customFormat="false" ht="15" hidden="false" customHeight="false" outlineLevel="0" collapsed="false">
      <c r="A866" s="55" t="s">
        <v>2485</v>
      </c>
      <c r="B866" s="55" t="s">
        <v>2498</v>
      </c>
      <c r="C866" s="55" t="n">
        <v>9</v>
      </c>
      <c r="D866" s="66" t="s">
        <v>2486</v>
      </c>
      <c r="E866" s="55" t="n">
        <v>5</v>
      </c>
      <c r="F866" s="55"/>
      <c r="G866" s="66" t="s">
        <v>1122</v>
      </c>
      <c r="H866" s="55"/>
    </row>
    <row r="867" customFormat="false" ht="15" hidden="false" customHeight="false" outlineLevel="0" collapsed="false">
      <c r="A867" s="55" t="s">
        <v>2485</v>
      </c>
      <c r="B867" s="55" t="s">
        <v>2499</v>
      </c>
      <c r="C867" s="55" t="n">
        <v>9</v>
      </c>
      <c r="D867" s="66" t="s">
        <v>2486</v>
      </c>
      <c r="E867" s="55" t="n">
        <v>5</v>
      </c>
      <c r="F867" s="55"/>
      <c r="G867" s="66" t="s">
        <v>1122</v>
      </c>
      <c r="H867" s="55"/>
    </row>
    <row r="868" customFormat="false" ht="15" hidden="false" customHeight="false" outlineLevel="0" collapsed="false">
      <c r="A868" s="55" t="s">
        <v>2485</v>
      </c>
      <c r="B868" s="55" t="s">
        <v>2500</v>
      </c>
      <c r="C868" s="55" t="n">
        <v>9</v>
      </c>
      <c r="D868" s="66" t="s">
        <v>2486</v>
      </c>
      <c r="E868" s="55" t="n">
        <v>5</v>
      </c>
      <c r="F868" s="55"/>
      <c r="G868" s="66" t="s">
        <v>1122</v>
      </c>
      <c r="H868" s="55"/>
    </row>
    <row r="869" customFormat="false" ht="15" hidden="false" customHeight="false" outlineLevel="0" collapsed="false">
      <c r="A869" s="55" t="s">
        <v>1105</v>
      </c>
      <c r="B869" s="55" t="s">
        <v>1337</v>
      </c>
      <c r="C869" s="55" t="n">
        <v>10</v>
      </c>
      <c r="D869" s="66" t="s">
        <v>2501</v>
      </c>
      <c r="E869" s="55" t="n">
        <v>1</v>
      </c>
      <c r="F869" s="55"/>
      <c r="G869" s="66" t="s">
        <v>1122</v>
      </c>
      <c r="H869" s="55"/>
    </row>
    <row r="870" customFormat="false" ht="15" hidden="false" customHeight="false" outlineLevel="0" collapsed="false">
      <c r="A870" s="55" t="s">
        <v>1105</v>
      </c>
      <c r="B870" s="55" t="s">
        <v>2502</v>
      </c>
      <c r="C870" s="55" t="n">
        <v>10</v>
      </c>
      <c r="D870" s="66" t="s">
        <v>2501</v>
      </c>
      <c r="E870" s="55" t="n">
        <v>2</v>
      </c>
      <c r="F870" s="55"/>
      <c r="G870" s="66" t="s">
        <v>1122</v>
      </c>
      <c r="H870" s="55"/>
    </row>
    <row r="871" customFormat="false" ht="15" hidden="false" customHeight="false" outlineLevel="0" collapsed="false">
      <c r="A871" s="55" t="s">
        <v>1105</v>
      </c>
      <c r="B871" s="55" t="s">
        <v>2503</v>
      </c>
      <c r="C871" s="55" t="n">
        <v>10</v>
      </c>
      <c r="D871" s="66" t="s">
        <v>2501</v>
      </c>
      <c r="E871" s="55" t="n">
        <v>3</v>
      </c>
      <c r="F871" s="55"/>
      <c r="G871" s="66" t="s">
        <v>1122</v>
      </c>
      <c r="H871" s="55"/>
    </row>
    <row r="872" customFormat="false" ht="15" hidden="false" customHeight="false" outlineLevel="0" collapsed="false">
      <c r="A872" s="55" t="s">
        <v>1105</v>
      </c>
      <c r="B872" s="55" t="s">
        <v>2504</v>
      </c>
      <c r="C872" s="55" t="n">
        <v>10</v>
      </c>
      <c r="D872" s="66" t="s">
        <v>2501</v>
      </c>
      <c r="E872" s="55" t="n">
        <v>4</v>
      </c>
      <c r="F872" s="55"/>
      <c r="G872" s="66" t="s">
        <v>1122</v>
      </c>
      <c r="H872" s="55"/>
    </row>
    <row r="873" customFormat="false" ht="15" hidden="false" customHeight="false" outlineLevel="0" collapsed="false">
      <c r="A873" s="19" t="s">
        <v>1389</v>
      </c>
      <c r="B873" s="19" t="s">
        <v>1382</v>
      </c>
      <c r="C873" s="19" t="n">
        <v>10</v>
      </c>
      <c r="D873" s="19" t="s">
        <v>525</v>
      </c>
      <c r="E873" s="19" t="n">
        <v>1.1</v>
      </c>
      <c r="F873" s="17" t="s">
        <v>2505</v>
      </c>
      <c r="G873" s="17" t="s">
        <v>1104</v>
      </c>
      <c r="H873" s="19"/>
    </row>
    <row r="874" customFormat="false" ht="15" hidden="false" customHeight="false" outlineLevel="0" collapsed="false">
      <c r="A874" s="19" t="s">
        <v>1389</v>
      </c>
      <c r="B874" s="19" t="s">
        <v>1385</v>
      </c>
      <c r="C874" s="19" t="n">
        <v>10</v>
      </c>
      <c r="D874" s="17" t="s">
        <v>734</v>
      </c>
      <c r="E874" s="19" t="n">
        <v>10.212</v>
      </c>
      <c r="F874" s="17" t="s">
        <v>2506</v>
      </c>
      <c r="G874" s="17" t="s">
        <v>1104</v>
      </c>
      <c r="H874" s="19"/>
    </row>
    <row r="875" customFormat="false" ht="15" hidden="false" customHeight="false" outlineLevel="0" collapsed="false">
      <c r="A875" s="19" t="s">
        <v>1389</v>
      </c>
      <c r="B875" s="19" t="s">
        <v>1159</v>
      </c>
      <c r="C875" s="19" t="n">
        <v>10</v>
      </c>
      <c r="D875" s="17" t="s">
        <v>2507</v>
      </c>
      <c r="E875" s="19" t="n">
        <v>31.6322694</v>
      </c>
      <c r="F875" s="17" t="s">
        <v>2508</v>
      </c>
      <c r="G875" s="17" t="s">
        <v>1104</v>
      </c>
      <c r="H875" s="19"/>
    </row>
    <row r="876" customFormat="false" ht="15" hidden="false" customHeight="false" outlineLevel="0" collapsed="false">
      <c r="A876" s="19" t="s">
        <v>1389</v>
      </c>
      <c r="B876" s="19" t="s">
        <v>1650</v>
      </c>
      <c r="C876" s="19" t="n">
        <v>10</v>
      </c>
      <c r="D876" s="19" t="s">
        <v>2509</v>
      </c>
      <c r="E876" s="19" t="n">
        <v>6</v>
      </c>
      <c r="F876" s="17" t="s">
        <v>2510</v>
      </c>
      <c r="G876" s="17" t="s">
        <v>1104</v>
      </c>
      <c r="H876" s="19"/>
    </row>
    <row r="877" customFormat="false" ht="15" hidden="false" customHeight="false" outlineLevel="0" collapsed="false">
      <c r="A877" s="19" t="s">
        <v>1389</v>
      </c>
      <c r="B877" s="19" t="s">
        <v>1472</v>
      </c>
      <c r="C877" s="19" t="n">
        <v>10</v>
      </c>
      <c r="D877" s="17" t="s">
        <v>528</v>
      </c>
      <c r="E877" s="19" t="n">
        <v>0.7</v>
      </c>
      <c r="F877" s="17" t="s">
        <v>2511</v>
      </c>
      <c r="G877" s="17" t="s">
        <v>1104</v>
      </c>
      <c r="H877" s="19"/>
    </row>
    <row r="878" customFormat="false" ht="15" hidden="false" customHeight="false" outlineLevel="0" collapsed="false">
      <c r="A878" s="19" t="s">
        <v>1389</v>
      </c>
      <c r="B878" s="19" t="s">
        <v>2374</v>
      </c>
      <c r="C878" s="19" t="n">
        <v>10</v>
      </c>
      <c r="D878" s="17" t="s">
        <v>531</v>
      </c>
      <c r="E878" s="19" t="n">
        <v>0.06</v>
      </c>
      <c r="F878" s="17" t="s">
        <v>2512</v>
      </c>
      <c r="G878" s="17" t="s">
        <v>1104</v>
      </c>
      <c r="H878" s="19"/>
    </row>
    <row r="879" customFormat="false" ht="15" hidden="false" customHeight="false" outlineLevel="0" collapsed="false">
      <c r="A879" s="19" t="s">
        <v>1389</v>
      </c>
      <c r="B879" s="19" t="s">
        <v>1282</v>
      </c>
      <c r="C879" s="19" t="n">
        <v>10</v>
      </c>
      <c r="D879" s="19" t="s">
        <v>703</v>
      </c>
      <c r="E879" s="19" t="n">
        <v>1000</v>
      </c>
      <c r="F879" s="17" t="s">
        <v>2513</v>
      </c>
      <c r="G879" s="17" t="s">
        <v>1104</v>
      </c>
      <c r="H879" s="19"/>
    </row>
    <row r="880" customFormat="false" ht="15" hidden="false" customHeight="false" outlineLevel="0" collapsed="false">
      <c r="A880" s="19" t="s">
        <v>1389</v>
      </c>
      <c r="B880" s="19" t="s">
        <v>2514</v>
      </c>
      <c r="C880" s="19" t="n">
        <v>10</v>
      </c>
      <c r="D880" s="19" t="s">
        <v>525</v>
      </c>
      <c r="E880" s="19" t="n">
        <v>1.2</v>
      </c>
      <c r="F880" s="17" t="s">
        <v>2515</v>
      </c>
      <c r="G880" s="17" t="s">
        <v>1104</v>
      </c>
      <c r="H880" s="19"/>
    </row>
    <row r="881" customFormat="false" ht="15" hidden="false" customHeight="false" outlineLevel="0" collapsed="false">
      <c r="A881" s="19" t="s">
        <v>1389</v>
      </c>
      <c r="B881" s="19" t="s">
        <v>1387</v>
      </c>
      <c r="C881" s="19" t="n">
        <v>10</v>
      </c>
      <c r="D881" s="17" t="s">
        <v>734</v>
      </c>
      <c r="E881" s="19" t="n">
        <v>12.67</v>
      </c>
      <c r="F881" s="17" t="s">
        <v>2516</v>
      </c>
      <c r="G881" s="17" t="s">
        <v>1104</v>
      </c>
      <c r="H881" s="19"/>
    </row>
    <row r="882" customFormat="false" ht="15" hidden="false" customHeight="false" outlineLevel="0" collapsed="false">
      <c r="A882" s="19" t="s">
        <v>1389</v>
      </c>
      <c r="B882" s="19" t="s">
        <v>2517</v>
      </c>
      <c r="C882" s="19" t="n">
        <v>10</v>
      </c>
      <c r="D882" s="17" t="s">
        <v>2507</v>
      </c>
      <c r="E882" s="19" t="n">
        <v>40.180214</v>
      </c>
      <c r="F882" s="17" t="s">
        <v>2518</v>
      </c>
      <c r="G882" s="17" t="s">
        <v>1104</v>
      </c>
      <c r="H882" s="19"/>
    </row>
    <row r="883" customFormat="false" ht="15" hidden="false" customHeight="false" outlineLevel="0" collapsed="false">
      <c r="A883" s="19" t="s">
        <v>1389</v>
      </c>
      <c r="B883" s="19" t="s">
        <v>1670</v>
      </c>
      <c r="C883" s="19" t="n">
        <v>10</v>
      </c>
      <c r="D883" s="19" t="s">
        <v>2509</v>
      </c>
      <c r="E883" s="19" t="n">
        <v>6</v>
      </c>
      <c r="F883" s="17" t="s">
        <v>2519</v>
      </c>
      <c r="G883" s="17" t="s">
        <v>1104</v>
      </c>
      <c r="H883" s="19"/>
    </row>
    <row r="884" customFormat="false" ht="15" hidden="false" customHeight="false" outlineLevel="0" collapsed="false">
      <c r="A884" s="19" t="s">
        <v>1389</v>
      </c>
      <c r="B884" s="19" t="s">
        <v>1477</v>
      </c>
      <c r="C884" s="19" t="n">
        <v>10</v>
      </c>
      <c r="D884" s="17" t="s">
        <v>528</v>
      </c>
      <c r="E884" s="19" t="n">
        <v>0.8</v>
      </c>
      <c r="F884" s="17" t="s">
        <v>2520</v>
      </c>
      <c r="G884" s="17" t="s">
        <v>1104</v>
      </c>
      <c r="H884" s="19"/>
    </row>
    <row r="885" customFormat="false" ht="15" hidden="false" customHeight="false" outlineLevel="0" collapsed="false">
      <c r="A885" s="19" t="s">
        <v>1389</v>
      </c>
      <c r="B885" s="19" t="s">
        <v>2378</v>
      </c>
      <c r="C885" s="19" t="n">
        <v>10</v>
      </c>
      <c r="D885" s="17" t="s">
        <v>531</v>
      </c>
      <c r="E885" s="19" t="n">
        <v>0.08</v>
      </c>
      <c r="F885" s="17" t="s">
        <v>2521</v>
      </c>
      <c r="G885" s="17" t="s">
        <v>1104</v>
      </c>
      <c r="H885" s="19"/>
    </row>
    <row r="886" customFormat="false" ht="15" hidden="false" customHeight="false" outlineLevel="0" collapsed="false">
      <c r="A886" s="19" t="s">
        <v>1389</v>
      </c>
      <c r="B886" s="19" t="s">
        <v>2522</v>
      </c>
      <c r="C886" s="19" t="n">
        <v>10</v>
      </c>
      <c r="D886" s="19" t="s">
        <v>703</v>
      </c>
      <c r="E886" s="19" t="n">
        <v>1000</v>
      </c>
      <c r="F886" s="17" t="s">
        <v>2513</v>
      </c>
      <c r="G886" s="17" t="s">
        <v>1104</v>
      </c>
      <c r="H886" s="19"/>
    </row>
    <row r="887" customFormat="false" ht="15" hidden="false" customHeight="false" outlineLevel="0" collapsed="false">
      <c r="A887" s="19" t="s">
        <v>1389</v>
      </c>
      <c r="B887" s="19" t="s">
        <v>2523</v>
      </c>
      <c r="C887" s="19" t="n">
        <v>10</v>
      </c>
      <c r="D887" s="19" t="s">
        <v>525</v>
      </c>
      <c r="E887" s="19" t="n">
        <v>1.3</v>
      </c>
      <c r="F887" s="17" t="s">
        <v>2524</v>
      </c>
      <c r="G887" s="17" t="s">
        <v>1104</v>
      </c>
      <c r="H887" s="19"/>
    </row>
    <row r="888" customFormat="false" ht="15" hidden="false" customHeight="false" outlineLevel="0" collapsed="false">
      <c r="A888" s="19" t="s">
        <v>1389</v>
      </c>
      <c r="B888" s="19" t="s">
        <v>1388</v>
      </c>
      <c r="C888" s="19" t="n">
        <v>10</v>
      </c>
      <c r="D888" s="17" t="s">
        <v>734</v>
      </c>
      <c r="E888" s="19" t="n">
        <v>16.186</v>
      </c>
      <c r="F888" s="17" t="s">
        <v>2525</v>
      </c>
      <c r="G888" s="17" t="s">
        <v>1104</v>
      </c>
      <c r="H888" s="19"/>
    </row>
    <row r="889" customFormat="false" ht="15" hidden="false" customHeight="false" outlineLevel="0" collapsed="false">
      <c r="A889" s="19" t="s">
        <v>1389</v>
      </c>
      <c r="B889" s="19" t="s">
        <v>2526</v>
      </c>
      <c r="C889" s="19" t="n">
        <v>10</v>
      </c>
      <c r="D889" s="17" t="s">
        <v>2507</v>
      </c>
      <c r="E889" s="19" t="n">
        <v>50.3067434</v>
      </c>
      <c r="F889" s="17" t="s">
        <v>2527</v>
      </c>
      <c r="G889" s="17" t="s">
        <v>1104</v>
      </c>
      <c r="H889" s="19"/>
    </row>
    <row r="890" customFormat="false" ht="15" hidden="false" customHeight="false" outlineLevel="0" collapsed="false">
      <c r="A890" s="19" t="s">
        <v>1389</v>
      </c>
      <c r="B890" s="19" t="s">
        <v>1684</v>
      </c>
      <c r="C890" s="19" t="n">
        <v>10</v>
      </c>
      <c r="D890" s="19" t="s">
        <v>2509</v>
      </c>
      <c r="E890" s="19" t="n">
        <v>4</v>
      </c>
      <c r="F890" s="17" t="s">
        <v>2528</v>
      </c>
      <c r="G890" s="17" t="s">
        <v>1104</v>
      </c>
      <c r="H890" s="19"/>
    </row>
    <row r="891" customFormat="false" ht="15" hidden="false" customHeight="false" outlineLevel="0" collapsed="false">
      <c r="A891" s="19" t="s">
        <v>1389</v>
      </c>
      <c r="B891" s="19" t="s">
        <v>1481</v>
      </c>
      <c r="C891" s="19" t="n">
        <v>10</v>
      </c>
      <c r="D891" s="17" t="s">
        <v>528</v>
      </c>
      <c r="E891" s="19" t="n">
        <v>0.9</v>
      </c>
      <c r="F891" s="17" t="s">
        <v>2529</v>
      </c>
      <c r="G891" s="17" t="s">
        <v>1104</v>
      </c>
      <c r="H891" s="19"/>
    </row>
    <row r="892" customFormat="false" ht="15" hidden="false" customHeight="false" outlineLevel="0" collapsed="false">
      <c r="A892" s="19" t="s">
        <v>1389</v>
      </c>
      <c r="B892" s="19" t="s">
        <v>2381</v>
      </c>
      <c r="C892" s="19" t="n">
        <v>10</v>
      </c>
      <c r="D892" s="17" t="s">
        <v>531</v>
      </c>
      <c r="E892" s="19" t="n">
        <v>0.1</v>
      </c>
      <c r="F892" s="17" t="s">
        <v>2530</v>
      </c>
      <c r="G892" s="17" t="s">
        <v>1104</v>
      </c>
      <c r="H892" s="19"/>
    </row>
    <row r="893" customFormat="false" ht="15" hidden="false" customHeight="false" outlineLevel="0" collapsed="false">
      <c r="A893" s="19" t="s">
        <v>1389</v>
      </c>
      <c r="B893" s="19" t="s">
        <v>2531</v>
      </c>
      <c r="C893" s="19" t="n">
        <v>10</v>
      </c>
      <c r="D893" s="19" t="s">
        <v>703</v>
      </c>
      <c r="E893" s="19" t="n">
        <v>1000</v>
      </c>
      <c r="F893" s="17" t="s">
        <v>2513</v>
      </c>
      <c r="G893" s="17" t="s">
        <v>1104</v>
      </c>
      <c r="H893" s="19"/>
    </row>
    <row r="894" customFormat="false" ht="15" hidden="false" customHeight="false" outlineLevel="0" collapsed="false">
      <c r="A894" s="19" t="s">
        <v>1389</v>
      </c>
      <c r="B894" s="19" t="s">
        <v>2532</v>
      </c>
      <c r="C894" s="19" t="n">
        <v>10</v>
      </c>
      <c r="D894" s="19" t="s">
        <v>525</v>
      </c>
      <c r="E894" s="19" t="n">
        <v>1.1</v>
      </c>
      <c r="F894" s="17" t="s">
        <v>2505</v>
      </c>
      <c r="G894" s="17" t="s">
        <v>1104</v>
      </c>
      <c r="H894" s="19"/>
    </row>
    <row r="895" customFormat="false" ht="15" hidden="false" customHeight="false" outlineLevel="0" collapsed="false">
      <c r="A895" s="19" t="s">
        <v>1389</v>
      </c>
      <c r="B895" s="19" t="s">
        <v>2533</v>
      </c>
      <c r="C895" s="19" t="n">
        <v>10</v>
      </c>
      <c r="D895" s="17" t="s">
        <v>734</v>
      </c>
      <c r="E895" s="19" t="n">
        <v>10.212</v>
      </c>
      <c r="F895" s="17" t="s">
        <v>2534</v>
      </c>
      <c r="G895" s="17" t="s">
        <v>1104</v>
      </c>
      <c r="H895" s="19"/>
    </row>
    <row r="896" customFormat="false" ht="15" hidden="false" customHeight="false" outlineLevel="0" collapsed="false">
      <c r="A896" s="19" t="s">
        <v>1389</v>
      </c>
      <c r="B896" s="19" t="s">
        <v>2535</v>
      </c>
      <c r="C896" s="19" t="n">
        <v>10</v>
      </c>
      <c r="D896" s="17" t="s">
        <v>2507</v>
      </c>
      <c r="E896" s="19" t="n">
        <v>30.8513904</v>
      </c>
      <c r="F896" s="17" t="s">
        <v>2536</v>
      </c>
      <c r="G896" s="17" t="s">
        <v>1104</v>
      </c>
      <c r="H896" s="19"/>
    </row>
    <row r="897" customFormat="false" ht="15" hidden="false" customHeight="false" outlineLevel="0" collapsed="false">
      <c r="A897" s="19" t="s">
        <v>1389</v>
      </c>
      <c r="B897" s="19" t="s">
        <v>1698</v>
      </c>
      <c r="C897" s="19" t="n">
        <v>10</v>
      </c>
      <c r="D897" s="19" t="s">
        <v>2509</v>
      </c>
      <c r="E897" s="19" t="n">
        <v>6</v>
      </c>
      <c r="F897" s="17" t="s">
        <v>2510</v>
      </c>
      <c r="G897" s="17" t="s">
        <v>1104</v>
      </c>
      <c r="H897" s="19"/>
    </row>
    <row r="898" customFormat="false" ht="15" hidden="false" customHeight="false" outlineLevel="0" collapsed="false">
      <c r="A898" s="19" t="s">
        <v>1389</v>
      </c>
      <c r="B898" s="19" t="s">
        <v>1486</v>
      </c>
      <c r="C898" s="19" t="n">
        <v>10</v>
      </c>
      <c r="D898" s="17" t="s">
        <v>528</v>
      </c>
      <c r="E898" s="19" t="n">
        <v>0.7</v>
      </c>
      <c r="F898" s="17" t="s">
        <v>2511</v>
      </c>
      <c r="G898" s="17" t="s">
        <v>1104</v>
      </c>
      <c r="H898" s="19"/>
    </row>
    <row r="899" customFormat="false" ht="15" hidden="false" customHeight="false" outlineLevel="0" collapsed="false">
      <c r="A899" s="19" t="s">
        <v>1389</v>
      </c>
      <c r="B899" s="19" t="s">
        <v>2384</v>
      </c>
      <c r="C899" s="19" t="n">
        <v>10</v>
      </c>
      <c r="D899" s="17" t="s">
        <v>531</v>
      </c>
      <c r="E899" s="19" t="n">
        <v>0.06</v>
      </c>
      <c r="F899" s="17" t="s">
        <v>2512</v>
      </c>
      <c r="G899" s="17" t="s">
        <v>1104</v>
      </c>
      <c r="H899" s="19"/>
    </row>
    <row r="900" customFormat="false" ht="15" hidden="false" customHeight="false" outlineLevel="0" collapsed="false">
      <c r="A900" s="19" t="s">
        <v>1389</v>
      </c>
      <c r="B900" s="19" t="s">
        <v>2537</v>
      </c>
      <c r="C900" s="19" t="n">
        <v>10</v>
      </c>
      <c r="D900" s="19" t="s">
        <v>703</v>
      </c>
      <c r="E900" s="19" t="n">
        <v>1000</v>
      </c>
      <c r="F900" s="17" t="s">
        <v>2513</v>
      </c>
      <c r="G900" s="17" t="s">
        <v>1104</v>
      </c>
      <c r="H900" s="19"/>
    </row>
    <row r="901" customFormat="false" ht="15" hidden="false" customHeight="false" outlineLevel="0" collapsed="false">
      <c r="A901" s="19" t="s">
        <v>1389</v>
      </c>
      <c r="B901" s="19" t="s">
        <v>2538</v>
      </c>
      <c r="C901" s="19" t="n">
        <v>10</v>
      </c>
      <c r="D901" s="19" t="s">
        <v>525</v>
      </c>
      <c r="E901" s="19" t="n">
        <v>1.2</v>
      </c>
      <c r="F901" s="17" t="s">
        <v>2515</v>
      </c>
      <c r="G901" s="17" t="s">
        <v>1104</v>
      </c>
      <c r="H901" s="19"/>
    </row>
    <row r="902" customFormat="false" ht="15" hidden="false" customHeight="false" outlineLevel="0" collapsed="false">
      <c r="A902" s="19" t="s">
        <v>1389</v>
      </c>
      <c r="B902" s="19" t="s">
        <v>2539</v>
      </c>
      <c r="C902" s="19" t="n">
        <v>10</v>
      </c>
      <c r="D902" s="17" t="s">
        <v>734</v>
      </c>
      <c r="E902" s="19" t="n">
        <v>12.67</v>
      </c>
      <c r="F902" s="17" t="s">
        <v>2540</v>
      </c>
      <c r="G902" s="17" t="s">
        <v>1104</v>
      </c>
      <c r="H902" s="19"/>
    </row>
    <row r="903" customFormat="false" ht="15" hidden="false" customHeight="false" outlineLevel="0" collapsed="false">
      <c r="A903" s="19" t="s">
        <v>1389</v>
      </c>
      <c r="B903" s="19" t="s">
        <v>2541</v>
      </c>
      <c r="C903" s="19" t="n">
        <v>10</v>
      </c>
      <c r="D903" s="17" t="s">
        <v>2507</v>
      </c>
      <c r="E903" s="19" t="n">
        <v>36.685174</v>
      </c>
      <c r="F903" s="17" t="s">
        <v>2542</v>
      </c>
      <c r="G903" s="17" t="s">
        <v>1104</v>
      </c>
      <c r="H903" s="19"/>
    </row>
    <row r="904" customFormat="false" ht="15" hidden="false" customHeight="false" outlineLevel="0" collapsed="false">
      <c r="A904" s="19" t="s">
        <v>1389</v>
      </c>
      <c r="B904" s="19" t="s">
        <v>1713</v>
      </c>
      <c r="C904" s="19" t="n">
        <v>10</v>
      </c>
      <c r="D904" s="19" t="s">
        <v>2509</v>
      </c>
      <c r="E904" s="19" t="n">
        <v>6</v>
      </c>
      <c r="F904" s="17" t="s">
        <v>2519</v>
      </c>
      <c r="G904" s="17" t="s">
        <v>1104</v>
      </c>
      <c r="H904" s="19"/>
    </row>
    <row r="905" customFormat="false" ht="15" hidden="false" customHeight="false" outlineLevel="0" collapsed="false">
      <c r="A905" s="19" t="s">
        <v>1389</v>
      </c>
      <c r="B905" s="19" t="s">
        <v>1492</v>
      </c>
      <c r="C905" s="19" t="n">
        <v>10</v>
      </c>
      <c r="D905" s="17" t="s">
        <v>528</v>
      </c>
      <c r="E905" s="19" t="n">
        <v>0.8</v>
      </c>
      <c r="F905" s="17" t="s">
        <v>2520</v>
      </c>
      <c r="G905" s="17" t="s">
        <v>1104</v>
      </c>
      <c r="H905" s="19"/>
    </row>
    <row r="906" customFormat="false" ht="15" hidden="false" customHeight="false" outlineLevel="0" collapsed="false">
      <c r="A906" s="19" t="s">
        <v>1389</v>
      </c>
      <c r="B906" s="19" t="s">
        <v>2387</v>
      </c>
      <c r="C906" s="19" t="n">
        <v>10</v>
      </c>
      <c r="D906" s="17" t="s">
        <v>531</v>
      </c>
      <c r="E906" s="19" t="n">
        <v>0.08</v>
      </c>
      <c r="F906" s="17" t="s">
        <v>2521</v>
      </c>
      <c r="G906" s="17" t="s">
        <v>1104</v>
      </c>
      <c r="H906" s="19"/>
    </row>
    <row r="907" customFormat="false" ht="15" hidden="false" customHeight="false" outlineLevel="0" collapsed="false">
      <c r="A907" s="19" t="s">
        <v>1389</v>
      </c>
      <c r="B907" s="19" t="s">
        <v>2543</v>
      </c>
      <c r="C907" s="19" t="n">
        <v>10</v>
      </c>
      <c r="D907" s="19" t="s">
        <v>703</v>
      </c>
      <c r="E907" s="19" t="n">
        <v>1000</v>
      </c>
      <c r="F907" s="17" t="s">
        <v>2513</v>
      </c>
      <c r="G907" s="17" t="s">
        <v>1104</v>
      </c>
      <c r="H907" s="19"/>
    </row>
    <row r="908" customFormat="false" ht="15" hidden="false" customHeight="false" outlineLevel="0" collapsed="false">
      <c r="A908" s="19" t="s">
        <v>1389</v>
      </c>
      <c r="B908" s="19" t="s">
        <v>2544</v>
      </c>
      <c r="C908" s="19" t="n">
        <v>10</v>
      </c>
      <c r="D908" s="19" t="s">
        <v>525</v>
      </c>
      <c r="E908" s="19" t="n">
        <v>1.3</v>
      </c>
      <c r="F908" s="17" t="s">
        <v>2524</v>
      </c>
      <c r="G908" s="17" t="s">
        <v>1104</v>
      </c>
      <c r="H908" s="19"/>
    </row>
    <row r="909" customFormat="false" ht="15" hidden="false" customHeight="false" outlineLevel="0" collapsed="false">
      <c r="A909" s="19" t="s">
        <v>1389</v>
      </c>
      <c r="B909" s="19" t="s">
        <v>2545</v>
      </c>
      <c r="C909" s="19" t="n">
        <v>10</v>
      </c>
      <c r="D909" s="17" t="s">
        <v>734</v>
      </c>
      <c r="E909" s="19" t="n">
        <v>16.186</v>
      </c>
      <c r="F909" s="17" t="s">
        <v>2546</v>
      </c>
      <c r="G909" s="17" t="s">
        <v>1104</v>
      </c>
      <c r="H909" s="19"/>
    </row>
    <row r="910" customFormat="false" ht="15" hidden="false" customHeight="false" outlineLevel="0" collapsed="false">
      <c r="A910" s="19" t="s">
        <v>1389</v>
      </c>
      <c r="B910" s="19" t="s">
        <v>2547</v>
      </c>
      <c r="C910" s="19" t="n">
        <v>10</v>
      </c>
      <c r="D910" s="17" t="s">
        <v>2507</v>
      </c>
      <c r="E910" s="19" t="n">
        <v>43.8362044</v>
      </c>
      <c r="F910" s="17" t="s">
        <v>2548</v>
      </c>
      <c r="G910" s="17" t="s">
        <v>1104</v>
      </c>
      <c r="H910" s="19"/>
    </row>
    <row r="911" customFormat="false" ht="15" hidden="false" customHeight="false" outlineLevel="0" collapsed="false">
      <c r="A911" s="19" t="s">
        <v>1389</v>
      </c>
      <c r="B911" s="19" t="s">
        <v>1729</v>
      </c>
      <c r="C911" s="19" t="n">
        <v>10</v>
      </c>
      <c r="D911" s="19" t="s">
        <v>2509</v>
      </c>
      <c r="E911" s="19" t="n">
        <v>4</v>
      </c>
      <c r="F911" s="17" t="s">
        <v>2528</v>
      </c>
      <c r="G911" s="17" t="s">
        <v>1104</v>
      </c>
      <c r="H911" s="19"/>
    </row>
    <row r="912" customFormat="false" ht="15" hidden="false" customHeight="false" outlineLevel="0" collapsed="false">
      <c r="A912" s="19" t="s">
        <v>1389</v>
      </c>
      <c r="B912" s="19" t="s">
        <v>1498</v>
      </c>
      <c r="C912" s="19" t="n">
        <v>10</v>
      </c>
      <c r="D912" s="17" t="s">
        <v>528</v>
      </c>
      <c r="E912" s="19" t="n">
        <v>0.9</v>
      </c>
      <c r="F912" s="17" t="s">
        <v>2529</v>
      </c>
      <c r="G912" s="17" t="s">
        <v>1104</v>
      </c>
      <c r="H912" s="19"/>
    </row>
    <row r="913" customFormat="false" ht="15" hidden="false" customHeight="false" outlineLevel="0" collapsed="false">
      <c r="A913" s="19" t="s">
        <v>1389</v>
      </c>
      <c r="B913" s="19" t="s">
        <v>2390</v>
      </c>
      <c r="C913" s="19" t="n">
        <v>10</v>
      </c>
      <c r="D913" s="17" t="s">
        <v>531</v>
      </c>
      <c r="E913" s="19" t="n">
        <v>0.1</v>
      </c>
      <c r="F913" s="17" t="s">
        <v>2530</v>
      </c>
      <c r="G913" s="17" t="s">
        <v>1104</v>
      </c>
      <c r="H913" s="19"/>
    </row>
    <row r="914" customFormat="false" ht="15" hidden="false" customHeight="false" outlineLevel="0" collapsed="false">
      <c r="A914" s="19" t="s">
        <v>1389</v>
      </c>
      <c r="B914" s="19" t="s">
        <v>2549</v>
      </c>
      <c r="C914" s="19" t="n">
        <v>10</v>
      </c>
      <c r="D914" s="19" t="s">
        <v>703</v>
      </c>
      <c r="E914" s="19" t="n">
        <v>1000</v>
      </c>
      <c r="F914" s="17" t="s">
        <v>2513</v>
      </c>
      <c r="G914" s="17" t="s">
        <v>1104</v>
      </c>
      <c r="H914" s="19"/>
    </row>
    <row r="915" customFormat="false" ht="15" hidden="false" customHeight="false" outlineLevel="0" collapsed="false">
      <c r="A915" s="19" t="s">
        <v>1389</v>
      </c>
      <c r="B915" s="19" t="s">
        <v>2550</v>
      </c>
      <c r="C915" s="19" t="n">
        <v>10</v>
      </c>
      <c r="D915" s="19" t="s">
        <v>525</v>
      </c>
      <c r="E915" s="19" t="n">
        <v>1.1</v>
      </c>
      <c r="F915" s="17" t="s">
        <v>2505</v>
      </c>
      <c r="G915" s="17" t="s">
        <v>1104</v>
      </c>
      <c r="H915" s="19"/>
    </row>
    <row r="916" customFormat="false" ht="15" hidden="false" customHeight="false" outlineLevel="0" collapsed="false">
      <c r="A916" s="19" t="s">
        <v>1389</v>
      </c>
      <c r="B916" s="19" t="s">
        <v>2551</v>
      </c>
      <c r="C916" s="19" t="n">
        <v>10</v>
      </c>
      <c r="D916" s="17" t="s">
        <v>734</v>
      </c>
      <c r="E916" s="19" t="n">
        <v>10.212</v>
      </c>
      <c r="F916" s="17" t="s">
        <v>2552</v>
      </c>
      <c r="G916" s="17" t="s">
        <v>1104</v>
      </c>
      <c r="H916" s="19"/>
    </row>
    <row r="917" customFormat="false" ht="15" hidden="false" customHeight="false" outlineLevel="0" collapsed="false">
      <c r="A917" s="19" t="s">
        <v>1389</v>
      </c>
      <c r="B917" s="19" t="s">
        <v>2553</v>
      </c>
      <c r="C917" s="19" t="n">
        <v>10</v>
      </c>
      <c r="D917" s="17" t="s">
        <v>2507</v>
      </c>
      <c r="E917" s="19" t="n">
        <v>38.7669024</v>
      </c>
      <c r="F917" s="17" t="s">
        <v>2554</v>
      </c>
      <c r="G917" s="17" t="s">
        <v>1104</v>
      </c>
      <c r="H917" s="19"/>
    </row>
    <row r="918" customFormat="false" ht="15" hidden="false" customHeight="false" outlineLevel="0" collapsed="false">
      <c r="A918" s="19" t="s">
        <v>1389</v>
      </c>
      <c r="B918" s="19" t="s">
        <v>1745</v>
      </c>
      <c r="C918" s="19" t="n">
        <v>10</v>
      </c>
      <c r="D918" s="19" t="s">
        <v>2509</v>
      </c>
      <c r="E918" s="19" t="n">
        <v>6</v>
      </c>
      <c r="F918" s="17" t="s">
        <v>2510</v>
      </c>
      <c r="G918" s="17" t="s">
        <v>1104</v>
      </c>
      <c r="H918" s="19"/>
    </row>
    <row r="919" customFormat="false" ht="15" hidden="false" customHeight="false" outlineLevel="0" collapsed="false">
      <c r="A919" s="19" t="s">
        <v>1389</v>
      </c>
      <c r="B919" s="19" t="s">
        <v>1504</v>
      </c>
      <c r="C919" s="19" t="n">
        <v>10</v>
      </c>
      <c r="D919" s="17" t="s">
        <v>528</v>
      </c>
      <c r="E919" s="19" t="n">
        <v>0.7</v>
      </c>
      <c r="F919" s="17" t="s">
        <v>2511</v>
      </c>
      <c r="G919" s="17" t="s">
        <v>1104</v>
      </c>
      <c r="H919" s="19"/>
    </row>
    <row r="920" customFormat="false" ht="15" hidden="false" customHeight="false" outlineLevel="0" collapsed="false">
      <c r="A920" s="19" t="s">
        <v>1389</v>
      </c>
      <c r="B920" s="19" t="s">
        <v>2393</v>
      </c>
      <c r="C920" s="19" t="n">
        <v>10</v>
      </c>
      <c r="D920" s="17" t="s">
        <v>531</v>
      </c>
      <c r="E920" s="19" t="n">
        <v>0.06</v>
      </c>
      <c r="F920" s="17" t="s">
        <v>2512</v>
      </c>
      <c r="G920" s="17" t="s">
        <v>1104</v>
      </c>
      <c r="H920" s="19"/>
    </row>
    <row r="921" customFormat="false" ht="15" hidden="false" customHeight="false" outlineLevel="0" collapsed="false">
      <c r="A921" s="19" t="s">
        <v>1389</v>
      </c>
      <c r="B921" s="19" t="s">
        <v>2555</v>
      </c>
      <c r="C921" s="19" t="n">
        <v>10</v>
      </c>
      <c r="D921" s="19" t="s">
        <v>703</v>
      </c>
      <c r="E921" s="19" t="n">
        <v>1000</v>
      </c>
      <c r="F921" s="17" t="s">
        <v>2513</v>
      </c>
      <c r="G921" s="17" t="s">
        <v>1104</v>
      </c>
      <c r="H921" s="19"/>
    </row>
    <row r="922" customFormat="false" ht="15" hidden="false" customHeight="false" outlineLevel="0" collapsed="false">
      <c r="A922" s="19" t="s">
        <v>1389</v>
      </c>
      <c r="B922" s="19" t="s">
        <v>2556</v>
      </c>
      <c r="C922" s="19" t="n">
        <v>10</v>
      </c>
      <c r="D922" s="19" t="s">
        <v>525</v>
      </c>
      <c r="E922" s="19" t="n">
        <v>1.2</v>
      </c>
      <c r="F922" s="17" t="s">
        <v>2515</v>
      </c>
      <c r="G922" s="17" t="s">
        <v>1104</v>
      </c>
      <c r="H922" s="19"/>
    </row>
    <row r="923" customFormat="false" ht="15" hidden="false" customHeight="false" outlineLevel="0" collapsed="false">
      <c r="A923" s="19" t="s">
        <v>1389</v>
      </c>
      <c r="B923" s="19" t="s">
        <v>2557</v>
      </c>
      <c r="C923" s="19" t="n">
        <v>10</v>
      </c>
      <c r="D923" s="17" t="s">
        <v>734</v>
      </c>
      <c r="E923" s="19" t="n">
        <v>12.67</v>
      </c>
      <c r="F923" s="17" t="s">
        <v>2558</v>
      </c>
      <c r="G923" s="17" t="s">
        <v>1104</v>
      </c>
      <c r="H923" s="19"/>
    </row>
    <row r="924" customFormat="false" ht="15" hidden="false" customHeight="false" outlineLevel="0" collapsed="false">
      <c r="A924" s="19" t="s">
        <v>1389</v>
      </c>
      <c r="B924" s="19" t="s">
        <v>2559</v>
      </c>
      <c r="C924" s="19" t="n">
        <v>10</v>
      </c>
      <c r="D924" s="17" t="s">
        <v>2507</v>
      </c>
      <c r="E924" s="19" t="n">
        <v>44.907224</v>
      </c>
      <c r="F924" s="17" t="s">
        <v>2560</v>
      </c>
      <c r="G924" s="17" t="s">
        <v>1104</v>
      </c>
      <c r="H924" s="19"/>
    </row>
    <row r="925" customFormat="false" ht="15" hidden="false" customHeight="false" outlineLevel="0" collapsed="false">
      <c r="A925" s="19" t="s">
        <v>1389</v>
      </c>
      <c r="B925" s="19" t="s">
        <v>1761</v>
      </c>
      <c r="C925" s="19" t="n">
        <v>10</v>
      </c>
      <c r="D925" s="19" t="s">
        <v>2509</v>
      </c>
      <c r="E925" s="19" t="n">
        <v>6</v>
      </c>
      <c r="F925" s="17" t="s">
        <v>2519</v>
      </c>
      <c r="G925" s="17" t="s">
        <v>1104</v>
      </c>
      <c r="H925" s="19"/>
    </row>
    <row r="926" customFormat="false" ht="15" hidden="false" customHeight="false" outlineLevel="0" collapsed="false">
      <c r="A926" s="19" t="s">
        <v>1389</v>
      </c>
      <c r="B926" s="19" t="s">
        <v>1510</v>
      </c>
      <c r="C926" s="19" t="n">
        <v>10</v>
      </c>
      <c r="D926" s="17" t="s">
        <v>528</v>
      </c>
      <c r="E926" s="19" t="n">
        <v>0.8</v>
      </c>
      <c r="F926" s="17" t="s">
        <v>2520</v>
      </c>
      <c r="G926" s="17" t="s">
        <v>1104</v>
      </c>
      <c r="H926" s="19"/>
    </row>
    <row r="927" customFormat="false" ht="15" hidden="false" customHeight="false" outlineLevel="0" collapsed="false">
      <c r="A927" s="19" t="s">
        <v>1389</v>
      </c>
      <c r="B927" s="19" t="s">
        <v>2396</v>
      </c>
      <c r="C927" s="19" t="n">
        <v>10</v>
      </c>
      <c r="D927" s="17" t="s">
        <v>531</v>
      </c>
      <c r="E927" s="19" t="n">
        <v>0.08</v>
      </c>
      <c r="F927" s="17" t="s">
        <v>2521</v>
      </c>
      <c r="G927" s="17" t="s">
        <v>1104</v>
      </c>
      <c r="H927" s="19"/>
    </row>
    <row r="928" customFormat="false" ht="15" hidden="false" customHeight="false" outlineLevel="0" collapsed="false">
      <c r="A928" s="19" t="s">
        <v>1389</v>
      </c>
      <c r="B928" s="19" t="s">
        <v>2561</v>
      </c>
      <c r="C928" s="19" t="n">
        <v>10</v>
      </c>
      <c r="D928" s="19" t="s">
        <v>703</v>
      </c>
      <c r="E928" s="19" t="n">
        <v>1000</v>
      </c>
      <c r="F928" s="17" t="s">
        <v>2513</v>
      </c>
      <c r="G928" s="17" t="s">
        <v>1104</v>
      </c>
      <c r="H928" s="19"/>
    </row>
    <row r="929" customFormat="false" ht="15" hidden="false" customHeight="false" outlineLevel="0" collapsed="false">
      <c r="A929" s="19" t="s">
        <v>1389</v>
      </c>
      <c r="B929" s="19" t="s">
        <v>2562</v>
      </c>
      <c r="C929" s="19" t="n">
        <v>10</v>
      </c>
      <c r="D929" s="19" t="s">
        <v>525</v>
      </c>
      <c r="E929" s="19" t="n">
        <v>1.3</v>
      </c>
      <c r="F929" s="17" t="s">
        <v>2524</v>
      </c>
      <c r="G929" s="17" t="s">
        <v>1104</v>
      </c>
      <c r="H929" s="19"/>
    </row>
    <row r="930" customFormat="false" ht="15" hidden="false" customHeight="false" outlineLevel="0" collapsed="false">
      <c r="A930" s="19" t="s">
        <v>1389</v>
      </c>
      <c r="B930" s="19" t="s">
        <v>2563</v>
      </c>
      <c r="C930" s="19" t="n">
        <v>10</v>
      </c>
      <c r="D930" s="17" t="s">
        <v>734</v>
      </c>
      <c r="E930" s="19" t="n">
        <v>16.186</v>
      </c>
      <c r="F930" s="17" t="s">
        <v>2564</v>
      </c>
      <c r="G930" s="17" t="s">
        <v>1104</v>
      </c>
      <c r="H930" s="19"/>
    </row>
    <row r="931" customFormat="false" ht="15" hidden="false" customHeight="false" outlineLevel="0" collapsed="false">
      <c r="A931" s="19" t="s">
        <v>1389</v>
      </c>
      <c r="B931" s="19" t="s">
        <v>2565</v>
      </c>
      <c r="C931" s="19" t="n">
        <v>10</v>
      </c>
      <c r="D931" s="17" t="s">
        <v>2507</v>
      </c>
      <c r="E931" s="19" t="n">
        <v>55.4686064</v>
      </c>
      <c r="F931" s="17" t="s">
        <v>2566</v>
      </c>
      <c r="G931" s="17" t="s">
        <v>1104</v>
      </c>
      <c r="H931" s="19"/>
    </row>
    <row r="932" customFormat="false" ht="15" hidden="false" customHeight="false" outlineLevel="0" collapsed="false">
      <c r="A932" s="19" t="s">
        <v>1389</v>
      </c>
      <c r="B932" s="19" t="s">
        <v>1777</v>
      </c>
      <c r="C932" s="19" t="n">
        <v>10</v>
      </c>
      <c r="D932" s="19" t="s">
        <v>2509</v>
      </c>
      <c r="E932" s="19" t="n">
        <v>4</v>
      </c>
      <c r="F932" s="17" t="s">
        <v>2528</v>
      </c>
      <c r="G932" s="17" t="s">
        <v>1104</v>
      </c>
      <c r="H932" s="19"/>
    </row>
    <row r="933" customFormat="false" ht="15" hidden="false" customHeight="false" outlineLevel="0" collapsed="false">
      <c r="A933" s="19" t="s">
        <v>1389</v>
      </c>
      <c r="B933" s="19" t="s">
        <v>1516</v>
      </c>
      <c r="C933" s="19" t="n">
        <v>10</v>
      </c>
      <c r="D933" s="17" t="s">
        <v>528</v>
      </c>
      <c r="E933" s="19" t="n">
        <v>0.9</v>
      </c>
      <c r="F933" s="17" t="s">
        <v>2529</v>
      </c>
      <c r="G933" s="17" t="s">
        <v>1104</v>
      </c>
      <c r="H933" s="19"/>
    </row>
    <row r="934" customFormat="false" ht="15" hidden="false" customHeight="false" outlineLevel="0" collapsed="false">
      <c r="A934" s="19" t="s">
        <v>1389</v>
      </c>
      <c r="B934" s="19" t="s">
        <v>2399</v>
      </c>
      <c r="C934" s="19" t="n">
        <v>10</v>
      </c>
      <c r="D934" s="17" t="s">
        <v>531</v>
      </c>
      <c r="E934" s="19" t="n">
        <v>0.1</v>
      </c>
      <c r="F934" s="17" t="s">
        <v>2530</v>
      </c>
      <c r="G934" s="17" t="s">
        <v>1104</v>
      </c>
      <c r="H934" s="19"/>
    </row>
    <row r="935" customFormat="false" ht="15" hidden="false" customHeight="false" outlineLevel="0" collapsed="false">
      <c r="A935" s="19" t="s">
        <v>1389</v>
      </c>
      <c r="B935" s="19" t="s">
        <v>2567</v>
      </c>
      <c r="C935" s="19" t="n">
        <v>10</v>
      </c>
      <c r="D935" s="19" t="s">
        <v>703</v>
      </c>
      <c r="E935" s="19" t="n">
        <v>1000</v>
      </c>
      <c r="F935" s="17" t="s">
        <v>2513</v>
      </c>
      <c r="G935" s="17" t="s">
        <v>1104</v>
      </c>
      <c r="H935" s="19"/>
    </row>
    <row r="936" customFormat="false" ht="15" hidden="false" customHeight="false" outlineLevel="0" collapsed="false">
      <c r="A936" s="19" t="s">
        <v>1389</v>
      </c>
      <c r="B936" s="19" t="s">
        <v>2568</v>
      </c>
      <c r="C936" s="19" t="n">
        <v>10</v>
      </c>
      <c r="D936" s="19" t="s">
        <v>525</v>
      </c>
      <c r="E936" s="19" t="n">
        <v>1.1</v>
      </c>
      <c r="F936" s="17" t="s">
        <v>2505</v>
      </c>
      <c r="G936" s="17" t="s">
        <v>1104</v>
      </c>
      <c r="H936" s="19"/>
    </row>
    <row r="937" customFormat="false" ht="15" hidden="false" customHeight="false" outlineLevel="0" collapsed="false">
      <c r="A937" s="19" t="s">
        <v>1389</v>
      </c>
      <c r="B937" s="19" t="s">
        <v>2569</v>
      </c>
      <c r="C937" s="19" t="n">
        <v>10</v>
      </c>
      <c r="D937" s="17" t="s">
        <v>734</v>
      </c>
      <c r="E937" s="19" t="n">
        <v>10.212</v>
      </c>
      <c r="F937" s="17" t="s">
        <v>2570</v>
      </c>
      <c r="G937" s="17" t="s">
        <v>1104</v>
      </c>
      <c r="H937" s="19"/>
    </row>
    <row r="938" customFormat="false" ht="15" hidden="false" customHeight="false" outlineLevel="0" collapsed="false">
      <c r="A938" s="19" t="s">
        <v>1389</v>
      </c>
      <c r="B938" s="19" t="s">
        <v>2571</v>
      </c>
      <c r="C938" s="19" t="n">
        <v>10</v>
      </c>
      <c r="D938" s="17" t="s">
        <v>2507</v>
      </c>
      <c r="E938" s="19" t="n">
        <v>43.4854032</v>
      </c>
      <c r="F938" s="17" t="s">
        <v>2572</v>
      </c>
      <c r="G938" s="17" t="s">
        <v>1104</v>
      </c>
      <c r="H938" s="19"/>
    </row>
    <row r="939" customFormat="false" ht="15" hidden="false" customHeight="false" outlineLevel="0" collapsed="false">
      <c r="A939" s="19" t="s">
        <v>1389</v>
      </c>
      <c r="B939" s="19" t="s">
        <v>1793</v>
      </c>
      <c r="C939" s="19" t="n">
        <v>10</v>
      </c>
      <c r="D939" s="19" t="s">
        <v>2509</v>
      </c>
      <c r="E939" s="19" t="n">
        <v>6</v>
      </c>
      <c r="F939" s="17" t="s">
        <v>2510</v>
      </c>
      <c r="G939" s="17" t="s">
        <v>1104</v>
      </c>
      <c r="H939" s="19"/>
    </row>
    <row r="940" customFormat="false" ht="15" hidden="false" customHeight="false" outlineLevel="0" collapsed="false">
      <c r="A940" s="19" t="s">
        <v>1389</v>
      </c>
      <c r="B940" s="19" t="s">
        <v>1522</v>
      </c>
      <c r="C940" s="19" t="n">
        <v>10</v>
      </c>
      <c r="D940" s="17" t="s">
        <v>528</v>
      </c>
      <c r="E940" s="19" t="n">
        <v>0.7</v>
      </c>
      <c r="F940" s="17" t="s">
        <v>2511</v>
      </c>
      <c r="G940" s="17" t="s">
        <v>1104</v>
      </c>
      <c r="H940" s="19"/>
    </row>
    <row r="941" customFormat="false" ht="15" hidden="false" customHeight="false" outlineLevel="0" collapsed="false">
      <c r="A941" s="19" t="s">
        <v>1389</v>
      </c>
      <c r="B941" s="19" t="s">
        <v>2402</v>
      </c>
      <c r="C941" s="19" t="n">
        <v>10</v>
      </c>
      <c r="D941" s="17" t="s">
        <v>531</v>
      </c>
      <c r="E941" s="19" t="n">
        <v>0.06</v>
      </c>
      <c r="F941" s="17" t="s">
        <v>2512</v>
      </c>
      <c r="G941" s="17" t="s">
        <v>1104</v>
      </c>
      <c r="H941" s="19"/>
    </row>
    <row r="942" customFormat="false" ht="15" hidden="false" customHeight="false" outlineLevel="0" collapsed="false">
      <c r="A942" s="19" t="s">
        <v>1389</v>
      </c>
      <c r="B942" s="19" t="s">
        <v>2573</v>
      </c>
      <c r="C942" s="19" t="n">
        <v>10</v>
      </c>
      <c r="D942" s="19" t="s">
        <v>703</v>
      </c>
      <c r="E942" s="19" t="n">
        <v>1000</v>
      </c>
      <c r="F942" s="17" t="s">
        <v>2513</v>
      </c>
      <c r="G942" s="17" t="s">
        <v>1104</v>
      </c>
      <c r="H942" s="19"/>
    </row>
    <row r="943" customFormat="false" ht="15" hidden="false" customHeight="false" outlineLevel="0" collapsed="false">
      <c r="A943" s="19" t="s">
        <v>1389</v>
      </c>
      <c r="B943" s="19" t="s">
        <v>2574</v>
      </c>
      <c r="C943" s="19" t="n">
        <v>10</v>
      </c>
      <c r="D943" s="19" t="s">
        <v>525</v>
      </c>
      <c r="E943" s="19" t="n">
        <v>1.2</v>
      </c>
      <c r="F943" s="17" t="s">
        <v>2515</v>
      </c>
      <c r="G943" s="17" t="s">
        <v>1104</v>
      </c>
      <c r="H943" s="19"/>
    </row>
    <row r="944" customFormat="false" ht="15" hidden="false" customHeight="false" outlineLevel="0" collapsed="false">
      <c r="A944" s="19" t="s">
        <v>1389</v>
      </c>
      <c r="B944" s="19" t="s">
        <v>2575</v>
      </c>
      <c r="C944" s="19" t="n">
        <v>10</v>
      </c>
      <c r="D944" s="17" t="s">
        <v>734</v>
      </c>
      <c r="E944" s="19" t="n">
        <v>12.67</v>
      </c>
      <c r="F944" s="17" t="s">
        <v>2576</v>
      </c>
      <c r="G944" s="17" t="s">
        <v>1104</v>
      </c>
      <c r="H944" s="19"/>
    </row>
    <row r="945" customFormat="false" ht="15" hidden="false" customHeight="false" outlineLevel="0" collapsed="false">
      <c r="A945" s="19" t="s">
        <v>1389</v>
      </c>
      <c r="B945" s="19" t="s">
        <v>2577</v>
      </c>
      <c r="C945" s="19" t="n">
        <v>10</v>
      </c>
      <c r="D945" s="17" t="s">
        <v>2507</v>
      </c>
      <c r="E945" s="19" t="n">
        <v>50.256352</v>
      </c>
      <c r="F945" s="17" t="s">
        <v>2578</v>
      </c>
      <c r="G945" s="17" t="s">
        <v>1104</v>
      </c>
      <c r="H945" s="19"/>
    </row>
    <row r="946" customFormat="false" ht="15" hidden="false" customHeight="false" outlineLevel="0" collapsed="false">
      <c r="A946" s="19" t="s">
        <v>1389</v>
      </c>
      <c r="B946" s="19" t="s">
        <v>1809</v>
      </c>
      <c r="C946" s="19" t="n">
        <v>10</v>
      </c>
      <c r="D946" s="19" t="s">
        <v>2509</v>
      </c>
      <c r="E946" s="19" t="n">
        <v>6</v>
      </c>
      <c r="F946" s="17" t="s">
        <v>2519</v>
      </c>
      <c r="G946" s="17" t="s">
        <v>1104</v>
      </c>
      <c r="H946" s="19"/>
    </row>
    <row r="947" customFormat="false" ht="15" hidden="false" customHeight="false" outlineLevel="0" collapsed="false">
      <c r="A947" s="19" t="s">
        <v>1389</v>
      </c>
      <c r="B947" s="19" t="s">
        <v>1528</v>
      </c>
      <c r="C947" s="19" t="n">
        <v>10</v>
      </c>
      <c r="D947" s="17" t="s">
        <v>528</v>
      </c>
      <c r="E947" s="19" t="n">
        <v>0.8</v>
      </c>
      <c r="F947" s="17" t="s">
        <v>2520</v>
      </c>
      <c r="G947" s="17" t="s">
        <v>1104</v>
      </c>
      <c r="H947" s="19"/>
    </row>
    <row r="948" customFormat="false" ht="15" hidden="false" customHeight="false" outlineLevel="0" collapsed="false">
      <c r="A948" s="19" t="s">
        <v>1389</v>
      </c>
      <c r="B948" s="19" t="s">
        <v>2405</v>
      </c>
      <c r="C948" s="19" t="n">
        <v>10</v>
      </c>
      <c r="D948" s="17" t="s">
        <v>531</v>
      </c>
      <c r="E948" s="19" t="n">
        <v>0.08</v>
      </c>
      <c r="F948" s="17" t="s">
        <v>2521</v>
      </c>
      <c r="G948" s="17" t="s">
        <v>1104</v>
      </c>
      <c r="H948" s="19"/>
    </row>
    <row r="949" customFormat="false" ht="15" hidden="false" customHeight="false" outlineLevel="0" collapsed="false">
      <c r="A949" s="19" t="s">
        <v>1389</v>
      </c>
      <c r="B949" s="19" t="s">
        <v>2579</v>
      </c>
      <c r="C949" s="19" t="n">
        <v>10</v>
      </c>
      <c r="D949" s="19" t="s">
        <v>703</v>
      </c>
      <c r="E949" s="19" t="n">
        <v>1000</v>
      </c>
      <c r="F949" s="17" t="s">
        <v>2513</v>
      </c>
      <c r="G949" s="17" t="s">
        <v>1104</v>
      </c>
      <c r="H949" s="19"/>
    </row>
    <row r="950" customFormat="false" ht="15" hidden="false" customHeight="false" outlineLevel="0" collapsed="false">
      <c r="A950" s="19" t="s">
        <v>1389</v>
      </c>
      <c r="B950" s="19" t="s">
        <v>2580</v>
      </c>
      <c r="C950" s="19" t="n">
        <v>10</v>
      </c>
      <c r="D950" s="19" t="s">
        <v>525</v>
      </c>
      <c r="E950" s="19" t="n">
        <v>1.3</v>
      </c>
      <c r="F950" s="17" t="s">
        <v>2524</v>
      </c>
      <c r="G950" s="17" t="s">
        <v>1104</v>
      </c>
      <c r="H950" s="19"/>
    </row>
    <row r="951" customFormat="false" ht="15" hidden="false" customHeight="false" outlineLevel="0" collapsed="false">
      <c r="A951" s="19" t="s">
        <v>1389</v>
      </c>
      <c r="B951" s="19" t="s">
        <v>2581</v>
      </c>
      <c r="C951" s="19" t="n">
        <v>10</v>
      </c>
      <c r="D951" s="17" t="s">
        <v>734</v>
      </c>
      <c r="E951" s="19" t="n">
        <v>16.186</v>
      </c>
      <c r="F951" s="17" t="s">
        <v>2582</v>
      </c>
      <c r="G951" s="17" t="s">
        <v>1104</v>
      </c>
      <c r="H951" s="19"/>
    </row>
    <row r="952" customFormat="false" ht="15" hidden="false" customHeight="false" outlineLevel="0" collapsed="false">
      <c r="A952" s="19" t="s">
        <v>1389</v>
      </c>
      <c r="B952" s="19" t="s">
        <v>2583</v>
      </c>
      <c r="C952" s="19" t="n">
        <v>10</v>
      </c>
      <c r="D952" s="17" t="s">
        <v>2507</v>
      </c>
      <c r="E952" s="19" t="n">
        <v>58.8235752</v>
      </c>
      <c r="F952" s="17" t="s">
        <v>2584</v>
      </c>
      <c r="G952" s="17" t="s">
        <v>1104</v>
      </c>
      <c r="H952" s="19"/>
    </row>
    <row r="953" customFormat="false" ht="15" hidden="false" customHeight="false" outlineLevel="0" collapsed="false">
      <c r="A953" s="19" t="s">
        <v>1389</v>
      </c>
      <c r="B953" s="19" t="s">
        <v>1825</v>
      </c>
      <c r="C953" s="19" t="n">
        <v>10</v>
      </c>
      <c r="D953" s="19" t="s">
        <v>2509</v>
      </c>
      <c r="E953" s="19" t="n">
        <v>4</v>
      </c>
      <c r="F953" s="17" t="s">
        <v>2528</v>
      </c>
      <c r="G953" s="17" t="s">
        <v>1104</v>
      </c>
      <c r="H953" s="19"/>
    </row>
    <row r="954" customFormat="false" ht="15" hidden="false" customHeight="false" outlineLevel="0" collapsed="false">
      <c r="A954" s="19" t="s">
        <v>1389</v>
      </c>
      <c r="B954" s="19" t="s">
        <v>1534</v>
      </c>
      <c r="C954" s="19" t="n">
        <v>10</v>
      </c>
      <c r="D954" s="17" t="s">
        <v>528</v>
      </c>
      <c r="E954" s="19" t="n">
        <v>0.9</v>
      </c>
      <c r="F954" s="17" t="s">
        <v>2529</v>
      </c>
      <c r="G954" s="17" t="s">
        <v>1104</v>
      </c>
      <c r="H954" s="19"/>
    </row>
    <row r="955" customFormat="false" ht="15" hidden="false" customHeight="false" outlineLevel="0" collapsed="false">
      <c r="A955" s="19" t="s">
        <v>1389</v>
      </c>
      <c r="B955" s="19" t="s">
        <v>2408</v>
      </c>
      <c r="C955" s="19" t="n">
        <v>10</v>
      </c>
      <c r="D955" s="17" t="s">
        <v>531</v>
      </c>
      <c r="E955" s="19" t="n">
        <v>0.1</v>
      </c>
      <c r="F955" s="17" t="s">
        <v>2530</v>
      </c>
      <c r="G955" s="17" t="s">
        <v>1104</v>
      </c>
      <c r="H955" s="19"/>
    </row>
    <row r="956" customFormat="false" ht="15" hidden="false" customHeight="false" outlineLevel="0" collapsed="false">
      <c r="A956" s="19" t="s">
        <v>1389</v>
      </c>
      <c r="B956" s="19" t="s">
        <v>2585</v>
      </c>
      <c r="C956" s="19" t="n">
        <v>10</v>
      </c>
      <c r="D956" s="19" t="s">
        <v>703</v>
      </c>
      <c r="E956" s="19" t="n">
        <v>1000</v>
      </c>
      <c r="F956" s="17" t="s">
        <v>2513</v>
      </c>
      <c r="G956" s="17" t="s">
        <v>1104</v>
      </c>
      <c r="H956" s="19"/>
    </row>
    <row r="957" customFormat="false" ht="15" hidden="false" customHeight="false" outlineLevel="0" collapsed="false">
      <c r="A957" s="19" t="s">
        <v>1389</v>
      </c>
      <c r="B957" s="19" t="s">
        <v>2586</v>
      </c>
      <c r="C957" s="19" t="n">
        <v>10</v>
      </c>
      <c r="D957" s="19" t="s">
        <v>525</v>
      </c>
      <c r="E957" s="19" t="n">
        <v>1.1</v>
      </c>
      <c r="F957" s="17" t="s">
        <v>2505</v>
      </c>
      <c r="G957" s="17" t="s">
        <v>1104</v>
      </c>
      <c r="H957" s="19"/>
    </row>
    <row r="958" customFormat="false" ht="15" hidden="false" customHeight="false" outlineLevel="0" collapsed="false">
      <c r="A958" s="19" t="s">
        <v>1389</v>
      </c>
      <c r="B958" s="19" t="s">
        <v>2587</v>
      </c>
      <c r="C958" s="19" t="n">
        <v>10</v>
      </c>
      <c r="D958" s="17" t="s">
        <v>734</v>
      </c>
      <c r="E958" s="19" t="n">
        <v>10.212</v>
      </c>
      <c r="F958" s="17" t="s">
        <v>2588</v>
      </c>
      <c r="G958" s="17" t="s">
        <v>1104</v>
      </c>
      <c r="H958" s="19"/>
    </row>
    <row r="959" customFormat="false" ht="15" hidden="false" customHeight="false" outlineLevel="0" collapsed="false">
      <c r="A959" s="19" t="s">
        <v>1389</v>
      </c>
      <c r="B959" s="19" t="s">
        <v>2589</v>
      </c>
      <c r="C959" s="19" t="n">
        <v>10</v>
      </c>
      <c r="D959" s="17" t="s">
        <v>2507</v>
      </c>
      <c r="E959" s="19" t="n">
        <v>46.057578</v>
      </c>
      <c r="F959" s="17" t="s">
        <v>2590</v>
      </c>
      <c r="G959" s="17" t="s">
        <v>1104</v>
      </c>
      <c r="H959" s="19"/>
    </row>
    <row r="960" customFormat="false" ht="15" hidden="false" customHeight="false" outlineLevel="0" collapsed="false">
      <c r="A960" s="19" t="s">
        <v>1389</v>
      </c>
      <c r="B960" s="19" t="s">
        <v>1841</v>
      </c>
      <c r="C960" s="19" t="n">
        <v>10</v>
      </c>
      <c r="D960" s="19" t="s">
        <v>2509</v>
      </c>
      <c r="E960" s="19" t="n">
        <v>6</v>
      </c>
      <c r="F960" s="17" t="s">
        <v>2510</v>
      </c>
      <c r="G960" s="17" t="s">
        <v>1104</v>
      </c>
      <c r="H960" s="19"/>
    </row>
    <row r="961" customFormat="false" ht="15" hidden="false" customHeight="false" outlineLevel="0" collapsed="false">
      <c r="A961" s="19" t="s">
        <v>1389</v>
      </c>
      <c r="B961" s="19" t="s">
        <v>1540</v>
      </c>
      <c r="C961" s="19" t="n">
        <v>10</v>
      </c>
      <c r="D961" s="17" t="s">
        <v>528</v>
      </c>
      <c r="E961" s="19" t="n">
        <v>0.7</v>
      </c>
      <c r="F961" s="17" t="s">
        <v>2511</v>
      </c>
      <c r="G961" s="17" t="s">
        <v>1104</v>
      </c>
      <c r="H961" s="19"/>
    </row>
    <row r="962" customFormat="false" ht="15" hidden="false" customHeight="false" outlineLevel="0" collapsed="false">
      <c r="A962" s="19" t="s">
        <v>1389</v>
      </c>
      <c r="B962" s="19" t="s">
        <v>2411</v>
      </c>
      <c r="C962" s="19" t="n">
        <v>10</v>
      </c>
      <c r="D962" s="17" t="s">
        <v>531</v>
      </c>
      <c r="E962" s="19" t="n">
        <v>0.06</v>
      </c>
      <c r="F962" s="17" t="s">
        <v>2512</v>
      </c>
      <c r="G962" s="17" t="s">
        <v>1104</v>
      </c>
      <c r="H962" s="19"/>
    </row>
    <row r="963" customFormat="false" ht="15" hidden="false" customHeight="false" outlineLevel="0" collapsed="false">
      <c r="A963" s="19" t="s">
        <v>1389</v>
      </c>
      <c r="B963" s="19" t="s">
        <v>2591</v>
      </c>
      <c r="C963" s="19" t="n">
        <v>10</v>
      </c>
      <c r="D963" s="19" t="s">
        <v>703</v>
      </c>
      <c r="E963" s="19" t="n">
        <v>1000</v>
      </c>
      <c r="F963" s="17" t="s">
        <v>2513</v>
      </c>
      <c r="G963" s="17" t="s">
        <v>1104</v>
      </c>
      <c r="H963" s="19"/>
    </row>
    <row r="964" customFormat="false" ht="15" hidden="false" customHeight="false" outlineLevel="0" collapsed="false">
      <c r="A964" s="19" t="s">
        <v>1389</v>
      </c>
      <c r="B964" s="19" t="s">
        <v>2592</v>
      </c>
      <c r="C964" s="19" t="n">
        <v>10</v>
      </c>
      <c r="D964" s="19" t="s">
        <v>525</v>
      </c>
      <c r="E964" s="19" t="n">
        <v>1.2</v>
      </c>
      <c r="F964" s="17" t="s">
        <v>2515</v>
      </c>
      <c r="G964" s="17" t="s">
        <v>1104</v>
      </c>
      <c r="H964" s="19"/>
    </row>
    <row r="965" customFormat="false" ht="15" hidden="false" customHeight="false" outlineLevel="0" collapsed="false">
      <c r="A965" s="19" t="s">
        <v>1389</v>
      </c>
      <c r="B965" s="19" t="s">
        <v>2593</v>
      </c>
      <c r="C965" s="19" t="n">
        <v>10</v>
      </c>
      <c r="D965" s="17" t="s">
        <v>734</v>
      </c>
      <c r="E965" s="19" t="n">
        <v>12.67</v>
      </c>
      <c r="F965" s="17" t="s">
        <v>2594</v>
      </c>
      <c r="G965" s="17" t="s">
        <v>1104</v>
      </c>
      <c r="H965" s="19"/>
    </row>
    <row r="966" customFormat="false" ht="15" hidden="false" customHeight="false" outlineLevel="0" collapsed="false">
      <c r="A966" s="19" t="s">
        <v>1389</v>
      </c>
      <c r="B966" s="19" t="s">
        <v>2595</v>
      </c>
      <c r="C966" s="19" t="n">
        <v>10</v>
      </c>
      <c r="D966" s="17" t="s">
        <v>2507</v>
      </c>
      <c r="E966" s="19" t="n">
        <v>62.75578</v>
      </c>
      <c r="F966" s="17" t="s">
        <v>2596</v>
      </c>
      <c r="G966" s="17" t="s">
        <v>1104</v>
      </c>
      <c r="H966" s="19"/>
    </row>
    <row r="967" customFormat="false" ht="15" hidden="false" customHeight="false" outlineLevel="0" collapsed="false">
      <c r="A967" s="19" t="s">
        <v>1389</v>
      </c>
      <c r="B967" s="19" t="s">
        <v>1857</v>
      </c>
      <c r="C967" s="19" t="n">
        <v>10</v>
      </c>
      <c r="D967" s="19" t="s">
        <v>2509</v>
      </c>
      <c r="E967" s="19" t="n">
        <v>6</v>
      </c>
      <c r="F967" s="17" t="s">
        <v>2519</v>
      </c>
      <c r="G967" s="17" t="s">
        <v>1104</v>
      </c>
      <c r="H967" s="19"/>
    </row>
    <row r="968" customFormat="false" ht="15" hidden="false" customHeight="false" outlineLevel="0" collapsed="false">
      <c r="A968" s="19" t="s">
        <v>1389</v>
      </c>
      <c r="B968" s="19" t="s">
        <v>1546</v>
      </c>
      <c r="C968" s="19" t="n">
        <v>10</v>
      </c>
      <c r="D968" s="17" t="s">
        <v>528</v>
      </c>
      <c r="E968" s="19" t="n">
        <v>0.8</v>
      </c>
      <c r="F968" s="17" t="s">
        <v>2520</v>
      </c>
      <c r="G968" s="17" t="s">
        <v>1104</v>
      </c>
      <c r="H968" s="19"/>
    </row>
    <row r="969" customFormat="false" ht="15" hidden="false" customHeight="false" outlineLevel="0" collapsed="false">
      <c r="A969" s="19" t="s">
        <v>1389</v>
      </c>
      <c r="B969" s="19" t="s">
        <v>2414</v>
      </c>
      <c r="C969" s="19" t="n">
        <v>10</v>
      </c>
      <c r="D969" s="17" t="s">
        <v>531</v>
      </c>
      <c r="E969" s="19" t="n">
        <v>0.08</v>
      </c>
      <c r="F969" s="17" t="s">
        <v>2521</v>
      </c>
      <c r="G969" s="17" t="s">
        <v>1104</v>
      </c>
      <c r="H969" s="19"/>
    </row>
    <row r="970" customFormat="false" ht="15" hidden="false" customHeight="false" outlineLevel="0" collapsed="false">
      <c r="A970" s="19" t="s">
        <v>1389</v>
      </c>
      <c r="B970" s="19" t="s">
        <v>2597</v>
      </c>
      <c r="C970" s="19" t="n">
        <v>10</v>
      </c>
      <c r="D970" s="19" t="s">
        <v>703</v>
      </c>
      <c r="E970" s="19" t="n">
        <v>1000</v>
      </c>
      <c r="F970" s="17" t="s">
        <v>2513</v>
      </c>
      <c r="G970" s="17" t="s">
        <v>1104</v>
      </c>
      <c r="H970" s="19"/>
    </row>
    <row r="971" customFormat="false" ht="15" hidden="false" customHeight="false" outlineLevel="0" collapsed="false">
      <c r="A971" s="19" t="s">
        <v>1389</v>
      </c>
      <c r="B971" s="19" t="s">
        <v>2598</v>
      </c>
      <c r="C971" s="19" t="n">
        <v>10</v>
      </c>
      <c r="D971" s="19" t="s">
        <v>525</v>
      </c>
      <c r="E971" s="19" t="n">
        <v>1.3</v>
      </c>
      <c r="F971" s="17" t="s">
        <v>2524</v>
      </c>
      <c r="G971" s="17" t="s">
        <v>1104</v>
      </c>
      <c r="H971" s="19"/>
    </row>
    <row r="972" customFormat="false" ht="15" hidden="false" customHeight="false" outlineLevel="0" collapsed="false">
      <c r="A972" s="19" t="s">
        <v>1389</v>
      </c>
      <c r="B972" s="19" t="s">
        <v>2599</v>
      </c>
      <c r="C972" s="19" t="n">
        <v>10</v>
      </c>
      <c r="D972" s="17" t="s">
        <v>734</v>
      </c>
      <c r="E972" s="19" t="n">
        <v>16.186</v>
      </c>
      <c r="F972" s="17" t="s">
        <v>2600</v>
      </c>
      <c r="G972" s="17" t="s">
        <v>1104</v>
      </c>
      <c r="H972" s="19"/>
    </row>
    <row r="973" customFormat="false" ht="15" hidden="false" customHeight="false" outlineLevel="0" collapsed="false">
      <c r="A973" s="19" t="s">
        <v>1389</v>
      </c>
      <c r="B973" s="19" t="s">
        <v>2601</v>
      </c>
      <c r="C973" s="19" t="n">
        <v>10</v>
      </c>
      <c r="D973" s="17" t="s">
        <v>2507</v>
      </c>
      <c r="E973" s="19" t="n">
        <v>81.667558</v>
      </c>
      <c r="F973" s="17" t="s">
        <v>2602</v>
      </c>
      <c r="G973" s="17" t="s">
        <v>1104</v>
      </c>
      <c r="H973" s="19"/>
    </row>
    <row r="974" customFormat="false" ht="15" hidden="false" customHeight="false" outlineLevel="0" collapsed="false">
      <c r="A974" s="19" t="s">
        <v>1389</v>
      </c>
      <c r="B974" s="19" t="s">
        <v>1873</v>
      </c>
      <c r="C974" s="19" t="n">
        <v>10</v>
      </c>
      <c r="D974" s="19" t="s">
        <v>2509</v>
      </c>
      <c r="E974" s="19" t="n">
        <v>4</v>
      </c>
      <c r="F974" s="17" t="s">
        <v>2528</v>
      </c>
      <c r="G974" s="17" t="s">
        <v>1104</v>
      </c>
      <c r="H974" s="19"/>
    </row>
    <row r="975" customFormat="false" ht="15" hidden="false" customHeight="false" outlineLevel="0" collapsed="false">
      <c r="A975" s="19" t="s">
        <v>1389</v>
      </c>
      <c r="B975" s="19" t="s">
        <v>1552</v>
      </c>
      <c r="C975" s="19" t="n">
        <v>10</v>
      </c>
      <c r="D975" s="17" t="s">
        <v>528</v>
      </c>
      <c r="E975" s="19" t="n">
        <v>0.9</v>
      </c>
      <c r="F975" s="17" t="s">
        <v>2529</v>
      </c>
      <c r="G975" s="17" t="s">
        <v>1104</v>
      </c>
      <c r="H975" s="19"/>
    </row>
    <row r="976" customFormat="false" ht="15" hidden="false" customHeight="false" outlineLevel="0" collapsed="false">
      <c r="A976" s="19" t="s">
        <v>1389</v>
      </c>
      <c r="B976" s="19" t="s">
        <v>2417</v>
      </c>
      <c r="C976" s="19" t="n">
        <v>10</v>
      </c>
      <c r="D976" s="17" t="s">
        <v>531</v>
      </c>
      <c r="E976" s="19" t="n">
        <v>0.1</v>
      </c>
      <c r="F976" s="17" t="s">
        <v>2530</v>
      </c>
      <c r="G976" s="17" t="s">
        <v>1104</v>
      </c>
      <c r="H976" s="19"/>
    </row>
    <row r="977" customFormat="false" ht="15" hidden="false" customHeight="false" outlineLevel="0" collapsed="false">
      <c r="A977" s="19" t="s">
        <v>1389</v>
      </c>
      <c r="B977" s="19" t="s">
        <v>2603</v>
      </c>
      <c r="C977" s="19" t="n">
        <v>10</v>
      </c>
      <c r="D977" s="19" t="s">
        <v>703</v>
      </c>
      <c r="E977" s="19" t="n">
        <v>1000</v>
      </c>
      <c r="F977" s="17" t="s">
        <v>2513</v>
      </c>
      <c r="G977" s="17" t="s">
        <v>1104</v>
      </c>
      <c r="H977" s="19"/>
    </row>
    <row r="978" customFormat="false" ht="15" hidden="false" customHeight="false" outlineLevel="0" collapsed="false">
      <c r="A978" s="55" t="s">
        <v>1465</v>
      </c>
      <c r="B978" s="55" t="s">
        <v>1317</v>
      </c>
      <c r="C978" s="55" t="n">
        <v>10</v>
      </c>
      <c r="D978" s="55" t="s">
        <v>2604</v>
      </c>
      <c r="E978" s="55" t="n">
        <v>0.08</v>
      </c>
      <c r="F978" s="55"/>
      <c r="G978" s="66" t="s">
        <v>1122</v>
      </c>
      <c r="H978" s="55" t="s">
        <v>140</v>
      </c>
    </row>
    <row r="979" customFormat="false" ht="15" hidden="false" customHeight="false" outlineLevel="0" collapsed="false">
      <c r="A979" s="19" t="s">
        <v>1465</v>
      </c>
      <c r="B979" s="19" t="s">
        <v>1285</v>
      </c>
      <c r="C979" s="19" t="n">
        <v>10</v>
      </c>
      <c r="D979" s="19" t="s">
        <v>2605</v>
      </c>
      <c r="E979" s="19" t="n">
        <v>0.0102443497224425</v>
      </c>
      <c r="F979" s="17" t="s">
        <v>2606</v>
      </c>
      <c r="G979" s="17" t="s">
        <v>1104</v>
      </c>
      <c r="H979" s="19" t="s">
        <v>278</v>
      </c>
    </row>
    <row r="980" customFormat="false" ht="15" hidden="false" customHeight="false" outlineLevel="0" collapsed="false">
      <c r="A980" s="55" t="s">
        <v>1465</v>
      </c>
      <c r="B980" s="55" t="s">
        <v>1267</v>
      </c>
      <c r="C980" s="55" t="n">
        <v>10</v>
      </c>
      <c r="D980" s="66" t="s">
        <v>585</v>
      </c>
      <c r="E980" s="55" t="n">
        <v>0.015</v>
      </c>
      <c r="F980" s="55"/>
      <c r="G980" s="66" t="s">
        <v>1122</v>
      </c>
      <c r="H980" s="55" t="s">
        <v>140</v>
      </c>
    </row>
    <row r="981" customFormat="false" ht="15" hidden="false" customHeight="false" outlineLevel="0" collapsed="false">
      <c r="A981" s="55" t="s">
        <v>1465</v>
      </c>
      <c r="B981" s="55" t="s">
        <v>1387</v>
      </c>
      <c r="C981" s="55" t="n">
        <v>10</v>
      </c>
      <c r="D981" s="66" t="s">
        <v>589</v>
      </c>
      <c r="E981" s="55" t="n">
        <v>50</v>
      </c>
      <c r="F981" s="55"/>
      <c r="G981" s="66" t="s">
        <v>1122</v>
      </c>
      <c r="H981" s="55" t="s">
        <v>140</v>
      </c>
    </row>
    <row r="982" customFormat="false" ht="15" hidden="false" customHeight="false" outlineLevel="0" collapsed="false">
      <c r="A982" s="55" t="s">
        <v>1465</v>
      </c>
      <c r="B982" s="55" t="s">
        <v>2517</v>
      </c>
      <c r="C982" s="55" t="n">
        <v>10</v>
      </c>
      <c r="D982" s="66" t="s">
        <v>593</v>
      </c>
      <c r="E982" s="55" t="n">
        <v>150</v>
      </c>
      <c r="F982" s="55"/>
      <c r="G982" s="66" t="s">
        <v>1122</v>
      </c>
      <c r="H982" s="55" t="s">
        <v>140</v>
      </c>
    </row>
    <row r="983" customFormat="false" ht="15" hidden="false" customHeight="false" outlineLevel="0" collapsed="false">
      <c r="A983" s="55" t="s">
        <v>1465</v>
      </c>
      <c r="B983" s="55" t="s">
        <v>2607</v>
      </c>
      <c r="C983" s="55" t="n">
        <v>10</v>
      </c>
      <c r="D983" s="66" t="s">
        <v>596</v>
      </c>
      <c r="E983" s="55" t="n">
        <v>0.04</v>
      </c>
      <c r="F983" s="55"/>
      <c r="G983" s="66" t="s">
        <v>1122</v>
      </c>
      <c r="H983" s="55" t="s">
        <v>140</v>
      </c>
    </row>
    <row r="984" customFormat="false" ht="15" hidden="false" customHeight="false" outlineLevel="0" collapsed="false">
      <c r="A984" s="55" t="s">
        <v>1465</v>
      </c>
      <c r="B984" s="55" t="s">
        <v>2608</v>
      </c>
      <c r="C984" s="55" t="n">
        <v>10</v>
      </c>
      <c r="D984" s="66" t="s">
        <v>600</v>
      </c>
      <c r="E984" s="55" t="n">
        <v>0.003</v>
      </c>
      <c r="F984" s="55"/>
      <c r="G984" s="66" t="s">
        <v>1122</v>
      </c>
      <c r="H984" s="55" t="s">
        <v>140</v>
      </c>
    </row>
    <row r="985" customFormat="false" ht="15" hidden="false" customHeight="false" outlineLevel="0" collapsed="false">
      <c r="A985" s="55" t="s">
        <v>1465</v>
      </c>
      <c r="B985" s="55" t="s">
        <v>1325</v>
      </c>
      <c r="C985" s="55" t="n">
        <v>10</v>
      </c>
      <c r="D985" s="55" t="s">
        <v>2604</v>
      </c>
      <c r="E985" s="55" t="n">
        <v>0.1</v>
      </c>
      <c r="F985" s="55"/>
      <c r="G985" s="66" t="s">
        <v>1122</v>
      </c>
      <c r="H985" s="55" t="s">
        <v>140</v>
      </c>
    </row>
    <row r="986" customFormat="false" ht="15" hidden="false" customHeight="false" outlineLevel="0" collapsed="false">
      <c r="A986" s="19" t="s">
        <v>1465</v>
      </c>
      <c r="B986" s="19" t="s">
        <v>1289</v>
      </c>
      <c r="C986" s="19" t="n">
        <v>10</v>
      </c>
      <c r="D986" s="19" t="s">
        <v>2605</v>
      </c>
      <c r="E986" s="19" t="n">
        <v>0.0157250107250107</v>
      </c>
      <c r="F986" s="17" t="s">
        <v>2609</v>
      </c>
      <c r="G986" s="17" t="s">
        <v>1104</v>
      </c>
      <c r="H986" s="19" t="s">
        <v>278</v>
      </c>
    </row>
    <row r="987" customFormat="false" ht="15" hidden="false" customHeight="false" outlineLevel="0" collapsed="false">
      <c r="A987" s="55" t="s">
        <v>1465</v>
      </c>
      <c r="B987" s="55" t="s">
        <v>1268</v>
      </c>
      <c r="C987" s="55" t="n">
        <v>10</v>
      </c>
      <c r="D987" s="66" t="s">
        <v>585</v>
      </c>
      <c r="E987" s="55" t="n">
        <v>0.02</v>
      </c>
      <c r="F987" s="55"/>
      <c r="G987" s="66" t="s">
        <v>1122</v>
      </c>
      <c r="H987" s="55" t="s">
        <v>140</v>
      </c>
    </row>
    <row r="988" customFormat="false" ht="15" hidden="false" customHeight="false" outlineLevel="0" collapsed="false">
      <c r="A988" s="55" t="s">
        <v>1465</v>
      </c>
      <c r="B988" s="55" t="s">
        <v>1388</v>
      </c>
      <c r="C988" s="55" t="n">
        <v>10</v>
      </c>
      <c r="D988" s="66" t="s">
        <v>589</v>
      </c>
      <c r="E988" s="55" t="n">
        <v>75</v>
      </c>
      <c r="F988" s="55"/>
      <c r="G988" s="66" t="s">
        <v>1122</v>
      </c>
      <c r="H988" s="55" t="s">
        <v>140</v>
      </c>
    </row>
    <row r="989" customFormat="false" ht="15" hidden="false" customHeight="false" outlineLevel="0" collapsed="false">
      <c r="A989" s="55" t="s">
        <v>1465</v>
      </c>
      <c r="B989" s="55" t="s">
        <v>2526</v>
      </c>
      <c r="C989" s="55" t="n">
        <v>10</v>
      </c>
      <c r="D989" s="66" t="s">
        <v>593</v>
      </c>
      <c r="E989" s="55" t="n">
        <v>200</v>
      </c>
      <c r="F989" s="55"/>
      <c r="G989" s="66" t="s">
        <v>1122</v>
      </c>
      <c r="H989" s="55" t="s">
        <v>140</v>
      </c>
    </row>
    <row r="990" customFormat="false" ht="15" hidden="false" customHeight="false" outlineLevel="0" collapsed="false">
      <c r="A990" s="55" t="s">
        <v>1465</v>
      </c>
      <c r="B990" s="55" t="s">
        <v>2610</v>
      </c>
      <c r="C990" s="55" t="n">
        <v>10</v>
      </c>
      <c r="D990" s="66" t="s">
        <v>596</v>
      </c>
      <c r="E990" s="55" t="n">
        <v>0.05</v>
      </c>
      <c r="F990" s="55"/>
      <c r="G990" s="66" t="s">
        <v>1122</v>
      </c>
      <c r="H990" s="55" t="s">
        <v>140</v>
      </c>
    </row>
    <row r="991" customFormat="false" ht="15" hidden="false" customHeight="false" outlineLevel="0" collapsed="false">
      <c r="A991" s="55" t="s">
        <v>1465</v>
      </c>
      <c r="B991" s="55" t="s">
        <v>2611</v>
      </c>
      <c r="C991" s="55" t="n">
        <v>10</v>
      </c>
      <c r="D991" s="66" t="s">
        <v>600</v>
      </c>
      <c r="E991" s="55" t="n">
        <v>0.005</v>
      </c>
      <c r="F991" s="55"/>
      <c r="G991" s="66" t="s">
        <v>1122</v>
      </c>
      <c r="H991" s="55" t="s">
        <v>140</v>
      </c>
    </row>
    <row r="992" customFormat="false" ht="15" hidden="false" customHeight="false" outlineLevel="0" collapsed="false">
      <c r="A992" s="55" t="s">
        <v>1465</v>
      </c>
      <c r="B992" s="55" t="s">
        <v>1333</v>
      </c>
      <c r="C992" s="55" t="n">
        <v>10</v>
      </c>
      <c r="D992" s="55" t="s">
        <v>2604</v>
      </c>
      <c r="E992" s="55" t="n">
        <v>0.13</v>
      </c>
      <c r="F992" s="55"/>
      <c r="G992" s="66" t="s">
        <v>1122</v>
      </c>
      <c r="H992" s="55" t="s">
        <v>140</v>
      </c>
    </row>
    <row r="993" customFormat="false" ht="15" hidden="false" customHeight="false" outlineLevel="0" collapsed="false">
      <c r="A993" s="19" t="s">
        <v>1465</v>
      </c>
      <c r="B993" s="19" t="s">
        <v>1293</v>
      </c>
      <c r="C993" s="19" t="n">
        <v>10</v>
      </c>
      <c r="D993" s="19" t="s">
        <v>2605</v>
      </c>
      <c r="E993" s="19" t="n">
        <v>0.0182477678962645</v>
      </c>
      <c r="F993" s="17" t="s">
        <v>2612</v>
      </c>
      <c r="G993" s="17" t="s">
        <v>1104</v>
      </c>
      <c r="H993" s="19" t="s">
        <v>278</v>
      </c>
    </row>
    <row r="994" customFormat="false" ht="15" hidden="false" customHeight="false" outlineLevel="0" collapsed="false">
      <c r="A994" s="55" t="s">
        <v>1465</v>
      </c>
      <c r="B994" s="55" t="s">
        <v>1484</v>
      </c>
      <c r="C994" s="55" t="n">
        <v>10</v>
      </c>
      <c r="D994" s="66" t="s">
        <v>585</v>
      </c>
      <c r="E994" s="55" t="n">
        <v>0.025</v>
      </c>
      <c r="F994" s="55"/>
      <c r="G994" s="66" t="s">
        <v>1122</v>
      </c>
      <c r="H994" s="55" t="s">
        <v>140</v>
      </c>
    </row>
    <row r="995" customFormat="false" ht="15" hidden="false" customHeight="false" outlineLevel="0" collapsed="false">
      <c r="A995" s="55" t="s">
        <v>1465</v>
      </c>
      <c r="B995" s="55" t="s">
        <v>2533</v>
      </c>
      <c r="C995" s="55" t="n">
        <v>10</v>
      </c>
      <c r="D995" s="66" t="s">
        <v>589</v>
      </c>
      <c r="E995" s="55" t="n">
        <v>100</v>
      </c>
      <c r="F995" s="55"/>
      <c r="G995" s="66" t="s">
        <v>1122</v>
      </c>
      <c r="H995" s="55" t="s">
        <v>140</v>
      </c>
    </row>
    <row r="996" customFormat="false" ht="15" hidden="false" customHeight="false" outlineLevel="0" collapsed="false">
      <c r="A996" s="55" t="s">
        <v>1465</v>
      </c>
      <c r="B996" s="55" t="s">
        <v>2535</v>
      </c>
      <c r="C996" s="55" t="n">
        <v>10</v>
      </c>
      <c r="D996" s="66" t="s">
        <v>593</v>
      </c>
      <c r="E996" s="55" t="n">
        <v>250</v>
      </c>
      <c r="F996" s="55"/>
      <c r="G996" s="66" t="s">
        <v>1122</v>
      </c>
      <c r="H996" s="55" t="s">
        <v>140</v>
      </c>
    </row>
    <row r="997" customFormat="false" ht="15" hidden="false" customHeight="false" outlineLevel="0" collapsed="false">
      <c r="A997" s="55" t="s">
        <v>1465</v>
      </c>
      <c r="B997" s="55" t="s">
        <v>2613</v>
      </c>
      <c r="C997" s="55" t="n">
        <v>10</v>
      </c>
      <c r="D997" s="66" t="s">
        <v>596</v>
      </c>
      <c r="E997" s="55" t="n">
        <v>0.06</v>
      </c>
      <c r="F997" s="55"/>
      <c r="G997" s="66" t="s">
        <v>1122</v>
      </c>
      <c r="H997" s="55" t="s">
        <v>140</v>
      </c>
    </row>
    <row r="998" customFormat="false" ht="15" hidden="false" customHeight="false" outlineLevel="0" collapsed="false">
      <c r="A998" s="55" t="s">
        <v>1465</v>
      </c>
      <c r="B998" s="55" t="s">
        <v>2614</v>
      </c>
      <c r="C998" s="55" t="n">
        <v>10</v>
      </c>
      <c r="D998" s="66" t="s">
        <v>600</v>
      </c>
      <c r="E998" s="55" t="n">
        <v>0.008</v>
      </c>
      <c r="F998" s="55"/>
      <c r="G998" s="66" t="s">
        <v>1122</v>
      </c>
      <c r="H998" s="55" t="s">
        <v>140</v>
      </c>
    </row>
    <row r="999" customFormat="false" ht="15" hidden="false" customHeight="false" outlineLevel="0" collapsed="false">
      <c r="A999" s="19" t="s">
        <v>2615</v>
      </c>
      <c r="B999" s="19" t="s">
        <v>2041</v>
      </c>
      <c r="C999" s="19" t="n">
        <v>10</v>
      </c>
      <c r="D999" s="17" t="s">
        <v>2616</v>
      </c>
      <c r="E999" s="19" t="n">
        <v>22439</v>
      </c>
      <c r="F999" s="17" t="s">
        <v>2617</v>
      </c>
      <c r="G999" s="17" t="s">
        <v>1104</v>
      </c>
      <c r="H999" s="19"/>
    </row>
    <row r="1000" customFormat="false" ht="15" hidden="false" customHeight="false" outlineLevel="0" collapsed="false">
      <c r="A1000" s="19" t="s">
        <v>2615</v>
      </c>
      <c r="B1000" s="19" t="s">
        <v>2454</v>
      </c>
      <c r="C1000" s="19" t="n">
        <v>10</v>
      </c>
      <c r="D1000" s="17" t="s">
        <v>2455</v>
      </c>
      <c r="E1000" s="19" t="n">
        <v>112228240510.472</v>
      </c>
      <c r="F1000" s="17" t="s">
        <v>2618</v>
      </c>
      <c r="G1000" s="17" t="s">
        <v>1104</v>
      </c>
      <c r="H1000" s="19"/>
    </row>
    <row r="1001" customFormat="false" ht="15" hidden="false" customHeight="false" outlineLevel="0" collapsed="false">
      <c r="A1001" s="19" t="s">
        <v>2615</v>
      </c>
      <c r="B1001" s="19" t="s">
        <v>2063</v>
      </c>
      <c r="C1001" s="19" t="n">
        <v>10</v>
      </c>
      <c r="D1001" s="17" t="s">
        <v>2616</v>
      </c>
      <c r="E1001" s="19" t="n">
        <v>22439</v>
      </c>
      <c r="F1001" s="17" t="s">
        <v>2619</v>
      </c>
      <c r="G1001" s="17" t="s">
        <v>1104</v>
      </c>
      <c r="H1001" s="19"/>
    </row>
    <row r="1002" customFormat="false" ht="15" hidden="false" customHeight="false" outlineLevel="0" collapsed="false">
      <c r="A1002" s="19" t="s">
        <v>2615</v>
      </c>
      <c r="B1002" s="19" t="s">
        <v>2457</v>
      </c>
      <c r="C1002" s="19" t="n">
        <v>10</v>
      </c>
      <c r="D1002" s="17" t="s">
        <v>2455</v>
      </c>
      <c r="E1002" s="19" t="n">
        <v>33634916325.118</v>
      </c>
      <c r="F1002" s="17" t="s">
        <v>2620</v>
      </c>
      <c r="G1002" s="17" t="s">
        <v>1104</v>
      </c>
      <c r="H1002" s="19"/>
    </row>
    <row r="1003" customFormat="false" ht="15" hidden="false" customHeight="false" outlineLevel="0" collapsed="false">
      <c r="A1003" s="19" t="s">
        <v>2615</v>
      </c>
      <c r="B1003" s="19" t="s">
        <v>2083</v>
      </c>
      <c r="C1003" s="19" t="n">
        <v>10</v>
      </c>
      <c r="D1003" s="17" t="s">
        <v>2616</v>
      </c>
      <c r="E1003" s="19" t="n">
        <v>22439</v>
      </c>
      <c r="F1003" s="17" t="s">
        <v>2621</v>
      </c>
      <c r="G1003" s="17" t="s">
        <v>1104</v>
      </c>
      <c r="H1003" s="19"/>
    </row>
    <row r="1004" customFormat="false" ht="15" hidden="false" customHeight="false" outlineLevel="0" collapsed="false">
      <c r="A1004" s="19" t="s">
        <v>2615</v>
      </c>
      <c r="B1004" s="19" t="s">
        <v>2459</v>
      </c>
      <c r="C1004" s="19" t="n">
        <v>10</v>
      </c>
      <c r="D1004" s="17" t="s">
        <v>2455</v>
      </c>
      <c r="E1004" s="19" t="n">
        <v>6809025705.99183</v>
      </c>
      <c r="F1004" s="17" t="s">
        <v>2622</v>
      </c>
      <c r="G1004" s="17" t="s">
        <v>1104</v>
      </c>
      <c r="H1004" s="19"/>
    </row>
    <row r="1005" customFormat="false" ht="15" hidden="false" customHeight="false" outlineLevel="0" collapsed="false">
      <c r="A1005" s="19" t="s">
        <v>2615</v>
      </c>
      <c r="B1005" s="19" t="s">
        <v>2103</v>
      </c>
      <c r="C1005" s="19" t="n">
        <v>10</v>
      </c>
      <c r="D1005" s="17" t="s">
        <v>2616</v>
      </c>
      <c r="E1005" s="19" t="n">
        <v>6969</v>
      </c>
      <c r="F1005" s="17" t="s">
        <v>2623</v>
      </c>
      <c r="G1005" s="17" t="s">
        <v>1104</v>
      </c>
      <c r="H1005" s="19"/>
    </row>
    <row r="1006" customFormat="false" ht="15" hidden="false" customHeight="false" outlineLevel="0" collapsed="false">
      <c r="A1006" s="19" t="s">
        <v>2615</v>
      </c>
      <c r="B1006" s="19" t="s">
        <v>2461</v>
      </c>
      <c r="C1006" s="19" t="n">
        <v>10</v>
      </c>
      <c r="D1006" s="17" t="s">
        <v>2455</v>
      </c>
      <c r="E1006" s="19" t="n">
        <v>557838911578.971</v>
      </c>
      <c r="F1006" s="17" t="s">
        <v>2624</v>
      </c>
      <c r="G1006" s="17" t="s">
        <v>1104</v>
      </c>
      <c r="H1006" s="19"/>
    </row>
    <row r="1007" customFormat="false" ht="15" hidden="false" customHeight="false" outlineLevel="0" collapsed="false">
      <c r="A1007" s="19" t="s">
        <v>2615</v>
      </c>
      <c r="B1007" s="19" t="s">
        <v>2121</v>
      </c>
      <c r="C1007" s="19" t="n">
        <v>10</v>
      </c>
      <c r="D1007" s="17" t="s">
        <v>2616</v>
      </c>
      <c r="E1007" s="19" t="n">
        <v>6969</v>
      </c>
      <c r="F1007" s="17" t="s">
        <v>2625</v>
      </c>
      <c r="G1007" s="17" t="s">
        <v>1104</v>
      </c>
      <c r="H1007" s="19"/>
    </row>
    <row r="1008" customFormat="false" ht="15" hidden="false" customHeight="false" outlineLevel="0" collapsed="false">
      <c r="A1008" s="19" t="s">
        <v>2615</v>
      </c>
      <c r="B1008" s="19" t="s">
        <v>2463</v>
      </c>
      <c r="C1008" s="19" t="n">
        <v>10</v>
      </c>
      <c r="D1008" s="17" t="s">
        <v>2455</v>
      </c>
      <c r="E1008" s="19" t="n">
        <v>163715850475.954</v>
      </c>
      <c r="F1008" s="17" t="s">
        <v>2626</v>
      </c>
      <c r="G1008" s="17" t="s">
        <v>1104</v>
      </c>
      <c r="H1008" s="19"/>
    </row>
    <row r="1009" customFormat="false" ht="15" hidden="false" customHeight="false" outlineLevel="0" collapsed="false">
      <c r="A1009" s="19" t="s">
        <v>2615</v>
      </c>
      <c r="B1009" s="19" t="s">
        <v>2144</v>
      </c>
      <c r="C1009" s="19" t="n">
        <v>10</v>
      </c>
      <c r="D1009" s="17" t="s">
        <v>2616</v>
      </c>
      <c r="E1009" s="19" t="n">
        <v>6969</v>
      </c>
      <c r="F1009" s="17" t="s">
        <v>2627</v>
      </c>
      <c r="G1009" s="17" t="s">
        <v>1104</v>
      </c>
      <c r="H1009" s="19"/>
    </row>
    <row r="1010" customFormat="false" ht="15" hidden="false" customHeight="false" outlineLevel="0" collapsed="false">
      <c r="A1010" s="19" t="s">
        <v>2615</v>
      </c>
      <c r="B1010" s="19" t="s">
        <v>2465</v>
      </c>
      <c r="C1010" s="19" t="n">
        <v>10</v>
      </c>
      <c r="D1010" s="17" t="s">
        <v>2455</v>
      </c>
      <c r="E1010" s="19" t="n">
        <v>33674781620.6943</v>
      </c>
      <c r="F1010" s="17" t="s">
        <v>2628</v>
      </c>
      <c r="G1010" s="17" t="s">
        <v>1104</v>
      </c>
      <c r="H1010" s="19"/>
    </row>
    <row r="1011" customFormat="false" ht="15" hidden="false" customHeight="false" outlineLevel="0" collapsed="false">
      <c r="A1011" s="19" t="s">
        <v>2615</v>
      </c>
      <c r="B1011" s="19" t="s">
        <v>2167</v>
      </c>
      <c r="C1011" s="19" t="n">
        <v>10</v>
      </c>
      <c r="D1011" s="17" t="s">
        <v>2616</v>
      </c>
      <c r="E1011" s="19" t="n">
        <v>6764</v>
      </c>
      <c r="F1011" s="17" t="s">
        <v>2629</v>
      </c>
      <c r="G1011" s="17" t="s">
        <v>1104</v>
      </c>
      <c r="H1011" s="19"/>
    </row>
    <row r="1012" customFormat="false" ht="15" hidden="false" customHeight="false" outlineLevel="0" collapsed="false">
      <c r="A1012" s="19" t="s">
        <v>2615</v>
      </c>
      <c r="B1012" s="19" t="s">
        <v>2467</v>
      </c>
      <c r="C1012" s="19" t="n">
        <v>10</v>
      </c>
      <c r="D1012" s="17" t="s">
        <v>2455</v>
      </c>
      <c r="E1012" s="19" t="n">
        <v>723176042011.176</v>
      </c>
      <c r="F1012" s="17" t="s">
        <v>2630</v>
      </c>
      <c r="G1012" s="17" t="s">
        <v>1104</v>
      </c>
      <c r="H1012" s="19"/>
    </row>
    <row r="1013" customFormat="false" ht="15" hidden="false" customHeight="false" outlineLevel="0" collapsed="false">
      <c r="A1013" s="19" t="s">
        <v>2615</v>
      </c>
      <c r="B1013" s="19" t="s">
        <v>2190</v>
      </c>
      <c r="C1013" s="19" t="n">
        <v>10</v>
      </c>
      <c r="D1013" s="17" t="s">
        <v>2616</v>
      </c>
      <c r="E1013" s="19" t="n">
        <v>6764</v>
      </c>
      <c r="F1013" s="17" t="s">
        <v>2631</v>
      </c>
      <c r="G1013" s="17" t="s">
        <v>1104</v>
      </c>
      <c r="H1013" s="19"/>
    </row>
    <row r="1014" customFormat="false" ht="15" hidden="false" customHeight="false" outlineLevel="0" collapsed="false">
      <c r="A1014" s="19" t="s">
        <v>2615</v>
      </c>
      <c r="B1014" s="19" t="s">
        <v>2469</v>
      </c>
      <c r="C1014" s="19" t="n">
        <v>10</v>
      </c>
      <c r="D1014" s="17" t="s">
        <v>2455</v>
      </c>
      <c r="E1014" s="19" t="n">
        <v>212334321421.888</v>
      </c>
      <c r="F1014" s="17" t="s">
        <v>2632</v>
      </c>
      <c r="G1014" s="17" t="s">
        <v>1104</v>
      </c>
      <c r="H1014" s="19"/>
    </row>
    <row r="1015" customFormat="false" ht="15" hidden="false" customHeight="false" outlineLevel="0" collapsed="false">
      <c r="A1015" s="19" t="s">
        <v>2615</v>
      </c>
      <c r="B1015" s="19" t="s">
        <v>2213</v>
      </c>
      <c r="C1015" s="19" t="n">
        <v>10</v>
      </c>
      <c r="D1015" s="17" t="s">
        <v>2616</v>
      </c>
      <c r="E1015" s="19" t="n">
        <v>6764</v>
      </c>
      <c r="F1015" s="17" t="s">
        <v>2633</v>
      </c>
      <c r="G1015" s="17" t="s">
        <v>1104</v>
      </c>
      <c r="H1015" s="19"/>
    </row>
    <row r="1016" customFormat="false" ht="15" hidden="false" customHeight="false" outlineLevel="0" collapsed="false">
      <c r="A1016" s="19" t="s">
        <v>2615</v>
      </c>
      <c r="B1016" s="19" t="s">
        <v>2471</v>
      </c>
      <c r="C1016" s="19" t="n">
        <v>10</v>
      </c>
      <c r="D1016" s="17" t="s">
        <v>2455</v>
      </c>
      <c r="E1016" s="19" t="n">
        <v>39257828144.5082</v>
      </c>
      <c r="F1016" s="17" t="s">
        <v>2634</v>
      </c>
      <c r="G1016" s="17" t="s">
        <v>1104</v>
      </c>
      <c r="H1016" s="19"/>
    </row>
    <row r="1017" customFormat="false" ht="15" hidden="false" customHeight="false" outlineLevel="0" collapsed="false">
      <c r="A1017" s="19" t="s">
        <v>2615</v>
      </c>
      <c r="B1017" s="19" t="s">
        <v>2236</v>
      </c>
      <c r="C1017" s="19" t="n">
        <v>10</v>
      </c>
      <c r="D1017" s="17" t="s">
        <v>2616</v>
      </c>
      <c r="E1017" s="19" t="n">
        <v>4052</v>
      </c>
      <c r="F1017" s="17" t="s">
        <v>2635</v>
      </c>
      <c r="G1017" s="17" t="s">
        <v>1104</v>
      </c>
      <c r="H1017" s="19"/>
    </row>
    <row r="1018" customFormat="false" ht="15" hidden="false" customHeight="false" outlineLevel="0" collapsed="false">
      <c r="A1018" s="19" t="s">
        <v>2615</v>
      </c>
      <c r="B1018" s="19" t="s">
        <v>2473</v>
      </c>
      <c r="C1018" s="19" t="n">
        <v>10</v>
      </c>
      <c r="D1018" s="17" t="s">
        <v>2455</v>
      </c>
      <c r="E1018" s="19" t="n">
        <v>1043267705667.06</v>
      </c>
      <c r="F1018" s="17" t="s">
        <v>2636</v>
      </c>
      <c r="G1018" s="17" t="s">
        <v>1104</v>
      </c>
      <c r="H1018" s="19"/>
    </row>
    <row r="1019" customFormat="false" ht="15" hidden="false" customHeight="false" outlineLevel="0" collapsed="false">
      <c r="A1019" s="19" t="s">
        <v>2615</v>
      </c>
      <c r="B1019" s="19" t="s">
        <v>2259</v>
      </c>
      <c r="C1019" s="19" t="n">
        <v>10</v>
      </c>
      <c r="D1019" s="17" t="s">
        <v>2616</v>
      </c>
      <c r="E1019" s="19" t="n">
        <v>4052</v>
      </c>
      <c r="F1019" s="17" t="s">
        <v>2637</v>
      </c>
      <c r="G1019" s="17" t="s">
        <v>1104</v>
      </c>
      <c r="H1019" s="19"/>
    </row>
    <row r="1020" customFormat="false" ht="15" hidden="false" customHeight="false" outlineLevel="0" collapsed="false">
      <c r="A1020" s="19" t="s">
        <v>2615</v>
      </c>
      <c r="B1020" s="19" t="s">
        <v>2475</v>
      </c>
      <c r="C1020" s="19" t="n">
        <v>10</v>
      </c>
      <c r="D1020" s="17" t="s">
        <v>2455</v>
      </c>
      <c r="E1020" s="19" t="n">
        <v>318984897819.054</v>
      </c>
      <c r="F1020" s="17" t="s">
        <v>2638</v>
      </c>
      <c r="G1020" s="17" t="s">
        <v>1104</v>
      </c>
      <c r="H1020" s="19"/>
    </row>
    <row r="1021" customFormat="false" ht="15" hidden="false" customHeight="false" outlineLevel="0" collapsed="false">
      <c r="A1021" s="19" t="s">
        <v>2615</v>
      </c>
      <c r="B1021" s="19" t="s">
        <v>2282</v>
      </c>
      <c r="C1021" s="19" t="n">
        <v>10</v>
      </c>
      <c r="D1021" s="17" t="s">
        <v>2616</v>
      </c>
      <c r="E1021" s="19" t="n">
        <v>4052</v>
      </c>
      <c r="F1021" s="17" t="s">
        <v>2639</v>
      </c>
      <c r="G1021" s="17" t="s">
        <v>1104</v>
      </c>
      <c r="H1021" s="19"/>
    </row>
    <row r="1022" customFormat="false" ht="15" hidden="false" customHeight="false" outlineLevel="0" collapsed="false">
      <c r="A1022" s="19" t="s">
        <v>2615</v>
      </c>
      <c r="B1022" s="19" t="s">
        <v>2477</v>
      </c>
      <c r="C1022" s="19" t="n">
        <v>10</v>
      </c>
      <c r="D1022" s="17" t="s">
        <v>2455</v>
      </c>
      <c r="E1022" s="19" t="n">
        <v>69625193603.6778</v>
      </c>
      <c r="F1022" s="17" t="s">
        <v>2640</v>
      </c>
      <c r="G1022" s="17" t="s">
        <v>1104</v>
      </c>
      <c r="H1022" s="19"/>
    </row>
    <row r="1023" customFormat="false" ht="15" hidden="false" customHeight="false" outlineLevel="0" collapsed="false">
      <c r="A1023" s="19" t="s">
        <v>2615</v>
      </c>
      <c r="B1023" s="19" t="s">
        <v>2305</v>
      </c>
      <c r="C1023" s="19" t="n">
        <v>10</v>
      </c>
      <c r="D1023" s="17" t="s">
        <v>2616</v>
      </c>
      <c r="E1023" s="19" t="n">
        <v>2705</v>
      </c>
      <c r="F1023" s="17" t="s">
        <v>2641</v>
      </c>
      <c r="G1023" s="17" t="s">
        <v>1104</v>
      </c>
      <c r="H1023" s="19"/>
    </row>
    <row r="1024" customFormat="false" ht="15" hidden="false" customHeight="false" outlineLevel="0" collapsed="false">
      <c r="A1024" s="19" t="s">
        <v>2615</v>
      </c>
      <c r="B1024" s="19" t="s">
        <v>2479</v>
      </c>
      <c r="C1024" s="19" t="n">
        <v>10</v>
      </c>
      <c r="D1024" s="17" t="s">
        <v>2455</v>
      </c>
      <c r="E1024" s="19" t="n">
        <v>1404587982526.55</v>
      </c>
      <c r="F1024" s="17" t="s">
        <v>2642</v>
      </c>
      <c r="G1024" s="17" t="s">
        <v>1104</v>
      </c>
      <c r="H1024" s="19"/>
    </row>
    <row r="1025" customFormat="false" ht="15" hidden="false" customHeight="false" outlineLevel="0" collapsed="false">
      <c r="A1025" s="19" t="s">
        <v>2615</v>
      </c>
      <c r="B1025" s="19" t="s">
        <v>2328</v>
      </c>
      <c r="C1025" s="19" t="n">
        <v>10</v>
      </c>
      <c r="D1025" s="17" t="s">
        <v>2616</v>
      </c>
      <c r="E1025" s="19" t="n">
        <v>2705</v>
      </c>
      <c r="F1025" s="17" t="s">
        <v>2643</v>
      </c>
      <c r="G1025" s="17" t="s">
        <v>1104</v>
      </c>
      <c r="H1025" s="19"/>
    </row>
    <row r="1026" customFormat="false" ht="15" hidden="false" customHeight="false" outlineLevel="0" collapsed="false">
      <c r="A1026" s="19" t="s">
        <v>2615</v>
      </c>
      <c r="B1026" s="19" t="s">
        <v>2481</v>
      </c>
      <c r="C1026" s="19" t="n">
        <v>10</v>
      </c>
      <c r="D1026" s="17" t="s">
        <v>2455</v>
      </c>
      <c r="E1026" s="19" t="n">
        <v>434380455314.928</v>
      </c>
      <c r="F1026" s="17" t="s">
        <v>2644</v>
      </c>
      <c r="G1026" s="17" t="s">
        <v>1104</v>
      </c>
      <c r="H1026" s="19"/>
    </row>
    <row r="1027" customFormat="false" ht="15" hidden="false" customHeight="false" outlineLevel="0" collapsed="false">
      <c r="A1027" s="19" t="s">
        <v>2615</v>
      </c>
      <c r="B1027" s="19" t="s">
        <v>2351</v>
      </c>
      <c r="C1027" s="19" t="n">
        <v>10</v>
      </c>
      <c r="D1027" s="17" t="s">
        <v>2616</v>
      </c>
      <c r="E1027" s="19" t="n">
        <v>2705</v>
      </c>
      <c r="F1027" s="17" t="s">
        <v>2645</v>
      </c>
      <c r="G1027" s="17" t="s">
        <v>1104</v>
      </c>
      <c r="H1027" s="19"/>
    </row>
    <row r="1028" customFormat="false" ht="15" hidden="false" customHeight="false" outlineLevel="0" collapsed="false">
      <c r="A1028" s="19" t="s">
        <v>2615</v>
      </c>
      <c r="B1028" s="19" t="s">
        <v>2483</v>
      </c>
      <c r="C1028" s="19" t="n">
        <v>10</v>
      </c>
      <c r="D1028" s="17" t="s">
        <v>2455</v>
      </c>
      <c r="E1028" s="19" t="n">
        <v>98521567397.5749</v>
      </c>
      <c r="F1028" s="17" t="s">
        <v>2646</v>
      </c>
      <c r="G1028" s="17" t="s">
        <v>1104</v>
      </c>
      <c r="H1028" s="19"/>
    </row>
    <row r="1029" customFormat="false" ht="15" hidden="false" customHeight="false" outlineLevel="0" collapsed="false">
      <c r="A1029" s="19" t="s">
        <v>2453</v>
      </c>
      <c r="B1029" s="19" t="s">
        <v>2647</v>
      </c>
      <c r="C1029" s="19" t="n">
        <v>10</v>
      </c>
      <c r="D1029" s="17" t="s">
        <v>2648</v>
      </c>
      <c r="E1029" s="19" t="n">
        <v>122107.889753965</v>
      </c>
      <c r="F1029" s="17" t="s">
        <v>2649</v>
      </c>
      <c r="G1029" s="17" t="s">
        <v>1104</v>
      </c>
      <c r="H1029" s="19"/>
    </row>
    <row r="1030" customFormat="false" ht="15" hidden="false" customHeight="false" outlineLevel="0" collapsed="false">
      <c r="A1030" s="19" t="s">
        <v>2453</v>
      </c>
      <c r="B1030" s="19" t="s">
        <v>2650</v>
      </c>
      <c r="C1030" s="19" t="n">
        <v>10</v>
      </c>
      <c r="D1030" s="17" t="s">
        <v>2648</v>
      </c>
      <c r="E1030" s="19" t="n">
        <v>37861.9729294478</v>
      </c>
      <c r="F1030" s="17" t="s">
        <v>2651</v>
      </c>
      <c r="G1030" s="17" t="s">
        <v>1104</v>
      </c>
      <c r="H1030" s="19"/>
    </row>
    <row r="1031" customFormat="false" ht="15" hidden="false" customHeight="false" outlineLevel="0" collapsed="false">
      <c r="A1031" s="19" t="s">
        <v>2453</v>
      </c>
      <c r="B1031" s="19" t="s">
        <v>2652</v>
      </c>
      <c r="C1031" s="19" t="n">
        <v>10</v>
      </c>
      <c r="D1031" s="17" t="s">
        <v>2648</v>
      </c>
      <c r="E1031" s="19" t="n">
        <v>6955.79024662274</v>
      </c>
      <c r="F1031" s="17" t="s">
        <v>2653</v>
      </c>
      <c r="G1031" s="17" t="s">
        <v>1104</v>
      </c>
      <c r="H1031" s="19"/>
    </row>
    <row r="1032" customFormat="false" ht="15" hidden="false" customHeight="false" outlineLevel="0" collapsed="false">
      <c r="A1032" s="19" t="s">
        <v>2453</v>
      </c>
      <c r="B1032" s="19" t="s">
        <v>2654</v>
      </c>
      <c r="C1032" s="19" t="n">
        <v>10</v>
      </c>
      <c r="D1032" s="17" t="s">
        <v>2648</v>
      </c>
      <c r="E1032" s="19" t="n">
        <v>2047816.29989893</v>
      </c>
      <c r="F1032" s="17" t="s">
        <v>2655</v>
      </c>
      <c r="G1032" s="17" t="s">
        <v>1104</v>
      </c>
      <c r="H1032" s="19"/>
    </row>
    <row r="1033" customFormat="false" ht="15" hidden="false" customHeight="false" outlineLevel="0" collapsed="false">
      <c r="A1033" s="19" t="s">
        <v>2453</v>
      </c>
      <c r="B1033" s="19" t="s">
        <v>2656</v>
      </c>
      <c r="C1033" s="19" t="n">
        <v>10</v>
      </c>
      <c r="D1033" s="17" t="s">
        <v>2648</v>
      </c>
      <c r="E1033" s="19" t="n">
        <v>610678.2995622</v>
      </c>
      <c r="F1033" s="17" t="s">
        <v>2657</v>
      </c>
      <c r="G1033" s="17" t="s">
        <v>1104</v>
      </c>
      <c r="H1033" s="19"/>
    </row>
    <row r="1034" customFormat="false" ht="15" hidden="false" customHeight="false" outlineLevel="0" collapsed="false">
      <c r="A1034" s="19" t="s">
        <v>2453</v>
      </c>
      <c r="B1034" s="19" t="s">
        <v>2658</v>
      </c>
      <c r="C1034" s="19" t="n">
        <v>10</v>
      </c>
      <c r="D1034" s="17" t="s">
        <v>2648</v>
      </c>
      <c r="E1034" s="19" t="n">
        <v>120371.263581122</v>
      </c>
      <c r="F1034" s="17" t="s">
        <v>2659</v>
      </c>
      <c r="G1034" s="17" t="s">
        <v>1104</v>
      </c>
      <c r="H1034" s="19"/>
    </row>
    <row r="1035" customFormat="false" ht="15" hidden="false" customHeight="false" outlineLevel="0" collapsed="false">
      <c r="A1035" s="19" t="s">
        <v>2453</v>
      </c>
      <c r="B1035" s="19" t="s">
        <v>2660</v>
      </c>
      <c r="C1035" s="19" t="n">
        <v>10</v>
      </c>
      <c r="D1035" s="17" t="s">
        <v>2648</v>
      </c>
      <c r="E1035" s="19" t="n">
        <v>2731889.11722618</v>
      </c>
      <c r="F1035" s="17" t="s">
        <v>2661</v>
      </c>
      <c r="G1035" s="17" t="s">
        <v>1104</v>
      </c>
      <c r="H1035" s="19"/>
    </row>
    <row r="1036" customFormat="false" ht="15" hidden="false" customHeight="false" outlineLevel="0" collapsed="false">
      <c r="A1036" s="19" t="s">
        <v>2453</v>
      </c>
      <c r="B1036" s="19" t="s">
        <v>2662</v>
      </c>
      <c r="C1036" s="19" t="n">
        <v>10</v>
      </c>
      <c r="D1036" s="17" t="s">
        <v>2648</v>
      </c>
      <c r="E1036" s="19" t="n">
        <v>815325.568327021</v>
      </c>
      <c r="F1036" s="17" t="s">
        <v>2663</v>
      </c>
      <c r="G1036" s="17" t="s">
        <v>1104</v>
      </c>
      <c r="H1036" s="19"/>
    </row>
    <row r="1037" customFormat="false" ht="15" hidden="false" customHeight="false" outlineLevel="0" collapsed="false">
      <c r="A1037" s="19" t="s">
        <v>2453</v>
      </c>
      <c r="B1037" s="19" t="s">
        <v>2664</v>
      </c>
      <c r="C1037" s="19" t="n">
        <v>10</v>
      </c>
      <c r="D1037" s="17" t="s">
        <v>2648</v>
      </c>
      <c r="E1037" s="19" t="n">
        <v>142834.517316183</v>
      </c>
      <c r="F1037" s="17" t="s">
        <v>2665</v>
      </c>
      <c r="G1037" s="17" t="s">
        <v>1104</v>
      </c>
      <c r="H1037" s="19"/>
    </row>
    <row r="1038" customFormat="false" ht="15" hidden="false" customHeight="false" outlineLevel="0" collapsed="false">
      <c r="A1038" s="19" t="s">
        <v>2453</v>
      </c>
      <c r="B1038" s="19" t="s">
        <v>2666</v>
      </c>
      <c r="C1038" s="19" t="n">
        <v>10</v>
      </c>
      <c r="D1038" s="17" t="s">
        <v>2648</v>
      </c>
      <c r="E1038" s="19" t="n">
        <v>6594330.40261826</v>
      </c>
      <c r="F1038" s="17" t="s">
        <v>2667</v>
      </c>
      <c r="G1038" s="17" t="s">
        <v>1104</v>
      </c>
      <c r="H1038" s="19"/>
    </row>
    <row r="1039" customFormat="false" ht="15" hidden="false" customHeight="false" outlineLevel="0" collapsed="false">
      <c r="A1039" s="19" t="s">
        <v>2453</v>
      </c>
      <c r="B1039" s="19" t="s">
        <v>2668</v>
      </c>
      <c r="C1039" s="19" t="n">
        <v>10</v>
      </c>
      <c r="D1039" s="17" t="s">
        <v>2648</v>
      </c>
      <c r="E1039" s="19" t="n">
        <v>2052088.39433295</v>
      </c>
      <c r="F1039" s="17" t="s">
        <v>2669</v>
      </c>
      <c r="G1039" s="17" t="s">
        <v>1104</v>
      </c>
      <c r="H1039" s="19"/>
    </row>
    <row r="1040" customFormat="false" ht="15" hidden="false" customHeight="false" outlineLevel="0" collapsed="false">
      <c r="A1040" s="19" t="s">
        <v>2453</v>
      </c>
      <c r="B1040" s="19" t="s">
        <v>2670</v>
      </c>
      <c r="C1040" s="19" t="n">
        <v>10</v>
      </c>
      <c r="D1040" s="17" t="s">
        <v>2648</v>
      </c>
      <c r="E1040" s="19" t="n">
        <v>433279.441494085</v>
      </c>
      <c r="F1040" s="17" t="s">
        <v>2671</v>
      </c>
      <c r="G1040" s="17" t="s">
        <v>1104</v>
      </c>
      <c r="H1040" s="19"/>
    </row>
    <row r="1041" customFormat="false" ht="15" hidden="false" customHeight="false" outlineLevel="0" collapsed="false">
      <c r="A1041" s="19" t="s">
        <v>2453</v>
      </c>
      <c r="B1041" s="19" t="s">
        <v>2672</v>
      </c>
      <c r="C1041" s="19" t="n">
        <v>10</v>
      </c>
      <c r="D1041" s="17" t="s">
        <v>2648</v>
      </c>
      <c r="E1041" s="19" t="n">
        <v>13307308.1371504</v>
      </c>
      <c r="F1041" s="17" t="s">
        <v>2673</v>
      </c>
      <c r="G1041" s="17" t="s">
        <v>1104</v>
      </c>
      <c r="H1041" s="19"/>
    </row>
    <row r="1042" customFormat="false" ht="15" hidden="false" customHeight="false" outlineLevel="0" collapsed="false">
      <c r="A1042" s="19" t="s">
        <v>2453</v>
      </c>
      <c r="B1042" s="19" t="s">
        <v>2674</v>
      </c>
      <c r="C1042" s="19" t="n">
        <v>10</v>
      </c>
      <c r="D1042" s="17" t="s">
        <v>2648</v>
      </c>
      <c r="E1042" s="19" t="n">
        <v>4189957.53358947</v>
      </c>
      <c r="F1042" s="17" t="s">
        <v>2675</v>
      </c>
      <c r="G1042" s="17" t="s">
        <v>1104</v>
      </c>
      <c r="H1042" s="19"/>
    </row>
    <row r="1043" customFormat="false" ht="15" hidden="false" customHeight="false" outlineLevel="0" collapsed="false">
      <c r="A1043" s="19" t="s">
        <v>2453</v>
      </c>
      <c r="B1043" s="19" t="s">
        <v>2676</v>
      </c>
      <c r="C1043" s="19" t="n">
        <v>10</v>
      </c>
      <c r="D1043" s="17" t="s">
        <v>2648</v>
      </c>
      <c r="E1043" s="19" t="n">
        <v>923019.570338794</v>
      </c>
      <c r="F1043" s="17" t="s">
        <v>2677</v>
      </c>
      <c r="G1043" s="17" t="s">
        <v>1104</v>
      </c>
      <c r="H1043" s="19"/>
    </row>
    <row r="1044" customFormat="false" ht="15" hidden="false" customHeight="false" outlineLevel="0" collapsed="false">
      <c r="A1044" s="55" t="s">
        <v>1465</v>
      </c>
      <c r="B1044" s="55" t="s">
        <v>2678</v>
      </c>
      <c r="C1044" s="55" t="n">
        <v>11</v>
      </c>
      <c r="D1044" s="66" t="s">
        <v>2679</v>
      </c>
      <c r="E1044" s="55" t="n">
        <v>0.7</v>
      </c>
      <c r="F1044" s="55"/>
      <c r="G1044" s="66" t="s">
        <v>1122</v>
      </c>
      <c r="H1044" s="55" t="s">
        <v>140</v>
      </c>
    </row>
    <row r="1045" customFormat="false" ht="15" hidden="false" customHeight="false" outlineLevel="0" collapsed="false">
      <c r="A1045" s="55" t="s">
        <v>1465</v>
      </c>
      <c r="B1045" s="55" t="s">
        <v>1668</v>
      </c>
      <c r="C1045" s="55" t="n">
        <v>11</v>
      </c>
      <c r="D1045" s="66" t="s">
        <v>531</v>
      </c>
      <c r="E1045" s="55" t="n">
        <v>0.06</v>
      </c>
      <c r="F1045" s="55"/>
      <c r="G1045" s="66" t="s">
        <v>1122</v>
      </c>
      <c r="H1045" s="55" t="s">
        <v>224</v>
      </c>
    </row>
    <row r="1046" customFormat="false" ht="15" hidden="false" customHeight="false" outlineLevel="0" collapsed="false">
      <c r="A1046" s="19" t="s">
        <v>1465</v>
      </c>
      <c r="B1046" s="19" t="s">
        <v>1373</v>
      </c>
      <c r="C1046" s="19" t="n">
        <v>11</v>
      </c>
      <c r="D1046" s="19" t="s">
        <v>562</v>
      </c>
      <c r="E1046" s="19" t="n">
        <v>6</v>
      </c>
      <c r="F1046" s="17" t="s">
        <v>2680</v>
      </c>
      <c r="G1046" s="17" t="s">
        <v>1104</v>
      </c>
      <c r="H1046" s="17" t="s">
        <v>226</v>
      </c>
    </row>
    <row r="1047" customFormat="false" ht="15" hidden="false" customHeight="false" outlineLevel="0" collapsed="false">
      <c r="A1047" s="19" t="s">
        <v>1465</v>
      </c>
      <c r="B1047" s="19" t="s">
        <v>2681</v>
      </c>
      <c r="C1047" s="19" t="n">
        <v>11</v>
      </c>
      <c r="D1047" s="19" t="s">
        <v>2682</v>
      </c>
      <c r="E1047" s="19" t="n">
        <v>3</v>
      </c>
      <c r="F1047" s="17" t="s">
        <v>2683</v>
      </c>
      <c r="G1047" s="17" t="s">
        <v>1104</v>
      </c>
      <c r="H1047" s="19"/>
    </row>
    <row r="1048" customFormat="false" ht="15" hidden="false" customHeight="false" outlineLevel="0" collapsed="false">
      <c r="A1048" s="55" t="s">
        <v>1465</v>
      </c>
      <c r="B1048" s="55" t="s">
        <v>2684</v>
      </c>
      <c r="C1048" s="55" t="n">
        <v>11</v>
      </c>
      <c r="D1048" s="55" t="s">
        <v>2685</v>
      </c>
      <c r="E1048" s="55" t="n">
        <v>0.0025</v>
      </c>
      <c r="F1048" s="55"/>
      <c r="G1048" s="66" t="s">
        <v>1122</v>
      </c>
      <c r="H1048" s="55" t="s">
        <v>224</v>
      </c>
    </row>
    <row r="1049" customFormat="false" ht="15" hidden="false" customHeight="false" outlineLevel="0" collapsed="false">
      <c r="A1049" s="55" t="s">
        <v>1465</v>
      </c>
      <c r="B1049" s="55" t="s">
        <v>1670</v>
      </c>
      <c r="C1049" s="55" t="n">
        <v>11</v>
      </c>
      <c r="D1049" s="55" t="s">
        <v>2686</v>
      </c>
      <c r="E1049" s="55" t="n">
        <v>0.02</v>
      </c>
      <c r="F1049" s="55"/>
      <c r="G1049" s="66" t="s">
        <v>1122</v>
      </c>
      <c r="H1049" s="55" t="s">
        <v>224</v>
      </c>
    </row>
    <row r="1050" customFormat="false" ht="15" hidden="false" customHeight="false" outlineLevel="0" collapsed="false">
      <c r="A1050" s="55" t="s">
        <v>1465</v>
      </c>
      <c r="B1050" s="55" t="s">
        <v>2687</v>
      </c>
      <c r="C1050" s="55" t="n">
        <v>11</v>
      </c>
      <c r="D1050" s="55" t="s">
        <v>525</v>
      </c>
      <c r="E1050" s="55" t="n">
        <v>1.1</v>
      </c>
      <c r="F1050" s="55"/>
      <c r="G1050" s="66" t="s">
        <v>1122</v>
      </c>
      <c r="H1050" s="55" t="s">
        <v>140</v>
      </c>
    </row>
    <row r="1051" customFormat="false" ht="15" hidden="false" customHeight="false" outlineLevel="0" collapsed="false">
      <c r="A1051" s="55" t="s">
        <v>1465</v>
      </c>
      <c r="B1051" s="55" t="s">
        <v>2688</v>
      </c>
      <c r="C1051" s="55" t="n">
        <v>11</v>
      </c>
      <c r="D1051" s="66" t="s">
        <v>2679</v>
      </c>
      <c r="E1051" s="55" t="n">
        <v>0.8</v>
      </c>
      <c r="F1051" s="55"/>
      <c r="G1051" s="66" t="s">
        <v>1122</v>
      </c>
      <c r="H1051" s="55" t="s">
        <v>140</v>
      </c>
    </row>
    <row r="1052" customFormat="false" ht="15" hidden="false" customHeight="false" outlineLevel="0" collapsed="false">
      <c r="A1052" s="55" t="s">
        <v>1465</v>
      </c>
      <c r="B1052" s="55" t="s">
        <v>1682</v>
      </c>
      <c r="C1052" s="55" t="n">
        <v>11</v>
      </c>
      <c r="D1052" s="66" t="s">
        <v>531</v>
      </c>
      <c r="E1052" s="55" t="n">
        <v>0.08</v>
      </c>
      <c r="F1052" s="55"/>
      <c r="G1052" s="66" t="s">
        <v>1122</v>
      </c>
      <c r="H1052" s="55" t="s">
        <v>224</v>
      </c>
    </row>
    <row r="1053" customFormat="false" ht="15" hidden="false" customHeight="false" outlineLevel="0" collapsed="false">
      <c r="A1053" s="19" t="s">
        <v>1465</v>
      </c>
      <c r="B1053" s="19" t="s">
        <v>1375</v>
      </c>
      <c r="C1053" s="19" t="n">
        <v>11</v>
      </c>
      <c r="D1053" s="19" t="s">
        <v>562</v>
      </c>
      <c r="E1053" s="19" t="n">
        <v>6</v>
      </c>
      <c r="F1053" s="17" t="s">
        <v>2680</v>
      </c>
      <c r="G1053" s="17" t="s">
        <v>1104</v>
      </c>
      <c r="H1053" s="17" t="s">
        <v>226</v>
      </c>
    </row>
    <row r="1054" customFormat="false" ht="15" hidden="false" customHeight="false" outlineLevel="0" collapsed="false">
      <c r="A1054" s="19" t="s">
        <v>1465</v>
      </c>
      <c r="B1054" s="19" t="s">
        <v>2689</v>
      </c>
      <c r="C1054" s="19" t="n">
        <v>11</v>
      </c>
      <c r="D1054" s="19" t="s">
        <v>2682</v>
      </c>
      <c r="E1054" s="19" t="n">
        <v>3</v>
      </c>
      <c r="F1054" s="17" t="s">
        <v>2690</v>
      </c>
      <c r="G1054" s="17" t="s">
        <v>1104</v>
      </c>
      <c r="H1054" s="17" t="s">
        <v>226</v>
      </c>
    </row>
    <row r="1055" customFormat="false" ht="15" hidden="false" customHeight="false" outlineLevel="0" collapsed="false">
      <c r="A1055" s="55" t="s">
        <v>1465</v>
      </c>
      <c r="B1055" s="55" t="s">
        <v>2691</v>
      </c>
      <c r="C1055" s="55" t="n">
        <v>11</v>
      </c>
      <c r="D1055" s="55" t="s">
        <v>2685</v>
      </c>
      <c r="E1055" s="55" t="n">
        <v>0.005</v>
      </c>
      <c r="F1055" s="55"/>
      <c r="G1055" s="66" t="s">
        <v>1122</v>
      </c>
      <c r="H1055" s="55" t="s">
        <v>224</v>
      </c>
    </row>
    <row r="1056" customFormat="false" ht="15" hidden="false" customHeight="false" outlineLevel="0" collapsed="false">
      <c r="A1056" s="55" t="s">
        <v>1465</v>
      </c>
      <c r="B1056" s="55" t="s">
        <v>1684</v>
      </c>
      <c r="C1056" s="55" t="n">
        <v>11</v>
      </c>
      <c r="D1056" s="55" t="s">
        <v>2686</v>
      </c>
      <c r="E1056" s="55" t="n">
        <v>0.03</v>
      </c>
      <c r="F1056" s="55"/>
      <c r="G1056" s="66" t="s">
        <v>1122</v>
      </c>
      <c r="H1056" s="55" t="s">
        <v>224</v>
      </c>
    </row>
    <row r="1057" customFormat="false" ht="15" hidden="false" customHeight="false" outlineLevel="0" collapsed="false">
      <c r="A1057" s="55" t="s">
        <v>1465</v>
      </c>
      <c r="B1057" s="55" t="s">
        <v>2692</v>
      </c>
      <c r="C1057" s="55" t="n">
        <v>11</v>
      </c>
      <c r="D1057" s="55" t="s">
        <v>525</v>
      </c>
      <c r="E1057" s="55" t="n">
        <v>1.2</v>
      </c>
      <c r="F1057" s="55"/>
      <c r="G1057" s="66" t="s">
        <v>1122</v>
      </c>
      <c r="H1057" s="55" t="s">
        <v>140</v>
      </c>
    </row>
    <row r="1058" customFormat="false" ht="15" hidden="false" customHeight="false" outlineLevel="0" collapsed="false">
      <c r="A1058" s="55" t="s">
        <v>1465</v>
      </c>
      <c r="B1058" s="55" t="s">
        <v>2693</v>
      </c>
      <c r="C1058" s="55" t="n">
        <v>11</v>
      </c>
      <c r="D1058" s="66" t="s">
        <v>2679</v>
      </c>
      <c r="E1058" s="55" t="n">
        <v>0.9</v>
      </c>
      <c r="F1058" s="55"/>
      <c r="G1058" s="66" t="s">
        <v>1122</v>
      </c>
      <c r="H1058" s="55" t="s">
        <v>140</v>
      </c>
    </row>
    <row r="1059" customFormat="false" ht="15" hidden="false" customHeight="false" outlineLevel="0" collapsed="false">
      <c r="A1059" s="55" t="s">
        <v>1465</v>
      </c>
      <c r="B1059" s="55" t="s">
        <v>1696</v>
      </c>
      <c r="C1059" s="55" t="n">
        <v>11</v>
      </c>
      <c r="D1059" s="66" t="s">
        <v>531</v>
      </c>
      <c r="E1059" s="55" t="n">
        <v>0.1</v>
      </c>
      <c r="F1059" s="55"/>
      <c r="G1059" s="66" t="s">
        <v>1122</v>
      </c>
      <c r="H1059" s="55" t="s">
        <v>224</v>
      </c>
    </row>
    <row r="1060" customFormat="false" ht="15" hidden="false" customHeight="false" outlineLevel="0" collapsed="false">
      <c r="A1060" s="19" t="s">
        <v>1465</v>
      </c>
      <c r="B1060" s="19" t="s">
        <v>1377</v>
      </c>
      <c r="C1060" s="19" t="n">
        <v>11</v>
      </c>
      <c r="D1060" s="19" t="s">
        <v>562</v>
      </c>
      <c r="E1060" s="19" t="n">
        <v>4</v>
      </c>
      <c r="F1060" s="17" t="s">
        <v>2694</v>
      </c>
      <c r="G1060" s="17" t="s">
        <v>1104</v>
      </c>
      <c r="H1060" s="17" t="s">
        <v>226</v>
      </c>
    </row>
    <row r="1061" customFormat="false" ht="15" hidden="false" customHeight="false" outlineLevel="0" collapsed="false">
      <c r="A1061" s="19" t="s">
        <v>1465</v>
      </c>
      <c r="B1061" s="19" t="s">
        <v>2695</v>
      </c>
      <c r="C1061" s="19" t="n">
        <v>11</v>
      </c>
      <c r="D1061" s="19" t="s">
        <v>2682</v>
      </c>
      <c r="E1061" s="19" t="n">
        <v>3</v>
      </c>
      <c r="F1061" s="17" t="s">
        <v>2683</v>
      </c>
      <c r="G1061" s="17" t="s">
        <v>1104</v>
      </c>
      <c r="H1061" s="19"/>
    </row>
    <row r="1062" customFormat="false" ht="15" hidden="false" customHeight="false" outlineLevel="0" collapsed="false">
      <c r="A1062" s="55" t="s">
        <v>1465</v>
      </c>
      <c r="B1062" s="55" t="s">
        <v>2696</v>
      </c>
      <c r="C1062" s="55" t="n">
        <v>11</v>
      </c>
      <c r="D1062" s="55" t="s">
        <v>2685</v>
      </c>
      <c r="E1062" s="55" t="n">
        <v>0.01</v>
      </c>
      <c r="F1062" s="55"/>
      <c r="G1062" s="66" t="s">
        <v>1122</v>
      </c>
      <c r="H1062" s="55" t="s">
        <v>224</v>
      </c>
    </row>
    <row r="1063" customFormat="false" ht="15" hidden="false" customHeight="false" outlineLevel="0" collapsed="false">
      <c r="A1063" s="55" t="s">
        <v>1465</v>
      </c>
      <c r="B1063" s="55" t="s">
        <v>1698</v>
      </c>
      <c r="C1063" s="55" t="n">
        <v>11</v>
      </c>
      <c r="D1063" s="55" t="s">
        <v>2686</v>
      </c>
      <c r="E1063" s="55" t="n">
        <v>0.05</v>
      </c>
      <c r="F1063" s="55"/>
      <c r="G1063" s="66" t="s">
        <v>1122</v>
      </c>
      <c r="H1063" s="55" t="s">
        <v>224</v>
      </c>
    </row>
    <row r="1064" customFormat="false" ht="15" hidden="false" customHeight="false" outlineLevel="0" collapsed="false">
      <c r="A1064" s="55" t="s">
        <v>1465</v>
      </c>
      <c r="B1064" s="55" t="s">
        <v>2697</v>
      </c>
      <c r="C1064" s="55" t="n">
        <v>11</v>
      </c>
      <c r="D1064" s="55" t="s">
        <v>525</v>
      </c>
      <c r="E1064" s="55" t="n">
        <v>1.3</v>
      </c>
      <c r="F1064" s="55"/>
      <c r="G1064" s="66" t="s">
        <v>1122</v>
      </c>
      <c r="H1064" s="55" t="s">
        <v>140</v>
      </c>
    </row>
    <row r="1065" customFormat="false" ht="15" hidden="false" customHeight="false" outlineLevel="0" collapsed="false">
      <c r="A1065" s="19" t="s">
        <v>2615</v>
      </c>
      <c r="B1065" s="19" t="s">
        <v>1219</v>
      </c>
      <c r="C1065" s="19" t="n">
        <v>11</v>
      </c>
      <c r="D1065" s="19" t="s">
        <v>790</v>
      </c>
      <c r="E1065" s="19" t="n">
        <v>32</v>
      </c>
      <c r="F1065" s="17" t="s">
        <v>2698</v>
      </c>
      <c r="G1065" s="17" t="s">
        <v>1104</v>
      </c>
      <c r="H1065" s="19"/>
    </row>
    <row r="1066" customFormat="false" ht="15" hidden="false" customHeight="false" outlineLevel="0" collapsed="false">
      <c r="A1066" s="19" t="s">
        <v>2615</v>
      </c>
      <c r="B1066" s="19" t="s">
        <v>2049</v>
      </c>
      <c r="C1066" s="19" t="n">
        <v>11</v>
      </c>
      <c r="D1066" s="17" t="s">
        <v>825</v>
      </c>
      <c r="E1066" s="19" t="n">
        <v>8192</v>
      </c>
      <c r="F1066" s="17" t="s">
        <v>2699</v>
      </c>
      <c r="G1066" s="17" t="s">
        <v>1104</v>
      </c>
      <c r="H1066" s="19"/>
    </row>
    <row r="1067" customFormat="false" ht="15" hidden="false" customHeight="false" outlineLevel="0" collapsed="false">
      <c r="A1067" s="19" t="s">
        <v>2615</v>
      </c>
      <c r="B1067" s="19" t="s">
        <v>1658</v>
      </c>
      <c r="C1067" s="19" t="n">
        <v>11</v>
      </c>
      <c r="D1067" s="17" t="s">
        <v>827</v>
      </c>
      <c r="E1067" s="19" t="n">
        <v>1024</v>
      </c>
      <c r="F1067" s="17" t="s">
        <v>2700</v>
      </c>
      <c r="G1067" s="17" t="s">
        <v>1104</v>
      </c>
      <c r="H1067" s="19"/>
    </row>
    <row r="1068" customFormat="false" ht="15" hidden="false" customHeight="false" outlineLevel="0" collapsed="false">
      <c r="A1068" s="19" t="s">
        <v>2615</v>
      </c>
      <c r="B1068" s="19" t="s">
        <v>2647</v>
      </c>
      <c r="C1068" s="19" t="n">
        <v>11</v>
      </c>
      <c r="D1068" s="17" t="s">
        <v>2648</v>
      </c>
      <c r="E1068" s="19" t="n">
        <v>158595.933922677</v>
      </c>
      <c r="F1068" s="17" t="s">
        <v>2701</v>
      </c>
      <c r="G1068" s="17" t="s">
        <v>1104</v>
      </c>
      <c r="H1068" s="19"/>
    </row>
    <row r="1069" customFormat="false" ht="15" hidden="false" customHeight="false" outlineLevel="0" collapsed="false">
      <c r="A1069" s="19" t="s">
        <v>2615</v>
      </c>
      <c r="B1069" s="19" t="s">
        <v>1237</v>
      </c>
      <c r="C1069" s="19" t="n">
        <v>11</v>
      </c>
      <c r="D1069" s="19" t="s">
        <v>790</v>
      </c>
      <c r="E1069" s="19" t="n">
        <v>32</v>
      </c>
      <c r="F1069" s="17" t="s">
        <v>2702</v>
      </c>
      <c r="G1069" s="17" t="s">
        <v>1104</v>
      </c>
      <c r="H1069" s="19"/>
    </row>
    <row r="1070" customFormat="false" ht="15" hidden="false" customHeight="false" outlineLevel="0" collapsed="false">
      <c r="A1070" s="19" t="s">
        <v>2615</v>
      </c>
      <c r="B1070" s="19" t="s">
        <v>2070</v>
      </c>
      <c r="C1070" s="19" t="n">
        <v>11</v>
      </c>
      <c r="D1070" s="17" t="s">
        <v>825</v>
      </c>
      <c r="E1070" s="19" t="n">
        <v>16384</v>
      </c>
      <c r="F1070" s="17" t="s">
        <v>2703</v>
      </c>
      <c r="G1070" s="17" t="s">
        <v>1104</v>
      </c>
      <c r="H1070" s="19"/>
    </row>
    <row r="1071" customFormat="false" ht="15" hidden="false" customHeight="false" outlineLevel="0" collapsed="false">
      <c r="A1071" s="19" t="s">
        <v>2615</v>
      </c>
      <c r="B1071" s="19" t="s">
        <v>1675</v>
      </c>
      <c r="C1071" s="19" t="n">
        <v>11</v>
      </c>
      <c r="D1071" s="17" t="s">
        <v>827</v>
      </c>
      <c r="E1071" s="19" t="n">
        <v>2048</v>
      </c>
      <c r="F1071" s="17" t="s">
        <v>2704</v>
      </c>
      <c r="G1071" s="17" t="s">
        <v>1104</v>
      </c>
      <c r="H1071" s="19"/>
    </row>
    <row r="1072" customFormat="false" ht="15" hidden="false" customHeight="false" outlineLevel="0" collapsed="false">
      <c r="A1072" s="19" t="s">
        <v>2615</v>
      </c>
      <c r="B1072" s="19" t="s">
        <v>2650</v>
      </c>
      <c r="C1072" s="19" t="n">
        <v>11</v>
      </c>
      <c r="D1072" s="17" t="s">
        <v>2648</v>
      </c>
      <c r="E1072" s="19" t="n">
        <v>47531.3605802762</v>
      </c>
      <c r="F1072" s="17" t="s">
        <v>2705</v>
      </c>
      <c r="G1072" s="17" t="s">
        <v>1104</v>
      </c>
      <c r="H1072" s="19"/>
    </row>
    <row r="1073" customFormat="false" ht="15" hidden="false" customHeight="false" outlineLevel="0" collapsed="false">
      <c r="A1073" s="19" t="s">
        <v>2615</v>
      </c>
      <c r="B1073" s="19" t="s">
        <v>1245</v>
      </c>
      <c r="C1073" s="19" t="n">
        <v>11</v>
      </c>
      <c r="D1073" s="19" t="s">
        <v>790</v>
      </c>
      <c r="E1073" s="19" t="n">
        <v>32</v>
      </c>
      <c r="F1073" s="17" t="s">
        <v>2706</v>
      </c>
      <c r="G1073" s="17" t="s">
        <v>1104</v>
      </c>
      <c r="H1073" s="19"/>
    </row>
    <row r="1074" customFormat="false" ht="15" hidden="false" customHeight="false" outlineLevel="0" collapsed="false">
      <c r="A1074" s="19" t="s">
        <v>2615</v>
      </c>
      <c r="B1074" s="19" t="s">
        <v>2090</v>
      </c>
      <c r="C1074" s="19" t="n">
        <v>11</v>
      </c>
      <c r="D1074" s="17" t="s">
        <v>825</v>
      </c>
      <c r="E1074" s="19" t="n">
        <v>32768</v>
      </c>
      <c r="F1074" s="17" t="s">
        <v>2707</v>
      </c>
      <c r="G1074" s="17" t="s">
        <v>1104</v>
      </c>
      <c r="H1074" s="19"/>
    </row>
    <row r="1075" customFormat="false" ht="15" hidden="false" customHeight="false" outlineLevel="0" collapsed="false">
      <c r="A1075" s="19" t="s">
        <v>2615</v>
      </c>
      <c r="B1075" s="19" t="s">
        <v>1689</v>
      </c>
      <c r="C1075" s="19" t="n">
        <v>11</v>
      </c>
      <c r="D1075" s="17" t="s">
        <v>827</v>
      </c>
      <c r="E1075" s="19" t="n">
        <v>4096</v>
      </c>
      <c r="F1075" s="17" t="s">
        <v>2708</v>
      </c>
      <c r="G1075" s="17" t="s">
        <v>1104</v>
      </c>
      <c r="H1075" s="19"/>
    </row>
    <row r="1076" customFormat="false" ht="15" hidden="false" customHeight="false" outlineLevel="0" collapsed="false">
      <c r="A1076" s="19" t="s">
        <v>2615</v>
      </c>
      <c r="B1076" s="19" t="s">
        <v>2652</v>
      </c>
      <c r="C1076" s="19" t="n">
        <v>11</v>
      </c>
      <c r="D1076" s="17" t="s">
        <v>2648</v>
      </c>
      <c r="E1076" s="19" t="n">
        <v>9622.21082709152</v>
      </c>
      <c r="F1076" s="17" t="s">
        <v>2709</v>
      </c>
      <c r="G1076" s="17" t="s">
        <v>1104</v>
      </c>
      <c r="H1076" s="19"/>
    </row>
    <row r="1077" customFormat="false" ht="15" hidden="false" customHeight="false" outlineLevel="0" collapsed="false">
      <c r="A1077" s="19" t="s">
        <v>2615</v>
      </c>
      <c r="B1077" s="19" t="s">
        <v>1253</v>
      </c>
      <c r="C1077" s="19" t="n">
        <v>11</v>
      </c>
      <c r="D1077" s="19" t="s">
        <v>790</v>
      </c>
      <c r="E1077" s="19" t="n">
        <v>72</v>
      </c>
      <c r="F1077" s="17" t="s">
        <v>2710</v>
      </c>
      <c r="G1077" s="17" t="s">
        <v>1104</v>
      </c>
      <c r="H1077" s="19"/>
    </row>
    <row r="1078" customFormat="false" ht="15" hidden="false" customHeight="false" outlineLevel="0" collapsed="false">
      <c r="A1078" s="19" t="s">
        <v>2615</v>
      </c>
      <c r="B1078" s="19" t="s">
        <v>2109</v>
      </c>
      <c r="C1078" s="19" t="n">
        <v>11</v>
      </c>
      <c r="D1078" s="17" t="s">
        <v>825</v>
      </c>
      <c r="E1078" s="19" t="n">
        <v>8192</v>
      </c>
      <c r="F1078" s="17" t="s">
        <v>2711</v>
      </c>
      <c r="G1078" s="17" t="s">
        <v>1104</v>
      </c>
      <c r="H1078" s="19"/>
    </row>
    <row r="1079" customFormat="false" ht="15" hidden="false" customHeight="false" outlineLevel="0" collapsed="false">
      <c r="A1079" s="19" t="s">
        <v>2615</v>
      </c>
      <c r="B1079" s="19" t="s">
        <v>1703</v>
      </c>
      <c r="C1079" s="19" t="n">
        <v>11</v>
      </c>
      <c r="D1079" s="17" t="s">
        <v>827</v>
      </c>
      <c r="E1079" s="19" t="n">
        <v>1024</v>
      </c>
      <c r="F1079" s="17" t="s">
        <v>2712</v>
      </c>
      <c r="G1079" s="17" t="s">
        <v>1104</v>
      </c>
      <c r="H1079" s="19"/>
    </row>
    <row r="1080" customFormat="false" ht="15" hidden="false" customHeight="false" outlineLevel="0" collapsed="false">
      <c r="A1080" s="19" t="s">
        <v>2615</v>
      </c>
      <c r="B1080" s="19" t="s">
        <v>2654</v>
      </c>
      <c r="C1080" s="19" t="n">
        <v>11</v>
      </c>
      <c r="D1080" s="17" t="s">
        <v>2648</v>
      </c>
      <c r="E1080" s="19" t="n">
        <v>2538234.44491589</v>
      </c>
      <c r="F1080" s="17" t="s">
        <v>2713</v>
      </c>
      <c r="G1080" s="17" t="s">
        <v>1104</v>
      </c>
      <c r="H1080" s="19"/>
    </row>
    <row r="1081" customFormat="false" ht="15" hidden="false" customHeight="false" outlineLevel="0" collapsed="false">
      <c r="A1081" s="19" t="s">
        <v>2615</v>
      </c>
      <c r="B1081" s="19" t="s">
        <v>2714</v>
      </c>
      <c r="C1081" s="19" t="n">
        <v>11</v>
      </c>
      <c r="D1081" s="19" t="s">
        <v>790</v>
      </c>
      <c r="E1081" s="19" t="n">
        <v>72</v>
      </c>
      <c r="F1081" s="17" t="s">
        <v>2715</v>
      </c>
      <c r="G1081" s="17" t="s">
        <v>1104</v>
      </c>
      <c r="H1081" s="19"/>
    </row>
    <row r="1082" customFormat="false" ht="15" hidden="false" customHeight="false" outlineLevel="0" collapsed="false">
      <c r="A1082" s="19" t="s">
        <v>2615</v>
      </c>
      <c r="B1082" s="19" t="s">
        <v>2132</v>
      </c>
      <c r="C1082" s="19" t="n">
        <v>11</v>
      </c>
      <c r="D1082" s="17" t="s">
        <v>825</v>
      </c>
      <c r="E1082" s="19" t="n">
        <v>16384</v>
      </c>
      <c r="F1082" s="17" t="s">
        <v>2716</v>
      </c>
      <c r="G1082" s="17" t="s">
        <v>1104</v>
      </c>
      <c r="H1082" s="19"/>
    </row>
    <row r="1083" customFormat="false" ht="15" hidden="false" customHeight="false" outlineLevel="0" collapsed="false">
      <c r="A1083" s="19" t="s">
        <v>2615</v>
      </c>
      <c r="B1083" s="19" t="s">
        <v>1719</v>
      </c>
      <c r="C1083" s="19" t="n">
        <v>11</v>
      </c>
      <c r="D1083" s="17" t="s">
        <v>827</v>
      </c>
      <c r="E1083" s="19" t="n">
        <v>2048</v>
      </c>
      <c r="F1083" s="17" t="s">
        <v>2717</v>
      </c>
      <c r="G1083" s="17" t="s">
        <v>1104</v>
      </c>
      <c r="H1083" s="19"/>
    </row>
    <row r="1084" customFormat="false" ht="15" hidden="false" customHeight="false" outlineLevel="0" collapsed="false">
      <c r="A1084" s="19" t="s">
        <v>2615</v>
      </c>
      <c r="B1084" s="19" t="s">
        <v>2656</v>
      </c>
      <c r="C1084" s="19" t="n">
        <v>11</v>
      </c>
      <c r="D1084" s="17" t="s">
        <v>2648</v>
      </c>
      <c r="E1084" s="19" t="n">
        <v>744926.899560568</v>
      </c>
      <c r="F1084" s="17" t="s">
        <v>2718</v>
      </c>
      <c r="G1084" s="17" t="s">
        <v>1104</v>
      </c>
      <c r="H1084" s="19"/>
    </row>
    <row r="1085" customFormat="false" ht="15" hidden="false" customHeight="false" outlineLevel="0" collapsed="false">
      <c r="A1085" s="19" t="s">
        <v>2615</v>
      </c>
      <c r="B1085" s="19" t="s">
        <v>2719</v>
      </c>
      <c r="C1085" s="19" t="n">
        <v>11</v>
      </c>
      <c r="D1085" s="19" t="s">
        <v>790</v>
      </c>
      <c r="E1085" s="19" t="n">
        <v>72</v>
      </c>
      <c r="F1085" s="17" t="s">
        <v>2720</v>
      </c>
      <c r="G1085" s="17" t="s">
        <v>1104</v>
      </c>
      <c r="H1085" s="19"/>
    </row>
    <row r="1086" customFormat="false" ht="15" hidden="false" customHeight="false" outlineLevel="0" collapsed="false">
      <c r="A1086" s="19" t="s">
        <v>2615</v>
      </c>
      <c r="B1086" s="19" t="s">
        <v>2155</v>
      </c>
      <c r="C1086" s="19" t="n">
        <v>11</v>
      </c>
      <c r="D1086" s="17" t="s">
        <v>825</v>
      </c>
      <c r="E1086" s="19" t="n">
        <v>32768</v>
      </c>
      <c r="F1086" s="17" t="s">
        <v>2721</v>
      </c>
      <c r="G1086" s="17" t="s">
        <v>1104</v>
      </c>
      <c r="H1086" s="19"/>
    </row>
    <row r="1087" customFormat="false" ht="15" hidden="false" customHeight="false" outlineLevel="0" collapsed="false">
      <c r="A1087" s="19" t="s">
        <v>2615</v>
      </c>
      <c r="B1087" s="19" t="s">
        <v>1735</v>
      </c>
      <c r="C1087" s="19" t="n">
        <v>11</v>
      </c>
      <c r="D1087" s="17" t="s">
        <v>827</v>
      </c>
      <c r="E1087" s="19" t="n">
        <v>4096</v>
      </c>
      <c r="F1087" s="17" t="s">
        <v>2722</v>
      </c>
      <c r="G1087" s="17" t="s">
        <v>1104</v>
      </c>
      <c r="H1087" s="19"/>
    </row>
    <row r="1088" customFormat="false" ht="15" hidden="false" customHeight="false" outlineLevel="0" collapsed="false">
      <c r="A1088" s="19" t="s">
        <v>2615</v>
      </c>
      <c r="B1088" s="19" t="s">
        <v>2658</v>
      </c>
      <c r="C1088" s="19" t="n">
        <v>11</v>
      </c>
      <c r="D1088" s="17" t="s">
        <v>2648</v>
      </c>
      <c r="E1088" s="19" t="n">
        <v>153224.324909013</v>
      </c>
      <c r="F1088" s="17" t="s">
        <v>2723</v>
      </c>
      <c r="G1088" s="17" t="s">
        <v>1104</v>
      </c>
      <c r="H1088" s="19"/>
    </row>
    <row r="1089" customFormat="false" ht="15" hidden="false" customHeight="false" outlineLevel="0" collapsed="false">
      <c r="A1089" s="19" t="s">
        <v>2615</v>
      </c>
      <c r="B1089" s="19" t="s">
        <v>2724</v>
      </c>
      <c r="C1089" s="19" t="n">
        <v>11</v>
      </c>
      <c r="D1089" s="19" t="s">
        <v>790</v>
      </c>
      <c r="E1089" s="19" t="n">
        <v>72</v>
      </c>
      <c r="F1089" s="17" t="s">
        <v>2725</v>
      </c>
      <c r="G1089" s="17" t="s">
        <v>1104</v>
      </c>
      <c r="H1089" s="19"/>
    </row>
    <row r="1090" customFormat="false" ht="15" hidden="false" customHeight="false" outlineLevel="0" collapsed="false">
      <c r="A1090" s="19" t="s">
        <v>2615</v>
      </c>
      <c r="B1090" s="19" t="s">
        <v>2178</v>
      </c>
      <c r="C1090" s="19" t="n">
        <v>11</v>
      </c>
      <c r="D1090" s="17" t="s">
        <v>825</v>
      </c>
      <c r="E1090" s="19" t="n">
        <v>8192</v>
      </c>
      <c r="F1090" s="17" t="s">
        <v>2726</v>
      </c>
      <c r="G1090" s="17" t="s">
        <v>1104</v>
      </c>
      <c r="H1090" s="19"/>
    </row>
    <row r="1091" customFormat="false" ht="15" hidden="false" customHeight="false" outlineLevel="0" collapsed="false">
      <c r="A1091" s="19" t="s">
        <v>2615</v>
      </c>
      <c r="B1091" s="19" t="s">
        <v>1751</v>
      </c>
      <c r="C1091" s="19" t="n">
        <v>11</v>
      </c>
      <c r="D1091" s="17" t="s">
        <v>827</v>
      </c>
      <c r="E1091" s="19" t="n">
        <v>1024</v>
      </c>
      <c r="F1091" s="17" t="s">
        <v>2727</v>
      </c>
      <c r="G1091" s="17" t="s">
        <v>1104</v>
      </c>
      <c r="H1091" s="19"/>
    </row>
    <row r="1092" customFormat="false" ht="15" hidden="false" customHeight="false" outlineLevel="0" collapsed="false">
      <c r="A1092" s="19" t="s">
        <v>2615</v>
      </c>
      <c r="B1092" s="19" t="s">
        <v>2660</v>
      </c>
      <c r="C1092" s="19" t="n">
        <v>11</v>
      </c>
      <c r="D1092" s="17" t="s">
        <v>2648</v>
      </c>
      <c r="E1092" s="19" t="n">
        <v>3390266.38968311</v>
      </c>
      <c r="F1092" s="17" t="s">
        <v>2728</v>
      </c>
      <c r="G1092" s="17" t="s">
        <v>1104</v>
      </c>
      <c r="H1092" s="19"/>
    </row>
    <row r="1093" customFormat="false" ht="15" hidden="false" customHeight="false" outlineLevel="0" collapsed="false">
      <c r="A1093" s="19" t="s">
        <v>2615</v>
      </c>
      <c r="B1093" s="19" t="s">
        <v>2729</v>
      </c>
      <c r="C1093" s="19" t="n">
        <v>11</v>
      </c>
      <c r="D1093" s="19" t="s">
        <v>790</v>
      </c>
      <c r="E1093" s="19" t="n">
        <v>72</v>
      </c>
      <c r="F1093" s="17" t="s">
        <v>2730</v>
      </c>
      <c r="G1093" s="17" t="s">
        <v>1104</v>
      </c>
      <c r="H1093" s="19"/>
    </row>
    <row r="1094" customFormat="false" ht="15" hidden="false" customHeight="false" outlineLevel="0" collapsed="false">
      <c r="A1094" s="19" t="s">
        <v>2615</v>
      </c>
      <c r="B1094" s="19" t="s">
        <v>2201</v>
      </c>
      <c r="C1094" s="19" t="n">
        <v>11</v>
      </c>
      <c r="D1094" s="17" t="s">
        <v>825</v>
      </c>
      <c r="E1094" s="19" t="n">
        <v>16384</v>
      </c>
      <c r="F1094" s="17" t="s">
        <v>2731</v>
      </c>
      <c r="G1094" s="17" t="s">
        <v>1104</v>
      </c>
      <c r="H1094" s="19"/>
    </row>
    <row r="1095" customFormat="false" ht="15" hidden="false" customHeight="false" outlineLevel="0" collapsed="false">
      <c r="A1095" s="19" t="s">
        <v>2615</v>
      </c>
      <c r="B1095" s="19" t="s">
        <v>1767</v>
      </c>
      <c r="C1095" s="19" t="n">
        <v>11</v>
      </c>
      <c r="D1095" s="17" t="s">
        <v>827</v>
      </c>
      <c r="E1095" s="19" t="n">
        <v>2048</v>
      </c>
      <c r="F1095" s="17" t="s">
        <v>2732</v>
      </c>
      <c r="G1095" s="17" t="s">
        <v>1104</v>
      </c>
      <c r="H1095" s="19"/>
    </row>
    <row r="1096" customFormat="false" ht="15" hidden="false" customHeight="false" outlineLevel="0" collapsed="false">
      <c r="A1096" s="19" t="s">
        <v>2615</v>
      </c>
      <c r="B1096" s="19" t="s">
        <v>2662</v>
      </c>
      <c r="C1096" s="19" t="n">
        <v>11</v>
      </c>
      <c r="D1096" s="17" t="s">
        <v>2648</v>
      </c>
      <c r="E1096" s="19" t="n">
        <v>995428.321008554</v>
      </c>
      <c r="F1096" s="17" t="s">
        <v>2733</v>
      </c>
      <c r="G1096" s="17" t="s">
        <v>1104</v>
      </c>
      <c r="H1096" s="19"/>
    </row>
    <row r="1097" customFormat="false" ht="15" hidden="false" customHeight="false" outlineLevel="0" collapsed="false">
      <c r="A1097" s="19" t="s">
        <v>2615</v>
      </c>
      <c r="B1097" s="19" t="s">
        <v>2734</v>
      </c>
      <c r="C1097" s="19" t="n">
        <v>11</v>
      </c>
      <c r="D1097" s="19" t="s">
        <v>790</v>
      </c>
      <c r="E1097" s="19" t="n">
        <v>72</v>
      </c>
      <c r="F1097" s="17" t="s">
        <v>2735</v>
      </c>
      <c r="G1097" s="17" t="s">
        <v>1104</v>
      </c>
      <c r="H1097" s="19"/>
    </row>
    <row r="1098" customFormat="false" ht="15" hidden="false" customHeight="false" outlineLevel="0" collapsed="false">
      <c r="A1098" s="19" t="s">
        <v>2615</v>
      </c>
      <c r="B1098" s="19" t="s">
        <v>2224</v>
      </c>
      <c r="C1098" s="19" t="n">
        <v>11</v>
      </c>
      <c r="D1098" s="17" t="s">
        <v>825</v>
      </c>
      <c r="E1098" s="19" t="n">
        <v>32768</v>
      </c>
      <c r="F1098" s="17" t="s">
        <v>2736</v>
      </c>
      <c r="G1098" s="17" t="s">
        <v>1104</v>
      </c>
      <c r="H1098" s="19"/>
    </row>
    <row r="1099" customFormat="false" ht="15" hidden="false" customHeight="false" outlineLevel="0" collapsed="false">
      <c r="A1099" s="19" t="s">
        <v>2615</v>
      </c>
      <c r="B1099" s="19" t="s">
        <v>1783</v>
      </c>
      <c r="C1099" s="19" t="n">
        <v>11</v>
      </c>
      <c r="D1099" s="17" t="s">
        <v>827</v>
      </c>
      <c r="E1099" s="19" t="n">
        <v>4096</v>
      </c>
      <c r="F1099" s="17" t="s">
        <v>2737</v>
      </c>
      <c r="G1099" s="17" t="s">
        <v>1104</v>
      </c>
      <c r="H1099" s="19"/>
    </row>
    <row r="1100" customFormat="false" ht="15" hidden="false" customHeight="false" outlineLevel="0" collapsed="false">
      <c r="A1100" s="19" t="s">
        <v>2615</v>
      </c>
      <c r="B1100" s="19" t="s">
        <v>2664</v>
      </c>
      <c r="C1100" s="19" t="n">
        <v>11</v>
      </c>
      <c r="D1100" s="17" t="s">
        <v>2648</v>
      </c>
      <c r="E1100" s="19" t="n">
        <v>184041.626877104</v>
      </c>
      <c r="F1100" s="17" t="s">
        <v>2738</v>
      </c>
      <c r="G1100" s="17" t="s">
        <v>1104</v>
      </c>
      <c r="H1100" s="19"/>
    </row>
    <row r="1101" customFormat="false" ht="15" hidden="false" customHeight="false" outlineLevel="0" collapsed="false">
      <c r="A1101" s="19" t="s">
        <v>2615</v>
      </c>
      <c r="B1101" s="19" t="s">
        <v>2739</v>
      </c>
      <c r="C1101" s="19" t="n">
        <v>11</v>
      </c>
      <c r="D1101" s="19" t="s">
        <v>790</v>
      </c>
      <c r="E1101" s="19" t="n">
        <v>72</v>
      </c>
      <c r="F1101" s="17" t="s">
        <v>2740</v>
      </c>
      <c r="G1101" s="17" t="s">
        <v>1104</v>
      </c>
      <c r="H1101" s="19"/>
    </row>
    <row r="1102" customFormat="false" ht="15" hidden="false" customHeight="false" outlineLevel="0" collapsed="false">
      <c r="A1102" s="19" t="s">
        <v>2615</v>
      </c>
      <c r="B1102" s="19" t="s">
        <v>2247</v>
      </c>
      <c r="C1102" s="19" t="n">
        <v>11</v>
      </c>
      <c r="D1102" s="17" t="s">
        <v>825</v>
      </c>
      <c r="E1102" s="19" t="n">
        <v>8192</v>
      </c>
      <c r="F1102" s="17" t="s">
        <v>2741</v>
      </c>
      <c r="G1102" s="17" t="s">
        <v>1104</v>
      </c>
      <c r="H1102" s="19"/>
    </row>
    <row r="1103" customFormat="false" ht="15" hidden="false" customHeight="false" outlineLevel="0" collapsed="false">
      <c r="A1103" s="19" t="s">
        <v>2615</v>
      </c>
      <c r="B1103" s="19" t="s">
        <v>1799</v>
      </c>
      <c r="C1103" s="19" t="n">
        <v>11</v>
      </c>
      <c r="D1103" s="17" t="s">
        <v>827</v>
      </c>
      <c r="E1103" s="19" t="n">
        <v>1024</v>
      </c>
      <c r="F1103" s="17" t="s">
        <v>2742</v>
      </c>
      <c r="G1103" s="17" t="s">
        <v>1104</v>
      </c>
      <c r="H1103" s="19"/>
    </row>
    <row r="1104" customFormat="false" ht="15" hidden="false" customHeight="false" outlineLevel="0" collapsed="false">
      <c r="A1104" s="19" t="s">
        <v>2615</v>
      </c>
      <c r="B1104" s="19" t="s">
        <v>2666</v>
      </c>
      <c r="C1104" s="19" t="n">
        <v>11</v>
      </c>
      <c r="D1104" s="17" t="s">
        <v>2648</v>
      </c>
      <c r="E1104" s="19" t="n">
        <v>8164314.39538053</v>
      </c>
      <c r="F1104" s="17" t="s">
        <v>2743</v>
      </c>
      <c r="G1104" s="17" t="s">
        <v>1104</v>
      </c>
      <c r="H1104" s="19"/>
    </row>
    <row r="1105" customFormat="false" ht="15" hidden="false" customHeight="false" outlineLevel="0" collapsed="false">
      <c r="A1105" s="19" t="s">
        <v>2615</v>
      </c>
      <c r="B1105" s="19" t="s">
        <v>2744</v>
      </c>
      <c r="C1105" s="19" t="n">
        <v>11</v>
      </c>
      <c r="D1105" s="19" t="s">
        <v>790</v>
      </c>
      <c r="E1105" s="19" t="n">
        <v>72</v>
      </c>
      <c r="F1105" s="17" t="s">
        <v>2745</v>
      </c>
      <c r="G1105" s="17" t="s">
        <v>1104</v>
      </c>
      <c r="H1105" s="19"/>
    </row>
    <row r="1106" customFormat="false" ht="15" hidden="false" customHeight="false" outlineLevel="0" collapsed="false">
      <c r="A1106" s="19" t="s">
        <v>2615</v>
      </c>
      <c r="B1106" s="19" t="s">
        <v>2270</v>
      </c>
      <c r="C1106" s="19" t="n">
        <v>11</v>
      </c>
      <c r="D1106" s="17" t="s">
        <v>825</v>
      </c>
      <c r="E1106" s="19" t="n">
        <v>16384</v>
      </c>
      <c r="F1106" s="17" t="s">
        <v>2746</v>
      </c>
      <c r="G1106" s="17" t="s">
        <v>1104</v>
      </c>
      <c r="H1106" s="19"/>
    </row>
    <row r="1107" customFormat="false" ht="15" hidden="false" customHeight="false" outlineLevel="0" collapsed="false">
      <c r="A1107" s="19" t="s">
        <v>2615</v>
      </c>
      <c r="B1107" s="19" t="s">
        <v>1815</v>
      </c>
      <c r="C1107" s="19" t="n">
        <v>11</v>
      </c>
      <c r="D1107" s="17" t="s">
        <v>827</v>
      </c>
      <c r="E1107" s="19" t="n">
        <v>2048</v>
      </c>
      <c r="F1107" s="17" t="s">
        <v>2747</v>
      </c>
      <c r="G1107" s="17" t="s">
        <v>1104</v>
      </c>
      <c r="H1107" s="19"/>
    </row>
    <row r="1108" customFormat="false" ht="15" hidden="false" customHeight="false" outlineLevel="0" collapsed="false">
      <c r="A1108" s="19" t="s">
        <v>2615</v>
      </c>
      <c r="B1108" s="19" t="s">
        <v>2668</v>
      </c>
      <c r="C1108" s="19" t="n">
        <v>11</v>
      </c>
      <c r="D1108" s="17" t="s">
        <v>2648</v>
      </c>
      <c r="E1108" s="19" t="n">
        <v>2496284.49057369</v>
      </c>
      <c r="F1108" s="17" t="s">
        <v>2748</v>
      </c>
      <c r="G1108" s="17" t="s">
        <v>1104</v>
      </c>
      <c r="H1108" s="19"/>
    </row>
    <row r="1109" customFormat="false" ht="15" hidden="false" customHeight="false" outlineLevel="0" collapsed="false">
      <c r="A1109" s="19" t="s">
        <v>2615</v>
      </c>
      <c r="B1109" s="19" t="s">
        <v>2749</v>
      </c>
      <c r="C1109" s="19" t="n">
        <v>11</v>
      </c>
      <c r="D1109" s="19" t="s">
        <v>790</v>
      </c>
      <c r="E1109" s="19" t="n">
        <v>72</v>
      </c>
      <c r="F1109" s="17" t="s">
        <v>2750</v>
      </c>
      <c r="G1109" s="17" t="s">
        <v>1104</v>
      </c>
      <c r="H1109" s="19"/>
    </row>
    <row r="1110" customFormat="false" ht="15" hidden="false" customHeight="false" outlineLevel="0" collapsed="false">
      <c r="A1110" s="19" t="s">
        <v>2615</v>
      </c>
      <c r="B1110" s="19" t="s">
        <v>2293</v>
      </c>
      <c r="C1110" s="19" t="n">
        <v>11</v>
      </c>
      <c r="D1110" s="17" t="s">
        <v>825</v>
      </c>
      <c r="E1110" s="19" t="n">
        <v>32768</v>
      </c>
      <c r="F1110" s="17" t="s">
        <v>2751</v>
      </c>
      <c r="G1110" s="17" t="s">
        <v>1104</v>
      </c>
      <c r="H1110" s="19"/>
    </row>
    <row r="1111" customFormat="false" ht="15" hidden="false" customHeight="false" outlineLevel="0" collapsed="false">
      <c r="A1111" s="19" t="s">
        <v>2615</v>
      </c>
      <c r="B1111" s="19" t="s">
        <v>1831</v>
      </c>
      <c r="C1111" s="19" t="n">
        <v>11</v>
      </c>
      <c r="D1111" s="17" t="s">
        <v>827</v>
      </c>
      <c r="E1111" s="19" t="n">
        <v>4096</v>
      </c>
      <c r="F1111" s="17" t="s">
        <v>2752</v>
      </c>
      <c r="G1111" s="17" t="s">
        <v>1104</v>
      </c>
      <c r="H1111" s="19"/>
    </row>
    <row r="1112" customFormat="false" ht="15" hidden="false" customHeight="false" outlineLevel="0" collapsed="false">
      <c r="A1112" s="19" t="s">
        <v>2615</v>
      </c>
      <c r="B1112" s="19" t="s">
        <v>2670</v>
      </c>
      <c r="C1112" s="19" t="n">
        <v>11</v>
      </c>
      <c r="D1112" s="17" t="s">
        <v>2648</v>
      </c>
      <c r="E1112" s="19" t="n">
        <v>544866.832675706</v>
      </c>
      <c r="F1112" s="17" t="s">
        <v>2753</v>
      </c>
      <c r="G1112" s="17" t="s">
        <v>1104</v>
      </c>
      <c r="H1112" s="19"/>
    </row>
    <row r="1113" customFormat="false" ht="15" hidden="false" customHeight="false" outlineLevel="0" collapsed="false">
      <c r="A1113" s="19" t="s">
        <v>2615</v>
      </c>
      <c r="B1113" s="19" t="s">
        <v>2754</v>
      </c>
      <c r="C1113" s="19" t="n">
        <v>11</v>
      </c>
      <c r="D1113" s="19" t="s">
        <v>790</v>
      </c>
      <c r="E1113" s="19" t="n">
        <v>72</v>
      </c>
      <c r="F1113" s="17" t="s">
        <v>2755</v>
      </c>
      <c r="G1113" s="17" t="s">
        <v>1104</v>
      </c>
      <c r="H1113" s="19"/>
    </row>
    <row r="1114" customFormat="false" ht="15" hidden="false" customHeight="false" outlineLevel="0" collapsed="false">
      <c r="A1114" s="19" t="s">
        <v>2615</v>
      </c>
      <c r="B1114" s="19" t="s">
        <v>2316</v>
      </c>
      <c r="C1114" s="19" t="n">
        <v>11</v>
      </c>
      <c r="D1114" s="17" t="s">
        <v>825</v>
      </c>
      <c r="E1114" s="19" t="n">
        <v>8192</v>
      </c>
      <c r="F1114" s="17" t="s">
        <v>2756</v>
      </c>
      <c r="G1114" s="17" t="s">
        <v>1104</v>
      </c>
      <c r="H1114" s="19"/>
    </row>
    <row r="1115" customFormat="false" ht="15" hidden="false" customHeight="false" outlineLevel="0" collapsed="false">
      <c r="A1115" s="19" t="s">
        <v>2615</v>
      </c>
      <c r="B1115" s="19" t="s">
        <v>1847</v>
      </c>
      <c r="C1115" s="19" t="n">
        <v>11</v>
      </c>
      <c r="D1115" s="17" t="s">
        <v>827</v>
      </c>
      <c r="E1115" s="19" t="n">
        <v>1024</v>
      </c>
      <c r="F1115" s="17" t="s">
        <v>2757</v>
      </c>
      <c r="G1115" s="17" t="s">
        <v>1104</v>
      </c>
      <c r="H1115" s="19"/>
    </row>
    <row r="1116" customFormat="false" ht="15" hidden="false" customHeight="false" outlineLevel="0" collapsed="false">
      <c r="A1116" s="19" t="s">
        <v>2615</v>
      </c>
      <c r="B1116" s="19" t="s">
        <v>2672</v>
      </c>
      <c r="C1116" s="19" t="n">
        <v>11</v>
      </c>
      <c r="D1116" s="17" t="s">
        <v>2648</v>
      </c>
      <c r="E1116" s="19" t="n">
        <v>16465505.637269</v>
      </c>
      <c r="F1116" s="17" t="s">
        <v>2758</v>
      </c>
      <c r="G1116" s="17" t="s">
        <v>1104</v>
      </c>
      <c r="H1116" s="19"/>
    </row>
    <row r="1117" customFormat="false" ht="15" hidden="false" customHeight="false" outlineLevel="0" collapsed="false">
      <c r="A1117" s="19" t="s">
        <v>2615</v>
      </c>
      <c r="B1117" s="19" t="s">
        <v>2759</v>
      </c>
      <c r="C1117" s="19" t="n">
        <v>11</v>
      </c>
      <c r="D1117" s="19" t="s">
        <v>790</v>
      </c>
      <c r="E1117" s="19" t="n">
        <v>72</v>
      </c>
      <c r="F1117" s="17" t="s">
        <v>2760</v>
      </c>
      <c r="G1117" s="17" t="s">
        <v>1104</v>
      </c>
      <c r="H1117" s="19"/>
    </row>
    <row r="1118" customFormat="false" ht="15" hidden="false" customHeight="false" outlineLevel="0" collapsed="false">
      <c r="A1118" s="19" t="s">
        <v>2615</v>
      </c>
      <c r="B1118" s="19" t="s">
        <v>2339</v>
      </c>
      <c r="C1118" s="19" t="n">
        <v>11</v>
      </c>
      <c r="D1118" s="17" t="s">
        <v>825</v>
      </c>
      <c r="E1118" s="19" t="n">
        <v>16384</v>
      </c>
      <c r="F1118" s="17" t="s">
        <v>2761</v>
      </c>
      <c r="G1118" s="17" t="s">
        <v>1104</v>
      </c>
      <c r="H1118" s="19"/>
    </row>
    <row r="1119" customFormat="false" ht="15" hidden="false" customHeight="false" outlineLevel="0" collapsed="false">
      <c r="A1119" s="19" t="s">
        <v>2615</v>
      </c>
      <c r="B1119" s="19" t="s">
        <v>1863</v>
      </c>
      <c r="C1119" s="19" t="n">
        <v>11</v>
      </c>
      <c r="D1119" s="17" t="s">
        <v>827</v>
      </c>
      <c r="E1119" s="19" t="n">
        <v>2048</v>
      </c>
      <c r="F1119" s="17" t="s">
        <v>2762</v>
      </c>
      <c r="G1119" s="17" t="s">
        <v>1104</v>
      </c>
      <c r="H1119" s="19"/>
    </row>
    <row r="1120" customFormat="false" ht="15" hidden="false" customHeight="false" outlineLevel="0" collapsed="false">
      <c r="A1120" s="19" t="s">
        <v>2615</v>
      </c>
      <c r="B1120" s="19" t="s">
        <v>2674</v>
      </c>
      <c r="C1120" s="19" t="n">
        <v>11</v>
      </c>
      <c r="D1120" s="17" t="s">
        <v>2648</v>
      </c>
      <c r="E1120" s="19" t="n">
        <v>5092093.85576685</v>
      </c>
      <c r="F1120" s="17" t="s">
        <v>2763</v>
      </c>
      <c r="G1120" s="17" t="s">
        <v>1104</v>
      </c>
      <c r="H1120" s="19"/>
    </row>
    <row r="1121" customFormat="false" ht="15" hidden="false" customHeight="false" outlineLevel="0" collapsed="false">
      <c r="A1121" s="19" t="s">
        <v>2615</v>
      </c>
      <c r="B1121" s="19" t="s">
        <v>2764</v>
      </c>
      <c r="C1121" s="19" t="n">
        <v>11</v>
      </c>
      <c r="D1121" s="19" t="s">
        <v>790</v>
      </c>
      <c r="E1121" s="19" t="n">
        <v>72</v>
      </c>
      <c r="F1121" s="17" t="s">
        <v>2765</v>
      </c>
      <c r="G1121" s="17" t="s">
        <v>1104</v>
      </c>
      <c r="H1121" s="19"/>
    </row>
    <row r="1122" customFormat="false" ht="15" hidden="false" customHeight="false" outlineLevel="0" collapsed="false">
      <c r="A1122" s="19" t="s">
        <v>2615</v>
      </c>
      <c r="B1122" s="19" t="s">
        <v>2362</v>
      </c>
      <c r="C1122" s="19" t="n">
        <v>11</v>
      </c>
      <c r="D1122" s="17" t="s">
        <v>825</v>
      </c>
      <c r="E1122" s="19" t="n">
        <v>32768</v>
      </c>
      <c r="F1122" s="17" t="s">
        <v>2766</v>
      </c>
      <c r="G1122" s="17" t="s">
        <v>1104</v>
      </c>
      <c r="H1122" s="19"/>
    </row>
    <row r="1123" customFormat="false" ht="15" hidden="false" customHeight="false" outlineLevel="0" collapsed="false">
      <c r="A1123" s="19" t="s">
        <v>2615</v>
      </c>
      <c r="B1123" s="19" t="s">
        <v>1879</v>
      </c>
      <c r="C1123" s="19" t="n">
        <v>11</v>
      </c>
      <c r="D1123" s="17" t="s">
        <v>827</v>
      </c>
      <c r="E1123" s="19" t="n">
        <v>4096</v>
      </c>
      <c r="F1123" s="17" t="s">
        <v>2767</v>
      </c>
      <c r="G1123" s="17" t="s">
        <v>1104</v>
      </c>
      <c r="H1123" s="19"/>
    </row>
    <row r="1124" customFormat="false" ht="15" hidden="false" customHeight="false" outlineLevel="0" collapsed="false">
      <c r="A1124" s="19" t="s">
        <v>2615</v>
      </c>
      <c r="B1124" s="19" t="s">
        <v>2676</v>
      </c>
      <c r="C1124" s="19" t="n">
        <v>11</v>
      </c>
      <c r="D1124" s="17" t="s">
        <v>2648</v>
      </c>
      <c r="E1124" s="19" t="n">
        <v>1154934.71648486</v>
      </c>
      <c r="F1124" s="17" t="s">
        <v>2768</v>
      </c>
      <c r="G1124" s="17" t="s">
        <v>1104</v>
      </c>
      <c r="H1124" s="19"/>
    </row>
    <row r="1125" customFormat="false" ht="15" hidden="false" customHeight="false" outlineLevel="0" collapsed="false">
      <c r="A1125" s="19" t="s">
        <v>2453</v>
      </c>
      <c r="B1125" s="19" t="s">
        <v>2769</v>
      </c>
      <c r="C1125" s="19" t="n">
        <v>11</v>
      </c>
      <c r="D1125" s="17" t="s">
        <v>2770</v>
      </c>
      <c r="E1125" s="19" t="n">
        <v>2.4151756335665</v>
      </c>
      <c r="F1125" s="17" t="s">
        <v>2771</v>
      </c>
      <c r="G1125" s="17" t="s">
        <v>1104</v>
      </c>
      <c r="H1125" s="19"/>
    </row>
    <row r="1126" customFormat="false" ht="15" hidden="false" customHeight="false" outlineLevel="0" collapsed="false">
      <c r="A1126" s="19" t="s">
        <v>2453</v>
      </c>
      <c r="B1126" s="19" t="s">
        <v>2772</v>
      </c>
      <c r="C1126" s="19" t="n">
        <v>11</v>
      </c>
      <c r="D1126" s="17" t="s">
        <v>2770</v>
      </c>
      <c r="E1126" s="19" t="n">
        <v>15.5782690220365</v>
      </c>
      <c r="F1126" s="17" t="s">
        <v>2773</v>
      </c>
      <c r="G1126" s="17" t="s">
        <v>1104</v>
      </c>
      <c r="H1126" s="19"/>
    </row>
    <row r="1127" customFormat="false" ht="15" hidden="false" customHeight="false" outlineLevel="0" collapsed="false">
      <c r="A1127" s="19" t="s">
        <v>2453</v>
      </c>
      <c r="B1127" s="19" t="s">
        <v>2774</v>
      </c>
      <c r="C1127" s="19" t="n">
        <v>11</v>
      </c>
      <c r="D1127" s="17" t="s">
        <v>2770</v>
      </c>
      <c r="E1127" s="19" t="n">
        <v>169.592232970619</v>
      </c>
      <c r="F1127" s="17" t="s">
        <v>2775</v>
      </c>
      <c r="G1127" s="17" t="s">
        <v>1104</v>
      </c>
      <c r="H1127" s="19"/>
    </row>
    <row r="1128" customFormat="false" ht="15" hidden="false" customHeight="false" outlineLevel="0" collapsed="false">
      <c r="A1128" s="19" t="s">
        <v>2453</v>
      </c>
      <c r="B1128" s="19" t="s">
        <v>2776</v>
      </c>
      <c r="C1128" s="19" t="n">
        <v>11</v>
      </c>
      <c r="D1128" s="17" t="s">
        <v>2770</v>
      </c>
      <c r="E1128" s="19" t="n">
        <v>0.324029064537064</v>
      </c>
      <c r="F1128" s="17" t="s">
        <v>2777</v>
      </c>
      <c r="G1128" s="17" t="s">
        <v>1104</v>
      </c>
      <c r="H1128" s="19"/>
    </row>
    <row r="1129" customFormat="false" ht="15" hidden="false" customHeight="false" outlineLevel="0" collapsed="false">
      <c r="A1129" s="19" t="s">
        <v>2453</v>
      </c>
      <c r="B1129" s="19" t="s">
        <v>2778</v>
      </c>
      <c r="C1129" s="19" t="n">
        <v>11</v>
      </c>
      <c r="D1129" s="17" t="s">
        <v>2770</v>
      </c>
      <c r="E1129" s="19" t="n">
        <v>2.17316384248697</v>
      </c>
      <c r="F1129" s="17" t="s">
        <v>2779</v>
      </c>
      <c r="G1129" s="17" t="s">
        <v>1104</v>
      </c>
      <c r="H1129" s="19"/>
    </row>
    <row r="1130" customFormat="false" ht="15" hidden="false" customHeight="false" outlineLevel="0" collapsed="false">
      <c r="A1130" s="19" t="s">
        <v>2453</v>
      </c>
      <c r="B1130" s="19" t="s">
        <v>2780</v>
      </c>
      <c r="C1130" s="19" t="n">
        <v>11</v>
      </c>
      <c r="D1130" s="17" t="s">
        <v>2770</v>
      </c>
      <c r="E1130" s="19" t="n">
        <v>22.0501797608136</v>
      </c>
      <c r="F1130" s="17" t="s">
        <v>2781</v>
      </c>
      <c r="G1130" s="17" t="s">
        <v>1104</v>
      </c>
      <c r="H1130" s="19"/>
    </row>
    <row r="1131" customFormat="false" ht="15" hidden="false" customHeight="false" outlineLevel="0" collapsed="false">
      <c r="A1131" s="19" t="s">
        <v>2453</v>
      </c>
      <c r="B1131" s="19" t="s">
        <v>2782</v>
      </c>
      <c r="C1131" s="19" t="n">
        <v>11</v>
      </c>
      <c r="D1131" s="17" t="s">
        <v>2770</v>
      </c>
      <c r="E1131" s="19" t="n">
        <v>0.242891263710489</v>
      </c>
      <c r="F1131" s="17" t="s">
        <v>2783</v>
      </c>
      <c r="G1131" s="17" t="s">
        <v>1104</v>
      </c>
      <c r="H1131" s="19"/>
    </row>
    <row r="1132" customFormat="false" ht="15" hidden="false" customHeight="false" outlineLevel="0" collapsed="false">
      <c r="A1132" s="19" t="s">
        <v>2453</v>
      </c>
      <c r="B1132" s="19" t="s">
        <v>2784</v>
      </c>
      <c r="C1132" s="19" t="n">
        <v>11</v>
      </c>
      <c r="D1132" s="17" t="s">
        <v>2770</v>
      </c>
      <c r="E1132" s="19" t="n">
        <v>1.62769824908485</v>
      </c>
      <c r="F1132" s="17" t="s">
        <v>2785</v>
      </c>
      <c r="G1132" s="17" t="s">
        <v>1104</v>
      </c>
      <c r="H1132" s="19"/>
    </row>
    <row r="1133" customFormat="false" ht="15" hidden="false" customHeight="false" outlineLevel="0" collapsed="false">
      <c r="A1133" s="19" t="s">
        <v>2453</v>
      </c>
      <c r="B1133" s="19" t="s">
        <v>2786</v>
      </c>
      <c r="C1133" s="19" t="n">
        <v>11</v>
      </c>
      <c r="D1133" s="17" t="s">
        <v>2770</v>
      </c>
      <c r="E1133" s="19" t="n">
        <v>18.582399057817</v>
      </c>
      <c r="F1133" s="17" t="s">
        <v>2787</v>
      </c>
      <c r="G1133" s="17" t="s">
        <v>1104</v>
      </c>
      <c r="H1133" s="19"/>
    </row>
    <row r="1134" customFormat="false" ht="15" hidden="false" customHeight="false" outlineLevel="0" collapsed="false">
      <c r="A1134" s="19" t="s">
        <v>2453</v>
      </c>
      <c r="B1134" s="19" t="s">
        <v>2788</v>
      </c>
      <c r="C1134" s="19" t="n">
        <v>11</v>
      </c>
      <c r="D1134" s="17" t="s">
        <v>2770</v>
      </c>
      <c r="E1134" s="19" t="n">
        <v>0.100624621377257</v>
      </c>
      <c r="F1134" s="17" t="s">
        <v>2789</v>
      </c>
      <c r="G1134" s="17" t="s">
        <v>1104</v>
      </c>
      <c r="H1134" s="19"/>
    </row>
    <row r="1135" customFormat="false" ht="15" hidden="false" customHeight="false" outlineLevel="0" collapsed="false">
      <c r="A1135" s="19" t="s">
        <v>2453</v>
      </c>
      <c r="B1135" s="19" t="s">
        <v>2790</v>
      </c>
      <c r="C1135" s="19" t="n">
        <v>11</v>
      </c>
      <c r="D1135" s="17" t="s">
        <v>2770</v>
      </c>
      <c r="E1135" s="19" t="n">
        <v>0.646708983718701</v>
      </c>
      <c r="F1135" s="17" t="s">
        <v>2791</v>
      </c>
      <c r="G1135" s="17" t="s">
        <v>1104</v>
      </c>
      <c r="H1135" s="19"/>
    </row>
    <row r="1136" customFormat="false" ht="15" hidden="false" customHeight="false" outlineLevel="0" collapsed="false">
      <c r="A1136" s="19" t="s">
        <v>2453</v>
      </c>
      <c r="B1136" s="19" t="s">
        <v>2792</v>
      </c>
      <c r="C1136" s="19" t="n">
        <v>11</v>
      </c>
      <c r="D1136" s="17" t="s">
        <v>2770</v>
      </c>
      <c r="E1136" s="19" t="n">
        <v>6.12585723164582</v>
      </c>
      <c r="F1136" s="17" t="s">
        <v>2793</v>
      </c>
      <c r="G1136" s="17" t="s">
        <v>1104</v>
      </c>
      <c r="H1136" s="19"/>
    </row>
    <row r="1137" customFormat="false" ht="15" hidden="false" customHeight="false" outlineLevel="0" collapsed="false">
      <c r="A1137" s="19" t="s">
        <v>2453</v>
      </c>
      <c r="B1137" s="19" t="s">
        <v>2794</v>
      </c>
      <c r="C1137" s="19" t="n">
        <v>11</v>
      </c>
      <c r="D1137" s="17" t="s">
        <v>2770</v>
      </c>
      <c r="E1137" s="19" t="n">
        <v>0.0498637284987444</v>
      </c>
      <c r="F1137" s="17" t="s">
        <v>2795</v>
      </c>
      <c r="G1137" s="17" t="s">
        <v>1104</v>
      </c>
      <c r="H1137" s="19"/>
    </row>
    <row r="1138" customFormat="false" ht="15" hidden="false" customHeight="false" outlineLevel="0" collapsed="false">
      <c r="A1138" s="19" t="s">
        <v>2453</v>
      </c>
      <c r="B1138" s="19" t="s">
        <v>2796</v>
      </c>
      <c r="C1138" s="19" t="n">
        <v>11</v>
      </c>
      <c r="D1138" s="17" t="s">
        <v>2770</v>
      </c>
      <c r="E1138" s="19" t="n">
        <v>0.316734475077863</v>
      </c>
      <c r="F1138" s="17" t="s">
        <v>2797</v>
      </c>
      <c r="G1138" s="17" t="s">
        <v>1104</v>
      </c>
      <c r="H1138" s="19"/>
    </row>
    <row r="1139" customFormat="false" ht="15" hidden="false" customHeight="false" outlineLevel="0" collapsed="false">
      <c r="A1139" s="19" t="s">
        <v>2453</v>
      </c>
      <c r="B1139" s="19" t="s">
        <v>2798</v>
      </c>
      <c r="C1139" s="19" t="n">
        <v>11</v>
      </c>
      <c r="D1139" s="17" t="s">
        <v>2770</v>
      </c>
      <c r="E1139" s="19" t="n">
        <v>2.87557066533895</v>
      </c>
      <c r="F1139" s="17" t="s">
        <v>2799</v>
      </c>
      <c r="G1139" s="17" t="s">
        <v>1104</v>
      </c>
      <c r="H1139" s="19"/>
    </row>
    <row r="1140" customFormat="false" ht="15" hidden="false" customHeight="false" outlineLevel="0" collapsed="false">
      <c r="A1140" s="55" t="s">
        <v>1100</v>
      </c>
      <c r="B1140" s="55" t="s">
        <v>1339</v>
      </c>
      <c r="C1140" s="55" t="n">
        <v>12</v>
      </c>
      <c r="D1140" s="66" t="s">
        <v>2800</v>
      </c>
      <c r="E1140" s="55" t="n">
        <v>0.55</v>
      </c>
      <c r="F1140" s="55"/>
      <c r="G1140" s="66" t="s">
        <v>1122</v>
      </c>
      <c r="H1140" s="55" t="s">
        <v>140</v>
      </c>
    </row>
    <row r="1141" customFormat="false" ht="15" hidden="false" customHeight="false" outlineLevel="0" collapsed="false">
      <c r="A1141" s="19" t="s">
        <v>1389</v>
      </c>
      <c r="B1141" s="19" t="s">
        <v>1258</v>
      </c>
      <c r="C1141" s="19" t="n">
        <v>12</v>
      </c>
      <c r="D1141" s="17" t="s">
        <v>2801</v>
      </c>
      <c r="E1141" s="19" t="n">
        <v>22439</v>
      </c>
      <c r="F1141" s="17" t="s">
        <v>2802</v>
      </c>
      <c r="G1141" s="17" t="s">
        <v>1104</v>
      </c>
      <c r="H1141" s="19"/>
    </row>
    <row r="1142" customFormat="false" ht="15" hidden="false" customHeight="false" outlineLevel="0" collapsed="false">
      <c r="A1142" s="19" t="s">
        <v>1389</v>
      </c>
      <c r="B1142" s="19" t="s">
        <v>1210</v>
      </c>
      <c r="C1142" s="19" t="n">
        <v>12</v>
      </c>
      <c r="D1142" s="17" t="s">
        <v>717</v>
      </c>
      <c r="E1142" s="19" t="n">
        <v>20.1951</v>
      </c>
      <c r="F1142" s="17" t="s">
        <v>2803</v>
      </c>
      <c r="G1142" s="17" t="s">
        <v>1104</v>
      </c>
      <c r="H1142" s="19"/>
    </row>
    <row r="1143" customFormat="false" ht="15" hidden="false" customHeight="false" outlineLevel="0" collapsed="false">
      <c r="A1143" s="19" t="s">
        <v>1389</v>
      </c>
      <c r="B1143" s="19" t="s">
        <v>1216</v>
      </c>
      <c r="C1143" s="19" t="n">
        <v>12</v>
      </c>
      <c r="D1143" s="19" t="s">
        <v>720</v>
      </c>
      <c r="E1143" s="19" t="n">
        <v>1.009755</v>
      </c>
      <c r="F1143" s="17" t="s">
        <v>2804</v>
      </c>
      <c r="G1143" s="17" t="s">
        <v>1104</v>
      </c>
      <c r="H1143" s="19"/>
    </row>
    <row r="1144" customFormat="false" ht="15" hidden="false" customHeight="false" outlineLevel="0" collapsed="false">
      <c r="A1144" s="19" t="s">
        <v>1389</v>
      </c>
      <c r="B1144" s="19" t="s">
        <v>1255</v>
      </c>
      <c r="C1144" s="19" t="n">
        <v>12</v>
      </c>
      <c r="D1144" s="17" t="s">
        <v>722</v>
      </c>
      <c r="E1144" s="19" t="n">
        <v>0.2154144</v>
      </c>
      <c r="F1144" s="17" t="s">
        <v>2805</v>
      </c>
      <c r="G1144" s="17" t="s">
        <v>1104</v>
      </c>
      <c r="H1144" s="19"/>
    </row>
    <row r="1145" customFormat="false" ht="15" hidden="false" customHeight="false" outlineLevel="0" collapsed="false">
      <c r="A1145" s="19" t="s">
        <v>1389</v>
      </c>
      <c r="B1145" s="19" t="s">
        <v>1156</v>
      </c>
      <c r="C1145" s="19" t="n">
        <v>12</v>
      </c>
      <c r="D1145" s="17" t="s">
        <v>558</v>
      </c>
      <c r="E1145" s="19" t="n">
        <v>1.092</v>
      </c>
      <c r="F1145" s="17" t="s">
        <v>2806</v>
      </c>
      <c r="G1145" s="17" t="s">
        <v>1104</v>
      </c>
      <c r="H1145" s="19"/>
    </row>
    <row r="1146" customFormat="false" ht="15" hidden="false" customHeight="false" outlineLevel="0" collapsed="false">
      <c r="A1146" s="19" t="s">
        <v>1389</v>
      </c>
      <c r="B1146" s="19" t="s">
        <v>2807</v>
      </c>
      <c r="C1146" s="19" t="n">
        <v>12</v>
      </c>
      <c r="D1146" s="17" t="s">
        <v>2801</v>
      </c>
      <c r="E1146" s="19" t="n">
        <v>22439</v>
      </c>
      <c r="F1146" s="17" t="s">
        <v>2808</v>
      </c>
      <c r="G1146" s="17" t="s">
        <v>1104</v>
      </c>
      <c r="H1146" s="19"/>
    </row>
    <row r="1147" customFormat="false" ht="15" hidden="false" customHeight="false" outlineLevel="0" collapsed="false">
      <c r="A1147" s="19" t="s">
        <v>1389</v>
      </c>
      <c r="B1147" s="19" t="s">
        <v>1231</v>
      </c>
      <c r="C1147" s="19" t="n">
        <v>12</v>
      </c>
      <c r="D1147" s="17" t="s">
        <v>717</v>
      </c>
      <c r="E1147" s="19" t="n">
        <v>24.6829</v>
      </c>
      <c r="F1147" s="17" t="s">
        <v>2809</v>
      </c>
      <c r="G1147" s="17" t="s">
        <v>1104</v>
      </c>
      <c r="H1147" s="19"/>
    </row>
    <row r="1148" customFormat="false" ht="15" hidden="false" customHeight="false" outlineLevel="0" collapsed="false">
      <c r="A1148" s="19" t="s">
        <v>1389</v>
      </c>
      <c r="B1148" s="19" t="s">
        <v>1235</v>
      </c>
      <c r="C1148" s="19" t="n">
        <v>12</v>
      </c>
      <c r="D1148" s="19" t="s">
        <v>720</v>
      </c>
      <c r="E1148" s="19" t="n">
        <v>2.46829</v>
      </c>
      <c r="F1148" s="17" t="s">
        <v>2810</v>
      </c>
      <c r="G1148" s="17" t="s">
        <v>1104</v>
      </c>
      <c r="H1148" s="19"/>
    </row>
    <row r="1149" customFormat="false" ht="15" hidden="false" customHeight="false" outlineLevel="0" collapsed="false">
      <c r="A1149" s="19" t="s">
        <v>1389</v>
      </c>
      <c r="B1149" s="19" t="s">
        <v>1373</v>
      </c>
      <c r="C1149" s="19" t="n">
        <v>12</v>
      </c>
      <c r="D1149" s="17" t="s">
        <v>722</v>
      </c>
      <c r="E1149" s="19" t="n">
        <v>0.359024</v>
      </c>
      <c r="F1149" s="17" t="s">
        <v>2811</v>
      </c>
      <c r="G1149" s="17" t="s">
        <v>1104</v>
      </c>
      <c r="H1149" s="19"/>
    </row>
    <row r="1150" customFormat="false" ht="15" hidden="false" customHeight="false" outlineLevel="0" collapsed="false">
      <c r="A1150" s="19" t="s">
        <v>1389</v>
      </c>
      <c r="B1150" s="19" t="s">
        <v>1267</v>
      </c>
      <c r="C1150" s="19" t="n">
        <v>12</v>
      </c>
      <c r="D1150" s="17" t="s">
        <v>558</v>
      </c>
      <c r="E1150" s="19" t="n">
        <v>1.65</v>
      </c>
      <c r="F1150" s="17" t="s">
        <v>2812</v>
      </c>
      <c r="G1150" s="17" t="s">
        <v>1104</v>
      </c>
      <c r="H1150" s="19"/>
    </row>
    <row r="1151" customFormat="false" ht="15" hidden="false" customHeight="false" outlineLevel="0" collapsed="false">
      <c r="A1151" s="19" t="s">
        <v>1389</v>
      </c>
      <c r="B1151" s="19" t="s">
        <v>2813</v>
      </c>
      <c r="C1151" s="19" t="n">
        <v>12</v>
      </c>
      <c r="D1151" s="17" t="s">
        <v>2801</v>
      </c>
      <c r="E1151" s="19" t="n">
        <v>22439</v>
      </c>
      <c r="F1151" s="17" t="s">
        <v>2814</v>
      </c>
      <c r="G1151" s="17" t="s">
        <v>1104</v>
      </c>
      <c r="H1151" s="19"/>
    </row>
    <row r="1152" customFormat="false" ht="15" hidden="false" customHeight="false" outlineLevel="0" collapsed="false">
      <c r="A1152" s="19" t="s">
        <v>1389</v>
      </c>
      <c r="B1152" s="19" t="s">
        <v>1239</v>
      </c>
      <c r="C1152" s="19" t="n">
        <v>12</v>
      </c>
      <c r="D1152" s="17" t="s">
        <v>717</v>
      </c>
      <c r="E1152" s="19" t="n">
        <v>29.1707</v>
      </c>
      <c r="F1152" s="17" t="s">
        <v>2815</v>
      </c>
      <c r="G1152" s="17" t="s">
        <v>1104</v>
      </c>
      <c r="H1152" s="19"/>
    </row>
    <row r="1153" customFormat="false" ht="15" hidden="false" customHeight="false" outlineLevel="0" collapsed="false">
      <c r="A1153" s="19" t="s">
        <v>1389</v>
      </c>
      <c r="B1153" s="19" t="s">
        <v>1243</v>
      </c>
      <c r="C1153" s="19" t="n">
        <v>12</v>
      </c>
      <c r="D1153" s="19" t="s">
        <v>720</v>
      </c>
      <c r="E1153" s="19" t="n">
        <v>4.375605</v>
      </c>
      <c r="F1153" s="17" t="s">
        <v>2816</v>
      </c>
      <c r="G1153" s="17" t="s">
        <v>1104</v>
      </c>
      <c r="H1153" s="19"/>
    </row>
    <row r="1154" customFormat="false" ht="15" hidden="false" customHeight="false" outlineLevel="0" collapsed="false">
      <c r="A1154" s="19" t="s">
        <v>1389</v>
      </c>
      <c r="B1154" s="19" t="s">
        <v>1375</v>
      </c>
      <c r="C1154" s="19" t="n">
        <v>12</v>
      </c>
      <c r="D1154" s="17" t="s">
        <v>722</v>
      </c>
      <c r="E1154" s="19" t="n">
        <v>0.5744384</v>
      </c>
      <c r="F1154" s="17" t="s">
        <v>2817</v>
      </c>
      <c r="G1154" s="17" t="s">
        <v>1104</v>
      </c>
      <c r="H1154" s="19"/>
    </row>
    <row r="1155" customFormat="false" ht="15" hidden="false" customHeight="false" outlineLevel="0" collapsed="false">
      <c r="A1155" s="19" t="s">
        <v>1389</v>
      </c>
      <c r="B1155" s="19" t="s">
        <v>1268</v>
      </c>
      <c r="C1155" s="19" t="n">
        <v>12</v>
      </c>
      <c r="D1155" s="17" t="s">
        <v>558</v>
      </c>
      <c r="E1155" s="19" t="n">
        <v>2.466</v>
      </c>
      <c r="F1155" s="17" t="s">
        <v>2818</v>
      </c>
      <c r="G1155" s="17" t="s">
        <v>1104</v>
      </c>
      <c r="H1155" s="19"/>
    </row>
    <row r="1156" customFormat="false" ht="15" hidden="false" customHeight="false" outlineLevel="0" collapsed="false">
      <c r="A1156" s="19" t="s">
        <v>1389</v>
      </c>
      <c r="B1156" s="19" t="s">
        <v>2819</v>
      </c>
      <c r="C1156" s="19" t="n">
        <v>12</v>
      </c>
      <c r="D1156" s="17" t="s">
        <v>2801</v>
      </c>
      <c r="E1156" s="19" t="n">
        <v>6969</v>
      </c>
      <c r="F1156" s="17" t="s">
        <v>2820</v>
      </c>
      <c r="G1156" s="17" t="s">
        <v>1104</v>
      </c>
      <c r="H1156" s="19"/>
    </row>
    <row r="1157" customFormat="false" ht="15" hidden="false" customHeight="false" outlineLevel="0" collapsed="false">
      <c r="A1157" s="19" t="s">
        <v>1389</v>
      </c>
      <c r="B1157" s="19" t="s">
        <v>1247</v>
      </c>
      <c r="C1157" s="19" t="n">
        <v>12</v>
      </c>
      <c r="D1157" s="17" t="s">
        <v>717</v>
      </c>
      <c r="E1157" s="19" t="n">
        <v>19.5132</v>
      </c>
      <c r="F1157" s="17" t="s">
        <v>2821</v>
      </c>
      <c r="G1157" s="17" t="s">
        <v>1104</v>
      </c>
      <c r="H1157" s="19"/>
    </row>
    <row r="1158" customFormat="false" ht="15" hidden="false" customHeight="false" outlineLevel="0" collapsed="false">
      <c r="A1158" s="19" t="s">
        <v>1389</v>
      </c>
      <c r="B1158" s="19" t="s">
        <v>1251</v>
      </c>
      <c r="C1158" s="19" t="n">
        <v>12</v>
      </c>
      <c r="D1158" s="19" t="s">
        <v>720</v>
      </c>
      <c r="E1158" s="19" t="n">
        <v>0.97566</v>
      </c>
      <c r="F1158" s="17" t="s">
        <v>2822</v>
      </c>
      <c r="G1158" s="17" t="s">
        <v>1104</v>
      </c>
      <c r="H1158" s="19"/>
    </row>
    <row r="1159" customFormat="false" ht="15" hidden="false" customHeight="false" outlineLevel="0" collapsed="false">
      <c r="A1159" s="19" t="s">
        <v>1389</v>
      </c>
      <c r="B1159" s="19" t="s">
        <v>1377</v>
      </c>
      <c r="C1159" s="19" t="n">
        <v>12</v>
      </c>
      <c r="D1159" s="17" t="s">
        <v>722</v>
      </c>
      <c r="E1159" s="19" t="n">
        <v>0.1505304</v>
      </c>
      <c r="F1159" s="17" t="s">
        <v>2823</v>
      </c>
      <c r="G1159" s="17" t="s">
        <v>1104</v>
      </c>
      <c r="H1159" s="19"/>
    </row>
    <row r="1160" customFormat="false" ht="15" hidden="false" customHeight="false" outlineLevel="0" collapsed="false">
      <c r="A1160" s="19" t="s">
        <v>1389</v>
      </c>
      <c r="B1160" s="19" t="s">
        <v>1484</v>
      </c>
      <c r="C1160" s="19" t="n">
        <v>12</v>
      </c>
      <c r="D1160" s="17" t="s">
        <v>558</v>
      </c>
      <c r="E1160" s="19" t="n">
        <v>1.092</v>
      </c>
      <c r="F1160" s="17" t="s">
        <v>2824</v>
      </c>
      <c r="G1160" s="17" t="s">
        <v>1104</v>
      </c>
      <c r="H1160" s="19"/>
    </row>
    <row r="1161" customFormat="false" ht="15" hidden="false" customHeight="false" outlineLevel="0" collapsed="false">
      <c r="A1161" s="19" t="s">
        <v>1389</v>
      </c>
      <c r="B1161" s="19" t="s">
        <v>2825</v>
      </c>
      <c r="C1161" s="19" t="n">
        <v>12</v>
      </c>
      <c r="D1161" s="17" t="s">
        <v>2801</v>
      </c>
      <c r="E1161" s="19" t="n">
        <v>6969</v>
      </c>
      <c r="F1161" s="17" t="s">
        <v>2826</v>
      </c>
      <c r="G1161" s="17" t="s">
        <v>1104</v>
      </c>
      <c r="H1161" s="19"/>
    </row>
    <row r="1162" customFormat="false" ht="15" hidden="false" customHeight="false" outlineLevel="0" collapsed="false">
      <c r="A1162" s="19" t="s">
        <v>1389</v>
      </c>
      <c r="B1162" s="19" t="s">
        <v>1427</v>
      </c>
      <c r="C1162" s="19" t="n">
        <v>12</v>
      </c>
      <c r="D1162" s="17" t="s">
        <v>717</v>
      </c>
      <c r="E1162" s="19" t="n">
        <v>21.6039</v>
      </c>
      <c r="F1162" s="17" t="s">
        <v>2827</v>
      </c>
      <c r="G1162" s="17" t="s">
        <v>1104</v>
      </c>
      <c r="H1162" s="19"/>
    </row>
    <row r="1163" customFormat="false" ht="15" hidden="false" customHeight="false" outlineLevel="0" collapsed="false">
      <c r="A1163" s="19" t="s">
        <v>1389</v>
      </c>
      <c r="B1163" s="19" t="s">
        <v>1488</v>
      </c>
      <c r="C1163" s="19" t="n">
        <v>12</v>
      </c>
      <c r="D1163" s="19" t="s">
        <v>720</v>
      </c>
      <c r="E1163" s="19" t="n">
        <v>2.16039</v>
      </c>
      <c r="F1163" s="17" t="s">
        <v>2828</v>
      </c>
      <c r="G1163" s="17" t="s">
        <v>1104</v>
      </c>
      <c r="H1163" s="19"/>
    </row>
    <row r="1164" customFormat="false" ht="15" hidden="false" customHeight="false" outlineLevel="0" collapsed="false">
      <c r="A1164" s="19" t="s">
        <v>1389</v>
      </c>
      <c r="B1164" s="19" t="s">
        <v>2829</v>
      </c>
      <c r="C1164" s="19" t="n">
        <v>12</v>
      </c>
      <c r="D1164" s="17" t="s">
        <v>722</v>
      </c>
      <c r="E1164" s="19" t="n">
        <v>0.250884</v>
      </c>
      <c r="F1164" s="17" t="s">
        <v>2830</v>
      </c>
      <c r="G1164" s="17" t="s">
        <v>1104</v>
      </c>
      <c r="H1164" s="19"/>
    </row>
    <row r="1165" customFormat="false" ht="15" hidden="false" customHeight="false" outlineLevel="0" collapsed="false">
      <c r="A1165" s="19" t="s">
        <v>1389</v>
      </c>
      <c r="B1165" s="19" t="s">
        <v>1490</v>
      </c>
      <c r="C1165" s="19" t="n">
        <v>12</v>
      </c>
      <c r="D1165" s="17" t="s">
        <v>558</v>
      </c>
      <c r="E1165" s="19" t="n">
        <v>1.65</v>
      </c>
      <c r="F1165" s="17" t="s">
        <v>2831</v>
      </c>
      <c r="G1165" s="17" t="s">
        <v>1104</v>
      </c>
      <c r="H1165" s="19"/>
    </row>
    <row r="1166" customFormat="false" ht="15" hidden="false" customHeight="false" outlineLevel="0" collapsed="false">
      <c r="A1166" s="19" t="s">
        <v>1389</v>
      </c>
      <c r="B1166" s="19" t="s">
        <v>2832</v>
      </c>
      <c r="C1166" s="19" t="n">
        <v>12</v>
      </c>
      <c r="D1166" s="17" t="s">
        <v>2801</v>
      </c>
      <c r="E1166" s="19" t="n">
        <v>6969</v>
      </c>
      <c r="F1166" s="17" t="s">
        <v>2833</v>
      </c>
      <c r="G1166" s="17" t="s">
        <v>1104</v>
      </c>
      <c r="H1166" s="19"/>
    </row>
    <row r="1167" customFormat="false" ht="15" hidden="false" customHeight="false" outlineLevel="0" collapsed="false">
      <c r="A1167" s="19" t="s">
        <v>1389</v>
      </c>
      <c r="B1167" s="19" t="s">
        <v>1429</v>
      </c>
      <c r="C1167" s="19" t="n">
        <v>12</v>
      </c>
      <c r="D1167" s="17" t="s">
        <v>717</v>
      </c>
      <c r="E1167" s="19" t="n">
        <v>23.6946</v>
      </c>
      <c r="F1167" s="17" t="s">
        <v>2834</v>
      </c>
      <c r="G1167" s="17" t="s">
        <v>1104</v>
      </c>
      <c r="H1167" s="19"/>
    </row>
    <row r="1168" customFormat="false" ht="15" hidden="false" customHeight="false" outlineLevel="0" collapsed="false">
      <c r="A1168" s="19" t="s">
        <v>1389</v>
      </c>
      <c r="B1168" s="19" t="s">
        <v>1494</v>
      </c>
      <c r="C1168" s="19" t="n">
        <v>12</v>
      </c>
      <c r="D1168" s="19" t="s">
        <v>720</v>
      </c>
      <c r="E1168" s="19" t="n">
        <v>3.55419</v>
      </c>
      <c r="F1168" s="17" t="s">
        <v>2835</v>
      </c>
      <c r="G1168" s="17" t="s">
        <v>1104</v>
      </c>
      <c r="H1168" s="19"/>
    </row>
    <row r="1169" customFormat="false" ht="15" hidden="false" customHeight="false" outlineLevel="0" collapsed="false">
      <c r="A1169" s="19" t="s">
        <v>1389</v>
      </c>
      <c r="B1169" s="19" t="s">
        <v>2836</v>
      </c>
      <c r="C1169" s="19" t="n">
        <v>12</v>
      </c>
      <c r="D1169" s="17" t="s">
        <v>722</v>
      </c>
      <c r="E1169" s="19" t="n">
        <v>0.4014144</v>
      </c>
      <c r="F1169" s="17" t="s">
        <v>2837</v>
      </c>
      <c r="G1169" s="17" t="s">
        <v>1104</v>
      </c>
      <c r="H1169" s="19"/>
    </row>
    <row r="1170" customFormat="false" ht="15" hidden="false" customHeight="false" outlineLevel="0" collapsed="false">
      <c r="A1170" s="19" t="s">
        <v>1389</v>
      </c>
      <c r="B1170" s="19" t="s">
        <v>1496</v>
      </c>
      <c r="C1170" s="19" t="n">
        <v>12</v>
      </c>
      <c r="D1170" s="17" t="s">
        <v>558</v>
      </c>
      <c r="E1170" s="19" t="n">
        <v>2.466</v>
      </c>
      <c r="F1170" s="17" t="s">
        <v>2838</v>
      </c>
      <c r="G1170" s="17" t="s">
        <v>1104</v>
      </c>
      <c r="H1170" s="19"/>
    </row>
    <row r="1171" customFormat="false" ht="15" hidden="false" customHeight="false" outlineLevel="0" collapsed="false">
      <c r="A1171" s="19" t="s">
        <v>1389</v>
      </c>
      <c r="B1171" s="19" t="s">
        <v>2839</v>
      </c>
      <c r="C1171" s="19" t="n">
        <v>12</v>
      </c>
      <c r="D1171" s="17" t="s">
        <v>2801</v>
      </c>
      <c r="E1171" s="19" t="n">
        <v>6764</v>
      </c>
      <c r="F1171" s="17" t="s">
        <v>2840</v>
      </c>
      <c r="G1171" s="17" t="s">
        <v>1104</v>
      </c>
      <c r="H1171" s="19"/>
    </row>
    <row r="1172" customFormat="false" ht="15" hidden="false" customHeight="false" outlineLevel="0" collapsed="false">
      <c r="A1172" s="19" t="s">
        <v>1389</v>
      </c>
      <c r="B1172" s="19" t="s">
        <v>1431</v>
      </c>
      <c r="C1172" s="19" t="n">
        <v>12</v>
      </c>
      <c r="D1172" s="17" t="s">
        <v>717</v>
      </c>
      <c r="E1172" s="19" t="n">
        <v>27.056</v>
      </c>
      <c r="F1172" s="17" t="s">
        <v>2841</v>
      </c>
      <c r="G1172" s="17" t="s">
        <v>1104</v>
      </c>
      <c r="H1172" s="19"/>
    </row>
    <row r="1173" customFormat="false" ht="15" hidden="false" customHeight="false" outlineLevel="0" collapsed="false">
      <c r="A1173" s="19" t="s">
        <v>1389</v>
      </c>
      <c r="B1173" s="19" t="s">
        <v>1500</v>
      </c>
      <c r="C1173" s="19" t="n">
        <v>12</v>
      </c>
      <c r="D1173" s="19" t="s">
        <v>720</v>
      </c>
      <c r="E1173" s="19" t="n">
        <v>1.3528</v>
      </c>
      <c r="F1173" s="17" t="s">
        <v>2842</v>
      </c>
      <c r="G1173" s="17" t="s">
        <v>1104</v>
      </c>
      <c r="H1173" s="19"/>
    </row>
    <row r="1174" customFormat="false" ht="15" hidden="false" customHeight="false" outlineLevel="0" collapsed="false">
      <c r="A1174" s="19" t="s">
        <v>1389</v>
      </c>
      <c r="B1174" s="19" t="s">
        <v>2843</v>
      </c>
      <c r="C1174" s="19" t="n">
        <v>12</v>
      </c>
      <c r="D1174" s="17" t="s">
        <v>722</v>
      </c>
      <c r="E1174" s="19" t="n">
        <v>0.1461024</v>
      </c>
      <c r="F1174" s="17" t="s">
        <v>2844</v>
      </c>
      <c r="G1174" s="17" t="s">
        <v>1104</v>
      </c>
      <c r="H1174" s="19"/>
    </row>
    <row r="1175" customFormat="false" ht="15" hidden="false" customHeight="false" outlineLevel="0" collapsed="false">
      <c r="A1175" s="19" t="s">
        <v>1389</v>
      </c>
      <c r="B1175" s="19" t="s">
        <v>1502</v>
      </c>
      <c r="C1175" s="19" t="n">
        <v>12</v>
      </c>
      <c r="D1175" s="17" t="s">
        <v>558</v>
      </c>
      <c r="E1175" s="19" t="n">
        <v>1.092</v>
      </c>
      <c r="F1175" s="17" t="s">
        <v>2845</v>
      </c>
      <c r="G1175" s="17" t="s">
        <v>1104</v>
      </c>
      <c r="H1175" s="19"/>
    </row>
    <row r="1176" customFormat="false" ht="15" hidden="false" customHeight="false" outlineLevel="0" collapsed="false">
      <c r="A1176" s="19" t="s">
        <v>1389</v>
      </c>
      <c r="B1176" s="19" t="s">
        <v>2846</v>
      </c>
      <c r="C1176" s="19" t="n">
        <v>12</v>
      </c>
      <c r="D1176" s="17" t="s">
        <v>2801</v>
      </c>
      <c r="E1176" s="19" t="n">
        <v>6764</v>
      </c>
      <c r="F1176" s="17" t="s">
        <v>2847</v>
      </c>
      <c r="G1176" s="17" t="s">
        <v>1104</v>
      </c>
      <c r="H1176" s="19"/>
    </row>
    <row r="1177" customFormat="false" ht="15" hidden="false" customHeight="false" outlineLevel="0" collapsed="false">
      <c r="A1177" s="19" t="s">
        <v>1389</v>
      </c>
      <c r="B1177" s="19" t="s">
        <v>1433</v>
      </c>
      <c r="C1177" s="19" t="n">
        <v>12</v>
      </c>
      <c r="D1177" s="17" t="s">
        <v>717</v>
      </c>
      <c r="E1177" s="19" t="n">
        <v>29.0852</v>
      </c>
      <c r="F1177" s="17" t="s">
        <v>2848</v>
      </c>
      <c r="G1177" s="17" t="s">
        <v>1104</v>
      </c>
      <c r="H1177" s="19"/>
    </row>
    <row r="1178" customFormat="false" ht="15" hidden="false" customHeight="false" outlineLevel="0" collapsed="false">
      <c r="A1178" s="19" t="s">
        <v>1389</v>
      </c>
      <c r="B1178" s="19" t="s">
        <v>1506</v>
      </c>
      <c r="C1178" s="19" t="n">
        <v>12</v>
      </c>
      <c r="D1178" s="19" t="s">
        <v>720</v>
      </c>
      <c r="E1178" s="19" t="n">
        <v>2.90852</v>
      </c>
      <c r="F1178" s="17" t="s">
        <v>2849</v>
      </c>
      <c r="G1178" s="17" t="s">
        <v>1104</v>
      </c>
      <c r="H1178" s="19"/>
    </row>
    <row r="1179" customFormat="false" ht="15" hidden="false" customHeight="false" outlineLevel="0" collapsed="false">
      <c r="A1179" s="19" t="s">
        <v>1389</v>
      </c>
      <c r="B1179" s="19" t="s">
        <v>2850</v>
      </c>
      <c r="C1179" s="19" t="n">
        <v>12</v>
      </c>
      <c r="D1179" s="17" t="s">
        <v>722</v>
      </c>
      <c r="E1179" s="19" t="n">
        <v>0.243504</v>
      </c>
      <c r="F1179" s="17" t="s">
        <v>2851</v>
      </c>
      <c r="G1179" s="17" t="s">
        <v>1104</v>
      </c>
      <c r="H1179" s="19"/>
    </row>
    <row r="1180" customFormat="false" ht="15" hidden="false" customHeight="false" outlineLevel="0" collapsed="false">
      <c r="A1180" s="19" t="s">
        <v>1389</v>
      </c>
      <c r="B1180" s="19" t="s">
        <v>1508</v>
      </c>
      <c r="C1180" s="19" t="n">
        <v>12</v>
      </c>
      <c r="D1180" s="17" t="s">
        <v>558</v>
      </c>
      <c r="E1180" s="19" t="n">
        <v>1.65</v>
      </c>
      <c r="F1180" s="17" t="s">
        <v>2852</v>
      </c>
      <c r="G1180" s="17" t="s">
        <v>1104</v>
      </c>
      <c r="H1180" s="19"/>
    </row>
    <row r="1181" customFormat="false" ht="15" hidden="false" customHeight="false" outlineLevel="0" collapsed="false">
      <c r="A1181" s="19" t="s">
        <v>1389</v>
      </c>
      <c r="B1181" s="19" t="s">
        <v>2853</v>
      </c>
      <c r="C1181" s="19" t="n">
        <v>12</v>
      </c>
      <c r="D1181" s="17" t="s">
        <v>2801</v>
      </c>
      <c r="E1181" s="19" t="n">
        <v>6764</v>
      </c>
      <c r="F1181" s="17" t="s">
        <v>2854</v>
      </c>
      <c r="G1181" s="17" t="s">
        <v>1104</v>
      </c>
      <c r="H1181" s="19"/>
    </row>
    <row r="1182" customFormat="false" ht="15" hidden="false" customHeight="false" outlineLevel="0" collapsed="false">
      <c r="A1182" s="19" t="s">
        <v>1389</v>
      </c>
      <c r="B1182" s="19" t="s">
        <v>1435</v>
      </c>
      <c r="C1182" s="19" t="n">
        <v>12</v>
      </c>
      <c r="D1182" s="17" t="s">
        <v>717</v>
      </c>
      <c r="E1182" s="19" t="n">
        <v>33.82</v>
      </c>
      <c r="F1182" s="17" t="s">
        <v>2855</v>
      </c>
      <c r="G1182" s="17" t="s">
        <v>1104</v>
      </c>
      <c r="H1182" s="19"/>
    </row>
    <row r="1183" customFormat="false" ht="15" hidden="false" customHeight="false" outlineLevel="0" collapsed="false">
      <c r="A1183" s="19" t="s">
        <v>1389</v>
      </c>
      <c r="B1183" s="19" t="s">
        <v>1512</v>
      </c>
      <c r="C1183" s="19" t="n">
        <v>12</v>
      </c>
      <c r="D1183" s="19" t="s">
        <v>720</v>
      </c>
      <c r="E1183" s="19" t="n">
        <v>5.073</v>
      </c>
      <c r="F1183" s="17" t="s">
        <v>2856</v>
      </c>
      <c r="G1183" s="17" t="s">
        <v>1104</v>
      </c>
      <c r="H1183" s="19"/>
    </row>
    <row r="1184" customFormat="false" ht="15" hidden="false" customHeight="false" outlineLevel="0" collapsed="false">
      <c r="A1184" s="19" t="s">
        <v>1389</v>
      </c>
      <c r="B1184" s="19" t="s">
        <v>2857</v>
      </c>
      <c r="C1184" s="19" t="n">
        <v>12</v>
      </c>
      <c r="D1184" s="17" t="s">
        <v>722</v>
      </c>
      <c r="E1184" s="19" t="n">
        <v>0.3896064</v>
      </c>
      <c r="F1184" s="17" t="s">
        <v>2858</v>
      </c>
      <c r="G1184" s="17" t="s">
        <v>1104</v>
      </c>
      <c r="H1184" s="19"/>
    </row>
    <row r="1185" customFormat="false" ht="15" hidden="false" customHeight="false" outlineLevel="0" collapsed="false">
      <c r="A1185" s="19" t="s">
        <v>1389</v>
      </c>
      <c r="B1185" s="19" t="s">
        <v>1514</v>
      </c>
      <c r="C1185" s="19" t="n">
        <v>12</v>
      </c>
      <c r="D1185" s="17" t="s">
        <v>558</v>
      </c>
      <c r="E1185" s="19" t="n">
        <v>2.466</v>
      </c>
      <c r="F1185" s="17" t="s">
        <v>2859</v>
      </c>
      <c r="G1185" s="17" t="s">
        <v>1104</v>
      </c>
      <c r="H1185" s="19"/>
    </row>
    <row r="1186" customFormat="false" ht="15" hidden="false" customHeight="false" outlineLevel="0" collapsed="false">
      <c r="A1186" s="19" t="s">
        <v>1389</v>
      </c>
      <c r="B1186" s="19" t="s">
        <v>2860</v>
      </c>
      <c r="C1186" s="19" t="n">
        <v>12</v>
      </c>
      <c r="D1186" s="17" t="s">
        <v>2801</v>
      </c>
      <c r="E1186" s="19" t="n">
        <v>4052</v>
      </c>
      <c r="F1186" s="17" t="s">
        <v>2861</v>
      </c>
      <c r="G1186" s="17" t="s">
        <v>1104</v>
      </c>
      <c r="H1186" s="19"/>
    </row>
    <row r="1187" customFormat="false" ht="15" hidden="false" customHeight="false" outlineLevel="0" collapsed="false">
      <c r="A1187" s="19" t="s">
        <v>1389</v>
      </c>
      <c r="B1187" s="19" t="s">
        <v>1437</v>
      </c>
      <c r="C1187" s="19" t="n">
        <v>12</v>
      </c>
      <c r="D1187" s="17" t="s">
        <v>717</v>
      </c>
      <c r="E1187" s="19" t="n">
        <v>31.6056</v>
      </c>
      <c r="F1187" s="17" t="s">
        <v>2862</v>
      </c>
      <c r="G1187" s="17" t="s">
        <v>1104</v>
      </c>
      <c r="H1187" s="19"/>
    </row>
    <row r="1188" customFormat="false" ht="15" hidden="false" customHeight="false" outlineLevel="0" collapsed="false">
      <c r="A1188" s="19" t="s">
        <v>1389</v>
      </c>
      <c r="B1188" s="19" t="s">
        <v>1518</v>
      </c>
      <c r="C1188" s="19" t="n">
        <v>12</v>
      </c>
      <c r="D1188" s="19" t="s">
        <v>720</v>
      </c>
      <c r="E1188" s="19" t="n">
        <v>1.58028</v>
      </c>
      <c r="F1188" s="17" t="s">
        <v>2863</v>
      </c>
      <c r="G1188" s="17" t="s">
        <v>1104</v>
      </c>
      <c r="H1188" s="19"/>
    </row>
    <row r="1189" customFormat="false" ht="15" hidden="false" customHeight="false" outlineLevel="0" collapsed="false">
      <c r="A1189" s="19" t="s">
        <v>1389</v>
      </c>
      <c r="B1189" s="19" t="s">
        <v>2864</v>
      </c>
      <c r="C1189" s="19" t="n">
        <v>12</v>
      </c>
      <c r="D1189" s="17" t="s">
        <v>722</v>
      </c>
      <c r="E1189" s="19" t="n">
        <v>0.0875232</v>
      </c>
      <c r="F1189" s="17" t="s">
        <v>2865</v>
      </c>
      <c r="G1189" s="17" t="s">
        <v>1104</v>
      </c>
      <c r="H1189" s="19"/>
    </row>
    <row r="1190" customFormat="false" ht="15" hidden="false" customHeight="false" outlineLevel="0" collapsed="false">
      <c r="A1190" s="19" t="s">
        <v>1389</v>
      </c>
      <c r="B1190" s="19" t="s">
        <v>1520</v>
      </c>
      <c r="C1190" s="19" t="n">
        <v>12</v>
      </c>
      <c r="D1190" s="17" t="s">
        <v>558</v>
      </c>
      <c r="E1190" s="19" t="n">
        <v>1.092</v>
      </c>
      <c r="F1190" s="17" t="s">
        <v>2866</v>
      </c>
      <c r="G1190" s="17" t="s">
        <v>1104</v>
      </c>
      <c r="H1190" s="19"/>
    </row>
    <row r="1191" customFormat="false" ht="15" hidden="false" customHeight="false" outlineLevel="0" collapsed="false">
      <c r="A1191" s="19" t="s">
        <v>1389</v>
      </c>
      <c r="B1191" s="19" t="s">
        <v>2867</v>
      </c>
      <c r="C1191" s="19" t="n">
        <v>12</v>
      </c>
      <c r="D1191" s="17" t="s">
        <v>2801</v>
      </c>
      <c r="E1191" s="19" t="n">
        <v>4052</v>
      </c>
      <c r="F1191" s="17" t="s">
        <v>2868</v>
      </c>
      <c r="G1191" s="17" t="s">
        <v>1104</v>
      </c>
      <c r="H1191" s="19"/>
    </row>
    <row r="1192" customFormat="false" ht="15" hidden="false" customHeight="false" outlineLevel="0" collapsed="false">
      <c r="A1192" s="19" t="s">
        <v>1389</v>
      </c>
      <c r="B1192" s="19" t="s">
        <v>1439</v>
      </c>
      <c r="C1192" s="19" t="n">
        <v>12</v>
      </c>
      <c r="D1192" s="17" t="s">
        <v>717</v>
      </c>
      <c r="E1192" s="19" t="n">
        <v>34.0368</v>
      </c>
      <c r="F1192" s="17" t="s">
        <v>2869</v>
      </c>
      <c r="G1192" s="17" t="s">
        <v>1104</v>
      </c>
      <c r="H1192" s="19"/>
    </row>
    <row r="1193" customFormat="false" ht="15" hidden="false" customHeight="false" outlineLevel="0" collapsed="false">
      <c r="A1193" s="19" t="s">
        <v>1389</v>
      </c>
      <c r="B1193" s="19" t="s">
        <v>1524</v>
      </c>
      <c r="C1193" s="19" t="n">
        <v>12</v>
      </c>
      <c r="D1193" s="19" t="s">
        <v>720</v>
      </c>
      <c r="E1193" s="19" t="n">
        <v>3.40368</v>
      </c>
      <c r="F1193" s="17" t="s">
        <v>2870</v>
      </c>
      <c r="G1193" s="17" t="s">
        <v>1104</v>
      </c>
      <c r="H1193" s="19"/>
    </row>
    <row r="1194" customFormat="false" ht="15" hidden="false" customHeight="false" outlineLevel="0" collapsed="false">
      <c r="A1194" s="19" t="s">
        <v>1389</v>
      </c>
      <c r="B1194" s="19" t="s">
        <v>2871</v>
      </c>
      <c r="C1194" s="19" t="n">
        <v>12</v>
      </c>
      <c r="D1194" s="17" t="s">
        <v>722</v>
      </c>
      <c r="E1194" s="19" t="n">
        <v>0.145872</v>
      </c>
      <c r="F1194" s="17" t="s">
        <v>2872</v>
      </c>
      <c r="G1194" s="17" t="s">
        <v>1104</v>
      </c>
      <c r="H1194" s="19"/>
    </row>
    <row r="1195" customFormat="false" ht="15" hidden="false" customHeight="false" outlineLevel="0" collapsed="false">
      <c r="A1195" s="19" t="s">
        <v>1389</v>
      </c>
      <c r="B1195" s="19" t="s">
        <v>1526</v>
      </c>
      <c r="C1195" s="19" t="n">
        <v>12</v>
      </c>
      <c r="D1195" s="17" t="s">
        <v>558</v>
      </c>
      <c r="E1195" s="19" t="n">
        <v>1.65</v>
      </c>
      <c r="F1195" s="17" t="s">
        <v>2873</v>
      </c>
      <c r="G1195" s="17" t="s">
        <v>1104</v>
      </c>
      <c r="H1195" s="19"/>
    </row>
    <row r="1196" customFormat="false" ht="15" hidden="false" customHeight="false" outlineLevel="0" collapsed="false">
      <c r="A1196" s="19" t="s">
        <v>1389</v>
      </c>
      <c r="B1196" s="19" t="s">
        <v>2874</v>
      </c>
      <c r="C1196" s="19" t="n">
        <v>12</v>
      </c>
      <c r="D1196" s="17" t="s">
        <v>2801</v>
      </c>
      <c r="E1196" s="19" t="n">
        <v>4052</v>
      </c>
      <c r="F1196" s="17" t="s">
        <v>2875</v>
      </c>
      <c r="G1196" s="17" t="s">
        <v>1104</v>
      </c>
      <c r="H1196" s="19"/>
    </row>
    <row r="1197" customFormat="false" ht="15" hidden="false" customHeight="false" outlineLevel="0" collapsed="false">
      <c r="A1197" s="19" t="s">
        <v>1389</v>
      </c>
      <c r="B1197" s="19" t="s">
        <v>1441</v>
      </c>
      <c r="C1197" s="19" t="n">
        <v>12</v>
      </c>
      <c r="D1197" s="17" t="s">
        <v>717</v>
      </c>
      <c r="E1197" s="19" t="n">
        <v>36.8732</v>
      </c>
      <c r="F1197" s="17" t="s">
        <v>2876</v>
      </c>
      <c r="G1197" s="17" t="s">
        <v>1104</v>
      </c>
      <c r="H1197" s="19"/>
    </row>
    <row r="1198" customFormat="false" ht="15" hidden="false" customHeight="false" outlineLevel="0" collapsed="false">
      <c r="A1198" s="19" t="s">
        <v>1389</v>
      </c>
      <c r="B1198" s="19" t="s">
        <v>1530</v>
      </c>
      <c r="C1198" s="19" t="n">
        <v>12</v>
      </c>
      <c r="D1198" s="19" t="s">
        <v>720</v>
      </c>
      <c r="E1198" s="19" t="n">
        <v>5.53098</v>
      </c>
      <c r="F1198" s="17" t="s">
        <v>2877</v>
      </c>
      <c r="G1198" s="17" t="s">
        <v>1104</v>
      </c>
      <c r="H1198" s="19"/>
    </row>
    <row r="1199" customFormat="false" ht="15" hidden="false" customHeight="false" outlineLevel="0" collapsed="false">
      <c r="A1199" s="19" t="s">
        <v>1389</v>
      </c>
      <c r="B1199" s="19" t="s">
        <v>2878</v>
      </c>
      <c r="C1199" s="19" t="n">
        <v>12</v>
      </c>
      <c r="D1199" s="17" t="s">
        <v>722</v>
      </c>
      <c r="E1199" s="19" t="n">
        <v>0.2333952</v>
      </c>
      <c r="F1199" s="17" t="s">
        <v>2879</v>
      </c>
      <c r="G1199" s="17" t="s">
        <v>1104</v>
      </c>
      <c r="H1199" s="19"/>
    </row>
    <row r="1200" customFormat="false" ht="15" hidden="false" customHeight="false" outlineLevel="0" collapsed="false">
      <c r="A1200" s="19" t="s">
        <v>1389</v>
      </c>
      <c r="B1200" s="19" t="s">
        <v>1532</v>
      </c>
      <c r="C1200" s="19" t="n">
        <v>12</v>
      </c>
      <c r="D1200" s="17" t="s">
        <v>558</v>
      </c>
      <c r="E1200" s="19" t="n">
        <v>2.466</v>
      </c>
      <c r="F1200" s="17" t="s">
        <v>2880</v>
      </c>
      <c r="G1200" s="17" t="s">
        <v>1104</v>
      </c>
      <c r="H1200" s="19"/>
    </row>
    <row r="1201" customFormat="false" ht="15" hidden="false" customHeight="false" outlineLevel="0" collapsed="false">
      <c r="A1201" s="19" t="s">
        <v>1389</v>
      </c>
      <c r="B1201" s="19" t="s">
        <v>2881</v>
      </c>
      <c r="C1201" s="19" t="n">
        <v>12</v>
      </c>
      <c r="D1201" s="17" t="s">
        <v>2801</v>
      </c>
      <c r="E1201" s="19" t="n">
        <v>2705</v>
      </c>
      <c r="F1201" s="17" t="s">
        <v>2882</v>
      </c>
      <c r="G1201" s="17" t="s">
        <v>1104</v>
      </c>
      <c r="H1201" s="19"/>
    </row>
    <row r="1202" customFormat="false" ht="15" hidden="false" customHeight="false" outlineLevel="0" collapsed="false">
      <c r="A1202" s="19" t="s">
        <v>1389</v>
      </c>
      <c r="B1202" s="19" t="s">
        <v>1443</v>
      </c>
      <c r="C1202" s="19" t="n">
        <v>12</v>
      </c>
      <c r="D1202" s="17" t="s">
        <v>717</v>
      </c>
      <c r="E1202" s="19" t="n">
        <v>34.083</v>
      </c>
      <c r="F1202" s="17" t="s">
        <v>2883</v>
      </c>
      <c r="G1202" s="17" t="s">
        <v>1104</v>
      </c>
      <c r="H1202" s="19"/>
    </row>
    <row r="1203" customFormat="false" ht="15" hidden="false" customHeight="false" outlineLevel="0" collapsed="false">
      <c r="A1203" s="19" t="s">
        <v>1389</v>
      </c>
      <c r="B1203" s="19" t="s">
        <v>1536</v>
      </c>
      <c r="C1203" s="19" t="n">
        <v>12</v>
      </c>
      <c r="D1203" s="19" t="s">
        <v>720</v>
      </c>
      <c r="E1203" s="19" t="n">
        <v>1.70415</v>
      </c>
      <c r="F1203" s="17" t="s">
        <v>2884</v>
      </c>
      <c r="G1203" s="17" t="s">
        <v>1104</v>
      </c>
      <c r="H1203" s="19"/>
    </row>
    <row r="1204" customFormat="false" ht="15" hidden="false" customHeight="false" outlineLevel="0" collapsed="false">
      <c r="A1204" s="19" t="s">
        <v>1389</v>
      </c>
      <c r="B1204" s="19" t="s">
        <v>2885</v>
      </c>
      <c r="C1204" s="19" t="n">
        <v>12</v>
      </c>
      <c r="D1204" s="17" t="s">
        <v>722</v>
      </c>
      <c r="E1204" s="19" t="n">
        <v>0.058428</v>
      </c>
      <c r="F1204" s="17" t="s">
        <v>2886</v>
      </c>
      <c r="G1204" s="17" t="s">
        <v>1104</v>
      </c>
      <c r="H1204" s="19"/>
    </row>
    <row r="1205" customFormat="false" ht="15" hidden="false" customHeight="false" outlineLevel="0" collapsed="false">
      <c r="A1205" s="19" t="s">
        <v>1389</v>
      </c>
      <c r="B1205" s="19" t="s">
        <v>1538</v>
      </c>
      <c r="C1205" s="19" t="n">
        <v>12</v>
      </c>
      <c r="D1205" s="17" t="s">
        <v>558</v>
      </c>
      <c r="E1205" s="19" t="n">
        <v>1.092</v>
      </c>
      <c r="F1205" s="17" t="s">
        <v>2887</v>
      </c>
      <c r="G1205" s="17" t="s">
        <v>1104</v>
      </c>
      <c r="H1205" s="19"/>
    </row>
    <row r="1206" customFormat="false" ht="15" hidden="false" customHeight="false" outlineLevel="0" collapsed="false">
      <c r="A1206" s="19" t="s">
        <v>1389</v>
      </c>
      <c r="B1206" s="19" t="s">
        <v>2888</v>
      </c>
      <c r="C1206" s="19" t="n">
        <v>12</v>
      </c>
      <c r="D1206" s="17" t="s">
        <v>2801</v>
      </c>
      <c r="E1206" s="19" t="n">
        <v>2705</v>
      </c>
      <c r="F1206" s="17" t="s">
        <v>2889</v>
      </c>
      <c r="G1206" s="17" t="s">
        <v>1104</v>
      </c>
      <c r="H1206" s="19"/>
    </row>
    <row r="1207" customFormat="false" ht="15" hidden="false" customHeight="false" outlineLevel="0" collapsed="false">
      <c r="A1207" s="19" t="s">
        <v>1389</v>
      </c>
      <c r="B1207" s="19" t="s">
        <v>1445</v>
      </c>
      <c r="C1207" s="19" t="n">
        <v>12</v>
      </c>
      <c r="D1207" s="17" t="s">
        <v>717</v>
      </c>
      <c r="E1207" s="19" t="n">
        <v>45.444</v>
      </c>
      <c r="F1207" s="17" t="s">
        <v>2890</v>
      </c>
      <c r="G1207" s="17" t="s">
        <v>1104</v>
      </c>
      <c r="H1207" s="19"/>
    </row>
    <row r="1208" customFormat="false" ht="15" hidden="false" customHeight="false" outlineLevel="0" collapsed="false">
      <c r="A1208" s="19" t="s">
        <v>1389</v>
      </c>
      <c r="B1208" s="19" t="s">
        <v>1542</v>
      </c>
      <c r="C1208" s="19" t="n">
        <v>12</v>
      </c>
      <c r="D1208" s="19" t="s">
        <v>720</v>
      </c>
      <c r="E1208" s="19" t="n">
        <v>4.5444</v>
      </c>
      <c r="F1208" s="17" t="s">
        <v>2891</v>
      </c>
      <c r="G1208" s="17" t="s">
        <v>1104</v>
      </c>
      <c r="H1208" s="19"/>
    </row>
    <row r="1209" customFormat="false" ht="15" hidden="false" customHeight="false" outlineLevel="0" collapsed="false">
      <c r="A1209" s="19" t="s">
        <v>1389</v>
      </c>
      <c r="B1209" s="19" t="s">
        <v>2892</v>
      </c>
      <c r="C1209" s="19" t="n">
        <v>12</v>
      </c>
      <c r="D1209" s="17" t="s">
        <v>722</v>
      </c>
      <c r="E1209" s="19" t="n">
        <v>0.09738</v>
      </c>
      <c r="F1209" s="17" t="s">
        <v>2893</v>
      </c>
      <c r="G1209" s="17" t="s">
        <v>1104</v>
      </c>
      <c r="H1209" s="19"/>
    </row>
    <row r="1210" customFormat="false" ht="15" hidden="false" customHeight="false" outlineLevel="0" collapsed="false">
      <c r="A1210" s="19" t="s">
        <v>1389</v>
      </c>
      <c r="B1210" s="19" t="s">
        <v>1544</v>
      </c>
      <c r="C1210" s="19" t="n">
        <v>12</v>
      </c>
      <c r="D1210" s="17" t="s">
        <v>558</v>
      </c>
      <c r="E1210" s="19" t="n">
        <v>1.65</v>
      </c>
      <c r="F1210" s="17" t="s">
        <v>2894</v>
      </c>
      <c r="G1210" s="17" t="s">
        <v>1104</v>
      </c>
      <c r="H1210" s="19"/>
    </row>
    <row r="1211" customFormat="false" ht="15" hidden="false" customHeight="false" outlineLevel="0" collapsed="false">
      <c r="A1211" s="19" t="s">
        <v>1389</v>
      </c>
      <c r="B1211" s="19" t="s">
        <v>2895</v>
      </c>
      <c r="C1211" s="19" t="n">
        <v>12</v>
      </c>
      <c r="D1211" s="17" t="s">
        <v>2801</v>
      </c>
      <c r="E1211" s="19" t="n">
        <v>2705</v>
      </c>
      <c r="F1211" s="17" t="s">
        <v>2896</v>
      </c>
      <c r="G1211" s="17" t="s">
        <v>1104</v>
      </c>
      <c r="H1211" s="19"/>
    </row>
    <row r="1212" customFormat="false" ht="15" hidden="false" customHeight="false" outlineLevel="0" collapsed="false">
      <c r="A1212" s="19" t="s">
        <v>1389</v>
      </c>
      <c r="B1212" s="19" t="s">
        <v>1447</v>
      </c>
      <c r="C1212" s="19" t="n">
        <v>12</v>
      </c>
      <c r="D1212" s="17" t="s">
        <v>717</v>
      </c>
      <c r="E1212" s="19" t="n">
        <v>56.805</v>
      </c>
      <c r="F1212" s="17" t="s">
        <v>2897</v>
      </c>
      <c r="G1212" s="17" t="s">
        <v>1104</v>
      </c>
      <c r="H1212" s="19"/>
    </row>
    <row r="1213" customFormat="false" ht="15" hidden="false" customHeight="false" outlineLevel="0" collapsed="false">
      <c r="A1213" s="19" t="s">
        <v>1389</v>
      </c>
      <c r="B1213" s="19" t="s">
        <v>1548</v>
      </c>
      <c r="C1213" s="19" t="n">
        <v>12</v>
      </c>
      <c r="D1213" s="19" t="s">
        <v>720</v>
      </c>
      <c r="E1213" s="19" t="n">
        <v>8.52075</v>
      </c>
      <c r="F1213" s="17" t="s">
        <v>2898</v>
      </c>
      <c r="G1213" s="17" t="s">
        <v>1104</v>
      </c>
      <c r="H1213" s="19"/>
    </row>
    <row r="1214" customFormat="false" ht="15" hidden="false" customHeight="false" outlineLevel="0" collapsed="false">
      <c r="A1214" s="19" t="s">
        <v>1389</v>
      </c>
      <c r="B1214" s="19" t="s">
        <v>2899</v>
      </c>
      <c r="C1214" s="19" t="n">
        <v>12</v>
      </c>
      <c r="D1214" s="17" t="s">
        <v>722</v>
      </c>
      <c r="E1214" s="19" t="n">
        <v>0.155808</v>
      </c>
      <c r="F1214" s="17" t="s">
        <v>2900</v>
      </c>
      <c r="G1214" s="17" t="s">
        <v>1104</v>
      </c>
      <c r="H1214" s="19"/>
    </row>
    <row r="1215" customFormat="false" ht="15" hidden="false" customHeight="false" outlineLevel="0" collapsed="false">
      <c r="A1215" s="19" t="s">
        <v>1389</v>
      </c>
      <c r="B1215" s="19" t="s">
        <v>1550</v>
      </c>
      <c r="C1215" s="19" t="n">
        <v>12</v>
      </c>
      <c r="D1215" s="17" t="s">
        <v>558</v>
      </c>
      <c r="E1215" s="19" t="n">
        <v>2.466</v>
      </c>
      <c r="F1215" s="17" t="s">
        <v>2901</v>
      </c>
      <c r="G1215" s="17" t="s">
        <v>1104</v>
      </c>
      <c r="H1215" s="19"/>
    </row>
    <row r="1216" customFormat="false" ht="15" hidden="false" customHeight="false" outlineLevel="0" collapsed="false">
      <c r="A1216" s="55" t="s">
        <v>2615</v>
      </c>
      <c r="B1216" s="55" t="s">
        <v>1308</v>
      </c>
      <c r="C1216" s="55" t="n">
        <v>12</v>
      </c>
      <c r="D1216" s="66" t="s">
        <v>2486</v>
      </c>
      <c r="E1216" s="55" t="n">
        <v>1</v>
      </c>
      <c r="F1216" s="55"/>
      <c r="G1216" s="66" t="s">
        <v>1122</v>
      </c>
      <c r="H1216" s="55"/>
    </row>
    <row r="1217" customFormat="false" ht="15" hidden="false" customHeight="false" outlineLevel="0" collapsed="false">
      <c r="A1217" s="19" t="s">
        <v>2615</v>
      </c>
      <c r="B1217" s="19" t="s">
        <v>2769</v>
      </c>
      <c r="C1217" s="19" t="n">
        <v>12</v>
      </c>
      <c r="D1217" s="17" t="s">
        <v>2770</v>
      </c>
      <c r="E1217" s="19" t="n">
        <v>1.85951803873978</v>
      </c>
      <c r="F1217" s="17" t="s">
        <v>2902</v>
      </c>
      <c r="G1217" s="17" t="s">
        <v>1104</v>
      </c>
      <c r="H1217" s="19"/>
    </row>
    <row r="1218" customFormat="false" ht="15" hidden="false" customHeight="false" outlineLevel="0" collapsed="false">
      <c r="A1218" s="55" t="s">
        <v>2615</v>
      </c>
      <c r="B1218" s="55" t="s">
        <v>2487</v>
      </c>
      <c r="C1218" s="55" t="n">
        <v>12</v>
      </c>
      <c r="D1218" s="66" t="s">
        <v>2486</v>
      </c>
      <c r="E1218" s="55" t="n">
        <v>1</v>
      </c>
      <c r="F1218" s="55"/>
      <c r="G1218" s="66" t="s">
        <v>1122</v>
      </c>
      <c r="H1218" s="55"/>
    </row>
    <row r="1219" customFormat="false" ht="15" hidden="false" customHeight="false" outlineLevel="0" collapsed="false">
      <c r="A1219" s="19" t="s">
        <v>2615</v>
      </c>
      <c r="B1219" s="19" t="s">
        <v>2772</v>
      </c>
      <c r="C1219" s="19" t="n">
        <v>12</v>
      </c>
      <c r="D1219" s="17" t="s">
        <v>2770</v>
      </c>
      <c r="E1219" s="19" t="n">
        <v>12.4091545623618</v>
      </c>
      <c r="F1219" s="17" t="s">
        <v>2903</v>
      </c>
      <c r="G1219" s="17" t="s">
        <v>1104</v>
      </c>
      <c r="H1219" s="19"/>
    </row>
    <row r="1220" customFormat="false" ht="15" hidden="false" customHeight="false" outlineLevel="0" collapsed="false">
      <c r="A1220" s="55" t="s">
        <v>2615</v>
      </c>
      <c r="B1220" s="55" t="s">
        <v>2488</v>
      </c>
      <c r="C1220" s="55" t="n">
        <v>12</v>
      </c>
      <c r="D1220" s="66" t="s">
        <v>2486</v>
      </c>
      <c r="E1220" s="55" t="n">
        <v>1</v>
      </c>
      <c r="F1220" s="55"/>
      <c r="G1220" s="66" t="s">
        <v>1122</v>
      </c>
      <c r="H1220" s="55"/>
    </row>
    <row r="1221" customFormat="false" ht="15" hidden="false" customHeight="false" outlineLevel="0" collapsed="false">
      <c r="A1221" s="19" t="s">
        <v>2615</v>
      </c>
      <c r="B1221" s="19" t="s">
        <v>2774</v>
      </c>
      <c r="C1221" s="19" t="n">
        <v>12</v>
      </c>
      <c r="D1221" s="17" t="s">
        <v>2770</v>
      </c>
      <c r="E1221" s="19" t="n">
        <v>122.596357656047</v>
      </c>
      <c r="F1221" s="17" t="s">
        <v>2904</v>
      </c>
      <c r="G1221" s="17" t="s">
        <v>1104</v>
      </c>
      <c r="H1221" s="19"/>
    </row>
    <row r="1222" customFormat="false" ht="15" hidden="false" customHeight="false" outlineLevel="0" collapsed="false">
      <c r="A1222" s="55" t="s">
        <v>2615</v>
      </c>
      <c r="B1222" s="55" t="s">
        <v>2489</v>
      </c>
      <c r="C1222" s="55" t="n">
        <v>12</v>
      </c>
      <c r="D1222" s="66" t="s">
        <v>2486</v>
      </c>
      <c r="E1222" s="55" t="n">
        <v>2</v>
      </c>
      <c r="F1222" s="55"/>
      <c r="G1222" s="66" t="s">
        <v>1122</v>
      </c>
      <c r="H1222" s="55"/>
    </row>
    <row r="1223" customFormat="false" ht="15" hidden="false" customHeight="false" outlineLevel="0" collapsed="false">
      <c r="A1223" s="19" t="s">
        <v>2615</v>
      </c>
      <c r="B1223" s="19" t="s">
        <v>2776</v>
      </c>
      <c r="C1223" s="19" t="n">
        <v>12</v>
      </c>
      <c r="D1223" s="17" t="s">
        <v>2770</v>
      </c>
      <c r="E1223" s="19" t="n">
        <v>0.261422659884355</v>
      </c>
      <c r="F1223" s="17" t="s">
        <v>2905</v>
      </c>
      <c r="G1223" s="17" t="s">
        <v>1104</v>
      </c>
      <c r="H1223" s="19"/>
    </row>
    <row r="1224" customFormat="false" ht="15" hidden="false" customHeight="false" outlineLevel="0" collapsed="false">
      <c r="A1224" s="55" t="s">
        <v>2615</v>
      </c>
      <c r="B1224" s="55" t="s">
        <v>2490</v>
      </c>
      <c r="C1224" s="55" t="n">
        <v>12</v>
      </c>
      <c r="D1224" s="66" t="s">
        <v>2486</v>
      </c>
      <c r="E1224" s="55" t="n">
        <v>2</v>
      </c>
      <c r="F1224" s="55"/>
      <c r="G1224" s="66" t="s">
        <v>1122</v>
      </c>
      <c r="H1224" s="55"/>
    </row>
    <row r="1225" customFormat="false" ht="15" hidden="false" customHeight="false" outlineLevel="0" collapsed="false">
      <c r="A1225" s="19" t="s">
        <v>2615</v>
      </c>
      <c r="B1225" s="19" t="s">
        <v>2778</v>
      </c>
      <c r="C1225" s="19" t="n">
        <v>12</v>
      </c>
      <c r="D1225" s="17" t="s">
        <v>2770</v>
      </c>
      <c r="E1225" s="19" t="n">
        <v>1.78152245647574</v>
      </c>
      <c r="F1225" s="17" t="s">
        <v>2906</v>
      </c>
      <c r="G1225" s="17" t="s">
        <v>1104</v>
      </c>
      <c r="H1225" s="19"/>
    </row>
    <row r="1226" customFormat="false" ht="15" hidden="false" customHeight="false" outlineLevel="0" collapsed="false">
      <c r="A1226" s="55" t="s">
        <v>2615</v>
      </c>
      <c r="B1226" s="55" t="s">
        <v>2491</v>
      </c>
      <c r="C1226" s="55" t="n">
        <v>12</v>
      </c>
      <c r="D1226" s="66" t="s">
        <v>2486</v>
      </c>
      <c r="E1226" s="55" t="n">
        <v>2</v>
      </c>
      <c r="F1226" s="55"/>
      <c r="G1226" s="66" t="s">
        <v>1122</v>
      </c>
      <c r="H1226" s="55"/>
    </row>
    <row r="1227" customFormat="false" ht="15" hidden="false" customHeight="false" outlineLevel="0" collapsed="false">
      <c r="A1227" s="19" t="s">
        <v>2615</v>
      </c>
      <c r="B1227" s="19" t="s">
        <v>2780</v>
      </c>
      <c r="C1227" s="19" t="n">
        <v>12</v>
      </c>
      <c r="D1227" s="17" t="s">
        <v>2770</v>
      </c>
      <c r="E1227" s="19" t="n">
        <v>17.322367069172</v>
      </c>
      <c r="F1227" s="17" t="s">
        <v>2907</v>
      </c>
      <c r="G1227" s="17" t="s">
        <v>1104</v>
      </c>
      <c r="H1227" s="19"/>
    </row>
    <row r="1228" customFormat="false" ht="15" hidden="false" customHeight="false" outlineLevel="0" collapsed="false">
      <c r="A1228" s="55" t="s">
        <v>2615</v>
      </c>
      <c r="B1228" s="55" t="s">
        <v>2492</v>
      </c>
      <c r="C1228" s="55" t="n">
        <v>12</v>
      </c>
      <c r="D1228" s="66" t="s">
        <v>2486</v>
      </c>
      <c r="E1228" s="55" t="n">
        <v>3</v>
      </c>
      <c r="F1228" s="55"/>
      <c r="G1228" s="66" t="s">
        <v>1122</v>
      </c>
      <c r="H1228" s="55"/>
    </row>
    <row r="1229" customFormat="false" ht="15" hidden="false" customHeight="false" outlineLevel="0" collapsed="false">
      <c r="A1229" s="19" t="s">
        <v>2615</v>
      </c>
      <c r="B1229" s="19" t="s">
        <v>2782</v>
      </c>
      <c r="C1229" s="19" t="n">
        <v>12</v>
      </c>
      <c r="D1229" s="17" t="s">
        <v>2770</v>
      </c>
      <c r="E1229" s="19" t="n">
        <v>0.195722673008602</v>
      </c>
      <c r="F1229" s="17" t="s">
        <v>2908</v>
      </c>
      <c r="G1229" s="17" t="s">
        <v>1104</v>
      </c>
      <c r="H1229" s="19"/>
    </row>
    <row r="1230" customFormat="false" ht="15" hidden="false" customHeight="false" outlineLevel="0" collapsed="false">
      <c r="A1230" s="55" t="s">
        <v>2615</v>
      </c>
      <c r="B1230" s="55" t="s">
        <v>2493</v>
      </c>
      <c r="C1230" s="55" t="n">
        <v>12</v>
      </c>
      <c r="D1230" s="66" t="s">
        <v>2486</v>
      </c>
      <c r="E1230" s="55" t="n">
        <v>3</v>
      </c>
      <c r="F1230" s="55"/>
      <c r="G1230" s="66" t="s">
        <v>1122</v>
      </c>
      <c r="H1230" s="55"/>
    </row>
    <row r="1231" customFormat="false" ht="15" hidden="false" customHeight="false" outlineLevel="0" collapsed="false">
      <c r="A1231" s="19" t="s">
        <v>2615</v>
      </c>
      <c r="B1231" s="19" t="s">
        <v>2784</v>
      </c>
      <c r="C1231" s="19" t="n">
        <v>12</v>
      </c>
      <c r="D1231" s="17" t="s">
        <v>2770</v>
      </c>
      <c r="E1231" s="19" t="n">
        <v>1.33319895766618</v>
      </c>
      <c r="F1231" s="17" t="s">
        <v>2909</v>
      </c>
      <c r="G1231" s="17" t="s">
        <v>1104</v>
      </c>
      <c r="H1231" s="19"/>
    </row>
    <row r="1232" customFormat="false" ht="15" hidden="false" customHeight="false" outlineLevel="0" collapsed="false">
      <c r="A1232" s="55" t="s">
        <v>2615</v>
      </c>
      <c r="B1232" s="55" t="s">
        <v>2494</v>
      </c>
      <c r="C1232" s="55" t="n">
        <v>12</v>
      </c>
      <c r="D1232" s="66" t="s">
        <v>2486</v>
      </c>
      <c r="E1232" s="55" t="n">
        <v>3</v>
      </c>
      <c r="F1232" s="55"/>
      <c r="G1232" s="66" t="s">
        <v>1122</v>
      </c>
      <c r="H1232" s="55"/>
    </row>
    <row r="1233" customFormat="false" ht="15" hidden="false" customHeight="false" outlineLevel="0" collapsed="false">
      <c r="A1233" s="19" t="s">
        <v>2615</v>
      </c>
      <c r="B1233" s="19" t="s">
        <v>2786</v>
      </c>
      <c r="C1233" s="19" t="n">
        <v>12</v>
      </c>
      <c r="D1233" s="17" t="s">
        <v>2770</v>
      </c>
      <c r="E1233" s="19" t="n">
        <v>14.4217807951262</v>
      </c>
      <c r="F1233" s="17" t="s">
        <v>2910</v>
      </c>
      <c r="G1233" s="17" t="s">
        <v>1104</v>
      </c>
      <c r="H1233" s="19"/>
    </row>
    <row r="1234" customFormat="false" ht="15" hidden="false" customHeight="false" outlineLevel="0" collapsed="false">
      <c r="A1234" s="55" t="s">
        <v>2615</v>
      </c>
      <c r="B1234" s="55" t="s">
        <v>2495</v>
      </c>
      <c r="C1234" s="55" t="n">
        <v>12</v>
      </c>
      <c r="D1234" s="66" t="s">
        <v>2486</v>
      </c>
      <c r="E1234" s="55" t="n">
        <v>4</v>
      </c>
      <c r="F1234" s="55"/>
      <c r="G1234" s="66" t="s">
        <v>1122</v>
      </c>
      <c r="H1234" s="55"/>
    </row>
    <row r="1235" customFormat="false" ht="15" hidden="false" customHeight="false" outlineLevel="0" collapsed="false">
      <c r="A1235" s="19" t="s">
        <v>2615</v>
      </c>
      <c r="B1235" s="19" t="s">
        <v>2788</v>
      </c>
      <c r="C1235" s="19" t="n">
        <v>12</v>
      </c>
      <c r="D1235" s="17" t="s">
        <v>2770</v>
      </c>
      <c r="E1235" s="19" t="n">
        <v>0.0812746751123948</v>
      </c>
      <c r="F1235" s="17" t="s">
        <v>2911</v>
      </c>
      <c r="G1235" s="17" t="s">
        <v>1104</v>
      </c>
      <c r="H1235" s="19"/>
    </row>
    <row r="1236" customFormat="false" ht="15" hidden="false" customHeight="false" outlineLevel="0" collapsed="false">
      <c r="A1236" s="55" t="s">
        <v>2615</v>
      </c>
      <c r="B1236" s="55" t="s">
        <v>2496</v>
      </c>
      <c r="C1236" s="55" t="n">
        <v>12</v>
      </c>
      <c r="D1236" s="66" t="s">
        <v>2486</v>
      </c>
      <c r="E1236" s="55" t="n">
        <v>4</v>
      </c>
      <c r="F1236" s="55"/>
      <c r="G1236" s="66" t="s">
        <v>1122</v>
      </c>
      <c r="H1236" s="55"/>
    </row>
    <row r="1237" customFormat="false" ht="15" hidden="false" customHeight="false" outlineLevel="0" collapsed="false">
      <c r="A1237" s="19" t="s">
        <v>2615</v>
      </c>
      <c r="B1237" s="19" t="s">
        <v>2790</v>
      </c>
      <c r="C1237" s="19" t="n">
        <v>12</v>
      </c>
      <c r="D1237" s="17" t="s">
        <v>2770</v>
      </c>
      <c r="E1237" s="19" t="n">
        <v>0.531631713056475</v>
      </c>
      <c r="F1237" s="17" t="s">
        <v>2912</v>
      </c>
      <c r="G1237" s="17" t="s">
        <v>1104</v>
      </c>
      <c r="H1237" s="19"/>
    </row>
    <row r="1238" customFormat="false" ht="15" hidden="false" customHeight="false" outlineLevel="0" collapsed="false">
      <c r="A1238" s="55" t="s">
        <v>2615</v>
      </c>
      <c r="B1238" s="55" t="s">
        <v>2497</v>
      </c>
      <c r="C1238" s="55" t="n">
        <v>12</v>
      </c>
      <c r="D1238" s="66" t="s">
        <v>2486</v>
      </c>
      <c r="E1238" s="55" t="n">
        <v>4</v>
      </c>
      <c r="F1238" s="55"/>
      <c r="G1238" s="66" t="s">
        <v>1122</v>
      </c>
      <c r="H1238" s="55"/>
    </row>
    <row r="1239" customFormat="false" ht="15" hidden="false" customHeight="false" outlineLevel="0" collapsed="false">
      <c r="A1239" s="19" t="s">
        <v>2615</v>
      </c>
      <c r="B1239" s="19" t="s">
        <v>2792</v>
      </c>
      <c r="C1239" s="19" t="n">
        <v>12</v>
      </c>
      <c r="D1239" s="17" t="s">
        <v>2770</v>
      </c>
      <c r="E1239" s="19" t="n">
        <v>4.87129669274572</v>
      </c>
      <c r="F1239" s="17" t="s">
        <v>2913</v>
      </c>
      <c r="G1239" s="17" t="s">
        <v>1104</v>
      </c>
      <c r="H1239" s="19"/>
    </row>
    <row r="1240" customFormat="false" ht="15" hidden="false" customHeight="false" outlineLevel="0" collapsed="false">
      <c r="A1240" s="55" t="s">
        <v>2615</v>
      </c>
      <c r="B1240" s="55" t="s">
        <v>2498</v>
      </c>
      <c r="C1240" s="55" t="n">
        <v>12</v>
      </c>
      <c r="D1240" s="66" t="s">
        <v>2486</v>
      </c>
      <c r="E1240" s="55" t="n">
        <v>5</v>
      </c>
      <c r="F1240" s="55"/>
      <c r="G1240" s="66" t="s">
        <v>1122</v>
      </c>
      <c r="H1240" s="55"/>
    </row>
    <row r="1241" customFormat="false" ht="15" hidden="false" customHeight="false" outlineLevel="0" collapsed="false">
      <c r="A1241" s="19" t="s">
        <v>2615</v>
      </c>
      <c r="B1241" s="19" t="s">
        <v>2794</v>
      </c>
      <c r="C1241" s="19" t="n">
        <v>12</v>
      </c>
      <c r="D1241" s="17" t="s">
        <v>2770</v>
      </c>
      <c r="E1241" s="19" t="n">
        <v>0.0402995215948959</v>
      </c>
      <c r="F1241" s="17" t="s">
        <v>2914</v>
      </c>
      <c r="G1241" s="17" t="s">
        <v>1104</v>
      </c>
      <c r="H1241" s="19"/>
    </row>
    <row r="1242" customFormat="false" ht="15" hidden="false" customHeight="false" outlineLevel="0" collapsed="false">
      <c r="A1242" s="55" t="s">
        <v>2615</v>
      </c>
      <c r="B1242" s="55" t="s">
        <v>2499</v>
      </c>
      <c r="C1242" s="55" t="n">
        <v>12</v>
      </c>
      <c r="D1242" s="66" t="s">
        <v>2486</v>
      </c>
      <c r="E1242" s="55" t="n">
        <v>5</v>
      </c>
      <c r="F1242" s="55"/>
      <c r="G1242" s="66" t="s">
        <v>1122</v>
      </c>
      <c r="H1242" s="55"/>
    </row>
    <row r="1243" customFormat="false" ht="15" hidden="false" customHeight="false" outlineLevel="0" collapsed="false">
      <c r="A1243" s="19" t="s">
        <v>2615</v>
      </c>
      <c r="B1243" s="19" t="s">
        <v>2796</v>
      </c>
      <c r="C1243" s="19" t="n">
        <v>12</v>
      </c>
      <c r="D1243" s="17" t="s">
        <v>2770</v>
      </c>
      <c r="E1243" s="19" t="n">
        <v>0.260620490821677</v>
      </c>
      <c r="F1243" s="17" t="s">
        <v>2915</v>
      </c>
      <c r="G1243" s="17" t="s">
        <v>1104</v>
      </c>
      <c r="H1243" s="19"/>
    </row>
    <row r="1244" customFormat="false" ht="15" hidden="false" customHeight="false" outlineLevel="0" collapsed="false">
      <c r="A1244" s="55" t="s">
        <v>2615</v>
      </c>
      <c r="B1244" s="55" t="s">
        <v>2500</v>
      </c>
      <c r="C1244" s="55" t="n">
        <v>12</v>
      </c>
      <c r="D1244" s="66" t="s">
        <v>2486</v>
      </c>
      <c r="E1244" s="55" t="n">
        <v>5</v>
      </c>
      <c r="F1244" s="55"/>
      <c r="G1244" s="66" t="s">
        <v>1122</v>
      </c>
      <c r="H1244" s="55"/>
    </row>
    <row r="1245" customFormat="false" ht="15" hidden="false" customHeight="false" outlineLevel="0" collapsed="false">
      <c r="A1245" s="19" t="s">
        <v>2615</v>
      </c>
      <c r="B1245" s="19" t="s">
        <v>2798</v>
      </c>
      <c r="C1245" s="19" t="n">
        <v>12</v>
      </c>
      <c r="D1245" s="17" t="s">
        <v>2770</v>
      </c>
      <c r="E1245" s="19" t="n">
        <v>2.29814548139856</v>
      </c>
      <c r="F1245" s="17" t="s">
        <v>2916</v>
      </c>
      <c r="G1245" s="17" t="s">
        <v>1104</v>
      </c>
      <c r="H1245" s="19"/>
    </row>
    <row r="1246" customFormat="false" ht="15" hidden="false" customHeight="false" outlineLevel="0" collapsed="false">
      <c r="A1246" s="19" t="s">
        <v>2453</v>
      </c>
      <c r="B1246" s="19" t="s">
        <v>2917</v>
      </c>
      <c r="C1246" s="19" t="n">
        <v>12</v>
      </c>
      <c r="D1246" s="19" t="s">
        <v>873</v>
      </c>
      <c r="E1246" s="19" t="n">
        <v>6591.64167263463</v>
      </c>
      <c r="F1246" s="17" t="s">
        <v>2918</v>
      </c>
      <c r="G1246" s="17" t="s">
        <v>1104</v>
      </c>
      <c r="H1246" s="19"/>
    </row>
    <row r="1247" customFormat="false" ht="15" hidden="false" customHeight="false" outlineLevel="0" collapsed="false">
      <c r="A1247" s="19" t="s">
        <v>2453</v>
      </c>
      <c r="B1247" s="19" t="s">
        <v>2919</v>
      </c>
      <c r="C1247" s="19" t="n">
        <v>12</v>
      </c>
      <c r="D1247" s="19" t="s">
        <v>879</v>
      </c>
      <c r="E1247" s="17" t="s">
        <v>2920</v>
      </c>
      <c r="F1247" s="17" t="s">
        <v>2921</v>
      </c>
      <c r="G1247" s="17" t="s">
        <v>1104</v>
      </c>
      <c r="H1247" s="19"/>
    </row>
    <row r="1248" customFormat="false" ht="15" hidden="false" customHeight="false" outlineLevel="0" collapsed="false">
      <c r="A1248" s="19" t="s">
        <v>2453</v>
      </c>
      <c r="B1248" s="19" t="s">
        <v>2922</v>
      </c>
      <c r="C1248" s="19" t="n">
        <v>12</v>
      </c>
      <c r="D1248" s="19" t="s">
        <v>905</v>
      </c>
      <c r="E1248" s="19" t="n">
        <v>551.74734558634</v>
      </c>
      <c r="F1248" s="17" t="s">
        <v>2923</v>
      </c>
      <c r="G1248" s="17" t="s">
        <v>1104</v>
      </c>
      <c r="H1248" s="19"/>
    </row>
    <row r="1249" customFormat="false" ht="15" hidden="false" customHeight="false" outlineLevel="0" collapsed="false">
      <c r="A1249" s="19" t="s">
        <v>2453</v>
      </c>
      <c r="B1249" s="19" t="s">
        <v>2924</v>
      </c>
      <c r="C1249" s="19" t="n">
        <v>12</v>
      </c>
      <c r="D1249" s="19" t="s">
        <v>873</v>
      </c>
      <c r="E1249" s="19" t="n">
        <v>1899.17525472889</v>
      </c>
      <c r="F1249" s="17" t="s">
        <v>2925</v>
      </c>
      <c r="G1249" s="17" t="s">
        <v>1104</v>
      </c>
      <c r="H1249" s="19"/>
    </row>
    <row r="1250" customFormat="false" ht="15" hidden="false" customHeight="false" outlineLevel="0" collapsed="false">
      <c r="A1250" s="19" t="s">
        <v>2453</v>
      </c>
      <c r="B1250" s="19" t="s">
        <v>2926</v>
      </c>
      <c r="C1250" s="19" t="n">
        <v>12</v>
      </c>
      <c r="D1250" s="19" t="s">
        <v>879</v>
      </c>
      <c r="E1250" s="17" t="s">
        <v>2920</v>
      </c>
      <c r="F1250" s="17" t="s">
        <v>2927</v>
      </c>
      <c r="G1250" s="17" t="s">
        <v>1104</v>
      </c>
      <c r="H1250" s="19"/>
    </row>
    <row r="1251" customFormat="false" ht="15" hidden="false" customHeight="false" outlineLevel="0" collapsed="false">
      <c r="A1251" s="19" t="s">
        <v>2453</v>
      </c>
      <c r="B1251" s="19" t="s">
        <v>2928</v>
      </c>
      <c r="C1251" s="19" t="n">
        <v>12</v>
      </c>
      <c r="D1251" s="19" t="s">
        <v>905</v>
      </c>
      <c r="E1251" s="19" t="n">
        <v>175.100161333118</v>
      </c>
      <c r="F1251" s="17" t="s">
        <v>2929</v>
      </c>
      <c r="G1251" s="17" t="s">
        <v>1104</v>
      </c>
      <c r="H1251" s="19"/>
    </row>
    <row r="1252" customFormat="false" ht="15" hidden="false" customHeight="false" outlineLevel="0" collapsed="false">
      <c r="A1252" s="19" t="s">
        <v>2453</v>
      </c>
      <c r="B1252" s="19" t="s">
        <v>2930</v>
      </c>
      <c r="C1252" s="19" t="n">
        <v>12</v>
      </c>
      <c r="D1252" s="19" t="s">
        <v>873</v>
      </c>
      <c r="E1252" s="19" t="n">
        <v>572.480047771334</v>
      </c>
      <c r="F1252" s="17" t="s">
        <v>2931</v>
      </c>
      <c r="G1252" s="17" t="s">
        <v>1104</v>
      </c>
      <c r="H1252" s="19"/>
    </row>
    <row r="1253" customFormat="false" ht="15" hidden="false" customHeight="false" outlineLevel="0" collapsed="false">
      <c r="A1253" s="19" t="s">
        <v>2453</v>
      </c>
      <c r="B1253" s="19" t="s">
        <v>2932</v>
      </c>
      <c r="C1253" s="19" t="n">
        <v>12</v>
      </c>
      <c r="D1253" s="19" t="s">
        <v>879</v>
      </c>
      <c r="E1253" s="17" t="s">
        <v>2920</v>
      </c>
      <c r="F1253" s="17" t="s">
        <v>2933</v>
      </c>
      <c r="G1253" s="17" t="s">
        <v>1104</v>
      </c>
      <c r="H1253" s="19"/>
    </row>
    <row r="1254" customFormat="false" ht="15" hidden="false" customHeight="false" outlineLevel="0" collapsed="false">
      <c r="A1254" s="19" t="s">
        <v>2453</v>
      </c>
      <c r="B1254" s="19" t="s">
        <v>2934</v>
      </c>
      <c r="C1254" s="19" t="n">
        <v>12</v>
      </c>
      <c r="D1254" s="19" t="s">
        <v>905</v>
      </c>
      <c r="E1254" s="19" t="n">
        <v>28.4771083308666</v>
      </c>
      <c r="F1254" s="17" t="s">
        <v>2935</v>
      </c>
      <c r="G1254" s="17" t="s">
        <v>1104</v>
      </c>
      <c r="H1254" s="19"/>
    </row>
    <row r="1255" customFormat="false" ht="15" hidden="false" customHeight="false" outlineLevel="0" collapsed="false">
      <c r="A1255" s="19" t="s">
        <v>2453</v>
      </c>
      <c r="B1255" s="19" t="s">
        <v>2936</v>
      </c>
      <c r="C1255" s="19" t="n">
        <v>12</v>
      </c>
      <c r="D1255" s="19" t="s">
        <v>873</v>
      </c>
      <c r="E1255" s="19" t="n">
        <v>66649.5619073269</v>
      </c>
      <c r="F1255" s="17" t="s">
        <v>2937</v>
      </c>
      <c r="G1255" s="17" t="s">
        <v>1104</v>
      </c>
      <c r="H1255" s="19"/>
    </row>
    <row r="1256" customFormat="false" ht="15" hidden="false" customHeight="false" outlineLevel="0" collapsed="false">
      <c r="A1256" s="19" t="s">
        <v>2453</v>
      </c>
      <c r="B1256" s="19" t="s">
        <v>2938</v>
      </c>
      <c r="C1256" s="19" t="n">
        <v>12</v>
      </c>
      <c r="D1256" s="19" t="s">
        <v>879</v>
      </c>
      <c r="E1256" s="17" t="s">
        <v>2920</v>
      </c>
      <c r="F1256" s="17" t="s">
        <v>2939</v>
      </c>
      <c r="G1256" s="17" t="s">
        <v>1104</v>
      </c>
      <c r="H1256" s="19"/>
    </row>
    <row r="1257" customFormat="false" ht="15" hidden="false" customHeight="false" outlineLevel="0" collapsed="false">
      <c r="A1257" s="19" t="s">
        <v>2453</v>
      </c>
      <c r="B1257" s="19" t="s">
        <v>2940</v>
      </c>
      <c r="C1257" s="19" t="n">
        <v>12</v>
      </c>
      <c r="D1257" s="19" t="s">
        <v>905</v>
      </c>
      <c r="E1257" s="19" t="n">
        <v>3810.67390827223</v>
      </c>
      <c r="F1257" s="17" t="s">
        <v>2941</v>
      </c>
      <c r="G1257" s="17" t="s">
        <v>1104</v>
      </c>
      <c r="H1257" s="19"/>
    </row>
    <row r="1258" customFormat="false" ht="15" hidden="false" customHeight="false" outlineLevel="0" collapsed="false">
      <c r="A1258" s="19" t="s">
        <v>2453</v>
      </c>
      <c r="B1258" s="19" t="s">
        <v>2942</v>
      </c>
      <c r="C1258" s="19" t="n">
        <v>12</v>
      </c>
      <c r="D1258" s="19" t="s">
        <v>873</v>
      </c>
      <c r="E1258" s="19" t="n">
        <v>19202.9853865408</v>
      </c>
      <c r="F1258" s="17" t="s">
        <v>2943</v>
      </c>
      <c r="G1258" s="17" t="s">
        <v>1104</v>
      </c>
      <c r="H1258" s="19"/>
    </row>
    <row r="1259" customFormat="false" ht="15" hidden="false" customHeight="false" outlineLevel="0" collapsed="false">
      <c r="A1259" s="19" t="s">
        <v>2453</v>
      </c>
      <c r="B1259" s="19" t="s">
        <v>2944</v>
      </c>
      <c r="C1259" s="19" t="n">
        <v>12</v>
      </c>
      <c r="D1259" s="19" t="s">
        <v>879</v>
      </c>
      <c r="E1259" s="17" t="s">
        <v>2920</v>
      </c>
      <c r="F1259" s="17" t="s">
        <v>2945</v>
      </c>
      <c r="G1259" s="17" t="s">
        <v>1104</v>
      </c>
      <c r="H1259" s="19"/>
    </row>
    <row r="1260" customFormat="false" ht="15" hidden="false" customHeight="false" outlineLevel="0" collapsed="false">
      <c r="A1260" s="19" t="s">
        <v>2453</v>
      </c>
      <c r="B1260" s="19" t="s">
        <v>2946</v>
      </c>
      <c r="C1260" s="19" t="n">
        <v>12</v>
      </c>
      <c r="D1260" s="19" t="s">
        <v>905</v>
      </c>
      <c r="E1260" s="19" t="n">
        <v>1144.63059150752</v>
      </c>
      <c r="F1260" s="17" t="s">
        <v>2947</v>
      </c>
      <c r="G1260" s="17" t="s">
        <v>1104</v>
      </c>
      <c r="H1260" s="19"/>
    </row>
    <row r="1261" customFormat="false" ht="15" hidden="false" customHeight="false" outlineLevel="0" collapsed="false">
      <c r="A1261" s="19" t="s">
        <v>2453</v>
      </c>
      <c r="B1261" s="19" t="s">
        <v>2948</v>
      </c>
      <c r="C1261" s="19" t="n">
        <v>12</v>
      </c>
      <c r="D1261" s="19" t="s">
        <v>873</v>
      </c>
      <c r="E1261" s="19" t="n">
        <v>5788.47368828446</v>
      </c>
      <c r="F1261" s="17" t="s">
        <v>2949</v>
      </c>
      <c r="G1261" s="17" t="s">
        <v>1104</v>
      </c>
      <c r="H1261" s="19"/>
    </row>
    <row r="1262" customFormat="false" ht="15" hidden="false" customHeight="false" outlineLevel="0" collapsed="false">
      <c r="A1262" s="19" t="s">
        <v>2453</v>
      </c>
      <c r="B1262" s="19" t="s">
        <v>2950</v>
      </c>
      <c r="C1262" s="19" t="n">
        <v>12</v>
      </c>
      <c r="D1262" s="19" t="s">
        <v>879</v>
      </c>
      <c r="E1262" s="17" t="s">
        <v>2920</v>
      </c>
      <c r="F1262" s="17" t="s">
        <v>2951</v>
      </c>
      <c r="G1262" s="17" t="s">
        <v>1104</v>
      </c>
      <c r="H1262" s="19"/>
    </row>
    <row r="1263" customFormat="false" ht="15" hidden="false" customHeight="false" outlineLevel="0" collapsed="false">
      <c r="A1263" s="19" t="s">
        <v>2453</v>
      </c>
      <c r="B1263" s="19" t="s">
        <v>2952</v>
      </c>
      <c r="C1263" s="19" t="n">
        <v>12</v>
      </c>
      <c r="D1263" s="19" t="s">
        <v>905</v>
      </c>
      <c r="E1263" s="19" t="n">
        <v>210.021421494571</v>
      </c>
      <c r="F1263" s="17" t="s">
        <v>2953</v>
      </c>
      <c r="G1263" s="17" t="s">
        <v>1104</v>
      </c>
      <c r="H1263" s="19"/>
    </row>
    <row r="1264" customFormat="false" ht="15" hidden="false" customHeight="false" outlineLevel="0" collapsed="false">
      <c r="A1264" s="19" t="s">
        <v>2453</v>
      </c>
      <c r="B1264" s="19" t="s">
        <v>2954</v>
      </c>
      <c r="C1264" s="19" t="n">
        <v>12</v>
      </c>
      <c r="D1264" s="19" t="s">
        <v>873</v>
      </c>
      <c r="E1264" s="19" t="n">
        <v>99974.3428609903</v>
      </c>
      <c r="F1264" s="17" t="s">
        <v>2955</v>
      </c>
      <c r="G1264" s="17" t="s">
        <v>1104</v>
      </c>
      <c r="H1264" s="19"/>
    </row>
    <row r="1265" customFormat="false" ht="15" hidden="false" customHeight="false" outlineLevel="0" collapsed="false">
      <c r="A1265" s="19" t="s">
        <v>2453</v>
      </c>
      <c r="B1265" s="19" t="s">
        <v>2956</v>
      </c>
      <c r="C1265" s="19" t="n">
        <v>12</v>
      </c>
      <c r="D1265" s="19" t="s">
        <v>879</v>
      </c>
      <c r="E1265" s="17" t="s">
        <v>2920</v>
      </c>
      <c r="F1265" s="17" t="s">
        <v>2957</v>
      </c>
      <c r="G1265" s="17" t="s">
        <v>1104</v>
      </c>
      <c r="H1265" s="19"/>
    </row>
    <row r="1266" customFormat="false" ht="15" hidden="false" customHeight="false" outlineLevel="0" collapsed="false">
      <c r="A1266" s="19" t="s">
        <v>2453</v>
      </c>
      <c r="B1266" s="19" t="s">
        <v>2958</v>
      </c>
      <c r="C1266" s="19" t="n">
        <v>12</v>
      </c>
      <c r="D1266" s="19" t="s">
        <v>905</v>
      </c>
      <c r="E1266" s="19" t="n">
        <v>4970.44422818118</v>
      </c>
      <c r="F1266" s="17" t="s">
        <v>2959</v>
      </c>
      <c r="G1266" s="17" t="s">
        <v>1104</v>
      </c>
      <c r="H1266" s="19"/>
    </row>
    <row r="1267" customFormat="false" ht="15" hidden="false" customHeight="false" outlineLevel="0" collapsed="false">
      <c r="A1267" s="19" t="s">
        <v>2453</v>
      </c>
      <c r="B1267" s="19" t="s">
        <v>2960</v>
      </c>
      <c r="C1267" s="19" t="n">
        <v>12</v>
      </c>
      <c r="D1267" s="19" t="s">
        <v>873</v>
      </c>
      <c r="E1267" s="19" t="n">
        <v>28804.4780798112</v>
      </c>
      <c r="F1267" s="17" t="s">
        <v>2961</v>
      </c>
      <c r="G1267" s="17" t="s">
        <v>1104</v>
      </c>
      <c r="H1267" s="19"/>
    </row>
    <row r="1268" customFormat="false" ht="15" hidden="false" customHeight="false" outlineLevel="0" collapsed="false">
      <c r="A1268" s="19" t="s">
        <v>2453</v>
      </c>
      <c r="B1268" s="19" t="s">
        <v>2962</v>
      </c>
      <c r="C1268" s="19" t="n">
        <v>12</v>
      </c>
      <c r="D1268" s="19" t="s">
        <v>879</v>
      </c>
      <c r="E1268" s="17" t="s">
        <v>2920</v>
      </c>
      <c r="F1268" s="17" t="s">
        <v>2963</v>
      </c>
      <c r="G1268" s="17" t="s">
        <v>1104</v>
      </c>
      <c r="H1268" s="19"/>
    </row>
    <row r="1269" customFormat="false" ht="15" hidden="false" customHeight="false" outlineLevel="0" collapsed="false">
      <c r="A1269" s="19" t="s">
        <v>2453</v>
      </c>
      <c r="B1269" s="19" t="s">
        <v>2964</v>
      </c>
      <c r="C1269" s="19" t="n">
        <v>12</v>
      </c>
      <c r="D1269" s="19" t="s">
        <v>905</v>
      </c>
      <c r="E1269" s="19" t="n">
        <v>1492.99642370546</v>
      </c>
      <c r="F1269" s="17" t="s">
        <v>2965</v>
      </c>
      <c r="G1269" s="17" t="s">
        <v>1104</v>
      </c>
      <c r="H1269" s="19"/>
    </row>
    <row r="1270" customFormat="false" ht="15" hidden="false" customHeight="false" outlineLevel="0" collapsed="false">
      <c r="A1270" s="19" t="s">
        <v>2453</v>
      </c>
      <c r="B1270" s="19" t="s">
        <v>2966</v>
      </c>
      <c r="C1270" s="19" t="n">
        <v>12</v>
      </c>
      <c r="D1270" s="19" t="s">
        <v>873</v>
      </c>
      <c r="E1270" s="19" t="n">
        <v>8682.7105324267</v>
      </c>
      <c r="F1270" s="17" t="s">
        <v>2967</v>
      </c>
      <c r="G1270" s="17" t="s">
        <v>1104</v>
      </c>
      <c r="H1270" s="19"/>
    </row>
    <row r="1271" customFormat="false" ht="15" hidden="false" customHeight="false" outlineLevel="0" collapsed="false">
      <c r="A1271" s="19" t="s">
        <v>2453</v>
      </c>
      <c r="B1271" s="19" t="s">
        <v>2968</v>
      </c>
      <c r="C1271" s="19" t="n">
        <v>12</v>
      </c>
      <c r="D1271" s="19" t="s">
        <v>879</v>
      </c>
      <c r="E1271" s="17" t="s">
        <v>2920</v>
      </c>
      <c r="F1271" s="17" t="s">
        <v>2969</v>
      </c>
      <c r="G1271" s="17" t="s">
        <v>1104</v>
      </c>
      <c r="H1271" s="19"/>
    </row>
    <row r="1272" customFormat="false" ht="15" hidden="false" customHeight="false" outlineLevel="0" collapsed="false">
      <c r="A1272" s="19" t="s">
        <v>2453</v>
      </c>
      <c r="B1272" s="19" t="s">
        <v>2970</v>
      </c>
      <c r="C1272" s="19" t="n">
        <v>12</v>
      </c>
      <c r="D1272" s="19" t="s">
        <v>905</v>
      </c>
      <c r="E1272" s="19" t="n">
        <v>242.594708577338</v>
      </c>
      <c r="F1272" s="17" t="s">
        <v>2971</v>
      </c>
      <c r="G1272" s="17" t="s">
        <v>1104</v>
      </c>
      <c r="H1272" s="19"/>
    </row>
    <row r="1273" customFormat="false" ht="15" hidden="false" customHeight="false" outlineLevel="0" collapsed="false">
      <c r="A1273" s="19" t="s">
        <v>2453</v>
      </c>
      <c r="B1273" s="19" t="s">
        <v>2972</v>
      </c>
      <c r="C1273" s="19" t="n">
        <v>12</v>
      </c>
      <c r="D1273" s="19" t="s">
        <v>873</v>
      </c>
      <c r="E1273" s="19" t="n">
        <v>233273.466675644</v>
      </c>
      <c r="F1273" s="17" t="s">
        <v>2973</v>
      </c>
      <c r="G1273" s="17" t="s">
        <v>1104</v>
      </c>
      <c r="H1273" s="19"/>
    </row>
    <row r="1274" customFormat="false" ht="15" hidden="false" customHeight="false" outlineLevel="0" collapsed="false">
      <c r="A1274" s="19" t="s">
        <v>2453</v>
      </c>
      <c r="B1274" s="19" t="s">
        <v>2974</v>
      </c>
      <c r="C1274" s="19" t="n">
        <v>12</v>
      </c>
      <c r="D1274" s="19" t="s">
        <v>879</v>
      </c>
      <c r="E1274" s="17" t="s">
        <v>2920</v>
      </c>
      <c r="F1274" s="17" t="s">
        <v>2975</v>
      </c>
      <c r="G1274" s="17" t="s">
        <v>1104</v>
      </c>
      <c r="H1274" s="19"/>
    </row>
    <row r="1275" customFormat="false" ht="15" hidden="false" customHeight="false" outlineLevel="0" collapsed="false">
      <c r="A1275" s="19" t="s">
        <v>2453</v>
      </c>
      <c r="B1275" s="19" t="s">
        <v>2976</v>
      </c>
      <c r="C1275" s="19" t="n">
        <v>12</v>
      </c>
      <c r="D1275" s="19" t="s">
        <v>905</v>
      </c>
      <c r="E1275" s="19" t="n">
        <v>12072.3810462224</v>
      </c>
      <c r="F1275" s="17" t="s">
        <v>2977</v>
      </c>
      <c r="G1275" s="17" t="s">
        <v>1104</v>
      </c>
      <c r="H1275" s="19"/>
    </row>
    <row r="1276" customFormat="false" ht="15" hidden="false" customHeight="false" outlineLevel="0" collapsed="false">
      <c r="A1276" s="19" t="s">
        <v>2453</v>
      </c>
      <c r="B1276" s="19" t="s">
        <v>2978</v>
      </c>
      <c r="C1276" s="19" t="n">
        <v>12</v>
      </c>
      <c r="D1276" s="19" t="s">
        <v>873</v>
      </c>
      <c r="E1276" s="19" t="n">
        <v>67210.4488528929</v>
      </c>
      <c r="F1276" s="17" t="s">
        <v>2979</v>
      </c>
      <c r="G1276" s="17" t="s">
        <v>1104</v>
      </c>
      <c r="H1276" s="19"/>
    </row>
    <row r="1277" customFormat="false" ht="15" hidden="false" customHeight="false" outlineLevel="0" collapsed="false">
      <c r="A1277" s="19" t="s">
        <v>2453</v>
      </c>
      <c r="B1277" s="19" t="s">
        <v>2980</v>
      </c>
      <c r="C1277" s="19" t="n">
        <v>12</v>
      </c>
      <c r="D1277" s="19" t="s">
        <v>879</v>
      </c>
      <c r="E1277" s="17" t="s">
        <v>2920</v>
      </c>
      <c r="F1277" s="17" t="s">
        <v>2981</v>
      </c>
      <c r="G1277" s="17" t="s">
        <v>1104</v>
      </c>
      <c r="H1277" s="19"/>
    </row>
    <row r="1278" customFormat="false" ht="15" hidden="false" customHeight="false" outlineLevel="0" collapsed="false">
      <c r="A1278" s="19" t="s">
        <v>2453</v>
      </c>
      <c r="B1278" s="19" t="s">
        <v>2982</v>
      </c>
      <c r="C1278" s="19" t="n">
        <v>12</v>
      </c>
      <c r="D1278" s="19" t="s">
        <v>905</v>
      </c>
      <c r="E1278" s="19" t="n">
        <v>3813.69678049048</v>
      </c>
      <c r="F1278" s="17" t="s">
        <v>2983</v>
      </c>
      <c r="G1278" s="17" t="s">
        <v>1104</v>
      </c>
      <c r="H1278" s="19"/>
    </row>
    <row r="1279" customFormat="false" ht="15" hidden="false" customHeight="false" outlineLevel="0" collapsed="false">
      <c r="A1279" s="19" t="s">
        <v>2453</v>
      </c>
      <c r="B1279" s="19" t="s">
        <v>2984</v>
      </c>
      <c r="C1279" s="19" t="n">
        <v>12</v>
      </c>
      <c r="D1279" s="19" t="s">
        <v>873</v>
      </c>
      <c r="E1279" s="19" t="n">
        <v>20259.6579089956</v>
      </c>
      <c r="F1279" s="17" t="s">
        <v>2985</v>
      </c>
      <c r="G1279" s="17" t="s">
        <v>1104</v>
      </c>
      <c r="H1279" s="19"/>
    </row>
    <row r="1280" customFormat="false" ht="15" hidden="false" customHeight="false" outlineLevel="0" collapsed="false">
      <c r="A1280" s="19" t="s">
        <v>2453</v>
      </c>
      <c r="B1280" s="19" t="s">
        <v>2986</v>
      </c>
      <c r="C1280" s="19" t="n">
        <v>12</v>
      </c>
      <c r="D1280" s="19" t="s">
        <v>879</v>
      </c>
      <c r="E1280" s="17" t="s">
        <v>2920</v>
      </c>
      <c r="F1280" s="17" t="s">
        <v>2987</v>
      </c>
      <c r="G1280" s="17" t="s">
        <v>1104</v>
      </c>
      <c r="H1280" s="19"/>
    </row>
    <row r="1281" customFormat="false" ht="15" hidden="false" customHeight="false" outlineLevel="0" collapsed="false">
      <c r="A1281" s="19" t="s">
        <v>2453</v>
      </c>
      <c r="B1281" s="19" t="s">
        <v>2988</v>
      </c>
      <c r="C1281" s="19" t="n">
        <v>12</v>
      </c>
      <c r="D1281" s="19" t="s">
        <v>905</v>
      </c>
      <c r="E1281" s="19" t="n">
        <v>758.795818920343</v>
      </c>
      <c r="F1281" s="17" t="s">
        <v>2989</v>
      </c>
      <c r="G1281" s="17" t="s">
        <v>1104</v>
      </c>
      <c r="H1281" s="19"/>
    </row>
    <row r="1282" customFormat="false" ht="15" hidden="false" customHeight="false" outlineLevel="0" collapsed="false">
      <c r="A1282" s="19" t="s">
        <v>2453</v>
      </c>
      <c r="B1282" s="19" t="s">
        <v>2990</v>
      </c>
      <c r="C1282" s="19" t="n">
        <v>12</v>
      </c>
      <c r="D1282" s="19" t="s">
        <v>873</v>
      </c>
      <c r="E1282" s="19" t="n">
        <v>466546.933351288</v>
      </c>
      <c r="F1282" s="17" t="s">
        <v>2991</v>
      </c>
      <c r="G1282" s="17" t="s">
        <v>1104</v>
      </c>
      <c r="H1282" s="19"/>
    </row>
    <row r="1283" customFormat="false" ht="15" hidden="false" customHeight="false" outlineLevel="0" collapsed="false">
      <c r="A1283" s="19" t="s">
        <v>2453</v>
      </c>
      <c r="B1283" s="19" t="s">
        <v>2992</v>
      </c>
      <c r="C1283" s="19" t="n">
        <v>12</v>
      </c>
      <c r="D1283" s="19" t="s">
        <v>879</v>
      </c>
      <c r="E1283" s="17" t="s">
        <v>2920</v>
      </c>
      <c r="F1283" s="17" t="s">
        <v>2993</v>
      </c>
      <c r="G1283" s="17" t="s">
        <v>1104</v>
      </c>
      <c r="H1283" s="19"/>
    </row>
    <row r="1284" customFormat="false" ht="15" hidden="false" customHeight="false" outlineLevel="0" collapsed="false">
      <c r="A1284" s="19" t="s">
        <v>2453</v>
      </c>
      <c r="B1284" s="19" t="s">
        <v>2994</v>
      </c>
      <c r="C1284" s="19" t="n">
        <v>12</v>
      </c>
      <c r="D1284" s="19" t="s">
        <v>905</v>
      </c>
      <c r="E1284" s="19" t="n">
        <v>24402.8727612029</v>
      </c>
      <c r="F1284" s="17" t="s">
        <v>2995</v>
      </c>
      <c r="G1284" s="17" t="s">
        <v>1104</v>
      </c>
      <c r="H1284" s="19"/>
    </row>
    <row r="1285" customFormat="false" ht="15" hidden="false" customHeight="false" outlineLevel="0" collapsed="false">
      <c r="A1285" s="19" t="s">
        <v>2453</v>
      </c>
      <c r="B1285" s="19" t="s">
        <v>2996</v>
      </c>
      <c r="C1285" s="19" t="n">
        <v>12</v>
      </c>
      <c r="D1285" s="19" t="s">
        <v>873</v>
      </c>
      <c r="E1285" s="19" t="n">
        <v>134420.897705786</v>
      </c>
      <c r="F1285" s="17" t="s">
        <v>2997</v>
      </c>
      <c r="G1285" s="17" t="s">
        <v>1104</v>
      </c>
      <c r="H1285" s="19"/>
    </row>
    <row r="1286" customFormat="false" ht="15" hidden="false" customHeight="false" outlineLevel="0" collapsed="false">
      <c r="A1286" s="19" t="s">
        <v>2453</v>
      </c>
      <c r="B1286" s="19" t="s">
        <v>2998</v>
      </c>
      <c r="C1286" s="19" t="n">
        <v>12</v>
      </c>
      <c r="D1286" s="19" t="s">
        <v>879</v>
      </c>
      <c r="E1286" s="17" t="s">
        <v>2920</v>
      </c>
      <c r="F1286" s="17" t="s">
        <v>2999</v>
      </c>
      <c r="G1286" s="17" t="s">
        <v>1104</v>
      </c>
      <c r="H1286" s="19"/>
    </row>
    <row r="1287" customFormat="false" ht="15" hidden="false" customHeight="false" outlineLevel="0" collapsed="false">
      <c r="A1287" s="19" t="s">
        <v>2453</v>
      </c>
      <c r="B1287" s="19" t="s">
        <v>3000</v>
      </c>
      <c r="C1287" s="19" t="n">
        <v>12</v>
      </c>
      <c r="D1287" s="19" t="s">
        <v>905</v>
      </c>
      <c r="E1287" s="19" t="n">
        <v>7820.2007375987</v>
      </c>
      <c r="F1287" s="17" t="s">
        <v>3001</v>
      </c>
      <c r="G1287" s="17" t="s">
        <v>1104</v>
      </c>
      <c r="H1287" s="19"/>
    </row>
    <row r="1288" customFormat="false" ht="15" hidden="false" customHeight="false" outlineLevel="0" collapsed="false">
      <c r="A1288" s="19" t="s">
        <v>2453</v>
      </c>
      <c r="B1288" s="19" t="s">
        <v>3002</v>
      </c>
      <c r="C1288" s="19" t="n">
        <v>12</v>
      </c>
      <c r="D1288" s="19" t="s">
        <v>873</v>
      </c>
      <c r="E1288" s="19" t="n">
        <v>40519.3158179913</v>
      </c>
      <c r="F1288" s="17" t="s">
        <v>3003</v>
      </c>
      <c r="G1288" s="17" t="s">
        <v>1104</v>
      </c>
      <c r="H1288" s="19"/>
    </row>
    <row r="1289" customFormat="false" ht="15" hidden="false" customHeight="false" outlineLevel="0" collapsed="false">
      <c r="A1289" s="19" t="s">
        <v>2453</v>
      </c>
      <c r="B1289" s="19" t="s">
        <v>3004</v>
      </c>
      <c r="C1289" s="19" t="n">
        <v>12</v>
      </c>
      <c r="D1289" s="19" t="s">
        <v>879</v>
      </c>
      <c r="E1289" s="17" t="s">
        <v>2920</v>
      </c>
      <c r="F1289" s="17" t="s">
        <v>3005</v>
      </c>
      <c r="G1289" s="17" t="s">
        <v>1104</v>
      </c>
      <c r="H1289" s="19"/>
    </row>
    <row r="1290" customFormat="false" ht="15" hidden="false" customHeight="false" outlineLevel="0" collapsed="false">
      <c r="A1290" s="19" t="s">
        <v>2453</v>
      </c>
      <c r="B1290" s="19" t="s">
        <v>3006</v>
      </c>
      <c r="C1290" s="19" t="n">
        <v>12</v>
      </c>
      <c r="D1290" s="19" t="s">
        <v>905</v>
      </c>
      <c r="E1290" s="19" t="n">
        <v>1630.79700261094</v>
      </c>
      <c r="F1290" s="17" t="s">
        <v>3007</v>
      </c>
      <c r="G1290" s="17" t="s">
        <v>1104</v>
      </c>
      <c r="H1290" s="19"/>
    </row>
    <row r="1291" customFormat="false" ht="15" hidden="false" customHeight="false" outlineLevel="0" collapsed="false">
      <c r="A1291" s="55" t="s">
        <v>3008</v>
      </c>
      <c r="B1291" s="55" t="s">
        <v>1120</v>
      </c>
      <c r="C1291" s="55" t="n">
        <v>12</v>
      </c>
      <c r="D1291" s="55" t="s">
        <v>3009</v>
      </c>
      <c r="E1291" s="55" t="n">
        <v>6</v>
      </c>
      <c r="F1291" s="55"/>
      <c r="G1291" s="66" t="s">
        <v>1122</v>
      </c>
      <c r="H1291" s="55"/>
    </row>
    <row r="1292" customFormat="false" ht="15" hidden="false" customHeight="false" outlineLevel="0" collapsed="false">
      <c r="A1292" s="55" t="s">
        <v>3008</v>
      </c>
      <c r="B1292" s="55" t="s">
        <v>1258</v>
      </c>
      <c r="C1292" s="55" t="n">
        <v>12</v>
      </c>
      <c r="D1292" s="55" t="s">
        <v>3010</v>
      </c>
      <c r="E1292" s="55" t="n">
        <v>4</v>
      </c>
      <c r="F1292" s="55"/>
      <c r="G1292" s="66" t="s">
        <v>1122</v>
      </c>
      <c r="H1292" s="55"/>
    </row>
    <row r="1293" customFormat="false" ht="15" hidden="false" customHeight="false" outlineLevel="0" collapsed="false">
      <c r="A1293" s="19" t="s">
        <v>1389</v>
      </c>
      <c r="B1293" s="19" t="s">
        <v>1205</v>
      </c>
      <c r="C1293" s="19" t="n">
        <v>13</v>
      </c>
      <c r="D1293" s="17" t="s">
        <v>707</v>
      </c>
      <c r="E1293" s="19" t="n">
        <v>920</v>
      </c>
      <c r="F1293" s="17" t="s">
        <v>3011</v>
      </c>
      <c r="G1293" s="17" t="s">
        <v>1104</v>
      </c>
      <c r="H1293" s="19"/>
    </row>
    <row r="1294" customFormat="false" ht="15" hidden="false" customHeight="false" outlineLevel="0" collapsed="false">
      <c r="A1294" s="19" t="s">
        <v>1389</v>
      </c>
      <c r="B1294" s="19" t="s">
        <v>1120</v>
      </c>
      <c r="C1294" s="19" t="n">
        <v>13</v>
      </c>
      <c r="D1294" s="17" t="s">
        <v>3012</v>
      </c>
      <c r="E1294" s="19" t="n">
        <v>41</v>
      </c>
      <c r="F1294" s="17" t="s">
        <v>3013</v>
      </c>
      <c r="G1294" s="17" t="s">
        <v>1104</v>
      </c>
      <c r="H1294" s="19"/>
    </row>
    <row r="1295" customFormat="false" ht="15" hidden="false" customHeight="false" outlineLevel="0" collapsed="false">
      <c r="A1295" s="19" t="s">
        <v>1389</v>
      </c>
      <c r="B1295" s="19" t="s">
        <v>1335</v>
      </c>
      <c r="C1295" s="19" t="n">
        <v>13</v>
      </c>
      <c r="D1295" s="19" t="s">
        <v>3014</v>
      </c>
      <c r="E1295" s="19" t="n">
        <v>718048</v>
      </c>
      <c r="F1295" s="17" t="s">
        <v>3015</v>
      </c>
      <c r="G1295" s="17" t="s">
        <v>1104</v>
      </c>
      <c r="H1295" s="19"/>
    </row>
    <row r="1296" customFormat="false" ht="15" hidden="false" customHeight="false" outlineLevel="0" collapsed="false">
      <c r="A1296" s="19" t="s">
        <v>1389</v>
      </c>
      <c r="B1296" s="19" t="s">
        <v>1213</v>
      </c>
      <c r="C1296" s="19" t="n">
        <v>13</v>
      </c>
      <c r="D1296" s="19" t="s">
        <v>535</v>
      </c>
      <c r="E1296" s="19" t="n">
        <v>0.05</v>
      </c>
      <c r="F1296" s="17" t="s">
        <v>3016</v>
      </c>
      <c r="G1296" s="17" t="s">
        <v>1104</v>
      </c>
      <c r="H1296" s="19"/>
    </row>
    <row r="1297" customFormat="false" ht="15" hidden="false" customHeight="false" outlineLevel="0" collapsed="false">
      <c r="A1297" s="19" t="s">
        <v>1389</v>
      </c>
      <c r="B1297" s="19" t="s">
        <v>1219</v>
      </c>
      <c r="C1297" s="19" t="n">
        <v>13</v>
      </c>
      <c r="D1297" s="17" t="s">
        <v>722</v>
      </c>
      <c r="E1297" s="19" t="n">
        <v>300</v>
      </c>
      <c r="F1297" s="17" t="s">
        <v>3017</v>
      </c>
      <c r="G1297" s="17" t="s">
        <v>1104</v>
      </c>
      <c r="H1297" s="19"/>
    </row>
    <row r="1298" customFormat="false" ht="15" hidden="false" customHeight="false" outlineLevel="0" collapsed="false">
      <c r="A1298" s="19" t="s">
        <v>1389</v>
      </c>
      <c r="B1298" s="19" t="s">
        <v>2678</v>
      </c>
      <c r="C1298" s="19" t="n">
        <v>13</v>
      </c>
      <c r="D1298" s="17" t="s">
        <v>707</v>
      </c>
      <c r="E1298" s="19" t="n">
        <v>920</v>
      </c>
      <c r="F1298" s="17" t="s">
        <v>3018</v>
      </c>
      <c r="G1298" s="17" t="s">
        <v>1104</v>
      </c>
      <c r="H1298" s="19"/>
    </row>
    <row r="1299" customFormat="false" ht="15" hidden="false" customHeight="false" outlineLevel="0" collapsed="false">
      <c r="A1299" s="19" t="s">
        <v>1389</v>
      </c>
      <c r="B1299" s="19" t="s">
        <v>1668</v>
      </c>
      <c r="C1299" s="19" t="n">
        <v>13</v>
      </c>
      <c r="D1299" s="17" t="s">
        <v>3012</v>
      </c>
      <c r="E1299" s="19" t="n">
        <v>41</v>
      </c>
      <c r="F1299" s="17" t="s">
        <v>3013</v>
      </c>
      <c r="G1299" s="17" t="s">
        <v>1104</v>
      </c>
      <c r="H1299" s="19"/>
    </row>
    <row r="1300" customFormat="false" ht="15" hidden="false" customHeight="false" outlineLevel="0" collapsed="false">
      <c r="A1300" s="19" t="s">
        <v>1389</v>
      </c>
      <c r="B1300" s="19" t="s">
        <v>3019</v>
      </c>
      <c r="C1300" s="19" t="n">
        <v>13</v>
      </c>
      <c r="D1300" s="19" t="s">
        <v>3014</v>
      </c>
      <c r="E1300" s="19" t="n">
        <v>718048</v>
      </c>
      <c r="F1300" s="17" t="s">
        <v>3020</v>
      </c>
      <c r="G1300" s="17" t="s">
        <v>1104</v>
      </c>
      <c r="H1300" s="19"/>
    </row>
    <row r="1301" customFormat="false" ht="15" hidden="false" customHeight="false" outlineLevel="0" collapsed="false">
      <c r="A1301" s="19" t="s">
        <v>1389</v>
      </c>
      <c r="B1301" s="19" t="s">
        <v>1233</v>
      </c>
      <c r="C1301" s="19" t="n">
        <v>13</v>
      </c>
      <c r="D1301" s="19" t="s">
        <v>535</v>
      </c>
      <c r="E1301" s="19" t="n">
        <v>0.1</v>
      </c>
      <c r="F1301" s="17" t="s">
        <v>3021</v>
      </c>
      <c r="G1301" s="17" t="s">
        <v>1104</v>
      </c>
      <c r="H1301" s="19"/>
    </row>
    <row r="1302" customFormat="false" ht="15" hidden="false" customHeight="false" outlineLevel="0" collapsed="false">
      <c r="A1302" s="19" t="s">
        <v>1389</v>
      </c>
      <c r="B1302" s="19" t="s">
        <v>1237</v>
      </c>
      <c r="C1302" s="19" t="n">
        <v>13</v>
      </c>
      <c r="D1302" s="17" t="s">
        <v>722</v>
      </c>
      <c r="E1302" s="19" t="n">
        <v>500</v>
      </c>
      <c r="F1302" s="17" t="s">
        <v>3022</v>
      </c>
      <c r="G1302" s="17" t="s">
        <v>1104</v>
      </c>
      <c r="H1302" s="19"/>
    </row>
    <row r="1303" customFormat="false" ht="15" hidden="false" customHeight="false" outlineLevel="0" collapsed="false">
      <c r="A1303" s="19" t="s">
        <v>1389</v>
      </c>
      <c r="B1303" s="19" t="s">
        <v>2688</v>
      </c>
      <c r="C1303" s="19" t="n">
        <v>13</v>
      </c>
      <c r="D1303" s="17" t="s">
        <v>707</v>
      </c>
      <c r="E1303" s="19" t="n">
        <v>920</v>
      </c>
      <c r="F1303" s="17" t="s">
        <v>3023</v>
      </c>
      <c r="G1303" s="17" t="s">
        <v>1104</v>
      </c>
      <c r="H1303" s="19"/>
    </row>
    <row r="1304" customFormat="false" ht="15" hidden="false" customHeight="false" outlineLevel="0" collapsed="false">
      <c r="A1304" s="19" t="s">
        <v>1389</v>
      </c>
      <c r="B1304" s="19" t="s">
        <v>1682</v>
      </c>
      <c r="C1304" s="19" t="n">
        <v>13</v>
      </c>
      <c r="D1304" s="17" t="s">
        <v>3012</v>
      </c>
      <c r="E1304" s="19" t="n">
        <v>41</v>
      </c>
      <c r="F1304" s="17" t="s">
        <v>3013</v>
      </c>
      <c r="G1304" s="17" t="s">
        <v>1104</v>
      </c>
      <c r="H1304" s="19"/>
    </row>
    <row r="1305" customFormat="false" ht="15" hidden="false" customHeight="false" outlineLevel="0" collapsed="false">
      <c r="A1305" s="19" t="s">
        <v>1389</v>
      </c>
      <c r="B1305" s="19" t="s">
        <v>3024</v>
      </c>
      <c r="C1305" s="19" t="n">
        <v>13</v>
      </c>
      <c r="D1305" s="19" t="s">
        <v>3014</v>
      </c>
      <c r="E1305" s="19" t="n">
        <v>718048</v>
      </c>
      <c r="F1305" s="17" t="s">
        <v>3025</v>
      </c>
      <c r="G1305" s="17" t="s">
        <v>1104</v>
      </c>
      <c r="H1305" s="19"/>
    </row>
    <row r="1306" customFormat="false" ht="15" hidden="false" customHeight="false" outlineLevel="0" collapsed="false">
      <c r="A1306" s="19" t="s">
        <v>1389</v>
      </c>
      <c r="B1306" s="19" t="s">
        <v>1241</v>
      </c>
      <c r="C1306" s="19" t="n">
        <v>13</v>
      </c>
      <c r="D1306" s="19" t="s">
        <v>535</v>
      </c>
      <c r="E1306" s="19" t="n">
        <v>0.15</v>
      </c>
      <c r="F1306" s="17" t="s">
        <v>3026</v>
      </c>
      <c r="G1306" s="17" t="s">
        <v>1104</v>
      </c>
      <c r="H1306" s="19"/>
    </row>
    <row r="1307" customFormat="false" ht="15" hidden="false" customHeight="false" outlineLevel="0" collapsed="false">
      <c r="A1307" s="19" t="s">
        <v>1389</v>
      </c>
      <c r="B1307" s="19" t="s">
        <v>1245</v>
      </c>
      <c r="C1307" s="19" t="n">
        <v>13</v>
      </c>
      <c r="D1307" s="17" t="s">
        <v>722</v>
      </c>
      <c r="E1307" s="19" t="n">
        <v>800</v>
      </c>
      <c r="F1307" s="17" t="s">
        <v>3027</v>
      </c>
      <c r="G1307" s="17" t="s">
        <v>1104</v>
      </c>
      <c r="H1307" s="19"/>
    </row>
    <row r="1308" customFormat="false" ht="15" hidden="false" customHeight="false" outlineLevel="0" collapsed="false">
      <c r="A1308" s="19" t="s">
        <v>1389</v>
      </c>
      <c r="B1308" s="19" t="s">
        <v>2693</v>
      </c>
      <c r="C1308" s="19" t="n">
        <v>13</v>
      </c>
      <c r="D1308" s="17" t="s">
        <v>707</v>
      </c>
      <c r="E1308" s="19" t="n">
        <v>920</v>
      </c>
      <c r="F1308" s="17" t="s">
        <v>3028</v>
      </c>
      <c r="G1308" s="17" t="s">
        <v>1104</v>
      </c>
      <c r="H1308" s="19"/>
    </row>
    <row r="1309" customFormat="false" ht="15" hidden="false" customHeight="false" outlineLevel="0" collapsed="false">
      <c r="A1309" s="19" t="s">
        <v>1389</v>
      </c>
      <c r="B1309" s="19" t="s">
        <v>1696</v>
      </c>
      <c r="C1309" s="19" t="n">
        <v>13</v>
      </c>
      <c r="D1309" s="17" t="s">
        <v>3012</v>
      </c>
      <c r="E1309" s="19" t="n">
        <v>132</v>
      </c>
      <c r="F1309" s="17" t="s">
        <v>3029</v>
      </c>
      <c r="G1309" s="17" t="s">
        <v>1104</v>
      </c>
      <c r="H1309" s="19"/>
    </row>
    <row r="1310" customFormat="false" ht="15" hidden="false" customHeight="false" outlineLevel="0" collapsed="false">
      <c r="A1310" s="19" t="s">
        <v>1389</v>
      </c>
      <c r="B1310" s="19" t="s">
        <v>3030</v>
      </c>
      <c r="C1310" s="19" t="n">
        <v>13</v>
      </c>
      <c r="D1310" s="19" t="s">
        <v>3014</v>
      </c>
      <c r="E1310" s="19" t="n">
        <v>501768</v>
      </c>
      <c r="F1310" s="17" t="s">
        <v>3031</v>
      </c>
      <c r="G1310" s="17" t="s">
        <v>1104</v>
      </c>
      <c r="H1310" s="19"/>
    </row>
    <row r="1311" customFormat="false" ht="15" hidden="false" customHeight="false" outlineLevel="0" collapsed="false">
      <c r="A1311" s="19" t="s">
        <v>1389</v>
      </c>
      <c r="B1311" s="19" t="s">
        <v>1249</v>
      </c>
      <c r="C1311" s="19" t="n">
        <v>13</v>
      </c>
      <c r="D1311" s="19" t="s">
        <v>535</v>
      </c>
      <c r="E1311" s="19" t="n">
        <v>0.05</v>
      </c>
      <c r="F1311" s="17" t="s">
        <v>3016</v>
      </c>
      <c r="G1311" s="17" t="s">
        <v>1104</v>
      </c>
      <c r="H1311" s="19"/>
    </row>
    <row r="1312" customFormat="false" ht="15" hidden="false" customHeight="false" outlineLevel="0" collapsed="false">
      <c r="A1312" s="19" t="s">
        <v>1389</v>
      </c>
      <c r="B1312" s="19" t="s">
        <v>1253</v>
      </c>
      <c r="C1312" s="19" t="n">
        <v>13</v>
      </c>
      <c r="D1312" s="17" t="s">
        <v>722</v>
      </c>
      <c r="E1312" s="19" t="n">
        <v>300</v>
      </c>
      <c r="F1312" s="17" t="s">
        <v>3017</v>
      </c>
      <c r="G1312" s="17" t="s">
        <v>1104</v>
      </c>
      <c r="H1312" s="19"/>
    </row>
    <row r="1313" customFormat="false" ht="15" hidden="false" customHeight="false" outlineLevel="0" collapsed="false">
      <c r="A1313" s="19" t="s">
        <v>1389</v>
      </c>
      <c r="B1313" s="19" t="s">
        <v>3032</v>
      </c>
      <c r="C1313" s="19" t="n">
        <v>13</v>
      </c>
      <c r="D1313" s="17" t="s">
        <v>707</v>
      </c>
      <c r="E1313" s="19" t="n">
        <v>920</v>
      </c>
      <c r="F1313" s="17" t="s">
        <v>3033</v>
      </c>
      <c r="G1313" s="17" t="s">
        <v>1104</v>
      </c>
      <c r="H1313" s="19"/>
    </row>
    <row r="1314" customFormat="false" ht="15" hidden="false" customHeight="false" outlineLevel="0" collapsed="false">
      <c r="A1314" s="19" t="s">
        <v>1389</v>
      </c>
      <c r="B1314" s="19" t="s">
        <v>1710</v>
      </c>
      <c r="C1314" s="19" t="n">
        <v>13</v>
      </c>
      <c r="D1314" s="17" t="s">
        <v>3012</v>
      </c>
      <c r="E1314" s="19" t="n">
        <v>132</v>
      </c>
      <c r="F1314" s="17" t="s">
        <v>3029</v>
      </c>
      <c r="G1314" s="17" t="s">
        <v>1104</v>
      </c>
      <c r="H1314" s="19"/>
    </row>
    <row r="1315" customFormat="false" ht="15" hidden="false" customHeight="false" outlineLevel="0" collapsed="false">
      <c r="A1315" s="19" t="s">
        <v>1389</v>
      </c>
      <c r="B1315" s="19" t="s">
        <v>3034</v>
      </c>
      <c r="C1315" s="19" t="n">
        <v>13</v>
      </c>
      <c r="D1315" s="19" t="s">
        <v>3014</v>
      </c>
      <c r="E1315" s="19" t="n">
        <v>501768</v>
      </c>
      <c r="F1315" s="17" t="s">
        <v>3035</v>
      </c>
      <c r="G1315" s="17" t="s">
        <v>1104</v>
      </c>
      <c r="H1315" s="19"/>
    </row>
    <row r="1316" customFormat="false" ht="15" hidden="false" customHeight="false" outlineLevel="0" collapsed="false">
      <c r="A1316" s="19" t="s">
        <v>1389</v>
      </c>
      <c r="B1316" s="19" t="s">
        <v>3036</v>
      </c>
      <c r="C1316" s="19" t="n">
        <v>13</v>
      </c>
      <c r="D1316" s="19" t="s">
        <v>535</v>
      </c>
      <c r="E1316" s="19" t="n">
        <v>0.1</v>
      </c>
      <c r="F1316" s="17" t="s">
        <v>3021</v>
      </c>
      <c r="G1316" s="17" t="s">
        <v>1104</v>
      </c>
      <c r="H1316" s="19"/>
    </row>
    <row r="1317" customFormat="false" ht="15" hidden="false" customHeight="false" outlineLevel="0" collapsed="false">
      <c r="A1317" s="19" t="s">
        <v>1389</v>
      </c>
      <c r="B1317" s="19" t="s">
        <v>2714</v>
      </c>
      <c r="C1317" s="19" t="n">
        <v>13</v>
      </c>
      <c r="D1317" s="17" t="s">
        <v>722</v>
      </c>
      <c r="E1317" s="19" t="n">
        <v>500</v>
      </c>
      <c r="F1317" s="17" t="s">
        <v>3022</v>
      </c>
      <c r="G1317" s="17" t="s">
        <v>1104</v>
      </c>
      <c r="H1317" s="19"/>
    </row>
    <row r="1318" customFormat="false" ht="15" hidden="false" customHeight="false" outlineLevel="0" collapsed="false">
      <c r="A1318" s="19" t="s">
        <v>1389</v>
      </c>
      <c r="B1318" s="19" t="s">
        <v>3037</v>
      </c>
      <c r="C1318" s="19" t="n">
        <v>13</v>
      </c>
      <c r="D1318" s="17" t="s">
        <v>707</v>
      </c>
      <c r="E1318" s="19" t="n">
        <v>920</v>
      </c>
      <c r="F1318" s="17" t="s">
        <v>3038</v>
      </c>
      <c r="G1318" s="17" t="s">
        <v>1104</v>
      </c>
      <c r="H1318" s="19"/>
    </row>
    <row r="1319" customFormat="false" ht="15" hidden="false" customHeight="false" outlineLevel="0" collapsed="false">
      <c r="A1319" s="19" t="s">
        <v>1389</v>
      </c>
      <c r="B1319" s="19" t="s">
        <v>1726</v>
      </c>
      <c r="C1319" s="19" t="n">
        <v>13</v>
      </c>
      <c r="D1319" s="17" t="s">
        <v>3012</v>
      </c>
      <c r="E1319" s="19" t="n">
        <v>132</v>
      </c>
      <c r="F1319" s="17" t="s">
        <v>3029</v>
      </c>
      <c r="G1319" s="17" t="s">
        <v>1104</v>
      </c>
      <c r="H1319" s="19"/>
    </row>
    <row r="1320" customFormat="false" ht="15" hidden="false" customHeight="false" outlineLevel="0" collapsed="false">
      <c r="A1320" s="19" t="s">
        <v>1389</v>
      </c>
      <c r="B1320" s="19" t="s">
        <v>3039</v>
      </c>
      <c r="C1320" s="19" t="n">
        <v>13</v>
      </c>
      <c r="D1320" s="19" t="s">
        <v>3014</v>
      </c>
      <c r="E1320" s="19" t="n">
        <v>501768</v>
      </c>
      <c r="F1320" s="17" t="s">
        <v>3040</v>
      </c>
      <c r="G1320" s="17" t="s">
        <v>1104</v>
      </c>
      <c r="H1320" s="19"/>
    </row>
    <row r="1321" customFormat="false" ht="15" hidden="false" customHeight="false" outlineLevel="0" collapsed="false">
      <c r="A1321" s="19" t="s">
        <v>1389</v>
      </c>
      <c r="B1321" s="19" t="s">
        <v>3041</v>
      </c>
      <c r="C1321" s="19" t="n">
        <v>13</v>
      </c>
      <c r="D1321" s="19" t="s">
        <v>535</v>
      </c>
      <c r="E1321" s="19" t="n">
        <v>0.15</v>
      </c>
      <c r="F1321" s="17" t="s">
        <v>3026</v>
      </c>
      <c r="G1321" s="17" t="s">
        <v>1104</v>
      </c>
      <c r="H1321" s="19"/>
    </row>
    <row r="1322" customFormat="false" ht="15" hidden="false" customHeight="false" outlineLevel="0" collapsed="false">
      <c r="A1322" s="19" t="s">
        <v>1389</v>
      </c>
      <c r="B1322" s="19" t="s">
        <v>2719</v>
      </c>
      <c r="C1322" s="19" t="n">
        <v>13</v>
      </c>
      <c r="D1322" s="17" t="s">
        <v>722</v>
      </c>
      <c r="E1322" s="19" t="n">
        <v>800</v>
      </c>
      <c r="F1322" s="17" t="s">
        <v>3027</v>
      </c>
      <c r="G1322" s="17" t="s">
        <v>1104</v>
      </c>
      <c r="H1322" s="19"/>
    </row>
    <row r="1323" customFormat="false" ht="15" hidden="false" customHeight="false" outlineLevel="0" collapsed="false">
      <c r="A1323" s="19" t="s">
        <v>1389</v>
      </c>
      <c r="B1323" s="19" t="s">
        <v>3042</v>
      </c>
      <c r="C1323" s="19" t="n">
        <v>13</v>
      </c>
      <c r="D1323" s="17" t="s">
        <v>707</v>
      </c>
      <c r="E1323" s="19" t="n">
        <v>920</v>
      </c>
      <c r="F1323" s="17" t="s">
        <v>3043</v>
      </c>
      <c r="G1323" s="17" t="s">
        <v>1104</v>
      </c>
      <c r="H1323" s="19"/>
    </row>
    <row r="1324" customFormat="false" ht="15" hidden="false" customHeight="false" outlineLevel="0" collapsed="false">
      <c r="A1324" s="19" t="s">
        <v>1389</v>
      </c>
      <c r="B1324" s="19" t="s">
        <v>1742</v>
      </c>
      <c r="C1324" s="19" t="n">
        <v>13</v>
      </c>
      <c r="D1324" s="17" t="s">
        <v>3012</v>
      </c>
      <c r="E1324" s="19" t="n">
        <v>136</v>
      </c>
      <c r="F1324" s="17" t="s">
        <v>3044</v>
      </c>
      <c r="G1324" s="17" t="s">
        <v>1104</v>
      </c>
      <c r="H1324" s="19"/>
    </row>
    <row r="1325" customFormat="false" ht="15" hidden="false" customHeight="false" outlineLevel="0" collapsed="false">
      <c r="A1325" s="19" t="s">
        <v>1389</v>
      </c>
      <c r="B1325" s="19" t="s">
        <v>3045</v>
      </c>
      <c r="C1325" s="19" t="n">
        <v>13</v>
      </c>
      <c r="D1325" s="19" t="s">
        <v>3014</v>
      </c>
      <c r="E1325" s="19" t="n">
        <v>487008</v>
      </c>
      <c r="F1325" s="17" t="s">
        <v>3046</v>
      </c>
      <c r="G1325" s="17" t="s">
        <v>1104</v>
      </c>
      <c r="H1325" s="19"/>
    </row>
    <row r="1326" customFormat="false" ht="15" hidden="false" customHeight="false" outlineLevel="0" collapsed="false">
      <c r="A1326" s="19" t="s">
        <v>1389</v>
      </c>
      <c r="B1326" s="19" t="s">
        <v>3047</v>
      </c>
      <c r="C1326" s="19" t="n">
        <v>13</v>
      </c>
      <c r="D1326" s="19" t="s">
        <v>535</v>
      </c>
      <c r="E1326" s="19" t="n">
        <v>0.05</v>
      </c>
      <c r="F1326" s="17" t="s">
        <v>3016</v>
      </c>
      <c r="G1326" s="17" t="s">
        <v>1104</v>
      </c>
      <c r="H1326" s="19"/>
    </row>
    <row r="1327" customFormat="false" ht="15" hidden="false" customHeight="false" outlineLevel="0" collapsed="false">
      <c r="A1327" s="19" t="s">
        <v>1389</v>
      </c>
      <c r="B1327" s="19" t="s">
        <v>2724</v>
      </c>
      <c r="C1327" s="19" t="n">
        <v>13</v>
      </c>
      <c r="D1327" s="17" t="s">
        <v>722</v>
      </c>
      <c r="E1327" s="19" t="n">
        <v>300</v>
      </c>
      <c r="F1327" s="17" t="s">
        <v>3017</v>
      </c>
      <c r="G1327" s="17" t="s">
        <v>1104</v>
      </c>
      <c r="H1327" s="19"/>
    </row>
    <row r="1328" customFormat="false" ht="15" hidden="false" customHeight="false" outlineLevel="0" collapsed="false">
      <c r="A1328" s="19" t="s">
        <v>1389</v>
      </c>
      <c r="B1328" s="19" t="s">
        <v>3048</v>
      </c>
      <c r="C1328" s="19" t="n">
        <v>13</v>
      </c>
      <c r="D1328" s="17" t="s">
        <v>707</v>
      </c>
      <c r="E1328" s="19" t="n">
        <v>920</v>
      </c>
      <c r="F1328" s="17" t="s">
        <v>3049</v>
      </c>
      <c r="G1328" s="17" t="s">
        <v>1104</v>
      </c>
      <c r="H1328" s="19"/>
    </row>
    <row r="1329" customFormat="false" ht="15" hidden="false" customHeight="false" outlineLevel="0" collapsed="false">
      <c r="A1329" s="19" t="s">
        <v>1389</v>
      </c>
      <c r="B1329" s="19" t="s">
        <v>1758</v>
      </c>
      <c r="C1329" s="19" t="n">
        <v>13</v>
      </c>
      <c r="D1329" s="17" t="s">
        <v>3012</v>
      </c>
      <c r="E1329" s="19" t="n">
        <v>136</v>
      </c>
      <c r="F1329" s="17" t="s">
        <v>3044</v>
      </c>
      <c r="G1329" s="17" t="s">
        <v>1104</v>
      </c>
      <c r="H1329" s="19"/>
    </row>
    <row r="1330" customFormat="false" ht="15" hidden="false" customHeight="false" outlineLevel="0" collapsed="false">
      <c r="A1330" s="19" t="s">
        <v>1389</v>
      </c>
      <c r="B1330" s="19" t="s">
        <v>3050</v>
      </c>
      <c r="C1330" s="19" t="n">
        <v>13</v>
      </c>
      <c r="D1330" s="19" t="s">
        <v>3014</v>
      </c>
      <c r="E1330" s="19" t="n">
        <v>487008</v>
      </c>
      <c r="F1330" s="17" t="s">
        <v>3051</v>
      </c>
      <c r="G1330" s="17" t="s">
        <v>1104</v>
      </c>
      <c r="H1330" s="19"/>
    </row>
    <row r="1331" customFormat="false" ht="15" hidden="false" customHeight="false" outlineLevel="0" collapsed="false">
      <c r="A1331" s="19" t="s">
        <v>1389</v>
      </c>
      <c r="B1331" s="19" t="s">
        <v>3052</v>
      </c>
      <c r="C1331" s="19" t="n">
        <v>13</v>
      </c>
      <c r="D1331" s="19" t="s">
        <v>535</v>
      </c>
      <c r="E1331" s="19" t="n">
        <v>0.1</v>
      </c>
      <c r="F1331" s="17" t="s">
        <v>3021</v>
      </c>
      <c r="G1331" s="17" t="s">
        <v>1104</v>
      </c>
      <c r="H1331" s="19"/>
    </row>
    <row r="1332" customFormat="false" ht="15" hidden="false" customHeight="false" outlineLevel="0" collapsed="false">
      <c r="A1332" s="19" t="s">
        <v>1389</v>
      </c>
      <c r="B1332" s="19" t="s">
        <v>2729</v>
      </c>
      <c r="C1332" s="19" t="n">
        <v>13</v>
      </c>
      <c r="D1332" s="17" t="s">
        <v>722</v>
      </c>
      <c r="E1332" s="19" t="n">
        <v>500</v>
      </c>
      <c r="F1332" s="17" t="s">
        <v>3022</v>
      </c>
      <c r="G1332" s="17" t="s">
        <v>1104</v>
      </c>
      <c r="H1332" s="19"/>
    </row>
    <row r="1333" customFormat="false" ht="15" hidden="false" customHeight="false" outlineLevel="0" collapsed="false">
      <c r="A1333" s="19" t="s">
        <v>1389</v>
      </c>
      <c r="B1333" s="19" t="s">
        <v>3053</v>
      </c>
      <c r="C1333" s="19" t="n">
        <v>13</v>
      </c>
      <c r="D1333" s="17" t="s">
        <v>707</v>
      </c>
      <c r="E1333" s="19" t="n">
        <v>920</v>
      </c>
      <c r="F1333" s="17" t="s">
        <v>3054</v>
      </c>
      <c r="G1333" s="17" t="s">
        <v>1104</v>
      </c>
      <c r="H1333" s="19"/>
    </row>
    <row r="1334" customFormat="false" ht="15" hidden="false" customHeight="false" outlineLevel="0" collapsed="false">
      <c r="A1334" s="19" t="s">
        <v>1389</v>
      </c>
      <c r="B1334" s="19" t="s">
        <v>1774</v>
      </c>
      <c r="C1334" s="19" t="n">
        <v>13</v>
      </c>
      <c r="D1334" s="17" t="s">
        <v>3012</v>
      </c>
      <c r="E1334" s="19" t="n">
        <v>136</v>
      </c>
      <c r="F1334" s="17" t="s">
        <v>3044</v>
      </c>
      <c r="G1334" s="17" t="s">
        <v>1104</v>
      </c>
      <c r="H1334" s="19"/>
    </row>
    <row r="1335" customFormat="false" ht="15" hidden="false" customHeight="false" outlineLevel="0" collapsed="false">
      <c r="A1335" s="19" t="s">
        <v>1389</v>
      </c>
      <c r="B1335" s="19" t="s">
        <v>3055</v>
      </c>
      <c r="C1335" s="19" t="n">
        <v>13</v>
      </c>
      <c r="D1335" s="19" t="s">
        <v>3014</v>
      </c>
      <c r="E1335" s="19" t="n">
        <v>487008</v>
      </c>
      <c r="F1335" s="17" t="s">
        <v>3056</v>
      </c>
      <c r="G1335" s="17" t="s">
        <v>1104</v>
      </c>
      <c r="H1335" s="19"/>
    </row>
    <row r="1336" customFormat="false" ht="15" hidden="false" customHeight="false" outlineLevel="0" collapsed="false">
      <c r="A1336" s="19" t="s">
        <v>1389</v>
      </c>
      <c r="B1336" s="19" t="s">
        <v>3057</v>
      </c>
      <c r="C1336" s="19" t="n">
        <v>13</v>
      </c>
      <c r="D1336" s="19" t="s">
        <v>535</v>
      </c>
      <c r="E1336" s="19" t="n">
        <v>0.15</v>
      </c>
      <c r="F1336" s="17" t="s">
        <v>3026</v>
      </c>
      <c r="G1336" s="17" t="s">
        <v>1104</v>
      </c>
      <c r="H1336" s="19"/>
    </row>
    <row r="1337" customFormat="false" ht="15" hidden="false" customHeight="false" outlineLevel="0" collapsed="false">
      <c r="A1337" s="19" t="s">
        <v>1389</v>
      </c>
      <c r="B1337" s="19" t="s">
        <v>2734</v>
      </c>
      <c r="C1337" s="19" t="n">
        <v>13</v>
      </c>
      <c r="D1337" s="17" t="s">
        <v>722</v>
      </c>
      <c r="E1337" s="19" t="n">
        <v>800</v>
      </c>
      <c r="F1337" s="17" t="s">
        <v>3027</v>
      </c>
      <c r="G1337" s="17" t="s">
        <v>1104</v>
      </c>
      <c r="H1337" s="19"/>
    </row>
    <row r="1338" customFormat="false" ht="15" hidden="false" customHeight="false" outlineLevel="0" collapsed="false">
      <c r="A1338" s="19" t="s">
        <v>1389</v>
      </c>
      <c r="B1338" s="19" t="s">
        <v>3058</v>
      </c>
      <c r="C1338" s="19" t="n">
        <v>13</v>
      </c>
      <c r="D1338" s="17" t="s">
        <v>707</v>
      </c>
      <c r="E1338" s="19" t="n">
        <v>920</v>
      </c>
      <c r="F1338" s="17" t="s">
        <v>3059</v>
      </c>
      <c r="G1338" s="17" t="s">
        <v>1104</v>
      </c>
      <c r="H1338" s="19"/>
    </row>
    <row r="1339" customFormat="false" ht="15" hidden="false" customHeight="false" outlineLevel="0" collapsed="false">
      <c r="A1339" s="19" t="s">
        <v>1389</v>
      </c>
      <c r="B1339" s="19" t="s">
        <v>1790</v>
      </c>
      <c r="C1339" s="19" t="n">
        <v>13</v>
      </c>
      <c r="D1339" s="17" t="s">
        <v>3012</v>
      </c>
      <c r="E1339" s="19" t="n">
        <v>227</v>
      </c>
      <c r="F1339" s="17" t="s">
        <v>3060</v>
      </c>
      <c r="G1339" s="17" t="s">
        <v>1104</v>
      </c>
      <c r="H1339" s="19"/>
    </row>
    <row r="1340" customFormat="false" ht="15" hidden="false" customHeight="false" outlineLevel="0" collapsed="false">
      <c r="A1340" s="19" t="s">
        <v>1389</v>
      </c>
      <c r="B1340" s="19" t="s">
        <v>3061</v>
      </c>
      <c r="C1340" s="19" t="n">
        <v>13</v>
      </c>
      <c r="D1340" s="19" t="s">
        <v>3014</v>
      </c>
      <c r="E1340" s="19" t="n">
        <v>291744</v>
      </c>
      <c r="F1340" s="17" t="s">
        <v>3062</v>
      </c>
      <c r="G1340" s="17" t="s">
        <v>1104</v>
      </c>
      <c r="H1340" s="19"/>
    </row>
    <row r="1341" customFormat="false" ht="15" hidden="false" customHeight="false" outlineLevel="0" collapsed="false">
      <c r="A1341" s="19" t="s">
        <v>1389</v>
      </c>
      <c r="B1341" s="19" t="s">
        <v>3063</v>
      </c>
      <c r="C1341" s="19" t="n">
        <v>13</v>
      </c>
      <c r="D1341" s="19" t="s">
        <v>535</v>
      </c>
      <c r="E1341" s="19" t="n">
        <v>0.05</v>
      </c>
      <c r="F1341" s="17" t="s">
        <v>3016</v>
      </c>
      <c r="G1341" s="17" t="s">
        <v>1104</v>
      </c>
      <c r="H1341" s="19"/>
    </row>
    <row r="1342" customFormat="false" ht="15" hidden="false" customHeight="false" outlineLevel="0" collapsed="false">
      <c r="A1342" s="19" t="s">
        <v>1389</v>
      </c>
      <c r="B1342" s="19" t="s">
        <v>2739</v>
      </c>
      <c r="C1342" s="19" t="n">
        <v>13</v>
      </c>
      <c r="D1342" s="17" t="s">
        <v>722</v>
      </c>
      <c r="E1342" s="19" t="n">
        <v>300</v>
      </c>
      <c r="F1342" s="17" t="s">
        <v>3017</v>
      </c>
      <c r="G1342" s="17" t="s">
        <v>1104</v>
      </c>
      <c r="H1342" s="19"/>
    </row>
    <row r="1343" customFormat="false" ht="15" hidden="false" customHeight="false" outlineLevel="0" collapsed="false">
      <c r="A1343" s="19" t="s">
        <v>1389</v>
      </c>
      <c r="B1343" s="19" t="s">
        <v>3064</v>
      </c>
      <c r="C1343" s="19" t="n">
        <v>13</v>
      </c>
      <c r="D1343" s="17" t="s">
        <v>707</v>
      </c>
      <c r="E1343" s="19" t="n">
        <v>920</v>
      </c>
      <c r="F1343" s="17" t="s">
        <v>3065</v>
      </c>
      <c r="G1343" s="17" t="s">
        <v>1104</v>
      </c>
      <c r="H1343" s="19"/>
    </row>
    <row r="1344" customFormat="false" ht="15" hidden="false" customHeight="false" outlineLevel="0" collapsed="false">
      <c r="A1344" s="19" t="s">
        <v>1389</v>
      </c>
      <c r="B1344" s="19" t="s">
        <v>1806</v>
      </c>
      <c r="C1344" s="19" t="n">
        <v>13</v>
      </c>
      <c r="D1344" s="17" t="s">
        <v>3012</v>
      </c>
      <c r="E1344" s="19" t="n">
        <v>227</v>
      </c>
      <c r="F1344" s="17" t="s">
        <v>3060</v>
      </c>
      <c r="G1344" s="17" t="s">
        <v>1104</v>
      </c>
      <c r="H1344" s="19"/>
    </row>
    <row r="1345" customFormat="false" ht="15" hidden="false" customHeight="false" outlineLevel="0" collapsed="false">
      <c r="A1345" s="19" t="s">
        <v>1389</v>
      </c>
      <c r="B1345" s="19" t="s">
        <v>3066</v>
      </c>
      <c r="C1345" s="19" t="n">
        <v>13</v>
      </c>
      <c r="D1345" s="19" t="s">
        <v>3014</v>
      </c>
      <c r="E1345" s="19" t="n">
        <v>291744</v>
      </c>
      <c r="F1345" s="17" t="s">
        <v>3067</v>
      </c>
      <c r="G1345" s="17" t="s">
        <v>1104</v>
      </c>
      <c r="H1345" s="19"/>
    </row>
    <row r="1346" customFormat="false" ht="15" hidden="false" customHeight="false" outlineLevel="0" collapsed="false">
      <c r="A1346" s="19" t="s">
        <v>1389</v>
      </c>
      <c r="B1346" s="19" t="s">
        <v>3068</v>
      </c>
      <c r="C1346" s="19" t="n">
        <v>13</v>
      </c>
      <c r="D1346" s="19" t="s">
        <v>535</v>
      </c>
      <c r="E1346" s="19" t="n">
        <v>0.1</v>
      </c>
      <c r="F1346" s="17" t="s">
        <v>3021</v>
      </c>
      <c r="G1346" s="17" t="s">
        <v>1104</v>
      </c>
      <c r="H1346" s="19"/>
    </row>
    <row r="1347" customFormat="false" ht="15" hidden="false" customHeight="false" outlineLevel="0" collapsed="false">
      <c r="A1347" s="19" t="s">
        <v>1389</v>
      </c>
      <c r="B1347" s="19" t="s">
        <v>2744</v>
      </c>
      <c r="C1347" s="19" t="n">
        <v>13</v>
      </c>
      <c r="D1347" s="17" t="s">
        <v>722</v>
      </c>
      <c r="E1347" s="19" t="n">
        <v>500</v>
      </c>
      <c r="F1347" s="17" t="s">
        <v>3022</v>
      </c>
      <c r="G1347" s="17" t="s">
        <v>1104</v>
      </c>
      <c r="H1347" s="19"/>
    </row>
    <row r="1348" customFormat="false" ht="15" hidden="false" customHeight="false" outlineLevel="0" collapsed="false">
      <c r="A1348" s="19" t="s">
        <v>1389</v>
      </c>
      <c r="B1348" s="19" t="s">
        <v>3069</v>
      </c>
      <c r="C1348" s="19" t="n">
        <v>13</v>
      </c>
      <c r="D1348" s="17" t="s">
        <v>707</v>
      </c>
      <c r="E1348" s="19" t="n">
        <v>920</v>
      </c>
      <c r="F1348" s="17" t="s">
        <v>3070</v>
      </c>
      <c r="G1348" s="17" t="s">
        <v>1104</v>
      </c>
      <c r="H1348" s="19"/>
    </row>
    <row r="1349" customFormat="false" ht="15" hidden="false" customHeight="false" outlineLevel="0" collapsed="false">
      <c r="A1349" s="19" t="s">
        <v>1389</v>
      </c>
      <c r="B1349" s="19" t="s">
        <v>1822</v>
      </c>
      <c r="C1349" s="19" t="n">
        <v>13</v>
      </c>
      <c r="D1349" s="17" t="s">
        <v>3012</v>
      </c>
      <c r="E1349" s="19" t="n">
        <v>227</v>
      </c>
      <c r="F1349" s="17" t="s">
        <v>3060</v>
      </c>
      <c r="G1349" s="17" t="s">
        <v>1104</v>
      </c>
      <c r="H1349" s="19"/>
    </row>
    <row r="1350" customFormat="false" ht="15" hidden="false" customHeight="false" outlineLevel="0" collapsed="false">
      <c r="A1350" s="19" t="s">
        <v>1389</v>
      </c>
      <c r="B1350" s="19" t="s">
        <v>3071</v>
      </c>
      <c r="C1350" s="19" t="n">
        <v>13</v>
      </c>
      <c r="D1350" s="19" t="s">
        <v>3014</v>
      </c>
      <c r="E1350" s="19" t="n">
        <v>291744</v>
      </c>
      <c r="F1350" s="17" t="s">
        <v>3072</v>
      </c>
      <c r="G1350" s="17" t="s">
        <v>1104</v>
      </c>
      <c r="H1350" s="19"/>
    </row>
    <row r="1351" customFormat="false" ht="15" hidden="false" customHeight="false" outlineLevel="0" collapsed="false">
      <c r="A1351" s="19" t="s">
        <v>1389</v>
      </c>
      <c r="B1351" s="19" t="s">
        <v>3073</v>
      </c>
      <c r="C1351" s="19" t="n">
        <v>13</v>
      </c>
      <c r="D1351" s="19" t="s">
        <v>535</v>
      </c>
      <c r="E1351" s="19" t="n">
        <v>0.15</v>
      </c>
      <c r="F1351" s="17" t="s">
        <v>3026</v>
      </c>
      <c r="G1351" s="17" t="s">
        <v>1104</v>
      </c>
      <c r="H1351" s="19"/>
    </row>
    <row r="1352" customFormat="false" ht="15" hidden="false" customHeight="false" outlineLevel="0" collapsed="false">
      <c r="A1352" s="19" t="s">
        <v>1389</v>
      </c>
      <c r="B1352" s="19" t="s">
        <v>2749</v>
      </c>
      <c r="C1352" s="19" t="n">
        <v>13</v>
      </c>
      <c r="D1352" s="17" t="s">
        <v>722</v>
      </c>
      <c r="E1352" s="19" t="n">
        <v>800</v>
      </c>
      <c r="F1352" s="17" t="s">
        <v>3027</v>
      </c>
      <c r="G1352" s="17" t="s">
        <v>1104</v>
      </c>
      <c r="H1352" s="19"/>
    </row>
    <row r="1353" customFormat="false" ht="15" hidden="false" customHeight="false" outlineLevel="0" collapsed="false">
      <c r="A1353" s="19" t="s">
        <v>1389</v>
      </c>
      <c r="B1353" s="19" t="s">
        <v>3074</v>
      </c>
      <c r="C1353" s="19" t="n">
        <v>13</v>
      </c>
      <c r="D1353" s="17" t="s">
        <v>707</v>
      </c>
      <c r="E1353" s="19" t="n">
        <v>920</v>
      </c>
      <c r="F1353" s="17" t="s">
        <v>3075</v>
      </c>
      <c r="G1353" s="17" t="s">
        <v>1104</v>
      </c>
      <c r="H1353" s="19"/>
    </row>
    <row r="1354" customFormat="false" ht="15" hidden="false" customHeight="false" outlineLevel="0" collapsed="false">
      <c r="A1354" s="19" t="s">
        <v>1389</v>
      </c>
      <c r="B1354" s="19" t="s">
        <v>1838</v>
      </c>
      <c r="C1354" s="19" t="n">
        <v>13</v>
      </c>
      <c r="D1354" s="17" t="s">
        <v>3012</v>
      </c>
      <c r="E1354" s="19" t="n">
        <v>340</v>
      </c>
      <c r="F1354" s="17" t="s">
        <v>3076</v>
      </c>
      <c r="G1354" s="17" t="s">
        <v>1104</v>
      </c>
      <c r="H1354" s="19"/>
    </row>
    <row r="1355" customFormat="false" ht="15" hidden="false" customHeight="false" outlineLevel="0" collapsed="false">
      <c r="A1355" s="19" t="s">
        <v>1389</v>
      </c>
      <c r="B1355" s="19" t="s">
        <v>3077</v>
      </c>
      <c r="C1355" s="19" t="n">
        <v>13</v>
      </c>
      <c r="D1355" s="19" t="s">
        <v>3014</v>
      </c>
      <c r="E1355" s="19" t="n">
        <v>194760</v>
      </c>
      <c r="F1355" s="17" t="s">
        <v>3078</v>
      </c>
      <c r="G1355" s="17" t="s">
        <v>1104</v>
      </c>
      <c r="H1355" s="19"/>
    </row>
    <row r="1356" customFormat="false" ht="15" hidden="false" customHeight="false" outlineLevel="0" collapsed="false">
      <c r="A1356" s="19" t="s">
        <v>1389</v>
      </c>
      <c r="B1356" s="19" t="s">
        <v>3079</v>
      </c>
      <c r="C1356" s="19" t="n">
        <v>13</v>
      </c>
      <c r="D1356" s="19" t="s">
        <v>535</v>
      </c>
      <c r="E1356" s="19" t="n">
        <v>0.05</v>
      </c>
      <c r="F1356" s="17" t="s">
        <v>3016</v>
      </c>
      <c r="G1356" s="17" t="s">
        <v>1104</v>
      </c>
      <c r="H1356" s="19"/>
    </row>
    <row r="1357" customFormat="false" ht="15" hidden="false" customHeight="false" outlineLevel="0" collapsed="false">
      <c r="A1357" s="19" t="s">
        <v>1389</v>
      </c>
      <c r="B1357" s="19" t="s">
        <v>2754</v>
      </c>
      <c r="C1357" s="19" t="n">
        <v>13</v>
      </c>
      <c r="D1357" s="17" t="s">
        <v>722</v>
      </c>
      <c r="E1357" s="19" t="n">
        <v>300</v>
      </c>
      <c r="F1357" s="17" t="s">
        <v>3017</v>
      </c>
      <c r="G1357" s="17" t="s">
        <v>1104</v>
      </c>
      <c r="H1357" s="19"/>
    </row>
    <row r="1358" customFormat="false" ht="15" hidden="false" customHeight="false" outlineLevel="0" collapsed="false">
      <c r="A1358" s="19" t="s">
        <v>1389</v>
      </c>
      <c r="B1358" s="19" t="s">
        <v>3080</v>
      </c>
      <c r="C1358" s="19" t="n">
        <v>13</v>
      </c>
      <c r="D1358" s="17" t="s">
        <v>707</v>
      </c>
      <c r="E1358" s="19" t="n">
        <v>920</v>
      </c>
      <c r="F1358" s="17" t="s">
        <v>3081</v>
      </c>
      <c r="G1358" s="17" t="s">
        <v>1104</v>
      </c>
      <c r="H1358" s="19"/>
    </row>
    <row r="1359" customFormat="false" ht="15" hidden="false" customHeight="false" outlineLevel="0" collapsed="false">
      <c r="A1359" s="19" t="s">
        <v>1389</v>
      </c>
      <c r="B1359" s="19" t="s">
        <v>1854</v>
      </c>
      <c r="C1359" s="19" t="n">
        <v>13</v>
      </c>
      <c r="D1359" s="17" t="s">
        <v>3012</v>
      </c>
      <c r="E1359" s="19" t="n">
        <v>340</v>
      </c>
      <c r="F1359" s="17" t="s">
        <v>3076</v>
      </c>
      <c r="G1359" s="17" t="s">
        <v>1104</v>
      </c>
      <c r="H1359" s="19"/>
    </row>
    <row r="1360" customFormat="false" ht="15" hidden="false" customHeight="false" outlineLevel="0" collapsed="false">
      <c r="A1360" s="19" t="s">
        <v>1389</v>
      </c>
      <c r="B1360" s="19" t="s">
        <v>3082</v>
      </c>
      <c r="C1360" s="19" t="n">
        <v>13</v>
      </c>
      <c r="D1360" s="19" t="s">
        <v>3014</v>
      </c>
      <c r="E1360" s="19" t="n">
        <v>194760</v>
      </c>
      <c r="F1360" s="17" t="s">
        <v>3083</v>
      </c>
      <c r="G1360" s="17" t="s">
        <v>1104</v>
      </c>
      <c r="H1360" s="19"/>
    </row>
    <row r="1361" customFormat="false" ht="15" hidden="false" customHeight="false" outlineLevel="0" collapsed="false">
      <c r="A1361" s="19" t="s">
        <v>1389</v>
      </c>
      <c r="B1361" s="19" t="s">
        <v>3084</v>
      </c>
      <c r="C1361" s="19" t="n">
        <v>13</v>
      </c>
      <c r="D1361" s="19" t="s">
        <v>535</v>
      </c>
      <c r="E1361" s="19" t="n">
        <v>0.1</v>
      </c>
      <c r="F1361" s="17" t="s">
        <v>3021</v>
      </c>
      <c r="G1361" s="17" t="s">
        <v>1104</v>
      </c>
      <c r="H1361" s="19"/>
    </row>
    <row r="1362" customFormat="false" ht="15" hidden="false" customHeight="false" outlineLevel="0" collapsed="false">
      <c r="A1362" s="19" t="s">
        <v>1389</v>
      </c>
      <c r="B1362" s="19" t="s">
        <v>2759</v>
      </c>
      <c r="C1362" s="19" t="n">
        <v>13</v>
      </c>
      <c r="D1362" s="17" t="s">
        <v>722</v>
      </c>
      <c r="E1362" s="19" t="n">
        <v>500</v>
      </c>
      <c r="F1362" s="17" t="s">
        <v>3022</v>
      </c>
      <c r="G1362" s="17" t="s">
        <v>1104</v>
      </c>
      <c r="H1362" s="19"/>
    </row>
    <row r="1363" customFormat="false" ht="15" hidden="false" customHeight="false" outlineLevel="0" collapsed="false">
      <c r="A1363" s="19" t="s">
        <v>1389</v>
      </c>
      <c r="B1363" s="19" t="s">
        <v>3085</v>
      </c>
      <c r="C1363" s="19" t="n">
        <v>13</v>
      </c>
      <c r="D1363" s="17" t="s">
        <v>707</v>
      </c>
      <c r="E1363" s="19" t="n">
        <v>920</v>
      </c>
      <c r="F1363" s="17" t="s">
        <v>3086</v>
      </c>
      <c r="G1363" s="17" t="s">
        <v>1104</v>
      </c>
      <c r="H1363" s="19"/>
    </row>
    <row r="1364" customFormat="false" ht="15" hidden="false" customHeight="false" outlineLevel="0" collapsed="false">
      <c r="A1364" s="19" t="s">
        <v>1389</v>
      </c>
      <c r="B1364" s="19" t="s">
        <v>1870</v>
      </c>
      <c r="C1364" s="19" t="n">
        <v>13</v>
      </c>
      <c r="D1364" s="17" t="s">
        <v>3012</v>
      </c>
      <c r="E1364" s="19" t="n">
        <v>340</v>
      </c>
      <c r="F1364" s="17" t="s">
        <v>3076</v>
      </c>
      <c r="G1364" s="17" t="s">
        <v>1104</v>
      </c>
      <c r="H1364" s="19"/>
    </row>
    <row r="1365" customFormat="false" ht="15" hidden="false" customHeight="false" outlineLevel="0" collapsed="false">
      <c r="A1365" s="19" t="s">
        <v>1389</v>
      </c>
      <c r="B1365" s="19" t="s">
        <v>3087</v>
      </c>
      <c r="C1365" s="19" t="n">
        <v>13</v>
      </c>
      <c r="D1365" s="19" t="s">
        <v>3014</v>
      </c>
      <c r="E1365" s="19" t="n">
        <v>194760</v>
      </c>
      <c r="F1365" s="17" t="s">
        <v>3088</v>
      </c>
      <c r="G1365" s="17" t="s">
        <v>1104</v>
      </c>
      <c r="H1365" s="19"/>
    </row>
    <row r="1366" customFormat="false" ht="15" hidden="false" customHeight="false" outlineLevel="0" collapsed="false">
      <c r="A1366" s="19" t="s">
        <v>1389</v>
      </c>
      <c r="B1366" s="19" t="s">
        <v>3089</v>
      </c>
      <c r="C1366" s="19" t="n">
        <v>13</v>
      </c>
      <c r="D1366" s="19" t="s">
        <v>535</v>
      </c>
      <c r="E1366" s="19" t="n">
        <v>0.15</v>
      </c>
      <c r="F1366" s="17" t="s">
        <v>3026</v>
      </c>
      <c r="G1366" s="17" t="s">
        <v>1104</v>
      </c>
      <c r="H1366" s="19"/>
    </row>
    <row r="1367" customFormat="false" ht="15" hidden="false" customHeight="false" outlineLevel="0" collapsed="false">
      <c r="A1367" s="19" t="s">
        <v>1389</v>
      </c>
      <c r="B1367" s="19" t="s">
        <v>2764</v>
      </c>
      <c r="C1367" s="19" t="n">
        <v>13</v>
      </c>
      <c r="D1367" s="17" t="s">
        <v>722</v>
      </c>
      <c r="E1367" s="19" t="n">
        <v>800</v>
      </c>
      <c r="F1367" s="17" t="s">
        <v>3027</v>
      </c>
      <c r="G1367" s="17" t="s">
        <v>1104</v>
      </c>
      <c r="H1367" s="19"/>
    </row>
    <row r="1368" customFormat="false" ht="15" hidden="false" customHeight="false" outlineLevel="0" collapsed="false">
      <c r="A1368" s="55" t="s">
        <v>1465</v>
      </c>
      <c r="B1368" s="55" t="s">
        <v>2502</v>
      </c>
      <c r="C1368" s="55" t="n">
        <v>13</v>
      </c>
      <c r="D1368" s="66" t="s">
        <v>542</v>
      </c>
      <c r="E1368" s="55" t="n">
        <v>0.02</v>
      </c>
      <c r="F1368" s="55"/>
      <c r="G1368" s="66" t="s">
        <v>1122</v>
      </c>
      <c r="H1368" s="55" t="s">
        <v>140</v>
      </c>
    </row>
    <row r="1369" customFormat="false" ht="15" hidden="false" customHeight="false" outlineLevel="0" collapsed="false">
      <c r="A1369" s="55" t="s">
        <v>1465</v>
      </c>
      <c r="B1369" s="55" t="s">
        <v>2503</v>
      </c>
      <c r="C1369" s="55" t="n">
        <v>13</v>
      </c>
      <c r="D1369" s="66" t="s">
        <v>542</v>
      </c>
      <c r="E1369" s="55" t="n">
        <v>0.02</v>
      </c>
      <c r="F1369" s="55"/>
      <c r="G1369" s="66" t="s">
        <v>1122</v>
      </c>
      <c r="H1369" s="55" t="s">
        <v>140</v>
      </c>
    </row>
    <row r="1370" customFormat="false" ht="15" hidden="false" customHeight="false" outlineLevel="0" collapsed="false">
      <c r="A1370" s="55" t="s">
        <v>1465</v>
      </c>
      <c r="B1370" s="55" t="s">
        <v>2504</v>
      </c>
      <c r="C1370" s="55" t="n">
        <v>13</v>
      </c>
      <c r="D1370" s="66" t="s">
        <v>542</v>
      </c>
      <c r="E1370" s="55" t="n">
        <v>0.02</v>
      </c>
      <c r="F1370" s="55"/>
      <c r="G1370" s="66" t="s">
        <v>1122</v>
      </c>
      <c r="H1370" s="55" t="s">
        <v>140</v>
      </c>
    </row>
    <row r="1371" customFormat="false" ht="15" hidden="false" customHeight="false" outlineLevel="0" collapsed="false">
      <c r="A1371" s="19" t="s">
        <v>2615</v>
      </c>
      <c r="B1371" s="19" t="s">
        <v>1335</v>
      </c>
      <c r="C1371" s="19" t="n">
        <v>13</v>
      </c>
      <c r="D1371" s="17" t="s">
        <v>772</v>
      </c>
      <c r="E1371" s="19" t="n">
        <v>1.979</v>
      </c>
      <c r="F1371" s="17" t="s">
        <v>3090</v>
      </c>
      <c r="G1371" s="17" t="s">
        <v>1104</v>
      </c>
      <c r="H1371" s="19"/>
    </row>
    <row r="1372" customFormat="false" ht="15" hidden="false" customHeight="false" outlineLevel="0" collapsed="false">
      <c r="A1372" s="19" t="s">
        <v>2615</v>
      </c>
      <c r="B1372" s="19" t="s">
        <v>2374</v>
      </c>
      <c r="C1372" s="19" t="n">
        <v>13</v>
      </c>
      <c r="D1372" s="19" t="s">
        <v>823</v>
      </c>
      <c r="E1372" s="19" t="n">
        <v>2</v>
      </c>
      <c r="F1372" s="17" t="s">
        <v>3091</v>
      </c>
      <c r="G1372" s="17" t="s">
        <v>1104</v>
      </c>
      <c r="H1372" s="19"/>
    </row>
    <row r="1373" customFormat="false" ht="15" hidden="false" customHeight="false" outlineLevel="0" collapsed="false">
      <c r="A1373" s="19" t="s">
        <v>2615</v>
      </c>
      <c r="B1373" s="19" t="s">
        <v>3092</v>
      </c>
      <c r="C1373" s="19" t="n">
        <v>13</v>
      </c>
      <c r="D1373" s="17" t="s">
        <v>3093</v>
      </c>
      <c r="E1373" s="19" t="n">
        <v>2.533</v>
      </c>
      <c r="F1373" s="17" t="s">
        <v>3094</v>
      </c>
      <c r="G1373" s="17" t="s">
        <v>1104</v>
      </c>
      <c r="H1373" s="19"/>
    </row>
    <row r="1374" customFormat="false" ht="15" hidden="false" customHeight="false" outlineLevel="0" collapsed="false">
      <c r="A1374" s="19" t="s">
        <v>2615</v>
      </c>
      <c r="B1374" s="19" t="s">
        <v>3095</v>
      </c>
      <c r="C1374" s="19" t="n">
        <v>13</v>
      </c>
      <c r="D1374" s="19" t="s">
        <v>858</v>
      </c>
      <c r="E1374" s="19" t="n">
        <v>38.259816374272</v>
      </c>
      <c r="F1374" s="17" t="s">
        <v>3096</v>
      </c>
      <c r="G1374" s="17" t="s">
        <v>1104</v>
      </c>
      <c r="H1374" s="19"/>
    </row>
    <row r="1375" customFormat="false" ht="15" hidden="false" customHeight="false" outlineLevel="0" collapsed="false">
      <c r="A1375" s="19" t="s">
        <v>2615</v>
      </c>
      <c r="B1375" s="19" t="s">
        <v>2917</v>
      </c>
      <c r="C1375" s="19" t="n">
        <v>13</v>
      </c>
      <c r="D1375" s="19" t="s">
        <v>873</v>
      </c>
      <c r="E1375" s="19" t="n">
        <v>7754.87255604074</v>
      </c>
      <c r="F1375" s="17" t="s">
        <v>3097</v>
      </c>
      <c r="G1375" s="17" t="s">
        <v>1104</v>
      </c>
      <c r="H1375" s="19"/>
    </row>
    <row r="1376" customFormat="false" ht="15" hidden="false" customHeight="false" outlineLevel="0" collapsed="false">
      <c r="A1376" s="19" t="s">
        <v>2615</v>
      </c>
      <c r="B1376" s="19" t="s">
        <v>2919</v>
      </c>
      <c r="C1376" s="19" t="n">
        <v>13</v>
      </c>
      <c r="D1376" s="19" t="s">
        <v>879</v>
      </c>
      <c r="E1376" s="17" t="s">
        <v>2920</v>
      </c>
      <c r="F1376" s="17" t="s">
        <v>3098</v>
      </c>
      <c r="G1376" s="17" t="s">
        <v>1104</v>
      </c>
      <c r="H1376" s="19"/>
    </row>
    <row r="1377" customFormat="false" ht="15" hidden="false" customHeight="false" outlineLevel="0" collapsed="false">
      <c r="A1377" s="19" t="s">
        <v>2615</v>
      </c>
      <c r="B1377" s="19" t="s">
        <v>2922</v>
      </c>
      <c r="C1377" s="19" t="n">
        <v>13</v>
      </c>
      <c r="D1377" s="19" t="s">
        <v>905</v>
      </c>
      <c r="E1377" s="19" t="n">
        <v>739.802932940398</v>
      </c>
      <c r="F1377" s="17" t="s">
        <v>3099</v>
      </c>
      <c r="G1377" s="17" t="s">
        <v>1104</v>
      </c>
      <c r="H1377" s="19"/>
    </row>
    <row r="1378" customFormat="false" ht="15" hidden="false" customHeight="false" outlineLevel="0" collapsed="false">
      <c r="A1378" s="19" t="s">
        <v>2615</v>
      </c>
      <c r="B1378" s="19" t="s">
        <v>3019</v>
      </c>
      <c r="C1378" s="19" t="n">
        <v>13</v>
      </c>
      <c r="D1378" s="17" t="s">
        <v>772</v>
      </c>
      <c r="E1378" s="19" t="n">
        <v>1.979</v>
      </c>
      <c r="F1378" s="17" t="s">
        <v>3100</v>
      </c>
      <c r="G1378" s="17" t="s">
        <v>1104</v>
      </c>
      <c r="H1378" s="19"/>
    </row>
    <row r="1379" customFormat="false" ht="15" hidden="false" customHeight="false" outlineLevel="0" collapsed="false">
      <c r="A1379" s="19" t="s">
        <v>2615</v>
      </c>
      <c r="B1379" s="19" t="s">
        <v>2378</v>
      </c>
      <c r="C1379" s="19" t="n">
        <v>13</v>
      </c>
      <c r="D1379" s="19" t="s">
        <v>823</v>
      </c>
      <c r="E1379" s="19" t="n">
        <v>3</v>
      </c>
      <c r="F1379" s="17" t="s">
        <v>3101</v>
      </c>
      <c r="G1379" s="17" t="s">
        <v>1104</v>
      </c>
      <c r="H1379" s="19"/>
    </row>
    <row r="1380" customFormat="false" ht="15" hidden="false" customHeight="false" outlineLevel="0" collapsed="false">
      <c r="A1380" s="19" t="s">
        <v>2615</v>
      </c>
      <c r="B1380" s="19" t="s">
        <v>3102</v>
      </c>
      <c r="C1380" s="19" t="n">
        <v>13</v>
      </c>
      <c r="D1380" s="17" t="s">
        <v>3093</v>
      </c>
      <c r="E1380" s="19" t="n">
        <v>2.533</v>
      </c>
      <c r="F1380" s="17" t="s">
        <v>3103</v>
      </c>
      <c r="G1380" s="17" t="s">
        <v>1104</v>
      </c>
      <c r="H1380" s="19"/>
    </row>
    <row r="1381" customFormat="false" ht="15" hidden="false" customHeight="false" outlineLevel="0" collapsed="false">
      <c r="A1381" s="19" t="s">
        <v>2615</v>
      </c>
      <c r="B1381" s="19" t="s">
        <v>3104</v>
      </c>
      <c r="C1381" s="19" t="n">
        <v>13</v>
      </c>
      <c r="D1381" s="19" t="s">
        <v>858</v>
      </c>
      <c r="E1381" s="19" t="n">
        <v>132.791852343296</v>
      </c>
      <c r="F1381" s="17" t="s">
        <v>3105</v>
      </c>
      <c r="G1381" s="17" t="s">
        <v>1104</v>
      </c>
      <c r="H1381" s="19"/>
    </row>
    <row r="1382" customFormat="false" ht="15" hidden="false" customHeight="false" outlineLevel="0" collapsed="false">
      <c r="A1382" s="19" t="s">
        <v>2615</v>
      </c>
      <c r="B1382" s="19" t="s">
        <v>2924</v>
      </c>
      <c r="C1382" s="19" t="n">
        <v>13</v>
      </c>
      <c r="D1382" s="19" t="s">
        <v>873</v>
      </c>
      <c r="E1382" s="19" t="n">
        <v>2234.32382909281</v>
      </c>
      <c r="F1382" s="17" t="s">
        <v>3106</v>
      </c>
      <c r="G1382" s="17" t="s">
        <v>1104</v>
      </c>
      <c r="H1382" s="19"/>
    </row>
    <row r="1383" customFormat="false" ht="15" hidden="false" customHeight="false" outlineLevel="0" collapsed="false">
      <c r="A1383" s="19" t="s">
        <v>2615</v>
      </c>
      <c r="B1383" s="19" t="s">
        <v>2926</v>
      </c>
      <c r="C1383" s="19" t="n">
        <v>13</v>
      </c>
      <c r="D1383" s="19" t="s">
        <v>879</v>
      </c>
      <c r="E1383" s="17" t="s">
        <v>2920</v>
      </c>
      <c r="F1383" s="17" t="s">
        <v>3107</v>
      </c>
      <c r="G1383" s="17" t="s">
        <v>1104</v>
      </c>
      <c r="H1383" s="19"/>
    </row>
    <row r="1384" customFormat="false" ht="15" hidden="false" customHeight="false" outlineLevel="0" collapsed="false">
      <c r="A1384" s="19" t="s">
        <v>2615</v>
      </c>
      <c r="B1384" s="19" t="s">
        <v>2928</v>
      </c>
      <c r="C1384" s="19" t="n">
        <v>13</v>
      </c>
      <c r="D1384" s="19" t="s">
        <v>905</v>
      </c>
      <c r="E1384" s="19" t="n">
        <v>224.823591539841</v>
      </c>
      <c r="F1384" s="17" t="s">
        <v>3108</v>
      </c>
      <c r="G1384" s="17" t="s">
        <v>1104</v>
      </c>
      <c r="H1384" s="19"/>
    </row>
    <row r="1385" customFormat="false" ht="15" hidden="false" customHeight="false" outlineLevel="0" collapsed="false">
      <c r="A1385" s="19" t="s">
        <v>2615</v>
      </c>
      <c r="B1385" s="19" t="s">
        <v>3024</v>
      </c>
      <c r="C1385" s="19" t="n">
        <v>13</v>
      </c>
      <c r="D1385" s="17" t="s">
        <v>772</v>
      </c>
      <c r="E1385" s="19" t="n">
        <v>1.979</v>
      </c>
      <c r="F1385" s="17" t="s">
        <v>3109</v>
      </c>
      <c r="G1385" s="17" t="s">
        <v>1104</v>
      </c>
      <c r="H1385" s="19"/>
    </row>
    <row r="1386" customFormat="false" ht="15" hidden="false" customHeight="false" outlineLevel="0" collapsed="false">
      <c r="A1386" s="19" t="s">
        <v>2615</v>
      </c>
      <c r="B1386" s="19" t="s">
        <v>2381</v>
      </c>
      <c r="C1386" s="19" t="n">
        <v>13</v>
      </c>
      <c r="D1386" s="19" t="s">
        <v>823</v>
      </c>
      <c r="E1386" s="19" t="n">
        <v>5</v>
      </c>
      <c r="F1386" s="17" t="s">
        <v>3110</v>
      </c>
      <c r="G1386" s="17" t="s">
        <v>1104</v>
      </c>
      <c r="H1386" s="19"/>
    </row>
    <row r="1387" customFormat="false" ht="15" hidden="false" customHeight="false" outlineLevel="0" collapsed="false">
      <c r="A1387" s="19" t="s">
        <v>2615</v>
      </c>
      <c r="B1387" s="19" t="s">
        <v>3111</v>
      </c>
      <c r="C1387" s="19" t="n">
        <v>13</v>
      </c>
      <c r="D1387" s="17" t="s">
        <v>3093</v>
      </c>
      <c r="E1387" s="19" t="n">
        <v>2.533</v>
      </c>
      <c r="F1387" s="17" t="s">
        <v>3112</v>
      </c>
      <c r="G1387" s="17" t="s">
        <v>1104</v>
      </c>
      <c r="H1387" s="19"/>
    </row>
    <row r="1388" customFormat="false" ht="15" hidden="false" customHeight="false" outlineLevel="0" collapsed="false">
      <c r="A1388" s="19" t="s">
        <v>2615</v>
      </c>
      <c r="B1388" s="19" t="s">
        <v>3113</v>
      </c>
      <c r="C1388" s="19" t="n">
        <v>13</v>
      </c>
      <c r="D1388" s="19" t="s">
        <v>858</v>
      </c>
      <c r="E1388" s="19" t="n">
        <v>440.5306368</v>
      </c>
      <c r="F1388" s="17" t="s">
        <v>3114</v>
      </c>
      <c r="G1388" s="17" t="s">
        <v>1104</v>
      </c>
      <c r="H1388" s="19"/>
    </row>
    <row r="1389" customFormat="false" ht="15" hidden="false" customHeight="false" outlineLevel="0" collapsed="false">
      <c r="A1389" s="19" t="s">
        <v>2615</v>
      </c>
      <c r="B1389" s="19" t="s">
        <v>2930</v>
      </c>
      <c r="C1389" s="19" t="n">
        <v>13</v>
      </c>
      <c r="D1389" s="19" t="s">
        <v>873</v>
      </c>
      <c r="E1389" s="19" t="n">
        <v>673.50593855451</v>
      </c>
      <c r="F1389" s="17" t="s">
        <v>3115</v>
      </c>
      <c r="G1389" s="17" t="s">
        <v>1104</v>
      </c>
      <c r="H1389" s="19"/>
    </row>
    <row r="1390" customFormat="false" ht="15" hidden="false" customHeight="false" outlineLevel="0" collapsed="false">
      <c r="A1390" s="19" t="s">
        <v>2615</v>
      </c>
      <c r="B1390" s="19" t="s">
        <v>2932</v>
      </c>
      <c r="C1390" s="19" t="n">
        <v>13</v>
      </c>
      <c r="D1390" s="19" t="s">
        <v>879</v>
      </c>
      <c r="E1390" s="17" t="s">
        <v>2920</v>
      </c>
      <c r="F1390" s="17" t="s">
        <v>3116</v>
      </c>
      <c r="G1390" s="17" t="s">
        <v>1104</v>
      </c>
      <c r="H1390" s="19"/>
    </row>
    <row r="1391" customFormat="false" ht="15" hidden="false" customHeight="false" outlineLevel="0" collapsed="false">
      <c r="A1391" s="19" t="s">
        <v>2615</v>
      </c>
      <c r="B1391" s="19" t="s">
        <v>2934</v>
      </c>
      <c r="C1391" s="19" t="n">
        <v>13</v>
      </c>
      <c r="D1391" s="19" t="s">
        <v>905</v>
      </c>
      <c r="E1391" s="19" t="n">
        <v>40.6742374235114</v>
      </c>
      <c r="F1391" s="17" t="s">
        <v>3117</v>
      </c>
      <c r="G1391" s="17" t="s">
        <v>1104</v>
      </c>
      <c r="H1391" s="19"/>
    </row>
    <row r="1392" customFormat="false" ht="15" hidden="false" customHeight="false" outlineLevel="0" collapsed="false">
      <c r="A1392" s="19" t="s">
        <v>2615</v>
      </c>
      <c r="B1392" s="19" t="s">
        <v>3030</v>
      </c>
      <c r="C1392" s="19" t="n">
        <v>13</v>
      </c>
      <c r="D1392" s="17" t="s">
        <v>772</v>
      </c>
      <c r="E1392" s="19" t="n">
        <v>10</v>
      </c>
      <c r="F1392" s="17" t="s">
        <v>3118</v>
      </c>
      <c r="G1392" s="17" t="s">
        <v>1104</v>
      </c>
      <c r="H1392" s="19"/>
    </row>
    <row r="1393" customFormat="false" ht="15" hidden="false" customHeight="false" outlineLevel="0" collapsed="false">
      <c r="A1393" s="19" t="s">
        <v>2615</v>
      </c>
      <c r="B1393" s="19" t="s">
        <v>2384</v>
      </c>
      <c r="C1393" s="19" t="n">
        <v>13</v>
      </c>
      <c r="D1393" s="19" t="s">
        <v>823</v>
      </c>
      <c r="E1393" s="19" t="n">
        <v>2</v>
      </c>
      <c r="F1393" s="17" t="s">
        <v>3119</v>
      </c>
      <c r="G1393" s="17" t="s">
        <v>1104</v>
      </c>
      <c r="H1393" s="19"/>
    </row>
    <row r="1394" customFormat="false" ht="15" hidden="false" customHeight="false" outlineLevel="0" collapsed="false">
      <c r="A1394" s="19" t="s">
        <v>2615</v>
      </c>
      <c r="B1394" s="19" t="s">
        <v>3120</v>
      </c>
      <c r="C1394" s="19" t="n">
        <v>13</v>
      </c>
      <c r="D1394" s="17" t="s">
        <v>3093</v>
      </c>
      <c r="E1394" s="19" t="n">
        <v>2.533</v>
      </c>
      <c r="F1394" s="17" t="s">
        <v>3121</v>
      </c>
      <c r="G1394" s="17" t="s">
        <v>1104</v>
      </c>
      <c r="H1394" s="19"/>
    </row>
    <row r="1395" customFormat="false" ht="15" hidden="false" customHeight="false" outlineLevel="0" collapsed="false">
      <c r="A1395" s="19" t="s">
        <v>2615</v>
      </c>
      <c r="B1395" s="19" t="s">
        <v>3122</v>
      </c>
      <c r="C1395" s="19" t="n">
        <v>13</v>
      </c>
      <c r="D1395" s="19" t="s">
        <v>858</v>
      </c>
      <c r="E1395" s="19" t="n">
        <v>38.259816374272</v>
      </c>
      <c r="F1395" s="17" t="s">
        <v>3123</v>
      </c>
      <c r="G1395" s="17" t="s">
        <v>1104</v>
      </c>
      <c r="H1395" s="19"/>
    </row>
    <row r="1396" customFormat="false" ht="15" hidden="false" customHeight="false" outlineLevel="0" collapsed="false">
      <c r="A1396" s="19" t="s">
        <v>2615</v>
      </c>
      <c r="B1396" s="19" t="s">
        <v>2936</v>
      </c>
      <c r="C1396" s="19" t="n">
        <v>13</v>
      </c>
      <c r="D1396" s="19" t="s">
        <v>873</v>
      </c>
      <c r="E1396" s="19" t="n">
        <v>78411.2493027375</v>
      </c>
      <c r="F1396" s="17" t="s">
        <v>3124</v>
      </c>
      <c r="G1396" s="17" t="s">
        <v>1104</v>
      </c>
      <c r="H1396" s="19"/>
    </row>
    <row r="1397" customFormat="false" ht="15" hidden="false" customHeight="false" outlineLevel="0" collapsed="false">
      <c r="A1397" s="19" t="s">
        <v>2615</v>
      </c>
      <c r="B1397" s="19" t="s">
        <v>2938</v>
      </c>
      <c r="C1397" s="19" t="n">
        <v>13</v>
      </c>
      <c r="D1397" s="19" t="s">
        <v>879</v>
      </c>
      <c r="E1397" s="17" t="s">
        <v>2920</v>
      </c>
      <c r="F1397" s="17" t="s">
        <v>3125</v>
      </c>
      <c r="G1397" s="17" t="s">
        <v>1104</v>
      </c>
      <c r="H1397" s="19"/>
    </row>
    <row r="1398" customFormat="false" ht="15" hidden="false" customHeight="false" outlineLevel="0" collapsed="false">
      <c r="A1398" s="19" t="s">
        <v>2615</v>
      </c>
      <c r="B1398" s="19" t="s">
        <v>2940</v>
      </c>
      <c r="C1398" s="19" t="n">
        <v>13</v>
      </c>
      <c r="D1398" s="19" t="s">
        <v>905</v>
      </c>
      <c r="E1398" s="19" t="n">
        <v>4775.91897647417</v>
      </c>
      <c r="F1398" s="17" t="s">
        <v>3126</v>
      </c>
      <c r="G1398" s="17" t="s">
        <v>1104</v>
      </c>
      <c r="H1398" s="19"/>
    </row>
    <row r="1399" customFormat="false" ht="15" hidden="false" customHeight="false" outlineLevel="0" collapsed="false">
      <c r="A1399" s="19" t="s">
        <v>2615</v>
      </c>
      <c r="B1399" s="19" t="s">
        <v>3034</v>
      </c>
      <c r="C1399" s="19" t="n">
        <v>13</v>
      </c>
      <c r="D1399" s="17" t="s">
        <v>772</v>
      </c>
      <c r="E1399" s="19" t="n">
        <v>10</v>
      </c>
      <c r="F1399" s="17" t="s">
        <v>3127</v>
      </c>
      <c r="G1399" s="17" t="s">
        <v>1104</v>
      </c>
      <c r="H1399" s="19"/>
    </row>
    <row r="1400" customFormat="false" ht="15" hidden="false" customHeight="false" outlineLevel="0" collapsed="false">
      <c r="A1400" s="19" t="s">
        <v>2615</v>
      </c>
      <c r="B1400" s="19" t="s">
        <v>2387</v>
      </c>
      <c r="C1400" s="19" t="n">
        <v>13</v>
      </c>
      <c r="D1400" s="19" t="s">
        <v>823</v>
      </c>
      <c r="E1400" s="19" t="n">
        <v>3</v>
      </c>
      <c r="F1400" s="17" t="s">
        <v>3128</v>
      </c>
      <c r="G1400" s="17" t="s">
        <v>1104</v>
      </c>
      <c r="H1400" s="19"/>
    </row>
    <row r="1401" customFormat="false" ht="15" hidden="false" customHeight="false" outlineLevel="0" collapsed="false">
      <c r="A1401" s="19" t="s">
        <v>2615</v>
      </c>
      <c r="B1401" s="19" t="s">
        <v>3129</v>
      </c>
      <c r="C1401" s="19" t="n">
        <v>13</v>
      </c>
      <c r="D1401" s="17" t="s">
        <v>3093</v>
      </c>
      <c r="E1401" s="19" t="n">
        <v>2.533</v>
      </c>
      <c r="F1401" s="17" t="s">
        <v>3130</v>
      </c>
      <c r="G1401" s="17" t="s">
        <v>1104</v>
      </c>
      <c r="H1401" s="19"/>
    </row>
    <row r="1402" customFormat="false" ht="15" hidden="false" customHeight="false" outlineLevel="0" collapsed="false">
      <c r="A1402" s="19" t="s">
        <v>2615</v>
      </c>
      <c r="B1402" s="19" t="s">
        <v>3131</v>
      </c>
      <c r="C1402" s="19" t="n">
        <v>13</v>
      </c>
      <c r="D1402" s="19" t="s">
        <v>858</v>
      </c>
      <c r="E1402" s="19" t="n">
        <v>132.791852343296</v>
      </c>
      <c r="F1402" s="17" t="s">
        <v>3132</v>
      </c>
      <c r="G1402" s="17" t="s">
        <v>1104</v>
      </c>
      <c r="H1402" s="19"/>
    </row>
    <row r="1403" customFormat="false" ht="15" hidden="false" customHeight="false" outlineLevel="0" collapsed="false">
      <c r="A1403" s="19" t="s">
        <v>2615</v>
      </c>
      <c r="B1403" s="19" t="s">
        <v>2942</v>
      </c>
      <c r="C1403" s="19" t="n">
        <v>13</v>
      </c>
      <c r="D1403" s="19" t="s">
        <v>873</v>
      </c>
      <c r="E1403" s="19" t="n">
        <v>22591.7475135774</v>
      </c>
      <c r="F1403" s="17" t="s">
        <v>3133</v>
      </c>
      <c r="G1403" s="17" t="s">
        <v>1104</v>
      </c>
      <c r="H1403" s="19"/>
    </row>
    <row r="1404" customFormat="false" ht="15" hidden="false" customHeight="false" outlineLevel="0" collapsed="false">
      <c r="A1404" s="19" t="s">
        <v>2615</v>
      </c>
      <c r="B1404" s="19" t="s">
        <v>2944</v>
      </c>
      <c r="C1404" s="19" t="n">
        <v>13</v>
      </c>
      <c r="D1404" s="19" t="s">
        <v>879</v>
      </c>
      <c r="E1404" s="17" t="s">
        <v>2920</v>
      </c>
      <c r="F1404" s="17" t="s">
        <v>3134</v>
      </c>
      <c r="G1404" s="17" t="s">
        <v>1104</v>
      </c>
      <c r="H1404" s="19"/>
    </row>
    <row r="1405" customFormat="false" ht="15" hidden="false" customHeight="false" outlineLevel="0" collapsed="false">
      <c r="A1405" s="19" t="s">
        <v>2615</v>
      </c>
      <c r="B1405" s="19" t="s">
        <v>2946</v>
      </c>
      <c r="C1405" s="19" t="n">
        <v>13</v>
      </c>
      <c r="D1405" s="19" t="s">
        <v>905</v>
      </c>
      <c r="E1405" s="19" t="n">
        <v>1407.39260438499</v>
      </c>
      <c r="F1405" s="17" t="s">
        <v>3135</v>
      </c>
      <c r="G1405" s="17" t="s">
        <v>1104</v>
      </c>
      <c r="H1405" s="19"/>
    </row>
    <row r="1406" customFormat="false" ht="15" hidden="false" customHeight="false" outlineLevel="0" collapsed="false">
      <c r="A1406" s="19" t="s">
        <v>2615</v>
      </c>
      <c r="B1406" s="19" t="s">
        <v>3039</v>
      </c>
      <c r="C1406" s="19" t="n">
        <v>13</v>
      </c>
      <c r="D1406" s="17" t="s">
        <v>772</v>
      </c>
      <c r="E1406" s="19" t="n">
        <v>10</v>
      </c>
      <c r="F1406" s="17" t="s">
        <v>3136</v>
      </c>
      <c r="G1406" s="17" t="s">
        <v>1104</v>
      </c>
      <c r="H1406" s="19"/>
    </row>
    <row r="1407" customFormat="false" ht="15" hidden="false" customHeight="false" outlineLevel="0" collapsed="false">
      <c r="A1407" s="19" t="s">
        <v>2615</v>
      </c>
      <c r="B1407" s="19" t="s">
        <v>2390</v>
      </c>
      <c r="C1407" s="19" t="n">
        <v>13</v>
      </c>
      <c r="D1407" s="19" t="s">
        <v>823</v>
      </c>
      <c r="E1407" s="19" t="n">
        <v>5</v>
      </c>
      <c r="F1407" s="17" t="s">
        <v>3137</v>
      </c>
      <c r="G1407" s="17" t="s">
        <v>1104</v>
      </c>
      <c r="H1407" s="19"/>
    </row>
    <row r="1408" customFormat="false" ht="15" hidden="false" customHeight="false" outlineLevel="0" collapsed="false">
      <c r="A1408" s="19" t="s">
        <v>2615</v>
      </c>
      <c r="B1408" s="19" t="s">
        <v>3138</v>
      </c>
      <c r="C1408" s="19" t="n">
        <v>13</v>
      </c>
      <c r="D1408" s="17" t="s">
        <v>3093</v>
      </c>
      <c r="E1408" s="19" t="n">
        <v>2.533</v>
      </c>
      <c r="F1408" s="17" t="s">
        <v>3139</v>
      </c>
      <c r="G1408" s="17" t="s">
        <v>1104</v>
      </c>
      <c r="H1408" s="19"/>
    </row>
    <row r="1409" customFormat="false" ht="15" hidden="false" customHeight="false" outlineLevel="0" collapsed="false">
      <c r="A1409" s="19" t="s">
        <v>2615</v>
      </c>
      <c r="B1409" s="19" t="s">
        <v>3140</v>
      </c>
      <c r="C1409" s="19" t="n">
        <v>13</v>
      </c>
      <c r="D1409" s="19" t="s">
        <v>858</v>
      </c>
      <c r="E1409" s="19" t="n">
        <v>440.5306368</v>
      </c>
      <c r="F1409" s="17" t="s">
        <v>3141</v>
      </c>
      <c r="G1409" s="17" t="s">
        <v>1104</v>
      </c>
      <c r="H1409" s="19"/>
    </row>
    <row r="1410" customFormat="false" ht="15" hidden="false" customHeight="false" outlineLevel="0" collapsed="false">
      <c r="A1410" s="19" t="s">
        <v>2615</v>
      </c>
      <c r="B1410" s="19" t="s">
        <v>2948</v>
      </c>
      <c r="C1410" s="19" t="n">
        <v>13</v>
      </c>
      <c r="D1410" s="19" t="s">
        <v>873</v>
      </c>
      <c r="E1410" s="19" t="n">
        <v>6809.96904504055</v>
      </c>
      <c r="F1410" s="17" t="s">
        <v>3142</v>
      </c>
      <c r="G1410" s="17" t="s">
        <v>1104</v>
      </c>
      <c r="H1410" s="19"/>
    </row>
    <row r="1411" customFormat="false" ht="15" hidden="false" customHeight="false" outlineLevel="0" collapsed="false">
      <c r="A1411" s="19" t="s">
        <v>2615</v>
      </c>
      <c r="B1411" s="19" t="s">
        <v>2950</v>
      </c>
      <c r="C1411" s="19" t="n">
        <v>13</v>
      </c>
      <c r="D1411" s="19" t="s">
        <v>879</v>
      </c>
      <c r="E1411" s="17" t="s">
        <v>2920</v>
      </c>
      <c r="F1411" s="17" t="s">
        <v>3143</v>
      </c>
      <c r="G1411" s="17" t="s">
        <v>1104</v>
      </c>
      <c r="H1411" s="19"/>
    </row>
    <row r="1412" customFormat="false" ht="15" hidden="false" customHeight="false" outlineLevel="0" collapsed="false">
      <c r="A1412" s="19" t="s">
        <v>2615</v>
      </c>
      <c r="B1412" s="19" t="s">
        <v>2952</v>
      </c>
      <c r="C1412" s="19" t="n">
        <v>13</v>
      </c>
      <c r="D1412" s="19" t="s">
        <v>905</v>
      </c>
      <c r="E1412" s="19" t="n">
        <v>270.236909992113</v>
      </c>
      <c r="F1412" s="17" t="s">
        <v>3144</v>
      </c>
      <c r="G1412" s="17" t="s">
        <v>1104</v>
      </c>
      <c r="H1412" s="19"/>
    </row>
    <row r="1413" customFormat="false" ht="15" hidden="false" customHeight="false" outlineLevel="0" collapsed="false">
      <c r="A1413" s="19" t="s">
        <v>2615</v>
      </c>
      <c r="B1413" s="19" t="s">
        <v>3045</v>
      </c>
      <c r="C1413" s="19" t="n">
        <v>13</v>
      </c>
      <c r="D1413" s="17" t="s">
        <v>772</v>
      </c>
      <c r="E1413" s="19" t="n">
        <v>15</v>
      </c>
      <c r="F1413" s="17" t="s">
        <v>3145</v>
      </c>
      <c r="G1413" s="17" t="s">
        <v>1104</v>
      </c>
      <c r="H1413" s="19"/>
    </row>
    <row r="1414" customFormat="false" ht="15" hidden="false" customHeight="false" outlineLevel="0" collapsed="false">
      <c r="A1414" s="19" t="s">
        <v>2615</v>
      </c>
      <c r="B1414" s="19" t="s">
        <v>2393</v>
      </c>
      <c r="C1414" s="19" t="n">
        <v>13</v>
      </c>
      <c r="D1414" s="19" t="s">
        <v>823</v>
      </c>
      <c r="E1414" s="19" t="n">
        <v>2</v>
      </c>
      <c r="F1414" s="17" t="s">
        <v>3146</v>
      </c>
      <c r="G1414" s="17" t="s">
        <v>1104</v>
      </c>
      <c r="H1414" s="19"/>
    </row>
    <row r="1415" customFormat="false" ht="15" hidden="false" customHeight="false" outlineLevel="0" collapsed="false">
      <c r="A1415" s="19" t="s">
        <v>2615</v>
      </c>
      <c r="B1415" s="19" t="s">
        <v>3147</v>
      </c>
      <c r="C1415" s="19" t="n">
        <v>13</v>
      </c>
      <c r="D1415" s="17" t="s">
        <v>3093</v>
      </c>
      <c r="E1415" s="19" t="n">
        <v>2.533</v>
      </c>
      <c r="F1415" s="17" t="s">
        <v>3148</v>
      </c>
      <c r="G1415" s="17" t="s">
        <v>1104</v>
      </c>
      <c r="H1415" s="19"/>
    </row>
    <row r="1416" customFormat="false" ht="15" hidden="false" customHeight="false" outlineLevel="0" collapsed="false">
      <c r="A1416" s="19" t="s">
        <v>2615</v>
      </c>
      <c r="B1416" s="19" t="s">
        <v>3149</v>
      </c>
      <c r="C1416" s="19" t="n">
        <v>13</v>
      </c>
      <c r="D1416" s="19" t="s">
        <v>858</v>
      </c>
      <c r="E1416" s="19" t="n">
        <v>38.259816374272</v>
      </c>
      <c r="F1416" s="17" t="s">
        <v>3150</v>
      </c>
      <c r="G1416" s="17" t="s">
        <v>1104</v>
      </c>
      <c r="H1416" s="19"/>
    </row>
    <row r="1417" customFormat="false" ht="15" hidden="false" customHeight="false" outlineLevel="0" collapsed="false">
      <c r="A1417" s="19" t="s">
        <v>2615</v>
      </c>
      <c r="B1417" s="19" t="s">
        <v>2954</v>
      </c>
      <c r="C1417" s="19" t="n">
        <v>13</v>
      </c>
      <c r="D1417" s="19" t="s">
        <v>873</v>
      </c>
      <c r="E1417" s="19" t="n">
        <v>117616.873954106</v>
      </c>
      <c r="F1417" s="17" t="s">
        <v>3151</v>
      </c>
      <c r="G1417" s="17" t="s">
        <v>1104</v>
      </c>
      <c r="H1417" s="19"/>
    </row>
    <row r="1418" customFormat="false" ht="15" hidden="false" customHeight="false" outlineLevel="0" collapsed="false">
      <c r="A1418" s="19" t="s">
        <v>2615</v>
      </c>
      <c r="B1418" s="19" t="s">
        <v>2956</v>
      </c>
      <c r="C1418" s="19" t="n">
        <v>13</v>
      </c>
      <c r="D1418" s="19" t="s">
        <v>879</v>
      </c>
      <c r="E1418" s="17" t="s">
        <v>2920</v>
      </c>
      <c r="F1418" s="17" t="s">
        <v>3152</v>
      </c>
      <c r="G1418" s="17" t="s">
        <v>1104</v>
      </c>
      <c r="H1418" s="19"/>
    </row>
    <row r="1419" customFormat="false" ht="15" hidden="false" customHeight="false" outlineLevel="0" collapsed="false">
      <c r="A1419" s="19" t="s">
        <v>2615</v>
      </c>
      <c r="B1419" s="19" t="s">
        <v>2958</v>
      </c>
      <c r="C1419" s="19" t="n">
        <v>13</v>
      </c>
      <c r="D1419" s="19" t="s">
        <v>905</v>
      </c>
      <c r="E1419" s="19" t="n">
        <v>6229.45953453152</v>
      </c>
      <c r="F1419" s="17" t="s">
        <v>3153</v>
      </c>
      <c r="G1419" s="17" t="s">
        <v>1104</v>
      </c>
      <c r="H1419" s="19"/>
    </row>
    <row r="1420" customFormat="false" ht="15" hidden="false" customHeight="false" outlineLevel="0" collapsed="false">
      <c r="A1420" s="19" t="s">
        <v>2615</v>
      </c>
      <c r="B1420" s="19" t="s">
        <v>3050</v>
      </c>
      <c r="C1420" s="19" t="n">
        <v>13</v>
      </c>
      <c r="D1420" s="17" t="s">
        <v>772</v>
      </c>
      <c r="E1420" s="19" t="n">
        <v>15</v>
      </c>
      <c r="F1420" s="17" t="s">
        <v>3154</v>
      </c>
      <c r="G1420" s="17" t="s">
        <v>1104</v>
      </c>
      <c r="H1420" s="19"/>
    </row>
    <row r="1421" customFormat="false" ht="15" hidden="false" customHeight="false" outlineLevel="0" collapsed="false">
      <c r="A1421" s="19" t="s">
        <v>2615</v>
      </c>
      <c r="B1421" s="19" t="s">
        <v>2396</v>
      </c>
      <c r="C1421" s="19" t="n">
        <v>13</v>
      </c>
      <c r="D1421" s="19" t="s">
        <v>823</v>
      </c>
      <c r="E1421" s="19" t="n">
        <v>3</v>
      </c>
      <c r="F1421" s="17" t="s">
        <v>3155</v>
      </c>
      <c r="G1421" s="17" t="s">
        <v>1104</v>
      </c>
      <c r="H1421" s="19"/>
    </row>
    <row r="1422" customFormat="false" ht="15" hidden="false" customHeight="false" outlineLevel="0" collapsed="false">
      <c r="A1422" s="19" t="s">
        <v>2615</v>
      </c>
      <c r="B1422" s="19" t="s">
        <v>3156</v>
      </c>
      <c r="C1422" s="19" t="n">
        <v>13</v>
      </c>
      <c r="D1422" s="17" t="s">
        <v>3093</v>
      </c>
      <c r="E1422" s="19" t="n">
        <v>2.533</v>
      </c>
      <c r="F1422" s="17" t="s">
        <v>3157</v>
      </c>
      <c r="G1422" s="17" t="s">
        <v>1104</v>
      </c>
      <c r="H1422" s="19"/>
    </row>
    <row r="1423" customFormat="false" ht="15" hidden="false" customHeight="false" outlineLevel="0" collapsed="false">
      <c r="A1423" s="19" t="s">
        <v>2615</v>
      </c>
      <c r="B1423" s="19" t="s">
        <v>3158</v>
      </c>
      <c r="C1423" s="19" t="n">
        <v>13</v>
      </c>
      <c r="D1423" s="19" t="s">
        <v>858</v>
      </c>
      <c r="E1423" s="19" t="n">
        <v>132.791852343296</v>
      </c>
      <c r="F1423" s="17" t="s">
        <v>3159</v>
      </c>
      <c r="G1423" s="17" t="s">
        <v>1104</v>
      </c>
      <c r="H1423" s="19"/>
    </row>
    <row r="1424" customFormat="false" ht="15" hidden="false" customHeight="false" outlineLevel="0" collapsed="false">
      <c r="A1424" s="19" t="s">
        <v>2615</v>
      </c>
      <c r="B1424" s="19" t="s">
        <v>2960</v>
      </c>
      <c r="C1424" s="19" t="n">
        <v>13</v>
      </c>
      <c r="D1424" s="19" t="s">
        <v>873</v>
      </c>
      <c r="E1424" s="19" t="n">
        <v>33887.6212703662</v>
      </c>
      <c r="F1424" s="17" t="s">
        <v>3160</v>
      </c>
      <c r="G1424" s="17" t="s">
        <v>1104</v>
      </c>
      <c r="H1424" s="19"/>
    </row>
    <row r="1425" customFormat="false" ht="15" hidden="false" customHeight="false" outlineLevel="0" collapsed="false">
      <c r="A1425" s="19" t="s">
        <v>2615</v>
      </c>
      <c r="B1425" s="19" t="s">
        <v>2962</v>
      </c>
      <c r="C1425" s="19" t="n">
        <v>13</v>
      </c>
      <c r="D1425" s="19" t="s">
        <v>879</v>
      </c>
      <c r="E1425" s="17" t="s">
        <v>2920</v>
      </c>
      <c r="F1425" s="17" t="s">
        <v>3161</v>
      </c>
      <c r="G1425" s="17" t="s">
        <v>1104</v>
      </c>
      <c r="H1425" s="19"/>
    </row>
    <row r="1426" customFormat="false" ht="15" hidden="false" customHeight="false" outlineLevel="0" collapsed="false">
      <c r="A1426" s="19" t="s">
        <v>2615</v>
      </c>
      <c r="B1426" s="19" t="s">
        <v>2964</v>
      </c>
      <c r="C1426" s="19" t="n">
        <v>13</v>
      </c>
      <c r="D1426" s="19" t="s">
        <v>905</v>
      </c>
      <c r="E1426" s="19" t="n">
        <v>1835.72948398042</v>
      </c>
      <c r="F1426" s="17" t="s">
        <v>3162</v>
      </c>
      <c r="G1426" s="17" t="s">
        <v>1104</v>
      </c>
      <c r="H1426" s="19"/>
    </row>
    <row r="1427" customFormat="false" ht="15" hidden="false" customHeight="false" outlineLevel="0" collapsed="false">
      <c r="A1427" s="19" t="s">
        <v>2615</v>
      </c>
      <c r="B1427" s="19" t="s">
        <v>3055</v>
      </c>
      <c r="C1427" s="19" t="n">
        <v>13</v>
      </c>
      <c r="D1427" s="17" t="s">
        <v>772</v>
      </c>
      <c r="E1427" s="19" t="n">
        <v>15</v>
      </c>
      <c r="F1427" s="17" t="s">
        <v>3163</v>
      </c>
      <c r="G1427" s="17" t="s">
        <v>1104</v>
      </c>
      <c r="H1427" s="19"/>
    </row>
    <row r="1428" customFormat="false" ht="15" hidden="false" customHeight="false" outlineLevel="0" collapsed="false">
      <c r="A1428" s="19" t="s">
        <v>2615</v>
      </c>
      <c r="B1428" s="19" t="s">
        <v>2399</v>
      </c>
      <c r="C1428" s="19" t="n">
        <v>13</v>
      </c>
      <c r="D1428" s="19" t="s">
        <v>823</v>
      </c>
      <c r="E1428" s="19" t="n">
        <v>5</v>
      </c>
      <c r="F1428" s="17" t="s">
        <v>3164</v>
      </c>
      <c r="G1428" s="17" t="s">
        <v>1104</v>
      </c>
      <c r="H1428" s="19"/>
    </row>
    <row r="1429" customFormat="false" ht="15" hidden="false" customHeight="false" outlineLevel="0" collapsed="false">
      <c r="A1429" s="19" t="s">
        <v>2615</v>
      </c>
      <c r="B1429" s="19" t="s">
        <v>3165</v>
      </c>
      <c r="C1429" s="19" t="n">
        <v>13</v>
      </c>
      <c r="D1429" s="17" t="s">
        <v>3093</v>
      </c>
      <c r="E1429" s="19" t="n">
        <v>2.533</v>
      </c>
      <c r="F1429" s="17" t="s">
        <v>3166</v>
      </c>
      <c r="G1429" s="17" t="s">
        <v>1104</v>
      </c>
      <c r="H1429" s="19"/>
    </row>
    <row r="1430" customFormat="false" ht="15" hidden="false" customHeight="false" outlineLevel="0" collapsed="false">
      <c r="A1430" s="19" t="s">
        <v>2615</v>
      </c>
      <c r="B1430" s="19" t="s">
        <v>3167</v>
      </c>
      <c r="C1430" s="19" t="n">
        <v>13</v>
      </c>
      <c r="D1430" s="19" t="s">
        <v>858</v>
      </c>
      <c r="E1430" s="19" t="n">
        <v>440.5306368</v>
      </c>
      <c r="F1430" s="17" t="s">
        <v>3168</v>
      </c>
      <c r="G1430" s="17" t="s">
        <v>1104</v>
      </c>
      <c r="H1430" s="19"/>
    </row>
    <row r="1431" customFormat="false" ht="15" hidden="false" customHeight="false" outlineLevel="0" collapsed="false">
      <c r="A1431" s="19" t="s">
        <v>2615</v>
      </c>
      <c r="B1431" s="19" t="s">
        <v>2966</v>
      </c>
      <c r="C1431" s="19" t="n">
        <v>13</v>
      </c>
      <c r="D1431" s="19" t="s">
        <v>873</v>
      </c>
      <c r="E1431" s="19" t="n">
        <v>10214.9535675608</v>
      </c>
      <c r="F1431" s="17" t="s">
        <v>3169</v>
      </c>
      <c r="G1431" s="17" t="s">
        <v>1104</v>
      </c>
      <c r="H1431" s="19"/>
    </row>
    <row r="1432" customFormat="false" ht="15" hidden="false" customHeight="false" outlineLevel="0" collapsed="false">
      <c r="A1432" s="19" t="s">
        <v>2615</v>
      </c>
      <c r="B1432" s="19" t="s">
        <v>2968</v>
      </c>
      <c r="C1432" s="19" t="n">
        <v>13</v>
      </c>
      <c r="D1432" s="19" t="s">
        <v>879</v>
      </c>
      <c r="E1432" s="17" t="s">
        <v>2920</v>
      </c>
      <c r="F1432" s="17" t="s">
        <v>3170</v>
      </c>
      <c r="G1432" s="17" t="s">
        <v>1104</v>
      </c>
      <c r="H1432" s="19"/>
    </row>
    <row r="1433" customFormat="false" ht="15" hidden="false" customHeight="false" outlineLevel="0" collapsed="false">
      <c r="A1433" s="19" t="s">
        <v>2615</v>
      </c>
      <c r="B1433" s="19" t="s">
        <v>2970</v>
      </c>
      <c r="C1433" s="19" t="n">
        <v>13</v>
      </c>
      <c r="D1433" s="19" t="s">
        <v>905</v>
      </c>
      <c r="E1433" s="19" t="n">
        <v>315.604954334554</v>
      </c>
      <c r="F1433" s="17" t="s">
        <v>3171</v>
      </c>
      <c r="G1433" s="17" t="s">
        <v>1104</v>
      </c>
      <c r="H1433" s="19"/>
    </row>
    <row r="1434" customFormat="false" ht="15" hidden="false" customHeight="false" outlineLevel="0" collapsed="false">
      <c r="A1434" s="19" t="s">
        <v>2615</v>
      </c>
      <c r="B1434" s="19" t="s">
        <v>3061</v>
      </c>
      <c r="C1434" s="19" t="n">
        <v>13</v>
      </c>
      <c r="D1434" s="17" t="s">
        <v>772</v>
      </c>
      <c r="E1434" s="19" t="n">
        <v>35</v>
      </c>
      <c r="F1434" s="17" t="s">
        <v>3172</v>
      </c>
      <c r="G1434" s="17" t="s">
        <v>1104</v>
      </c>
      <c r="H1434" s="19"/>
    </row>
    <row r="1435" customFormat="false" ht="15" hidden="false" customHeight="false" outlineLevel="0" collapsed="false">
      <c r="A1435" s="19" t="s">
        <v>2615</v>
      </c>
      <c r="B1435" s="19" t="s">
        <v>2402</v>
      </c>
      <c r="C1435" s="19" t="n">
        <v>13</v>
      </c>
      <c r="D1435" s="19" t="s">
        <v>823</v>
      </c>
      <c r="E1435" s="19" t="n">
        <v>2</v>
      </c>
      <c r="F1435" s="17" t="s">
        <v>3173</v>
      </c>
      <c r="G1435" s="17" t="s">
        <v>1104</v>
      </c>
      <c r="H1435" s="19"/>
    </row>
    <row r="1436" customFormat="false" ht="15" hidden="false" customHeight="false" outlineLevel="0" collapsed="false">
      <c r="A1436" s="19" t="s">
        <v>2615</v>
      </c>
      <c r="B1436" s="19" t="s">
        <v>3174</v>
      </c>
      <c r="C1436" s="19" t="n">
        <v>13</v>
      </c>
      <c r="D1436" s="17" t="s">
        <v>3093</v>
      </c>
      <c r="E1436" s="19" t="n">
        <v>2.533</v>
      </c>
      <c r="F1436" s="17" t="s">
        <v>3175</v>
      </c>
      <c r="G1436" s="17" t="s">
        <v>1104</v>
      </c>
      <c r="H1436" s="19"/>
    </row>
    <row r="1437" customFormat="false" ht="15" hidden="false" customHeight="false" outlineLevel="0" collapsed="false">
      <c r="A1437" s="19" t="s">
        <v>2615</v>
      </c>
      <c r="B1437" s="19" t="s">
        <v>3176</v>
      </c>
      <c r="C1437" s="19" t="n">
        <v>13</v>
      </c>
      <c r="D1437" s="19" t="s">
        <v>858</v>
      </c>
      <c r="E1437" s="19" t="n">
        <v>38.259816374272</v>
      </c>
      <c r="F1437" s="17" t="s">
        <v>3177</v>
      </c>
      <c r="G1437" s="17" t="s">
        <v>1104</v>
      </c>
      <c r="H1437" s="19"/>
    </row>
    <row r="1438" customFormat="false" ht="15" hidden="false" customHeight="false" outlineLevel="0" collapsed="false">
      <c r="A1438" s="19" t="s">
        <v>2615</v>
      </c>
      <c r="B1438" s="19" t="s">
        <v>2972</v>
      </c>
      <c r="C1438" s="19" t="n">
        <v>13</v>
      </c>
      <c r="D1438" s="19" t="s">
        <v>873</v>
      </c>
      <c r="E1438" s="19" t="n">
        <v>274439.372559581</v>
      </c>
      <c r="F1438" s="17" t="s">
        <v>3178</v>
      </c>
      <c r="G1438" s="17" t="s">
        <v>1104</v>
      </c>
      <c r="H1438" s="19"/>
    </row>
    <row r="1439" customFormat="false" ht="15" hidden="false" customHeight="false" outlineLevel="0" collapsed="false">
      <c r="A1439" s="19" t="s">
        <v>2615</v>
      </c>
      <c r="B1439" s="19" t="s">
        <v>2974</v>
      </c>
      <c r="C1439" s="19" t="n">
        <v>13</v>
      </c>
      <c r="D1439" s="19" t="s">
        <v>879</v>
      </c>
      <c r="E1439" s="17" t="s">
        <v>2920</v>
      </c>
      <c r="F1439" s="17" t="s">
        <v>3179</v>
      </c>
      <c r="G1439" s="17" t="s">
        <v>1104</v>
      </c>
      <c r="H1439" s="19"/>
    </row>
    <row r="1440" customFormat="false" ht="15" hidden="false" customHeight="false" outlineLevel="0" collapsed="false">
      <c r="A1440" s="19" t="s">
        <v>2615</v>
      </c>
      <c r="B1440" s="19" t="s">
        <v>2976</v>
      </c>
      <c r="C1440" s="19" t="n">
        <v>13</v>
      </c>
      <c r="D1440" s="19" t="s">
        <v>905</v>
      </c>
      <c r="E1440" s="19" t="n">
        <v>15093.8501066124</v>
      </c>
      <c r="F1440" s="17" t="s">
        <v>3180</v>
      </c>
      <c r="G1440" s="17" t="s">
        <v>1104</v>
      </c>
      <c r="H1440" s="19"/>
    </row>
    <row r="1441" customFormat="false" ht="15" hidden="false" customHeight="false" outlineLevel="0" collapsed="false">
      <c r="A1441" s="19" t="s">
        <v>2615</v>
      </c>
      <c r="B1441" s="19" t="s">
        <v>3066</v>
      </c>
      <c r="C1441" s="19" t="n">
        <v>13</v>
      </c>
      <c r="D1441" s="17" t="s">
        <v>772</v>
      </c>
      <c r="E1441" s="19" t="n">
        <v>35</v>
      </c>
      <c r="F1441" s="17" t="s">
        <v>3181</v>
      </c>
      <c r="G1441" s="17" t="s">
        <v>1104</v>
      </c>
      <c r="H1441" s="19"/>
    </row>
    <row r="1442" customFormat="false" ht="15" hidden="false" customHeight="false" outlineLevel="0" collapsed="false">
      <c r="A1442" s="19" t="s">
        <v>2615</v>
      </c>
      <c r="B1442" s="19" t="s">
        <v>2405</v>
      </c>
      <c r="C1442" s="19" t="n">
        <v>13</v>
      </c>
      <c r="D1442" s="19" t="s">
        <v>823</v>
      </c>
      <c r="E1442" s="19" t="n">
        <v>3</v>
      </c>
      <c r="F1442" s="17" t="s">
        <v>3182</v>
      </c>
      <c r="G1442" s="17" t="s">
        <v>1104</v>
      </c>
      <c r="H1442" s="19"/>
    </row>
    <row r="1443" customFormat="false" ht="15" hidden="false" customHeight="false" outlineLevel="0" collapsed="false">
      <c r="A1443" s="19" t="s">
        <v>2615</v>
      </c>
      <c r="B1443" s="19" t="s">
        <v>3183</v>
      </c>
      <c r="C1443" s="19" t="n">
        <v>13</v>
      </c>
      <c r="D1443" s="17" t="s">
        <v>3093</v>
      </c>
      <c r="E1443" s="19" t="n">
        <v>2.533</v>
      </c>
      <c r="F1443" s="17" t="s">
        <v>3184</v>
      </c>
      <c r="G1443" s="17" t="s">
        <v>1104</v>
      </c>
      <c r="H1443" s="19"/>
    </row>
    <row r="1444" customFormat="false" ht="15" hidden="false" customHeight="false" outlineLevel="0" collapsed="false">
      <c r="A1444" s="19" t="s">
        <v>2615</v>
      </c>
      <c r="B1444" s="19" t="s">
        <v>3185</v>
      </c>
      <c r="C1444" s="19" t="n">
        <v>13</v>
      </c>
      <c r="D1444" s="19" t="s">
        <v>858</v>
      </c>
      <c r="E1444" s="19" t="n">
        <v>132.791852343296</v>
      </c>
      <c r="F1444" s="17" t="s">
        <v>3186</v>
      </c>
      <c r="G1444" s="17" t="s">
        <v>1104</v>
      </c>
      <c r="H1444" s="19"/>
    </row>
    <row r="1445" customFormat="false" ht="15" hidden="false" customHeight="false" outlineLevel="0" collapsed="false">
      <c r="A1445" s="19" t="s">
        <v>2615</v>
      </c>
      <c r="B1445" s="19" t="s">
        <v>2978</v>
      </c>
      <c r="C1445" s="19" t="n">
        <v>13</v>
      </c>
      <c r="D1445" s="19" t="s">
        <v>873</v>
      </c>
      <c r="E1445" s="19" t="n">
        <v>79071.116297521</v>
      </c>
      <c r="F1445" s="17" t="s">
        <v>3187</v>
      </c>
      <c r="G1445" s="17" t="s">
        <v>1104</v>
      </c>
      <c r="H1445" s="19"/>
    </row>
    <row r="1446" customFormat="false" ht="15" hidden="false" customHeight="false" outlineLevel="0" collapsed="false">
      <c r="A1446" s="19" t="s">
        <v>2615</v>
      </c>
      <c r="B1446" s="19" t="s">
        <v>2980</v>
      </c>
      <c r="C1446" s="19" t="n">
        <v>13</v>
      </c>
      <c r="D1446" s="19" t="s">
        <v>879</v>
      </c>
      <c r="E1446" s="17" t="s">
        <v>2920</v>
      </c>
      <c r="F1446" s="17" t="s">
        <v>3188</v>
      </c>
      <c r="G1446" s="17" t="s">
        <v>1104</v>
      </c>
      <c r="H1446" s="19"/>
    </row>
    <row r="1447" customFormat="false" ht="15" hidden="false" customHeight="false" outlineLevel="0" collapsed="false">
      <c r="A1447" s="19" t="s">
        <v>2615</v>
      </c>
      <c r="B1447" s="19" t="s">
        <v>2982</v>
      </c>
      <c r="C1447" s="19" t="n">
        <v>13</v>
      </c>
      <c r="D1447" s="19" t="s">
        <v>905</v>
      </c>
      <c r="E1447" s="19" t="n">
        <v>4671.64933537911</v>
      </c>
      <c r="F1447" s="17" t="s">
        <v>3189</v>
      </c>
      <c r="G1447" s="17" t="s">
        <v>1104</v>
      </c>
      <c r="H1447" s="19"/>
    </row>
    <row r="1448" customFormat="false" ht="15" hidden="false" customHeight="false" outlineLevel="0" collapsed="false">
      <c r="A1448" s="19" t="s">
        <v>2615</v>
      </c>
      <c r="B1448" s="19" t="s">
        <v>3071</v>
      </c>
      <c r="C1448" s="19" t="n">
        <v>13</v>
      </c>
      <c r="D1448" s="17" t="s">
        <v>772</v>
      </c>
      <c r="E1448" s="19" t="n">
        <v>35</v>
      </c>
      <c r="F1448" s="17" t="s">
        <v>3190</v>
      </c>
      <c r="G1448" s="17" t="s">
        <v>1104</v>
      </c>
      <c r="H1448" s="19"/>
    </row>
    <row r="1449" customFormat="false" ht="15" hidden="false" customHeight="false" outlineLevel="0" collapsed="false">
      <c r="A1449" s="19" t="s">
        <v>2615</v>
      </c>
      <c r="B1449" s="19" t="s">
        <v>2408</v>
      </c>
      <c r="C1449" s="19" t="n">
        <v>13</v>
      </c>
      <c r="D1449" s="19" t="s">
        <v>823</v>
      </c>
      <c r="E1449" s="19" t="n">
        <v>5</v>
      </c>
      <c r="F1449" s="17" t="s">
        <v>3191</v>
      </c>
      <c r="G1449" s="17" t="s">
        <v>1104</v>
      </c>
      <c r="H1449" s="19"/>
    </row>
    <row r="1450" customFormat="false" ht="15" hidden="false" customHeight="false" outlineLevel="0" collapsed="false">
      <c r="A1450" s="19" t="s">
        <v>2615</v>
      </c>
      <c r="B1450" s="19" t="s">
        <v>3192</v>
      </c>
      <c r="C1450" s="19" t="n">
        <v>13</v>
      </c>
      <c r="D1450" s="17" t="s">
        <v>3093</v>
      </c>
      <c r="E1450" s="19" t="n">
        <v>2.533</v>
      </c>
      <c r="F1450" s="17" t="s">
        <v>3193</v>
      </c>
      <c r="G1450" s="17" t="s">
        <v>1104</v>
      </c>
      <c r="H1450" s="19"/>
    </row>
    <row r="1451" customFormat="false" ht="15" hidden="false" customHeight="false" outlineLevel="0" collapsed="false">
      <c r="A1451" s="19" t="s">
        <v>2615</v>
      </c>
      <c r="B1451" s="19" t="s">
        <v>3194</v>
      </c>
      <c r="C1451" s="19" t="n">
        <v>13</v>
      </c>
      <c r="D1451" s="19" t="s">
        <v>858</v>
      </c>
      <c r="E1451" s="19" t="n">
        <v>440.5306368</v>
      </c>
      <c r="F1451" s="17" t="s">
        <v>3195</v>
      </c>
      <c r="G1451" s="17" t="s">
        <v>1104</v>
      </c>
      <c r="H1451" s="19"/>
    </row>
    <row r="1452" customFormat="false" ht="15" hidden="false" customHeight="false" outlineLevel="0" collapsed="false">
      <c r="A1452" s="19" t="s">
        <v>2615</v>
      </c>
      <c r="B1452" s="19" t="s">
        <v>2984</v>
      </c>
      <c r="C1452" s="19" t="n">
        <v>13</v>
      </c>
      <c r="D1452" s="19" t="s">
        <v>873</v>
      </c>
      <c r="E1452" s="19" t="n">
        <v>23834.8916576419</v>
      </c>
      <c r="F1452" s="17" t="s">
        <v>3196</v>
      </c>
      <c r="G1452" s="17" t="s">
        <v>1104</v>
      </c>
      <c r="H1452" s="19"/>
    </row>
    <row r="1453" customFormat="false" ht="15" hidden="false" customHeight="false" outlineLevel="0" collapsed="false">
      <c r="A1453" s="19" t="s">
        <v>2615</v>
      </c>
      <c r="B1453" s="19" t="s">
        <v>2986</v>
      </c>
      <c r="C1453" s="19" t="n">
        <v>13</v>
      </c>
      <c r="D1453" s="19" t="s">
        <v>879</v>
      </c>
      <c r="E1453" s="17" t="s">
        <v>2920</v>
      </c>
      <c r="F1453" s="17" t="s">
        <v>3197</v>
      </c>
      <c r="G1453" s="17" t="s">
        <v>1104</v>
      </c>
      <c r="H1453" s="19"/>
    </row>
    <row r="1454" customFormat="false" ht="15" hidden="false" customHeight="false" outlineLevel="0" collapsed="false">
      <c r="A1454" s="19" t="s">
        <v>2615</v>
      </c>
      <c r="B1454" s="19" t="s">
        <v>2988</v>
      </c>
      <c r="C1454" s="19" t="n">
        <v>13</v>
      </c>
      <c r="D1454" s="19" t="s">
        <v>905</v>
      </c>
      <c r="E1454" s="19" t="n">
        <v>963.166264709904</v>
      </c>
      <c r="F1454" s="17" t="s">
        <v>3198</v>
      </c>
      <c r="G1454" s="17" t="s">
        <v>1104</v>
      </c>
      <c r="H1454" s="19"/>
    </row>
    <row r="1455" customFormat="false" ht="15" hidden="false" customHeight="false" outlineLevel="0" collapsed="false">
      <c r="A1455" s="19" t="s">
        <v>2615</v>
      </c>
      <c r="B1455" s="19" t="s">
        <v>3077</v>
      </c>
      <c r="C1455" s="19" t="n">
        <v>13</v>
      </c>
      <c r="D1455" s="17" t="s">
        <v>772</v>
      </c>
      <c r="E1455" s="19" t="n">
        <v>70</v>
      </c>
      <c r="F1455" s="17" t="s">
        <v>3199</v>
      </c>
      <c r="G1455" s="17" t="s">
        <v>1104</v>
      </c>
      <c r="H1455" s="19"/>
    </row>
    <row r="1456" customFormat="false" ht="15" hidden="false" customHeight="false" outlineLevel="0" collapsed="false">
      <c r="A1456" s="19" t="s">
        <v>2615</v>
      </c>
      <c r="B1456" s="19" t="s">
        <v>2411</v>
      </c>
      <c r="C1456" s="19" t="n">
        <v>13</v>
      </c>
      <c r="D1456" s="19" t="s">
        <v>823</v>
      </c>
      <c r="E1456" s="19" t="n">
        <v>2</v>
      </c>
      <c r="F1456" s="17" t="s">
        <v>3200</v>
      </c>
      <c r="G1456" s="17" t="s">
        <v>1104</v>
      </c>
      <c r="H1456" s="19"/>
    </row>
    <row r="1457" customFormat="false" ht="15" hidden="false" customHeight="false" outlineLevel="0" collapsed="false">
      <c r="A1457" s="19" t="s">
        <v>2615</v>
      </c>
      <c r="B1457" s="19" t="s">
        <v>3201</v>
      </c>
      <c r="C1457" s="19" t="n">
        <v>13</v>
      </c>
      <c r="D1457" s="17" t="s">
        <v>3093</v>
      </c>
      <c r="E1457" s="19" t="n">
        <v>2.533</v>
      </c>
      <c r="F1457" s="17" t="s">
        <v>3202</v>
      </c>
      <c r="G1457" s="17" t="s">
        <v>1104</v>
      </c>
      <c r="H1457" s="19"/>
    </row>
    <row r="1458" customFormat="false" ht="15" hidden="false" customHeight="false" outlineLevel="0" collapsed="false">
      <c r="A1458" s="19" t="s">
        <v>2615</v>
      </c>
      <c r="B1458" s="19" t="s">
        <v>3203</v>
      </c>
      <c r="C1458" s="19" t="n">
        <v>13</v>
      </c>
      <c r="D1458" s="19" t="s">
        <v>858</v>
      </c>
      <c r="E1458" s="19" t="n">
        <v>38.259816374272</v>
      </c>
      <c r="F1458" s="17" t="s">
        <v>3204</v>
      </c>
      <c r="G1458" s="17" t="s">
        <v>1104</v>
      </c>
      <c r="H1458" s="19"/>
    </row>
    <row r="1459" customFormat="false" ht="15" hidden="false" customHeight="false" outlineLevel="0" collapsed="false">
      <c r="A1459" s="19" t="s">
        <v>2615</v>
      </c>
      <c r="B1459" s="19" t="s">
        <v>2990</v>
      </c>
      <c r="C1459" s="19" t="n">
        <v>13</v>
      </c>
      <c r="D1459" s="19" t="s">
        <v>873</v>
      </c>
      <c r="E1459" s="19" t="n">
        <v>548878.745119163</v>
      </c>
      <c r="F1459" s="17" t="s">
        <v>3205</v>
      </c>
      <c r="G1459" s="17" t="s">
        <v>1104</v>
      </c>
      <c r="H1459" s="19"/>
    </row>
    <row r="1460" customFormat="false" ht="15" hidden="false" customHeight="false" outlineLevel="0" collapsed="false">
      <c r="A1460" s="19" t="s">
        <v>2615</v>
      </c>
      <c r="B1460" s="19" t="s">
        <v>2992</v>
      </c>
      <c r="C1460" s="19" t="n">
        <v>13</v>
      </c>
      <c r="D1460" s="19" t="s">
        <v>879</v>
      </c>
      <c r="E1460" s="17" t="s">
        <v>2920</v>
      </c>
      <c r="F1460" s="17" t="s">
        <v>3206</v>
      </c>
      <c r="G1460" s="17" t="s">
        <v>1104</v>
      </c>
      <c r="H1460" s="19"/>
    </row>
    <row r="1461" customFormat="false" ht="15" hidden="false" customHeight="false" outlineLevel="0" collapsed="false">
      <c r="A1461" s="19" t="s">
        <v>2615</v>
      </c>
      <c r="B1461" s="19" t="s">
        <v>2994</v>
      </c>
      <c r="C1461" s="19" t="n">
        <v>13</v>
      </c>
      <c r="D1461" s="19" t="s">
        <v>905</v>
      </c>
      <c r="E1461" s="19" t="n">
        <v>30491.3598235283</v>
      </c>
      <c r="F1461" s="17" t="s">
        <v>3207</v>
      </c>
      <c r="G1461" s="17" t="s">
        <v>1104</v>
      </c>
      <c r="H1461" s="19"/>
    </row>
    <row r="1462" customFormat="false" ht="15" hidden="false" customHeight="false" outlineLevel="0" collapsed="false">
      <c r="A1462" s="19" t="s">
        <v>2615</v>
      </c>
      <c r="B1462" s="19" t="s">
        <v>3082</v>
      </c>
      <c r="C1462" s="19" t="n">
        <v>13</v>
      </c>
      <c r="D1462" s="17" t="s">
        <v>772</v>
      </c>
      <c r="E1462" s="19" t="n">
        <v>70</v>
      </c>
      <c r="F1462" s="17" t="s">
        <v>3208</v>
      </c>
      <c r="G1462" s="17" t="s">
        <v>1104</v>
      </c>
      <c r="H1462" s="19"/>
    </row>
    <row r="1463" customFormat="false" ht="15" hidden="false" customHeight="false" outlineLevel="0" collapsed="false">
      <c r="A1463" s="19" t="s">
        <v>2615</v>
      </c>
      <c r="B1463" s="19" t="s">
        <v>2414</v>
      </c>
      <c r="C1463" s="19" t="n">
        <v>13</v>
      </c>
      <c r="D1463" s="19" t="s">
        <v>823</v>
      </c>
      <c r="E1463" s="19" t="n">
        <v>3</v>
      </c>
      <c r="F1463" s="17" t="s">
        <v>3209</v>
      </c>
      <c r="G1463" s="17" t="s">
        <v>1104</v>
      </c>
      <c r="H1463" s="19"/>
    </row>
    <row r="1464" customFormat="false" ht="15" hidden="false" customHeight="false" outlineLevel="0" collapsed="false">
      <c r="A1464" s="19" t="s">
        <v>2615</v>
      </c>
      <c r="B1464" s="19" t="s">
        <v>3210</v>
      </c>
      <c r="C1464" s="19" t="n">
        <v>13</v>
      </c>
      <c r="D1464" s="17" t="s">
        <v>3093</v>
      </c>
      <c r="E1464" s="19" t="n">
        <v>2.533</v>
      </c>
      <c r="F1464" s="17" t="s">
        <v>3211</v>
      </c>
      <c r="G1464" s="17" t="s">
        <v>1104</v>
      </c>
      <c r="H1464" s="19"/>
    </row>
    <row r="1465" customFormat="false" ht="15" hidden="false" customHeight="false" outlineLevel="0" collapsed="false">
      <c r="A1465" s="19" t="s">
        <v>2615</v>
      </c>
      <c r="B1465" s="19" t="s">
        <v>3212</v>
      </c>
      <c r="C1465" s="19" t="n">
        <v>13</v>
      </c>
      <c r="D1465" s="19" t="s">
        <v>858</v>
      </c>
      <c r="E1465" s="19" t="n">
        <v>132.791852343296</v>
      </c>
      <c r="F1465" s="17" t="s">
        <v>3213</v>
      </c>
      <c r="G1465" s="17" t="s">
        <v>1104</v>
      </c>
      <c r="H1465" s="19"/>
    </row>
    <row r="1466" customFormat="false" ht="15" hidden="false" customHeight="false" outlineLevel="0" collapsed="false">
      <c r="A1466" s="19" t="s">
        <v>2615</v>
      </c>
      <c r="B1466" s="19" t="s">
        <v>2996</v>
      </c>
      <c r="C1466" s="19" t="n">
        <v>13</v>
      </c>
      <c r="D1466" s="19" t="s">
        <v>873</v>
      </c>
      <c r="E1466" s="19" t="n">
        <v>158142.232595042</v>
      </c>
      <c r="F1466" s="17" t="s">
        <v>3214</v>
      </c>
      <c r="G1466" s="17" t="s">
        <v>1104</v>
      </c>
      <c r="H1466" s="19"/>
    </row>
    <row r="1467" customFormat="false" ht="15" hidden="false" customHeight="false" outlineLevel="0" collapsed="false">
      <c r="A1467" s="19" t="s">
        <v>2615</v>
      </c>
      <c r="B1467" s="19" t="s">
        <v>2998</v>
      </c>
      <c r="C1467" s="19" t="n">
        <v>13</v>
      </c>
      <c r="D1467" s="19" t="s">
        <v>879</v>
      </c>
      <c r="E1467" s="17" t="s">
        <v>2920</v>
      </c>
      <c r="F1467" s="17" t="s">
        <v>3215</v>
      </c>
      <c r="G1467" s="17" t="s">
        <v>1104</v>
      </c>
      <c r="H1467" s="19"/>
    </row>
    <row r="1468" customFormat="false" ht="15" hidden="false" customHeight="false" outlineLevel="0" collapsed="false">
      <c r="A1468" s="19" t="s">
        <v>2615</v>
      </c>
      <c r="B1468" s="19" t="s">
        <v>3000</v>
      </c>
      <c r="C1468" s="19" t="n">
        <v>13</v>
      </c>
      <c r="D1468" s="19" t="s">
        <v>905</v>
      </c>
      <c r="E1468" s="19" t="n">
        <v>9570.13064324968</v>
      </c>
      <c r="F1468" s="17" t="s">
        <v>3216</v>
      </c>
      <c r="G1468" s="17" t="s">
        <v>1104</v>
      </c>
      <c r="H1468" s="19"/>
    </row>
    <row r="1469" customFormat="false" ht="15" hidden="false" customHeight="false" outlineLevel="0" collapsed="false">
      <c r="A1469" s="19" t="s">
        <v>2615</v>
      </c>
      <c r="B1469" s="19" t="s">
        <v>3087</v>
      </c>
      <c r="C1469" s="19" t="n">
        <v>13</v>
      </c>
      <c r="D1469" s="17" t="s">
        <v>772</v>
      </c>
      <c r="E1469" s="19" t="n">
        <v>70</v>
      </c>
      <c r="F1469" s="17" t="s">
        <v>3217</v>
      </c>
      <c r="G1469" s="17" t="s">
        <v>1104</v>
      </c>
      <c r="H1469" s="19"/>
    </row>
    <row r="1470" customFormat="false" ht="15" hidden="false" customHeight="false" outlineLevel="0" collapsed="false">
      <c r="A1470" s="19" t="s">
        <v>2615</v>
      </c>
      <c r="B1470" s="19" t="s">
        <v>2417</v>
      </c>
      <c r="C1470" s="19" t="n">
        <v>13</v>
      </c>
      <c r="D1470" s="19" t="s">
        <v>823</v>
      </c>
      <c r="E1470" s="19" t="n">
        <v>5</v>
      </c>
      <c r="F1470" s="17" t="s">
        <v>3218</v>
      </c>
      <c r="G1470" s="17" t="s">
        <v>1104</v>
      </c>
      <c r="H1470" s="19"/>
    </row>
    <row r="1471" customFormat="false" ht="15" hidden="false" customHeight="false" outlineLevel="0" collapsed="false">
      <c r="A1471" s="19" t="s">
        <v>2615</v>
      </c>
      <c r="B1471" s="19" t="s">
        <v>3219</v>
      </c>
      <c r="C1471" s="19" t="n">
        <v>13</v>
      </c>
      <c r="D1471" s="17" t="s">
        <v>3093</v>
      </c>
      <c r="E1471" s="19" t="n">
        <v>2.533</v>
      </c>
      <c r="F1471" s="17" t="s">
        <v>3220</v>
      </c>
      <c r="G1471" s="17" t="s">
        <v>1104</v>
      </c>
      <c r="H1471" s="19"/>
    </row>
    <row r="1472" customFormat="false" ht="15" hidden="false" customHeight="false" outlineLevel="0" collapsed="false">
      <c r="A1472" s="19" t="s">
        <v>2615</v>
      </c>
      <c r="B1472" s="19" t="s">
        <v>3221</v>
      </c>
      <c r="C1472" s="19" t="n">
        <v>13</v>
      </c>
      <c r="D1472" s="19" t="s">
        <v>858</v>
      </c>
      <c r="E1472" s="19" t="n">
        <v>440.5306368</v>
      </c>
      <c r="F1472" s="17" t="s">
        <v>3222</v>
      </c>
      <c r="G1472" s="17" t="s">
        <v>1104</v>
      </c>
      <c r="H1472" s="19"/>
    </row>
    <row r="1473" customFormat="false" ht="15" hidden="false" customHeight="false" outlineLevel="0" collapsed="false">
      <c r="A1473" s="19" t="s">
        <v>2615</v>
      </c>
      <c r="B1473" s="19" t="s">
        <v>3002</v>
      </c>
      <c r="C1473" s="19" t="n">
        <v>13</v>
      </c>
      <c r="D1473" s="19" t="s">
        <v>873</v>
      </c>
      <c r="E1473" s="19" t="n">
        <v>47669.7833152838</v>
      </c>
      <c r="F1473" s="17" t="s">
        <v>3223</v>
      </c>
      <c r="G1473" s="17" t="s">
        <v>1104</v>
      </c>
      <c r="H1473" s="19"/>
    </row>
    <row r="1474" customFormat="false" ht="15" hidden="false" customHeight="false" outlineLevel="0" collapsed="false">
      <c r="A1474" s="19" t="s">
        <v>2615</v>
      </c>
      <c r="B1474" s="19" t="s">
        <v>3004</v>
      </c>
      <c r="C1474" s="19" t="n">
        <v>13</v>
      </c>
      <c r="D1474" s="19" t="s">
        <v>879</v>
      </c>
      <c r="E1474" s="17" t="s">
        <v>2920</v>
      </c>
      <c r="F1474" s="17" t="s">
        <v>3224</v>
      </c>
      <c r="G1474" s="17" t="s">
        <v>1104</v>
      </c>
      <c r="H1474" s="19"/>
    </row>
    <row r="1475" customFormat="false" ht="15" hidden="false" customHeight="false" outlineLevel="0" collapsed="false">
      <c r="A1475" s="19" t="s">
        <v>2615</v>
      </c>
      <c r="B1475" s="19" t="s">
        <v>3006</v>
      </c>
      <c r="C1475" s="19" t="n">
        <v>13</v>
      </c>
      <c r="D1475" s="19" t="s">
        <v>905</v>
      </c>
      <c r="E1475" s="19" t="n">
        <v>2059.51531150246</v>
      </c>
      <c r="F1475" s="17" t="s">
        <v>3225</v>
      </c>
      <c r="G1475" s="17" t="s">
        <v>1104</v>
      </c>
      <c r="H1475" s="19"/>
    </row>
    <row r="1476" customFormat="false" ht="15" hidden="false" customHeight="false" outlineLevel="0" collapsed="false">
      <c r="A1476" s="19" t="s">
        <v>2453</v>
      </c>
      <c r="B1476" s="19" t="s">
        <v>2057</v>
      </c>
      <c r="C1476" s="19" t="n">
        <v>13</v>
      </c>
      <c r="D1476" s="19" t="s">
        <v>3226</v>
      </c>
      <c r="E1476" s="19" t="n">
        <v>0.127435573521981</v>
      </c>
      <c r="F1476" s="17" t="s">
        <v>3227</v>
      </c>
      <c r="G1476" s="17" t="s">
        <v>1104</v>
      </c>
      <c r="H1476" s="19"/>
    </row>
    <row r="1477" customFormat="false" ht="15" hidden="false" customHeight="false" outlineLevel="0" collapsed="false">
      <c r="A1477" s="19" t="s">
        <v>2453</v>
      </c>
      <c r="B1477" s="19" t="s">
        <v>3228</v>
      </c>
      <c r="C1477" s="19" t="n">
        <v>13</v>
      </c>
      <c r="D1477" s="19" t="s">
        <v>3229</v>
      </c>
      <c r="E1477" s="19" t="n">
        <v>0.0699067126043916</v>
      </c>
      <c r="F1477" s="17" t="s">
        <v>3230</v>
      </c>
      <c r="G1477" s="17" t="s">
        <v>1104</v>
      </c>
      <c r="H1477" s="19"/>
    </row>
    <row r="1478" customFormat="false" ht="15" hidden="false" customHeight="false" outlineLevel="0" collapsed="false">
      <c r="A1478" s="19" t="s">
        <v>2453</v>
      </c>
      <c r="B1478" s="19" t="s">
        <v>3231</v>
      </c>
      <c r="C1478" s="19" t="n">
        <v>13</v>
      </c>
      <c r="D1478" s="17" t="s">
        <v>882</v>
      </c>
      <c r="E1478" s="19" t="n">
        <v>15.9993635766828</v>
      </c>
      <c r="F1478" s="17" t="s">
        <v>3232</v>
      </c>
      <c r="G1478" s="17" t="s">
        <v>1104</v>
      </c>
      <c r="H1478" s="19"/>
    </row>
    <row r="1479" customFormat="false" ht="15" hidden="false" customHeight="false" outlineLevel="0" collapsed="false">
      <c r="A1479" s="19" t="s">
        <v>2453</v>
      </c>
      <c r="B1479" s="19" t="s">
        <v>3233</v>
      </c>
      <c r="C1479" s="19" t="n">
        <v>13</v>
      </c>
      <c r="D1479" s="17" t="s">
        <v>3234</v>
      </c>
      <c r="E1479" s="19" t="n">
        <v>2.14636773698209</v>
      </c>
      <c r="F1479" s="17" t="s">
        <v>3235</v>
      </c>
      <c r="G1479" s="17" t="s">
        <v>1104</v>
      </c>
      <c r="H1479" s="19"/>
    </row>
    <row r="1480" customFormat="false" ht="15" hidden="false" customHeight="false" outlineLevel="0" collapsed="false">
      <c r="A1480" s="19" t="s">
        <v>2453</v>
      </c>
      <c r="B1480" s="19" t="s">
        <v>3236</v>
      </c>
      <c r="C1480" s="19" t="n">
        <v>13</v>
      </c>
      <c r="D1480" s="17" t="s">
        <v>903</v>
      </c>
      <c r="E1480" s="19" t="n">
        <v>6.54504101289595</v>
      </c>
      <c r="F1480" s="17" t="s">
        <v>3237</v>
      </c>
      <c r="G1480" s="17" t="s">
        <v>1104</v>
      </c>
      <c r="H1480" s="19"/>
    </row>
    <row r="1481" customFormat="false" ht="15" hidden="false" customHeight="false" outlineLevel="0" collapsed="false">
      <c r="A1481" s="19" t="s">
        <v>2453</v>
      </c>
      <c r="B1481" s="19" t="s">
        <v>2077</v>
      </c>
      <c r="C1481" s="19" t="n">
        <v>13</v>
      </c>
      <c r="D1481" s="19" t="s">
        <v>3226</v>
      </c>
      <c r="E1481" s="19" t="n">
        <v>0.127435573521981</v>
      </c>
      <c r="F1481" s="17" t="s">
        <v>3238</v>
      </c>
      <c r="G1481" s="17" t="s">
        <v>1104</v>
      </c>
      <c r="H1481" s="19"/>
    </row>
    <row r="1482" customFormat="false" ht="15" hidden="false" customHeight="false" outlineLevel="0" collapsed="false">
      <c r="A1482" s="19" t="s">
        <v>2453</v>
      </c>
      <c r="B1482" s="19" t="s">
        <v>3239</v>
      </c>
      <c r="C1482" s="19" t="n">
        <v>13</v>
      </c>
      <c r="D1482" s="19" t="s">
        <v>3229</v>
      </c>
      <c r="E1482" s="19" t="n">
        <v>0.485263272941897</v>
      </c>
      <c r="F1482" s="17" t="s">
        <v>3240</v>
      </c>
      <c r="G1482" s="17" t="s">
        <v>1104</v>
      </c>
      <c r="H1482" s="19"/>
    </row>
    <row r="1483" customFormat="false" ht="15" hidden="false" customHeight="false" outlineLevel="0" collapsed="false">
      <c r="A1483" s="19" t="s">
        <v>2453</v>
      </c>
      <c r="B1483" s="19" t="s">
        <v>3241</v>
      </c>
      <c r="C1483" s="19" t="n">
        <v>13</v>
      </c>
      <c r="D1483" s="17" t="s">
        <v>882</v>
      </c>
      <c r="E1483" s="19" t="n">
        <v>28.5991030950805</v>
      </c>
      <c r="F1483" s="17" t="s">
        <v>3242</v>
      </c>
      <c r="G1483" s="17" t="s">
        <v>1104</v>
      </c>
      <c r="H1483" s="19"/>
    </row>
    <row r="1484" customFormat="false" ht="15" hidden="false" customHeight="false" outlineLevel="0" collapsed="false">
      <c r="A1484" s="19" t="s">
        <v>2453</v>
      </c>
      <c r="B1484" s="19" t="s">
        <v>3243</v>
      </c>
      <c r="C1484" s="19" t="n">
        <v>13</v>
      </c>
      <c r="D1484" s="17" t="s">
        <v>3234</v>
      </c>
      <c r="E1484" s="19" t="n">
        <v>7.39191400462032</v>
      </c>
      <c r="F1484" s="17" t="s">
        <v>3244</v>
      </c>
      <c r="G1484" s="17" t="s">
        <v>1104</v>
      </c>
      <c r="H1484" s="19"/>
    </row>
    <row r="1485" customFormat="false" ht="15" hidden="false" customHeight="false" outlineLevel="0" collapsed="false">
      <c r="A1485" s="19" t="s">
        <v>2453</v>
      </c>
      <c r="B1485" s="19" t="s">
        <v>3245</v>
      </c>
      <c r="C1485" s="19" t="n">
        <v>13</v>
      </c>
      <c r="D1485" s="17" t="s">
        <v>903</v>
      </c>
      <c r="E1485" s="19" t="n">
        <v>4.04279485687181</v>
      </c>
      <c r="F1485" s="17" t="s">
        <v>3246</v>
      </c>
      <c r="G1485" s="17" t="s">
        <v>1104</v>
      </c>
      <c r="H1485" s="19"/>
    </row>
    <row r="1486" customFormat="false" ht="15" hidden="false" customHeight="false" outlineLevel="0" collapsed="false">
      <c r="A1486" s="19" t="s">
        <v>2453</v>
      </c>
      <c r="B1486" s="19" t="s">
        <v>2097</v>
      </c>
      <c r="C1486" s="19" t="n">
        <v>13</v>
      </c>
      <c r="D1486" s="19" t="s">
        <v>3226</v>
      </c>
      <c r="E1486" s="19" t="n">
        <v>0.127435573521981</v>
      </c>
      <c r="F1486" s="17" t="s">
        <v>3247</v>
      </c>
      <c r="G1486" s="17" t="s">
        <v>1104</v>
      </c>
      <c r="H1486" s="19"/>
    </row>
    <row r="1487" customFormat="false" ht="15" hidden="false" customHeight="false" outlineLevel="0" collapsed="false">
      <c r="A1487" s="19" t="s">
        <v>2453</v>
      </c>
      <c r="B1487" s="19" t="s">
        <v>3248</v>
      </c>
      <c r="C1487" s="19" t="n">
        <v>13</v>
      </c>
      <c r="D1487" s="19" t="s">
        <v>3229</v>
      </c>
      <c r="E1487" s="19" t="n">
        <v>3.21967552786439</v>
      </c>
      <c r="F1487" s="17" t="s">
        <v>3249</v>
      </c>
      <c r="G1487" s="17" t="s">
        <v>1104</v>
      </c>
      <c r="H1487" s="19"/>
    </row>
    <row r="1488" customFormat="false" ht="15" hidden="false" customHeight="false" outlineLevel="0" collapsed="false">
      <c r="A1488" s="19" t="s">
        <v>2453</v>
      </c>
      <c r="B1488" s="19" t="s">
        <v>3250</v>
      </c>
      <c r="C1488" s="19" t="n">
        <v>13</v>
      </c>
      <c r="D1488" s="17" t="s">
        <v>882</v>
      </c>
      <c r="E1488" s="19" t="n">
        <v>41.5061799059401</v>
      </c>
      <c r="F1488" s="17" t="s">
        <v>3251</v>
      </c>
      <c r="G1488" s="17" t="s">
        <v>1104</v>
      </c>
      <c r="H1488" s="19"/>
    </row>
    <row r="1489" customFormat="false" ht="15" hidden="false" customHeight="false" outlineLevel="0" collapsed="false">
      <c r="A1489" s="19" t="s">
        <v>2453</v>
      </c>
      <c r="B1489" s="19" t="s">
        <v>3252</v>
      </c>
      <c r="C1489" s="19" t="n">
        <v>13</v>
      </c>
      <c r="D1489" s="17" t="s">
        <v>3234</v>
      </c>
      <c r="E1489" s="19" t="n">
        <v>29.4357908705542</v>
      </c>
      <c r="F1489" s="17" t="s">
        <v>3253</v>
      </c>
      <c r="G1489" s="17" t="s">
        <v>1104</v>
      </c>
      <c r="H1489" s="19"/>
    </row>
    <row r="1490" customFormat="false" ht="15" hidden="false" customHeight="false" outlineLevel="0" collapsed="false">
      <c r="A1490" s="19" t="s">
        <v>2453</v>
      </c>
      <c r="B1490" s="19" t="s">
        <v>3254</v>
      </c>
      <c r="C1490" s="19" t="n">
        <v>13</v>
      </c>
      <c r="D1490" s="17" t="s">
        <v>903</v>
      </c>
      <c r="E1490" s="19" t="n">
        <v>0.697432267368758</v>
      </c>
      <c r="F1490" s="17" t="s">
        <v>3255</v>
      </c>
      <c r="G1490" s="17" t="s">
        <v>1104</v>
      </c>
      <c r="H1490" s="19"/>
    </row>
    <row r="1491" customFormat="false" ht="15" hidden="false" customHeight="false" outlineLevel="0" collapsed="false">
      <c r="A1491" s="19" t="s">
        <v>2453</v>
      </c>
      <c r="B1491" s="19" t="s">
        <v>2116</v>
      </c>
      <c r="C1491" s="19" t="n">
        <v>13</v>
      </c>
      <c r="D1491" s="19" t="s">
        <v>3226</v>
      </c>
      <c r="E1491" s="19" t="n">
        <v>0.255</v>
      </c>
      <c r="F1491" s="17" t="s">
        <v>3256</v>
      </c>
      <c r="G1491" s="17" t="s">
        <v>1104</v>
      </c>
      <c r="H1491" s="19"/>
    </row>
    <row r="1492" customFormat="false" ht="15" hidden="false" customHeight="false" outlineLevel="0" collapsed="false">
      <c r="A1492" s="19" t="s">
        <v>2453</v>
      </c>
      <c r="B1492" s="19" t="s">
        <v>3257</v>
      </c>
      <c r="C1492" s="19" t="n">
        <v>13</v>
      </c>
      <c r="D1492" s="19" t="s">
        <v>3229</v>
      </c>
      <c r="E1492" s="19" t="n">
        <v>0.0138275477531487</v>
      </c>
      <c r="F1492" s="17" t="s">
        <v>3258</v>
      </c>
      <c r="G1492" s="17" t="s">
        <v>1104</v>
      </c>
      <c r="H1492" s="19"/>
    </row>
    <row r="1493" customFormat="false" ht="15" hidden="false" customHeight="false" outlineLevel="0" collapsed="false">
      <c r="A1493" s="19" t="s">
        <v>2453</v>
      </c>
      <c r="B1493" s="19" t="s">
        <v>3259</v>
      </c>
      <c r="C1493" s="19" t="n">
        <v>13</v>
      </c>
      <c r="D1493" s="17" t="s">
        <v>882</v>
      </c>
      <c r="E1493" s="19" t="n">
        <v>10.0116030761141</v>
      </c>
      <c r="F1493" s="17" t="s">
        <v>3260</v>
      </c>
      <c r="G1493" s="17" t="s">
        <v>1104</v>
      </c>
      <c r="H1493" s="19"/>
    </row>
    <row r="1494" customFormat="false" ht="15" hidden="false" customHeight="false" outlineLevel="0" collapsed="false">
      <c r="A1494" s="19" t="s">
        <v>2453</v>
      </c>
      <c r="B1494" s="19" t="s">
        <v>3261</v>
      </c>
      <c r="C1494" s="19" t="n">
        <v>13</v>
      </c>
      <c r="D1494" s="17" t="s">
        <v>3234</v>
      </c>
      <c r="E1494" s="19" t="n">
        <v>0.44323426972044</v>
      </c>
      <c r="F1494" s="17" t="s">
        <v>3262</v>
      </c>
      <c r="G1494" s="17" t="s">
        <v>1104</v>
      </c>
      <c r="H1494" s="19"/>
    </row>
    <row r="1495" customFormat="false" ht="15" hidden="false" customHeight="false" outlineLevel="0" collapsed="false">
      <c r="A1495" s="19" t="s">
        <v>2453</v>
      </c>
      <c r="B1495" s="19" t="s">
        <v>3263</v>
      </c>
      <c r="C1495" s="19" t="n">
        <v>13</v>
      </c>
      <c r="D1495" s="17" t="s">
        <v>903</v>
      </c>
      <c r="E1495" s="19" t="n">
        <v>45.2036918997943</v>
      </c>
      <c r="F1495" s="17" t="s">
        <v>3264</v>
      </c>
      <c r="G1495" s="17" t="s">
        <v>1104</v>
      </c>
      <c r="H1495" s="19"/>
    </row>
    <row r="1496" customFormat="false" ht="15" hidden="false" customHeight="false" outlineLevel="0" collapsed="false">
      <c r="A1496" s="19" t="s">
        <v>2453</v>
      </c>
      <c r="B1496" s="19" t="s">
        <v>2139</v>
      </c>
      <c r="C1496" s="19" t="n">
        <v>13</v>
      </c>
      <c r="D1496" s="19" t="s">
        <v>3226</v>
      </c>
      <c r="E1496" s="19" t="n">
        <v>0.255</v>
      </c>
      <c r="F1496" s="17" t="s">
        <v>3265</v>
      </c>
      <c r="G1496" s="17" t="s">
        <v>1104</v>
      </c>
      <c r="H1496" s="19"/>
    </row>
    <row r="1497" customFormat="false" ht="15" hidden="false" customHeight="false" outlineLevel="0" collapsed="false">
      <c r="A1497" s="19" t="s">
        <v>2453</v>
      </c>
      <c r="B1497" s="19" t="s">
        <v>3266</v>
      </c>
      <c r="C1497" s="19" t="n">
        <v>13</v>
      </c>
      <c r="D1497" s="19" t="s">
        <v>3229</v>
      </c>
      <c r="E1497" s="19" t="n">
        <v>0.0959850753879071</v>
      </c>
      <c r="F1497" s="17" t="s">
        <v>3267</v>
      </c>
      <c r="G1497" s="17" t="s">
        <v>1104</v>
      </c>
      <c r="H1497" s="19"/>
    </row>
    <row r="1498" customFormat="false" ht="15" hidden="false" customHeight="false" outlineLevel="0" collapsed="false">
      <c r="A1498" s="19" t="s">
        <v>2453</v>
      </c>
      <c r="B1498" s="19" t="s">
        <v>3268</v>
      </c>
      <c r="C1498" s="19" t="n">
        <v>13</v>
      </c>
      <c r="D1498" s="17" t="s">
        <v>882</v>
      </c>
      <c r="E1498" s="19" t="n">
        <v>18.1420993705793</v>
      </c>
      <c r="F1498" s="17" t="s">
        <v>3269</v>
      </c>
      <c r="G1498" s="17" t="s">
        <v>1104</v>
      </c>
      <c r="H1498" s="19"/>
    </row>
    <row r="1499" customFormat="false" ht="15" hidden="false" customHeight="false" outlineLevel="0" collapsed="false">
      <c r="A1499" s="19" t="s">
        <v>2453</v>
      </c>
      <c r="B1499" s="19" t="s">
        <v>3270</v>
      </c>
      <c r="C1499" s="19" t="n">
        <v>13</v>
      </c>
      <c r="D1499" s="17" t="s">
        <v>3234</v>
      </c>
      <c r="E1499" s="19" t="n">
        <v>1.52646238071064</v>
      </c>
      <c r="F1499" s="17" t="s">
        <v>3271</v>
      </c>
      <c r="G1499" s="17" t="s">
        <v>1104</v>
      </c>
      <c r="H1499" s="19"/>
    </row>
    <row r="1500" customFormat="false" ht="15" hidden="false" customHeight="false" outlineLevel="0" collapsed="false">
      <c r="A1500" s="19" t="s">
        <v>2453</v>
      </c>
      <c r="B1500" s="19" t="s">
        <v>3272</v>
      </c>
      <c r="C1500" s="19" t="n">
        <v>13</v>
      </c>
      <c r="D1500" s="17" t="s">
        <v>903</v>
      </c>
      <c r="E1500" s="19" t="n">
        <v>26.4277693014867</v>
      </c>
      <c r="F1500" s="17" t="s">
        <v>3273</v>
      </c>
      <c r="G1500" s="17" t="s">
        <v>1104</v>
      </c>
      <c r="H1500" s="19"/>
    </row>
    <row r="1501" customFormat="false" ht="15" hidden="false" customHeight="false" outlineLevel="0" collapsed="false">
      <c r="A1501" s="19" t="s">
        <v>2453</v>
      </c>
      <c r="B1501" s="19" t="s">
        <v>2162</v>
      </c>
      <c r="C1501" s="19" t="n">
        <v>13</v>
      </c>
      <c r="D1501" s="19" t="s">
        <v>3226</v>
      </c>
      <c r="E1501" s="19" t="n">
        <v>0.255</v>
      </c>
      <c r="F1501" s="17" t="s">
        <v>3274</v>
      </c>
      <c r="G1501" s="17" t="s">
        <v>1104</v>
      </c>
      <c r="H1501" s="19"/>
    </row>
    <row r="1502" customFormat="false" ht="15" hidden="false" customHeight="false" outlineLevel="0" collapsed="false">
      <c r="A1502" s="19" t="s">
        <v>2453</v>
      </c>
      <c r="B1502" s="19" t="s">
        <v>3275</v>
      </c>
      <c r="C1502" s="19" t="n">
        <v>13</v>
      </c>
      <c r="D1502" s="19" t="s">
        <v>3229</v>
      </c>
      <c r="E1502" s="19" t="n">
        <v>0.636851819411576</v>
      </c>
      <c r="F1502" s="17" t="s">
        <v>3276</v>
      </c>
      <c r="G1502" s="17" t="s">
        <v>1104</v>
      </c>
      <c r="H1502" s="19"/>
    </row>
    <row r="1503" customFormat="false" ht="15" hidden="false" customHeight="false" outlineLevel="0" collapsed="false">
      <c r="A1503" s="19" t="s">
        <v>2453</v>
      </c>
      <c r="B1503" s="19" t="s">
        <v>3277</v>
      </c>
      <c r="C1503" s="19" t="n">
        <v>13</v>
      </c>
      <c r="D1503" s="17" t="s">
        <v>882</v>
      </c>
      <c r="E1503" s="19" t="n">
        <v>30.769482681035</v>
      </c>
      <c r="F1503" s="17" t="s">
        <v>3278</v>
      </c>
      <c r="G1503" s="17" t="s">
        <v>1104</v>
      </c>
      <c r="H1503" s="19"/>
    </row>
    <row r="1504" customFormat="false" ht="15" hidden="false" customHeight="false" outlineLevel="0" collapsed="false">
      <c r="A1504" s="19" t="s">
        <v>2453</v>
      </c>
      <c r="B1504" s="19" t="s">
        <v>3279</v>
      </c>
      <c r="C1504" s="19" t="n">
        <v>13</v>
      </c>
      <c r="D1504" s="17" t="s">
        <v>3234</v>
      </c>
      <c r="E1504" s="19" t="n">
        <v>6.07861879646888</v>
      </c>
      <c r="F1504" s="17" t="s">
        <v>3280</v>
      </c>
      <c r="G1504" s="17" t="s">
        <v>1104</v>
      </c>
      <c r="H1504" s="19"/>
    </row>
    <row r="1505" customFormat="false" ht="15" hidden="false" customHeight="false" outlineLevel="0" collapsed="false">
      <c r="A1505" s="19" t="s">
        <v>2453</v>
      </c>
      <c r="B1505" s="19" t="s">
        <v>3281</v>
      </c>
      <c r="C1505" s="19" t="n">
        <v>13</v>
      </c>
      <c r="D1505" s="17" t="s">
        <v>903</v>
      </c>
      <c r="E1505" s="19" t="n">
        <v>5.14363026214294</v>
      </c>
      <c r="F1505" s="17" t="s">
        <v>3282</v>
      </c>
      <c r="G1505" s="17" t="s">
        <v>1104</v>
      </c>
      <c r="H1505" s="19"/>
    </row>
    <row r="1506" customFormat="false" ht="15" hidden="false" customHeight="false" outlineLevel="0" collapsed="false">
      <c r="A1506" s="19" t="s">
        <v>2453</v>
      </c>
      <c r="B1506" s="19" t="s">
        <v>2185</v>
      </c>
      <c r="C1506" s="19" t="n">
        <v>13</v>
      </c>
      <c r="D1506" s="19" t="s">
        <v>3226</v>
      </c>
      <c r="E1506" s="19" t="n">
        <v>0.255</v>
      </c>
      <c r="F1506" s="17" t="s">
        <v>3283</v>
      </c>
      <c r="G1506" s="17" t="s">
        <v>1104</v>
      </c>
      <c r="H1506" s="19"/>
    </row>
    <row r="1507" customFormat="false" ht="15" hidden="false" customHeight="false" outlineLevel="0" collapsed="false">
      <c r="A1507" s="19" t="s">
        <v>2453</v>
      </c>
      <c r="B1507" s="19" t="s">
        <v>3284</v>
      </c>
      <c r="C1507" s="19" t="n">
        <v>13</v>
      </c>
      <c r="D1507" s="19" t="s">
        <v>3229</v>
      </c>
      <c r="E1507" s="19" t="n">
        <v>0.00921836516876577</v>
      </c>
      <c r="F1507" s="17" t="s">
        <v>3285</v>
      </c>
      <c r="G1507" s="17" t="s">
        <v>1104</v>
      </c>
      <c r="H1507" s="19"/>
    </row>
    <row r="1508" customFormat="false" ht="15" hidden="false" customHeight="false" outlineLevel="0" collapsed="false">
      <c r="A1508" s="19" t="s">
        <v>2453</v>
      </c>
      <c r="B1508" s="19" t="s">
        <v>3286</v>
      </c>
      <c r="C1508" s="19" t="n">
        <v>13</v>
      </c>
      <c r="D1508" s="17" t="s">
        <v>882</v>
      </c>
      <c r="E1508" s="19" t="n">
        <v>10.0116030761141</v>
      </c>
      <c r="F1508" s="17" t="s">
        <v>3287</v>
      </c>
      <c r="G1508" s="17" t="s">
        <v>1104</v>
      </c>
      <c r="H1508" s="19"/>
    </row>
    <row r="1509" customFormat="false" ht="15" hidden="false" customHeight="false" outlineLevel="0" collapsed="false">
      <c r="A1509" s="19" t="s">
        <v>2453</v>
      </c>
      <c r="B1509" s="19" t="s">
        <v>3288</v>
      </c>
      <c r="C1509" s="19" t="n">
        <v>13</v>
      </c>
      <c r="D1509" s="17" t="s">
        <v>3234</v>
      </c>
      <c r="E1509" s="19" t="n">
        <v>0.339812940119004</v>
      </c>
      <c r="F1509" s="17" t="s">
        <v>3289</v>
      </c>
      <c r="G1509" s="17" t="s">
        <v>1104</v>
      </c>
      <c r="H1509" s="19"/>
    </row>
    <row r="1510" customFormat="false" ht="15" hidden="false" customHeight="false" outlineLevel="0" collapsed="false">
      <c r="A1510" s="19" t="s">
        <v>2453</v>
      </c>
      <c r="B1510" s="19" t="s">
        <v>3290</v>
      </c>
      <c r="C1510" s="19" t="n">
        <v>13</v>
      </c>
      <c r="D1510" s="17" t="s">
        <v>903</v>
      </c>
      <c r="E1510" s="19" t="n">
        <v>58.9613372606013</v>
      </c>
      <c r="F1510" s="17" t="s">
        <v>3291</v>
      </c>
      <c r="G1510" s="17" t="s">
        <v>1104</v>
      </c>
      <c r="H1510" s="19"/>
    </row>
    <row r="1511" customFormat="false" ht="15" hidden="false" customHeight="false" outlineLevel="0" collapsed="false">
      <c r="A1511" s="19" t="s">
        <v>2453</v>
      </c>
      <c r="B1511" s="19" t="s">
        <v>2208</v>
      </c>
      <c r="C1511" s="19" t="n">
        <v>13</v>
      </c>
      <c r="D1511" s="19" t="s">
        <v>3226</v>
      </c>
      <c r="E1511" s="19" t="n">
        <v>0.255</v>
      </c>
      <c r="F1511" s="17" t="s">
        <v>3292</v>
      </c>
      <c r="G1511" s="17" t="s">
        <v>1104</v>
      </c>
      <c r="H1511" s="19"/>
    </row>
    <row r="1512" customFormat="false" ht="15" hidden="false" customHeight="false" outlineLevel="0" collapsed="false">
      <c r="A1512" s="19" t="s">
        <v>2453</v>
      </c>
      <c r="B1512" s="19" t="s">
        <v>3293</v>
      </c>
      <c r="C1512" s="19" t="n">
        <v>13</v>
      </c>
      <c r="D1512" s="19" t="s">
        <v>3229</v>
      </c>
      <c r="E1512" s="19" t="n">
        <v>0.0639900502586047</v>
      </c>
      <c r="F1512" s="17" t="s">
        <v>3294</v>
      </c>
      <c r="G1512" s="17" t="s">
        <v>1104</v>
      </c>
      <c r="H1512" s="19"/>
    </row>
    <row r="1513" customFormat="false" ht="15" hidden="false" customHeight="false" outlineLevel="0" collapsed="false">
      <c r="A1513" s="19" t="s">
        <v>2453</v>
      </c>
      <c r="B1513" s="19" t="s">
        <v>3295</v>
      </c>
      <c r="C1513" s="19" t="n">
        <v>13</v>
      </c>
      <c r="D1513" s="17" t="s">
        <v>882</v>
      </c>
      <c r="E1513" s="19" t="n">
        <v>18.1420993705793</v>
      </c>
      <c r="F1513" s="17" t="s">
        <v>3296</v>
      </c>
      <c r="G1513" s="17" t="s">
        <v>1104</v>
      </c>
      <c r="H1513" s="19"/>
    </row>
    <row r="1514" customFormat="false" ht="15" hidden="false" customHeight="false" outlineLevel="0" collapsed="false">
      <c r="A1514" s="19" t="s">
        <v>2453</v>
      </c>
      <c r="B1514" s="19" t="s">
        <v>3297</v>
      </c>
      <c r="C1514" s="19" t="n">
        <v>13</v>
      </c>
      <c r="D1514" s="17" t="s">
        <v>3234</v>
      </c>
      <c r="E1514" s="19" t="n">
        <v>1.17028782521149</v>
      </c>
      <c r="F1514" s="17" t="s">
        <v>3298</v>
      </c>
      <c r="G1514" s="17" t="s">
        <v>1104</v>
      </c>
      <c r="H1514" s="19"/>
    </row>
    <row r="1515" customFormat="false" ht="15" hidden="false" customHeight="false" outlineLevel="0" collapsed="false">
      <c r="A1515" s="19" t="s">
        <v>2453</v>
      </c>
      <c r="B1515" s="19" t="s">
        <v>3299</v>
      </c>
      <c r="C1515" s="19" t="n">
        <v>13</v>
      </c>
      <c r="D1515" s="17" t="s">
        <v>903</v>
      </c>
      <c r="E1515" s="19" t="n">
        <v>34.4710034367218</v>
      </c>
      <c r="F1515" s="17" t="s">
        <v>3300</v>
      </c>
      <c r="G1515" s="17" t="s">
        <v>1104</v>
      </c>
      <c r="H1515" s="19"/>
    </row>
    <row r="1516" customFormat="false" ht="15" hidden="false" customHeight="false" outlineLevel="0" collapsed="false">
      <c r="A1516" s="19" t="s">
        <v>2453</v>
      </c>
      <c r="B1516" s="19" t="s">
        <v>2231</v>
      </c>
      <c r="C1516" s="19" t="n">
        <v>13</v>
      </c>
      <c r="D1516" s="19" t="s">
        <v>3226</v>
      </c>
      <c r="E1516" s="19" t="n">
        <v>0.255</v>
      </c>
      <c r="F1516" s="17" t="s">
        <v>3301</v>
      </c>
      <c r="G1516" s="17" t="s">
        <v>1104</v>
      </c>
      <c r="H1516" s="19"/>
    </row>
    <row r="1517" customFormat="false" ht="15" hidden="false" customHeight="false" outlineLevel="0" collapsed="false">
      <c r="A1517" s="19" t="s">
        <v>2453</v>
      </c>
      <c r="B1517" s="19" t="s">
        <v>3302</v>
      </c>
      <c r="C1517" s="19" t="n">
        <v>13</v>
      </c>
      <c r="D1517" s="19" t="s">
        <v>3229</v>
      </c>
      <c r="E1517" s="19" t="n">
        <v>0.424567879607718</v>
      </c>
      <c r="F1517" s="17" t="s">
        <v>3303</v>
      </c>
      <c r="G1517" s="17" t="s">
        <v>1104</v>
      </c>
      <c r="H1517" s="19"/>
    </row>
    <row r="1518" customFormat="false" ht="15" hidden="false" customHeight="false" outlineLevel="0" collapsed="false">
      <c r="A1518" s="19" t="s">
        <v>2453</v>
      </c>
      <c r="B1518" s="19" t="s">
        <v>3304</v>
      </c>
      <c r="C1518" s="19" t="n">
        <v>13</v>
      </c>
      <c r="D1518" s="17" t="s">
        <v>882</v>
      </c>
      <c r="E1518" s="19" t="n">
        <v>34.3471799716763</v>
      </c>
      <c r="F1518" s="17" t="s">
        <v>3305</v>
      </c>
      <c r="G1518" s="17" t="s">
        <v>1104</v>
      </c>
      <c r="H1518" s="19"/>
    </row>
    <row r="1519" customFormat="false" ht="15" hidden="false" customHeight="false" outlineLevel="0" collapsed="false">
      <c r="A1519" s="19" t="s">
        <v>2453</v>
      </c>
      <c r="B1519" s="19" t="s">
        <v>3306</v>
      </c>
      <c r="C1519" s="19" t="n">
        <v>13</v>
      </c>
      <c r="D1519" s="17" t="s">
        <v>3234</v>
      </c>
      <c r="E1519" s="19" t="n">
        <v>4.66027441062615</v>
      </c>
      <c r="F1519" s="17" t="s">
        <v>3307</v>
      </c>
      <c r="G1519" s="17" t="s">
        <v>1104</v>
      </c>
      <c r="H1519" s="19"/>
    </row>
    <row r="1520" customFormat="false" ht="15" hidden="false" customHeight="false" outlineLevel="0" collapsed="false">
      <c r="A1520" s="19" t="s">
        <v>2453</v>
      </c>
      <c r="B1520" s="19" t="s">
        <v>3308</v>
      </c>
      <c r="C1520" s="19" t="n">
        <v>13</v>
      </c>
      <c r="D1520" s="17" t="s">
        <v>903</v>
      </c>
      <c r="E1520" s="19" t="n">
        <v>5.94138195806088</v>
      </c>
      <c r="F1520" s="17" t="s">
        <v>3309</v>
      </c>
      <c r="G1520" s="17" t="s">
        <v>1104</v>
      </c>
      <c r="H1520" s="19"/>
    </row>
    <row r="1521" customFormat="false" ht="15" hidden="false" customHeight="false" outlineLevel="0" collapsed="false">
      <c r="A1521" s="19" t="s">
        <v>2453</v>
      </c>
      <c r="B1521" s="19" t="s">
        <v>2254</v>
      </c>
      <c r="C1521" s="19" t="n">
        <v>13</v>
      </c>
      <c r="D1521" s="19" t="s">
        <v>3226</v>
      </c>
      <c r="E1521" s="19" t="n">
        <v>0.255</v>
      </c>
      <c r="F1521" s="17" t="s">
        <v>3310</v>
      </c>
      <c r="G1521" s="17" t="s">
        <v>1104</v>
      </c>
      <c r="H1521" s="19"/>
    </row>
    <row r="1522" customFormat="false" ht="15" hidden="false" customHeight="false" outlineLevel="0" collapsed="false">
      <c r="A1522" s="19" t="s">
        <v>2453</v>
      </c>
      <c r="B1522" s="19" t="s">
        <v>3311</v>
      </c>
      <c r="C1522" s="19" t="n">
        <v>13</v>
      </c>
      <c r="D1522" s="19" t="s">
        <v>3229</v>
      </c>
      <c r="E1522" s="19" t="n">
        <v>0.00395072792947105</v>
      </c>
      <c r="F1522" s="17" t="s">
        <v>3312</v>
      </c>
      <c r="G1522" s="17" t="s">
        <v>1104</v>
      </c>
      <c r="H1522" s="19"/>
    </row>
    <row r="1523" customFormat="false" ht="15" hidden="false" customHeight="false" outlineLevel="0" collapsed="false">
      <c r="A1523" s="19" t="s">
        <v>2453</v>
      </c>
      <c r="B1523" s="19" t="s">
        <v>3313</v>
      </c>
      <c r="C1523" s="19" t="n">
        <v>13</v>
      </c>
      <c r="D1523" s="17" t="s">
        <v>882</v>
      </c>
      <c r="E1523" s="19" t="n">
        <v>9.19156463506294</v>
      </c>
      <c r="F1523" s="17" t="s">
        <v>3314</v>
      </c>
      <c r="G1523" s="17" t="s">
        <v>1104</v>
      </c>
      <c r="H1523" s="19"/>
    </row>
    <row r="1524" customFormat="false" ht="15" hidden="false" customHeight="false" outlineLevel="0" collapsed="false">
      <c r="A1524" s="19" t="s">
        <v>2453</v>
      </c>
      <c r="B1524" s="19" t="s">
        <v>3315</v>
      </c>
      <c r="C1524" s="19" t="n">
        <v>13</v>
      </c>
      <c r="D1524" s="17" t="s">
        <v>3234</v>
      </c>
      <c r="E1524" s="19" t="n">
        <v>0.145634117193859</v>
      </c>
      <c r="F1524" s="17" t="s">
        <v>3316</v>
      </c>
      <c r="G1524" s="17" t="s">
        <v>1104</v>
      </c>
      <c r="H1524" s="19"/>
    </row>
    <row r="1525" customFormat="false" ht="15" hidden="false" customHeight="false" outlineLevel="0" collapsed="false">
      <c r="A1525" s="19" t="s">
        <v>2453</v>
      </c>
      <c r="B1525" s="19" t="s">
        <v>3317</v>
      </c>
      <c r="C1525" s="19" t="n">
        <v>13</v>
      </c>
      <c r="D1525" s="17" t="s">
        <v>903</v>
      </c>
      <c r="E1525" s="19" t="n">
        <v>143.207266338301</v>
      </c>
      <c r="F1525" s="17" t="s">
        <v>3318</v>
      </c>
      <c r="G1525" s="17" t="s">
        <v>1104</v>
      </c>
      <c r="H1525" s="19"/>
    </row>
    <row r="1526" customFormat="false" ht="15" hidden="false" customHeight="false" outlineLevel="0" collapsed="false">
      <c r="A1526" s="19" t="s">
        <v>2453</v>
      </c>
      <c r="B1526" s="19" t="s">
        <v>2277</v>
      </c>
      <c r="C1526" s="19" t="n">
        <v>13</v>
      </c>
      <c r="D1526" s="19" t="s">
        <v>3226</v>
      </c>
      <c r="E1526" s="19" t="n">
        <v>0.255</v>
      </c>
      <c r="F1526" s="17" t="s">
        <v>3319</v>
      </c>
      <c r="G1526" s="17" t="s">
        <v>1104</v>
      </c>
      <c r="H1526" s="19"/>
    </row>
    <row r="1527" customFormat="false" ht="15" hidden="false" customHeight="false" outlineLevel="0" collapsed="false">
      <c r="A1527" s="19" t="s">
        <v>2453</v>
      </c>
      <c r="B1527" s="19" t="s">
        <v>3320</v>
      </c>
      <c r="C1527" s="19" t="n">
        <v>13</v>
      </c>
      <c r="D1527" s="19" t="s">
        <v>3229</v>
      </c>
      <c r="E1527" s="19" t="n">
        <v>0.0274243072536877</v>
      </c>
      <c r="F1527" s="17" t="s">
        <v>3321</v>
      </c>
      <c r="G1527" s="17" t="s">
        <v>1104</v>
      </c>
      <c r="H1527" s="19"/>
    </row>
    <row r="1528" customFormat="false" ht="15" hidden="false" customHeight="false" outlineLevel="0" collapsed="false">
      <c r="A1528" s="19" t="s">
        <v>2453</v>
      </c>
      <c r="B1528" s="19" t="s">
        <v>3322</v>
      </c>
      <c r="C1528" s="19" t="n">
        <v>13</v>
      </c>
      <c r="D1528" s="17" t="s">
        <v>882</v>
      </c>
      <c r="E1528" s="19" t="n">
        <v>14.3202320153868</v>
      </c>
      <c r="F1528" s="17" t="s">
        <v>3323</v>
      </c>
      <c r="G1528" s="17" t="s">
        <v>1104</v>
      </c>
      <c r="H1528" s="19"/>
    </row>
    <row r="1529" customFormat="false" ht="15" hidden="false" customHeight="false" outlineLevel="0" collapsed="false">
      <c r="A1529" s="19" t="s">
        <v>2453</v>
      </c>
      <c r="B1529" s="19" t="s">
        <v>3324</v>
      </c>
      <c r="C1529" s="19" t="n">
        <v>13</v>
      </c>
      <c r="D1529" s="17" t="s">
        <v>3234</v>
      </c>
      <c r="E1529" s="19" t="n">
        <v>0.501551925090638</v>
      </c>
      <c r="F1529" s="17" t="s">
        <v>3325</v>
      </c>
      <c r="G1529" s="17" t="s">
        <v>1104</v>
      </c>
      <c r="H1529" s="19"/>
    </row>
    <row r="1530" customFormat="false" ht="15" hidden="false" customHeight="false" outlineLevel="0" collapsed="false">
      <c r="A1530" s="19" t="s">
        <v>2453</v>
      </c>
      <c r="B1530" s="19" t="s">
        <v>3326</v>
      </c>
      <c r="C1530" s="19" t="n">
        <v>13</v>
      </c>
      <c r="D1530" s="17" t="s">
        <v>903</v>
      </c>
      <c r="E1530" s="19" t="n">
        <v>88.0524244663811</v>
      </c>
      <c r="F1530" s="17" t="s">
        <v>3327</v>
      </c>
      <c r="G1530" s="17" t="s">
        <v>1104</v>
      </c>
      <c r="H1530" s="19"/>
    </row>
    <row r="1531" customFormat="false" ht="15" hidden="false" customHeight="false" outlineLevel="0" collapsed="false">
      <c r="A1531" s="19" t="s">
        <v>2453</v>
      </c>
      <c r="B1531" s="19" t="s">
        <v>2300</v>
      </c>
      <c r="C1531" s="19" t="n">
        <v>13</v>
      </c>
      <c r="D1531" s="19" t="s">
        <v>3226</v>
      </c>
      <c r="E1531" s="19" t="n">
        <v>0.255</v>
      </c>
      <c r="F1531" s="17" t="s">
        <v>3328</v>
      </c>
      <c r="G1531" s="17" t="s">
        <v>1104</v>
      </c>
      <c r="H1531" s="19"/>
    </row>
    <row r="1532" customFormat="false" ht="15" hidden="false" customHeight="false" outlineLevel="0" collapsed="false">
      <c r="A1532" s="19" t="s">
        <v>2453</v>
      </c>
      <c r="B1532" s="19" t="s">
        <v>3329</v>
      </c>
      <c r="C1532" s="19" t="n">
        <v>13</v>
      </c>
      <c r="D1532" s="19" t="s">
        <v>3229</v>
      </c>
      <c r="E1532" s="19" t="n">
        <v>0.181957662689022</v>
      </c>
      <c r="F1532" s="17" t="s">
        <v>3330</v>
      </c>
      <c r="G1532" s="17" t="s">
        <v>1104</v>
      </c>
      <c r="H1532" s="19"/>
    </row>
    <row r="1533" customFormat="false" ht="15" hidden="false" customHeight="false" outlineLevel="0" collapsed="false">
      <c r="A1533" s="19" t="s">
        <v>2453</v>
      </c>
      <c r="B1533" s="19" t="s">
        <v>3331</v>
      </c>
      <c r="C1533" s="19" t="n">
        <v>13</v>
      </c>
      <c r="D1533" s="17" t="s">
        <v>882</v>
      </c>
      <c r="E1533" s="19" t="n">
        <v>24.9192556896359</v>
      </c>
      <c r="F1533" s="17" t="s">
        <v>3332</v>
      </c>
      <c r="G1533" s="17" t="s">
        <v>1104</v>
      </c>
      <c r="H1533" s="19"/>
    </row>
    <row r="1534" customFormat="false" ht="15" hidden="false" customHeight="false" outlineLevel="0" collapsed="false">
      <c r="A1534" s="19" t="s">
        <v>2453</v>
      </c>
      <c r="B1534" s="19" t="s">
        <v>3333</v>
      </c>
      <c r="C1534" s="19" t="n">
        <v>13</v>
      </c>
      <c r="D1534" s="17" t="s">
        <v>3234</v>
      </c>
      <c r="E1534" s="19" t="n">
        <v>1.99726046169692</v>
      </c>
      <c r="F1534" s="17" t="s">
        <v>3334</v>
      </c>
      <c r="G1534" s="17" t="s">
        <v>1104</v>
      </c>
      <c r="H1534" s="19"/>
    </row>
    <row r="1535" customFormat="false" ht="15" hidden="false" customHeight="false" outlineLevel="0" collapsed="false">
      <c r="A1535" s="19" t="s">
        <v>2453</v>
      </c>
      <c r="B1535" s="19" t="s">
        <v>3335</v>
      </c>
      <c r="C1535" s="19" t="n">
        <v>13</v>
      </c>
      <c r="D1535" s="17" t="s">
        <v>903</v>
      </c>
      <c r="E1535" s="19" t="n">
        <v>18.5836526065371</v>
      </c>
      <c r="F1535" s="17" t="s">
        <v>3336</v>
      </c>
      <c r="G1535" s="17" t="s">
        <v>1104</v>
      </c>
      <c r="H1535" s="19"/>
    </row>
    <row r="1536" customFormat="false" ht="15" hidden="false" customHeight="false" outlineLevel="0" collapsed="false">
      <c r="A1536" s="19" t="s">
        <v>2453</v>
      </c>
      <c r="B1536" s="19" t="s">
        <v>2323</v>
      </c>
      <c r="C1536" s="19" t="n">
        <v>13</v>
      </c>
      <c r="D1536" s="19" t="s">
        <v>3226</v>
      </c>
      <c r="E1536" s="19" t="n">
        <v>0.255</v>
      </c>
      <c r="F1536" s="17" t="s">
        <v>3337</v>
      </c>
      <c r="G1536" s="17" t="s">
        <v>1104</v>
      </c>
      <c r="H1536" s="19"/>
    </row>
    <row r="1537" customFormat="false" ht="15" hidden="false" customHeight="false" outlineLevel="0" collapsed="false">
      <c r="A1537" s="19" t="s">
        <v>2453</v>
      </c>
      <c r="B1537" s="19" t="s">
        <v>3338</v>
      </c>
      <c r="C1537" s="19" t="n">
        <v>13</v>
      </c>
      <c r="D1537" s="19" t="s">
        <v>3229</v>
      </c>
      <c r="E1537" s="19" t="n">
        <v>0.000987681982367761</v>
      </c>
      <c r="F1537" s="17" t="s">
        <v>3339</v>
      </c>
      <c r="G1537" s="17" t="s">
        <v>1104</v>
      </c>
      <c r="H1537" s="19"/>
    </row>
    <row r="1538" customFormat="false" ht="15" hidden="false" customHeight="false" outlineLevel="0" collapsed="false">
      <c r="A1538" s="19" t="s">
        <v>2453</v>
      </c>
      <c r="B1538" s="19" t="s">
        <v>3340</v>
      </c>
      <c r="C1538" s="19" t="n">
        <v>13</v>
      </c>
      <c r="D1538" s="17" t="s">
        <v>882</v>
      </c>
      <c r="E1538" s="19" t="n">
        <v>8.96861271966877</v>
      </c>
      <c r="F1538" s="17" t="s">
        <v>3341</v>
      </c>
      <c r="G1538" s="17" t="s">
        <v>1104</v>
      </c>
      <c r="H1538" s="19"/>
    </row>
    <row r="1539" customFormat="false" ht="15" hidden="false" customHeight="false" outlineLevel="0" collapsed="false">
      <c r="A1539" s="19" t="s">
        <v>2453</v>
      </c>
      <c r="B1539" s="19" t="s">
        <v>3342</v>
      </c>
      <c r="C1539" s="19" t="n">
        <v>13</v>
      </c>
      <c r="D1539" s="17" t="s">
        <v>3234</v>
      </c>
      <c r="E1539" s="19" t="n">
        <v>0.0728170585969295</v>
      </c>
      <c r="F1539" s="17" t="s">
        <v>3343</v>
      </c>
      <c r="G1539" s="17" t="s">
        <v>1104</v>
      </c>
      <c r="H1539" s="19"/>
    </row>
    <row r="1540" customFormat="false" ht="15" hidden="false" customHeight="false" outlineLevel="0" collapsed="false">
      <c r="A1540" s="19" t="s">
        <v>2453</v>
      </c>
      <c r="B1540" s="19" t="s">
        <v>3344</v>
      </c>
      <c r="C1540" s="19" t="n">
        <v>13</v>
      </c>
      <c r="D1540" s="17" t="s">
        <v>903</v>
      </c>
      <c r="E1540" s="19" t="n">
        <v>289.476341539663</v>
      </c>
      <c r="F1540" s="17" t="s">
        <v>3345</v>
      </c>
      <c r="G1540" s="17" t="s">
        <v>1104</v>
      </c>
      <c r="H1540" s="19"/>
    </row>
    <row r="1541" customFormat="false" ht="15" hidden="false" customHeight="false" outlineLevel="0" collapsed="false">
      <c r="A1541" s="19" t="s">
        <v>2453</v>
      </c>
      <c r="B1541" s="19" t="s">
        <v>2346</v>
      </c>
      <c r="C1541" s="19" t="n">
        <v>13</v>
      </c>
      <c r="D1541" s="19" t="s">
        <v>3226</v>
      </c>
      <c r="E1541" s="19" t="n">
        <v>0.255</v>
      </c>
      <c r="F1541" s="17" t="s">
        <v>3346</v>
      </c>
      <c r="G1541" s="17" t="s">
        <v>1104</v>
      </c>
      <c r="H1541" s="19"/>
    </row>
    <row r="1542" customFormat="false" ht="15" hidden="false" customHeight="false" outlineLevel="0" collapsed="false">
      <c r="A1542" s="19" t="s">
        <v>2453</v>
      </c>
      <c r="B1542" s="19" t="s">
        <v>3347</v>
      </c>
      <c r="C1542" s="19" t="n">
        <v>13</v>
      </c>
      <c r="D1542" s="19" t="s">
        <v>3229</v>
      </c>
      <c r="E1542" s="19" t="n">
        <v>0.00685607681342194</v>
      </c>
      <c r="F1542" s="17" t="s">
        <v>3348</v>
      </c>
      <c r="G1542" s="17" t="s">
        <v>1104</v>
      </c>
      <c r="H1542" s="19"/>
    </row>
    <row r="1543" customFormat="false" ht="15" hidden="false" customHeight="false" outlineLevel="0" collapsed="false">
      <c r="A1543" s="19" t="s">
        <v>2453</v>
      </c>
      <c r="B1543" s="19" t="s">
        <v>3349</v>
      </c>
      <c r="C1543" s="19" t="n">
        <v>13</v>
      </c>
      <c r="D1543" s="17" t="s">
        <v>882</v>
      </c>
      <c r="E1543" s="19" t="n">
        <v>13.2038720349673</v>
      </c>
      <c r="F1543" s="17" t="s">
        <v>3350</v>
      </c>
      <c r="G1543" s="17" t="s">
        <v>1104</v>
      </c>
      <c r="H1543" s="19"/>
    </row>
    <row r="1544" customFormat="false" ht="15" hidden="false" customHeight="false" outlineLevel="0" collapsed="false">
      <c r="A1544" s="19" t="s">
        <v>2453</v>
      </c>
      <c r="B1544" s="19" t="s">
        <v>3351</v>
      </c>
      <c r="C1544" s="19" t="n">
        <v>13</v>
      </c>
      <c r="D1544" s="17" t="s">
        <v>3234</v>
      </c>
      <c r="E1544" s="19" t="n">
        <v>0.250775962545319</v>
      </c>
      <c r="F1544" s="17" t="s">
        <v>3352</v>
      </c>
      <c r="G1544" s="17" t="s">
        <v>1104</v>
      </c>
      <c r="H1544" s="19"/>
    </row>
    <row r="1545" customFormat="false" ht="15" hidden="false" customHeight="false" outlineLevel="0" collapsed="false">
      <c r="A1545" s="19" t="s">
        <v>2453</v>
      </c>
      <c r="B1545" s="19" t="s">
        <v>3353</v>
      </c>
      <c r="C1545" s="19" t="n">
        <v>13</v>
      </c>
      <c r="D1545" s="17" t="s">
        <v>903</v>
      </c>
      <c r="E1545" s="19" t="n">
        <v>180.556471684355</v>
      </c>
      <c r="F1545" s="17" t="s">
        <v>3354</v>
      </c>
      <c r="G1545" s="17" t="s">
        <v>1104</v>
      </c>
      <c r="H1545" s="19"/>
    </row>
    <row r="1546" customFormat="false" ht="15" hidden="false" customHeight="false" outlineLevel="0" collapsed="false">
      <c r="A1546" s="19" t="s">
        <v>2453</v>
      </c>
      <c r="B1546" s="19" t="s">
        <v>2369</v>
      </c>
      <c r="C1546" s="19" t="n">
        <v>13</v>
      </c>
      <c r="D1546" s="19" t="s">
        <v>3226</v>
      </c>
      <c r="E1546" s="19" t="n">
        <v>0.255</v>
      </c>
      <c r="F1546" s="17" t="s">
        <v>3355</v>
      </c>
      <c r="G1546" s="17" t="s">
        <v>1104</v>
      </c>
      <c r="H1546" s="19"/>
    </row>
    <row r="1547" customFormat="false" ht="15" hidden="false" customHeight="false" outlineLevel="0" collapsed="false">
      <c r="A1547" s="19" t="s">
        <v>2453</v>
      </c>
      <c r="B1547" s="19" t="s">
        <v>3356</v>
      </c>
      <c r="C1547" s="19" t="n">
        <v>13</v>
      </c>
      <c r="D1547" s="19" t="s">
        <v>3229</v>
      </c>
      <c r="E1547" s="19" t="n">
        <v>0.0454894156722555</v>
      </c>
      <c r="F1547" s="17" t="s">
        <v>3357</v>
      </c>
      <c r="G1547" s="17" t="s">
        <v>1104</v>
      </c>
      <c r="H1547" s="19"/>
    </row>
    <row r="1548" customFormat="false" ht="15" hidden="false" customHeight="false" outlineLevel="0" collapsed="false">
      <c r="A1548" s="19" t="s">
        <v>2453</v>
      </c>
      <c r="B1548" s="19" t="s">
        <v>3358</v>
      </c>
      <c r="C1548" s="19" t="n">
        <v>13</v>
      </c>
      <c r="D1548" s="17" t="s">
        <v>882</v>
      </c>
      <c r="E1548" s="19" t="n">
        <v>22.1505431564514</v>
      </c>
      <c r="F1548" s="17" t="s">
        <v>3359</v>
      </c>
      <c r="G1548" s="17" t="s">
        <v>1104</v>
      </c>
      <c r="H1548" s="19"/>
    </row>
    <row r="1549" customFormat="false" ht="15" hidden="false" customHeight="false" outlineLevel="0" collapsed="false">
      <c r="A1549" s="19" t="s">
        <v>2453</v>
      </c>
      <c r="B1549" s="19" t="s">
        <v>3360</v>
      </c>
      <c r="C1549" s="19" t="n">
        <v>13</v>
      </c>
      <c r="D1549" s="17" t="s">
        <v>3234</v>
      </c>
      <c r="E1549" s="19" t="n">
        <v>0.99863023084846</v>
      </c>
      <c r="F1549" s="17" t="s">
        <v>3361</v>
      </c>
      <c r="G1549" s="17" t="s">
        <v>1104</v>
      </c>
      <c r="H1549" s="19"/>
    </row>
    <row r="1550" customFormat="false" ht="15" hidden="false" customHeight="false" outlineLevel="0" collapsed="false">
      <c r="A1550" s="19" t="s">
        <v>2453</v>
      </c>
      <c r="B1550" s="19" t="s">
        <v>3362</v>
      </c>
      <c r="C1550" s="19" t="n">
        <v>13</v>
      </c>
      <c r="D1550" s="17" t="s">
        <v>903</v>
      </c>
      <c r="E1550" s="19" t="n">
        <v>39.939815445247</v>
      </c>
      <c r="F1550" s="17" t="s">
        <v>3363</v>
      </c>
      <c r="G1550" s="17" t="s">
        <v>1104</v>
      </c>
      <c r="H1550" s="19"/>
    </row>
    <row r="1551" customFormat="false" ht="15" hidden="false" customHeight="false" outlineLevel="0" collapsed="false">
      <c r="A1551" s="55" t="s">
        <v>3008</v>
      </c>
      <c r="B1551" s="55" t="s">
        <v>1210</v>
      </c>
      <c r="C1551" s="55" t="n">
        <v>13</v>
      </c>
      <c r="D1551" s="55" t="s">
        <v>3364</v>
      </c>
      <c r="E1551" s="55" t="n">
        <v>3</v>
      </c>
      <c r="F1551" s="55"/>
      <c r="G1551" s="66" t="s">
        <v>1122</v>
      </c>
      <c r="H1551" s="55"/>
    </row>
    <row r="1552" customFormat="false" ht="15" hidden="false" customHeight="false" outlineLevel="0" collapsed="false">
      <c r="A1552" s="55" t="s">
        <v>3365</v>
      </c>
      <c r="B1552" s="55" t="s">
        <v>1308</v>
      </c>
      <c r="C1552" s="55" t="n">
        <v>13</v>
      </c>
      <c r="D1552" s="55" t="s">
        <v>3366</v>
      </c>
      <c r="E1552" s="55" t="n">
        <v>32</v>
      </c>
      <c r="F1552" s="55"/>
      <c r="G1552" s="66" t="s">
        <v>1122</v>
      </c>
      <c r="H1552" s="55" t="s">
        <v>343</v>
      </c>
    </row>
    <row r="1553" customFormat="false" ht="15" hidden="false" customHeight="false" outlineLevel="0" collapsed="false">
      <c r="A1553" s="19" t="s">
        <v>3365</v>
      </c>
      <c r="B1553" s="19" t="s">
        <v>2487</v>
      </c>
      <c r="C1553" s="19" t="n">
        <v>13</v>
      </c>
      <c r="D1553" s="19" t="s">
        <v>790</v>
      </c>
      <c r="E1553" s="19" t="n">
        <v>72</v>
      </c>
      <c r="F1553" s="17" t="s">
        <v>3367</v>
      </c>
      <c r="G1553" s="17" t="s">
        <v>1104</v>
      </c>
      <c r="H1553" s="17" t="s">
        <v>226</v>
      </c>
    </row>
    <row r="1554" customFormat="false" ht="15" hidden="false" customHeight="false" outlineLevel="0" collapsed="false">
      <c r="A1554" s="19" t="s">
        <v>3365</v>
      </c>
      <c r="B1554" s="19" t="s">
        <v>2488</v>
      </c>
      <c r="C1554" s="19" t="n">
        <v>13</v>
      </c>
      <c r="D1554" s="19" t="s">
        <v>790</v>
      </c>
      <c r="E1554" s="19" t="n">
        <v>72</v>
      </c>
      <c r="F1554" s="17" t="s">
        <v>3367</v>
      </c>
      <c r="G1554" s="17" t="s">
        <v>1104</v>
      </c>
      <c r="H1554" s="17" t="s">
        <v>226</v>
      </c>
    </row>
    <row r="1555" customFormat="false" ht="15" hidden="false" customHeight="false" outlineLevel="0" collapsed="false">
      <c r="A1555" s="19" t="s">
        <v>3365</v>
      </c>
      <c r="B1555" s="19" t="s">
        <v>2489</v>
      </c>
      <c r="C1555" s="19" t="n">
        <v>13</v>
      </c>
      <c r="D1555" s="19" t="s">
        <v>790</v>
      </c>
      <c r="E1555" s="19" t="n">
        <v>72</v>
      </c>
      <c r="F1555" s="17" t="s">
        <v>3367</v>
      </c>
      <c r="G1555" s="17" t="s">
        <v>1104</v>
      </c>
      <c r="H1555" s="17" t="s">
        <v>226</v>
      </c>
    </row>
    <row r="1556" customFormat="false" ht="15" hidden="false" customHeight="false" outlineLevel="0" collapsed="false">
      <c r="A1556" s="19" t="s">
        <v>3365</v>
      </c>
      <c r="B1556" s="19" t="s">
        <v>2490</v>
      </c>
      <c r="C1556" s="19" t="n">
        <v>13</v>
      </c>
      <c r="D1556" s="19" t="s">
        <v>790</v>
      </c>
      <c r="E1556" s="19" t="n">
        <v>72</v>
      </c>
      <c r="F1556" s="17" t="s">
        <v>3368</v>
      </c>
      <c r="G1556" s="17" t="s">
        <v>1104</v>
      </c>
      <c r="H1556" s="17" t="s">
        <v>226</v>
      </c>
    </row>
    <row r="1557" customFormat="false" ht="15" hidden="false" customHeight="false" outlineLevel="0" collapsed="false">
      <c r="A1557" s="19" t="s">
        <v>3369</v>
      </c>
      <c r="B1557" s="19" t="s">
        <v>3370</v>
      </c>
      <c r="C1557" s="19" t="n">
        <v>14</v>
      </c>
      <c r="D1557" s="19" t="s">
        <v>3371</v>
      </c>
      <c r="E1557" s="19" t="n">
        <v>0.149924204143507</v>
      </c>
      <c r="F1557" s="17" t="s">
        <v>3372</v>
      </c>
      <c r="G1557" s="17" t="s">
        <v>1104</v>
      </c>
      <c r="H1557" s="19"/>
    </row>
    <row r="1558" customFormat="false" ht="15" hidden="false" customHeight="false" outlineLevel="0" collapsed="false">
      <c r="A1558" s="19" t="s">
        <v>3369</v>
      </c>
      <c r="B1558" s="19" t="s">
        <v>3373</v>
      </c>
      <c r="C1558" s="19" t="n">
        <v>14</v>
      </c>
      <c r="D1558" s="19" t="s">
        <v>3371</v>
      </c>
      <c r="E1558" s="19" t="n">
        <v>0.3</v>
      </c>
      <c r="F1558" s="17" t="s">
        <v>3374</v>
      </c>
      <c r="G1558" s="17" t="s">
        <v>1104</v>
      </c>
      <c r="H1558" s="19"/>
    </row>
    <row r="1559" customFormat="false" ht="15" hidden="false" customHeight="false" outlineLevel="0" collapsed="false">
      <c r="A1559" s="19" t="s">
        <v>3369</v>
      </c>
      <c r="B1559" s="19" t="s">
        <v>3375</v>
      </c>
      <c r="C1559" s="19" t="n">
        <v>14</v>
      </c>
      <c r="D1559" s="19" t="s">
        <v>3371</v>
      </c>
      <c r="E1559" s="19" t="n">
        <v>0.3</v>
      </c>
      <c r="F1559" s="17" t="s">
        <v>3376</v>
      </c>
      <c r="G1559" s="17" t="s">
        <v>1104</v>
      </c>
      <c r="H1559" s="19"/>
    </row>
    <row r="1560" customFormat="false" ht="15" hidden="false" customHeight="false" outlineLevel="0" collapsed="false">
      <c r="A1560" s="19" t="s">
        <v>3369</v>
      </c>
      <c r="B1560" s="19" t="s">
        <v>3377</v>
      </c>
      <c r="C1560" s="19" t="n">
        <v>14</v>
      </c>
      <c r="D1560" s="19" t="s">
        <v>3371</v>
      </c>
      <c r="E1560" s="19" t="n">
        <v>0.3</v>
      </c>
      <c r="F1560" s="17" t="s">
        <v>3378</v>
      </c>
      <c r="G1560" s="17" t="s">
        <v>1104</v>
      </c>
      <c r="H1560" s="19"/>
    </row>
    <row r="1561" customFormat="false" ht="15" hidden="false" customHeight="false" outlineLevel="0" collapsed="false">
      <c r="A1561" s="19" t="s">
        <v>3369</v>
      </c>
      <c r="B1561" s="19" t="s">
        <v>3379</v>
      </c>
      <c r="C1561" s="19" t="n">
        <v>14</v>
      </c>
      <c r="D1561" s="19" t="s">
        <v>3371</v>
      </c>
      <c r="E1561" s="19" t="n">
        <v>0.3</v>
      </c>
      <c r="F1561" s="17" t="s">
        <v>3380</v>
      </c>
      <c r="G1561" s="17" t="s">
        <v>1104</v>
      </c>
      <c r="H1561" s="19"/>
    </row>
    <row r="1562" customFormat="false" ht="15" hidden="false" customHeight="false" outlineLevel="0" collapsed="false">
      <c r="A1562" s="19" t="s">
        <v>1389</v>
      </c>
      <c r="B1562" s="19" t="s">
        <v>1339</v>
      </c>
      <c r="C1562" s="19" t="n">
        <v>14</v>
      </c>
      <c r="D1562" s="19" t="s">
        <v>790</v>
      </c>
      <c r="E1562" s="19" t="n">
        <v>32</v>
      </c>
      <c r="F1562" s="17" t="s">
        <v>3381</v>
      </c>
      <c r="G1562" s="17" t="s">
        <v>1104</v>
      </c>
      <c r="H1562" s="19"/>
    </row>
    <row r="1563" customFormat="false" ht="15" hidden="false" customHeight="false" outlineLevel="0" collapsed="false">
      <c r="A1563" s="19" t="s">
        <v>1389</v>
      </c>
      <c r="B1563" s="19" t="s">
        <v>1147</v>
      </c>
      <c r="C1563" s="19" t="n">
        <v>14</v>
      </c>
      <c r="D1563" s="17" t="s">
        <v>3382</v>
      </c>
      <c r="E1563" s="19" t="n">
        <v>0.9</v>
      </c>
      <c r="F1563" s="17" t="s">
        <v>3383</v>
      </c>
      <c r="G1563" s="17" t="s">
        <v>1104</v>
      </c>
      <c r="H1563" s="19"/>
    </row>
    <row r="1564" customFormat="false" ht="15" hidden="false" customHeight="false" outlineLevel="0" collapsed="false">
      <c r="A1564" s="19" t="s">
        <v>1389</v>
      </c>
      <c r="B1564" s="19" t="s">
        <v>1228</v>
      </c>
      <c r="C1564" s="19" t="n">
        <v>14</v>
      </c>
      <c r="D1564" s="17" t="s">
        <v>522</v>
      </c>
      <c r="E1564" s="19" t="n">
        <v>0.08</v>
      </c>
      <c r="F1564" s="17" t="s">
        <v>3384</v>
      </c>
      <c r="G1564" s="17" t="s">
        <v>1104</v>
      </c>
      <c r="H1564" s="19"/>
    </row>
    <row r="1565" customFormat="false" ht="15" hidden="false" customHeight="false" outlineLevel="0" collapsed="false">
      <c r="A1565" s="19" t="s">
        <v>1389</v>
      </c>
      <c r="B1565" s="19" t="s">
        <v>1342</v>
      </c>
      <c r="C1565" s="19" t="n">
        <v>14</v>
      </c>
      <c r="D1565" s="19" t="s">
        <v>790</v>
      </c>
      <c r="E1565" s="19" t="n">
        <v>32</v>
      </c>
      <c r="F1565" s="17" t="s">
        <v>3381</v>
      </c>
      <c r="G1565" s="17" t="s">
        <v>1104</v>
      </c>
      <c r="H1565" s="19"/>
    </row>
    <row r="1566" customFormat="false" ht="15" hidden="false" customHeight="false" outlineLevel="0" collapsed="false">
      <c r="A1566" s="19" t="s">
        <v>1389</v>
      </c>
      <c r="B1566" s="19" t="s">
        <v>1170</v>
      </c>
      <c r="C1566" s="19" t="n">
        <v>14</v>
      </c>
      <c r="D1566" s="17" t="s">
        <v>3382</v>
      </c>
      <c r="E1566" s="19" t="n">
        <v>1.1</v>
      </c>
      <c r="F1566" s="17" t="s">
        <v>3385</v>
      </c>
      <c r="G1566" s="17" t="s">
        <v>1104</v>
      </c>
      <c r="H1566" s="19"/>
    </row>
    <row r="1567" customFormat="false" ht="15" hidden="false" customHeight="false" outlineLevel="0" collapsed="false">
      <c r="A1567" s="19" t="s">
        <v>1389</v>
      </c>
      <c r="B1567" s="19" t="s">
        <v>2687</v>
      </c>
      <c r="C1567" s="19" t="n">
        <v>14</v>
      </c>
      <c r="D1567" s="17" t="s">
        <v>522</v>
      </c>
      <c r="E1567" s="19" t="n">
        <v>0.08</v>
      </c>
      <c r="F1567" s="17" t="s">
        <v>3384</v>
      </c>
      <c r="G1567" s="17" t="s">
        <v>1104</v>
      </c>
      <c r="H1567" s="19"/>
    </row>
    <row r="1568" customFormat="false" ht="15" hidden="false" customHeight="false" outlineLevel="0" collapsed="false">
      <c r="A1568" s="19" t="s">
        <v>1389</v>
      </c>
      <c r="B1568" s="19" t="s">
        <v>1344</v>
      </c>
      <c r="C1568" s="19" t="n">
        <v>14</v>
      </c>
      <c r="D1568" s="19" t="s">
        <v>790</v>
      </c>
      <c r="E1568" s="19" t="n">
        <v>32</v>
      </c>
      <c r="F1568" s="17" t="s">
        <v>3381</v>
      </c>
      <c r="G1568" s="17" t="s">
        <v>1104</v>
      </c>
      <c r="H1568" s="19"/>
    </row>
    <row r="1569" customFormat="false" ht="15" hidden="false" customHeight="false" outlineLevel="0" collapsed="false">
      <c r="A1569" s="19" t="s">
        <v>1389</v>
      </c>
      <c r="B1569" s="19" t="s">
        <v>1178</v>
      </c>
      <c r="C1569" s="19" t="n">
        <v>14</v>
      </c>
      <c r="D1569" s="17" t="s">
        <v>3382</v>
      </c>
      <c r="E1569" s="19" t="n">
        <v>1.3</v>
      </c>
      <c r="F1569" s="17" t="s">
        <v>3386</v>
      </c>
      <c r="G1569" s="17" t="s">
        <v>1104</v>
      </c>
      <c r="H1569" s="19"/>
    </row>
    <row r="1570" customFormat="false" ht="15" hidden="false" customHeight="false" outlineLevel="0" collapsed="false">
      <c r="A1570" s="19" t="s">
        <v>1389</v>
      </c>
      <c r="B1570" s="19" t="s">
        <v>2692</v>
      </c>
      <c r="C1570" s="19" t="n">
        <v>14</v>
      </c>
      <c r="D1570" s="17" t="s">
        <v>522</v>
      </c>
      <c r="E1570" s="19" t="n">
        <v>0.08</v>
      </c>
      <c r="F1570" s="17" t="s">
        <v>3384</v>
      </c>
      <c r="G1570" s="17" t="s">
        <v>1104</v>
      </c>
      <c r="H1570" s="19"/>
    </row>
    <row r="1571" customFormat="false" ht="15" hidden="false" customHeight="false" outlineLevel="0" collapsed="false">
      <c r="A1571" s="19" t="s">
        <v>1389</v>
      </c>
      <c r="B1571" s="19" t="s">
        <v>1346</v>
      </c>
      <c r="C1571" s="19" t="n">
        <v>14</v>
      </c>
      <c r="D1571" s="19" t="s">
        <v>790</v>
      </c>
      <c r="E1571" s="19" t="n">
        <v>72</v>
      </c>
      <c r="F1571" s="17" t="s">
        <v>3387</v>
      </c>
      <c r="G1571" s="17" t="s">
        <v>1104</v>
      </c>
      <c r="H1571" s="19"/>
    </row>
    <row r="1572" customFormat="false" ht="15" hidden="false" customHeight="false" outlineLevel="0" collapsed="false">
      <c r="A1572" s="19" t="s">
        <v>1389</v>
      </c>
      <c r="B1572" s="19" t="s">
        <v>1186</v>
      </c>
      <c r="C1572" s="19" t="n">
        <v>14</v>
      </c>
      <c r="D1572" s="17" t="s">
        <v>3382</v>
      </c>
      <c r="E1572" s="19" t="n">
        <v>2.8</v>
      </c>
      <c r="F1572" s="17" t="s">
        <v>3388</v>
      </c>
      <c r="G1572" s="17" t="s">
        <v>1104</v>
      </c>
      <c r="H1572" s="19"/>
    </row>
    <row r="1573" customFormat="false" ht="15" hidden="false" customHeight="false" outlineLevel="0" collapsed="false">
      <c r="A1573" s="19" t="s">
        <v>1389</v>
      </c>
      <c r="B1573" s="19" t="s">
        <v>2697</v>
      </c>
      <c r="C1573" s="19" t="n">
        <v>14</v>
      </c>
      <c r="D1573" s="17" t="s">
        <v>522</v>
      </c>
      <c r="E1573" s="19" t="n">
        <v>0.08</v>
      </c>
      <c r="F1573" s="17" t="s">
        <v>3384</v>
      </c>
      <c r="G1573" s="17" t="s">
        <v>1104</v>
      </c>
      <c r="H1573" s="19"/>
    </row>
    <row r="1574" customFormat="false" ht="15" hidden="false" customHeight="false" outlineLevel="0" collapsed="false">
      <c r="A1574" s="19" t="s">
        <v>1389</v>
      </c>
      <c r="B1574" s="19" t="s">
        <v>1348</v>
      </c>
      <c r="C1574" s="19" t="n">
        <v>14</v>
      </c>
      <c r="D1574" s="19" t="s">
        <v>790</v>
      </c>
      <c r="E1574" s="19" t="n">
        <v>72</v>
      </c>
      <c r="F1574" s="17" t="s">
        <v>3387</v>
      </c>
      <c r="G1574" s="17" t="s">
        <v>1104</v>
      </c>
      <c r="H1574" s="19"/>
    </row>
    <row r="1575" customFormat="false" ht="15" hidden="false" customHeight="false" outlineLevel="0" collapsed="false">
      <c r="A1575" s="19" t="s">
        <v>1389</v>
      </c>
      <c r="B1575" s="19" t="s">
        <v>1711</v>
      </c>
      <c r="C1575" s="19" t="n">
        <v>14</v>
      </c>
      <c r="D1575" s="17" t="s">
        <v>3382</v>
      </c>
      <c r="E1575" s="19" t="n">
        <v>3.1</v>
      </c>
      <c r="F1575" s="17" t="s">
        <v>3389</v>
      </c>
      <c r="G1575" s="17" t="s">
        <v>1104</v>
      </c>
      <c r="H1575" s="19"/>
    </row>
    <row r="1576" customFormat="false" ht="15" hidden="false" customHeight="false" outlineLevel="0" collapsed="false">
      <c r="A1576" s="19" t="s">
        <v>1389</v>
      </c>
      <c r="B1576" s="19" t="s">
        <v>3390</v>
      </c>
      <c r="C1576" s="19" t="n">
        <v>14</v>
      </c>
      <c r="D1576" s="17" t="s">
        <v>522</v>
      </c>
      <c r="E1576" s="19" t="n">
        <v>0.08</v>
      </c>
      <c r="F1576" s="17" t="s">
        <v>3384</v>
      </c>
      <c r="G1576" s="17" t="s">
        <v>1104</v>
      </c>
      <c r="H1576" s="19"/>
    </row>
    <row r="1577" customFormat="false" ht="15" hidden="false" customHeight="false" outlineLevel="0" collapsed="false">
      <c r="A1577" s="19" t="s">
        <v>1389</v>
      </c>
      <c r="B1577" s="19" t="s">
        <v>1350</v>
      </c>
      <c r="C1577" s="19" t="n">
        <v>14</v>
      </c>
      <c r="D1577" s="19" t="s">
        <v>790</v>
      </c>
      <c r="E1577" s="19" t="n">
        <v>72</v>
      </c>
      <c r="F1577" s="17" t="s">
        <v>3387</v>
      </c>
      <c r="G1577" s="17" t="s">
        <v>1104</v>
      </c>
      <c r="H1577" s="19"/>
    </row>
    <row r="1578" customFormat="false" ht="15" hidden="false" customHeight="false" outlineLevel="0" collapsed="false">
      <c r="A1578" s="19" t="s">
        <v>1389</v>
      </c>
      <c r="B1578" s="19" t="s">
        <v>1727</v>
      </c>
      <c r="C1578" s="19" t="n">
        <v>14</v>
      </c>
      <c r="D1578" s="17" t="s">
        <v>3382</v>
      </c>
      <c r="E1578" s="19" t="n">
        <v>3.4</v>
      </c>
      <c r="F1578" s="17" t="s">
        <v>3391</v>
      </c>
      <c r="G1578" s="17" t="s">
        <v>1104</v>
      </c>
      <c r="H1578" s="19"/>
    </row>
    <row r="1579" customFormat="false" ht="15" hidden="false" customHeight="false" outlineLevel="0" collapsed="false">
      <c r="A1579" s="19" t="s">
        <v>1389</v>
      </c>
      <c r="B1579" s="19" t="s">
        <v>3392</v>
      </c>
      <c r="C1579" s="19" t="n">
        <v>14</v>
      </c>
      <c r="D1579" s="17" t="s">
        <v>522</v>
      </c>
      <c r="E1579" s="19" t="n">
        <v>0.08</v>
      </c>
      <c r="F1579" s="17" t="s">
        <v>3384</v>
      </c>
      <c r="G1579" s="17" t="s">
        <v>1104</v>
      </c>
      <c r="H1579" s="19"/>
    </row>
    <row r="1580" customFormat="false" ht="15" hidden="false" customHeight="false" outlineLevel="0" collapsed="false">
      <c r="A1580" s="19" t="s">
        <v>1389</v>
      </c>
      <c r="B1580" s="19" t="s">
        <v>1352</v>
      </c>
      <c r="C1580" s="19" t="n">
        <v>14</v>
      </c>
      <c r="D1580" s="19" t="s">
        <v>790</v>
      </c>
      <c r="E1580" s="19" t="n">
        <v>72</v>
      </c>
      <c r="F1580" s="17" t="s">
        <v>3393</v>
      </c>
      <c r="G1580" s="17" t="s">
        <v>1104</v>
      </c>
      <c r="H1580" s="19"/>
    </row>
    <row r="1581" customFormat="false" ht="15" hidden="false" customHeight="false" outlineLevel="0" collapsed="false">
      <c r="A1581" s="19" t="s">
        <v>1389</v>
      </c>
      <c r="B1581" s="19" t="s">
        <v>1743</v>
      </c>
      <c r="C1581" s="19" t="n">
        <v>14</v>
      </c>
      <c r="D1581" s="17" t="s">
        <v>3382</v>
      </c>
      <c r="E1581" s="19" t="n">
        <v>4</v>
      </c>
      <c r="F1581" s="17" t="s">
        <v>3394</v>
      </c>
      <c r="G1581" s="17" t="s">
        <v>1104</v>
      </c>
      <c r="H1581" s="19"/>
    </row>
    <row r="1582" customFormat="false" ht="15" hidden="false" customHeight="false" outlineLevel="0" collapsed="false">
      <c r="A1582" s="19" t="s">
        <v>1389</v>
      </c>
      <c r="B1582" s="19" t="s">
        <v>3395</v>
      </c>
      <c r="C1582" s="19" t="n">
        <v>14</v>
      </c>
      <c r="D1582" s="17" t="s">
        <v>522</v>
      </c>
      <c r="E1582" s="19" t="n">
        <v>0.08</v>
      </c>
      <c r="F1582" s="17" t="s">
        <v>3384</v>
      </c>
      <c r="G1582" s="17" t="s">
        <v>1104</v>
      </c>
      <c r="H1582" s="19"/>
    </row>
    <row r="1583" customFormat="false" ht="15" hidden="false" customHeight="false" outlineLevel="0" collapsed="false">
      <c r="A1583" s="19" t="s">
        <v>1389</v>
      </c>
      <c r="B1583" s="19" t="s">
        <v>1354</v>
      </c>
      <c r="C1583" s="19" t="n">
        <v>14</v>
      </c>
      <c r="D1583" s="19" t="s">
        <v>790</v>
      </c>
      <c r="E1583" s="19" t="n">
        <v>72</v>
      </c>
      <c r="F1583" s="17" t="s">
        <v>3393</v>
      </c>
      <c r="G1583" s="17" t="s">
        <v>1104</v>
      </c>
      <c r="H1583" s="19"/>
    </row>
    <row r="1584" customFormat="false" ht="15" hidden="false" customHeight="false" outlineLevel="0" collapsed="false">
      <c r="A1584" s="19" t="s">
        <v>1389</v>
      </c>
      <c r="B1584" s="19" t="s">
        <v>1759</v>
      </c>
      <c r="C1584" s="19" t="n">
        <v>14</v>
      </c>
      <c r="D1584" s="17" t="s">
        <v>3382</v>
      </c>
      <c r="E1584" s="19" t="n">
        <v>4.3</v>
      </c>
      <c r="F1584" s="17" t="s">
        <v>3396</v>
      </c>
      <c r="G1584" s="17" t="s">
        <v>1104</v>
      </c>
      <c r="H1584" s="19"/>
    </row>
    <row r="1585" customFormat="false" ht="15" hidden="false" customHeight="false" outlineLevel="0" collapsed="false">
      <c r="A1585" s="19" t="s">
        <v>1389</v>
      </c>
      <c r="B1585" s="19" t="s">
        <v>3397</v>
      </c>
      <c r="C1585" s="19" t="n">
        <v>14</v>
      </c>
      <c r="D1585" s="17" t="s">
        <v>522</v>
      </c>
      <c r="E1585" s="19" t="n">
        <v>0.08</v>
      </c>
      <c r="F1585" s="17" t="s">
        <v>3384</v>
      </c>
      <c r="G1585" s="17" t="s">
        <v>1104</v>
      </c>
      <c r="H1585" s="19"/>
    </row>
    <row r="1586" customFormat="false" ht="15" hidden="false" customHeight="false" outlineLevel="0" collapsed="false">
      <c r="A1586" s="19" t="s">
        <v>1389</v>
      </c>
      <c r="B1586" s="19" t="s">
        <v>1356</v>
      </c>
      <c r="C1586" s="19" t="n">
        <v>14</v>
      </c>
      <c r="D1586" s="19" t="s">
        <v>790</v>
      </c>
      <c r="E1586" s="19" t="n">
        <v>72</v>
      </c>
      <c r="F1586" s="17" t="s">
        <v>3393</v>
      </c>
      <c r="G1586" s="17" t="s">
        <v>1104</v>
      </c>
      <c r="H1586" s="19"/>
    </row>
    <row r="1587" customFormat="false" ht="15" hidden="false" customHeight="false" outlineLevel="0" collapsed="false">
      <c r="A1587" s="19" t="s">
        <v>1389</v>
      </c>
      <c r="B1587" s="19" t="s">
        <v>1775</v>
      </c>
      <c r="C1587" s="19" t="n">
        <v>14</v>
      </c>
      <c r="D1587" s="17" t="s">
        <v>3382</v>
      </c>
      <c r="E1587" s="19" t="n">
        <v>5</v>
      </c>
      <c r="F1587" s="17" t="s">
        <v>3398</v>
      </c>
      <c r="G1587" s="17" t="s">
        <v>1104</v>
      </c>
      <c r="H1587" s="19"/>
    </row>
    <row r="1588" customFormat="false" ht="15" hidden="false" customHeight="false" outlineLevel="0" collapsed="false">
      <c r="A1588" s="19" t="s">
        <v>1389</v>
      </c>
      <c r="B1588" s="19" t="s">
        <v>3399</v>
      </c>
      <c r="C1588" s="19" t="n">
        <v>14</v>
      </c>
      <c r="D1588" s="17" t="s">
        <v>522</v>
      </c>
      <c r="E1588" s="19" t="n">
        <v>0.08</v>
      </c>
      <c r="F1588" s="17" t="s">
        <v>3384</v>
      </c>
      <c r="G1588" s="17" t="s">
        <v>1104</v>
      </c>
      <c r="H1588" s="19"/>
    </row>
    <row r="1589" customFormat="false" ht="15" hidden="false" customHeight="false" outlineLevel="0" collapsed="false">
      <c r="A1589" s="19" t="s">
        <v>1389</v>
      </c>
      <c r="B1589" s="19" t="s">
        <v>1358</v>
      </c>
      <c r="C1589" s="19" t="n">
        <v>14</v>
      </c>
      <c r="D1589" s="19" t="s">
        <v>790</v>
      </c>
      <c r="E1589" s="19" t="n">
        <v>72</v>
      </c>
      <c r="F1589" s="17" t="s">
        <v>3400</v>
      </c>
      <c r="G1589" s="17" t="s">
        <v>1104</v>
      </c>
      <c r="H1589" s="19"/>
    </row>
    <row r="1590" customFormat="false" ht="15" hidden="false" customHeight="false" outlineLevel="0" collapsed="false">
      <c r="A1590" s="19" t="s">
        <v>1389</v>
      </c>
      <c r="B1590" s="19" t="s">
        <v>1791</v>
      </c>
      <c r="C1590" s="19" t="n">
        <v>14</v>
      </c>
      <c r="D1590" s="17" t="s">
        <v>3382</v>
      </c>
      <c r="E1590" s="19" t="n">
        <v>7.8</v>
      </c>
      <c r="F1590" s="17" t="s">
        <v>3401</v>
      </c>
      <c r="G1590" s="17" t="s">
        <v>1104</v>
      </c>
      <c r="H1590" s="19"/>
    </row>
    <row r="1591" customFormat="false" ht="15" hidden="false" customHeight="false" outlineLevel="0" collapsed="false">
      <c r="A1591" s="19" t="s">
        <v>1389</v>
      </c>
      <c r="B1591" s="19" t="s">
        <v>3402</v>
      </c>
      <c r="C1591" s="19" t="n">
        <v>14</v>
      </c>
      <c r="D1591" s="17" t="s">
        <v>522</v>
      </c>
      <c r="E1591" s="19" t="n">
        <v>0.08</v>
      </c>
      <c r="F1591" s="17" t="s">
        <v>3384</v>
      </c>
      <c r="G1591" s="17" t="s">
        <v>1104</v>
      </c>
      <c r="H1591" s="19"/>
    </row>
    <row r="1592" customFormat="false" ht="15" hidden="false" customHeight="false" outlineLevel="0" collapsed="false">
      <c r="A1592" s="19" t="s">
        <v>1389</v>
      </c>
      <c r="B1592" s="19" t="s">
        <v>1360</v>
      </c>
      <c r="C1592" s="19" t="n">
        <v>14</v>
      </c>
      <c r="D1592" s="19" t="s">
        <v>790</v>
      </c>
      <c r="E1592" s="19" t="n">
        <v>72</v>
      </c>
      <c r="F1592" s="17" t="s">
        <v>3400</v>
      </c>
      <c r="G1592" s="17" t="s">
        <v>1104</v>
      </c>
      <c r="H1592" s="19"/>
    </row>
    <row r="1593" customFormat="false" ht="15" hidden="false" customHeight="false" outlineLevel="0" collapsed="false">
      <c r="A1593" s="19" t="s">
        <v>1389</v>
      </c>
      <c r="B1593" s="19" t="s">
        <v>1807</v>
      </c>
      <c r="C1593" s="19" t="n">
        <v>14</v>
      </c>
      <c r="D1593" s="17" t="s">
        <v>3382</v>
      </c>
      <c r="E1593" s="19" t="n">
        <v>8.4</v>
      </c>
      <c r="F1593" s="17" t="s">
        <v>3403</v>
      </c>
      <c r="G1593" s="17" t="s">
        <v>1104</v>
      </c>
      <c r="H1593" s="19"/>
    </row>
    <row r="1594" customFormat="false" ht="15" hidden="false" customHeight="false" outlineLevel="0" collapsed="false">
      <c r="A1594" s="19" t="s">
        <v>1389</v>
      </c>
      <c r="B1594" s="19" t="s">
        <v>3404</v>
      </c>
      <c r="C1594" s="19" t="n">
        <v>14</v>
      </c>
      <c r="D1594" s="17" t="s">
        <v>522</v>
      </c>
      <c r="E1594" s="19" t="n">
        <v>0.08</v>
      </c>
      <c r="F1594" s="17" t="s">
        <v>3384</v>
      </c>
      <c r="G1594" s="17" t="s">
        <v>1104</v>
      </c>
      <c r="H1594" s="19"/>
    </row>
    <row r="1595" customFormat="false" ht="15" hidden="false" customHeight="false" outlineLevel="0" collapsed="false">
      <c r="A1595" s="19" t="s">
        <v>1389</v>
      </c>
      <c r="B1595" s="19" t="s">
        <v>1362</v>
      </c>
      <c r="C1595" s="19" t="n">
        <v>14</v>
      </c>
      <c r="D1595" s="19" t="s">
        <v>790</v>
      </c>
      <c r="E1595" s="19" t="n">
        <v>72</v>
      </c>
      <c r="F1595" s="17" t="s">
        <v>3400</v>
      </c>
      <c r="G1595" s="17" t="s">
        <v>1104</v>
      </c>
      <c r="H1595" s="19"/>
    </row>
    <row r="1596" customFormat="false" ht="15" hidden="false" customHeight="false" outlineLevel="0" collapsed="false">
      <c r="A1596" s="19" t="s">
        <v>1389</v>
      </c>
      <c r="B1596" s="19" t="s">
        <v>1823</v>
      </c>
      <c r="C1596" s="19" t="n">
        <v>14</v>
      </c>
      <c r="D1596" s="17" t="s">
        <v>3382</v>
      </c>
      <c r="E1596" s="19" t="n">
        <v>9.1</v>
      </c>
      <c r="F1596" s="17" t="s">
        <v>3405</v>
      </c>
      <c r="G1596" s="17" t="s">
        <v>1104</v>
      </c>
      <c r="H1596" s="19"/>
    </row>
    <row r="1597" customFormat="false" ht="15" hidden="false" customHeight="false" outlineLevel="0" collapsed="false">
      <c r="A1597" s="19" t="s">
        <v>1389</v>
      </c>
      <c r="B1597" s="19" t="s">
        <v>3406</v>
      </c>
      <c r="C1597" s="19" t="n">
        <v>14</v>
      </c>
      <c r="D1597" s="17" t="s">
        <v>522</v>
      </c>
      <c r="E1597" s="19" t="n">
        <v>0.08</v>
      </c>
      <c r="F1597" s="17" t="s">
        <v>3384</v>
      </c>
      <c r="G1597" s="17" t="s">
        <v>1104</v>
      </c>
      <c r="H1597" s="19"/>
    </row>
    <row r="1598" customFormat="false" ht="15" hidden="false" customHeight="false" outlineLevel="0" collapsed="false">
      <c r="A1598" s="19" t="s">
        <v>1389</v>
      </c>
      <c r="B1598" s="19" t="s">
        <v>1364</v>
      </c>
      <c r="C1598" s="19" t="n">
        <v>14</v>
      </c>
      <c r="D1598" s="19" t="s">
        <v>790</v>
      </c>
      <c r="E1598" s="19" t="n">
        <v>72</v>
      </c>
      <c r="F1598" s="17" t="s">
        <v>3407</v>
      </c>
      <c r="G1598" s="17" t="s">
        <v>1104</v>
      </c>
      <c r="H1598" s="19"/>
    </row>
    <row r="1599" customFormat="false" ht="15" hidden="false" customHeight="false" outlineLevel="0" collapsed="false">
      <c r="A1599" s="19" t="s">
        <v>1389</v>
      </c>
      <c r="B1599" s="19" t="s">
        <v>1839</v>
      </c>
      <c r="C1599" s="19" t="n">
        <v>14</v>
      </c>
      <c r="D1599" s="17" t="s">
        <v>3382</v>
      </c>
      <c r="E1599" s="19" t="n">
        <v>12.6</v>
      </c>
      <c r="F1599" s="17" t="s">
        <v>3408</v>
      </c>
      <c r="G1599" s="17" t="s">
        <v>1104</v>
      </c>
      <c r="H1599" s="19"/>
    </row>
    <row r="1600" customFormat="false" ht="15" hidden="false" customHeight="false" outlineLevel="0" collapsed="false">
      <c r="A1600" s="19" t="s">
        <v>1389</v>
      </c>
      <c r="B1600" s="19" t="s">
        <v>3409</v>
      </c>
      <c r="C1600" s="19" t="n">
        <v>14</v>
      </c>
      <c r="D1600" s="17" t="s">
        <v>522</v>
      </c>
      <c r="E1600" s="19" t="n">
        <v>0.08</v>
      </c>
      <c r="F1600" s="17" t="s">
        <v>3384</v>
      </c>
      <c r="G1600" s="17" t="s">
        <v>1104</v>
      </c>
      <c r="H1600" s="19"/>
    </row>
    <row r="1601" customFormat="false" ht="15" hidden="false" customHeight="false" outlineLevel="0" collapsed="false">
      <c r="A1601" s="19" t="s">
        <v>1389</v>
      </c>
      <c r="B1601" s="19" t="s">
        <v>1366</v>
      </c>
      <c r="C1601" s="19" t="n">
        <v>14</v>
      </c>
      <c r="D1601" s="19" t="s">
        <v>790</v>
      </c>
      <c r="E1601" s="19" t="n">
        <v>72</v>
      </c>
      <c r="F1601" s="17" t="s">
        <v>3407</v>
      </c>
      <c r="G1601" s="17" t="s">
        <v>1104</v>
      </c>
      <c r="H1601" s="19"/>
    </row>
    <row r="1602" customFormat="false" ht="15" hidden="false" customHeight="false" outlineLevel="0" collapsed="false">
      <c r="A1602" s="19" t="s">
        <v>1389</v>
      </c>
      <c r="B1602" s="19" t="s">
        <v>1855</v>
      </c>
      <c r="C1602" s="19" t="n">
        <v>14</v>
      </c>
      <c r="D1602" s="17" t="s">
        <v>3382</v>
      </c>
      <c r="E1602" s="19" t="n">
        <v>16.8</v>
      </c>
      <c r="F1602" s="17" t="s">
        <v>3410</v>
      </c>
      <c r="G1602" s="17" t="s">
        <v>1104</v>
      </c>
      <c r="H1602" s="19"/>
    </row>
    <row r="1603" customFormat="false" ht="15" hidden="false" customHeight="false" outlineLevel="0" collapsed="false">
      <c r="A1603" s="19" t="s">
        <v>1389</v>
      </c>
      <c r="B1603" s="19" t="s">
        <v>3411</v>
      </c>
      <c r="C1603" s="19" t="n">
        <v>14</v>
      </c>
      <c r="D1603" s="17" t="s">
        <v>522</v>
      </c>
      <c r="E1603" s="19" t="n">
        <v>0.08</v>
      </c>
      <c r="F1603" s="17" t="s">
        <v>3384</v>
      </c>
      <c r="G1603" s="17" t="s">
        <v>1104</v>
      </c>
      <c r="H1603" s="19"/>
    </row>
    <row r="1604" customFormat="false" ht="15" hidden="false" customHeight="false" outlineLevel="0" collapsed="false">
      <c r="A1604" s="19" t="s">
        <v>1389</v>
      </c>
      <c r="B1604" s="19" t="s">
        <v>1368</v>
      </c>
      <c r="C1604" s="19" t="n">
        <v>14</v>
      </c>
      <c r="D1604" s="19" t="s">
        <v>790</v>
      </c>
      <c r="E1604" s="19" t="n">
        <v>72</v>
      </c>
      <c r="F1604" s="17" t="s">
        <v>3407</v>
      </c>
      <c r="G1604" s="17" t="s">
        <v>1104</v>
      </c>
      <c r="H1604" s="19"/>
    </row>
    <row r="1605" customFormat="false" ht="15" hidden="false" customHeight="false" outlineLevel="0" collapsed="false">
      <c r="A1605" s="19" t="s">
        <v>1389</v>
      </c>
      <c r="B1605" s="19" t="s">
        <v>1871</v>
      </c>
      <c r="C1605" s="19" t="n">
        <v>14</v>
      </c>
      <c r="D1605" s="17" t="s">
        <v>3382</v>
      </c>
      <c r="E1605" s="19" t="n">
        <v>21</v>
      </c>
      <c r="F1605" s="17" t="s">
        <v>3412</v>
      </c>
      <c r="G1605" s="17" t="s">
        <v>1104</v>
      </c>
      <c r="H1605" s="19"/>
    </row>
    <row r="1606" customFormat="false" ht="15" hidden="false" customHeight="false" outlineLevel="0" collapsed="false">
      <c r="A1606" s="19" t="s">
        <v>1389</v>
      </c>
      <c r="B1606" s="19" t="s">
        <v>3413</v>
      </c>
      <c r="C1606" s="19" t="n">
        <v>14</v>
      </c>
      <c r="D1606" s="17" t="s">
        <v>522</v>
      </c>
      <c r="E1606" s="19" t="n">
        <v>0.08</v>
      </c>
      <c r="F1606" s="17" t="s">
        <v>3384</v>
      </c>
      <c r="G1606" s="17" t="s">
        <v>1104</v>
      </c>
      <c r="H1606" s="19"/>
    </row>
    <row r="1607" customFormat="false" ht="15" hidden="false" customHeight="false" outlineLevel="0" collapsed="false">
      <c r="A1607" s="55" t="s">
        <v>1465</v>
      </c>
      <c r="B1607" s="55" t="s">
        <v>1342</v>
      </c>
      <c r="C1607" s="55" t="n">
        <v>14</v>
      </c>
      <c r="D1607" s="55" t="s">
        <v>3414</v>
      </c>
      <c r="E1607" s="55" t="n">
        <v>0.05</v>
      </c>
      <c r="F1607" s="55"/>
      <c r="G1607" s="66" t="s">
        <v>1122</v>
      </c>
      <c r="H1607" s="55" t="s">
        <v>224</v>
      </c>
    </row>
    <row r="1608" customFormat="false" ht="15" hidden="false" customHeight="false" outlineLevel="0" collapsed="false">
      <c r="A1608" s="55" t="s">
        <v>1465</v>
      </c>
      <c r="B1608" s="55" t="s">
        <v>3019</v>
      </c>
      <c r="C1608" s="55" t="n">
        <v>14</v>
      </c>
      <c r="D1608" s="66" t="s">
        <v>538</v>
      </c>
      <c r="E1608" s="55" t="n">
        <v>300</v>
      </c>
      <c r="F1608" s="55"/>
      <c r="G1608" s="66" t="s">
        <v>1122</v>
      </c>
      <c r="H1608" s="55" t="s">
        <v>140</v>
      </c>
    </row>
    <row r="1609" customFormat="false" ht="15" hidden="false" customHeight="false" outlineLevel="0" collapsed="false">
      <c r="A1609" s="55" t="s">
        <v>1465</v>
      </c>
      <c r="B1609" s="55" t="s">
        <v>1313</v>
      </c>
      <c r="C1609" s="55" t="n">
        <v>14</v>
      </c>
      <c r="D1609" s="66" t="s">
        <v>546</v>
      </c>
      <c r="E1609" s="55" t="n">
        <v>3</v>
      </c>
      <c r="F1609" s="55"/>
      <c r="G1609" s="66" t="s">
        <v>1122</v>
      </c>
      <c r="H1609" s="55" t="s">
        <v>140</v>
      </c>
    </row>
    <row r="1610" customFormat="false" ht="15" hidden="false" customHeight="false" outlineLevel="0" collapsed="false">
      <c r="A1610" s="55" t="s">
        <v>1465</v>
      </c>
      <c r="B1610" s="55" t="s">
        <v>1170</v>
      </c>
      <c r="C1610" s="55" t="n">
        <v>14</v>
      </c>
      <c r="D1610" s="66" t="s">
        <v>3415</v>
      </c>
      <c r="E1610" s="55" t="n">
        <v>3.8</v>
      </c>
      <c r="F1610" s="55"/>
      <c r="G1610" s="66" t="s">
        <v>1122</v>
      </c>
      <c r="H1610" s="55" t="s">
        <v>140</v>
      </c>
    </row>
    <row r="1611" customFormat="false" ht="15" hidden="false" customHeight="false" outlineLevel="0" collapsed="false">
      <c r="A1611" s="55" t="s">
        <v>1465</v>
      </c>
      <c r="B1611" s="55" t="s">
        <v>1231</v>
      </c>
      <c r="C1611" s="55" t="n">
        <v>14</v>
      </c>
      <c r="D1611" s="66" t="s">
        <v>3416</v>
      </c>
      <c r="E1611" s="55" t="n">
        <v>2</v>
      </c>
      <c r="F1611" s="55"/>
      <c r="G1611" s="66" t="s">
        <v>1122</v>
      </c>
      <c r="H1611" s="55" t="s">
        <v>140</v>
      </c>
    </row>
    <row r="1612" customFormat="false" ht="15" hidden="false" customHeight="false" outlineLevel="0" collapsed="false">
      <c r="A1612" s="55" t="s">
        <v>1465</v>
      </c>
      <c r="B1612" s="55" t="s">
        <v>1233</v>
      </c>
      <c r="C1612" s="55" t="n">
        <v>14</v>
      </c>
      <c r="D1612" s="66" t="s">
        <v>3417</v>
      </c>
      <c r="E1612" s="55" t="n">
        <v>0.3</v>
      </c>
      <c r="F1612" s="55"/>
      <c r="G1612" s="66" t="s">
        <v>1122</v>
      </c>
      <c r="H1612" s="55" t="s">
        <v>140</v>
      </c>
    </row>
    <row r="1613" customFormat="false" ht="15" hidden="false" customHeight="false" outlineLevel="0" collapsed="false">
      <c r="A1613" s="55" t="s">
        <v>1465</v>
      </c>
      <c r="B1613" s="55" t="s">
        <v>1235</v>
      </c>
      <c r="C1613" s="55" t="n">
        <v>14</v>
      </c>
      <c r="D1613" s="66" t="s">
        <v>558</v>
      </c>
      <c r="E1613" s="55" t="n">
        <v>0.12</v>
      </c>
      <c r="F1613" s="55"/>
      <c r="G1613" s="66" t="s">
        <v>1122</v>
      </c>
      <c r="H1613" s="55" t="s">
        <v>140</v>
      </c>
    </row>
    <row r="1614" customFormat="false" ht="15" hidden="false" customHeight="false" outlineLevel="0" collapsed="false">
      <c r="A1614" s="55" t="s">
        <v>1465</v>
      </c>
      <c r="B1614" s="55" t="s">
        <v>1344</v>
      </c>
      <c r="C1614" s="55" t="n">
        <v>14</v>
      </c>
      <c r="D1614" s="55" t="s">
        <v>3414</v>
      </c>
      <c r="E1614" s="55" t="n">
        <v>0.1</v>
      </c>
      <c r="F1614" s="55"/>
      <c r="G1614" s="66" t="s">
        <v>1122</v>
      </c>
      <c r="H1614" s="55" t="s">
        <v>224</v>
      </c>
    </row>
    <row r="1615" customFormat="false" ht="15" hidden="false" customHeight="false" outlineLevel="0" collapsed="false">
      <c r="A1615" s="55" t="s">
        <v>1465</v>
      </c>
      <c r="B1615" s="55" t="s">
        <v>3024</v>
      </c>
      <c r="C1615" s="55" t="n">
        <v>14</v>
      </c>
      <c r="D1615" s="66" t="s">
        <v>538</v>
      </c>
      <c r="E1615" s="55" t="n">
        <v>500</v>
      </c>
      <c r="F1615" s="55"/>
      <c r="G1615" s="66" t="s">
        <v>1122</v>
      </c>
      <c r="H1615" s="55" t="s">
        <v>140</v>
      </c>
    </row>
    <row r="1616" customFormat="false" ht="15" hidden="false" customHeight="false" outlineLevel="0" collapsed="false">
      <c r="A1616" s="55" t="s">
        <v>1465</v>
      </c>
      <c r="B1616" s="55" t="s">
        <v>1321</v>
      </c>
      <c r="C1616" s="55" t="n">
        <v>14</v>
      </c>
      <c r="D1616" s="66" t="s">
        <v>546</v>
      </c>
      <c r="E1616" s="55" t="n">
        <v>3.6</v>
      </c>
      <c r="F1616" s="55"/>
      <c r="G1616" s="66" t="s">
        <v>1122</v>
      </c>
      <c r="H1616" s="55" t="s">
        <v>140</v>
      </c>
    </row>
    <row r="1617" customFormat="false" ht="15" hidden="false" customHeight="false" outlineLevel="0" collapsed="false">
      <c r="A1617" s="55" t="s">
        <v>1465</v>
      </c>
      <c r="B1617" s="55" t="s">
        <v>1178</v>
      </c>
      <c r="C1617" s="55" t="n">
        <v>14</v>
      </c>
      <c r="D1617" s="66" t="s">
        <v>3415</v>
      </c>
      <c r="E1617" s="55" t="n">
        <v>4.5</v>
      </c>
      <c r="F1617" s="55"/>
      <c r="G1617" s="66" t="s">
        <v>1122</v>
      </c>
      <c r="H1617" s="55" t="s">
        <v>140</v>
      </c>
    </row>
    <row r="1618" customFormat="false" ht="15" hidden="false" customHeight="false" outlineLevel="0" collapsed="false">
      <c r="A1618" s="55" t="s">
        <v>1465</v>
      </c>
      <c r="B1618" s="55" t="s">
        <v>1239</v>
      </c>
      <c r="C1618" s="55" t="n">
        <v>14</v>
      </c>
      <c r="D1618" s="66" t="s">
        <v>3416</v>
      </c>
      <c r="E1618" s="55" t="n">
        <v>2.5</v>
      </c>
      <c r="F1618" s="55"/>
      <c r="G1618" s="66" t="s">
        <v>1122</v>
      </c>
      <c r="H1618" s="55" t="s">
        <v>140</v>
      </c>
    </row>
    <row r="1619" customFormat="false" ht="15" hidden="false" customHeight="false" outlineLevel="0" collapsed="false">
      <c r="A1619" s="55" t="s">
        <v>1465</v>
      </c>
      <c r="B1619" s="55" t="s">
        <v>1241</v>
      </c>
      <c r="C1619" s="55" t="n">
        <v>14</v>
      </c>
      <c r="D1619" s="66" t="s">
        <v>3417</v>
      </c>
      <c r="E1619" s="55" t="n">
        <v>0.4</v>
      </c>
      <c r="F1619" s="55"/>
      <c r="G1619" s="66" t="s">
        <v>1122</v>
      </c>
      <c r="H1619" s="55" t="s">
        <v>140</v>
      </c>
    </row>
    <row r="1620" customFormat="false" ht="15" hidden="false" customHeight="false" outlineLevel="0" collapsed="false">
      <c r="A1620" s="55" t="s">
        <v>1465</v>
      </c>
      <c r="B1620" s="55" t="s">
        <v>1243</v>
      </c>
      <c r="C1620" s="55" t="n">
        <v>14</v>
      </c>
      <c r="D1620" s="66" t="s">
        <v>558</v>
      </c>
      <c r="E1620" s="55" t="n">
        <v>0.15</v>
      </c>
      <c r="F1620" s="55"/>
      <c r="G1620" s="66" t="s">
        <v>1122</v>
      </c>
      <c r="H1620" s="55" t="s">
        <v>140</v>
      </c>
    </row>
    <row r="1621" customFormat="false" ht="15" hidden="false" customHeight="false" outlineLevel="0" collapsed="false">
      <c r="A1621" s="55" t="s">
        <v>1465</v>
      </c>
      <c r="B1621" s="55" t="s">
        <v>2488</v>
      </c>
      <c r="C1621" s="55" t="n">
        <v>14</v>
      </c>
      <c r="D1621" s="66" t="s">
        <v>3418</v>
      </c>
      <c r="E1621" s="55" t="n">
        <v>2</v>
      </c>
      <c r="F1621" s="55"/>
      <c r="G1621" s="66" t="s">
        <v>1122</v>
      </c>
      <c r="H1621" s="55" t="s">
        <v>343</v>
      </c>
    </row>
    <row r="1622" customFormat="false" ht="15" hidden="false" customHeight="false" outlineLevel="0" collapsed="false">
      <c r="A1622" s="19" t="s">
        <v>1465</v>
      </c>
      <c r="B1622" s="19" t="s">
        <v>1346</v>
      </c>
      <c r="C1622" s="19" t="n">
        <v>14</v>
      </c>
      <c r="D1622" s="19" t="s">
        <v>535</v>
      </c>
      <c r="E1622" s="19" t="n">
        <v>0.15</v>
      </c>
      <c r="F1622" s="17" t="s">
        <v>3419</v>
      </c>
      <c r="G1622" s="17" t="s">
        <v>1104</v>
      </c>
      <c r="H1622" s="17" t="s">
        <v>226</v>
      </c>
    </row>
    <row r="1623" customFormat="false" ht="15" hidden="false" customHeight="false" outlineLevel="0" collapsed="false">
      <c r="A1623" s="55" t="s">
        <v>1465</v>
      </c>
      <c r="B1623" s="55" t="s">
        <v>3030</v>
      </c>
      <c r="C1623" s="55" t="n">
        <v>14</v>
      </c>
      <c r="D1623" s="66" t="s">
        <v>538</v>
      </c>
      <c r="E1623" s="55" t="n">
        <v>800</v>
      </c>
      <c r="F1623" s="55"/>
      <c r="G1623" s="66" t="s">
        <v>1122</v>
      </c>
      <c r="H1623" s="55" t="s">
        <v>140</v>
      </c>
    </row>
    <row r="1624" customFormat="false" ht="15" hidden="false" customHeight="false" outlineLevel="0" collapsed="false">
      <c r="A1624" s="55" t="s">
        <v>1465</v>
      </c>
      <c r="B1624" s="55" t="s">
        <v>1329</v>
      </c>
      <c r="C1624" s="55" t="n">
        <v>14</v>
      </c>
      <c r="D1624" s="66" t="s">
        <v>546</v>
      </c>
      <c r="E1624" s="55" t="n">
        <v>4.5</v>
      </c>
      <c r="F1624" s="55"/>
      <c r="G1624" s="66" t="s">
        <v>1122</v>
      </c>
      <c r="H1624" s="55" t="s">
        <v>140</v>
      </c>
    </row>
    <row r="1625" customFormat="false" ht="15" hidden="false" customHeight="false" outlineLevel="0" collapsed="false">
      <c r="A1625" s="55" t="s">
        <v>1465</v>
      </c>
      <c r="B1625" s="55" t="s">
        <v>1186</v>
      </c>
      <c r="C1625" s="55" t="n">
        <v>14</v>
      </c>
      <c r="D1625" s="66" t="s">
        <v>3415</v>
      </c>
      <c r="E1625" s="55" t="n">
        <v>5.5</v>
      </c>
      <c r="F1625" s="55"/>
      <c r="G1625" s="66" t="s">
        <v>1122</v>
      </c>
      <c r="H1625" s="55" t="s">
        <v>140</v>
      </c>
    </row>
    <row r="1626" customFormat="false" ht="15" hidden="false" customHeight="false" outlineLevel="0" collapsed="false">
      <c r="A1626" s="55" t="s">
        <v>1465</v>
      </c>
      <c r="B1626" s="55" t="s">
        <v>1247</v>
      </c>
      <c r="C1626" s="55" t="n">
        <v>14</v>
      </c>
      <c r="D1626" s="66" t="s">
        <v>3416</v>
      </c>
      <c r="E1626" s="55" t="n">
        <v>3.2</v>
      </c>
      <c r="F1626" s="55"/>
      <c r="G1626" s="66" t="s">
        <v>1122</v>
      </c>
      <c r="H1626" s="55" t="s">
        <v>140</v>
      </c>
    </row>
    <row r="1627" customFormat="false" ht="15" hidden="false" customHeight="false" outlineLevel="0" collapsed="false">
      <c r="A1627" s="55" t="s">
        <v>1465</v>
      </c>
      <c r="B1627" s="55" t="s">
        <v>1249</v>
      </c>
      <c r="C1627" s="55" t="n">
        <v>14</v>
      </c>
      <c r="D1627" s="66" t="s">
        <v>3417</v>
      </c>
      <c r="E1627" s="55" t="n">
        <v>0.5</v>
      </c>
      <c r="F1627" s="55"/>
      <c r="G1627" s="66" t="s">
        <v>1122</v>
      </c>
      <c r="H1627" s="55" t="s">
        <v>140</v>
      </c>
    </row>
    <row r="1628" customFormat="false" ht="15" hidden="false" customHeight="false" outlineLevel="0" collapsed="false">
      <c r="A1628" s="55" t="s">
        <v>1465</v>
      </c>
      <c r="B1628" s="55" t="s">
        <v>1251</v>
      </c>
      <c r="C1628" s="55" t="n">
        <v>14</v>
      </c>
      <c r="D1628" s="66" t="s">
        <v>558</v>
      </c>
      <c r="E1628" s="55" t="n">
        <v>0.18</v>
      </c>
      <c r="F1628" s="55"/>
      <c r="G1628" s="66" t="s">
        <v>1122</v>
      </c>
      <c r="H1628" s="55" t="s">
        <v>140</v>
      </c>
    </row>
    <row r="1629" customFormat="false" ht="15" hidden="false" customHeight="false" outlineLevel="0" collapsed="false">
      <c r="A1629" s="19" t="s">
        <v>2615</v>
      </c>
      <c r="B1629" s="19" t="s">
        <v>1216</v>
      </c>
      <c r="C1629" s="19" t="n">
        <v>14</v>
      </c>
      <c r="D1629" s="17" t="s">
        <v>788</v>
      </c>
      <c r="E1629" s="19" t="n">
        <v>8</v>
      </c>
      <c r="F1629" s="17" t="s">
        <v>3420</v>
      </c>
      <c r="G1629" s="17" t="s">
        <v>1104</v>
      </c>
      <c r="H1629" s="19"/>
    </row>
    <row r="1630" customFormat="false" ht="15" hidden="false" customHeight="false" outlineLevel="0" collapsed="false">
      <c r="A1630" s="19" t="s">
        <v>2615</v>
      </c>
      <c r="B1630" s="19" t="s">
        <v>2057</v>
      </c>
      <c r="C1630" s="19" t="n">
        <v>14</v>
      </c>
      <c r="D1630" s="19" t="s">
        <v>3226</v>
      </c>
      <c r="E1630" s="19" t="n">
        <v>0.149924204143507</v>
      </c>
      <c r="F1630" s="17" t="s">
        <v>3421</v>
      </c>
      <c r="G1630" s="17" t="s">
        <v>1104</v>
      </c>
      <c r="H1630" s="19"/>
    </row>
    <row r="1631" customFormat="false" ht="15" hidden="false" customHeight="false" outlineLevel="0" collapsed="false">
      <c r="A1631" s="19" t="s">
        <v>2615</v>
      </c>
      <c r="B1631" s="19" t="s">
        <v>3228</v>
      </c>
      <c r="C1631" s="19" t="n">
        <v>14</v>
      </c>
      <c r="D1631" s="19" t="s">
        <v>3229</v>
      </c>
      <c r="E1631" s="19" t="n">
        <v>0.0594207057137329</v>
      </c>
      <c r="F1631" s="17" t="s">
        <v>3422</v>
      </c>
      <c r="G1631" s="17" t="s">
        <v>1104</v>
      </c>
      <c r="H1631" s="19"/>
    </row>
    <row r="1632" customFormat="false" ht="15" hidden="false" customHeight="false" outlineLevel="0" collapsed="false">
      <c r="A1632" s="19" t="s">
        <v>2615</v>
      </c>
      <c r="B1632" s="19" t="s">
        <v>3231</v>
      </c>
      <c r="C1632" s="19" t="n">
        <v>14</v>
      </c>
      <c r="D1632" s="17" t="s">
        <v>882</v>
      </c>
      <c r="E1632" s="19" t="n">
        <v>14.0366950476431</v>
      </c>
      <c r="F1632" s="17" t="s">
        <v>3423</v>
      </c>
      <c r="G1632" s="17" t="s">
        <v>1104</v>
      </c>
      <c r="H1632" s="19"/>
    </row>
    <row r="1633" customFormat="false" ht="15" hidden="false" customHeight="false" outlineLevel="0" collapsed="false">
      <c r="A1633" s="19" t="s">
        <v>2615</v>
      </c>
      <c r="B1633" s="19" t="s">
        <v>3424</v>
      </c>
      <c r="C1633" s="19" t="n">
        <v>14</v>
      </c>
      <c r="D1633" s="17" t="s">
        <v>3425</v>
      </c>
      <c r="E1633" s="19" t="n">
        <v>0.0103742771855011</v>
      </c>
      <c r="F1633" s="17" t="s">
        <v>3426</v>
      </c>
      <c r="G1633" s="17" t="s">
        <v>1104</v>
      </c>
      <c r="H1633" s="19"/>
    </row>
    <row r="1634" customFormat="false" ht="15" hidden="false" customHeight="false" outlineLevel="0" collapsed="false">
      <c r="A1634" s="19" t="s">
        <v>2615</v>
      </c>
      <c r="B1634" s="19" t="s">
        <v>3427</v>
      </c>
      <c r="C1634" s="19" t="n">
        <v>14</v>
      </c>
      <c r="D1634" s="17" t="s">
        <v>3428</v>
      </c>
      <c r="E1634" s="19" t="n">
        <v>0.3566592</v>
      </c>
      <c r="F1634" s="17" t="s">
        <v>3429</v>
      </c>
      <c r="G1634" s="17" t="s">
        <v>1104</v>
      </c>
      <c r="H1634" s="19"/>
    </row>
    <row r="1635" customFormat="false" ht="15" hidden="false" customHeight="false" outlineLevel="0" collapsed="false">
      <c r="A1635" s="19" t="s">
        <v>2615</v>
      </c>
      <c r="B1635" s="19" t="s">
        <v>3233</v>
      </c>
      <c r="C1635" s="19" t="n">
        <v>14</v>
      </c>
      <c r="D1635" s="17" t="s">
        <v>3234</v>
      </c>
      <c r="E1635" s="19" t="n">
        <v>1.82441257643477</v>
      </c>
      <c r="F1635" s="17" t="s">
        <v>3430</v>
      </c>
      <c r="G1635" s="17" t="s">
        <v>1104</v>
      </c>
      <c r="H1635" s="19"/>
    </row>
    <row r="1636" customFormat="false" ht="15" hidden="false" customHeight="false" outlineLevel="0" collapsed="false">
      <c r="A1636" s="19" t="s">
        <v>2615</v>
      </c>
      <c r="B1636" s="19" t="s">
        <v>3431</v>
      </c>
      <c r="C1636" s="19" t="n">
        <v>14</v>
      </c>
      <c r="D1636" s="19" t="s">
        <v>900</v>
      </c>
      <c r="E1636" s="19" t="n">
        <v>2558.19965159029</v>
      </c>
      <c r="F1636" s="17" t="s">
        <v>3432</v>
      </c>
      <c r="G1636" s="17" t="s">
        <v>1104</v>
      </c>
      <c r="H1636" s="19"/>
    </row>
    <row r="1637" customFormat="false" ht="15" hidden="false" customHeight="false" outlineLevel="0" collapsed="false">
      <c r="A1637" s="19" t="s">
        <v>2615</v>
      </c>
      <c r="B1637" s="19" t="s">
        <v>3236</v>
      </c>
      <c r="C1637" s="19" t="n">
        <v>14</v>
      </c>
      <c r="D1637" s="17" t="s">
        <v>903</v>
      </c>
      <c r="E1637" s="19" t="n">
        <v>8.77582932892952</v>
      </c>
      <c r="F1637" s="17" t="s">
        <v>3433</v>
      </c>
      <c r="G1637" s="17" t="s">
        <v>1104</v>
      </c>
      <c r="H1637" s="19"/>
    </row>
    <row r="1638" customFormat="false" ht="15" hidden="false" customHeight="false" outlineLevel="0" collapsed="false">
      <c r="A1638" s="19" t="s">
        <v>2615</v>
      </c>
      <c r="B1638" s="19" t="s">
        <v>1235</v>
      </c>
      <c r="C1638" s="19" t="n">
        <v>14</v>
      </c>
      <c r="D1638" s="17" t="s">
        <v>788</v>
      </c>
      <c r="E1638" s="19" t="n">
        <v>8</v>
      </c>
      <c r="F1638" s="17" t="s">
        <v>3434</v>
      </c>
      <c r="G1638" s="17" t="s">
        <v>1104</v>
      </c>
      <c r="H1638" s="19"/>
    </row>
    <row r="1639" customFormat="false" ht="15" hidden="false" customHeight="false" outlineLevel="0" collapsed="false">
      <c r="A1639" s="19" t="s">
        <v>2615</v>
      </c>
      <c r="B1639" s="19" t="s">
        <v>2077</v>
      </c>
      <c r="C1639" s="19" t="n">
        <v>14</v>
      </c>
      <c r="D1639" s="19" t="s">
        <v>3226</v>
      </c>
      <c r="E1639" s="19" t="n">
        <v>0.149924204143507</v>
      </c>
      <c r="F1639" s="17" t="s">
        <v>3435</v>
      </c>
      <c r="G1639" s="17" t="s">
        <v>1104</v>
      </c>
      <c r="H1639" s="19"/>
    </row>
    <row r="1640" customFormat="false" ht="15" hidden="false" customHeight="false" outlineLevel="0" collapsed="false">
      <c r="A1640" s="19" t="s">
        <v>2615</v>
      </c>
      <c r="B1640" s="19" t="s">
        <v>3239</v>
      </c>
      <c r="C1640" s="19" t="n">
        <v>14</v>
      </c>
      <c r="D1640" s="19" t="s">
        <v>3229</v>
      </c>
      <c r="E1640" s="19" t="n">
        <v>0.412473782000612</v>
      </c>
      <c r="F1640" s="17" t="s">
        <v>3436</v>
      </c>
      <c r="G1640" s="17" t="s">
        <v>1104</v>
      </c>
      <c r="H1640" s="19"/>
    </row>
    <row r="1641" customFormat="false" ht="15" hidden="false" customHeight="false" outlineLevel="0" collapsed="false">
      <c r="A1641" s="19" t="s">
        <v>2615</v>
      </c>
      <c r="B1641" s="19" t="s">
        <v>3241</v>
      </c>
      <c r="C1641" s="19" t="n">
        <v>14</v>
      </c>
      <c r="D1641" s="17" t="s">
        <v>882</v>
      </c>
      <c r="E1641" s="19" t="n">
        <v>25.8684338372861</v>
      </c>
      <c r="F1641" s="17" t="s">
        <v>3437</v>
      </c>
      <c r="G1641" s="17" t="s">
        <v>1104</v>
      </c>
      <c r="H1641" s="19"/>
    </row>
    <row r="1642" customFormat="false" ht="15" hidden="false" customHeight="false" outlineLevel="0" collapsed="false">
      <c r="A1642" s="19" t="s">
        <v>2615</v>
      </c>
      <c r="B1642" s="19" t="s">
        <v>3438</v>
      </c>
      <c r="C1642" s="19" t="n">
        <v>14</v>
      </c>
      <c r="D1642" s="17" t="s">
        <v>3425</v>
      </c>
      <c r="E1642" s="19" t="n">
        <v>0.0294339957356077</v>
      </c>
      <c r="F1642" s="17" t="s">
        <v>3439</v>
      </c>
      <c r="G1642" s="17" t="s">
        <v>1104</v>
      </c>
      <c r="H1642" s="19"/>
    </row>
    <row r="1643" customFormat="false" ht="15" hidden="false" customHeight="false" outlineLevel="0" collapsed="false">
      <c r="A1643" s="19" t="s">
        <v>2615</v>
      </c>
      <c r="B1643" s="19" t="s">
        <v>3440</v>
      </c>
      <c r="C1643" s="19" t="n">
        <v>14</v>
      </c>
      <c r="D1643" s="17" t="s">
        <v>3428</v>
      </c>
      <c r="E1643" s="19" t="n">
        <v>0.8854272</v>
      </c>
      <c r="F1643" s="17" t="s">
        <v>3441</v>
      </c>
      <c r="G1643" s="17" t="s">
        <v>1104</v>
      </c>
      <c r="H1643" s="19"/>
    </row>
    <row r="1644" customFormat="false" ht="15" hidden="false" customHeight="false" outlineLevel="0" collapsed="false">
      <c r="A1644" s="19" t="s">
        <v>2615</v>
      </c>
      <c r="B1644" s="19" t="s">
        <v>3243</v>
      </c>
      <c r="C1644" s="19" t="n">
        <v>14</v>
      </c>
      <c r="D1644" s="17" t="s">
        <v>3234</v>
      </c>
      <c r="E1644" s="19" t="n">
        <v>6.28312690392727</v>
      </c>
      <c r="F1644" s="17" t="s">
        <v>3442</v>
      </c>
      <c r="G1644" s="17" t="s">
        <v>1104</v>
      </c>
      <c r="H1644" s="19"/>
    </row>
    <row r="1645" customFormat="false" ht="15" hidden="false" customHeight="false" outlineLevel="0" collapsed="false">
      <c r="A1645" s="19" t="s">
        <v>2615</v>
      </c>
      <c r="B1645" s="19" t="s">
        <v>3443</v>
      </c>
      <c r="C1645" s="19" t="n">
        <v>14</v>
      </c>
      <c r="D1645" s="19" t="s">
        <v>900</v>
      </c>
      <c r="E1645" s="19" t="n">
        <v>538.633530942984</v>
      </c>
      <c r="F1645" s="17" t="s">
        <v>3444</v>
      </c>
      <c r="G1645" s="17" t="s">
        <v>1104</v>
      </c>
      <c r="H1645" s="19"/>
    </row>
    <row r="1646" customFormat="false" ht="15" hidden="false" customHeight="false" outlineLevel="0" collapsed="false">
      <c r="A1646" s="19" t="s">
        <v>2615</v>
      </c>
      <c r="B1646" s="19" t="s">
        <v>3245</v>
      </c>
      <c r="C1646" s="19" t="n">
        <v>14</v>
      </c>
      <c r="D1646" s="17" t="s">
        <v>903</v>
      </c>
      <c r="E1646" s="19" t="n">
        <v>5.19083279341793</v>
      </c>
      <c r="F1646" s="17" t="s">
        <v>3445</v>
      </c>
      <c r="G1646" s="17" t="s">
        <v>1104</v>
      </c>
      <c r="H1646" s="19"/>
    </row>
    <row r="1647" customFormat="false" ht="15" hidden="false" customHeight="false" outlineLevel="0" collapsed="false">
      <c r="A1647" s="19" t="s">
        <v>2615</v>
      </c>
      <c r="B1647" s="19" t="s">
        <v>1243</v>
      </c>
      <c r="C1647" s="19" t="n">
        <v>14</v>
      </c>
      <c r="D1647" s="17" t="s">
        <v>788</v>
      </c>
      <c r="E1647" s="19" t="n">
        <v>8</v>
      </c>
      <c r="F1647" s="17" t="s">
        <v>3446</v>
      </c>
      <c r="G1647" s="17" t="s">
        <v>1104</v>
      </c>
      <c r="H1647" s="19"/>
    </row>
    <row r="1648" customFormat="false" ht="15" hidden="false" customHeight="false" outlineLevel="0" collapsed="false">
      <c r="A1648" s="19" t="s">
        <v>2615</v>
      </c>
      <c r="B1648" s="19" t="s">
        <v>2097</v>
      </c>
      <c r="C1648" s="19" t="n">
        <v>14</v>
      </c>
      <c r="D1648" s="19" t="s">
        <v>3226</v>
      </c>
      <c r="E1648" s="19" t="n">
        <v>0.149924204143507</v>
      </c>
      <c r="F1648" s="17" t="s">
        <v>3447</v>
      </c>
      <c r="G1648" s="17" t="s">
        <v>1104</v>
      </c>
      <c r="H1648" s="19"/>
    </row>
    <row r="1649" customFormat="false" ht="15" hidden="false" customHeight="false" outlineLevel="0" collapsed="false">
      <c r="A1649" s="19" t="s">
        <v>2615</v>
      </c>
      <c r="B1649" s="19" t="s">
        <v>3248</v>
      </c>
      <c r="C1649" s="19" t="n">
        <v>14</v>
      </c>
      <c r="D1649" s="19" t="s">
        <v>3229</v>
      </c>
      <c r="E1649" s="19" t="n">
        <v>2.73672419868473</v>
      </c>
      <c r="F1649" s="17" t="s">
        <v>3448</v>
      </c>
      <c r="G1649" s="17" t="s">
        <v>1104</v>
      </c>
      <c r="H1649" s="19"/>
    </row>
    <row r="1650" customFormat="false" ht="15" hidden="false" customHeight="false" outlineLevel="0" collapsed="false">
      <c r="A1650" s="19" t="s">
        <v>2615</v>
      </c>
      <c r="B1650" s="19" t="s">
        <v>3250</v>
      </c>
      <c r="C1650" s="19" t="n">
        <v>14</v>
      </c>
      <c r="D1650" s="17" t="s">
        <v>882</v>
      </c>
      <c r="E1650" s="19" t="n">
        <v>37.1115090691772</v>
      </c>
      <c r="F1650" s="17" t="s">
        <v>3449</v>
      </c>
      <c r="G1650" s="17" t="s">
        <v>1104</v>
      </c>
      <c r="H1650" s="19"/>
    </row>
    <row r="1651" customFormat="false" ht="15" hidden="false" customHeight="false" outlineLevel="0" collapsed="false">
      <c r="A1651" s="19" t="s">
        <v>2615</v>
      </c>
      <c r="B1651" s="19" t="s">
        <v>3450</v>
      </c>
      <c r="C1651" s="19" t="n">
        <v>14</v>
      </c>
      <c r="D1651" s="17" t="s">
        <v>3425</v>
      </c>
      <c r="E1651" s="19" t="n">
        <v>0.855181918976546</v>
      </c>
      <c r="F1651" s="17" t="s">
        <v>3451</v>
      </c>
      <c r="G1651" s="17" t="s">
        <v>1104</v>
      </c>
      <c r="H1651" s="19"/>
    </row>
    <row r="1652" customFormat="false" ht="15" hidden="false" customHeight="false" outlineLevel="0" collapsed="false">
      <c r="A1652" s="19" t="s">
        <v>2615</v>
      </c>
      <c r="B1652" s="19" t="s">
        <v>3452</v>
      </c>
      <c r="C1652" s="19" t="n">
        <v>14</v>
      </c>
      <c r="D1652" s="17" t="s">
        <v>3428</v>
      </c>
      <c r="E1652" s="19" t="n">
        <v>6.69199900621118</v>
      </c>
      <c r="F1652" s="17" t="s">
        <v>3453</v>
      </c>
      <c r="G1652" s="17" t="s">
        <v>1104</v>
      </c>
      <c r="H1652" s="19"/>
    </row>
    <row r="1653" customFormat="false" ht="15" hidden="false" customHeight="false" outlineLevel="0" collapsed="false">
      <c r="A1653" s="19" t="s">
        <v>2615</v>
      </c>
      <c r="B1653" s="19" t="s">
        <v>3252</v>
      </c>
      <c r="C1653" s="19" t="n">
        <v>14</v>
      </c>
      <c r="D1653" s="17" t="s">
        <v>3234</v>
      </c>
      <c r="E1653" s="19" t="n">
        <v>25.0204222399711</v>
      </c>
      <c r="F1653" s="17" t="s">
        <v>3454</v>
      </c>
      <c r="G1653" s="17" t="s">
        <v>1104</v>
      </c>
      <c r="H1653" s="19"/>
    </row>
    <row r="1654" customFormat="false" ht="15" hidden="false" customHeight="false" outlineLevel="0" collapsed="false">
      <c r="A1654" s="19" t="s">
        <v>2615</v>
      </c>
      <c r="B1654" s="19" t="s">
        <v>3455</v>
      </c>
      <c r="C1654" s="19" t="n">
        <v>14</v>
      </c>
      <c r="D1654" s="19" t="s">
        <v>900</v>
      </c>
      <c r="E1654" s="19" t="n">
        <v>15.5090860617669</v>
      </c>
      <c r="F1654" s="17" t="s">
        <v>3456</v>
      </c>
      <c r="G1654" s="17" t="s">
        <v>1104</v>
      </c>
      <c r="H1654" s="19"/>
    </row>
    <row r="1655" customFormat="false" ht="15" hidden="false" customHeight="false" outlineLevel="0" collapsed="false">
      <c r="A1655" s="19" t="s">
        <v>2615</v>
      </c>
      <c r="B1655" s="19" t="s">
        <v>3254</v>
      </c>
      <c r="C1655" s="19" t="n">
        <v>14</v>
      </c>
      <c r="D1655" s="17" t="s">
        <v>903</v>
      </c>
      <c r="E1655" s="19" t="n">
        <v>0.996151902088559</v>
      </c>
      <c r="F1655" s="17" t="s">
        <v>3457</v>
      </c>
      <c r="G1655" s="17" t="s">
        <v>1104</v>
      </c>
      <c r="H1655" s="19"/>
    </row>
    <row r="1656" customFormat="false" ht="15" hidden="false" customHeight="false" outlineLevel="0" collapsed="false">
      <c r="A1656" s="19" t="s">
        <v>2615</v>
      </c>
      <c r="B1656" s="19" t="s">
        <v>1251</v>
      </c>
      <c r="C1656" s="19" t="n">
        <v>14</v>
      </c>
      <c r="D1656" s="17" t="s">
        <v>788</v>
      </c>
      <c r="E1656" s="19" t="n">
        <v>4</v>
      </c>
      <c r="F1656" s="17" t="s">
        <v>3458</v>
      </c>
      <c r="G1656" s="17" t="s">
        <v>1104</v>
      </c>
      <c r="H1656" s="19"/>
    </row>
    <row r="1657" customFormat="false" ht="15" hidden="false" customHeight="false" outlineLevel="0" collapsed="false">
      <c r="A1657" s="19" t="s">
        <v>2615</v>
      </c>
      <c r="B1657" s="19" t="s">
        <v>2116</v>
      </c>
      <c r="C1657" s="19" t="n">
        <v>14</v>
      </c>
      <c r="D1657" s="19" t="s">
        <v>3226</v>
      </c>
      <c r="E1657" s="19" t="n">
        <v>0.3</v>
      </c>
      <c r="F1657" s="17" t="s">
        <v>3459</v>
      </c>
      <c r="G1657" s="17" t="s">
        <v>1104</v>
      </c>
      <c r="H1657" s="19"/>
    </row>
    <row r="1658" customFormat="false" ht="15" hidden="false" customHeight="false" outlineLevel="0" collapsed="false">
      <c r="A1658" s="19" t="s">
        <v>2615</v>
      </c>
      <c r="B1658" s="19" t="s">
        <v>3257</v>
      </c>
      <c r="C1658" s="19" t="n">
        <v>14</v>
      </c>
      <c r="D1658" s="19" t="s">
        <v>3229</v>
      </c>
      <c r="E1658" s="19" t="n">
        <v>0.0117534155901764</v>
      </c>
      <c r="F1658" s="17" t="s">
        <v>3460</v>
      </c>
      <c r="G1658" s="17" t="s">
        <v>1104</v>
      </c>
      <c r="H1658" s="19"/>
    </row>
    <row r="1659" customFormat="false" ht="15" hidden="false" customHeight="false" outlineLevel="0" collapsed="false">
      <c r="A1659" s="19" t="s">
        <v>2615</v>
      </c>
      <c r="B1659" s="19" t="s">
        <v>3259</v>
      </c>
      <c r="C1659" s="19" t="n">
        <v>14</v>
      </c>
      <c r="D1659" s="17" t="s">
        <v>882</v>
      </c>
      <c r="E1659" s="19" t="n">
        <v>8.70315739008759</v>
      </c>
      <c r="F1659" s="17" t="s">
        <v>3461</v>
      </c>
      <c r="G1659" s="17" t="s">
        <v>1104</v>
      </c>
      <c r="H1659" s="19"/>
    </row>
    <row r="1660" customFormat="false" ht="15" hidden="false" customHeight="false" outlineLevel="0" collapsed="false">
      <c r="A1660" s="19" t="s">
        <v>2615</v>
      </c>
      <c r="B1660" s="19" t="s">
        <v>3462</v>
      </c>
      <c r="C1660" s="19" t="n">
        <v>14</v>
      </c>
      <c r="D1660" s="17" t="s">
        <v>3425</v>
      </c>
      <c r="E1660" s="19" t="n">
        <v>0.00434422857142857</v>
      </c>
      <c r="F1660" s="17" t="s">
        <v>3463</v>
      </c>
      <c r="G1660" s="17" t="s">
        <v>1104</v>
      </c>
      <c r="H1660" s="19"/>
    </row>
    <row r="1661" customFormat="false" ht="15" hidden="false" customHeight="false" outlineLevel="0" collapsed="false">
      <c r="A1661" s="19" t="s">
        <v>2615</v>
      </c>
      <c r="B1661" s="19" t="s">
        <v>3464</v>
      </c>
      <c r="C1661" s="19" t="n">
        <v>14</v>
      </c>
      <c r="D1661" s="17" t="s">
        <v>3428</v>
      </c>
      <c r="E1661" s="19" t="n">
        <v>0.0194998857142857</v>
      </c>
      <c r="F1661" s="17" t="s">
        <v>3465</v>
      </c>
      <c r="G1661" s="17" t="s">
        <v>1104</v>
      </c>
      <c r="H1661" s="19"/>
    </row>
    <row r="1662" customFormat="false" ht="15" hidden="false" customHeight="false" outlineLevel="0" collapsed="false">
      <c r="A1662" s="19" t="s">
        <v>2615</v>
      </c>
      <c r="B1662" s="19" t="s">
        <v>3261</v>
      </c>
      <c r="C1662" s="19" t="n">
        <v>14</v>
      </c>
      <c r="D1662" s="17" t="s">
        <v>3234</v>
      </c>
      <c r="E1662" s="19" t="n">
        <v>0.376749129262374</v>
      </c>
      <c r="F1662" s="17" t="s">
        <v>3466</v>
      </c>
      <c r="G1662" s="17" t="s">
        <v>1104</v>
      </c>
      <c r="H1662" s="19"/>
    </row>
    <row r="1663" customFormat="false" ht="15" hidden="false" customHeight="false" outlineLevel="0" collapsed="false">
      <c r="A1663" s="19" t="s">
        <v>2615</v>
      </c>
      <c r="B1663" s="19" t="s">
        <v>3467</v>
      </c>
      <c r="C1663" s="19" t="n">
        <v>14</v>
      </c>
      <c r="D1663" s="19" t="s">
        <v>900</v>
      </c>
      <c r="E1663" s="19" t="n">
        <v>6457.29248791911</v>
      </c>
      <c r="F1663" s="17" t="s">
        <v>3468</v>
      </c>
      <c r="G1663" s="17" t="s">
        <v>1104</v>
      </c>
      <c r="H1663" s="19"/>
    </row>
    <row r="1664" customFormat="false" ht="15" hidden="false" customHeight="false" outlineLevel="0" collapsed="false">
      <c r="A1664" s="19" t="s">
        <v>2615</v>
      </c>
      <c r="B1664" s="19" t="s">
        <v>3263</v>
      </c>
      <c r="C1664" s="19" t="n">
        <v>14</v>
      </c>
      <c r="D1664" s="17" t="s">
        <v>903</v>
      </c>
      <c r="E1664" s="19" t="n">
        <v>56.6538032767028</v>
      </c>
      <c r="F1664" s="17" t="s">
        <v>3469</v>
      </c>
      <c r="G1664" s="17" t="s">
        <v>1104</v>
      </c>
      <c r="H1664" s="19"/>
    </row>
    <row r="1665" customFormat="false" ht="15" hidden="false" customHeight="false" outlineLevel="0" collapsed="false">
      <c r="A1665" s="19" t="s">
        <v>2615</v>
      </c>
      <c r="B1665" s="19" t="s">
        <v>1488</v>
      </c>
      <c r="C1665" s="19" t="n">
        <v>14</v>
      </c>
      <c r="D1665" s="17" t="s">
        <v>788</v>
      </c>
      <c r="E1665" s="19" t="n">
        <v>4</v>
      </c>
      <c r="F1665" s="17" t="s">
        <v>3470</v>
      </c>
      <c r="G1665" s="17" t="s">
        <v>1104</v>
      </c>
      <c r="H1665" s="19"/>
    </row>
    <row r="1666" customFormat="false" ht="15" hidden="false" customHeight="false" outlineLevel="0" collapsed="false">
      <c r="A1666" s="19" t="s">
        <v>2615</v>
      </c>
      <c r="B1666" s="19" t="s">
        <v>2139</v>
      </c>
      <c r="C1666" s="19" t="n">
        <v>14</v>
      </c>
      <c r="D1666" s="19" t="s">
        <v>3226</v>
      </c>
      <c r="E1666" s="19" t="n">
        <v>0.3</v>
      </c>
      <c r="F1666" s="17" t="s">
        <v>3471</v>
      </c>
      <c r="G1666" s="17" t="s">
        <v>1104</v>
      </c>
      <c r="H1666" s="19"/>
    </row>
    <row r="1667" customFormat="false" ht="15" hidden="false" customHeight="false" outlineLevel="0" collapsed="false">
      <c r="A1667" s="19" t="s">
        <v>2615</v>
      </c>
      <c r="B1667" s="19" t="s">
        <v>3266</v>
      </c>
      <c r="C1667" s="19" t="n">
        <v>14</v>
      </c>
      <c r="D1667" s="19" t="s">
        <v>3229</v>
      </c>
      <c r="E1667" s="19" t="n">
        <v>0.0815873140797211</v>
      </c>
      <c r="F1667" s="17" t="s">
        <v>3472</v>
      </c>
      <c r="G1667" s="17" t="s">
        <v>1104</v>
      </c>
      <c r="H1667" s="19"/>
    </row>
    <row r="1668" customFormat="false" ht="15" hidden="false" customHeight="false" outlineLevel="0" collapsed="false">
      <c r="A1668" s="19" t="s">
        <v>2615</v>
      </c>
      <c r="B1668" s="19" t="s">
        <v>3268</v>
      </c>
      <c r="C1668" s="19" t="n">
        <v>14</v>
      </c>
      <c r="D1668" s="17" t="s">
        <v>882</v>
      </c>
      <c r="E1668" s="19" t="n">
        <v>16.3216531987164</v>
      </c>
      <c r="F1668" s="17" t="s">
        <v>3473</v>
      </c>
      <c r="G1668" s="17" t="s">
        <v>1104</v>
      </c>
      <c r="H1668" s="19"/>
    </row>
    <row r="1669" customFormat="false" ht="15" hidden="false" customHeight="false" outlineLevel="0" collapsed="false">
      <c r="A1669" s="19" t="s">
        <v>2615</v>
      </c>
      <c r="B1669" s="19" t="s">
        <v>3474</v>
      </c>
      <c r="C1669" s="19" t="n">
        <v>14</v>
      </c>
      <c r="D1669" s="17" t="s">
        <v>3425</v>
      </c>
      <c r="E1669" s="19" t="n">
        <v>0.0123254857142857</v>
      </c>
      <c r="F1669" s="17" t="s">
        <v>3475</v>
      </c>
      <c r="G1669" s="17" t="s">
        <v>1104</v>
      </c>
      <c r="H1669" s="19"/>
    </row>
    <row r="1670" customFormat="false" ht="15" hidden="false" customHeight="false" outlineLevel="0" collapsed="false">
      <c r="A1670" s="19" t="s">
        <v>2615</v>
      </c>
      <c r="B1670" s="19" t="s">
        <v>3476</v>
      </c>
      <c r="C1670" s="19" t="n">
        <v>14</v>
      </c>
      <c r="D1670" s="17" t="s">
        <v>3428</v>
      </c>
      <c r="E1670" s="19" t="n">
        <v>0.0484096</v>
      </c>
      <c r="F1670" s="17" t="s">
        <v>3477</v>
      </c>
      <c r="G1670" s="17" t="s">
        <v>1104</v>
      </c>
      <c r="H1670" s="19"/>
    </row>
    <row r="1671" customFormat="false" ht="15" hidden="false" customHeight="false" outlineLevel="0" collapsed="false">
      <c r="A1671" s="19" t="s">
        <v>2615</v>
      </c>
      <c r="B1671" s="19" t="s">
        <v>3270</v>
      </c>
      <c r="C1671" s="19" t="n">
        <v>14</v>
      </c>
      <c r="D1671" s="17" t="s">
        <v>3234</v>
      </c>
      <c r="E1671" s="19" t="n">
        <v>1.29749302360404</v>
      </c>
      <c r="F1671" s="17" t="s">
        <v>3478</v>
      </c>
      <c r="G1671" s="17" t="s">
        <v>1104</v>
      </c>
      <c r="H1671" s="19"/>
    </row>
    <row r="1672" customFormat="false" ht="15" hidden="false" customHeight="false" outlineLevel="0" collapsed="false">
      <c r="A1672" s="19" t="s">
        <v>2615</v>
      </c>
      <c r="B1672" s="19" t="s">
        <v>3479</v>
      </c>
      <c r="C1672" s="19" t="n">
        <v>14</v>
      </c>
      <c r="D1672" s="19" t="s">
        <v>900</v>
      </c>
      <c r="E1672" s="19" t="n">
        <v>1729.19391665125</v>
      </c>
      <c r="F1672" s="17" t="s">
        <v>3480</v>
      </c>
      <c r="G1672" s="17" t="s">
        <v>1104</v>
      </c>
      <c r="H1672" s="19"/>
    </row>
    <row r="1673" customFormat="false" ht="15" hidden="false" customHeight="false" outlineLevel="0" collapsed="false">
      <c r="A1673" s="19" t="s">
        <v>2615</v>
      </c>
      <c r="B1673" s="19" t="s">
        <v>3272</v>
      </c>
      <c r="C1673" s="19" t="n">
        <v>14</v>
      </c>
      <c r="D1673" s="17" t="s">
        <v>903</v>
      </c>
      <c r="E1673" s="19" t="n">
        <v>32.4945422053755</v>
      </c>
      <c r="F1673" s="17" t="s">
        <v>3481</v>
      </c>
      <c r="G1673" s="17" t="s">
        <v>1104</v>
      </c>
      <c r="H1673" s="19"/>
    </row>
    <row r="1674" customFormat="false" ht="15" hidden="false" customHeight="false" outlineLevel="0" collapsed="false">
      <c r="A1674" s="19" t="s">
        <v>2615</v>
      </c>
      <c r="B1674" s="19" t="s">
        <v>1494</v>
      </c>
      <c r="C1674" s="19" t="n">
        <v>14</v>
      </c>
      <c r="D1674" s="17" t="s">
        <v>788</v>
      </c>
      <c r="E1674" s="19" t="n">
        <v>4</v>
      </c>
      <c r="F1674" s="17" t="s">
        <v>3482</v>
      </c>
      <c r="G1674" s="17" t="s">
        <v>1104</v>
      </c>
      <c r="H1674" s="19"/>
    </row>
    <row r="1675" customFormat="false" ht="15" hidden="false" customHeight="false" outlineLevel="0" collapsed="false">
      <c r="A1675" s="19" t="s">
        <v>2615</v>
      </c>
      <c r="B1675" s="19" t="s">
        <v>2162</v>
      </c>
      <c r="C1675" s="19" t="n">
        <v>14</v>
      </c>
      <c r="D1675" s="19" t="s">
        <v>3226</v>
      </c>
      <c r="E1675" s="19" t="n">
        <v>0.3</v>
      </c>
      <c r="F1675" s="17" t="s">
        <v>3483</v>
      </c>
      <c r="G1675" s="17" t="s">
        <v>1104</v>
      </c>
      <c r="H1675" s="19"/>
    </row>
    <row r="1676" customFormat="false" ht="15" hidden="false" customHeight="false" outlineLevel="0" collapsed="false">
      <c r="A1676" s="19" t="s">
        <v>2615</v>
      </c>
      <c r="B1676" s="19" t="s">
        <v>3275</v>
      </c>
      <c r="C1676" s="19" t="n">
        <v>14</v>
      </c>
      <c r="D1676" s="19" t="s">
        <v>3229</v>
      </c>
      <c r="E1676" s="19" t="n">
        <v>0.54132404649984</v>
      </c>
      <c r="F1676" s="17" t="s">
        <v>3484</v>
      </c>
      <c r="G1676" s="17" t="s">
        <v>1104</v>
      </c>
      <c r="H1676" s="19"/>
    </row>
    <row r="1677" customFormat="false" ht="15" hidden="false" customHeight="false" outlineLevel="0" collapsed="false">
      <c r="A1677" s="19" t="s">
        <v>2615</v>
      </c>
      <c r="B1677" s="19" t="s">
        <v>3277</v>
      </c>
      <c r="C1677" s="19" t="n">
        <v>14</v>
      </c>
      <c r="D1677" s="17" t="s">
        <v>882</v>
      </c>
      <c r="E1677" s="19" t="n">
        <v>27.8397021231931</v>
      </c>
      <c r="F1677" s="17" t="s">
        <v>3485</v>
      </c>
      <c r="G1677" s="17" t="s">
        <v>1104</v>
      </c>
      <c r="H1677" s="19"/>
    </row>
    <row r="1678" customFormat="false" ht="15" hidden="false" customHeight="false" outlineLevel="0" collapsed="false">
      <c r="A1678" s="19" t="s">
        <v>2615</v>
      </c>
      <c r="B1678" s="19" t="s">
        <v>3486</v>
      </c>
      <c r="C1678" s="19" t="n">
        <v>14</v>
      </c>
      <c r="D1678" s="17" t="s">
        <v>3425</v>
      </c>
      <c r="E1678" s="19" t="n">
        <v>0.358107428571429</v>
      </c>
      <c r="F1678" s="17" t="s">
        <v>3487</v>
      </c>
      <c r="G1678" s="17" t="s">
        <v>1104</v>
      </c>
      <c r="H1678" s="19"/>
    </row>
    <row r="1679" customFormat="false" ht="15" hidden="false" customHeight="false" outlineLevel="0" collapsed="false">
      <c r="A1679" s="19" t="s">
        <v>2615</v>
      </c>
      <c r="B1679" s="19" t="s">
        <v>3488</v>
      </c>
      <c r="C1679" s="19" t="n">
        <v>14</v>
      </c>
      <c r="D1679" s="17" t="s">
        <v>3428</v>
      </c>
      <c r="E1679" s="19" t="n">
        <v>0.363476974789916</v>
      </c>
      <c r="F1679" s="17" t="s">
        <v>3489</v>
      </c>
      <c r="G1679" s="17" t="s">
        <v>1104</v>
      </c>
      <c r="H1679" s="19"/>
    </row>
    <row r="1680" customFormat="false" ht="15" hidden="false" customHeight="false" outlineLevel="0" collapsed="false">
      <c r="A1680" s="19" t="s">
        <v>2615</v>
      </c>
      <c r="B1680" s="19" t="s">
        <v>3279</v>
      </c>
      <c r="C1680" s="19" t="n">
        <v>14</v>
      </c>
      <c r="D1680" s="17" t="s">
        <v>3234</v>
      </c>
      <c r="E1680" s="19" t="n">
        <v>5.16682597699855</v>
      </c>
      <c r="F1680" s="17" t="s">
        <v>3490</v>
      </c>
      <c r="G1680" s="17" t="s">
        <v>1104</v>
      </c>
      <c r="H1680" s="19"/>
    </row>
    <row r="1681" customFormat="false" ht="15" hidden="false" customHeight="false" outlineLevel="0" collapsed="false">
      <c r="A1681" s="19" t="s">
        <v>2615</v>
      </c>
      <c r="B1681" s="19" t="s">
        <v>3491</v>
      </c>
      <c r="C1681" s="19" t="n">
        <v>14</v>
      </c>
      <c r="D1681" s="19" t="s">
        <v>900</v>
      </c>
      <c r="E1681" s="19" t="n">
        <v>38.6451779217801</v>
      </c>
      <c r="F1681" s="17" t="s">
        <v>3492</v>
      </c>
      <c r="G1681" s="17" t="s">
        <v>1104</v>
      </c>
      <c r="H1681" s="19"/>
    </row>
    <row r="1682" customFormat="false" ht="15" hidden="false" customHeight="false" outlineLevel="0" collapsed="false">
      <c r="A1682" s="19" t="s">
        <v>2615</v>
      </c>
      <c r="B1682" s="19" t="s">
        <v>3281</v>
      </c>
      <c r="C1682" s="19" t="n">
        <v>14</v>
      </c>
      <c r="D1682" s="17" t="s">
        <v>903</v>
      </c>
      <c r="E1682" s="19" t="n">
        <v>6.61836653752656</v>
      </c>
      <c r="F1682" s="17" t="s">
        <v>3493</v>
      </c>
      <c r="G1682" s="17" t="s">
        <v>1104</v>
      </c>
      <c r="H1682" s="19"/>
    </row>
    <row r="1683" customFormat="false" ht="15" hidden="false" customHeight="false" outlineLevel="0" collapsed="false">
      <c r="A1683" s="19" t="s">
        <v>2615</v>
      </c>
      <c r="B1683" s="19" t="s">
        <v>1500</v>
      </c>
      <c r="C1683" s="19" t="n">
        <v>14</v>
      </c>
      <c r="D1683" s="17" t="s">
        <v>788</v>
      </c>
      <c r="E1683" s="19" t="n">
        <v>4</v>
      </c>
      <c r="F1683" s="17" t="s">
        <v>3494</v>
      </c>
      <c r="G1683" s="17" t="s">
        <v>1104</v>
      </c>
      <c r="H1683" s="19"/>
    </row>
    <row r="1684" customFormat="false" ht="15" hidden="false" customHeight="false" outlineLevel="0" collapsed="false">
      <c r="A1684" s="19" t="s">
        <v>2615</v>
      </c>
      <c r="B1684" s="19" t="s">
        <v>2185</v>
      </c>
      <c r="C1684" s="19" t="n">
        <v>14</v>
      </c>
      <c r="D1684" s="19" t="s">
        <v>3226</v>
      </c>
      <c r="E1684" s="19" t="n">
        <v>0.3</v>
      </c>
      <c r="F1684" s="17" t="s">
        <v>3495</v>
      </c>
      <c r="G1684" s="17" t="s">
        <v>1104</v>
      </c>
      <c r="H1684" s="19"/>
    </row>
    <row r="1685" customFormat="false" ht="15" hidden="false" customHeight="false" outlineLevel="0" collapsed="false">
      <c r="A1685" s="19" t="s">
        <v>2615</v>
      </c>
      <c r="B1685" s="19" t="s">
        <v>3284</v>
      </c>
      <c r="C1685" s="19" t="n">
        <v>14</v>
      </c>
      <c r="D1685" s="19" t="s">
        <v>3229</v>
      </c>
      <c r="E1685" s="19" t="n">
        <v>0.00783561039345091</v>
      </c>
      <c r="F1685" s="17" t="s">
        <v>3496</v>
      </c>
      <c r="G1685" s="17" t="s">
        <v>1104</v>
      </c>
      <c r="H1685" s="19"/>
    </row>
    <row r="1686" customFormat="false" ht="15" hidden="false" customHeight="false" outlineLevel="0" collapsed="false">
      <c r="A1686" s="19" t="s">
        <v>2615</v>
      </c>
      <c r="B1686" s="19" t="s">
        <v>3286</v>
      </c>
      <c r="C1686" s="19" t="n">
        <v>14</v>
      </c>
      <c r="D1686" s="17" t="s">
        <v>882</v>
      </c>
      <c r="E1686" s="19" t="n">
        <v>8.70315739008759</v>
      </c>
      <c r="F1686" s="17" t="s">
        <v>3497</v>
      </c>
      <c r="G1686" s="17" t="s">
        <v>1104</v>
      </c>
      <c r="H1686" s="19"/>
    </row>
    <row r="1687" customFormat="false" ht="15" hidden="false" customHeight="false" outlineLevel="0" collapsed="false">
      <c r="A1687" s="19" t="s">
        <v>2615</v>
      </c>
      <c r="B1687" s="19" t="s">
        <v>3498</v>
      </c>
      <c r="C1687" s="19" t="n">
        <v>14</v>
      </c>
      <c r="D1687" s="17" t="s">
        <v>3425</v>
      </c>
      <c r="E1687" s="19" t="n">
        <v>0.00434422857142857</v>
      </c>
      <c r="F1687" s="17" t="s">
        <v>3499</v>
      </c>
      <c r="G1687" s="17" t="s">
        <v>1104</v>
      </c>
      <c r="H1687" s="19"/>
    </row>
    <row r="1688" customFormat="false" ht="15" hidden="false" customHeight="false" outlineLevel="0" collapsed="false">
      <c r="A1688" s="19" t="s">
        <v>2615</v>
      </c>
      <c r="B1688" s="19" t="s">
        <v>3500</v>
      </c>
      <c r="C1688" s="19" t="n">
        <v>14</v>
      </c>
      <c r="D1688" s="17" t="s">
        <v>3428</v>
      </c>
      <c r="E1688" s="19" t="n">
        <v>0.0194998857142857</v>
      </c>
      <c r="F1688" s="17" t="s">
        <v>3501</v>
      </c>
      <c r="G1688" s="17" t="s">
        <v>1104</v>
      </c>
      <c r="H1688" s="19"/>
    </row>
    <row r="1689" customFormat="false" ht="15" hidden="false" customHeight="false" outlineLevel="0" collapsed="false">
      <c r="A1689" s="19" t="s">
        <v>2615</v>
      </c>
      <c r="B1689" s="19" t="s">
        <v>3288</v>
      </c>
      <c r="C1689" s="19" t="n">
        <v>14</v>
      </c>
      <c r="D1689" s="17" t="s">
        <v>3234</v>
      </c>
      <c r="E1689" s="19" t="n">
        <v>0.288840999101154</v>
      </c>
      <c r="F1689" s="17" t="s">
        <v>3502</v>
      </c>
      <c r="G1689" s="17" t="s">
        <v>1104</v>
      </c>
      <c r="H1689" s="19"/>
    </row>
    <row r="1690" customFormat="false" ht="15" hidden="false" customHeight="false" outlineLevel="0" collapsed="false">
      <c r="A1690" s="19" t="s">
        <v>2615</v>
      </c>
      <c r="B1690" s="19" t="s">
        <v>3503</v>
      </c>
      <c r="C1690" s="19" t="n">
        <v>14</v>
      </c>
      <c r="D1690" s="19" t="s">
        <v>900</v>
      </c>
      <c r="E1690" s="19" t="n">
        <v>10230.7719154683</v>
      </c>
      <c r="F1690" s="17" t="s">
        <v>3504</v>
      </c>
      <c r="G1690" s="17" t="s">
        <v>1104</v>
      </c>
      <c r="H1690" s="19"/>
    </row>
    <row r="1691" customFormat="false" ht="15" hidden="false" customHeight="false" outlineLevel="0" collapsed="false">
      <c r="A1691" s="19" t="s">
        <v>2615</v>
      </c>
      <c r="B1691" s="19" t="s">
        <v>3290</v>
      </c>
      <c r="C1691" s="19" t="n">
        <v>14</v>
      </c>
      <c r="D1691" s="17" t="s">
        <v>903</v>
      </c>
      <c r="E1691" s="19" t="n">
        <v>73.8962651435254</v>
      </c>
      <c r="F1691" s="17" t="s">
        <v>3505</v>
      </c>
      <c r="G1691" s="17" t="s">
        <v>1104</v>
      </c>
      <c r="H1691" s="19"/>
    </row>
    <row r="1692" customFormat="false" ht="15" hidden="false" customHeight="false" outlineLevel="0" collapsed="false">
      <c r="A1692" s="19" t="s">
        <v>2615</v>
      </c>
      <c r="B1692" s="19" t="s">
        <v>1506</v>
      </c>
      <c r="C1692" s="19" t="n">
        <v>14</v>
      </c>
      <c r="D1692" s="17" t="s">
        <v>788</v>
      </c>
      <c r="E1692" s="19" t="n">
        <v>4</v>
      </c>
      <c r="F1692" s="17" t="s">
        <v>3506</v>
      </c>
      <c r="G1692" s="17" t="s">
        <v>1104</v>
      </c>
      <c r="H1692" s="19"/>
    </row>
    <row r="1693" customFormat="false" ht="15" hidden="false" customHeight="false" outlineLevel="0" collapsed="false">
      <c r="A1693" s="19" t="s">
        <v>2615</v>
      </c>
      <c r="B1693" s="19" t="s">
        <v>2208</v>
      </c>
      <c r="C1693" s="19" t="n">
        <v>14</v>
      </c>
      <c r="D1693" s="19" t="s">
        <v>3226</v>
      </c>
      <c r="E1693" s="19" t="n">
        <v>0.3</v>
      </c>
      <c r="F1693" s="17" t="s">
        <v>3507</v>
      </c>
      <c r="G1693" s="17" t="s">
        <v>1104</v>
      </c>
      <c r="H1693" s="19"/>
    </row>
    <row r="1694" customFormat="false" ht="15" hidden="false" customHeight="false" outlineLevel="0" collapsed="false">
      <c r="A1694" s="19" t="s">
        <v>2615</v>
      </c>
      <c r="B1694" s="19" t="s">
        <v>3293</v>
      </c>
      <c r="C1694" s="19" t="n">
        <v>14</v>
      </c>
      <c r="D1694" s="19" t="s">
        <v>3229</v>
      </c>
      <c r="E1694" s="19" t="n">
        <v>0.054391542719814</v>
      </c>
      <c r="F1694" s="17" t="s">
        <v>3508</v>
      </c>
      <c r="G1694" s="17" t="s">
        <v>1104</v>
      </c>
      <c r="H1694" s="19"/>
    </row>
    <row r="1695" customFormat="false" ht="15" hidden="false" customHeight="false" outlineLevel="0" collapsed="false">
      <c r="A1695" s="19" t="s">
        <v>2615</v>
      </c>
      <c r="B1695" s="19" t="s">
        <v>3295</v>
      </c>
      <c r="C1695" s="19" t="n">
        <v>14</v>
      </c>
      <c r="D1695" s="17" t="s">
        <v>882</v>
      </c>
      <c r="E1695" s="19" t="n">
        <v>16.3216531987164</v>
      </c>
      <c r="F1695" s="17" t="s">
        <v>3509</v>
      </c>
      <c r="G1695" s="17" t="s">
        <v>1104</v>
      </c>
      <c r="H1695" s="19"/>
    </row>
    <row r="1696" customFormat="false" ht="15" hidden="false" customHeight="false" outlineLevel="0" collapsed="false">
      <c r="A1696" s="19" t="s">
        <v>2615</v>
      </c>
      <c r="B1696" s="19" t="s">
        <v>3510</v>
      </c>
      <c r="C1696" s="19" t="n">
        <v>14</v>
      </c>
      <c r="D1696" s="17" t="s">
        <v>3425</v>
      </c>
      <c r="E1696" s="19" t="n">
        <v>0.0123254857142857</v>
      </c>
      <c r="F1696" s="17" t="s">
        <v>3511</v>
      </c>
      <c r="G1696" s="17" t="s">
        <v>1104</v>
      </c>
      <c r="H1696" s="19"/>
    </row>
    <row r="1697" customFormat="false" ht="15" hidden="false" customHeight="false" outlineLevel="0" collapsed="false">
      <c r="A1697" s="19" t="s">
        <v>2615</v>
      </c>
      <c r="B1697" s="19" t="s">
        <v>3512</v>
      </c>
      <c r="C1697" s="19" t="n">
        <v>14</v>
      </c>
      <c r="D1697" s="17" t="s">
        <v>3428</v>
      </c>
      <c r="E1697" s="19" t="n">
        <v>0.0484096</v>
      </c>
      <c r="F1697" s="17" t="s">
        <v>3513</v>
      </c>
      <c r="G1697" s="17" t="s">
        <v>1104</v>
      </c>
      <c r="H1697" s="19"/>
    </row>
    <row r="1698" customFormat="false" ht="15" hidden="false" customHeight="false" outlineLevel="0" collapsed="false">
      <c r="A1698" s="19" t="s">
        <v>2615</v>
      </c>
      <c r="B1698" s="19" t="s">
        <v>3297</v>
      </c>
      <c r="C1698" s="19" t="n">
        <v>14</v>
      </c>
      <c r="D1698" s="17" t="s">
        <v>3234</v>
      </c>
      <c r="E1698" s="19" t="n">
        <v>0.994744651429766</v>
      </c>
      <c r="F1698" s="17" t="s">
        <v>3514</v>
      </c>
      <c r="G1698" s="17" t="s">
        <v>1104</v>
      </c>
      <c r="H1698" s="19"/>
    </row>
    <row r="1699" customFormat="false" ht="15" hidden="false" customHeight="false" outlineLevel="0" collapsed="false">
      <c r="A1699" s="19" t="s">
        <v>2615</v>
      </c>
      <c r="B1699" s="19" t="s">
        <v>3515</v>
      </c>
      <c r="C1699" s="19" t="n">
        <v>14</v>
      </c>
      <c r="D1699" s="19" t="s">
        <v>900</v>
      </c>
      <c r="E1699" s="19" t="n">
        <v>3059.19076406613</v>
      </c>
      <c r="F1699" s="17" t="s">
        <v>3516</v>
      </c>
      <c r="G1699" s="17" t="s">
        <v>1104</v>
      </c>
      <c r="H1699" s="19"/>
    </row>
    <row r="1700" customFormat="false" ht="15" hidden="false" customHeight="false" outlineLevel="0" collapsed="false">
      <c r="A1700" s="19" t="s">
        <v>2615</v>
      </c>
      <c r="B1700" s="19" t="s">
        <v>3299</v>
      </c>
      <c r="C1700" s="19" t="n">
        <v>14</v>
      </c>
      <c r="D1700" s="17" t="s">
        <v>903</v>
      </c>
      <c r="E1700" s="19" t="n">
        <v>42.3841854852724</v>
      </c>
      <c r="F1700" s="17" t="s">
        <v>3517</v>
      </c>
      <c r="G1700" s="17" t="s">
        <v>1104</v>
      </c>
      <c r="H1700" s="19"/>
    </row>
    <row r="1701" customFormat="false" ht="15" hidden="false" customHeight="false" outlineLevel="0" collapsed="false">
      <c r="A1701" s="19" t="s">
        <v>2615</v>
      </c>
      <c r="B1701" s="19" t="s">
        <v>1512</v>
      </c>
      <c r="C1701" s="19" t="n">
        <v>14</v>
      </c>
      <c r="D1701" s="17" t="s">
        <v>788</v>
      </c>
      <c r="E1701" s="19" t="n">
        <v>4</v>
      </c>
      <c r="F1701" s="17" t="s">
        <v>3518</v>
      </c>
      <c r="G1701" s="17" t="s">
        <v>1104</v>
      </c>
      <c r="H1701" s="19"/>
    </row>
    <row r="1702" customFormat="false" ht="15" hidden="false" customHeight="false" outlineLevel="0" collapsed="false">
      <c r="A1702" s="19" t="s">
        <v>2615</v>
      </c>
      <c r="B1702" s="19" t="s">
        <v>2231</v>
      </c>
      <c r="C1702" s="19" t="n">
        <v>14</v>
      </c>
      <c r="D1702" s="19" t="s">
        <v>3226</v>
      </c>
      <c r="E1702" s="19" t="n">
        <v>0.3</v>
      </c>
      <c r="F1702" s="17" t="s">
        <v>3519</v>
      </c>
      <c r="G1702" s="17" t="s">
        <v>1104</v>
      </c>
      <c r="H1702" s="19"/>
    </row>
    <row r="1703" customFormat="false" ht="15" hidden="false" customHeight="false" outlineLevel="0" collapsed="false">
      <c r="A1703" s="19" t="s">
        <v>2615</v>
      </c>
      <c r="B1703" s="19" t="s">
        <v>3302</v>
      </c>
      <c r="C1703" s="19" t="n">
        <v>14</v>
      </c>
      <c r="D1703" s="19" t="s">
        <v>3229</v>
      </c>
      <c r="E1703" s="19" t="n">
        <v>0.36088269766656</v>
      </c>
      <c r="F1703" s="17" t="s">
        <v>3520</v>
      </c>
      <c r="G1703" s="17" t="s">
        <v>1104</v>
      </c>
      <c r="H1703" s="19"/>
    </row>
    <row r="1704" customFormat="false" ht="15" hidden="false" customHeight="false" outlineLevel="0" collapsed="false">
      <c r="A1704" s="19" t="s">
        <v>2615</v>
      </c>
      <c r="B1704" s="19" t="s">
        <v>3304</v>
      </c>
      <c r="C1704" s="19" t="n">
        <v>14</v>
      </c>
      <c r="D1704" s="17" t="s">
        <v>882</v>
      </c>
      <c r="E1704" s="19" t="n">
        <v>31.4173994138344</v>
      </c>
      <c r="F1704" s="17" t="s">
        <v>3521</v>
      </c>
      <c r="G1704" s="17" t="s">
        <v>1104</v>
      </c>
      <c r="H1704" s="19"/>
    </row>
    <row r="1705" customFormat="false" ht="15" hidden="false" customHeight="false" outlineLevel="0" collapsed="false">
      <c r="A1705" s="19" t="s">
        <v>2615</v>
      </c>
      <c r="B1705" s="19" t="s">
        <v>3522</v>
      </c>
      <c r="C1705" s="19" t="n">
        <v>14</v>
      </c>
      <c r="D1705" s="17" t="s">
        <v>3425</v>
      </c>
      <c r="E1705" s="19" t="n">
        <v>0.358107428571429</v>
      </c>
      <c r="F1705" s="17" t="s">
        <v>3523</v>
      </c>
      <c r="G1705" s="17" t="s">
        <v>1104</v>
      </c>
      <c r="H1705" s="19"/>
    </row>
    <row r="1706" customFormat="false" ht="15" hidden="false" customHeight="false" outlineLevel="0" collapsed="false">
      <c r="A1706" s="19" t="s">
        <v>2615</v>
      </c>
      <c r="B1706" s="19" t="s">
        <v>3524</v>
      </c>
      <c r="C1706" s="19" t="n">
        <v>14</v>
      </c>
      <c r="D1706" s="17" t="s">
        <v>3428</v>
      </c>
      <c r="E1706" s="19" t="n">
        <v>0.362788571428571</v>
      </c>
      <c r="F1706" s="17" t="s">
        <v>3525</v>
      </c>
      <c r="G1706" s="17" t="s">
        <v>1104</v>
      </c>
      <c r="H1706" s="19"/>
    </row>
    <row r="1707" customFormat="false" ht="15" hidden="false" customHeight="false" outlineLevel="0" collapsed="false">
      <c r="A1707" s="19" t="s">
        <v>2615</v>
      </c>
      <c r="B1707" s="19" t="s">
        <v>3306</v>
      </c>
      <c r="C1707" s="19" t="n">
        <v>14</v>
      </c>
      <c r="D1707" s="17" t="s">
        <v>3234</v>
      </c>
      <c r="E1707" s="19" t="n">
        <v>3.96123324903222</v>
      </c>
      <c r="F1707" s="17" t="s">
        <v>3526</v>
      </c>
      <c r="G1707" s="17" t="s">
        <v>1104</v>
      </c>
      <c r="H1707" s="19"/>
    </row>
    <row r="1708" customFormat="false" ht="15" hidden="false" customHeight="false" outlineLevel="0" collapsed="false">
      <c r="A1708" s="19" t="s">
        <v>2615</v>
      </c>
      <c r="B1708" s="19" t="s">
        <v>3527</v>
      </c>
      <c r="C1708" s="19" t="n">
        <v>14</v>
      </c>
      <c r="D1708" s="19" t="s">
        <v>900</v>
      </c>
      <c r="E1708" s="19" t="n">
        <v>70.1493024197706</v>
      </c>
      <c r="F1708" s="17" t="s">
        <v>3528</v>
      </c>
      <c r="G1708" s="17" t="s">
        <v>1104</v>
      </c>
      <c r="H1708" s="19"/>
    </row>
    <row r="1709" customFormat="false" ht="15" hidden="false" customHeight="false" outlineLevel="0" collapsed="false">
      <c r="A1709" s="19" t="s">
        <v>2615</v>
      </c>
      <c r="B1709" s="19" t="s">
        <v>3308</v>
      </c>
      <c r="C1709" s="19" t="n">
        <v>14</v>
      </c>
      <c r="D1709" s="17" t="s">
        <v>903</v>
      </c>
      <c r="E1709" s="19" t="n">
        <v>7.72947436716313</v>
      </c>
      <c r="F1709" s="17" t="s">
        <v>3529</v>
      </c>
      <c r="G1709" s="17" t="s">
        <v>1104</v>
      </c>
      <c r="H1709" s="19"/>
    </row>
    <row r="1710" customFormat="false" ht="15" hidden="false" customHeight="false" outlineLevel="0" collapsed="false">
      <c r="A1710" s="19" t="s">
        <v>2615</v>
      </c>
      <c r="B1710" s="19" t="s">
        <v>1518</v>
      </c>
      <c r="C1710" s="19" t="n">
        <v>14</v>
      </c>
      <c r="D1710" s="17" t="s">
        <v>788</v>
      </c>
      <c r="E1710" s="19" t="n">
        <v>4</v>
      </c>
      <c r="F1710" s="17" t="s">
        <v>3530</v>
      </c>
      <c r="G1710" s="17" t="s">
        <v>1104</v>
      </c>
      <c r="H1710" s="19"/>
    </row>
    <row r="1711" customFormat="false" ht="15" hidden="false" customHeight="false" outlineLevel="0" collapsed="false">
      <c r="A1711" s="19" t="s">
        <v>2615</v>
      </c>
      <c r="B1711" s="19" t="s">
        <v>2254</v>
      </c>
      <c r="C1711" s="19" t="n">
        <v>14</v>
      </c>
      <c r="D1711" s="19" t="s">
        <v>3226</v>
      </c>
      <c r="E1711" s="19" t="n">
        <v>0.3</v>
      </c>
      <c r="F1711" s="17" t="s">
        <v>3531</v>
      </c>
      <c r="G1711" s="17" t="s">
        <v>1104</v>
      </c>
      <c r="H1711" s="19"/>
    </row>
    <row r="1712" customFormat="false" ht="15" hidden="false" customHeight="false" outlineLevel="0" collapsed="false">
      <c r="A1712" s="19" t="s">
        <v>2615</v>
      </c>
      <c r="B1712" s="19" t="s">
        <v>3311</v>
      </c>
      <c r="C1712" s="19" t="n">
        <v>14</v>
      </c>
      <c r="D1712" s="19" t="s">
        <v>3229</v>
      </c>
      <c r="E1712" s="19" t="n">
        <v>0.00335811874005039</v>
      </c>
      <c r="F1712" s="17" t="s">
        <v>3532</v>
      </c>
      <c r="G1712" s="17" t="s">
        <v>1104</v>
      </c>
      <c r="H1712" s="19"/>
    </row>
    <row r="1713" customFormat="false" ht="15" hidden="false" customHeight="false" outlineLevel="0" collapsed="false">
      <c r="A1713" s="19" t="s">
        <v>2615</v>
      </c>
      <c r="B1713" s="19" t="s">
        <v>3313</v>
      </c>
      <c r="C1713" s="19" t="n">
        <v>14</v>
      </c>
      <c r="D1713" s="17" t="s">
        <v>882</v>
      </c>
      <c r="E1713" s="19" t="n">
        <v>7.88311894903646</v>
      </c>
      <c r="F1713" s="17" t="s">
        <v>3533</v>
      </c>
      <c r="G1713" s="17" t="s">
        <v>1104</v>
      </c>
      <c r="H1713" s="19"/>
    </row>
    <row r="1714" customFormat="false" ht="15" hidden="false" customHeight="false" outlineLevel="0" collapsed="false">
      <c r="A1714" s="19" t="s">
        <v>2615</v>
      </c>
      <c r="B1714" s="19" t="s">
        <v>3534</v>
      </c>
      <c r="C1714" s="19" t="n">
        <v>14</v>
      </c>
      <c r="D1714" s="17" t="s">
        <v>3425</v>
      </c>
      <c r="E1714" s="19" t="n">
        <v>0.00157971948051948</v>
      </c>
      <c r="F1714" s="17" t="s">
        <v>3535</v>
      </c>
      <c r="G1714" s="17" t="s">
        <v>1104</v>
      </c>
      <c r="H1714" s="19"/>
    </row>
    <row r="1715" customFormat="false" ht="15" hidden="false" customHeight="false" outlineLevel="0" collapsed="false">
      <c r="A1715" s="19" t="s">
        <v>2615</v>
      </c>
      <c r="B1715" s="19" t="s">
        <v>3536</v>
      </c>
      <c r="C1715" s="19" t="n">
        <v>14</v>
      </c>
      <c r="D1715" s="17" t="s">
        <v>3428</v>
      </c>
      <c r="E1715" s="19" t="n">
        <v>0.00974994285714286</v>
      </c>
      <c r="F1715" s="17" t="s">
        <v>3537</v>
      </c>
      <c r="G1715" s="17" t="s">
        <v>1104</v>
      </c>
      <c r="H1715" s="19"/>
    </row>
    <row r="1716" customFormat="false" ht="15" hidden="false" customHeight="false" outlineLevel="0" collapsed="false">
      <c r="A1716" s="19" t="s">
        <v>2615</v>
      </c>
      <c r="B1716" s="19" t="s">
        <v>3315</v>
      </c>
      <c r="C1716" s="19" t="n">
        <v>14</v>
      </c>
      <c r="D1716" s="17" t="s">
        <v>3234</v>
      </c>
      <c r="E1716" s="19" t="n">
        <v>0.12378899961478</v>
      </c>
      <c r="F1716" s="17" t="s">
        <v>3538</v>
      </c>
      <c r="G1716" s="17" t="s">
        <v>1104</v>
      </c>
      <c r="H1716" s="19"/>
    </row>
    <row r="1717" customFormat="false" ht="15" hidden="false" customHeight="false" outlineLevel="0" collapsed="false">
      <c r="A1717" s="19" t="s">
        <v>2615</v>
      </c>
      <c r="B1717" s="19" t="s">
        <v>3539</v>
      </c>
      <c r="C1717" s="19" t="n">
        <v>14</v>
      </c>
      <c r="D1717" s="19" t="s">
        <v>900</v>
      </c>
      <c r="E1717" s="19" t="n">
        <v>10230.7719154683</v>
      </c>
      <c r="F1717" s="17" t="s">
        <v>3540</v>
      </c>
      <c r="G1717" s="17" t="s">
        <v>1104</v>
      </c>
      <c r="H1717" s="19"/>
    </row>
    <row r="1718" customFormat="false" ht="15" hidden="false" customHeight="false" outlineLevel="0" collapsed="false">
      <c r="A1718" s="19" t="s">
        <v>2615</v>
      </c>
      <c r="B1718" s="19" t="s">
        <v>3317</v>
      </c>
      <c r="C1718" s="19" t="n">
        <v>14</v>
      </c>
      <c r="D1718" s="17" t="s">
        <v>903</v>
      </c>
      <c r="E1718" s="19" t="n">
        <v>179.049104233203</v>
      </c>
      <c r="F1718" s="17" t="s">
        <v>3541</v>
      </c>
      <c r="G1718" s="17" t="s">
        <v>1104</v>
      </c>
      <c r="H1718" s="19"/>
    </row>
    <row r="1719" customFormat="false" ht="15" hidden="false" customHeight="false" outlineLevel="0" collapsed="false">
      <c r="A1719" s="19" t="s">
        <v>2615</v>
      </c>
      <c r="B1719" s="19" t="s">
        <v>1524</v>
      </c>
      <c r="C1719" s="19" t="n">
        <v>14</v>
      </c>
      <c r="D1719" s="17" t="s">
        <v>788</v>
      </c>
      <c r="E1719" s="19" t="n">
        <v>4</v>
      </c>
      <c r="F1719" s="17" t="s">
        <v>3542</v>
      </c>
      <c r="G1719" s="17" t="s">
        <v>1104</v>
      </c>
      <c r="H1719" s="19"/>
    </row>
    <row r="1720" customFormat="false" ht="15" hidden="false" customHeight="false" outlineLevel="0" collapsed="false">
      <c r="A1720" s="19" t="s">
        <v>2615</v>
      </c>
      <c r="B1720" s="19" t="s">
        <v>2277</v>
      </c>
      <c r="C1720" s="19" t="n">
        <v>14</v>
      </c>
      <c r="D1720" s="19" t="s">
        <v>3226</v>
      </c>
      <c r="E1720" s="19" t="n">
        <v>0.3</v>
      </c>
      <c r="F1720" s="17" t="s">
        <v>3543</v>
      </c>
      <c r="G1720" s="17" t="s">
        <v>1104</v>
      </c>
      <c r="H1720" s="19"/>
    </row>
    <row r="1721" customFormat="false" ht="15" hidden="false" customHeight="false" outlineLevel="0" collapsed="false">
      <c r="A1721" s="19" t="s">
        <v>2615</v>
      </c>
      <c r="B1721" s="19" t="s">
        <v>3320</v>
      </c>
      <c r="C1721" s="19" t="n">
        <v>14</v>
      </c>
      <c r="D1721" s="19" t="s">
        <v>3229</v>
      </c>
      <c r="E1721" s="19" t="n">
        <v>0.0233106611656346</v>
      </c>
      <c r="F1721" s="17" t="s">
        <v>3544</v>
      </c>
      <c r="G1721" s="17" t="s">
        <v>1104</v>
      </c>
      <c r="H1721" s="19"/>
    </row>
    <row r="1722" customFormat="false" ht="15" hidden="false" customHeight="false" outlineLevel="0" collapsed="false">
      <c r="A1722" s="19" t="s">
        <v>2615</v>
      </c>
      <c r="B1722" s="19" t="s">
        <v>3322</v>
      </c>
      <c r="C1722" s="19" t="n">
        <v>14</v>
      </c>
      <c r="D1722" s="17" t="s">
        <v>882</v>
      </c>
      <c r="E1722" s="19" t="n">
        <v>12.4997858435238</v>
      </c>
      <c r="F1722" s="17" t="s">
        <v>3545</v>
      </c>
      <c r="G1722" s="17" t="s">
        <v>1104</v>
      </c>
      <c r="H1722" s="19"/>
    </row>
    <row r="1723" customFormat="false" ht="15" hidden="false" customHeight="false" outlineLevel="0" collapsed="false">
      <c r="A1723" s="19" t="s">
        <v>2615</v>
      </c>
      <c r="B1723" s="19" t="s">
        <v>3546</v>
      </c>
      <c r="C1723" s="19" t="n">
        <v>14</v>
      </c>
      <c r="D1723" s="17" t="s">
        <v>3425</v>
      </c>
      <c r="E1723" s="19" t="n">
        <v>0.00448199480519481</v>
      </c>
      <c r="F1723" s="17" t="s">
        <v>3547</v>
      </c>
      <c r="G1723" s="17" t="s">
        <v>1104</v>
      </c>
      <c r="H1723" s="19"/>
    </row>
    <row r="1724" customFormat="false" ht="15" hidden="false" customHeight="false" outlineLevel="0" collapsed="false">
      <c r="A1724" s="19" t="s">
        <v>2615</v>
      </c>
      <c r="B1724" s="19" t="s">
        <v>3548</v>
      </c>
      <c r="C1724" s="19" t="n">
        <v>14</v>
      </c>
      <c r="D1724" s="17" t="s">
        <v>3428</v>
      </c>
      <c r="E1724" s="19" t="n">
        <v>0.0242048</v>
      </c>
      <c r="F1724" s="17" t="s">
        <v>3549</v>
      </c>
      <c r="G1724" s="17" t="s">
        <v>1104</v>
      </c>
      <c r="H1724" s="19"/>
    </row>
    <row r="1725" customFormat="false" ht="15" hidden="false" customHeight="false" outlineLevel="0" collapsed="false">
      <c r="A1725" s="19" t="s">
        <v>2615</v>
      </c>
      <c r="B1725" s="19" t="s">
        <v>3324</v>
      </c>
      <c r="C1725" s="19" t="n">
        <v>14</v>
      </c>
      <c r="D1725" s="17" t="s">
        <v>3234</v>
      </c>
      <c r="E1725" s="19" t="n">
        <v>0.426319136327043</v>
      </c>
      <c r="F1725" s="17" t="s">
        <v>3550</v>
      </c>
      <c r="G1725" s="17" t="s">
        <v>1104</v>
      </c>
      <c r="H1725" s="19"/>
    </row>
    <row r="1726" customFormat="false" ht="15" hidden="false" customHeight="false" outlineLevel="0" collapsed="false">
      <c r="A1726" s="19" t="s">
        <v>2615</v>
      </c>
      <c r="B1726" s="19" t="s">
        <v>3551</v>
      </c>
      <c r="C1726" s="19" t="n">
        <v>14</v>
      </c>
      <c r="D1726" s="19" t="s">
        <v>900</v>
      </c>
      <c r="E1726" s="19" t="n">
        <v>3059.19076406613</v>
      </c>
      <c r="F1726" s="17" t="s">
        <v>3552</v>
      </c>
      <c r="G1726" s="17" t="s">
        <v>1104</v>
      </c>
      <c r="H1726" s="19"/>
    </row>
    <row r="1727" customFormat="false" ht="15" hidden="false" customHeight="false" outlineLevel="0" collapsed="false">
      <c r="A1727" s="19" t="s">
        <v>2615</v>
      </c>
      <c r="B1727" s="19" t="s">
        <v>3326</v>
      </c>
      <c r="C1727" s="19" t="n">
        <v>14</v>
      </c>
      <c r="D1727" s="17" t="s">
        <v>903</v>
      </c>
      <c r="E1727" s="19" t="n">
        <v>107.861236462534</v>
      </c>
      <c r="F1727" s="17" t="s">
        <v>3553</v>
      </c>
      <c r="G1727" s="17" t="s">
        <v>1104</v>
      </c>
      <c r="H1727" s="19"/>
    </row>
    <row r="1728" customFormat="false" ht="15" hidden="false" customHeight="false" outlineLevel="0" collapsed="false">
      <c r="A1728" s="19" t="s">
        <v>2615</v>
      </c>
      <c r="B1728" s="19" t="s">
        <v>1530</v>
      </c>
      <c r="C1728" s="19" t="n">
        <v>14</v>
      </c>
      <c r="D1728" s="17" t="s">
        <v>788</v>
      </c>
      <c r="E1728" s="19" t="n">
        <v>4</v>
      </c>
      <c r="F1728" s="17" t="s">
        <v>3554</v>
      </c>
      <c r="G1728" s="17" t="s">
        <v>1104</v>
      </c>
      <c r="H1728" s="19"/>
    </row>
    <row r="1729" customFormat="false" ht="15" hidden="false" customHeight="false" outlineLevel="0" collapsed="false">
      <c r="A1729" s="19" t="s">
        <v>2615</v>
      </c>
      <c r="B1729" s="19" t="s">
        <v>2300</v>
      </c>
      <c r="C1729" s="19" t="n">
        <v>14</v>
      </c>
      <c r="D1729" s="19" t="s">
        <v>3226</v>
      </c>
      <c r="E1729" s="19" t="n">
        <v>0.3</v>
      </c>
      <c r="F1729" s="17" t="s">
        <v>3555</v>
      </c>
      <c r="G1729" s="17" t="s">
        <v>1104</v>
      </c>
      <c r="H1729" s="19"/>
    </row>
    <row r="1730" customFormat="false" ht="15" hidden="false" customHeight="false" outlineLevel="0" collapsed="false">
      <c r="A1730" s="19" t="s">
        <v>2615</v>
      </c>
      <c r="B1730" s="19" t="s">
        <v>3329</v>
      </c>
      <c r="C1730" s="19" t="n">
        <v>14</v>
      </c>
      <c r="D1730" s="19" t="s">
        <v>3229</v>
      </c>
      <c r="E1730" s="19" t="n">
        <v>0.154664013285669</v>
      </c>
      <c r="F1730" s="17" t="s">
        <v>3556</v>
      </c>
      <c r="G1730" s="17" t="s">
        <v>1104</v>
      </c>
      <c r="H1730" s="19"/>
    </row>
    <row r="1731" customFormat="false" ht="15" hidden="false" customHeight="false" outlineLevel="0" collapsed="false">
      <c r="A1731" s="19" t="s">
        <v>2615</v>
      </c>
      <c r="B1731" s="19" t="s">
        <v>3331</v>
      </c>
      <c r="C1731" s="19" t="n">
        <v>14</v>
      </c>
      <c r="D1731" s="17" t="s">
        <v>882</v>
      </c>
      <c r="E1731" s="19" t="n">
        <v>21.989475131794</v>
      </c>
      <c r="F1731" s="17" t="s">
        <v>3557</v>
      </c>
      <c r="G1731" s="17" t="s">
        <v>1104</v>
      </c>
      <c r="H1731" s="19"/>
    </row>
    <row r="1732" customFormat="false" ht="15" hidden="false" customHeight="false" outlineLevel="0" collapsed="false">
      <c r="A1732" s="19" t="s">
        <v>2615</v>
      </c>
      <c r="B1732" s="19" t="s">
        <v>3558</v>
      </c>
      <c r="C1732" s="19" t="n">
        <v>14</v>
      </c>
      <c r="D1732" s="17" t="s">
        <v>3425</v>
      </c>
      <c r="E1732" s="19" t="n">
        <v>0.130220883116883</v>
      </c>
      <c r="F1732" s="17" t="s">
        <v>3559</v>
      </c>
      <c r="G1732" s="17" t="s">
        <v>1104</v>
      </c>
      <c r="H1732" s="19"/>
    </row>
    <row r="1733" customFormat="false" ht="15" hidden="false" customHeight="false" outlineLevel="0" collapsed="false">
      <c r="A1733" s="19" t="s">
        <v>2615</v>
      </c>
      <c r="B1733" s="19" t="s">
        <v>3560</v>
      </c>
      <c r="C1733" s="19" t="n">
        <v>14</v>
      </c>
      <c r="D1733" s="17" t="s">
        <v>3428</v>
      </c>
      <c r="E1733" s="19" t="n">
        <v>0.181394285714286</v>
      </c>
      <c r="F1733" s="17" t="s">
        <v>3561</v>
      </c>
      <c r="G1733" s="17" t="s">
        <v>1104</v>
      </c>
      <c r="H1733" s="19"/>
    </row>
    <row r="1734" customFormat="false" ht="15" hidden="false" customHeight="false" outlineLevel="0" collapsed="false">
      <c r="A1734" s="19" t="s">
        <v>2615</v>
      </c>
      <c r="B1734" s="19" t="s">
        <v>3333</v>
      </c>
      <c r="C1734" s="19" t="n">
        <v>14</v>
      </c>
      <c r="D1734" s="17" t="s">
        <v>3234</v>
      </c>
      <c r="E1734" s="19" t="n">
        <v>1.69767139244238</v>
      </c>
      <c r="F1734" s="17" t="s">
        <v>3562</v>
      </c>
      <c r="G1734" s="17" t="s">
        <v>1104</v>
      </c>
      <c r="H1734" s="19"/>
    </row>
    <row r="1735" customFormat="false" ht="15" hidden="false" customHeight="false" outlineLevel="0" collapsed="false">
      <c r="A1735" s="19" t="s">
        <v>2615</v>
      </c>
      <c r="B1735" s="19" t="s">
        <v>3563</v>
      </c>
      <c r="C1735" s="19" t="n">
        <v>14</v>
      </c>
      <c r="D1735" s="19" t="s">
        <v>900</v>
      </c>
      <c r="E1735" s="19" t="n">
        <v>70.1493024197706</v>
      </c>
      <c r="F1735" s="17" t="s">
        <v>3564</v>
      </c>
      <c r="G1735" s="17" t="s">
        <v>1104</v>
      </c>
      <c r="H1735" s="19"/>
    </row>
    <row r="1736" customFormat="false" ht="15" hidden="false" customHeight="false" outlineLevel="0" collapsed="false">
      <c r="A1736" s="19" t="s">
        <v>2615</v>
      </c>
      <c r="B1736" s="19" t="s">
        <v>3335</v>
      </c>
      <c r="C1736" s="19" t="n">
        <v>14</v>
      </c>
      <c r="D1736" s="17" t="s">
        <v>903</v>
      </c>
      <c r="E1736" s="19" t="n">
        <v>23.5888849403159</v>
      </c>
      <c r="F1736" s="17" t="s">
        <v>3565</v>
      </c>
      <c r="G1736" s="17" t="s">
        <v>1104</v>
      </c>
      <c r="H1736" s="19"/>
    </row>
    <row r="1737" customFormat="false" ht="15" hidden="false" customHeight="false" outlineLevel="0" collapsed="false">
      <c r="A1737" s="19" t="s">
        <v>2615</v>
      </c>
      <c r="B1737" s="19" t="s">
        <v>1536</v>
      </c>
      <c r="C1737" s="19" t="n">
        <v>14</v>
      </c>
      <c r="D1737" s="17" t="s">
        <v>788</v>
      </c>
      <c r="E1737" s="19" t="n">
        <v>8</v>
      </c>
      <c r="F1737" s="17" t="s">
        <v>3566</v>
      </c>
      <c r="G1737" s="17" t="s">
        <v>1104</v>
      </c>
      <c r="H1737" s="19"/>
    </row>
    <row r="1738" customFormat="false" ht="15" hidden="false" customHeight="false" outlineLevel="0" collapsed="false">
      <c r="A1738" s="19" t="s">
        <v>2615</v>
      </c>
      <c r="B1738" s="19" t="s">
        <v>2323</v>
      </c>
      <c r="C1738" s="19" t="n">
        <v>14</v>
      </c>
      <c r="D1738" s="19" t="s">
        <v>3226</v>
      </c>
      <c r="E1738" s="19" t="n">
        <v>0.3</v>
      </c>
      <c r="F1738" s="17" t="s">
        <v>3567</v>
      </c>
      <c r="G1738" s="17" t="s">
        <v>1104</v>
      </c>
      <c r="H1738" s="19"/>
    </row>
    <row r="1739" customFormat="false" ht="15" hidden="false" customHeight="false" outlineLevel="0" collapsed="false">
      <c r="A1739" s="19" t="s">
        <v>2615</v>
      </c>
      <c r="B1739" s="19" t="s">
        <v>3338</v>
      </c>
      <c r="C1739" s="19" t="n">
        <v>14</v>
      </c>
      <c r="D1739" s="19" t="s">
        <v>3229</v>
      </c>
      <c r="E1739" s="19" t="n">
        <v>0.000839529685012597</v>
      </c>
      <c r="F1739" s="17" t="s">
        <v>3568</v>
      </c>
      <c r="G1739" s="17" t="s">
        <v>1104</v>
      </c>
      <c r="H1739" s="19"/>
    </row>
    <row r="1740" customFormat="false" ht="15" hidden="false" customHeight="false" outlineLevel="0" collapsed="false">
      <c r="A1740" s="19" t="s">
        <v>2615</v>
      </c>
      <c r="B1740" s="19" t="s">
        <v>3340</v>
      </c>
      <c r="C1740" s="19" t="n">
        <v>14</v>
      </c>
      <c r="D1740" s="17" t="s">
        <v>882</v>
      </c>
      <c r="E1740" s="19" t="n">
        <v>7.66016703364228</v>
      </c>
      <c r="F1740" s="17" t="s">
        <v>3569</v>
      </c>
      <c r="G1740" s="17" t="s">
        <v>1104</v>
      </c>
      <c r="H1740" s="19"/>
    </row>
    <row r="1741" customFormat="false" ht="15" hidden="false" customHeight="false" outlineLevel="0" collapsed="false">
      <c r="A1741" s="19" t="s">
        <v>2615</v>
      </c>
      <c r="B1741" s="19" t="s">
        <v>3570</v>
      </c>
      <c r="C1741" s="19" t="n">
        <v>14</v>
      </c>
      <c r="D1741" s="17" t="s">
        <v>3425</v>
      </c>
      <c r="E1741" s="19" t="n">
        <v>0.00108605714285714</v>
      </c>
      <c r="F1741" s="17" t="s">
        <v>3571</v>
      </c>
      <c r="G1741" s="17" t="s">
        <v>1104</v>
      </c>
      <c r="H1741" s="19"/>
    </row>
    <row r="1742" customFormat="false" ht="15" hidden="false" customHeight="false" outlineLevel="0" collapsed="false">
      <c r="A1742" s="19" t="s">
        <v>2615</v>
      </c>
      <c r="B1742" s="19" t="s">
        <v>3572</v>
      </c>
      <c r="C1742" s="19" t="n">
        <v>14</v>
      </c>
      <c r="D1742" s="17" t="s">
        <v>3428</v>
      </c>
      <c r="E1742" s="19" t="n">
        <v>0.0099072</v>
      </c>
      <c r="F1742" s="17" t="s">
        <v>3573</v>
      </c>
      <c r="G1742" s="17" t="s">
        <v>1104</v>
      </c>
      <c r="H1742" s="19"/>
    </row>
    <row r="1743" customFormat="false" ht="15" hidden="false" customHeight="false" outlineLevel="0" collapsed="false">
      <c r="A1743" s="19" t="s">
        <v>2615</v>
      </c>
      <c r="B1743" s="19" t="s">
        <v>3342</v>
      </c>
      <c r="C1743" s="19" t="n">
        <v>14</v>
      </c>
      <c r="D1743" s="17" t="s">
        <v>3234</v>
      </c>
      <c r="E1743" s="19" t="n">
        <v>0.06189449980739</v>
      </c>
      <c r="F1743" s="17" t="s">
        <v>3574</v>
      </c>
      <c r="G1743" s="17" t="s">
        <v>1104</v>
      </c>
      <c r="H1743" s="19"/>
    </row>
    <row r="1744" customFormat="false" ht="15" hidden="false" customHeight="false" outlineLevel="0" collapsed="false">
      <c r="A1744" s="19" t="s">
        <v>2615</v>
      </c>
      <c r="B1744" s="19" t="s">
        <v>3575</v>
      </c>
      <c r="C1744" s="19" t="n">
        <v>14</v>
      </c>
      <c r="D1744" s="19" t="s">
        <v>900</v>
      </c>
      <c r="E1744" s="19" t="n">
        <v>37559.6634227452</v>
      </c>
      <c r="F1744" s="17" t="s">
        <v>3576</v>
      </c>
      <c r="G1744" s="17" t="s">
        <v>1104</v>
      </c>
      <c r="H1744" s="19"/>
    </row>
    <row r="1745" customFormat="false" ht="15" hidden="false" customHeight="false" outlineLevel="0" collapsed="false">
      <c r="A1745" s="19" t="s">
        <v>2615</v>
      </c>
      <c r="B1745" s="19" t="s">
        <v>3344</v>
      </c>
      <c r="C1745" s="19" t="n">
        <v>14</v>
      </c>
      <c r="D1745" s="17" t="s">
        <v>903</v>
      </c>
      <c r="E1745" s="19" t="n">
        <v>361.700336540597</v>
      </c>
      <c r="F1745" s="17" t="s">
        <v>3577</v>
      </c>
      <c r="G1745" s="17" t="s">
        <v>1104</v>
      </c>
      <c r="H1745" s="19"/>
    </row>
    <row r="1746" customFormat="false" ht="15" hidden="false" customHeight="false" outlineLevel="0" collapsed="false">
      <c r="A1746" s="19" t="s">
        <v>2615</v>
      </c>
      <c r="B1746" s="19" t="s">
        <v>1542</v>
      </c>
      <c r="C1746" s="19" t="n">
        <v>14</v>
      </c>
      <c r="D1746" s="17" t="s">
        <v>788</v>
      </c>
      <c r="E1746" s="19" t="n">
        <v>8</v>
      </c>
      <c r="F1746" s="17" t="s">
        <v>3578</v>
      </c>
      <c r="G1746" s="17" t="s">
        <v>1104</v>
      </c>
      <c r="H1746" s="19"/>
    </row>
    <row r="1747" customFormat="false" ht="15" hidden="false" customHeight="false" outlineLevel="0" collapsed="false">
      <c r="A1747" s="19" t="s">
        <v>2615</v>
      </c>
      <c r="B1747" s="19" t="s">
        <v>2346</v>
      </c>
      <c r="C1747" s="19" t="n">
        <v>14</v>
      </c>
      <c r="D1747" s="19" t="s">
        <v>3226</v>
      </c>
      <c r="E1747" s="19" t="n">
        <v>0.3</v>
      </c>
      <c r="F1747" s="17" t="s">
        <v>3579</v>
      </c>
      <c r="G1747" s="17" t="s">
        <v>1104</v>
      </c>
      <c r="H1747" s="19"/>
    </row>
    <row r="1748" customFormat="false" ht="15" hidden="false" customHeight="false" outlineLevel="0" collapsed="false">
      <c r="A1748" s="19" t="s">
        <v>2615</v>
      </c>
      <c r="B1748" s="19" t="s">
        <v>3347</v>
      </c>
      <c r="C1748" s="19" t="n">
        <v>14</v>
      </c>
      <c r="D1748" s="19" t="s">
        <v>3229</v>
      </c>
      <c r="E1748" s="19" t="n">
        <v>0.00582766529140865</v>
      </c>
      <c r="F1748" s="17" t="s">
        <v>3580</v>
      </c>
      <c r="G1748" s="17" t="s">
        <v>1104</v>
      </c>
      <c r="H1748" s="19"/>
    </row>
    <row r="1749" customFormat="false" ht="15" hidden="false" customHeight="false" outlineLevel="0" collapsed="false">
      <c r="A1749" s="19" t="s">
        <v>2615</v>
      </c>
      <c r="B1749" s="19" t="s">
        <v>3349</v>
      </c>
      <c r="C1749" s="19" t="n">
        <v>14</v>
      </c>
      <c r="D1749" s="17" t="s">
        <v>882</v>
      </c>
      <c r="E1749" s="19" t="n">
        <v>11.3834258631044</v>
      </c>
      <c r="F1749" s="17" t="s">
        <v>3581</v>
      </c>
      <c r="G1749" s="17" t="s">
        <v>1104</v>
      </c>
      <c r="H1749" s="19"/>
    </row>
    <row r="1750" customFormat="false" ht="15" hidden="false" customHeight="false" outlineLevel="0" collapsed="false">
      <c r="A1750" s="19" t="s">
        <v>2615</v>
      </c>
      <c r="B1750" s="19" t="s">
        <v>3582</v>
      </c>
      <c r="C1750" s="19" t="n">
        <v>14</v>
      </c>
      <c r="D1750" s="17" t="s">
        <v>3425</v>
      </c>
      <c r="E1750" s="19" t="n">
        <v>0.00308137142857143</v>
      </c>
      <c r="F1750" s="17" t="s">
        <v>3583</v>
      </c>
      <c r="G1750" s="17" t="s">
        <v>1104</v>
      </c>
      <c r="H1750" s="19"/>
    </row>
    <row r="1751" customFormat="false" ht="15" hidden="false" customHeight="false" outlineLevel="0" collapsed="false">
      <c r="A1751" s="19" t="s">
        <v>2615</v>
      </c>
      <c r="B1751" s="19" t="s">
        <v>3584</v>
      </c>
      <c r="C1751" s="19" t="n">
        <v>14</v>
      </c>
      <c r="D1751" s="17" t="s">
        <v>3428</v>
      </c>
      <c r="E1751" s="19" t="n">
        <v>0.0245952</v>
      </c>
      <c r="F1751" s="17" t="s">
        <v>3585</v>
      </c>
      <c r="G1751" s="17" t="s">
        <v>1104</v>
      </c>
      <c r="H1751" s="19"/>
    </row>
    <row r="1752" customFormat="false" ht="15" hidden="false" customHeight="false" outlineLevel="0" collapsed="false">
      <c r="A1752" s="19" t="s">
        <v>2615</v>
      </c>
      <c r="B1752" s="19" t="s">
        <v>3351</v>
      </c>
      <c r="C1752" s="19" t="n">
        <v>14</v>
      </c>
      <c r="D1752" s="17" t="s">
        <v>3234</v>
      </c>
      <c r="E1752" s="19" t="n">
        <v>0.213159568163521</v>
      </c>
      <c r="F1752" s="17" t="s">
        <v>3586</v>
      </c>
      <c r="G1752" s="17" t="s">
        <v>1104</v>
      </c>
      <c r="H1752" s="19"/>
    </row>
    <row r="1753" customFormat="false" ht="15" hidden="false" customHeight="false" outlineLevel="0" collapsed="false">
      <c r="A1753" s="19" t="s">
        <v>2615</v>
      </c>
      <c r="B1753" s="19" t="s">
        <v>3587</v>
      </c>
      <c r="C1753" s="19" t="n">
        <v>14</v>
      </c>
      <c r="D1753" s="19" t="s">
        <v>900</v>
      </c>
      <c r="E1753" s="19" t="n">
        <v>12857.1859364347</v>
      </c>
      <c r="F1753" s="17" t="s">
        <v>3588</v>
      </c>
      <c r="G1753" s="17" t="s">
        <v>1104</v>
      </c>
      <c r="H1753" s="19"/>
    </row>
    <row r="1754" customFormat="false" ht="15" hidden="false" customHeight="false" outlineLevel="0" collapsed="false">
      <c r="A1754" s="19" t="s">
        <v>2615</v>
      </c>
      <c r="B1754" s="19" t="s">
        <v>3353</v>
      </c>
      <c r="C1754" s="19" t="n">
        <v>14</v>
      </c>
      <c r="D1754" s="17" t="s">
        <v>903</v>
      </c>
      <c r="E1754" s="19" t="n">
        <v>220.959676162236</v>
      </c>
      <c r="F1754" s="17" t="s">
        <v>3589</v>
      </c>
      <c r="G1754" s="17" t="s">
        <v>1104</v>
      </c>
      <c r="H1754" s="19"/>
    </row>
    <row r="1755" customFormat="false" ht="15" hidden="false" customHeight="false" outlineLevel="0" collapsed="false">
      <c r="A1755" s="19" t="s">
        <v>2615</v>
      </c>
      <c r="B1755" s="19" t="s">
        <v>1548</v>
      </c>
      <c r="C1755" s="19" t="n">
        <v>14</v>
      </c>
      <c r="D1755" s="17" t="s">
        <v>788</v>
      </c>
      <c r="E1755" s="19" t="n">
        <v>8</v>
      </c>
      <c r="F1755" s="17" t="s">
        <v>3590</v>
      </c>
      <c r="G1755" s="17" t="s">
        <v>1104</v>
      </c>
      <c r="H1755" s="19"/>
    </row>
    <row r="1756" customFormat="false" ht="15" hidden="false" customHeight="false" outlineLevel="0" collapsed="false">
      <c r="A1756" s="19" t="s">
        <v>2615</v>
      </c>
      <c r="B1756" s="19" t="s">
        <v>2369</v>
      </c>
      <c r="C1756" s="19" t="n">
        <v>14</v>
      </c>
      <c r="D1756" s="19" t="s">
        <v>3226</v>
      </c>
      <c r="E1756" s="19" t="n">
        <v>0.3</v>
      </c>
      <c r="F1756" s="17" t="s">
        <v>3591</v>
      </c>
      <c r="G1756" s="17" t="s">
        <v>1104</v>
      </c>
      <c r="H1756" s="19"/>
    </row>
    <row r="1757" customFormat="false" ht="15" hidden="false" customHeight="false" outlineLevel="0" collapsed="false">
      <c r="A1757" s="19" t="s">
        <v>2615</v>
      </c>
      <c r="B1757" s="19" t="s">
        <v>3356</v>
      </c>
      <c r="C1757" s="19" t="n">
        <v>14</v>
      </c>
      <c r="D1757" s="19" t="s">
        <v>3229</v>
      </c>
      <c r="E1757" s="19" t="n">
        <v>0.0386660033214171</v>
      </c>
      <c r="F1757" s="17" t="s">
        <v>3592</v>
      </c>
      <c r="G1757" s="17" t="s">
        <v>1104</v>
      </c>
      <c r="H1757" s="19"/>
    </row>
    <row r="1758" customFormat="false" ht="15" hidden="false" customHeight="false" outlineLevel="0" collapsed="false">
      <c r="A1758" s="19" t="s">
        <v>2615</v>
      </c>
      <c r="B1758" s="19" t="s">
        <v>3358</v>
      </c>
      <c r="C1758" s="19" t="n">
        <v>14</v>
      </c>
      <c r="D1758" s="17" t="s">
        <v>882</v>
      </c>
      <c r="E1758" s="19" t="n">
        <v>19.2207625986094</v>
      </c>
      <c r="F1758" s="17" t="s">
        <v>3593</v>
      </c>
      <c r="G1758" s="17" t="s">
        <v>1104</v>
      </c>
      <c r="H1758" s="19"/>
    </row>
    <row r="1759" customFormat="false" ht="15" hidden="false" customHeight="false" outlineLevel="0" collapsed="false">
      <c r="A1759" s="19" t="s">
        <v>2615</v>
      </c>
      <c r="B1759" s="19" t="s">
        <v>3594</v>
      </c>
      <c r="C1759" s="19" t="n">
        <v>14</v>
      </c>
      <c r="D1759" s="17" t="s">
        <v>3425</v>
      </c>
      <c r="E1759" s="19" t="n">
        <v>0.0895268571428571</v>
      </c>
      <c r="F1759" s="17" t="s">
        <v>3595</v>
      </c>
      <c r="G1759" s="17" t="s">
        <v>1104</v>
      </c>
      <c r="H1759" s="19"/>
    </row>
    <row r="1760" customFormat="false" ht="15" hidden="false" customHeight="false" outlineLevel="0" collapsed="false">
      <c r="A1760" s="19" t="s">
        <v>2615</v>
      </c>
      <c r="B1760" s="19" t="s">
        <v>3596</v>
      </c>
      <c r="C1760" s="19" t="n">
        <v>14</v>
      </c>
      <c r="D1760" s="17" t="s">
        <v>3428</v>
      </c>
      <c r="E1760" s="19" t="n">
        <v>0.18432</v>
      </c>
      <c r="F1760" s="17" t="s">
        <v>3597</v>
      </c>
      <c r="G1760" s="17" t="s">
        <v>1104</v>
      </c>
      <c r="H1760" s="19"/>
    </row>
    <row r="1761" customFormat="false" ht="15" hidden="false" customHeight="false" outlineLevel="0" collapsed="false">
      <c r="A1761" s="19" t="s">
        <v>2615</v>
      </c>
      <c r="B1761" s="19" t="s">
        <v>3360</v>
      </c>
      <c r="C1761" s="19" t="n">
        <v>14</v>
      </c>
      <c r="D1761" s="17" t="s">
        <v>3234</v>
      </c>
      <c r="E1761" s="19" t="n">
        <v>0.848835696221191</v>
      </c>
      <c r="F1761" s="17" t="s">
        <v>3598</v>
      </c>
      <c r="G1761" s="17" t="s">
        <v>1104</v>
      </c>
      <c r="H1761" s="19"/>
    </row>
    <row r="1762" customFormat="false" ht="15" hidden="false" customHeight="false" outlineLevel="0" collapsed="false">
      <c r="A1762" s="19" t="s">
        <v>2615</v>
      </c>
      <c r="B1762" s="19" t="s">
        <v>3599</v>
      </c>
      <c r="C1762" s="19" t="n">
        <v>14</v>
      </c>
      <c r="D1762" s="19" t="s">
        <v>900</v>
      </c>
      <c r="E1762" s="19" t="n">
        <v>417.772914578888</v>
      </c>
      <c r="F1762" s="17" t="s">
        <v>3600</v>
      </c>
      <c r="G1762" s="17" t="s">
        <v>1104</v>
      </c>
      <c r="H1762" s="19"/>
    </row>
    <row r="1763" customFormat="false" ht="15" hidden="false" customHeight="false" outlineLevel="0" collapsed="false">
      <c r="A1763" s="19" t="s">
        <v>2615</v>
      </c>
      <c r="B1763" s="19" t="s">
        <v>3362</v>
      </c>
      <c r="C1763" s="19" t="n">
        <v>14</v>
      </c>
      <c r="D1763" s="17" t="s">
        <v>903</v>
      </c>
      <c r="E1763" s="19" t="n">
        <v>50.4395466243647</v>
      </c>
      <c r="F1763" s="17" t="s">
        <v>3601</v>
      </c>
      <c r="G1763" s="17" t="s">
        <v>1104</v>
      </c>
      <c r="H1763" s="19"/>
    </row>
    <row r="1764" customFormat="false" ht="15" hidden="false" customHeight="false" outlineLevel="0" collapsed="false">
      <c r="A1764" s="19" t="s">
        <v>2453</v>
      </c>
      <c r="B1764" s="19" t="s">
        <v>3602</v>
      </c>
      <c r="C1764" s="19" t="n">
        <v>14</v>
      </c>
      <c r="D1764" s="17" t="s">
        <v>3603</v>
      </c>
      <c r="E1764" s="19" t="n">
        <v>0.85</v>
      </c>
      <c r="F1764" s="17" t="s">
        <v>3604</v>
      </c>
      <c r="G1764" s="17" t="s">
        <v>1104</v>
      </c>
      <c r="H1764" s="19"/>
    </row>
    <row r="1765" customFormat="false" ht="15" hidden="false" customHeight="false" outlineLevel="0" collapsed="false">
      <c r="A1765" s="19" t="s">
        <v>2453</v>
      </c>
      <c r="B1765" s="19" t="s">
        <v>3605</v>
      </c>
      <c r="C1765" s="19" t="n">
        <v>14</v>
      </c>
      <c r="D1765" s="17" t="s">
        <v>3606</v>
      </c>
      <c r="E1765" s="19" t="n">
        <v>2.14636773698209</v>
      </c>
      <c r="F1765" s="17" t="s">
        <v>3607</v>
      </c>
      <c r="G1765" s="17" t="s">
        <v>1104</v>
      </c>
      <c r="H1765" s="19"/>
    </row>
    <row r="1766" customFormat="false" ht="15" hidden="false" customHeight="false" outlineLevel="0" collapsed="false">
      <c r="A1766" s="19" t="s">
        <v>2453</v>
      </c>
      <c r="B1766" s="19" t="s">
        <v>3608</v>
      </c>
      <c r="C1766" s="19" t="n">
        <v>14</v>
      </c>
      <c r="D1766" s="19" t="s">
        <v>896</v>
      </c>
      <c r="E1766" s="19" t="n">
        <v>6.54504101289595</v>
      </c>
      <c r="F1766" s="17" t="s">
        <v>3609</v>
      </c>
      <c r="G1766" s="17" t="s">
        <v>1104</v>
      </c>
      <c r="H1766" s="19"/>
    </row>
    <row r="1767" customFormat="false" ht="15" hidden="false" customHeight="false" outlineLevel="0" collapsed="false">
      <c r="A1767" s="19" t="s">
        <v>2453</v>
      </c>
      <c r="B1767" s="19" t="s">
        <v>3610</v>
      </c>
      <c r="C1767" s="19" t="n">
        <v>14</v>
      </c>
      <c r="D1767" s="17" t="s">
        <v>3603</v>
      </c>
      <c r="E1767" s="19" t="n">
        <v>0.85</v>
      </c>
      <c r="F1767" s="17" t="s">
        <v>3604</v>
      </c>
      <c r="G1767" s="17" t="s">
        <v>1104</v>
      </c>
      <c r="H1767" s="19"/>
    </row>
    <row r="1768" customFormat="false" ht="15" hidden="false" customHeight="false" outlineLevel="0" collapsed="false">
      <c r="A1768" s="19" t="s">
        <v>2453</v>
      </c>
      <c r="B1768" s="19" t="s">
        <v>3611</v>
      </c>
      <c r="C1768" s="19" t="n">
        <v>14</v>
      </c>
      <c r="D1768" s="17" t="s">
        <v>3606</v>
      </c>
      <c r="E1768" s="19" t="n">
        <v>7.39191400462032</v>
      </c>
      <c r="F1768" s="17" t="s">
        <v>3612</v>
      </c>
      <c r="G1768" s="17" t="s">
        <v>1104</v>
      </c>
      <c r="H1768" s="19"/>
    </row>
    <row r="1769" customFormat="false" ht="15" hidden="false" customHeight="false" outlineLevel="0" collapsed="false">
      <c r="A1769" s="19" t="s">
        <v>2453</v>
      </c>
      <c r="B1769" s="19" t="s">
        <v>3613</v>
      </c>
      <c r="C1769" s="19" t="n">
        <v>14</v>
      </c>
      <c r="D1769" s="19" t="s">
        <v>896</v>
      </c>
      <c r="E1769" s="19" t="n">
        <v>4.04279485687181</v>
      </c>
      <c r="F1769" s="17" t="s">
        <v>3614</v>
      </c>
      <c r="G1769" s="17" t="s">
        <v>1104</v>
      </c>
      <c r="H1769" s="19"/>
    </row>
    <row r="1770" customFormat="false" ht="15" hidden="false" customHeight="false" outlineLevel="0" collapsed="false">
      <c r="A1770" s="19" t="s">
        <v>2453</v>
      </c>
      <c r="B1770" s="19" t="s">
        <v>3615</v>
      </c>
      <c r="C1770" s="19" t="n">
        <v>14</v>
      </c>
      <c r="D1770" s="17" t="s">
        <v>3603</v>
      </c>
      <c r="E1770" s="19" t="n">
        <v>0.85</v>
      </c>
      <c r="F1770" s="17" t="s">
        <v>3604</v>
      </c>
      <c r="G1770" s="17" t="s">
        <v>1104</v>
      </c>
      <c r="H1770" s="19"/>
    </row>
    <row r="1771" customFormat="false" ht="15" hidden="false" customHeight="false" outlineLevel="0" collapsed="false">
      <c r="A1771" s="19" t="s">
        <v>2453</v>
      </c>
      <c r="B1771" s="19" t="s">
        <v>3616</v>
      </c>
      <c r="C1771" s="19" t="n">
        <v>14</v>
      </c>
      <c r="D1771" s="17" t="s">
        <v>3606</v>
      </c>
      <c r="E1771" s="19" t="n">
        <v>29.4357908705542</v>
      </c>
      <c r="F1771" s="17" t="s">
        <v>3617</v>
      </c>
      <c r="G1771" s="17" t="s">
        <v>1104</v>
      </c>
      <c r="H1771" s="19"/>
    </row>
    <row r="1772" customFormat="false" ht="15" hidden="false" customHeight="false" outlineLevel="0" collapsed="false">
      <c r="A1772" s="19" t="s">
        <v>2453</v>
      </c>
      <c r="B1772" s="19" t="s">
        <v>3618</v>
      </c>
      <c r="C1772" s="19" t="n">
        <v>14</v>
      </c>
      <c r="D1772" s="19" t="s">
        <v>896</v>
      </c>
      <c r="E1772" s="19" t="n">
        <v>0.697432267368758</v>
      </c>
      <c r="F1772" s="17" t="s">
        <v>3619</v>
      </c>
      <c r="G1772" s="17" t="s">
        <v>1104</v>
      </c>
      <c r="H1772" s="19"/>
    </row>
    <row r="1773" customFormat="false" ht="15" hidden="false" customHeight="false" outlineLevel="0" collapsed="false">
      <c r="A1773" s="19" t="s">
        <v>2453</v>
      </c>
      <c r="B1773" s="19" t="s">
        <v>3620</v>
      </c>
      <c r="C1773" s="19" t="n">
        <v>14</v>
      </c>
      <c r="D1773" s="17" t="s">
        <v>3603</v>
      </c>
      <c r="E1773" s="19" t="n">
        <v>0.85</v>
      </c>
      <c r="F1773" s="17" t="s">
        <v>3604</v>
      </c>
      <c r="G1773" s="17" t="s">
        <v>1104</v>
      </c>
      <c r="H1773" s="19"/>
    </row>
    <row r="1774" customFormat="false" ht="15" hidden="false" customHeight="false" outlineLevel="0" collapsed="false">
      <c r="A1774" s="19" t="s">
        <v>2453</v>
      </c>
      <c r="B1774" s="19" t="s">
        <v>3621</v>
      </c>
      <c r="C1774" s="19" t="n">
        <v>14</v>
      </c>
      <c r="D1774" s="17" t="s">
        <v>3606</v>
      </c>
      <c r="E1774" s="19" t="n">
        <v>0.44323426972044</v>
      </c>
      <c r="F1774" s="17" t="s">
        <v>3622</v>
      </c>
      <c r="G1774" s="17" t="s">
        <v>1104</v>
      </c>
      <c r="H1774" s="19"/>
    </row>
    <row r="1775" customFormat="false" ht="15" hidden="false" customHeight="false" outlineLevel="0" collapsed="false">
      <c r="A1775" s="19" t="s">
        <v>2453</v>
      </c>
      <c r="B1775" s="19" t="s">
        <v>3623</v>
      </c>
      <c r="C1775" s="19" t="n">
        <v>14</v>
      </c>
      <c r="D1775" s="19" t="s">
        <v>896</v>
      </c>
      <c r="E1775" s="19" t="n">
        <v>45.2036918997943</v>
      </c>
      <c r="F1775" s="17" t="s">
        <v>3624</v>
      </c>
      <c r="G1775" s="17" t="s">
        <v>1104</v>
      </c>
      <c r="H1775" s="19"/>
    </row>
    <row r="1776" customFormat="false" ht="15" hidden="false" customHeight="false" outlineLevel="0" collapsed="false">
      <c r="A1776" s="19" t="s">
        <v>2453</v>
      </c>
      <c r="B1776" s="19" t="s">
        <v>3625</v>
      </c>
      <c r="C1776" s="19" t="n">
        <v>14</v>
      </c>
      <c r="D1776" s="17" t="s">
        <v>3603</v>
      </c>
      <c r="E1776" s="19" t="n">
        <v>0.85</v>
      </c>
      <c r="F1776" s="17" t="s">
        <v>3604</v>
      </c>
      <c r="G1776" s="17" t="s">
        <v>1104</v>
      </c>
      <c r="H1776" s="19"/>
    </row>
    <row r="1777" customFormat="false" ht="15" hidden="false" customHeight="false" outlineLevel="0" collapsed="false">
      <c r="A1777" s="19" t="s">
        <v>2453</v>
      </c>
      <c r="B1777" s="19" t="s">
        <v>3626</v>
      </c>
      <c r="C1777" s="19" t="n">
        <v>14</v>
      </c>
      <c r="D1777" s="17" t="s">
        <v>3606</v>
      </c>
      <c r="E1777" s="19" t="n">
        <v>1.52646238071064</v>
      </c>
      <c r="F1777" s="17" t="s">
        <v>3627</v>
      </c>
      <c r="G1777" s="17" t="s">
        <v>1104</v>
      </c>
      <c r="H1777" s="19"/>
    </row>
    <row r="1778" customFormat="false" ht="15" hidden="false" customHeight="false" outlineLevel="0" collapsed="false">
      <c r="A1778" s="19" t="s">
        <v>2453</v>
      </c>
      <c r="B1778" s="19" t="s">
        <v>3628</v>
      </c>
      <c r="C1778" s="19" t="n">
        <v>14</v>
      </c>
      <c r="D1778" s="19" t="s">
        <v>896</v>
      </c>
      <c r="E1778" s="19" t="n">
        <v>26.4277693014867</v>
      </c>
      <c r="F1778" s="17" t="s">
        <v>3629</v>
      </c>
      <c r="G1778" s="17" t="s">
        <v>1104</v>
      </c>
      <c r="H1778" s="19"/>
    </row>
    <row r="1779" customFormat="false" ht="15" hidden="false" customHeight="false" outlineLevel="0" collapsed="false">
      <c r="A1779" s="19" t="s">
        <v>2453</v>
      </c>
      <c r="B1779" s="19" t="s">
        <v>3630</v>
      </c>
      <c r="C1779" s="19" t="n">
        <v>14</v>
      </c>
      <c r="D1779" s="17" t="s">
        <v>3603</v>
      </c>
      <c r="E1779" s="19" t="n">
        <v>0.85</v>
      </c>
      <c r="F1779" s="17" t="s">
        <v>3604</v>
      </c>
      <c r="G1779" s="17" t="s">
        <v>1104</v>
      </c>
      <c r="H1779" s="19"/>
    </row>
    <row r="1780" customFormat="false" ht="15" hidden="false" customHeight="false" outlineLevel="0" collapsed="false">
      <c r="A1780" s="19" t="s">
        <v>2453</v>
      </c>
      <c r="B1780" s="19" t="s">
        <v>3631</v>
      </c>
      <c r="C1780" s="19" t="n">
        <v>14</v>
      </c>
      <c r="D1780" s="17" t="s">
        <v>3606</v>
      </c>
      <c r="E1780" s="19" t="n">
        <v>6.07861879646888</v>
      </c>
      <c r="F1780" s="17" t="s">
        <v>3632</v>
      </c>
      <c r="G1780" s="17" t="s">
        <v>1104</v>
      </c>
      <c r="H1780" s="19"/>
    </row>
    <row r="1781" customFormat="false" ht="15" hidden="false" customHeight="false" outlineLevel="0" collapsed="false">
      <c r="A1781" s="19" t="s">
        <v>2453</v>
      </c>
      <c r="B1781" s="19" t="s">
        <v>3633</v>
      </c>
      <c r="C1781" s="19" t="n">
        <v>14</v>
      </c>
      <c r="D1781" s="19" t="s">
        <v>896</v>
      </c>
      <c r="E1781" s="19" t="n">
        <v>5.14363026214294</v>
      </c>
      <c r="F1781" s="17" t="s">
        <v>3634</v>
      </c>
      <c r="G1781" s="17" t="s">
        <v>1104</v>
      </c>
      <c r="H1781" s="19"/>
    </row>
    <row r="1782" customFormat="false" ht="15" hidden="false" customHeight="false" outlineLevel="0" collapsed="false">
      <c r="A1782" s="19" t="s">
        <v>2453</v>
      </c>
      <c r="B1782" s="19" t="s">
        <v>3635</v>
      </c>
      <c r="C1782" s="19" t="n">
        <v>14</v>
      </c>
      <c r="D1782" s="17" t="s">
        <v>3603</v>
      </c>
      <c r="E1782" s="19" t="n">
        <v>0.85</v>
      </c>
      <c r="F1782" s="17" t="s">
        <v>3604</v>
      </c>
      <c r="G1782" s="17" t="s">
        <v>1104</v>
      </c>
      <c r="H1782" s="19"/>
    </row>
    <row r="1783" customFormat="false" ht="15" hidden="false" customHeight="false" outlineLevel="0" collapsed="false">
      <c r="A1783" s="19" t="s">
        <v>2453</v>
      </c>
      <c r="B1783" s="19" t="s">
        <v>3636</v>
      </c>
      <c r="C1783" s="19" t="n">
        <v>14</v>
      </c>
      <c r="D1783" s="17" t="s">
        <v>3606</v>
      </c>
      <c r="E1783" s="19" t="n">
        <v>0.339812940119004</v>
      </c>
      <c r="F1783" s="17" t="s">
        <v>3637</v>
      </c>
      <c r="G1783" s="17" t="s">
        <v>1104</v>
      </c>
      <c r="H1783" s="19"/>
    </row>
    <row r="1784" customFormat="false" ht="15" hidden="false" customHeight="false" outlineLevel="0" collapsed="false">
      <c r="A1784" s="19" t="s">
        <v>2453</v>
      </c>
      <c r="B1784" s="19" t="s">
        <v>3638</v>
      </c>
      <c r="C1784" s="19" t="n">
        <v>14</v>
      </c>
      <c r="D1784" s="19" t="s">
        <v>896</v>
      </c>
      <c r="E1784" s="19" t="n">
        <v>58.9613372606013</v>
      </c>
      <c r="F1784" s="17" t="s">
        <v>3639</v>
      </c>
      <c r="G1784" s="17" t="s">
        <v>1104</v>
      </c>
      <c r="H1784" s="19"/>
    </row>
    <row r="1785" customFormat="false" ht="15" hidden="false" customHeight="false" outlineLevel="0" collapsed="false">
      <c r="A1785" s="19" t="s">
        <v>2453</v>
      </c>
      <c r="B1785" s="19" t="s">
        <v>3640</v>
      </c>
      <c r="C1785" s="19" t="n">
        <v>14</v>
      </c>
      <c r="D1785" s="17" t="s">
        <v>3603</v>
      </c>
      <c r="E1785" s="19" t="n">
        <v>0.85</v>
      </c>
      <c r="F1785" s="17" t="s">
        <v>3604</v>
      </c>
      <c r="G1785" s="17" t="s">
        <v>1104</v>
      </c>
      <c r="H1785" s="19"/>
    </row>
    <row r="1786" customFormat="false" ht="15" hidden="false" customHeight="false" outlineLevel="0" collapsed="false">
      <c r="A1786" s="19" t="s">
        <v>2453</v>
      </c>
      <c r="B1786" s="19" t="s">
        <v>3641</v>
      </c>
      <c r="C1786" s="19" t="n">
        <v>14</v>
      </c>
      <c r="D1786" s="17" t="s">
        <v>3606</v>
      </c>
      <c r="E1786" s="19" t="n">
        <v>1.17028782521149</v>
      </c>
      <c r="F1786" s="17" t="s">
        <v>3642</v>
      </c>
      <c r="G1786" s="17" t="s">
        <v>1104</v>
      </c>
      <c r="H1786" s="19"/>
    </row>
    <row r="1787" customFormat="false" ht="15" hidden="false" customHeight="false" outlineLevel="0" collapsed="false">
      <c r="A1787" s="19" t="s">
        <v>2453</v>
      </c>
      <c r="B1787" s="19" t="s">
        <v>3643</v>
      </c>
      <c r="C1787" s="19" t="n">
        <v>14</v>
      </c>
      <c r="D1787" s="19" t="s">
        <v>896</v>
      </c>
      <c r="E1787" s="19" t="n">
        <v>34.4710034367218</v>
      </c>
      <c r="F1787" s="17" t="s">
        <v>3644</v>
      </c>
      <c r="G1787" s="17" t="s">
        <v>1104</v>
      </c>
      <c r="H1787" s="19"/>
    </row>
    <row r="1788" customFormat="false" ht="15" hidden="false" customHeight="false" outlineLevel="0" collapsed="false">
      <c r="A1788" s="19" t="s">
        <v>2453</v>
      </c>
      <c r="B1788" s="19" t="s">
        <v>3645</v>
      </c>
      <c r="C1788" s="19" t="n">
        <v>14</v>
      </c>
      <c r="D1788" s="17" t="s">
        <v>3603</v>
      </c>
      <c r="E1788" s="19" t="n">
        <v>0.85</v>
      </c>
      <c r="F1788" s="17" t="s">
        <v>3604</v>
      </c>
      <c r="G1788" s="17" t="s">
        <v>1104</v>
      </c>
      <c r="H1788" s="19"/>
    </row>
    <row r="1789" customFormat="false" ht="15" hidden="false" customHeight="false" outlineLevel="0" collapsed="false">
      <c r="A1789" s="19" t="s">
        <v>2453</v>
      </c>
      <c r="B1789" s="19" t="s">
        <v>3646</v>
      </c>
      <c r="C1789" s="19" t="n">
        <v>14</v>
      </c>
      <c r="D1789" s="17" t="s">
        <v>3606</v>
      </c>
      <c r="E1789" s="19" t="n">
        <v>4.66027441062615</v>
      </c>
      <c r="F1789" s="17" t="s">
        <v>3647</v>
      </c>
      <c r="G1789" s="17" t="s">
        <v>1104</v>
      </c>
      <c r="H1789" s="19"/>
    </row>
    <row r="1790" customFormat="false" ht="15" hidden="false" customHeight="false" outlineLevel="0" collapsed="false">
      <c r="A1790" s="19" t="s">
        <v>2453</v>
      </c>
      <c r="B1790" s="19" t="s">
        <v>3648</v>
      </c>
      <c r="C1790" s="19" t="n">
        <v>14</v>
      </c>
      <c r="D1790" s="19" t="s">
        <v>896</v>
      </c>
      <c r="E1790" s="19" t="n">
        <v>5.94138195806088</v>
      </c>
      <c r="F1790" s="17" t="s">
        <v>3649</v>
      </c>
      <c r="G1790" s="17" t="s">
        <v>1104</v>
      </c>
      <c r="H1790" s="19"/>
    </row>
    <row r="1791" customFormat="false" ht="15" hidden="false" customHeight="false" outlineLevel="0" collapsed="false">
      <c r="A1791" s="19" t="s">
        <v>2453</v>
      </c>
      <c r="B1791" s="19" t="s">
        <v>3650</v>
      </c>
      <c r="C1791" s="19" t="n">
        <v>14</v>
      </c>
      <c r="D1791" s="17" t="s">
        <v>3603</v>
      </c>
      <c r="E1791" s="19" t="n">
        <v>0.85</v>
      </c>
      <c r="F1791" s="17" t="s">
        <v>3604</v>
      </c>
      <c r="G1791" s="17" t="s">
        <v>1104</v>
      </c>
      <c r="H1791" s="19"/>
    </row>
    <row r="1792" customFormat="false" ht="15" hidden="false" customHeight="false" outlineLevel="0" collapsed="false">
      <c r="A1792" s="19" t="s">
        <v>2453</v>
      </c>
      <c r="B1792" s="19" t="s">
        <v>3651</v>
      </c>
      <c r="C1792" s="19" t="n">
        <v>14</v>
      </c>
      <c r="D1792" s="17" t="s">
        <v>3606</v>
      </c>
      <c r="E1792" s="19" t="n">
        <v>0.145634117193859</v>
      </c>
      <c r="F1792" s="17" t="s">
        <v>3652</v>
      </c>
      <c r="G1792" s="17" t="s">
        <v>1104</v>
      </c>
      <c r="H1792" s="19"/>
    </row>
    <row r="1793" customFormat="false" ht="15" hidden="false" customHeight="false" outlineLevel="0" collapsed="false">
      <c r="A1793" s="19" t="s">
        <v>2453</v>
      </c>
      <c r="B1793" s="19" t="s">
        <v>3653</v>
      </c>
      <c r="C1793" s="19" t="n">
        <v>14</v>
      </c>
      <c r="D1793" s="19" t="s">
        <v>896</v>
      </c>
      <c r="E1793" s="19" t="n">
        <v>143.207266338301</v>
      </c>
      <c r="F1793" s="17" t="s">
        <v>3654</v>
      </c>
      <c r="G1793" s="17" t="s">
        <v>1104</v>
      </c>
      <c r="H1793" s="19"/>
    </row>
    <row r="1794" customFormat="false" ht="15" hidden="false" customHeight="false" outlineLevel="0" collapsed="false">
      <c r="A1794" s="19" t="s">
        <v>2453</v>
      </c>
      <c r="B1794" s="19" t="s">
        <v>3655</v>
      </c>
      <c r="C1794" s="19" t="n">
        <v>14</v>
      </c>
      <c r="D1794" s="17" t="s">
        <v>3603</v>
      </c>
      <c r="E1794" s="19" t="n">
        <v>0.85</v>
      </c>
      <c r="F1794" s="17" t="s">
        <v>3604</v>
      </c>
      <c r="G1794" s="17" t="s">
        <v>1104</v>
      </c>
      <c r="H1794" s="19"/>
    </row>
    <row r="1795" customFormat="false" ht="15" hidden="false" customHeight="false" outlineLevel="0" collapsed="false">
      <c r="A1795" s="19" t="s">
        <v>2453</v>
      </c>
      <c r="B1795" s="19" t="s">
        <v>3656</v>
      </c>
      <c r="C1795" s="19" t="n">
        <v>14</v>
      </c>
      <c r="D1795" s="17" t="s">
        <v>3606</v>
      </c>
      <c r="E1795" s="19" t="n">
        <v>0.501551925090638</v>
      </c>
      <c r="F1795" s="17" t="s">
        <v>3657</v>
      </c>
      <c r="G1795" s="17" t="s">
        <v>1104</v>
      </c>
      <c r="H1795" s="19"/>
    </row>
    <row r="1796" customFormat="false" ht="15" hidden="false" customHeight="false" outlineLevel="0" collapsed="false">
      <c r="A1796" s="19" t="s">
        <v>2453</v>
      </c>
      <c r="B1796" s="19" t="s">
        <v>3658</v>
      </c>
      <c r="C1796" s="19" t="n">
        <v>14</v>
      </c>
      <c r="D1796" s="19" t="s">
        <v>896</v>
      </c>
      <c r="E1796" s="19" t="n">
        <v>88.0524244663811</v>
      </c>
      <c r="F1796" s="17" t="s">
        <v>3659</v>
      </c>
      <c r="G1796" s="17" t="s">
        <v>1104</v>
      </c>
      <c r="H1796" s="19"/>
    </row>
    <row r="1797" customFormat="false" ht="15" hidden="false" customHeight="false" outlineLevel="0" collapsed="false">
      <c r="A1797" s="19" t="s">
        <v>2453</v>
      </c>
      <c r="B1797" s="19" t="s">
        <v>3660</v>
      </c>
      <c r="C1797" s="19" t="n">
        <v>14</v>
      </c>
      <c r="D1797" s="17" t="s">
        <v>3603</v>
      </c>
      <c r="E1797" s="19" t="n">
        <v>0.85</v>
      </c>
      <c r="F1797" s="17" t="s">
        <v>3604</v>
      </c>
      <c r="G1797" s="17" t="s">
        <v>1104</v>
      </c>
      <c r="H1797" s="19"/>
    </row>
    <row r="1798" customFormat="false" ht="15" hidden="false" customHeight="false" outlineLevel="0" collapsed="false">
      <c r="A1798" s="19" t="s">
        <v>2453</v>
      </c>
      <c r="B1798" s="19" t="s">
        <v>3661</v>
      </c>
      <c r="C1798" s="19" t="n">
        <v>14</v>
      </c>
      <c r="D1798" s="17" t="s">
        <v>3606</v>
      </c>
      <c r="E1798" s="19" t="n">
        <v>1.99726046169692</v>
      </c>
      <c r="F1798" s="17" t="s">
        <v>3662</v>
      </c>
      <c r="G1798" s="17" t="s">
        <v>1104</v>
      </c>
      <c r="H1798" s="19"/>
    </row>
    <row r="1799" customFormat="false" ht="15" hidden="false" customHeight="false" outlineLevel="0" collapsed="false">
      <c r="A1799" s="19" t="s">
        <v>2453</v>
      </c>
      <c r="B1799" s="19" t="s">
        <v>3663</v>
      </c>
      <c r="C1799" s="19" t="n">
        <v>14</v>
      </c>
      <c r="D1799" s="19" t="s">
        <v>896</v>
      </c>
      <c r="E1799" s="19" t="n">
        <v>18.5836526065371</v>
      </c>
      <c r="F1799" s="17" t="s">
        <v>3664</v>
      </c>
      <c r="G1799" s="17" t="s">
        <v>1104</v>
      </c>
      <c r="H1799" s="19"/>
    </row>
    <row r="1800" customFormat="false" ht="15" hidden="false" customHeight="false" outlineLevel="0" collapsed="false">
      <c r="A1800" s="19" t="s">
        <v>2453</v>
      </c>
      <c r="B1800" s="19" t="s">
        <v>3665</v>
      </c>
      <c r="C1800" s="19" t="n">
        <v>14</v>
      </c>
      <c r="D1800" s="17" t="s">
        <v>3603</v>
      </c>
      <c r="E1800" s="19" t="n">
        <v>0.85</v>
      </c>
      <c r="F1800" s="17" t="s">
        <v>3604</v>
      </c>
      <c r="G1800" s="17" t="s">
        <v>1104</v>
      </c>
      <c r="H1800" s="19"/>
    </row>
    <row r="1801" customFormat="false" ht="15" hidden="false" customHeight="false" outlineLevel="0" collapsed="false">
      <c r="A1801" s="19" t="s">
        <v>2453</v>
      </c>
      <c r="B1801" s="19" t="s">
        <v>3666</v>
      </c>
      <c r="C1801" s="19" t="n">
        <v>14</v>
      </c>
      <c r="D1801" s="17" t="s">
        <v>3606</v>
      </c>
      <c r="E1801" s="19" t="n">
        <v>0.0728170585969295</v>
      </c>
      <c r="F1801" s="17" t="s">
        <v>3667</v>
      </c>
      <c r="G1801" s="17" t="s">
        <v>1104</v>
      </c>
      <c r="H1801" s="19"/>
    </row>
    <row r="1802" customFormat="false" ht="15" hidden="false" customHeight="false" outlineLevel="0" collapsed="false">
      <c r="A1802" s="19" t="s">
        <v>2453</v>
      </c>
      <c r="B1802" s="19" t="s">
        <v>3668</v>
      </c>
      <c r="C1802" s="19" t="n">
        <v>14</v>
      </c>
      <c r="D1802" s="19" t="s">
        <v>896</v>
      </c>
      <c r="E1802" s="19" t="n">
        <v>289.476341539663</v>
      </c>
      <c r="F1802" s="17" t="s">
        <v>3669</v>
      </c>
      <c r="G1802" s="17" t="s">
        <v>1104</v>
      </c>
      <c r="H1802" s="19"/>
    </row>
    <row r="1803" customFormat="false" ht="15" hidden="false" customHeight="false" outlineLevel="0" collapsed="false">
      <c r="A1803" s="19" t="s">
        <v>2453</v>
      </c>
      <c r="B1803" s="19" t="s">
        <v>3670</v>
      </c>
      <c r="C1803" s="19" t="n">
        <v>14</v>
      </c>
      <c r="D1803" s="17" t="s">
        <v>3603</v>
      </c>
      <c r="E1803" s="19" t="n">
        <v>0.85</v>
      </c>
      <c r="F1803" s="17" t="s">
        <v>3604</v>
      </c>
      <c r="G1803" s="17" t="s">
        <v>1104</v>
      </c>
      <c r="H1803" s="19"/>
    </row>
    <row r="1804" customFormat="false" ht="15" hidden="false" customHeight="false" outlineLevel="0" collapsed="false">
      <c r="A1804" s="19" t="s">
        <v>2453</v>
      </c>
      <c r="B1804" s="19" t="s">
        <v>3671</v>
      </c>
      <c r="C1804" s="19" t="n">
        <v>14</v>
      </c>
      <c r="D1804" s="17" t="s">
        <v>3606</v>
      </c>
      <c r="E1804" s="19" t="n">
        <v>0.250775962545319</v>
      </c>
      <c r="F1804" s="17" t="s">
        <v>3672</v>
      </c>
      <c r="G1804" s="17" t="s">
        <v>1104</v>
      </c>
      <c r="H1804" s="19"/>
    </row>
    <row r="1805" customFormat="false" ht="15" hidden="false" customHeight="false" outlineLevel="0" collapsed="false">
      <c r="A1805" s="19" t="s">
        <v>2453</v>
      </c>
      <c r="B1805" s="19" t="s">
        <v>3673</v>
      </c>
      <c r="C1805" s="19" t="n">
        <v>14</v>
      </c>
      <c r="D1805" s="19" t="s">
        <v>896</v>
      </c>
      <c r="E1805" s="19" t="n">
        <v>180.556471684355</v>
      </c>
      <c r="F1805" s="17" t="s">
        <v>3674</v>
      </c>
      <c r="G1805" s="17" t="s">
        <v>1104</v>
      </c>
      <c r="H1805" s="19"/>
    </row>
    <row r="1806" customFormat="false" ht="15" hidden="false" customHeight="false" outlineLevel="0" collapsed="false">
      <c r="A1806" s="19" t="s">
        <v>2453</v>
      </c>
      <c r="B1806" s="19" t="s">
        <v>3675</v>
      </c>
      <c r="C1806" s="19" t="n">
        <v>14</v>
      </c>
      <c r="D1806" s="17" t="s">
        <v>3603</v>
      </c>
      <c r="E1806" s="19" t="n">
        <v>0.85</v>
      </c>
      <c r="F1806" s="17" t="s">
        <v>3604</v>
      </c>
      <c r="G1806" s="17" t="s">
        <v>1104</v>
      </c>
      <c r="H1806" s="19"/>
    </row>
    <row r="1807" customFormat="false" ht="15" hidden="false" customHeight="false" outlineLevel="0" collapsed="false">
      <c r="A1807" s="19" t="s">
        <v>2453</v>
      </c>
      <c r="B1807" s="19" t="s">
        <v>3676</v>
      </c>
      <c r="C1807" s="19" t="n">
        <v>14</v>
      </c>
      <c r="D1807" s="17" t="s">
        <v>3606</v>
      </c>
      <c r="E1807" s="19" t="n">
        <v>0.99863023084846</v>
      </c>
      <c r="F1807" s="17" t="s">
        <v>3677</v>
      </c>
      <c r="G1807" s="17" t="s">
        <v>1104</v>
      </c>
      <c r="H1807" s="19"/>
    </row>
    <row r="1808" customFormat="false" ht="15" hidden="false" customHeight="false" outlineLevel="0" collapsed="false">
      <c r="A1808" s="19" t="s">
        <v>2453</v>
      </c>
      <c r="B1808" s="19" t="s">
        <v>3678</v>
      </c>
      <c r="C1808" s="19" t="n">
        <v>14</v>
      </c>
      <c r="D1808" s="19" t="s">
        <v>896</v>
      </c>
      <c r="E1808" s="19" t="n">
        <v>39.939815445247</v>
      </c>
      <c r="F1808" s="17" t="s">
        <v>3679</v>
      </c>
      <c r="G1808" s="17" t="s">
        <v>1104</v>
      </c>
      <c r="H1808" s="19"/>
    </row>
    <row r="1809" customFormat="false" ht="15" hidden="false" customHeight="false" outlineLevel="0" collapsed="false">
      <c r="A1809" s="55" t="s">
        <v>3680</v>
      </c>
      <c r="B1809" s="55" t="s">
        <v>2057</v>
      </c>
      <c r="C1809" s="55" t="n">
        <v>14</v>
      </c>
      <c r="D1809" s="55" t="s">
        <v>3681</v>
      </c>
      <c r="E1809" s="55" t="n">
        <v>72</v>
      </c>
      <c r="F1809" s="55"/>
      <c r="G1809" s="66" t="s">
        <v>1122</v>
      </c>
      <c r="H1809" s="55"/>
    </row>
    <row r="1810" customFormat="false" ht="15" hidden="false" customHeight="false" outlineLevel="0" collapsed="false">
      <c r="A1810" s="55" t="s">
        <v>3680</v>
      </c>
      <c r="B1810" s="55" t="s">
        <v>3682</v>
      </c>
      <c r="C1810" s="55" t="n">
        <v>14</v>
      </c>
      <c r="D1810" s="55" t="s">
        <v>3683</v>
      </c>
      <c r="E1810" s="55" t="n">
        <v>72</v>
      </c>
      <c r="F1810" s="55"/>
      <c r="G1810" s="66" t="s">
        <v>1122</v>
      </c>
      <c r="H1810" s="55"/>
    </row>
    <row r="1811" customFormat="false" ht="15" hidden="false" customHeight="false" outlineLevel="0" collapsed="false">
      <c r="A1811" s="55" t="s">
        <v>3365</v>
      </c>
      <c r="B1811" s="55" t="s">
        <v>1205</v>
      </c>
      <c r="C1811" s="55" t="n">
        <v>14</v>
      </c>
      <c r="D1811" s="66" t="s">
        <v>3684</v>
      </c>
      <c r="E1811" s="55" t="n">
        <v>44</v>
      </c>
      <c r="F1811" s="55"/>
      <c r="G1811" s="66" t="s">
        <v>1122</v>
      </c>
      <c r="H1811" s="55" t="s">
        <v>140</v>
      </c>
    </row>
    <row r="1812" customFormat="false" ht="15" hidden="false" customHeight="false" outlineLevel="0" collapsed="false">
      <c r="A1812" s="55" t="s">
        <v>3365</v>
      </c>
      <c r="B1812" s="55" t="s">
        <v>1282</v>
      </c>
      <c r="C1812" s="55" t="n">
        <v>14</v>
      </c>
      <c r="D1812" s="66" t="s">
        <v>3685</v>
      </c>
      <c r="E1812" s="55" t="n">
        <v>38</v>
      </c>
      <c r="F1812" s="55"/>
      <c r="G1812" s="66" t="s">
        <v>1122</v>
      </c>
      <c r="H1812" s="55" t="s">
        <v>140</v>
      </c>
    </row>
    <row r="1813" customFormat="false" ht="15" hidden="false" customHeight="false" outlineLevel="0" collapsed="false">
      <c r="A1813" s="55" t="s">
        <v>3365</v>
      </c>
      <c r="B1813" s="55" t="s">
        <v>1228</v>
      </c>
      <c r="C1813" s="55" t="n">
        <v>14</v>
      </c>
      <c r="D1813" s="66" t="s">
        <v>3686</v>
      </c>
      <c r="E1813" s="55" t="n">
        <v>41</v>
      </c>
      <c r="F1813" s="55"/>
      <c r="G1813" s="66" t="s">
        <v>1122</v>
      </c>
      <c r="H1813" s="66" t="s">
        <v>2038</v>
      </c>
    </row>
    <row r="1814" customFormat="false" ht="15" hidden="false" customHeight="false" outlineLevel="0" collapsed="false">
      <c r="A1814" s="55" t="s">
        <v>3365</v>
      </c>
      <c r="B1814" s="55" t="s">
        <v>2678</v>
      </c>
      <c r="C1814" s="55" t="n">
        <v>14</v>
      </c>
      <c r="D1814" s="66" t="s">
        <v>3684</v>
      </c>
      <c r="E1814" s="55" t="n">
        <v>140</v>
      </c>
      <c r="F1814" s="55"/>
      <c r="G1814" s="66" t="s">
        <v>1122</v>
      </c>
      <c r="H1814" s="55" t="s">
        <v>140</v>
      </c>
    </row>
    <row r="1815" customFormat="false" ht="15" hidden="false" customHeight="false" outlineLevel="0" collapsed="false">
      <c r="A1815" s="19" t="s">
        <v>3365</v>
      </c>
      <c r="B1815" s="19" t="s">
        <v>2522</v>
      </c>
      <c r="C1815" s="19" t="n">
        <v>14</v>
      </c>
      <c r="D1815" s="17" t="s">
        <v>3687</v>
      </c>
      <c r="E1815" s="19" t="n">
        <v>120</v>
      </c>
      <c r="F1815" s="17" t="s">
        <v>3688</v>
      </c>
      <c r="G1815" s="17" t="s">
        <v>1104</v>
      </c>
      <c r="H1815" s="17" t="s">
        <v>226</v>
      </c>
    </row>
    <row r="1816" customFormat="false" ht="15" hidden="false" customHeight="false" outlineLevel="0" collapsed="false">
      <c r="A1816" s="19" t="s">
        <v>3365</v>
      </c>
      <c r="B1816" s="19" t="s">
        <v>2687</v>
      </c>
      <c r="C1816" s="19" t="n">
        <v>14</v>
      </c>
      <c r="D1816" s="17" t="s">
        <v>3689</v>
      </c>
      <c r="E1816" s="19" t="n">
        <v>132</v>
      </c>
      <c r="F1816" s="17" t="s">
        <v>3690</v>
      </c>
      <c r="G1816" s="17" t="s">
        <v>1104</v>
      </c>
      <c r="H1816" s="17" t="s">
        <v>226</v>
      </c>
    </row>
    <row r="1817" customFormat="false" ht="15" hidden="false" customHeight="false" outlineLevel="0" collapsed="false">
      <c r="A1817" s="19" t="s">
        <v>3365</v>
      </c>
      <c r="B1817" s="19" t="s">
        <v>2688</v>
      </c>
      <c r="C1817" s="19" t="n">
        <v>14</v>
      </c>
      <c r="D1817" s="17" t="s">
        <v>3691</v>
      </c>
      <c r="E1817" s="19" t="n">
        <v>140</v>
      </c>
      <c r="F1817" s="17" t="s">
        <v>3692</v>
      </c>
      <c r="G1817" s="17" t="s">
        <v>1104</v>
      </c>
      <c r="H1817" s="17" t="s">
        <v>226</v>
      </c>
    </row>
    <row r="1818" customFormat="false" ht="15" hidden="false" customHeight="false" outlineLevel="0" collapsed="false">
      <c r="A1818" s="19" t="s">
        <v>3365</v>
      </c>
      <c r="B1818" s="19" t="s">
        <v>2531</v>
      </c>
      <c r="C1818" s="19" t="n">
        <v>14</v>
      </c>
      <c r="D1818" s="17" t="s">
        <v>3687</v>
      </c>
      <c r="E1818" s="19" t="n">
        <v>132</v>
      </c>
      <c r="F1818" s="17" t="s">
        <v>3693</v>
      </c>
      <c r="G1818" s="17" t="s">
        <v>1104</v>
      </c>
      <c r="H1818" s="17" t="s">
        <v>226</v>
      </c>
    </row>
    <row r="1819" customFormat="false" ht="15" hidden="false" customHeight="false" outlineLevel="0" collapsed="false">
      <c r="A1819" s="55" t="s">
        <v>3365</v>
      </c>
      <c r="B1819" s="55" t="s">
        <v>2692</v>
      </c>
      <c r="C1819" s="55" t="n">
        <v>14</v>
      </c>
      <c r="D1819" s="66" t="s">
        <v>3686</v>
      </c>
      <c r="E1819" s="55" t="n">
        <v>136</v>
      </c>
      <c r="F1819" s="55"/>
      <c r="G1819" s="66" t="s">
        <v>1122</v>
      </c>
      <c r="H1819" s="55" t="s">
        <v>131</v>
      </c>
    </row>
    <row r="1820" customFormat="false" ht="15" hidden="false" customHeight="false" outlineLevel="0" collapsed="false">
      <c r="A1820" s="19" t="s">
        <v>3365</v>
      </c>
      <c r="B1820" s="19" t="s">
        <v>2693</v>
      </c>
      <c r="C1820" s="19" t="n">
        <v>14</v>
      </c>
      <c r="D1820" s="17" t="s">
        <v>3691</v>
      </c>
      <c r="E1820" s="19" t="n">
        <v>230</v>
      </c>
      <c r="F1820" s="17" t="s">
        <v>3694</v>
      </c>
      <c r="G1820" s="17" t="s">
        <v>1104</v>
      </c>
      <c r="H1820" s="17" t="s">
        <v>226</v>
      </c>
    </row>
    <row r="1821" customFormat="false" ht="15" hidden="false" customHeight="false" outlineLevel="0" collapsed="false">
      <c r="A1821" s="19" t="s">
        <v>3365</v>
      </c>
      <c r="B1821" s="19" t="s">
        <v>2537</v>
      </c>
      <c r="C1821" s="19" t="n">
        <v>14</v>
      </c>
      <c r="D1821" s="17" t="s">
        <v>3687</v>
      </c>
      <c r="E1821" s="19" t="n">
        <v>188</v>
      </c>
      <c r="F1821" s="17" t="s">
        <v>3695</v>
      </c>
      <c r="G1821" s="17" t="s">
        <v>1104</v>
      </c>
      <c r="H1821" s="17" t="s">
        <v>226</v>
      </c>
    </row>
    <row r="1822" customFormat="false" ht="15" hidden="false" customHeight="false" outlineLevel="0" collapsed="false">
      <c r="A1822" s="19" t="s">
        <v>3365</v>
      </c>
      <c r="B1822" s="19" t="s">
        <v>2697</v>
      </c>
      <c r="C1822" s="19" t="n">
        <v>14</v>
      </c>
      <c r="D1822" s="17" t="s">
        <v>3689</v>
      </c>
      <c r="E1822" s="19" t="n">
        <v>227</v>
      </c>
      <c r="F1822" s="17" t="s">
        <v>3696</v>
      </c>
      <c r="G1822" s="17" t="s">
        <v>1104</v>
      </c>
      <c r="H1822" s="17" t="s">
        <v>226</v>
      </c>
    </row>
    <row r="1823" customFormat="false" ht="15" hidden="false" customHeight="false" outlineLevel="0" collapsed="false">
      <c r="A1823" s="55" t="s">
        <v>3365</v>
      </c>
      <c r="B1823" s="55" t="s">
        <v>3032</v>
      </c>
      <c r="C1823" s="55" t="n">
        <v>14</v>
      </c>
      <c r="D1823" s="66" t="s">
        <v>3684</v>
      </c>
      <c r="E1823" s="55" t="n">
        <v>454</v>
      </c>
      <c r="F1823" s="55"/>
      <c r="G1823" s="66" t="s">
        <v>1122</v>
      </c>
      <c r="H1823" s="55" t="s">
        <v>131</v>
      </c>
    </row>
    <row r="1824" customFormat="false" ht="15" hidden="false" customHeight="false" outlineLevel="0" collapsed="false">
      <c r="A1824" s="55" t="s">
        <v>3365</v>
      </c>
      <c r="B1824" s="55" t="s">
        <v>2543</v>
      </c>
      <c r="C1824" s="55" t="n">
        <v>14</v>
      </c>
      <c r="D1824" s="66" t="s">
        <v>3685</v>
      </c>
      <c r="E1824" s="55" t="n">
        <v>300</v>
      </c>
      <c r="F1824" s="55"/>
      <c r="G1824" s="66" t="s">
        <v>1122</v>
      </c>
      <c r="H1824" s="55" t="s">
        <v>131</v>
      </c>
    </row>
    <row r="1825" customFormat="false" ht="15" hidden="false" customHeight="false" outlineLevel="0" collapsed="false">
      <c r="A1825" s="55" t="s">
        <v>3365</v>
      </c>
      <c r="B1825" s="55" t="s">
        <v>3390</v>
      </c>
      <c r="C1825" s="55" t="n">
        <v>14</v>
      </c>
      <c r="D1825" s="66" t="s">
        <v>3686</v>
      </c>
      <c r="E1825" s="55" t="n">
        <v>340</v>
      </c>
      <c r="F1825" s="55"/>
      <c r="G1825" s="66" t="s">
        <v>1122</v>
      </c>
      <c r="H1825" s="55" t="s">
        <v>131</v>
      </c>
    </row>
    <row r="1826" customFormat="false" ht="15" hidden="false" customHeight="false" outlineLevel="0" collapsed="false">
      <c r="A1826" s="55" t="s">
        <v>1465</v>
      </c>
      <c r="B1826" s="55" t="s">
        <v>2531</v>
      </c>
      <c r="C1826" s="55" t="n">
        <v>15</v>
      </c>
      <c r="D1826" s="66" t="s">
        <v>3697</v>
      </c>
      <c r="E1826" s="55" t="n">
        <v>0.08</v>
      </c>
      <c r="F1826" s="55"/>
      <c r="G1826" s="66" t="s">
        <v>1122</v>
      </c>
      <c r="H1826" s="55" t="s">
        <v>140</v>
      </c>
    </row>
    <row r="1827" customFormat="false" ht="15" hidden="false" customHeight="false" outlineLevel="0" collapsed="false">
      <c r="A1827" s="19" t="s">
        <v>2615</v>
      </c>
      <c r="B1827" s="19" t="s">
        <v>1205</v>
      </c>
      <c r="C1827" s="19" t="n">
        <v>15</v>
      </c>
      <c r="D1827" s="19" t="s">
        <v>3698</v>
      </c>
      <c r="E1827" s="19" t="n">
        <v>1</v>
      </c>
      <c r="F1827" s="17" t="s">
        <v>3699</v>
      </c>
      <c r="G1827" s="17" t="s">
        <v>1104</v>
      </c>
      <c r="H1827" s="19"/>
    </row>
    <row r="1828" customFormat="false" ht="15" hidden="false" customHeight="false" outlineLevel="0" collapsed="false">
      <c r="A1828" s="19" t="s">
        <v>2615</v>
      </c>
      <c r="B1828" s="19" t="s">
        <v>1203</v>
      </c>
      <c r="C1828" s="19" t="n">
        <v>15</v>
      </c>
      <c r="D1828" s="17" t="s">
        <v>796</v>
      </c>
      <c r="E1828" s="19" t="n">
        <v>13</v>
      </c>
      <c r="F1828" s="17" t="s">
        <v>3700</v>
      </c>
      <c r="G1828" s="17" t="s">
        <v>1104</v>
      </c>
      <c r="H1828" s="19"/>
    </row>
    <row r="1829" customFormat="false" ht="15" hidden="false" customHeight="false" outlineLevel="0" collapsed="false">
      <c r="A1829" s="19" t="s">
        <v>2615</v>
      </c>
      <c r="B1829" s="19" t="s">
        <v>1162</v>
      </c>
      <c r="C1829" s="19" t="n">
        <v>15</v>
      </c>
      <c r="D1829" s="17" t="s">
        <v>810</v>
      </c>
      <c r="E1829" s="19" t="n">
        <v>5636096</v>
      </c>
      <c r="F1829" s="17" t="s">
        <v>3701</v>
      </c>
      <c r="G1829" s="17" t="s">
        <v>1104</v>
      </c>
      <c r="H1829" s="19"/>
    </row>
    <row r="1830" customFormat="false" ht="15" hidden="false" customHeight="false" outlineLevel="0" collapsed="false">
      <c r="A1830" s="19" t="s">
        <v>2615</v>
      </c>
      <c r="B1830" s="19" t="s">
        <v>1472</v>
      </c>
      <c r="C1830" s="19" t="n">
        <v>15</v>
      </c>
      <c r="D1830" s="19" t="s">
        <v>3702</v>
      </c>
      <c r="E1830" s="19" t="n">
        <v>84.3000593119602</v>
      </c>
      <c r="F1830" s="17" t="s">
        <v>3703</v>
      </c>
      <c r="G1830" s="17" t="s">
        <v>1104</v>
      </c>
      <c r="H1830" s="19"/>
    </row>
    <row r="1831" customFormat="false" ht="15" hidden="false" customHeight="false" outlineLevel="0" collapsed="false">
      <c r="A1831" s="19" t="s">
        <v>2615</v>
      </c>
      <c r="B1831" s="19" t="s">
        <v>2055</v>
      </c>
      <c r="C1831" s="19" t="n">
        <v>15</v>
      </c>
      <c r="D1831" s="19" t="s">
        <v>3704</v>
      </c>
      <c r="E1831" s="19" t="n">
        <v>3</v>
      </c>
      <c r="F1831" s="17" t="s">
        <v>3705</v>
      </c>
      <c r="G1831" s="17" t="s">
        <v>1104</v>
      </c>
      <c r="H1831" s="19"/>
    </row>
    <row r="1832" customFormat="false" ht="15" hidden="false" customHeight="false" outlineLevel="0" collapsed="false">
      <c r="A1832" s="19" t="s">
        <v>2615</v>
      </c>
      <c r="B1832" s="19" t="s">
        <v>3602</v>
      </c>
      <c r="C1832" s="19" t="n">
        <v>15</v>
      </c>
      <c r="D1832" s="17" t="s">
        <v>3603</v>
      </c>
      <c r="E1832" s="19" t="n">
        <v>1</v>
      </c>
      <c r="F1832" s="17" t="s">
        <v>3706</v>
      </c>
      <c r="G1832" s="17" t="s">
        <v>1104</v>
      </c>
      <c r="H1832" s="19"/>
    </row>
    <row r="1833" customFormat="false" ht="15" hidden="false" customHeight="false" outlineLevel="0" collapsed="false">
      <c r="A1833" s="19" t="s">
        <v>2615</v>
      </c>
      <c r="B1833" s="19" t="s">
        <v>3682</v>
      </c>
      <c r="C1833" s="19" t="n">
        <v>15</v>
      </c>
      <c r="D1833" s="19" t="s">
        <v>851</v>
      </c>
      <c r="E1833" s="19" t="n">
        <v>38.728198496256</v>
      </c>
      <c r="F1833" s="17" t="s">
        <v>3707</v>
      </c>
      <c r="G1833" s="17" t="s">
        <v>1104</v>
      </c>
      <c r="H1833" s="19"/>
    </row>
    <row r="1834" customFormat="false" ht="15" hidden="false" customHeight="false" outlineLevel="0" collapsed="false">
      <c r="A1834" s="19" t="s">
        <v>2615</v>
      </c>
      <c r="B1834" s="19" t="s">
        <v>3708</v>
      </c>
      <c r="C1834" s="19" t="n">
        <v>15</v>
      </c>
      <c r="D1834" s="19" t="s">
        <v>855</v>
      </c>
      <c r="E1834" s="19" t="n">
        <v>2175.232</v>
      </c>
      <c r="F1834" s="17" t="s">
        <v>3709</v>
      </c>
      <c r="G1834" s="17" t="s">
        <v>1104</v>
      </c>
      <c r="H1834" s="19"/>
    </row>
    <row r="1835" customFormat="false" ht="15" hidden="false" customHeight="false" outlineLevel="0" collapsed="false">
      <c r="A1835" s="55" t="s">
        <v>2615</v>
      </c>
      <c r="B1835" s="55" t="s">
        <v>1280</v>
      </c>
      <c r="C1835" s="55" t="n">
        <v>15</v>
      </c>
      <c r="D1835" s="66" t="s">
        <v>3710</v>
      </c>
      <c r="E1835" s="55" t="n">
        <v>1</v>
      </c>
      <c r="F1835" s="55"/>
      <c r="G1835" s="66" t="s">
        <v>1122</v>
      </c>
      <c r="H1835" s="55"/>
    </row>
    <row r="1836" customFormat="false" ht="15" hidden="false" customHeight="false" outlineLevel="0" collapsed="false">
      <c r="A1836" s="19" t="s">
        <v>2615</v>
      </c>
      <c r="B1836" s="19" t="s">
        <v>3605</v>
      </c>
      <c r="C1836" s="19" t="n">
        <v>15</v>
      </c>
      <c r="D1836" s="17" t="s">
        <v>3606</v>
      </c>
      <c r="E1836" s="19" t="n">
        <v>1.82441257643477</v>
      </c>
      <c r="F1836" s="17" t="s">
        <v>3711</v>
      </c>
      <c r="G1836" s="17" t="s">
        <v>1104</v>
      </c>
      <c r="H1836" s="19"/>
    </row>
    <row r="1837" customFormat="false" ht="15" hidden="false" customHeight="false" outlineLevel="0" collapsed="false">
      <c r="A1837" s="19" t="s">
        <v>2615</v>
      </c>
      <c r="B1837" s="19" t="s">
        <v>3608</v>
      </c>
      <c r="C1837" s="19" t="n">
        <v>15</v>
      </c>
      <c r="D1837" s="19" t="s">
        <v>896</v>
      </c>
      <c r="E1837" s="19" t="n">
        <v>8.77582932892952</v>
      </c>
      <c r="F1837" s="17" t="s">
        <v>3712</v>
      </c>
      <c r="G1837" s="17" t="s">
        <v>1104</v>
      </c>
      <c r="H1837" s="19"/>
    </row>
    <row r="1838" customFormat="false" ht="15" hidden="false" customHeight="false" outlineLevel="0" collapsed="false">
      <c r="A1838" s="19" t="s">
        <v>2615</v>
      </c>
      <c r="B1838" s="19" t="s">
        <v>2678</v>
      </c>
      <c r="C1838" s="19" t="n">
        <v>15</v>
      </c>
      <c r="D1838" s="19" t="s">
        <v>3698</v>
      </c>
      <c r="E1838" s="19" t="n">
        <v>1</v>
      </c>
      <c r="F1838" s="17" t="s">
        <v>3699</v>
      </c>
      <c r="G1838" s="17" t="s">
        <v>1104</v>
      </c>
      <c r="H1838" s="19"/>
    </row>
    <row r="1839" customFormat="false" ht="15" hidden="false" customHeight="false" outlineLevel="0" collapsed="false">
      <c r="A1839" s="19" t="s">
        <v>2615</v>
      </c>
      <c r="B1839" s="19" t="s">
        <v>1317</v>
      </c>
      <c r="C1839" s="19" t="n">
        <v>15</v>
      </c>
      <c r="D1839" s="17" t="s">
        <v>796</v>
      </c>
      <c r="E1839" s="19" t="n">
        <v>49</v>
      </c>
      <c r="F1839" s="17" t="s">
        <v>3713</v>
      </c>
      <c r="G1839" s="17" t="s">
        <v>1104</v>
      </c>
      <c r="H1839" s="19"/>
    </row>
    <row r="1840" customFormat="false" ht="15" hidden="false" customHeight="false" outlineLevel="0" collapsed="false">
      <c r="A1840" s="19" t="s">
        <v>2615</v>
      </c>
      <c r="B1840" s="19" t="s">
        <v>2608</v>
      </c>
      <c r="C1840" s="19" t="n">
        <v>15</v>
      </c>
      <c r="D1840" s="17" t="s">
        <v>810</v>
      </c>
      <c r="E1840" s="19" t="n">
        <v>15990784</v>
      </c>
      <c r="F1840" s="17" t="s">
        <v>3714</v>
      </c>
      <c r="G1840" s="17" t="s">
        <v>1104</v>
      </c>
      <c r="H1840" s="19"/>
    </row>
    <row r="1841" customFormat="false" ht="15" hidden="false" customHeight="false" outlineLevel="0" collapsed="false">
      <c r="A1841" s="19" t="s">
        <v>2615</v>
      </c>
      <c r="B1841" s="19" t="s">
        <v>1477</v>
      </c>
      <c r="C1841" s="19" t="n">
        <v>15</v>
      </c>
      <c r="D1841" s="19" t="s">
        <v>3702</v>
      </c>
      <c r="E1841" s="19" t="n">
        <v>43.31166124729</v>
      </c>
      <c r="F1841" s="17" t="s">
        <v>3715</v>
      </c>
      <c r="G1841" s="17" t="s">
        <v>1104</v>
      </c>
      <c r="H1841" s="19"/>
    </row>
    <row r="1842" customFormat="false" ht="15" hidden="false" customHeight="false" outlineLevel="0" collapsed="false">
      <c r="A1842" s="19" t="s">
        <v>2615</v>
      </c>
      <c r="B1842" s="19" t="s">
        <v>2075</v>
      </c>
      <c r="C1842" s="19" t="n">
        <v>15</v>
      </c>
      <c r="D1842" s="19" t="s">
        <v>3704</v>
      </c>
      <c r="E1842" s="19" t="n">
        <v>3</v>
      </c>
      <c r="F1842" s="17" t="s">
        <v>3705</v>
      </c>
      <c r="G1842" s="17" t="s">
        <v>1104</v>
      </c>
      <c r="H1842" s="19"/>
    </row>
    <row r="1843" customFormat="false" ht="15" hidden="false" customHeight="false" outlineLevel="0" collapsed="false">
      <c r="A1843" s="19" t="s">
        <v>2615</v>
      </c>
      <c r="B1843" s="19" t="s">
        <v>3610</v>
      </c>
      <c r="C1843" s="19" t="n">
        <v>15</v>
      </c>
      <c r="D1843" s="17" t="s">
        <v>3603</v>
      </c>
      <c r="E1843" s="19" t="n">
        <v>1</v>
      </c>
      <c r="F1843" s="17" t="s">
        <v>3706</v>
      </c>
      <c r="G1843" s="17" t="s">
        <v>1104</v>
      </c>
      <c r="H1843" s="19"/>
    </row>
    <row r="1844" customFormat="false" ht="15" hidden="false" customHeight="false" outlineLevel="0" collapsed="false">
      <c r="A1844" s="19" t="s">
        <v>2615</v>
      </c>
      <c r="B1844" s="19" t="s">
        <v>3716</v>
      </c>
      <c r="C1844" s="19" t="n">
        <v>15</v>
      </c>
      <c r="D1844" s="19" t="s">
        <v>851</v>
      </c>
      <c r="E1844" s="19" t="n">
        <v>133.37673125888</v>
      </c>
      <c r="F1844" s="17" t="s">
        <v>3717</v>
      </c>
      <c r="G1844" s="17" t="s">
        <v>1104</v>
      </c>
      <c r="H1844" s="19"/>
    </row>
    <row r="1845" customFormat="false" ht="15" hidden="false" customHeight="false" outlineLevel="0" collapsed="false">
      <c r="A1845" s="19" t="s">
        <v>2615</v>
      </c>
      <c r="B1845" s="19" t="s">
        <v>3718</v>
      </c>
      <c r="C1845" s="19" t="n">
        <v>15</v>
      </c>
      <c r="D1845" s="19" t="s">
        <v>855</v>
      </c>
      <c r="E1845" s="19" t="n">
        <v>2175.744</v>
      </c>
      <c r="F1845" s="17" t="s">
        <v>3719</v>
      </c>
      <c r="G1845" s="17" t="s">
        <v>1104</v>
      </c>
      <c r="H1845" s="19"/>
    </row>
    <row r="1846" customFormat="false" ht="15" hidden="false" customHeight="false" outlineLevel="0" collapsed="false">
      <c r="A1846" s="55" t="s">
        <v>2615</v>
      </c>
      <c r="B1846" s="55" t="s">
        <v>1681</v>
      </c>
      <c r="C1846" s="55" t="n">
        <v>15</v>
      </c>
      <c r="D1846" s="66" t="s">
        <v>3710</v>
      </c>
      <c r="E1846" s="55" t="n">
        <v>2</v>
      </c>
      <c r="F1846" s="55"/>
      <c r="G1846" s="66" t="s">
        <v>1122</v>
      </c>
      <c r="H1846" s="55"/>
    </row>
    <row r="1847" customFormat="false" ht="15" hidden="false" customHeight="false" outlineLevel="0" collapsed="false">
      <c r="A1847" s="19" t="s">
        <v>2615</v>
      </c>
      <c r="B1847" s="19" t="s">
        <v>3611</v>
      </c>
      <c r="C1847" s="19" t="n">
        <v>15</v>
      </c>
      <c r="D1847" s="17" t="s">
        <v>3606</v>
      </c>
      <c r="E1847" s="19" t="n">
        <v>6.28312690392727</v>
      </c>
      <c r="F1847" s="17" t="s">
        <v>3720</v>
      </c>
      <c r="G1847" s="17" t="s">
        <v>1104</v>
      </c>
      <c r="H1847" s="19"/>
    </row>
    <row r="1848" customFormat="false" ht="15" hidden="false" customHeight="false" outlineLevel="0" collapsed="false">
      <c r="A1848" s="19" t="s">
        <v>2615</v>
      </c>
      <c r="B1848" s="19" t="s">
        <v>3613</v>
      </c>
      <c r="C1848" s="19" t="n">
        <v>15</v>
      </c>
      <c r="D1848" s="19" t="s">
        <v>896</v>
      </c>
      <c r="E1848" s="19" t="n">
        <v>5.19083279341793</v>
      </c>
      <c r="F1848" s="17" t="s">
        <v>3721</v>
      </c>
      <c r="G1848" s="17" t="s">
        <v>1104</v>
      </c>
      <c r="H1848" s="19"/>
    </row>
    <row r="1849" customFormat="false" ht="15" hidden="false" customHeight="false" outlineLevel="0" collapsed="false">
      <c r="A1849" s="19" t="s">
        <v>2615</v>
      </c>
      <c r="B1849" s="19" t="s">
        <v>2688</v>
      </c>
      <c r="C1849" s="19" t="n">
        <v>15</v>
      </c>
      <c r="D1849" s="19" t="s">
        <v>3698</v>
      </c>
      <c r="E1849" s="19" t="n">
        <v>1</v>
      </c>
      <c r="F1849" s="17" t="s">
        <v>3699</v>
      </c>
      <c r="G1849" s="17" t="s">
        <v>1104</v>
      </c>
      <c r="H1849" s="19"/>
    </row>
    <row r="1850" customFormat="false" ht="15" hidden="false" customHeight="false" outlineLevel="0" collapsed="false">
      <c r="A1850" s="19" t="s">
        <v>2615</v>
      </c>
      <c r="B1850" s="19" t="s">
        <v>1325</v>
      </c>
      <c r="C1850" s="19" t="n">
        <v>15</v>
      </c>
      <c r="D1850" s="17" t="s">
        <v>796</v>
      </c>
      <c r="E1850" s="19" t="n">
        <v>180</v>
      </c>
      <c r="F1850" s="17" t="s">
        <v>3722</v>
      </c>
      <c r="G1850" s="17" t="s">
        <v>1104</v>
      </c>
      <c r="H1850" s="19"/>
    </row>
    <row r="1851" customFormat="false" ht="15" hidden="false" customHeight="false" outlineLevel="0" collapsed="false">
      <c r="A1851" s="19" t="s">
        <v>2615</v>
      </c>
      <c r="B1851" s="19" t="s">
        <v>2611</v>
      </c>
      <c r="C1851" s="19" t="n">
        <v>15</v>
      </c>
      <c r="D1851" s="17" t="s">
        <v>810</v>
      </c>
      <c r="E1851" s="19" t="n">
        <v>4915200</v>
      </c>
      <c r="F1851" s="17" t="s">
        <v>3723</v>
      </c>
      <c r="G1851" s="17" t="s">
        <v>1104</v>
      </c>
      <c r="H1851" s="19"/>
    </row>
    <row r="1852" customFormat="false" ht="15" hidden="false" customHeight="false" outlineLevel="0" collapsed="false">
      <c r="A1852" s="19" t="s">
        <v>2615</v>
      </c>
      <c r="B1852" s="19" t="s">
        <v>1481</v>
      </c>
      <c r="C1852" s="19" t="n">
        <v>15</v>
      </c>
      <c r="D1852" s="19" t="s">
        <v>3702</v>
      </c>
      <c r="E1852" s="19" t="n">
        <v>40.8313604965595</v>
      </c>
      <c r="F1852" s="17" t="s">
        <v>3724</v>
      </c>
      <c r="G1852" s="17" t="s">
        <v>1104</v>
      </c>
      <c r="H1852" s="19"/>
    </row>
    <row r="1853" customFormat="false" ht="15" hidden="false" customHeight="false" outlineLevel="0" collapsed="false">
      <c r="A1853" s="19" t="s">
        <v>2615</v>
      </c>
      <c r="B1853" s="19" t="s">
        <v>2095</v>
      </c>
      <c r="C1853" s="19" t="n">
        <v>15</v>
      </c>
      <c r="D1853" s="19" t="s">
        <v>3704</v>
      </c>
      <c r="E1853" s="19" t="n">
        <v>3</v>
      </c>
      <c r="F1853" s="17" t="s">
        <v>3705</v>
      </c>
      <c r="G1853" s="17" t="s">
        <v>1104</v>
      </c>
      <c r="H1853" s="19"/>
    </row>
    <row r="1854" customFormat="false" ht="15" hidden="false" customHeight="false" outlineLevel="0" collapsed="false">
      <c r="A1854" s="19" t="s">
        <v>2615</v>
      </c>
      <c r="B1854" s="19" t="s">
        <v>3615</v>
      </c>
      <c r="C1854" s="19" t="n">
        <v>15</v>
      </c>
      <c r="D1854" s="17" t="s">
        <v>3603</v>
      </c>
      <c r="E1854" s="19" t="n">
        <v>1</v>
      </c>
      <c r="F1854" s="17" t="s">
        <v>3706</v>
      </c>
      <c r="G1854" s="17" t="s">
        <v>1104</v>
      </c>
      <c r="H1854" s="19"/>
    </row>
    <row r="1855" customFormat="false" ht="15" hidden="false" customHeight="false" outlineLevel="0" collapsed="false">
      <c r="A1855" s="19" t="s">
        <v>2615</v>
      </c>
      <c r="B1855" s="19" t="s">
        <v>3725</v>
      </c>
      <c r="C1855" s="19" t="n">
        <v>15</v>
      </c>
      <c r="D1855" s="19" t="s">
        <v>851</v>
      </c>
      <c r="E1855" s="19" t="n">
        <v>531.1276032</v>
      </c>
      <c r="F1855" s="17" t="s">
        <v>3726</v>
      </c>
      <c r="G1855" s="17" t="s">
        <v>1104</v>
      </c>
      <c r="H1855" s="19"/>
    </row>
    <row r="1856" customFormat="false" ht="15" hidden="false" customHeight="false" outlineLevel="0" collapsed="false">
      <c r="A1856" s="19" t="s">
        <v>2615</v>
      </c>
      <c r="B1856" s="19" t="s">
        <v>3727</v>
      </c>
      <c r="C1856" s="19" t="n">
        <v>15</v>
      </c>
      <c r="D1856" s="19" t="s">
        <v>855</v>
      </c>
      <c r="E1856" s="19" t="n">
        <v>16384</v>
      </c>
      <c r="F1856" s="17" t="s">
        <v>3728</v>
      </c>
      <c r="G1856" s="17" t="s">
        <v>1104</v>
      </c>
      <c r="H1856" s="19"/>
    </row>
    <row r="1857" customFormat="false" ht="15" hidden="false" customHeight="false" outlineLevel="0" collapsed="false">
      <c r="A1857" s="55" t="s">
        <v>2615</v>
      </c>
      <c r="B1857" s="55" t="s">
        <v>1695</v>
      </c>
      <c r="C1857" s="55" t="n">
        <v>15</v>
      </c>
      <c r="D1857" s="66" t="s">
        <v>3710</v>
      </c>
      <c r="E1857" s="55" t="n">
        <v>3</v>
      </c>
      <c r="F1857" s="55"/>
      <c r="G1857" s="66" t="s">
        <v>1122</v>
      </c>
      <c r="H1857" s="55"/>
    </row>
    <row r="1858" customFormat="false" ht="15" hidden="false" customHeight="false" outlineLevel="0" collapsed="false">
      <c r="A1858" s="19" t="s">
        <v>2615</v>
      </c>
      <c r="B1858" s="19" t="s">
        <v>3616</v>
      </c>
      <c r="C1858" s="19" t="n">
        <v>15</v>
      </c>
      <c r="D1858" s="17" t="s">
        <v>3606</v>
      </c>
      <c r="E1858" s="19" t="n">
        <v>25.0204222399711</v>
      </c>
      <c r="F1858" s="17" t="s">
        <v>3729</v>
      </c>
      <c r="G1858" s="17" t="s">
        <v>1104</v>
      </c>
      <c r="H1858" s="19"/>
    </row>
    <row r="1859" customFormat="false" ht="15" hidden="false" customHeight="false" outlineLevel="0" collapsed="false">
      <c r="A1859" s="19" t="s">
        <v>2615</v>
      </c>
      <c r="B1859" s="19" t="s">
        <v>3618</v>
      </c>
      <c r="C1859" s="19" t="n">
        <v>15</v>
      </c>
      <c r="D1859" s="19" t="s">
        <v>896</v>
      </c>
      <c r="E1859" s="19" t="n">
        <v>0.996151902088559</v>
      </c>
      <c r="F1859" s="17" t="s">
        <v>3730</v>
      </c>
      <c r="G1859" s="17" t="s">
        <v>1104</v>
      </c>
      <c r="H1859" s="19"/>
    </row>
    <row r="1860" customFormat="false" ht="15" hidden="false" customHeight="false" outlineLevel="0" collapsed="false">
      <c r="A1860" s="19" t="s">
        <v>2615</v>
      </c>
      <c r="B1860" s="19" t="s">
        <v>2693</v>
      </c>
      <c r="C1860" s="19" t="n">
        <v>15</v>
      </c>
      <c r="D1860" s="19" t="s">
        <v>3698</v>
      </c>
      <c r="E1860" s="19" t="n">
        <v>1</v>
      </c>
      <c r="F1860" s="17" t="s">
        <v>3699</v>
      </c>
      <c r="G1860" s="17" t="s">
        <v>1104</v>
      </c>
      <c r="H1860" s="19"/>
    </row>
    <row r="1861" customFormat="false" ht="15" hidden="false" customHeight="false" outlineLevel="0" collapsed="false">
      <c r="A1861" s="19" t="s">
        <v>2615</v>
      </c>
      <c r="B1861" s="19" t="s">
        <v>1333</v>
      </c>
      <c r="C1861" s="19" t="n">
        <v>15</v>
      </c>
      <c r="D1861" s="17" t="s">
        <v>796</v>
      </c>
      <c r="E1861" s="19" t="n">
        <v>13</v>
      </c>
      <c r="F1861" s="17" t="s">
        <v>3731</v>
      </c>
      <c r="G1861" s="17" t="s">
        <v>1104</v>
      </c>
      <c r="H1861" s="19"/>
    </row>
    <row r="1862" customFormat="false" ht="15" hidden="false" customHeight="false" outlineLevel="0" collapsed="false">
      <c r="A1862" s="19" t="s">
        <v>2615</v>
      </c>
      <c r="B1862" s="19" t="s">
        <v>2614</v>
      </c>
      <c r="C1862" s="19" t="n">
        <v>15</v>
      </c>
      <c r="D1862" s="17" t="s">
        <v>810</v>
      </c>
      <c r="E1862" s="19" t="n">
        <v>5636096</v>
      </c>
      <c r="F1862" s="17" t="s">
        <v>3732</v>
      </c>
      <c r="G1862" s="17" t="s">
        <v>1104</v>
      </c>
      <c r="H1862" s="19"/>
    </row>
    <row r="1863" customFormat="false" ht="15" hidden="false" customHeight="false" outlineLevel="0" collapsed="false">
      <c r="A1863" s="19" t="s">
        <v>2615</v>
      </c>
      <c r="B1863" s="19" t="s">
        <v>1486</v>
      </c>
      <c r="C1863" s="19" t="n">
        <v>15</v>
      </c>
      <c r="D1863" s="19" t="s">
        <v>3702</v>
      </c>
      <c r="E1863" s="19" t="n">
        <v>84.3000593119602</v>
      </c>
      <c r="F1863" s="17" t="s">
        <v>3733</v>
      </c>
      <c r="G1863" s="17" t="s">
        <v>1104</v>
      </c>
      <c r="H1863" s="19"/>
    </row>
    <row r="1864" customFormat="false" ht="15" hidden="false" customHeight="false" outlineLevel="0" collapsed="false">
      <c r="A1864" s="19" t="s">
        <v>2615</v>
      </c>
      <c r="B1864" s="19" t="s">
        <v>2114</v>
      </c>
      <c r="C1864" s="19" t="n">
        <v>15</v>
      </c>
      <c r="D1864" s="19" t="s">
        <v>3704</v>
      </c>
      <c r="E1864" s="19" t="n">
        <v>3</v>
      </c>
      <c r="F1864" s="17" t="s">
        <v>3705</v>
      </c>
      <c r="G1864" s="17" t="s">
        <v>1104</v>
      </c>
      <c r="H1864" s="19"/>
    </row>
    <row r="1865" customFormat="false" ht="15" hidden="false" customHeight="false" outlineLevel="0" collapsed="false">
      <c r="A1865" s="19" t="s">
        <v>2615</v>
      </c>
      <c r="B1865" s="19" t="s">
        <v>3620</v>
      </c>
      <c r="C1865" s="19" t="n">
        <v>15</v>
      </c>
      <c r="D1865" s="17" t="s">
        <v>3603</v>
      </c>
      <c r="E1865" s="19" t="n">
        <v>1</v>
      </c>
      <c r="F1865" s="17" t="s">
        <v>3706</v>
      </c>
      <c r="G1865" s="17" t="s">
        <v>1104</v>
      </c>
      <c r="H1865" s="19"/>
    </row>
    <row r="1866" customFormat="false" ht="15" hidden="false" customHeight="false" outlineLevel="0" collapsed="false">
      <c r="A1866" s="19" t="s">
        <v>2615</v>
      </c>
      <c r="B1866" s="19" t="s">
        <v>3734</v>
      </c>
      <c r="C1866" s="19" t="n">
        <v>15</v>
      </c>
      <c r="D1866" s="19" t="s">
        <v>851</v>
      </c>
      <c r="E1866" s="19" t="n">
        <v>38.728198496256</v>
      </c>
      <c r="F1866" s="17" t="s">
        <v>3735</v>
      </c>
      <c r="G1866" s="17" t="s">
        <v>1104</v>
      </c>
      <c r="H1866" s="19"/>
    </row>
    <row r="1867" customFormat="false" ht="15" hidden="false" customHeight="false" outlineLevel="0" collapsed="false">
      <c r="A1867" s="19" t="s">
        <v>2615</v>
      </c>
      <c r="B1867" s="19" t="s">
        <v>3736</v>
      </c>
      <c r="C1867" s="19" t="n">
        <v>15</v>
      </c>
      <c r="D1867" s="19" t="s">
        <v>855</v>
      </c>
      <c r="E1867" s="19" t="n">
        <v>2175.232</v>
      </c>
      <c r="F1867" s="17" t="s">
        <v>3737</v>
      </c>
      <c r="G1867" s="17" t="s">
        <v>1104</v>
      </c>
      <c r="H1867" s="19"/>
    </row>
    <row r="1868" customFormat="false" ht="15" hidden="false" customHeight="false" outlineLevel="0" collapsed="false">
      <c r="A1868" s="55" t="s">
        <v>2615</v>
      </c>
      <c r="B1868" s="55" t="s">
        <v>1709</v>
      </c>
      <c r="C1868" s="55" t="n">
        <v>15</v>
      </c>
      <c r="D1868" s="66" t="s">
        <v>3710</v>
      </c>
      <c r="E1868" s="55" t="n">
        <v>1</v>
      </c>
      <c r="F1868" s="55"/>
      <c r="G1868" s="66" t="s">
        <v>1122</v>
      </c>
      <c r="H1868" s="55"/>
    </row>
    <row r="1869" customFormat="false" ht="15" hidden="false" customHeight="false" outlineLevel="0" collapsed="false">
      <c r="A1869" s="19" t="s">
        <v>2615</v>
      </c>
      <c r="B1869" s="19" t="s">
        <v>3621</v>
      </c>
      <c r="C1869" s="19" t="n">
        <v>15</v>
      </c>
      <c r="D1869" s="17" t="s">
        <v>3606</v>
      </c>
      <c r="E1869" s="19" t="n">
        <v>0.376749129262374</v>
      </c>
      <c r="F1869" s="17" t="s">
        <v>3738</v>
      </c>
      <c r="G1869" s="17" t="s">
        <v>1104</v>
      </c>
      <c r="H1869" s="19"/>
    </row>
    <row r="1870" customFormat="false" ht="15" hidden="false" customHeight="false" outlineLevel="0" collapsed="false">
      <c r="A1870" s="19" t="s">
        <v>2615</v>
      </c>
      <c r="B1870" s="19" t="s">
        <v>3623</v>
      </c>
      <c r="C1870" s="19" t="n">
        <v>15</v>
      </c>
      <c r="D1870" s="19" t="s">
        <v>896</v>
      </c>
      <c r="E1870" s="19" t="n">
        <v>56.6538032767028</v>
      </c>
      <c r="F1870" s="17" t="s">
        <v>3739</v>
      </c>
      <c r="G1870" s="17" t="s">
        <v>1104</v>
      </c>
      <c r="H1870" s="19"/>
    </row>
    <row r="1871" customFormat="false" ht="15" hidden="false" customHeight="false" outlineLevel="0" collapsed="false">
      <c r="A1871" s="19" t="s">
        <v>2615</v>
      </c>
      <c r="B1871" s="19" t="s">
        <v>3032</v>
      </c>
      <c r="C1871" s="19" t="n">
        <v>15</v>
      </c>
      <c r="D1871" s="19" t="s">
        <v>3698</v>
      </c>
      <c r="E1871" s="19" t="n">
        <v>1</v>
      </c>
      <c r="F1871" s="17" t="s">
        <v>3699</v>
      </c>
      <c r="G1871" s="17" t="s">
        <v>1104</v>
      </c>
      <c r="H1871" s="19"/>
    </row>
    <row r="1872" customFormat="false" ht="15" hidden="false" customHeight="false" outlineLevel="0" collapsed="false">
      <c r="A1872" s="19" t="s">
        <v>2615</v>
      </c>
      <c r="B1872" s="19" t="s">
        <v>2127</v>
      </c>
      <c r="C1872" s="19" t="n">
        <v>15</v>
      </c>
      <c r="D1872" s="17" t="s">
        <v>796</v>
      </c>
      <c r="E1872" s="19" t="n">
        <v>49</v>
      </c>
      <c r="F1872" s="17" t="s">
        <v>3740</v>
      </c>
      <c r="G1872" s="17" t="s">
        <v>1104</v>
      </c>
      <c r="H1872" s="19"/>
    </row>
    <row r="1873" customFormat="false" ht="15" hidden="false" customHeight="false" outlineLevel="0" collapsed="false">
      <c r="A1873" s="19" t="s">
        <v>2615</v>
      </c>
      <c r="B1873" s="19" t="s">
        <v>3741</v>
      </c>
      <c r="C1873" s="19" t="n">
        <v>15</v>
      </c>
      <c r="D1873" s="17" t="s">
        <v>810</v>
      </c>
      <c r="E1873" s="19" t="n">
        <v>15990784</v>
      </c>
      <c r="F1873" s="17" t="s">
        <v>3742</v>
      </c>
      <c r="G1873" s="17" t="s">
        <v>1104</v>
      </c>
      <c r="H1873" s="19"/>
    </row>
    <row r="1874" customFormat="false" ht="15" hidden="false" customHeight="false" outlineLevel="0" collapsed="false">
      <c r="A1874" s="19" t="s">
        <v>2615</v>
      </c>
      <c r="B1874" s="19" t="s">
        <v>1492</v>
      </c>
      <c r="C1874" s="19" t="n">
        <v>15</v>
      </c>
      <c r="D1874" s="19" t="s">
        <v>3702</v>
      </c>
      <c r="E1874" s="19" t="n">
        <v>43.31166124729</v>
      </c>
      <c r="F1874" s="17" t="s">
        <v>3743</v>
      </c>
      <c r="G1874" s="17" t="s">
        <v>1104</v>
      </c>
      <c r="H1874" s="19"/>
    </row>
    <row r="1875" customFormat="false" ht="15" hidden="false" customHeight="false" outlineLevel="0" collapsed="false">
      <c r="A1875" s="19" t="s">
        <v>2615</v>
      </c>
      <c r="B1875" s="19" t="s">
        <v>2137</v>
      </c>
      <c r="C1875" s="19" t="n">
        <v>15</v>
      </c>
      <c r="D1875" s="19" t="s">
        <v>3704</v>
      </c>
      <c r="E1875" s="19" t="n">
        <v>3</v>
      </c>
      <c r="F1875" s="17" t="s">
        <v>3705</v>
      </c>
      <c r="G1875" s="17" t="s">
        <v>1104</v>
      </c>
      <c r="H1875" s="19"/>
    </row>
    <row r="1876" customFormat="false" ht="15" hidden="false" customHeight="false" outlineLevel="0" collapsed="false">
      <c r="A1876" s="19" t="s">
        <v>2615</v>
      </c>
      <c r="B1876" s="19" t="s">
        <v>3625</v>
      </c>
      <c r="C1876" s="19" t="n">
        <v>15</v>
      </c>
      <c r="D1876" s="17" t="s">
        <v>3603</v>
      </c>
      <c r="E1876" s="19" t="n">
        <v>1</v>
      </c>
      <c r="F1876" s="17" t="s">
        <v>3706</v>
      </c>
      <c r="G1876" s="17" t="s">
        <v>1104</v>
      </c>
      <c r="H1876" s="19"/>
    </row>
    <row r="1877" customFormat="false" ht="15" hidden="false" customHeight="false" outlineLevel="0" collapsed="false">
      <c r="A1877" s="19" t="s">
        <v>2615</v>
      </c>
      <c r="B1877" s="19" t="s">
        <v>3744</v>
      </c>
      <c r="C1877" s="19" t="n">
        <v>15</v>
      </c>
      <c r="D1877" s="19" t="s">
        <v>851</v>
      </c>
      <c r="E1877" s="19" t="n">
        <v>133.37673125888</v>
      </c>
      <c r="F1877" s="17" t="s">
        <v>3745</v>
      </c>
      <c r="G1877" s="17" t="s">
        <v>1104</v>
      </c>
      <c r="H1877" s="19"/>
    </row>
    <row r="1878" customFormat="false" ht="15" hidden="false" customHeight="false" outlineLevel="0" collapsed="false">
      <c r="A1878" s="19" t="s">
        <v>2615</v>
      </c>
      <c r="B1878" s="19" t="s">
        <v>3746</v>
      </c>
      <c r="C1878" s="19" t="n">
        <v>15</v>
      </c>
      <c r="D1878" s="19" t="s">
        <v>855</v>
      </c>
      <c r="E1878" s="19" t="n">
        <v>2175.744</v>
      </c>
      <c r="F1878" s="17" t="s">
        <v>3747</v>
      </c>
      <c r="G1878" s="17" t="s">
        <v>1104</v>
      </c>
      <c r="H1878" s="19"/>
    </row>
    <row r="1879" customFormat="false" ht="15" hidden="false" customHeight="false" outlineLevel="0" collapsed="false">
      <c r="A1879" s="55" t="s">
        <v>2615</v>
      </c>
      <c r="B1879" s="55" t="s">
        <v>1725</v>
      </c>
      <c r="C1879" s="55" t="n">
        <v>15</v>
      </c>
      <c r="D1879" s="66" t="s">
        <v>3710</v>
      </c>
      <c r="E1879" s="55" t="n">
        <v>2</v>
      </c>
      <c r="F1879" s="55"/>
      <c r="G1879" s="66" t="s">
        <v>1122</v>
      </c>
      <c r="H1879" s="55"/>
    </row>
    <row r="1880" customFormat="false" ht="15" hidden="false" customHeight="false" outlineLevel="0" collapsed="false">
      <c r="A1880" s="19" t="s">
        <v>2615</v>
      </c>
      <c r="B1880" s="19" t="s">
        <v>3626</v>
      </c>
      <c r="C1880" s="19" t="n">
        <v>15</v>
      </c>
      <c r="D1880" s="17" t="s">
        <v>3606</v>
      </c>
      <c r="E1880" s="19" t="n">
        <v>1.29749302360404</v>
      </c>
      <c r="F1880" s="17" t="s">
        <v>3748</v>
      </c>
      <c r="G1880" s="17" t="s">
        <v>1104</v>
      </c>
      <c r="H1880" s="19"/>
    </row>
    <row r="1881" customFormat="false" ht="15" hidden="false" customHeight="false" outlineLevel="0" collapsed="false">
      <c r="A1881" s="19" t="s">
        <v>2615</v>
      </c>
      <c r="B1881" s="19" t="s">
        <v>3628</v>
      </c>
      <c r="C1881" s="19" t="n">
        <v>15</v>
      </c>
      <c r="D1881" s="19" t="s">
        <v>896</v>
      </c>
      <c r="E1881" s="19" t="n">
        <v>32.4945422053755</v>
      </c>
      <c r="F1881" s="17" t="s">
        <v>3749</v>
      </c>
      <c r="G1881" s="17" t="s">
        <v>1104</v>
      </c>
      <c r="H1881" s="19"/>
    </row>
    <row r="1882" customFormat="false" ht="15" hidden="false" customHeight="false" outlineLevel="0" collapsed="false">
      <c r="A1882" s="19" t="s">
        <v>2615</v>
      </c>
      <c r="B1882" s="19" t="s">
        <v>3037</v>
      </c>
      <c r="C1882" s="19" t="n">
        <v>15</v>
      </c>
      <c r="D1882" s="19" t="s">
        <v>3698</v>
      </c>
      <c r="E1882" s="19" t="n">
        <v>1</v>
      </c>
      <c r="F1882" s="17" t="s">
        <v>3699</v>
      </c>
      <c r="G1882" s="17" t="s">
        <v>1104</v>
      </c>
      <c r="H1882" s="19"/>
    </row>
    <row r="1883" customFormat="false" ht="15" hidden="false" customHeight="false" outlineLevel="0" collapsed="false">
      <c r="A1883" s="19" t="s">
        <v>2615</v>
      </c>
      <c r="B1883" s="19" t="s">
        <v>2150</v>
      </c>
      <c r="C1883" s="19" t="n">
        <v>15</v>
      </c>
      <c r="D1883" s="17" t="s">
        <v>796</v>
      </c>
      <c r="E1883" s="19" t="n">
        <v>180</v>
      </c>
      <c r="F1883" s="17" t="s">
        <v>3750</v>
      </c>
      <c r="G1883" s="17" t="s">
        <v>1104</v>
      </c>
      <c r="H1883" s="19"/>
    </row>
    <row r="1884" customFormat="false" ht="15" hidden="false" customHeight="false" outlineLevel="0" collapsed="false">
      <c r="A1884" s="19" t="s">
        <v>2615</v>
      </c>
      <c r="B1884" s="19" t="s">
        <v>3751</v>
      </c>
      <c r="C1884" s="19" t="n">
        <v>15</v>
      </c>
      <c r="D1884" s="17" t="s">
        <v>810</v>
      </c>
      <c r="E1884" s="19" t="n">
        <v>4915200</v>
      </c>
      <c r="F1884" s="17" t="s">
        <v>3752</v>
      </c>
      <c r="G1884" s="17" t="s">
        <v>1104</v>
      </c>
      <c r="H1884" s="19"/>
    </row>
    <row r="1885" customFormat="false" ht="15" hidden="false" customHeight="false" outlineLevel="0" collapsed="false">
      <c r="A1885" s="19" t="s">
        <v>2615</v>
      </c>
      <c r="B1885" s="19" t="s">
        <v>1498</v>
      </c>
      <c r="C1885" s="19" t="n">
        <v>15</v>
      </c>
      <c r="D1885" s="19" t="s">
        <v>3702</v>
      </c>
      <c r="E1885" s="19" t="n">
        <v>40.8313604965595</v>
      </c>
      <c r="F1885" s="17" t="s">
        <v>3753</v>
      </c>
      <c r="G1885" s="17" t="s">
        <v>1104</v>
      </c>
      <c r="H1885" s="19"/>
    </row>
    <row r="1886" customFormat="false" ht="15" hidden="false" customHeight="false" outlineLevel="0" collapsed="false">
      <c r="A1886" s="19" t="s">
        <v>2615</v>
      </c>
      <c r="B1886" s="19" t="s">
        <v>2160</v>
      </c>
      <c r="C1886" s="19" t="n">
        <v>15</v>
      </c>
      <c r="D1886" s="19" t="s">
        <v>3704</v>
      </c>
      <c r="E1886" s="19" t="n">
        <v>3</v>
      </c>
      <c r="F1886" s="17" t="s">
        <v>3705</v>
      </c>
      <c r="G1886" s="17" t="s">
        <v>1104</v>
      </c>
      <c r="H1886" s="19"/>
    </row>
    <row r="1887" customFormat="false" ht="15" hidden="false" customHeight="false" outlineLevel="0" collapsed="false">
      <c r="A1887" s="19" t="s">
        <v>2615</v>
      </c>
      <c r="B1887" s="19" t="s">
        <v>3630</v>
      </c>
      <c r="C1887" s="19" t="n">
        <v>15</v>
      </c>
      <c r="D1887" s="17" t="s">
        <v>3603</v>
      </c>
      <c r="E1887" s="19" t="n">
        <v>1</v>
      </c>
      <c r="F1887" s="17" t="s">
        <v>3706</v>
      </c>
      <c r="G1887" s="17" t="s">
        <v>1104</v>
      </c>
      <c r="H1887" s="19"/>
    </row>
    <row r="1888" customFormat="false" ht="15" hidden="false" customHeight="false" outlineLevel="0" collapsed="false">
      <c r="A1888" s="19" t="s">
        <v>2615</v>
      </c>
      <c r="B1888" s="19" t="s">
        <v>3754</v>
      </c>
      <c r="C1888" s="19" t="n">
        <v>15</v>
      </c>
      <c r="D1888" s="19" t="s">
        <v>851</v>
      </c>
      <c r="E1888" s="19" t="n">
        <v>531.1276032</v>
      </c>
      <c r="F1888" s="17" t="s">
        <v>3755</v>
      </c>
      <c r="G1888" s="17" t="s">
        <v>1104</v>
      </c>
      <c r="H1888" s="19"/>
    </row>
    <row r="1889" customFormat="false" ht="15" hidden="false" customHeight="false" outlineLevel="0" collapsed="false">
      <c r="A1889" s="19" t="s">
        <v>2615</v>
      </c>
      <c r="B1889" s="19" t="s">
        <v>3756</v>
      </c>
      <c r="C1889" s="19" t="n">
        <v>15</v>
      </c>
      <c r="D1889" s="19" t="s">
        <v>855</v>
      </c>
      <c r="E1889" s="19" t="n">
        <v>16384</v>
      </c>
      <c r="F1889" s="17" t="s">
        <v>3757</v>
      </c>
      <c r="G1889" s="17" t="s">
        <v>1104</v>
      </c>
      <c r="H1889" s="19"/>
    </row>
    <row r="1890" customFormat="false" ht="15" hidden="false" customHeight="false" outlineLevel="0" collapsed="false">
      <c r="A1890" s="55" t="s">
        <v>2615</v>
      </c>
      <c r="B1890" s="55" t="s">
        <v>1741</v>
      </c>
      <c r="C1890" s="55" t="n">
        <v>15</v>
      </c>
      <c r="D1890" s="66" t="s">
        <v>3710</v>
      </c>
      <c r="E1890" s="55" t="n">
        <v>3</v>
      </c>
      <c r="F1890" s="55"/>
      <c r="G1890" s="66" t="s">
        <v>1122</v>
      </c>
      <c r="H1890" s="55"/>
    </row>
    <row r="1891" customFormat="false" ht="15" hidden="false" customHeight="false" outlineLevel="0" collapsed="false">
      <c r="A1891" s="19" t="s">
        <v>2615</v>
      </c>
      <c r="B1891" s="19" t="s">
        <v>3631</v>
      </c>
      <c r="C1891" s="19" t="n">
        <v>15</v>
      </c>
      <c r="D1891" s="17" t="s">
        <v>3606</v>
      </c>
      <c r="E1891" s="19" t="n">
        <v>5.16682597699855</v>
      </c>
      <c r="F1891" s="17" t="s">
        <v>3758</v>
      </c>
      <c r="G1891" s="17" t="s">
        <v>1104</v>
      </c>
      <c r="H1891" s="19"/>
    </row>
    <row r="1892" customFormat="false" ht="15" hidden="false" customHeight="false" outlineLevel="0" collapsed="false">
      <c r="A1892" s="19" t="s">
        <v>2615</v>
      </c>
      <c r="B1892" s="19" t="s">
        <v>3633</v>
      </c>
      <c r="C1892" s="19" t="n">
        <v>15</v>
      </c>
      <c r="D1892" s="19" t="s">
        <v>896</v>
      </c>
      <c r="E1892" s="19" t="n">
        <v>6.61836653752656</v>
      </c>
      <c r="F1892" s="17" t="s">
        <v>3759</v>
      </c>
      <c r="G1892" s="17" t="s">
        <v>1104</v>
      </c>
      <c r="H1892" s="19"/>
    </row>
    <row r="1893" customFormat="false" ht="15" hidden="false" customHeight="false" outlineLevel="0" collapsed="false">
      <c r="A1893" s="19" t="s">
        <v>2615</v>
      </c>
      <c r="B1893" s="19" t="s">
        <v>3042</v>
      </c>
      <c r="C1893" s="19" t="n">
        <v>15</v>
      </c>
      <c r="D1893" s="19" t="s">
        <v>3698</v>
      </c>
      <c r="E1893" s="19" t="n">
        <v>1</v>
      </c>
      <c r="F1893" s="17" t="s">
        <v>3699</v>
      </c>
      <c r="G1893" s="17" t="s">
        <v>1104</v>
      </c>
      <c r="H1893" s="19"/>
    </row>
    <row r="1894" customFormat="false" ht="15" hidden="false" customHeight="false" outlineLevel="0" collapsed="false">
      <c r="A1894" s="19" t="s">
        <v>2615</v>
      </c>
      <c r="B1894" s="19" t="s">
        <v>2173</v>
      </c>
      <c r="C1894" s="19" t="n">
        <v>15</v>
      </c>
      <c r="D1894" s="17" t="s">
        <v>796</v>
      </c>
      <c r="E1894" s="19" t="n">
        <v>13</v>
      </c>
      <c r="F1894" s="17" t="s">
        <v>3760</v>
      </c>
      <c r="G1894" s="17" t="s">
        <v>1104</v>
      </c>
      <c r="H1894" s="19"/>
    </row>
    <row r="1895" customFormat="false" ht="15" hidden="false" customHeight="false" outlineLevel="0" collapsed="false">
      <c r="A1895" s="19" t="s">
        <v>2615</v>
      </c>
      <c r="B1895" s="19" t="s">
        <v>3761</v>
      </c>
      <c r="C1895" s="19" t="n">
        <v>15</v>
      </c>
      <c r="D1895" s="17" t="s">
        <v>810</v>
      </c>
      <c r="E1895" s="19" t="n">
        <v>5636096</v>
      </c>
      <c r="F1895" s="17" t="s">
        <v>3762</v>
      </c>
      <c r="G1895" s="17" t="s">
        <v>1104</v>
      </c>
      <c r="H1895" s="19"/>
    </row>
    <row r="1896" customFormat="false" ht="15" hidden="false" customHeight="false" outlineLevel="0" collapsed="false">
      <c r="A1896" s="19" t="s">
        <v>2615</v>
      </c>
      <c r="B1896" s="19" t="s">
        <v>1504</v>
      </c>
      <c r="C1896" s="19" t="n">
        <v>15</v>
      </c>
      <c r="D1896" s="19" t="s">
        <v>3702</v>
      </c>
      <c r="E1896" s="19" t="n">
        <v>84.3000593119602</v>
      </c>
      <c r="F1896" s="17" t="s">
        <v>3763</v>
      </c>
      <c r="G1896" s="17" t="s">
        <v>1104</v>
      </c>
      <c r="H1896" s="19"/>
    </row>
    <row r="1897" customFormat="false" ht="15" hidden="false" customHeight="false" outlineLevel="0" collapsed="false">
      <c r="A1897" s="19" t="s">
        <v>2615</v>
      </c>
      <c r="B1897" s="19" t="s">
        <v>2183</v>
      </c>
      <c r="C1897" s="19" t="n">
        <v>15</v>
      </c>
      <c r="D1897" s="19" t="s">
        <v>3704</v>
      </c>
      <c r="E1897" s="19" t="n">
        <v>3</v>
      </c>
      <c r="F1897" s="17" t="s">
        <v>3705</v>
      </c>
      <c r="G1897" s="17" t="s">
        <v>1104</v>
      </c>
      <c r="H1897" s="19"/>
    </row>
    <row r="1898" customFormat="false" ht="15" hidden="false" customHeight="false" outlineLevel="0" collapsed="false">
      <c r="A1898" s="19" t="s">
        <v>2615</v>
      </c>
      <c r="B1898" s="19" t="s">
        <v>3635</v>
      </c>
      <c r="C1898" s="19" t="n">
        <v>15</v>
      </c>
      <c r="D1898" s="17" t="s">
        <v>3603</v>
      </c>
      <c r="E1898" s="19" t="n">
        <v>1</v>
      </c>
      <c r="F1898" s="17" t="s">
        <v>3706</v>
      </c>
      <c r="G1898" s="17" t="s">
        <v>1104</v>
      </c>
      <c r="H1898" s="19"/>
    </row>
    <row r="1899" customFormat="false" ht="15" hidden="false" customHeight="false" outlineLevel="0" collapsed="false">
      <c r="A1899" s="19" t="s">
        <v>2615</v>
      </c>
      <c r="B1899" s="19" t="s">
        <v>3764</v>
      </c>
      <c r="C1899" s="19" t="n">
        <v>15</v>
      </c>
      <c r="D1899" s="19" t="s">
        <v>851</v>
      </c>
      <c r="E1899" s="19" t="n">
        <v>38.728198496256</v>
      </c>
      <c r="F1899" s="17" t="s">
        <v>3765</v>
      </c>
      <c r="G1899" s="17" t="s">
        <v>1104</v>
      </c>
      <c r="H1899" s="19"/>
    </row>
    <row r="1900" customFormat="false" ht="15" hidden="false" customHeight="false" outlineLevel="0" collapsed="false">
      <c r="A1900" s="19" t="s">
        <v>2615</v>
      </c>
      <c r="B1900" s="19" t="s">
        <v>3766</v>
      </c>
      <c r="C1900" s="19" t="n">
        <v>15</v>
      </c>
      <c r="D1900" s="19" t="s">
        <v>855</v>
      </c>
      <c r="E1900" s="19" t="n">
        <v>2175.232</v>
      </c>
      <c r="F1900" s="17" t="s">
        <v>3767</v>
      </c>
      <c r="G1900" s="17" t="s">
        <v>1104</v>
      </c>
      <c r="H1900" s="19"/>
    </row>
    <row r="1901" customFormat="false" ht="15" hidden="false" customHeight="false" outlineLevel="0" collapsed="false">
      <c r="A1901" s="55" t="s">
        <v>2615</v>
      </c>
      <c r="B1901" s="55" t="s">
        <v>1757</v>
      </c>
      <c r="C1901" s="55" t="n">
        <v>15</v>
      </c>
      <c r="D1901" s="66" t="s">
        <v>3710</v>
      </c>
      <c r="E1901" s="55" t="n">
        <v>1</v>
      </c>
      <c r="F1901" s="55"/>
      <c r="G1901" s="66" t="s">
        <v>1122</v>
      </c>
      <c r="H1901" s="55"/>
    </row>
    <row r="1902" customFormat="false" ht="15" hidden="false" customHeight="false" outlineLevel="0" collapsed="false">
      <c r="A1902" s="19" t="s">
        <v>2615</v>
      </c>
      <c r="B1902" s="19" t="s">
        <v>3636</v>
      </c>
      <c r="C1902" s="19" t="n">
        <v>15</v>
      </c>
      <c r="D1902" s="17" t="s">
        <v>3606</v>
      </c>
      <c r="E1902" s="19" t="n">
        <v>0.288840999101154</v>
      </c>
      <c r="F1902" s="17" t="s">
        <v>3768</v>
      </c>
      <c r="G1902" s="17" t="s">
        <v>1104</v>
      </c>
      <c r="H1902" s="19"/>
    </row>
    <row r="1903" customFormat="false" ht="15" hidden="false" customHeight="false" outlineLevel="0" collapsed="false">
      <c r="A1903" s="19" t="s">
        <v>2615</v>
      </c>
      <c r="B1903" s="19" t="s">
        <v>3638</v>
      </c>
      <c r="C1903" s="19" t="n">
        <v>15</v>
      </c>
      <c r="D1903" s="19" t="s">
        <v>896</v>
      </c>
      <c r="E1903" s="19" t="n">
        <v>73.8962651435254</v>
      </c>
      <c r="F1903" s="17" t="s">
        <v>3769</v>
      </c>
      <c r="G1903" s="17" t="s">
        <v>1104</v>
      </c>
      <c r="H1903" s="19"/>
    </row>
    <row r="1904" customFormat="false" ht="15" hidden="false" customHeight="false" outlineLevel="0" collapsed="false">
      <c r="A1904" s="19" t="s">
        <v>2615</v>
      </c>
      <c r="B1904" s="19" t="s">
        <v>3048</v>
      </c>
      <c r="C1904" s="19" t="n">
        <v>15</v>
      </c>
      <c r="D1904" s="19" t="s">
        <v>3698</v>
      </c>
      <c r="E1904" s="19" t="n">
        <v>1</v>
      </c>
      <c r="F1904" s="17" t="s">
        <v>3699</v>
      </c>
      <c r="G1904" s="17" t="s">
        <v>1104</v>
      </c>
      <c r="H1904" s="19"/>
    </row>
    <row r="1905" customFormat="false" ht="15" hidden="false" customHeight="false" outlineLevel="0" collapsed="false">
      <c r="A1905" s="19" t="s">
        <v>2615</v>
      </c>
      <c r="B1905" s="19" t="s">
        <v>2196</v>
      </c>
      <c r="C1905" s="19" t="n">
        <v>15</v>
      </c>
      <c r="D1905" s="17" t="s">
        <v>796</v>
      </c>
      <c r="E1905" s="19" t="n">
        <v>49</v>
      </c>
      <c r="F1905" s="17" t="s">
        <v>3770</v>
      </c>
      <c r="G1905" s="17" t="s">
        <v>1104</v>
      </c>
      <c r="H1905" s="19"/>
    </row>
    <row r="1906" customFormat="false" ht="15" hidden="false" customHeight="false" outlineLevel="0" collapsed="false">
      <c r="A1906" s="19" t="s">
        <v>2615</v>
      </c>
      <c r="B1906" s="19" t="s">
        <v>3771</v>
      </c>
      <c r="C1906" s="19" t="n">
        <v>15</v>
      </c>
      <c r="D1906" s="17" t="s">
        <v>810</v>
      </c>
      <c r="E1906" s="19" t="n">
        <v>15990784</v>
      </c>
      <c r="F1906" s="17" t="s">
        <v>3772</v>
      </c>
      <c r="G1906" s="17" t="s">
        <v>1104</v>
      </c>
      <c r="H1906" s="19"/>
    </row>
    <row r="1907" customFormat="false" ht="15" hidden="false" customHeight="false" outlineLevel="0" collapsed="false">
      <c r="A1907" s="19" t="s">
        <v>2615</v>
      </c>
      <c r="B1907" s="19" t="s">
        <v>1510</v>
      </c>
      <c r="C1907" s="19" t="n">
        <v>15</v>
      </c>
      <c r="D1907" s="19" t="s">
        <v>3702</v>
      </c>
      <c r="E1907" s="19" t="n">
        <v>43.31166124729</v>
      </c>
      <c r="F1907" s="17" t="s">
        <v>3773</v>
      </c>
      <c r="G1907" s="17" t="s">
        <v>1104</v>
      </c>
      <c r="H1907" s="19"/>
    </row>
    <row r="1908" customFormat="false" ht="15" hidden="false" customHeight="false" outlineLevel="0" collapsed="false">
      <c r="A1908" s="19" t="s">
        <v>2615</v>
      </c>
      <c r="B1908" s="19" t="s">
        <v>2206</v>
      </c>
      <c r="C1908" s="19" t="n">
        <v>15</v>
      </c>
      <c r="D1908" s="19" t="s">
        <v>3704</v>
      </c>
      <c r="E1908" s="19" t="n">
        <v>3</v>
      </c>
      <c r="F1908" s="17" t="s">
        <v>3705</v>
      </c>
      <c r="G1908" s="17" t="s">
        <v>1104</v>
      </c>
      <c r="H1908" s="19"/>
    </row>
    <row r="1909" customFormat="false" ht="15" hidden="false" customHeight="false" outlineLevel="0" collapsed="false">
      <c r="A1909" s="19" t="s">
        <v>2615</v>
      </c>
      <c r="B1909" s="19" t="s">
        <v>3640</v>
      </c>
      <c r="C1909" s="19" t="n">
        <v>15</v>
      </c>
      <c r="D1909" s="17" t="s">
        <v>3603</v>
      </c>
      <c r="E1909" s="19" t="n">
        <v>1</v>
      </c>
      <c r="F1909" s="17" t="s">
        <v>3706</v>
      </c>
      <c r="G1909" s="17" t="s">
        <v>1104</v>
      </c>
      <c r="H1909" s="19"/>
    </row>
    <row r="1910" customFormat="false" ht="15" hidden="false" customHeight="false" outlineLevel="0" collapsed="false">
      <c r="A1910" s="19" t="s">
        <v>2615</v>
      </c>
      <c r="B1910" s="19" t="s">
        <v>3774</v>
      </c>
      <c r="C1910" s="19" t="n">
        <v>15</v>
      </c>
      <c r="D1910" s="19" t="s">
        <v>851</v>
      </c>
      <c r="E1910" s="19" t="n">
        <v>133.37673125888</v>
      </c>
      <c r="F1910" s="17" t="s">
        <v>3775</v>
      </c>
      <c r="G1910" s="17" t="s">
        <v>1104</v>
      </c>
      <c r="H1910" s="19"/>
    </row>
    <row r="1911" customFormat="false" ht="15" hidden="false" customHeight="false" outlineLevel="0" collapsed="false">
      <c r="A1911" s="19" t="s">
        <v>2615</v>
      </c>
      <c r="B1911" s="19" t="s">
        <v>3776</v>
      </c>
      <c r="C1911" s="19" t="n">
        <v>15</v>
      </c>
      <c r="D1911" s="19" t="s">
        <v>855</v>
      </c>
      <c r="E1911" s="19" t="n">
        <v>2175.744</v>
      </c>
      <c r="F1911" s="17" t="s">
        <v>3777</v>
      </c>
      <c r="G1911" s="17" t="s">
        <v>1104</v>
      </c>
      <c r="H1911" s="19"/>
    </row>
    <row r="1912" customFormat="false" ht="15" hidden="false" customHeight="false" outlineLevel="0" collapsed="false">
      <c r="A1912" s="55" t="s">
        <v>2615</v>
      </c>
      <c r="B1912" s="55" t="s">
        <v>1773</v>
      </c>
      <c r="C1912" s="55" t="n">
        <v>15</v>
      </c>
      <c r="D1912" s="66" t="s">
        <v>3710</v>
      </c>
      <c r="E1912" s="55" t="n">
        <v>2</v>
      </c>
      <c r="F1912" s="55"/>
      <c r="G1912" s="66" t="s">
        <v>1122</v>
      </c>
      <c r="H1912" s="55"/>
    </row>
    <row r="1913" customFormat="false" ht="15" hidden="false" customHeight="false" outlineLevel="0" collapsed="false">
      <c r="A1913" s="19" t="s">
        <v>2615</v>
      </c>
      <c r="B1913" s="19" t="s">
        <v>3641</v>
      </c>
      <c r="C1913" s="19" t="n">
        <v>15</v>
      </c>
      <c r="D1913" s="17" t="s">
        <v>3606</v>
      </c>
      <c r="E1913" s="19" t="n">
        <v>0.994744651429766</v>
      </c>
      <c r="F1913" s="17" t="s">
        <v>3778</v>
      </c>
      <c r="G1913" s="17" t="s">
        <v>1104</v>
      </c>
      <c r="H1913" s="19"/>
    </row>
    <row r="1914" customFormat="false" ht="15" hidden="false" customHeight="false" outlineLevel="0" collapsed="false">
      <c r="A1914" s="19" t="s">
        <v>2615</v>
      </c>
      <c r="B1914" s="19" t="s">
        <v>3643</v>
      </c>
      <c r="C1914" s="19" t="n">
        <v>15</v>
      </c>
      <c r="D1914" s="19" t="s">
        <v>896</v>
      </c>
      <c r="E1914" s="19" t="n">
        <v>42.3841854852724</v>
      </c>
      <c r="F1914" s="17" t="s">
        <v>3779</v>
      </c>
      <c r="G1914" s="17" t="s">
        <v>1104</v>
      </c>
      <c r="H1914" s="19"/>
    </row>
    <row r="1915" customFormat="false" ht="15" hidden="false" customHeight="false" outlineLevel="0" collapsed="false">
      <c r="A1915" s="19" t="s">
        <v>2615</v>
      </c>
      <c r="B1915" s="19" t="s">
        <v>3053</v>
      </c>
      <c r="C1915" s="19" t="n">
        <v>15</v>
      </c>
      <c r="D1915" s="19" t="s">
        <v>3698</v>
      </c>
      <c r="E1915" s="19" t="n">
        <v>1</v>
      </c>
      <c r="F1915" s="17" t="s">
        <v>3699</v>
      </c>
      <c r="G1915" s="17" t="s">
        <v>1104</v>
      </c>
      <c r="H1915" s="19"/>
    </row>
    <row r="1916" customFormat="false" ht="15" hidden="false" customHeight="false" outlineLevel="0" collapsed="false">
      <c r="A1916" s="19" t="s">
        <v>2615</v>
      </c>
      <c r="B1916" s="19" t="s">
        <v>2219</v>
      </c>
      <c r="C1916" s="19" t="n">
        <v>15</v>
      </c>
      <c r="D1916" s="17" t="s">
        <v>796</v>
      </c>
      <c r="E1916" s="19" t="n">
        <v>180</v>
      </c>
      <c r="F1916" s="17" t="s">
        <v>3780</v>
      </c>
      <c r="G1916" s="17" t="s">
        <v>1104</v>
      </c>
      <c r="H1916" s="19"/>
    </row>
    <row r="1917" customFormat="false" ht="15" hidden="false" customHeight="false" outlineLevel="0" collapsed="false">
      <c r="A1917" s="19" t="s">
        <v>2615</v>
      </c>
      <c r="B1917" s="19" t="s">
        <v>3781</v>
      </c>
      <c r="C1917" s="19" t="n">
        <v>15</v>
      </c>
      <c r="D1917" s="17" t="s">
        <v>810</v>
      </c>
      <c r="E1917" s="19" t="n">
        <v>4915200</v>
      </c>
      <c r="F1917" s="17" t="s">
        <v>3782</v>
      </c>
      <c r="G1917" s="17" t="s">
        <v>1104</v>
      </c>
      <c r="H1917" s="19"/>
    </row>
    <row r="1918" customFormat="false" ht="15" hidden="false" customHeight="false" outlineLevel="0" collapsed="false">
      <c r="A1918" s="19" t="s">
        <v>2615</v>
      </c>
      <c r="B1918" s="19" t="s">
        <v>1516</v>
      </c>
      <c r="C1918" s="19" t="n">
        <v>15</v>
      </c>
      <c r="D1918" s="19" t="s">
        <v>3702</v>
      </c>
      <c r="E1918" s="19" t="n">
        <v>40.8313604965595</v>
      </c>
      <c r="F1918" s="17" t="s">
        <v>3783</v>
      </c>
      <c r="G1918" s="17" t="s">
        <v>1104</v>
      </c>
      <c r="H1918" s="19"/>
    </row>
    <row r="1919" customFormat="false" ht="15" hidden="false" customHeight="false" outlineLevel="0" collapsed="false">
      <c r="A1919" s="19" t="s">
        <v>2615</v>
      </c>
      <c r="B1919" s="19" t="s">
        <v>2229</v>
      </c>
      <c r="C1919" s="19" t="n">
        <v>15</v>
      </c>
      <c r="D1919" s="19" t="s">
        <v>3704</v>
      </c>
      <c r="E1919" s="19" t="n">
        <v>3</v>
      </c>
      <c r="F1919" s="17" t="s">
        <v>3705</v>
      </c>
      <c r="G1919" s="17" t="s">
        <v>1104</v>
      </c>
      <c r="H1919" s="19"/>
    </row>
    <row r="1920" customFormat="false" ht="15" hidden="false" customHeight="false" outlineLevel="0" collapsed="false">
      <c r="A1920" s="19" t="s">
        <v>2615</v>
      </c>
      <c r="B1920" s="19" t="s">
        <v>3645</v>
      </c>
      <c r="C1920" s="19" t="n">
        <v>15</v>
      </c>
      <c r="D1920" s="17" t="s">
        <v>3603</v>
      </c>
      <c r="E1920" s="19" t="n">
        <v>1</v>
      </c>
      <c r="F1920" s="17" t="s">
        <v>3706</v>
      </c>
      <c r="G1920" s="17" t="s">
        <v>1104</v>
      </c>
      <c r="H1920" s="19"/>
    </row>
    <row r="1921" customFormat="false" ht="15" hidden="false" customHeight="false" outlineLevel="0" collapsed="false">
      <c r="A1921" s="19" t="s">
        <v>2615</v>
      </c>
      <c r="B1921" s="19" t="s">
        <v>3784</v>
      </c>
      <c r="C1921" s="19" t="n">
        <v>15</v>
      </c>
      <c r="D1921" s="19" t="s">
        <v>851</v>
      </c>
      <c r="E1921" s="19" t="n">
        <v>531.1276032</v>
      </c>
      <c r="F1921" s="17" t="s">
        <v>3785</v>
      </c>
      <c r="G1921" s="17" t="s">
        <v>1104</v>
      </c>
      <c r="H1921" s="19"/>
    </row>
    <row r="1922" customFormat="false" ht="15" hidden="false" customHeight="false" outlineLevel="0" collapsed="false">
      <c r="A1922" s="19" t="s">
        <v>2615</v>
      </c>
      <c r="B1922" s="19" t="s">
        <v>3786</v>
      </c>
      <c r="C1922" s="19" t="n">
        <v>15</v>
      </c>
      <c r="D1922" s="19" t="s">
        <v>855</v>
      </c>
      <c r="E1922" s="19" t="n">
        <v>16384</v>
      </c>
      <c r="F1922" s="17" t="s">
        <v>3787</v>
      </c>
      <c r="G1922" s="17" t="s">
        <v>1104</v>
      </c>
      <c r="H1922" s="19"/>
    </row>
    <row r="1923" customFormat="false" ht="15" hidden="false" customHeight="false" outlineLevel="0" collapsed="false">
      <c r="A1923" s="55" t="s">
        <v>2615</v>
      </c>
      <c r="B1923" s="55" t="s">
        <v>1789</v>
      </c>
      <c r="C1923" s="55" t="n">
        <v>15</v>
      </c>
      <c r="D1923" s="66" t="s">
        <v>3710</v>
      </c>
      <c r="E1923" s="55" t="n">
        <v>3</v>
      </c>
      <c r="F1923" s="55"/>
      <c r="G1923" s="66" t="s">
        <v>1122</v>
      </c>
      <c r="H1923" s="55"/>
    </row>
    <row r="1924" customFormat="false" ht="15" hidden="false" customHeight="false" outlineLevel="0" collapsed="false">
      <c r="A1924" s="19" t="s">
        <v>2615</v>
      </c>
      <c r="B1924" s="19" t="s">
        <v>3646</v>
      </c>
      <c r="C1924" s="19" t="n">
        <v>15</v>
      </c>
      <c r="D1924" s="17" t="s">
        <v>3606</v>
      </c>
      <c r="E1924" s="19" t="n">
        <v>3.96123324903222</v>
      </c>
      <c r="F1924" s="17" t="s">
        <v>3788</v>
      </c>
      <c r="G1924" s="17" t="s">
        <v>1104</v>
      </c>
      <c r="H1924" s="19"/>
    </row>
    <row r="1925" customFormat="false" ht="15" hidden="false" customHeight="false" outlineLevel="0" collapsed="false">
      <c r="A1925" s="19" t="s">
        <v>2615</v>
      </c>
      <c r="B1925" s="19" t="s">
        <v>3648</v>
      </c>
      <c r="C1925" s="19" t="n">
        <v>15</v>
      </c>
      <c r="D1925" s="19" t="s">
        <v>896</v>
      </c>
      <c r="E1925" s="19" t="n">
        <v>7.72947436716313</v>
      </c>
      <c r="F1925" s="17" t="s">
        <v>3789</v>
      </c>
      <c r="G1925" s="17" t="s">
        <v>1104</v>
      </c>
      <c r="H1925" s="19"/>
    </row>
    <row r="1926" customFormat="false" ht="15" hidden="false" customHeight="false" outlineLevel="0" collapsed="false">
      <c r="A1926" s="19" t="s">
        <v>2615</v>
      </c>
      <c r="B1926" s="19" t="s">
        <v>3058</v>
      </c>
      <c r="C1926" s="19" t="n">
        <v>15</v>
      </c>
      <c r="D1926" s="19" t="s">
        <v>3698</v>
      </c>
      <c r="E1926" s="19" t="n">
        <v>1</v>
      </c>
      <c r="F1926" s="17" t="s">
        <v>3699</v>
      </c>
      <c r="G1926" s="17" t="s">
        <v>1104</v>
      </c>
      <c r="H1926" s="19"/>
    </row>
    <row r="1927" customFormat="false" ht="15" hidden="false" customHeight="false" outlineLevel="0" collapsed="false">
      <c r="A1927" s="19" t="s">
        <v>2615</v>
      </c>
      <c r="B1927" s="19" t="s">
        <v>2242</v>
      </c>
      <c r="C1927" s="19" t="n">
        <v>15</v>
      </c>
      <c r="D1927" s="17" t="s">
        <v>796</v>
      </c>
      <c r="E1927" s="19" t="n">
        <v>13</v>
      </c>
      <c r="F1927" s="17" t="s">
        <v>3790</v>
      </c>
      <c r="G1927" s="17" t="s">
        <v>1104</v>
      </c>
      <c r="H1927" s="19"/>
    </row>
    <row r="1928" customFormat="false" ht="15" hidden="false" customHeight="false" outlineLevel="0" collapsed="false">
      <c r="A1928" s="19" t="s">
        <v>2615</v>
      </c>
      <c r="B1928" s="19" t="s">
        <v>3791</v>
      </c>
      <c r="C1928" s="19" t="n">
        <v>15</v>
      </c>
      <c r="D1928" s="17" t="s">
        <v>810</v>
      </c>
      <c r="E1928" s="19" t="n">
        <v>5636096</v>
      </c>
      <c r="F1928" s="17" t="s">
        <v>3792</v>
      </c>
      <c r="G1928" s="17" t="s">
        <v>1104</v>
      </c>
      <c r="H1928" s="19"/>
    </row>
    <row r="1929" customFormat="false" ht="15" hidden="false" customHeight="false" outlineLevel="0" collapsed="false">
      <c r="A1929" s="19" t="s">
        <v>2615</v>
      </c>
      <c r="B1929" s="19" t="s">
        <v>1522</v>
      </c>
      <c r="C1929" s="19" t="n">
        <v>15</v>
      </c>
      <c r="D1929" s="19" t="s">
        <v>3702</v>
      </c>
      <c r="E1929" s="19" t="n">
        <v>84.3000593119602</v>
      </c>
      <c r="F1929" s="17" t="s">
        <v>3793</v>
      </c>
      <c r="G1929" s="17" t="s">
        <v>1104</v>
      </c>
      <c r="H1929" s="19"/>
    </row>
    <row r="1930" customFormat="false" ht="15" hidden="false" customHeight="false" outlineLevel="0" collapsed="false">
      <c r="A1930" s="19" t="s">
        <v>2615</v>
      </c>
      <c r="B1930" s="19" t="s">
        <v>2252</v>
      </c>
      <c r="C1930" s="19" t="n">
        <v>15</v>
      </c>
      <c r="D1930" s="19" t="s">
        <v>3704</v>
      </c>
      <c r="E1930" s="19" t="n">
        <v>3</v>
      </c>
      <c r="F1930" s="17" t="s">
        <v>3705</v>
      </c>
      <c r="G1930" s="17" t="s">
        <v>1104</v>
      </c>
      <c r="H1930" s="19"/>
    </row>
    <row r="1931" customFormat="false" ht="15" hidden="false" customHeight="false" outlineLevel="0" collapsed="false">
      <c r="A1931" s="19" t="s">
        <v>2615</v>
      </c>
      <c r="B1931" s="19" t="s">
        <v>3650</v>
      </c>
      <c r="C1931" s="19" t="n">
        <v>15</v>
      </c>
      <c r="D1931" s="17" t="s">
        <v>3603</v>
      </c>
      <c r="E1931" s="19" t="n">
        <v>1</v>
      </c>
      <c r="F1931" s="17" t="s">
        <v>3706</v>
      </c>
      <c r="G1931" s="17" t="s">
        <v>1104</v>
      </c>
      <c r="H1931" s="19"/>
    </row>
    <row r="1932" customFormat="false" ht="15" hidden="false" customHeight="false" outlineLevel="0" collapsed="false">
      <c r="A1932" s="19" t="s">
        <v>2615</v>
      </c>
      <c r="B1932" s="19" t="s">
        <v>3794</v>
      </c>
      <c r="C1932" s="19" t="n">
        <v>15</v>
      </c>
      <c r="D1932" s="19" t="s">
        <v>851</v>
      </c>
      <c r="E1932" s="19" t="n">
        <v>38.728198496256</v>
      </c>
      <c r="F1932" s="17" t="s">
        <v>3795</v>
      </c>
      <c r="G1932" s="17" t="s">
        <v>1104</v>
      </c>
      <c r="H1932" s="19"/>
    </row>
    <row r="1933" customFormat="false" ht="15" hidden="false" customHeight="false" outlineLevel="0" collapsed="false">
      <c r="A1933" s="19" t="s">
        <v>2615</v>
      </c>
      <c r="B1933" s="19" t="s">
        <v>3796</v>
      </c>
      <c r="C1933" s="19" t="n">
        <v>15</v>
      </c>
      <c r="D1933" s="19" t="s">
        <v>855</v>
      </c>
      <c r="E1933" s="19" t="n">
        <v>2175.232</v>
      </c>
      <c r="F1933" s="17" t="s">
        <v>3797</v>
      </c>
      <c r="G1933" s="17" t="s">
        <v>1104</v>
      </c>
      <c r="H1933" s="19"/>
    </row>
    <row r="1934" customFormat="false" ht="15" hidden="false" customHeight="false" outlineLevel="0" collapsed="false">
      <c r="A1934" s="55" t="s">
        <v>2615</v>
      </c>
      <c r="B1934" s="55" t="s">
        <v>1805</v>
      </c>
      <c r="C1934" s="55" t="n">
        <v>15</v>
      </c>
      <c r="D1934" s="66" t="s">
        <v>3710</v>
      </c>
      <c r="E1934" s="55" t="n">
        <v>1</v>
      </c>
      <c r="F1934" s="55"/>
      <c r="G1934" s="66" t="s">
        <v>1122</v>
      </c>
      <c r="H1934" s="55"/>
    </row>
    <row r="1935" customFormat="false" ht="15" hidden="false" customHeight="false" outlineLevel="0" collapsed="false">
      <c r="A1935" s="19" t="s">
        <v>2615</v>
      </c>
      <c r="B1935" s="19" t="s">
        <v>3651</v>
      </c>
      <c r="C1935" s="19" t="n">
        <v>15</v>
      </c>
      <c r="D1935" s="17" t="s">
        <v>3606</v>
      </c>
      <c r="E1935" s="19" t="n">
        <v>0.12378899961478</v>
      </c>
      <c r="F1935" s="17" t="s">
        <v>3798</v>
      </c>
      <c r="G1935" s="17" t="s">
        <v>1104</v>
      </c>
      <c r="H1935" s="19"/>
    </row>
    <row r="1936" customFormat="false" ht="15" hidden="false" customHeight="false" outlineLevel="0" collapsed="false">
      <c r="A1936" s="19" t="s">
        <v>2615</v>
      </c>
      <c r="B1936" s="19" t="s">
        <v>3653</v>
      </c>
      <c r="C1936" s="19" t="n">
        <v>15</v>
      </c>
      <c r="D1936" s="19" t="s">
        <v>896</v>
      </c>
      <c r="E1936" s="19" t="n">
        <v>179.049104233203</v>
      </c>
      <c r="F1936" s="17" t="s">
        <v>3799</v>
      </c>
      <c r="G1936" s="17" t="s">
        <v>1104</v>
      </c>
      <c r="H1936" s="19"/>
    </row>
    <row r="1937" customFormat="false" ht="15" hidden="false" customHeight="false" outlineLevel="0" collapsed="false">
      <c r="A1937" s="19" t="s">
        <v>2615</v>
      </c>
      <c r="B1937" s="19" t="s">
        <v>3064</v>
      </c>
      <c r="C1937" s="19" t="n">
        <v>15</v>
      </c>
      <c r="D1937" s="19" t="s">
        <v>3698</v>
      </c>
      <c r="E1937" s="19" t="n">
        <v>1</v>
      </c>
      <c r="F1937" s="17" t="s">
        <v>3699</v>
      </c>
      <c r="G1937" s="17" t="s">
        <v>1104</v>
      </c>
      <c r="H1937" s="19"/>
    </row>
    <row r="1938" customFormat="false" ht="15" hidden="false" customHeight="false" outlineLevel="0" collapsed="false">
      <c r="A1938" s="19" t="s">
        <v>2615</v>
      </c>
      <c r="B1938" s="19" t="s">
        <v>2265</v>
      </c>
      <c r="C1938" s="19" t="n">
        <v>15</v>
      </c>
      <c r="D1938" s="17" t="s">
        <v>796</v>
      </c>
      <c r="E1938" s="19" t="n">
        <v>49</v>
      </c>
      <c r="F1938" s="17" t="s">
        <v>3800</v>
      </c>
      <c r="G1938" s="17" t="s">
        <v>1104</v>
      </c>
      <c r="H1938" s="19"/>
    </row>
    <row r="1939" customFormat="false" ht="15" hidden="false" customHeight="false" outlineLevel="0" collapsed="false">
      <c r="A1939" s="19" t="s">
        <v>2615</v>
      </c>
      <c r="B1939" s="19" t="s">
        <v>3801</v>
      </c>
      <c r="C1939" s="19" t="n">
        <v>15</v>
      </c>
      <c r="D1939" s="17" t="s">
        <v>810</v>
      </c>
      <c r="E1939" s="19" t="n">
        <v>15990784</v>
      </c>
      <c r="F1939" s="17" t="s">
        <v>3802</v>
      </c>
      <c r="G1939" s="17" t="s">
        <v>1104</v>
      </c>
      <c r="H1939" s="19"/>
    </row>
    <row r="1940" customFormat="false" ht="15" hidden="false" customHeight="false" outlineLevel="0" collapsed="false">
      <c r="A1940" s="19" t="s">
        <v>2615</v>
      </c>
      <c r="B1940" s="19" t="s">
        <v>1528</v>
      </c>
      <c r="C1940" s="19" t="n">
        <v>15</v>
      </c>
      <c r="D1940" s="19" t="s">
        <v>3702</v>
      </c>
      <c r="E1940" s="19" t="n">
        <v>43.31166124729</v>
      </c>
      <c r="F1940" s="17" t="s">
        <v>3803</v>
      </c>
      <c r="G1940" s="17" t="s">
        <v>1104</v>
      </c>
      <c r="H1940" s="19"/>
    </row>
    <row r="1941" customFormat="false" ht="15" hidden="false" customHeight="false" outlineLevel="0" collapsed="false">
      <c r="A1941" s="19" t="s">
        <v>2615</v>
      </c>
      <c r="B1941" s="19" t="s">
        <v>2275</v>
      </c>
      <c r="C1941" s="19" t="n">
        <v>15</v>
      </c>
      <c r="D1941" s="19" t="s">
        <v>3704</v>
      </c>
      <c r="E1941" s="19" t="n">
        <v>3</v>
      </c>
      <c r="F1941" s="17" t="s">
        <v>3705</v>
      </c>
      <c r="G1941" s="17" t="s">
        <v>1104</v>
      </c>
      <c r="H1941" s="19"/>
    </row>
    <row r="1942" customFormat="false" ht="15" hidden="false" customHeight="false" outlineLevel="0" collapsed="false">
      <c r="A1942" s="19" t="s">
        <v>2615</v>
      </c>
      <c r="B1942" s="19" t="s">
        <v>3655</v>
      </c>
      <c r="C1942" s="19" t="n">
        <v>15</v>
      </c>
      <c r="D1942" s="17" t="s">
        <v>3603</v>
      </c>
      <c r="E1942" s="19" t="n">
        <v>1</v>
      </c>
      <c r="F1942" s="17" t="s">
        <v>3706</v>
      </c>
      <c r="G1942" s="17" t="s">
        <v>1104</v>
      </c>
      <c r="H1942" s="19"/>
    </row>
    <row r="1943" customFormat="false" ht="15" hidden="false" customHeight="false" outlineLevel="0" collapsed="false">
      <c r="A1943" s="19" t="s">
        <v>2615</v>
      </c>
      <c r="B1943" s="19" t="s">
        <v>3804</v>
      </c>
      <c r="C1943" s="19" t="n">
        <v>15</v>
      </c>
      <c r="D1943" s="19" t="s">
        <v>851</v>
      </c>
      <c r="E1943" s="19" t="n">
        <v>133.37673125888</v>
      </c>
      <c r="F1943" s="17" t="s">
        <v>3805</v>
      </c>
      <c r="G1943" s="17" t="s">
        <v>1104</v>
      </c>
      <c r="H1943" s="19"/>
    </row>
    <row r="1944" customFormat="false" ht="15" hidden="false" customHeight="false" outlineLevel="0" collapsed="false">
      <c r="A1944" s="19" t="s">
        <v>2615</v>
      </c>
      <c r="B1944" s="19" t="s">
        <v>3806</v>
      </c>
      <c r="C1944" s="19" t="n">
        <v>15</v>
      </c>
      <c r="D1944" s="19" t="s">
        <v>855</v>
      </c>
      <c r="E1944" s="19" t="n">
        <v>2175.744</v>
      </c>
      <c r="F1944" s="17" t="s">
        <v>3807</v>
      </c>
      <c r="G1944" s="17" t="s">
        <v>1104</v>
      </c>
      <c r="H1944" s="19"/>
    </row>
    <row r="1945" customFormat="false" ht="15" hidden="false" customHeight="false" outlineLevel="0" collapsed="false">
      <c r="A1945" s="55" t="s">
        <v>2615</v>
      </c>
      <c r="B1945" s="55" t="s">
        <v>1821</v>
      </c>
      <c r="C1945" s="55" t="n">
        <v>15</v>
      </c>
      <c r="D1945" s="66" t="s">
        <v>3710</v>
      </c>
      <c r="E1945" s="55" t="n">
        <v>2</v>
      </c>
      <c r="F1945" s="55"/>
      <c r="G1945" s="66" t="s">
        <v>1122</v>
      </c>
      <c r="H1945" s="55"/>
    </row>
    <row r="1946" customFormat="false" ht="15" hidden="false" customHeight="false" outlineLevel="0" collapsed="false">
      <c r="A1946" s="19" t="s">
        <v>2615</v>
      </c>
      <c r="B1946" s="19" t="s">
        <v>3656</v>
      </c>
      <c r="C1946" s="19" t="n">
        <v>15</v>
      </c>
      <c r="D1946" s="17" t="s">
        <v>3606</v>
      </c>
      <c r="E1946" s="19" t="n">
        <v>0.426319136327043</v>
      </c>
      <c r="F1946" s="17" t="s">
        <v>3808</v>
      </c>
      <c r="G1946" s="17" t="s">
        <v>1104</v>
      </c>
      <c r="H1946" s="19"/>
    </row>
    <row r="1947" customFormat="false" ht="15" hidden="false" customHeight="false" outlineLevel="0" collapsed="false">
      <c r="A1947" s="19" t="s">
        <v>2615</v>
      </c>
      <c r="B1947" s="19" t="s">
        <v>3658</v>
      </c>
      <c r="C1947" s="19" t="n">
        <v>15</v>
      </c>
      <c r="D1947" s="19" t="s">
        <v>896</v>
      </c>
      <c r="E1947" s="19" t="n">
        <v>107.861236462534</v>
      </c>
      <c r="F1947" s="17" t="s">
        <v>3809</v>
      </c>
      <c r="G1947" s="17" t="s">
        <v>1104</v>
      </c>
      <c r="H1947" s="19"/>
    </row>
    <row r="1948" customFormat="false" ht="15" hidden="false" customHeight="false" outlineLevel="0" collapsed="false">
      <c r="A1948" s="19" t="s">
        <v>2615</v>
      </c>
      <c r="B1948" s="19" t="s">
        <v>3069</v>
      </c>
      <c r="C1948" s="19" t="n">
        <v>15</v>
      </c>
      <c r="D1948" s="19" t="s">
        <v>3698</v>
      </c>
      <c r="E1948" s="19" t="n">
        <v>1</v>
      </c>
      <c r="F1948" s="17" t="s">
        <v>3699</v>
      </c>
      <c r="G1948" s="17" t="s">
        <v>1104</v>
      </c>
      <c r="H1948" s="19"/>
    </row>
    <row r="1949" customFormat="false" ht="15" hidden="false" customHeight="false" outlineLevel="0" collapsed="false">
      <c r="A1949" s="19" t="s">
        <v>2615</v>
      </c>
      <c r="B1949" s="19" t="s">
        <v>2288</v>
      </c>
      <c r="C1949" s="19" t="n">
        <v>15</v>
      </c>
      <c r="D1949" s="17" t="s">
        <v>796</v>
      </c>
      <c r="E1949" s="19" t="n">
        <v>180</v>
      </c>
      <c r="F1949" s="17" t="s">
        <v>3810</v>
      </c>
      <c r="G1949" s="17" t="s">
        <v>1104</v>
      </c>
      <c r="H1949" s="19"/>
    </row>
    <row r="1950" customFormat="false" ht="15" hidden="false" customHeight="false" outlineLevel="0" collapsed="false">
      <c r="A1950" s="19" t="s">
        <v>2615</v>
      </c>
      <c r="B1950" s="19" t="s">
        <v>3811</v>
      </c>
      <c r="C1950" s="19" t="n">
        <v>15</v>
      </c>
      <c r="D1950" s="17" t="s">
        <v>810</v>
      </c>
      <c r="E1950" s="19" t="n">
        <v>4915200</v>
      </c>
      <c r="F1950" s="17" t="s">
        <v>3812</v>
      </c>
      <c r="G1950" s="17" t="s">
        <v>1104</v>
      </c>
      <c r="H1950" s="19"/>
    </row>
    <row r="1951" customFormat="false" ht="15" hidden="false" customHeight="false" outlineLevel="0" collapsed="false">
      <c r="A1951" s="19" t="s">
        <v>2615</v>
      </c>
      <c r="B1951" s="19" t="s">
        <v>1534</v>
      </c>
      <c r="C1951" s="19" t="n">
        <v>15</v>
      </c>
      <c r="D1951" s="19" t="s">
        <v>3702</v>
      </c>
      <c r="E1951" s="19" t="n">
        <v>40.8313604965595</v>
      </c>
      <c r="F1951" s="17" t="s">
        <v>3813</v>
      </c>
      <c r="G1951" s="17" t="s">
        <v>1104</v>
      </c>
      <c r="H1951" s="19"/>
    </row>
    <row r="1952" customFormat="false" ht="15" hidden="false" customHeight="false" outlineLevel="0" collapsed="false">
      <c r="A1952" s="19" t="s">
        <v>2615</v>
      </c>
      <c r="B1952" s="19" t="s">
        <v>2298</v>
      </c>
      <c r="C1952" s="19" t="n">
        <v>15</v>
      </c>
      <c r="D1952" s="19" t="s">
        <v>3704</v>
      </c>
      <c r="E1952" s="19" t="n">
        <v>3</v>
      </c>
      <c r="F1952" s="17" t="s">
        <v>3705</v>
      </c>
      <c r="G1952" s="17" t="s">
        <v>1104</v>
      </c>
      <c r="H1952" s="19"/>
    </row>
    <row r="1953" customFormat="false" ht="15" hidden="false" customHeight="false" outlineLevel="0" collapsed="false">
      <c r="A1953" s="19" t="s">
        <v>2615</v>
      </c>
      <c r="B1953" s="19" t="s">
        <v>3660</v>
      </c>
      <c r="C1953" s="19" t="n">
        <v>15</v>
      </c>
      <c r="D1953" s="17" t="s">
        <v>3603</v>
      </c>
      <c r="E1953" s="19" t="n">
        <v>1</v>
      </c>
      <c r="F1953" s="17" t="s">
        <v>3706</v>
      </c>
      <c r="G1953" s="17" t="s">
        <v>1104</v>
      </c>
      <c r="H1953" s="19"/>
    </row>
    <row r="1954" customFormat="false" ht="15" hidden="false" customHeight="false" outlineLevel="0" collapsed="false">
      <c r="A1954" s="19" t="s">
        <v>2615</v>
      </c>
      <c r="B1954" s="19" t="s">
        <v>3814</v>
      </c>
      <c r="C1954" s="19" t="n">
        <v>15</v>
      </c>
      <c r="D1954" s="19" t="s">
        <v>851</v>
      </c>
      <c r="E1954" s="19" t="n">
        <v>531.1276032</v>
      </c>
      <c r="F1954" s="17" t="s">
        <v>3815</v>
      </c>
      <c r="G1954" s="17" t="s">
        <v>1104</v>
      </c>
      <c r="H1954" s="19"/>
    </row>
    <row r="1955" customFormat="false" ht="15" hidden="false" customHeight="false" outlineLevel="0" collapsed="false">
      <c r="A1955" s="19" t="s">
        <v>2615</v>
      </c>
      <c r="B1955" s="19" t="s">
        <v>3816</v>
      </c>
      <c r="C1955" s="19" t="n">
        <v>15</v>
      </c>
      <c r="D1955" s="19" t="s">
        <v>855</v>
      </c>
      <c r="E1955" s="19" t="n">
        <v>16384</v>
      </c>
      <c r="F1955" s="17" t="s">
        <v>3817</v>
      </c>
      <c r="G1955" s="17" t="s">
        <v>1104</v>
      </c>
      <c r="H1955" s="19"/>
    </row>
    <row r="1956" customFormat="false" ht="15" hidden="false" customHeight="false" outlineLevel="0" collapsed="false">
      <c r="A1956" s="55" t="s">
        <v>2615</v>
      </c>
      <c r="B1956" s="55" t="s">
        <v>1837</v>
      </c>
      <c r="C1956" s="55" t="n">
        <v>15</v>
      </c>
      <c r="D1956" s="66" t="s">
        <v>3710</v>
      </c>
      <c r="E1956" s="55" t="n">
        <v>3</v>
      </c>
      <c r="F1956" s="55"/>
      <c r="G1956" s="66" t="s">
        <v>1122</v>
      </c>
      <c r="H1956" s="55"/>
    </row>
    <row r="1957" customFormat="false" ht="15" hidden="false" customHeight="false" outlineLevel="0" collapsed="false">
      <c r="A1957" s="19" t="s">
        <v>2615</v>
      </c>
      <c r="B1957" s="19" t="s">
        <v>3661</v>
      </c>
      <c r="C1957" s="19" t="n">
        <v>15</v>
      </c>
      <c r="D1957" s="17" t="s">
        <v>3606</v>
      </c>
      <c r="E1957" s="19" t="n">
        <v>1.69767139244238</v>
      </c>
      <c r="F1957" s="17" t="s">
        <v>3818</v>
      </c>
      <c r="G1957" s="17" t="s">
        <v>1104</v>
      </c>
      <c r="H1957" s="19"/>
    </row>
    <row r="1958" customFormat="false" ht="15" hidden="false" customHeight="false" outlineLevel="0" collapsed="false">
      <c r="A1958" s="19" t="s">
        <v>2615</v>
      </c>
      <c r="B1958" s="19" t="s">
        <v>3663</v>
      </c>
      <c r="C1958" s="19" t="n">
        <v>15</v>
      </c>
      <c r="D1958" s="19" t="s">
        <v>896</v>
      </c>
      <c r="E1958" s="19" t="n">
        <v>23.5888849403159</v>
      </c>
      <c r="F1958" s="17" t="s">
        <v>3819</v>
      </c>
      <c r="G1958" s="17" t="s">
        <v>1104</v>
      </c>
      <c r="H1958" s="19"/>
    </row>
    <row r="1959" customFormat="false" ht="15" hidden="false" customHeight="false" outlineLevel="0" collapsed="false">
      <c r="A1959" s="19" t="s">
        <v>2615</v>
      </c>
      <c r="B1959" s="19" t="s">
        <v>3074</v>
      </c>
      <c r="C1959" s="19" t="n">
        <v>15</v>
      </c>
      <c r="D1959" s="19" t="s">
        <v>3698</v>
      </c>
      <c r="E1959" s="19" t="n">
        <v>1</v>
      </c>
      <c r="F1959" s="17" t="s">
        <v>3699</v>
      </c>
      <c r="G1959" s="17" t="s">
        <v>1104</v>
      </c>
      <c r="H1959" s="19"/>
    </row>
    <row r="1960" customFormat="false" ht="15" hidden="false" customHeight="false" outlineLevel="0" collapsed="false">
      <c r="A1960" s="19" t="s">
        <v>2615</v>
      </c>
      <c r="B1960" s="19" t="s">
        <v>2311</v>
      </c>
      <c r="C1960" s="19" t="n">
        <v>15</v>
      </c>
      <c r="D1960" s="17" t="s">
        <v>796</v>
      </c>
      <c r="E1960" s="19" t="n">
        <v>13</v>
      </c>
      <c r="F1960" s="17" t="s">
        <v>3820</v>
      </c>
      <c r="G1960" s="17" t="s">
        <v>1104</v>
      </c>
      <c r="H1960" s="19"/>
    </row>
    <row r="1961" customFormat="false" ht="15" hidden="false" customHeight="false" outlineLevel="0" collapsed="false">
      <c r="A1961" s="19" t="s">
        <v>2615</v>
      </c>
      <c r="B1961" s="19" t="s">
        <v>3821</v>
      </c>
      <c r="C1961" s="19" t="n">
        <v>15</v>
      </c>
      <c r="D1961" s="17" t="s">
        <v>810</v>
      </c>
      <c r="E1961" s="19" t="n">
        <v>5636096</v>
      </c>
      <c r="F1961" s="17" t="s">
        <v>3822</v>
      </c>
      <c r="G1961" s="17" t="s">
        <v>1104</v>
      </c>
      <c r="H1961" s="19"/>
    </row>
    <row r="1962" customFormat="false" ht="15" hidden="false" customHeight="false" outlineLevel="0" collapsed="false">
      <c r="A1962" s="19" t="s">
        <v>2615</v>
      </c>
      <c r="B1962" s="19" t="s">
        <v>1540</v>
      </c>
      <c r="C1962" s="19" t="n">
        <v>15</v>
      </c>
      <c r="D1962" s="19" t="s">
        <v>3702</v>
      </c>
      <c r="E1962" s="19" t="n">
        <v>84.3000593119602</v>
      </c>
      <c r="F1962" s="17" t="s">
        <v>3823</v>
      </c>
      <c r="G1962" s="17" t="s">
        <v>1104</v>
      </c>
      <c r="H1962" s="19"/>
    </row>
    <row r="1963" customFormat="false" ht="15" hidden="false" customHeight="false" outlineLevel="0" collapsed="false">
      <c r="A1963" s="19" t="s">
        <v>2615</v>
      </c>
      <c r="B1963" s="19" t="s">
        <v>2321</v>
      </c>
      <c r="C1963" s="19" t="n">
        <v>15</v>
      </c>
      <c r="D1963" s="19" t="s">
        <v>3704</v>
      </c>
      <c r="E1963" s="19" t="n">
        <v>3</v>
      </c>
      <c r="F1963" s="17" t="s">
        <v>3705</v>
      </c>
      <c r="G1963" s="17" t="s">
        <v>1104</v>
      </c>
      <c r="H1963" s="19"/>
    </row>
    <row r="1964" customFormat="false" ht="15" hidden="false" customHeight="false" outlineLevel="0" collapsed="false">
      <c r="A1964" s="19" t="s">
        <v>2615</v>
      </c>
      <c r="B1964" s="19" t="s">
        <v>3665</v>
      </c>
      <c r="C1964" s="19" t="n">
        <v>15</v>
      </c>
      <c r="D1964" s="17" t="s">
        <v>3603</v>
      </c>
      <c r="E1964" s="19" t="n">
        <v>1</v>
      </c>
      <c r="F1964" s="17" t="s">
        <v>3706</v>
      </c>
      <c r="G1964" s="17" t="s">
        <v>1104</v>
      </c>
      <c r="H1964" s="19"/>
    </row>
    <row r="1965" customFormat="false" ht="15" hidden="false" customHeight="false" outlineLevel="0" collapsed="false">
      <c r="A1965" s="19" t="s">
        <v>2615</v>
      </c>
      <c r="B1965" s="19" t="s">
        <v>3824</v>
      </c>
      <c r="C1965" s="19" t="n">
        <v>15</v>
      </c>
      <c r="D1965" s="19" t="s">
        <v>851</v>
      </c>
      <c r="E1965" s="19" t="n">
        <v>38.728198496256</v>
      </c>
      <c r="F1965" s="17" t="s">
        <v>3825</v>
      </c>
      <c r="G1965" s="17" t="s">
        <v>1104</v>
      </c>
      <c r="H1965" s="19"/>
    </row>
    <row r="1966" customFormat="false" ht="15" hidden="false" customHeight="false" outlineLevel="0" collapsed="false">
      <c r="A1966" s="19" t="s">
        <v>2615</v>
      </c>
      <c r="B1966" s="19" t="s">
        <v>3826</v>
      </c>
      <c r="C1966" s="19" t="n">
        <v>15</v>
      </c>
      <c r="D1966" s="19" t="s">
        <v>855</v>
      </c>
      <c r="E1966" s="19" t="n">
        <v>2175.232</v>
      </c>
      <c r="F1966" s="17" t="s">
        <v>3827</v>
      </c>
      <c r="G1966" s="17" t="s">
        <v>1104</v>
      </c>
      <c r="H1966" s="19"/>
    </row>
    <row r="1967" customFormat="false" ht="15" hidden="false" customHeight="false" outlineLevel="0" collapsed="false">
      <c r="A1967" s="55" t="s">
        <v>2615</v>
      </c>
      <c r="B1967" s="55" t="s">
        <v>1853</v>
      </c>
      <c r="C1967" s="55" t="n">
        <v>15</v>
      </c>
      <c r="D1967" s="66" t="s">
        <v>3710</v>
      </c>
      <c r="E1967" s="55" t="n">
        <v>1</v>
      </c>
      <c r="F1967" s="55"/>
      <c r="G1967" s="66" t="s">
        <v>1122</v>
      </c>
      <c r="H1967" s="55"/>
    </row>
    <row r="1968" customFormat="false" ht="15" hidden="false" customHeight="false" outlineLevel="0" collapsed="false">
      <c r="A1968" s="19" t="s">
        <v>2615</v>
      </c>
      <c r="B1968" s="19" t="s">
        <v>3666</v>
      </c>
      <c r="C1968" s="19" t="n">
        <v>15</v>
      </c>
      <c r="D1968" s="17" t="s">
        <v>3606</v>
      </c>
      <c r="E1968" s="19" t="n">
        <v>0.06189449980739</v>
      </c>
      <c r="F1968" s="17" t="s">
        <v>3828</v>
      </c>
      <c r="G1968" s="17" t="s">
        <v>1104</v>
      </c>
      <c r="H1968" s="19"/>
    </row>
    <row r="1969" customFormat="false" ht="15" hidden="false" customHeight="false" outlineLevel="0" collapsed="false">
      <c r="A1969" s="19" t="s">
        <v>2615</v>
      </c>
      <c r="B1969" s="19" t="s">
        <v>3668</v>
      </c>
      <c r="C1969" s="19" t="n">
        <v>15</v>
      </c>
      <c r="D1969" s="19" t="s">
        <v>896</v>
      </c>
      <c r="E1969" s="19" t="n">
        <v>361.700336540597</v>
      </c>
      <c r="F1969" s="17" t="s">
        <v>3829</v>
      </c>
      <c r="G1969" s="17" t="s">
        <v>1104</v>
      </c>
      <c r="H1969" s="19"/>
    </row>
    <row r="1970" customFormat="false" ht="15" hidden="false" customHeight="false" outlineLevel="0" collapsed="false">
      <c r="A1970" s="19" t="s">
        <v>2615</v>
      </c>
      <c r="B1970" s="19" t="s">
        <v>3080</v>
      </c>
      <c r="C1970" s="19" t="n">
        <v>15</v>
      </c>
      <c r="D1970" s="19" t="s">
        <v>3698</v>
      </c>
      <c r="E1970" s="19" t="n">
        <v>1</v>
      </c>
      <c r="F1970" s="17" t="s">
        <v>3699</v>
      </c>
      <c r="G1970" s="17" t="s">
        <v>1104</v>
      </c>
      <c r="H1970" s="19"/>
    </row>
    <row r="1971" customFormat="false" ht="15" hidden="false" customHeight="false" outlineLevel="0" collapsed="false">
      <c r="A1971" s="19" t="s">
        <v>2615</v>
      </c>
      <c r="B1971" s="19" t="s">
        <v>2334</v>
      </c>
      <c r="C1971" s="19" t="n">
        <v>15</v>
      </c>
      <c r="D1971" s="17" t="s">
        <v>796</v>
      </c>
      <c r="E1971" s="19" t="n">
        <v>49</v>
      </c>
      <c r="F1971" s="17" t="s">
        <v>3830</v>
      </c>
      <c r="G1971" s="17" t="s">
        <v>1104</v>
      </c>
      <c r="H1971" s="19"/>
    </row>
    <row r="1972" customFormat="false" ht="15" hidden="false" customHeight="false" outlineLevel="0" collapsed="false">
      <c r="A1972" s="19" t="s">
        <v>2615</v>
      </c>
      <c r="B1972" s="19" t="s">
        <v>3831</v>
      </c>
      <c r="C1972" s="19" t="n">
        <v>15</v>
      </c>
      <c r="D1972" s="17" t="s">
        <v>810</v>
      </c>
      <c r="E1972" s="19" t="n">
        <v>15990784</v>
      </c>
      <c r="F1972" s="17" t="s">
        <v>3832</v>
      </c>
      <c r="G1972" s="17" t="s">
        <v>1104</v>
      </c>
      <c r="H1972" s="19"/>
    </row>
    <row r="1973" customFormat="false" ht="15" hidden="false" customHeight="false" outlineLevel="0" collapsed="false">
      <c r="A1973" s="19" t="s">
        <v>2615</v>
      </c>
      <c r="B1973" s="19" t="s">
        <v>1546</v>
      </c>
      <c r="C1973" s="19" t="n">
        <v>15</v>
      </c>
      <c r="D1973" s="19" t="s">
        <v>3702</v>
      </c>
      <c r="E1973" s="19" t="n">
        <v>43.31166124729</v>
      </c>
      <c r="F1973" s="17" t="s">
        <v>3833</v>
      </c>
      <c r="G1973" s="17" t="s">
        <v>1104</v>
      </c>
      <c r="H1973" s="19"/>
    </row>
    <row r="1974" customFormat="false" ht="15" hidden="false" customHeight="false" outlineLevel="0" collapsed="false">
      <c r="A1974" s="19" t="s">
        <v>2615</v>
      </c>
      <c r="B1974" s="19" t="s">
        <v>2344</v>
      </c>
      <c r="C1974" s="19" t="n">
        <v>15</v>
      </c>
      <c r="D1974" s="19" t="s">
        <v>3704</v>
      </c>
      <c r="E1974" s="19" t="n">
        <v>3</v>
      </c>
      <c r="F1974" s="17" t="s">
        <v>3705</v>
      </c>
      <c r="G1974" s="17" t="s">
        <v>1104</v>
      </c>
      <c r="H1974" s="19"/>
    </row>
    <row r="1975" customFormat="false" ht="15" hidden="false" customHeight="false" outlineLevel="0" collapsed="false">
      <c r="A1975" s="19" t="s">
        <v>2615</v>
      </c>
      <c r="B1975" s="19" t="s">
        <v>3670</v>
      </c>
      <c r="C1975" s="19" t="n">
        <v>15</v>
      </c>
      <c r="D1975" s="17" t="s">
        <v>3603</v>
      </c>
      <c r="E1975" s="19" t="n">
        <v>1</v>
      </c>
      <c r="F1975" s="17" t="s">
        <v>3706</v>
      </c>
      <c r="G1975" s="17" t="s">
        <v>1104</v>
      </c>
      <c r="H1975" s="19"/>
    </row>
    <row r="1976" customFormat="false" ht="15" hidden="false" customHeight="false" outlineLevel="0" collapsed="false">
      <c r="A1976" s="19" t="s">
        <v>2615</v>
      </c>
      <c r="B1976" s="19" t="s">
        <v>3834</v>
      </c>
      <c r="C1976" s="19" t="n">
        <v>15</v>
      </c>
      <c r="D1976" s="19" t="s">
        <v>851</v>
      </c>
      <c r="E1976" s="19" t="n">
        <v>133.37673125888</v>
      </c>
      <c r="F1976" s="17" t="s">
        <v>3835</v>
      </c>
      <c r="G1976" s="17" t="s">
        <v>1104</v>
      </c>
      <c r="H1976" s="19"/>
    </row>
    <row r="1977" customFormat="false" ht="15" hidden="false" customHeight="false" outlineLevel="0" collapsed="false">
      <c r="A1977" s="19" t="s">
        <v>2615</v>
      </c>
      <c r="B1977" s="19" t="s">
        <v>3836</v>
      </c>
      <c r="C1977" s="19" t="n">
        <v>15</v>
      </c>
      <c r="D1977" s="19" t="s">
        <v>855</v>
      </c>
      <c r="E1977" s="19" t="n">
        <v>2175.744</v>
      </c>
      <c r="F1977" s="17" t="s">
        <v>3837</v>
      </c>
      <c r="G1977" s="17" t="s">
        <v>1104</v>
      </c>
      <c r="H1977" s="19"/>
    </row>
    <row r="1978" customFormat="false" ht="15" hidden="false" customHeight="false" outlineLevel="0" collapsed="false">
      <c r="A1978" s="55" t="s">
        <v>2615</v>
      </c>
      <c r="B1978" s="55" t="s">
        <v>1869</v>
      </c>
      <c r="C1978" s="55" t="n">
        <v>15</v>
      </c>
      <c r="D1978" s="66" t="s">
        <v>3710</v>
      </c>
      <c r="E1978" s="55" t="n">
        <v>2</v>
      </c>
      <c r="F1978" s="55"/>
      <c r="G1978" s="66" t="s">
        <v>1122</v>
      </c>
      <c r="H1978" s="55"/>
    </row>
    <row r="1979" customFormat="false" ht="15" hidden="false" customHeight="false" outlineLevel="0" collapsed="false">
      <c r="A1979" s="19" t="s">
        <v>2615</v>
      </c>
      <c r="B1979" s="19" t="s">
        <v>3671</v>
      </c>
      <c r="C1979" s="19" t="n">
        <v>15</v>
      </c>
      <c r="D1979" s="17" t="s">
        <v>3606</v>
      </c>
      <c r="E1979" s="19" t="n">
        <v>0.213159568163521</v>
      </c>
      <c r="F1979" s="17" t="s">
        <v>3838</v>
      </c>
      <c r="G1979" s="17" t="s">
        <v>1104</v>
      </c>
      <c r="H1979" s="19"/>
    </row>
    <row r="1980" customFormat="false" ht="15" hidden="false" customHeight="false" outlineLevel="0" collapsed="false">
      <c r="A1980" s="19" t="s">
        <v>2615</v>
      </c>
      <c r="B1980" s="19" t="s">
        <v>3673</v>
      </c>
      <c r="C1980" s="19" t="n">
        <v>15</v>
      </c>
      <c r="D1980" s="19" t="s">
        <v>896</v>
      </c>
      <c r="E1980" s="19" t="n">
        <v>220.959676162236</v>
      </c>
      <c r="F1980" s="17" t="s">
        <v>3839</v>
      </c>
      <c r="G1980" s="17" t="s">
        <v>1104</v>
      </c>
      <c r="H1980" s="19"/>
    </row>
    <row r="1981" customFormat="false" ht="15" hidden="false" customHeight="false" outlineLevel="0" collapsed="false">
      <c r="A1981" s="19" t="s">
        <v>2615</v>
      </c>
      <c r="B1981" s="19" t="s">
        <v>3085</v>
      </c>
      <c r="C1981" s="19" t="n">
        <v>15</v>
      </c>
      <c r="D1981" s="19" t="s">
        <v>3698</v>
      </c>
      <c r="E1981" s="19" t="n">
        <v>1</v>
      </c>
      <c r="F1981" s="17" t="s">
        <v>3699</v>
      </c>
      <c r="G1981" s="17" t="s">
        <v>1104</v>
      </c>
      <c r="H1981" s="19"/>
    </row>
    <row r="1982" customFormat="false" ht="15" hidden="false" customHeight="false" outlineLevel="0" collapsed="false">
      <c r="A1982" s="19" t="s">
        <v>2615</v>
      </c>
      <c r="B1982" s="19" t="s">
        <v>2357</v>
      </c>
      <c r="C1982" s="19" t="n">
        <v>15</v>
      </c>
      <c r="D1982" s="17" t="s">
        <v>796</v>
      </c>
      <c r="E1982" s="19" t="n">
        <v>180</v>
      </c>
      <c r="F1982" s="17" t="s">
        <v>3840</v>
      </c>
      <c r="G1982" s="17" t="s">
        <v>1104</v>
      </c>
      <c r="H1982" s="19"/>
    </row>
    <row r="1983" customFormat="false" ht="15" hidden="false" customHeight="false" outlineLevel="0" collapsed="false">
      <c r="A1983" s="19" t="s">
        <v>2615</v>
      </c>
      <c r="B1983" s="19" t="s">
        <v>3841</v>
      </c>
      <c r="C1983" s="19" t="n">
        <v>15</v>
      </c>
      <c r="D1983" s="17" t="s">
        <v>810</v>
      </c>
      <c r="E1983" s="19" t="n">
        <v>4915200</v>
      </c>
      <c r="F1983" s="17" t="s">
        <v>3842</v>
      </c>
      <c r="G1983" s="17" t="s">
        <v>1104</v>
      </c>
      <c r="H1983" s="19"/>
    </row>
    <row r="1984" customFormat="false" ht="15" hidden="false" customHeight="false" outlineLevel="0" collapsed="false">
      <c r="A1984" s="19" t="s">
        <v>2615</v>
      </c>
      <c r="B1984" s="19" t="s">
        <v>1552</v>
      </c>
      <c r="C1984" s="19" t="n">
        <v>15</v>
      </c>
      <c r="D1984" s="19" t="s">
        <v>3702</v>
      </c>
      <c r="E1984" s="19" t="n">
        <v>40.8313604965595</v>
      </c>
      <c r="F1984" s="17" t="s">
        <v>3843</v>
      </c>
      <c r="G1984" s="17" t="s">
        <v>1104</v>
      </c>
      <c r="H1984" s="19"/>
    </row>
    <row r="1985" customFormat="false" ht="15" hidden="false" customHeight="false" outlineLevel="0" collapsed="false">
      <c r="A1985" s="19" t="s">
        <v>2615</v>
      </c>
      <c r="B1985" s="19" t="s">
        <v>2367</v>
      </c>
      <c r="C1985" s="19" t="n">
        <v>15</v>
      </c>
      <c r="D1985" s="19" t="s">
        <v>3704</v>
      </c>
      <c r="E1985" s="19" t="n">
        <v>3</v>
      </c>
      <c r="F1985" s="17" t="s">
        <v>3705</v>
      </c>
      <c r="G1985" s="17" t="s">
        <v>1104</v>
      </c>
      <c r="H1985" s="19"/>
    </row>
    <row r="1986" customFormat="false" ht="15" hidden="false" customHeight="false" outlineLevel="0" collapsed="false">
      <c r="A1986" s="19" t="s">
        <v>2615</v>
      </c>
      <c r="B1986" s="19" t="s">
        <v>3675</v>
      </c>
      <c r="C1986" s="19" t="n">
        <v>15</v>
      </c>
      <c r="D1986" s="17" t="s">
        <v>3603</v>
      </c>
      <c r="E1986" s="19" t="n">
        <v>1</v>
      </c>
      <c r="F1986" s="17" t="s">
        <v>3706</v>
      </c>
      <c r="G1986" s="17" t="s">
        <v>1104</v>
      </c>
      <c r="H1986" s="19"/>
    </row>
    <row r="1987" customFormat="false" ht="15" hidden="false" customHeight="false" outlineLevel="0" collapsed="false">
      <c r="A1987" s="19" t="s">
        <v>2615</v>
      </c>
      <c r="B1987" s="19" t="s">
        <v>3844</v>
      </c>
      <c r="C1987" s="19" t="n">
        <v>15</v>
      </c>
      <c r="D1987" s="19" t="s">
        <v>851</v>
      </c>
      <c r="E1987" s="19" t="n">
        <v>531.1276032</v>
      </c>
      <c r="F1987" s="17" t="s">
        <v>3845</v>
      </c>
      <c r="G1987" s="17" t="s">
        <v>1104</v>
      </c>
      <c r="H1987" s="19"/>
    </row>
    <row r="1988" customFormat="false" ht="15" hidden="false" customHeight="false" outlineLevel="0" collapsed="false">
      <c r="A1988" s="19" t="s">
        <v>2615</v>
      </c>
      <c r="B1988" s="19" t="s">
        <v>3846</v>
      </c>
      <c r="C1988" s="19" t="n">
        <v>15</v>
      </c>
      <c r="D1988" s="19" t="s">
        <v>855</v>
      </c>
      <c r="E1988" s="19" t="n">
        <v>16384</v>
      </c>
      <c r="F1988" s="17" t="s">
        <v>3847</v>
      </c>
      <c r="G1988" s="17" t="s">
        <v>1104</v>
      </c>
      <c r="H1988" s="19"/>
    </row>
    <row r="1989" customFormat="false" ht="15" hidden="false" customHeight="false" outlineLevel="0" collapsed="false">
      <c r="A1989" s="55" t="s">
        <v>2615</v>
      </c>
      <c r="B1989" s="55" t="s">
        <v>1885</v>
      </c>
      <c r="C1989" s="55" t="n">
        <v>15</v>
      </c>
      <c r="D1989" s="66" t="s">
        <v>3710</v>
      </c>
      <c r="E1989" s="55" t="n">
        <v>3</v>
      </c>
      <c r="F1989" s="55"/>
      <c r="G1989" s="66" t="s">
        <v>1122</v>
      </c>
      <c r="H1989" s="55"/>
    </row>
    <row r="1990" customFormat="false" ht="15" hidden="false" customHeight="false" outlineLevel="0" collapsed="false">
      <c r="A1990" s="19" t="s">
        <v>2615</v>
      </c>
      <c r="B1990" s="19" t="s">
        <v>3676</v>
      </c>
      <c r="C1990" s="19" t="n">
        <v>15</v>
      </c>
      <c r="D1990" s="17" t="s">
        <v>3606</v>
      </c>
      <c r="E1990" s="19" t="n">
        <v>0.848835696221191</v>
      </c>
      <c r="F1990" s="17" t="s">
        <v>3848</v>
      </c>
      <c r="G1990" s="17" t="s">
        <v>1104</v>
      </c>
      <c r="H1990" s="19"/>
    </row>
    <row r="1991" customFormat="false" ht="15" hidden="false" customHeight="false" outlineLevel="0" collapsed="false">
      <c r="A1991" s="19" t="s">
        <v>2615</v>
      </c>
      <c r="B1991" s="19" t="s">
        <v>3678</v>
      </c>
      <c r="C1991" s="19" t="n">
        <v>15</v>
      </c>
      <c r="D1991" s="19" t="s">
        <v>896</v>
      </c>
      <c r="E1991" s="19" t="n">
        <v>50.4395466243647</v>
      </c>
      <c r="F1991" s="17" t="s">
        <v>3849</v>
      </c>
      <c r="G1991" s="17" t="s">
        <v>1104</v>
      </c>
      <c r="H1991" s="19"/>
    </row>
    <row r="1992" customFormat="false" ht="15" hidden="false" customHeight="false" outlineLevel="0" collapsed="false">
      <c r="A1992" s="19" t="s">
        <v>2453</v>
      </c>
      <c r="B1992" s="19" t="s">
        <v>1558</v>
      </c>
      <c r="C1992" s="19" t="n">
        <v>15</v>
      </c>
      <c r="D1992" s="19" t="s">
        <v>3850</v>
      </c>
      <c r="E1992" s="19" t="n">
        <v>0.0364701341698813</v>
      </c>
      <c r="F1992" s="17" t="s">
        <v>3851</v>
      </c>
      <c r="G1992" s="17" t="s">
        <v>1104</v>
      </c>
      <c r="H1992" s="19"/>
    </row>
    <row r="1993" customFormat="false" ht="15" hidden="false" customHeight="false" outlineLevel="0" collapsed="false">
      <c r="A1993" s="19" t="s">
        <v>2453</v>
      </c>
      <c r="B1993" s="19" t="s">
        <v>1564</v>
      </c>
      <c r="C1993" s="19" t="n">
        <v>15</v>
      </c>
      <c r="D1993" s="19" t="s">
        <v>3850</v>
      </c>
      <c r="E1993" s="19" t="n">
        <v>0.0364701341698813</v>
      </c>
      <c r="F1993" s="17" t="s">
        <v>3852</v>
      </c>
      <c r="G1993" s="17" t="s">
        <v>1104</v>
      </c>
      <c r="H1993" s="19"/>
    </row>
    <row r="1994" customFormat="false" ht="15" hidden="false" customHeight="false" outlineLevel="0" collapsed="false">
      <c r="A1994" s="19" t="s">
        <v>2453</v>
      </c>
      <c r="B1994" s="19" t="s">
        <v>1570</v>
      </c>
      <c r="C1994" s="19" t="n">
        <v>15</v>
      </c>
      <c r="D1994" s="19" t="s">
        <v>3850</v>
      </c>
      <c r="E1994" s="19" t="n">
        <v>0.0364701341698813</v>
      </c>
      <c r="F1994" s="17" t="s">
        <v>3853</v>
      </c>
      <c r="G1994" s="17" t="s">
        <v>1104</v>
      </c>
      <c r="H1994" s="19"/>
    </row>
    <row r="1995" customFormat="false" ht="15" hidden="false" customHeight="false" outlineLevel="0" collapsed="false">
      <c r="A1995" s="19" t="s">
        <v>2453</v>
      </c>
      <c r="B1995" s="19" t="s">
        <v>1576</v>
      </c>
      <c r="C1995" s="19" t="n">
        <v>15</v>
      </c>
      <c r="D1995" s="19" t="s">
        <v>3850</v>
      </c>
      <c r="E1995" s="19" t="n">
        <v>0.0349505452461362</v>
      </c>
      <c r="F1995" s="17" t="s">
        <v>3854</v>
      </c>
      <c r="G1995" s="17" t="s">
        <v>1104</v>
      </c>
      <c r="H1995" s="19"/>
    </row>
    <row r="1996" customFormat="false" ht="15" hidden="false" customHeight="false" outlineLevel="0" collapsed="false">
      <c r="A1996" s="19" t="s">
        <v>2453</v>
      </c>
      <c r="B1996" s="19" t="s">
        <v>1582</v>
      </c>
      <c r="C1996" s="19" t="n">
        <v>15</v>
      </c>
      <c r="D1996" s="19" t="s">
        <v>3850</v>
      </c>
      <c r="E1996" s="19" t="n">
        <v>0.0349505452461362</v>
      </c>
      <c r="F1996" s="17" t="s">
        <v>3855</v>
      </c>
      <c r="G1996" s="17" t="s">
        <v>1104</v>
      </c>
      <c r="H1996" s="19"/>
    </row>
    <row r="1997" customFormat="false" ht="15" hidden="false" customHeight="false" outlineLevel="0" collapsed="false">
      <c r="A1997" s="19" t="s">
        <v>2453</v>
      </c>
      <c r="B1997" s="19" t="s">
        <v>1588</v>
      </c>
      <c r="C1997" s="19" t="n">
        <v>15</v>
      </c>
      <c r="D1997" s="19" t="s">
        <v>3850</v>
      </c>
      <c r="E1997" s="19" t="n">
        <v>0.0349505452461362</v>
      </c>
      <c r="F1997" s="17" t="s">
        <v>3856</v>
      </c>
      <c r="G1997" s="17" t="s">
        <v>1104</v>
      </c>
      <c r="H1997" s="19"/>
    </row>
    <row r="1998" customFormat="false" ht="15" hidden="false" customHeight="false" outlineLevel="0" collapsed="false">
      <c r="A1998" s="19" t="s">
        <v>2453</v>
      </c>
      <c r="B1998" s="19" t="s">
        <v>1594</v>
      </c>
      <c r="C1998" s="19" t="n">
        <v>15</v>
      </c>
      <c r="D1998" s="19" t="s">
        <v>3850</v>
      </c>
      <c r="E1998" s="19" t="n">
        <v>0.0303917784749011</v>
      </c>
      <c r="F1998" s="17" t="s">
        <v>3857</v>
      </c>
      <c r="G1998" s="17" t="s">
        <v>1104</v>
      </c>
      <c r="H1998" s="19"/>
    </row>
    <row r="1999" customFormat="false" ht="15" hidden="false" customHeight="false" outlineLevel="0" collapsed="false">
      <c r="A1999" s="19" t="s">
        <v>2453</v>
      </c>
      <c r="B1999" s="19" t="s">
        <v>1600</v>
      </c>
      <c r="C1999" s="19" t="n">
        <v>15</v>
      </c>
      <c r="D1999" s="19" t="s">
        <v>3850</v>
      </c>
      <c r="E1999" s="19" t="n">
        <v>0.0303917784749011</v>
      </c>
      <c r="F1999" s="17" t="s">
        <v>3858</v>
      </c>
      <c r="G1999" s="17" t="s">
        <v>1104</v>
      </c>
      <c r="H1999" s="19"/>
    </row>
    <row r="2000" customFormat="false" ht="15" hidden="false" customHeight="false" outlineLevel="0" collapsed="false">
      <c r="A2000" s="19" t="s">
        <v>2453</v>
      </c>
      <c r="B2000" s="19" t="s">
        <v>1606</v>
      </c>
      <c r="C2000" s="19" t="n">
        <v>15</v>
      </c>
      <c r="D2000" s="19" t="s">
        <v>3850</v>
      </c>
      <c r="E2000" s="19" t="n">
        <v>0.0303917784749011</v>
      </c>
      <c r="F2000" s="17" t="s">
        <v>3859</v>
      </c>
      <c r="G2000" s="17" t="s">
        <v>1104</v>
      </c>
      <c r="H2000" s="19"/>
    </row>
    <row r="2001" customFormat="false" ht="15" hidden="false" customHeight="false" outlineLevel="0" collapsed="false">
      <c r="A2001" s="19" t="s">
        <v>2453</v>
      </c>
      <c r="B2001" s="19" t="s">
        <v>1612</v>
      </c>
      <c r="C2001" s="19" t="n">
        <v>15</v>
      </c>
      <c r="D2001" s="19" t="s">
        <v>3850</v>
      </c>
      <c r="E2001" s="19" t="n">
        <v>0.0303917784749011</v>
      </c>
      <c r="F2001" s="17" t="s">
        <v>3860</v>
      </c>
      <c r="G2001" s="17" t="s">
        <v>1104</v>
      </c>
      <c r="H2001" s="19"/>
    </row>
    <row r="2002" customFormat="false" ht="15" hidden="false" customHeight="false" outlineLevel="0" collapsed="false">
      <c r="A2002" s="19" t="s">
        <v>2453</v>
      </c>
      <c r="B2002" s="19" t="s">
        <v>1618</v>
      </c>
      <c r="C2002" s="19" t="n">
        <v>15</v>
      </c>
      <c r="D2002" s="19" t="s">
        <v>3850</v>
      </c>
      <c r="E2002" s="19" t="n">
        <v>0.0303917784749011</v>
      </c>
      <c r="F2002" s="17" t="s">
        <v>3861</v>
      </c>
      <c r="G2002" s="17" t="s">
        <v>1104</v>
      </c>
      <c r="H2002" s="19"/>
    </row>
    <row r="2003" customFormat="false" ht="15" hidden="false" customHeight="false" outlineLevel="0" collapsed="false">
      <c r="A2003" s="19" t="s">
        <v>2453</v>
      </c>
      <c r="B2003" s="19" t="s">
        <v>1624</v>
      </c>
      <c r="C2003" s="19" t="n">
        <v>15</v>
      </c>
      <c r="D2003" s="19" t="s">
        <v>3850</v>
      </c>
      <c r="E2003" s="19" t="n">
        <v>0.0303917784749011</v>
      </c>
      <c r="F2003" s="17" t="s">
        <v>3862</v>
      </c>
      <c r="G2003" s="17" t="s">
        <v>1104</v>
      </c>
      <c r="H2003" s="19"/>
    </row>
    <row r="2004" customFormat="false" ht="15" hidden="false" customHeight="false" outlineLevel="0" collapsed="false">
      <c r="A2004" s="19" t="s">
        <v>2453</v>
      </c>
      <c r="B2004" s="19" t="s">
        <v>1630</v>
      </c>
      <c r="C2004" s="19" t="n">
        <v>15</v>
      </c>
      <c r="D2004" s="19" t="s">
        <v>3850</v>
      </c>
      <c r="E2004" s="19" t="n">
        <v>0.0303917784749011</v>
      </c>
      <c r="F2004" s="17" t="s">
        <v>3863</v>
      </c>
      <c r="G2004" s="17" t="s">
        <v>1104</v>
      </c>
      <c r="H2004" s="19"/>
    </row>
    <row r="2005" customFormat="false" ht="15" hidden="false" customHeight="false" outlineLevel="0" collapsed="false">
      <c r="A2005" s="19" t="s">
        <v>2453</v>
      </c>
      <c r="B2005" s="19" t="s">
        <v>1636</v>
      </c>
      <c r="C2005" s="19" t="n">
        <v>15</v>
      </c>
      <c r="D2005" s="19" t="s">
        <v>3850</v>
      </c>
      <c r="E2005" s="19" t="n">
        <v>0.0303917784749011</v>
      </c>
      <c r="F2005" s="17" t="s">
        <v>3864</v>
      </c>
      <c r="G2005" s="17" t="s">
        <v>1104</v>
      </c>
      <c r="H2005" s="19"/>
    </row>
    <row r="2006" customFormat="false" ht="15" hidden="false" customHeight="false" outlineLevel="0" collapsed="false">
      <c r="A2006" s="19" t="s">
        <v>2453</v>
      </c>
      <c r="B2006" s="19" t="s">
        <v>1642</v>
      </c>
      <c r="C2006" s="19" t="n">
        <v>15</v>
      </c>
      <c r="D2006" s="19" t="s">
        <v>3850</v>
      </c>
      <c r="E2006" s="19" t="n">
        <v>0.0303917784749011</v>
      </c>
      <c r="F2006" s="17" t="s">
        <v>3865</v>
      </c>
      <c r="G2006" s="17" t="s">
        <v>1104</v>
      </c>
      <c r="H2006" s="19"/>
    </row>
    <row r="2007" customFormat="false" ht="15" hidden="false" customHeight="false" outlineLevel="0" collapsed="false">
      <c r="A2007" s="55" t="s">
        <v>3008</v>
      </c>
      <c r="B2007" s="55" t="s">
        <v>1308</v>
      </c>
      <c r="C2007" s="55" t="n">
        <v>15</v>
      </c>
      <c r="D2007" s="55" t="s">
        <v>3866</v>
      </c>
      <c r="E2007" s="55" t="n">
        <v>0.15</v>
      </c>
      <c r="F2007" s="55"/>
      <c r="G2007" s="66" t="s">
        <v>1122</v>
      </c>
      <c r="H2007" s="55"/>
    </row>
    <row r="2008" customFormat="false" ht="15" hidden="false" customHeight="false" outlineLevel="0" collapsed="false">
      <c r="A2008" s="55" t="s">
        <v>3680</v>
      </c>
      <c r="B2008" s="55" t="s">
        <v>1382</v>
      </c>
      <c r="C2008" s="55" t="n">
        <v>15</v>
      </c>
      <c r="D2008" s="55" t="s">
        <v>3867</v>
      </c>
      <c r="E2008" s="55" t="n">
        <v>188</v>
      </c>
      <c r="F2008" s="55"/>
      <c r="G2008" s="66" t="s">
        <v>1122</v>
      </c>
      <c r="H2008" s="55"/>
    </row>
    <row r="2009" customFormat="false" ht="15" hidden="false" customHeight="false" outlineLevel="0" collapsed="false">
      <c r="A2009" s="55" t="s">
        <v>3680</v>
      </c>
      <c r="B2009" s="55" t="s">
        <v>1337</v>
      </c>
      <c r="C2009" s="55" t="n">
        <v>15</v>
      </c>
      <c r="D2009" s="55" t="s">
        <v>3868</v>
      </c>
      <c r="E2009" s="55" t="n">
        <v>230</v>
      </c>
      <c r="F2009" s="55"/>
      <c r="G2009" s="66" t="s">
        <v>1122</v>
      </c>
      <c r="H2009" s="55"/>
    </row>
    <row r="2010" customFormat="false" ht="15" hidden="false" customHeight="false" outlineLevel="0" collapsed="false">
      <c r="A2010" s="55" t="s">
        <v>3680</v>
      </c>
      <c r="B2010" s="55" t="s">
        <v>1147</v>
      </c>
      <c r="C2010" s="55" t="n">
        <v>15</v>
      </c>
      <c r="D2010" s="55" t="s">
        <v>3869</v>
      </c>
      <c r="E2010" s="55" t="n">
        <v>227</v>
      </c>
      <c r="F2010" s="55"/>
      <c r="G2010" s="66" t="s">
        <v>1122</v>
      </c>
      <c r="H2010" s="55"/>
    </row>
    <row r="2011" customFormat="false" ht="15" hidden="false" customHeight="false" outlineLevel="0" collapsed="false">
      <c r="A2011" s="55" t="s">
        <v>3680</v>
      </c>
      <c r="B2011" s="55" t="s">
        <v>2522</v>
      </c>
      <c r="C2011" s="55" t="n">
        <v>15</v>
      </c>
      <c r="D2011" s="55" t="s">
        <v>3870</v>
      </c>
      <c r="E2011" s="55" t="n">
        <v>120</v>
      </c>
      <c r="F2011" s="55"/>
      <c r="G2011" s="66" t="s">
        <v>1122</v>
      </c>
      <c r="H2011" s="55"/>
    </row>
    <row r="2012" customFormat="false" ht="15" hidden="false" customHeight="false" outlineLevel="0" collapsed="false">
      <c r="A2012" s="55" t="s">
        <v>3680</v>
      </c>
      <c r="B2012" s="55" t="s">
        <v>2687</v>
      </c>
      <c r="C2012" s="55" t="n">
        <v>15</v>
      </c>
      <c r="D2012" s="55" t="s">
        <v>3871</v>
      </c>
      <c r="E2012" s="55" t="n">
        <v>132</v>
      </c>
      <c r="F2012" s="55"/>
      <c r="G2012" s="66" t="s">
        <v>1122</v>
      </c>
      <c r="H2012" s="55"/>
    </row>
    <row r="2013" customFormat="false" ht="15" hidden="false" customHeight="false" outlineLevel="0" collapsed="false">
      <c r="A2013" s="55" t="s">
        <v>3680</v>
      </c>
      <c r="B2013" s="55" t="s">
        <v>2531</v>
      </c>
      <c r="C2013" s="55" t="n">
        <v>15</v>
      </c>
      <c r="D2013" s="55" t="s">
        <v>3870</v>
      </c>
      <c r="E2013" s="55" t="n">
        <v>132</v>
      </c>
      <c r="F2013" s="55"/>
      <c r="G2013" s="66" t="s">
        <v>1122</v>
      </c>
      <c r="H2013" s="55"/>
    </row>
    <row r="2014" customFormat="false" ht="15" hidden="false" customHeight="false" outlineLevel="0" collapsed="false">
      <c r="A2014" s="55" t="s">
        <v>3680</v>
      </c>
      <c r="B2014" s="55" t="s">
        <v>2692</v>
      </c>
      <c r="C2014" s="55" t="n">
        <v>15</v>
      </c>
      <c r="D2014" s="55" t="s">
        <v>3871</v>
      </c>
      <c r="E2014" s="55" t="n">
        <v>140</v>
      </c>
      <c r="F2014" s="55"/>
      <c r="G2014" s="66" t="s">
        <v>1122</v>
      </c>
      <c r="H2014" s="55"/>
    </row>
    <row r="2015" customFormat="false" ht="15" hidden="false" customHeight="false" outlineLevel="0" collapsed="false">
      <c r="A2015" s="55" t="s">
        <v>1202</v>
      </c>
      <c r="B2015" s="55" t="s">
        <v>1219</v>
      </c>
      <c r="C2015" s="55" t="n">
        <v>15</v>
      </c>
      <c r="D2015" s="55" t="s">
        <v>3872</v>
      </c>
      <c r="E2015" s="55" t="n">
        <v>2</v>
      </c>
      <c r="F2015" s="55"/>
      <c r="G2015" s="66" t="s">
        <v>1122</v>
      </c>
      <c r="H2015" s="55" t="s">
        <v>140</v>
      </c>
    </row>
    <row r="2016" customFormat="false" ht="15" hidden="false" customHeight="false" outlineLevel="0" collapsed="false">
      <c r="A2016" s="55" t="s">
        <v>1202</v>
      </c>
      <c r="B2016" s="55" t="s">
        <v>1237</v>
      </c>
      <c r="C2016" s="55" t="n">
        <v>15</v>
      </c>
      <c r="D2016" s="55" t="s">
        <v>3872</v>
      </c>
      <c r="E2016" s="55" t="n">
        <v>3</v>
      </c>
      <c r="F2016" s="55"/>
      <c r="G2016" s="66" t="s">
        <v>1122</v>
      </c>
      <c r="H2016" s="55" t="s">
        <v>140</v>
      </c>
    </row>
    <row r="2017" customFormat="false" ht="15" hidden="false" customHeight="false" outlineLevel="0" collapsed="false">
      <c r="A2017" s="55" t="s">
        <v>1202</v>
      </c>
      <c r="B2017" s="55" t="s">
        <v>1245</v>
      </c>
      <c r="C2017" s="55" t="n">
        <v>15</v>
      </c>
      <c r="D2017" s="55" t="s">
        <v>3872</v>
      </c>
      <c r="E2017" s="55" t="n">
        <v>5</v>
      </c>
      <c r="F2017" s="55"/>
      <c r="G2017" s="66" t="s">
        <v>1122</v>
      </c>
      <c r="H2017" s="55" t="s">
        <v>140</v>
      </c>
    </row>
    <row r="2018" customFormat="false" ht="15" hidden="false" customHeight="false" outlineLevel="0" collapsed="false">
      <c r="A2018" s="55" t="s">
        <v>3365</v>
      </c>
      <c r="B2018" s="55" t="s">
        <v>1120</v>
      </c>
      <c r="C2018" s="55" t="n">
        <v>15</v>
      </c>
      <c r="D2018" s="66" t="s">
        <v>3873</v>
      </c>
      <c r="E2018" s="55" t="n">
        <v>0.9</v>
      </c>
      <c r="F2018" s="55"/>
      <c r="G2018" s="66" t="s">
        <v>1122</v>
      </c>
      <c r="H2018" s="66" t="s">
        <v>2038</v>
      </c>
    </row>
    <row r="2019" customFormat="false" ht="15" hidden="false" customHeight="false" outlineLevel="0" collapsed="false">
      <c r="A2019" s="55" t="s">
        <v>3365</v>
      </c>
      <c r="B2019" s="55" t="s">
        <v>1258</v>
      </c>
      <c r="C2019" s="55" t="n">
        <v>15</v>
      </c>
      <c r="D2019" s="66" t="s">
        <v>3874</v>
      </c>
      <c r="E2019" s="55" t="n">
        <v>1.1</v>
      </c>
      <c r="F2019" s="55"/>
      <c r="G2019" s="66" t="s">
        <v>1122</v>
      </c>
      <c r="H2019" s="66" t="s">
        <v>2038</v>
      </c>
    </row>
    <row r="2020" customFormat="false" ht="15" hidden="false" customHeight="false" outlineLevel="0" collapsed="false">
      <c r="A2020" s="55" t="s">
        <v>3365</v>
      </c>
      <c r="B2020" s="55" t="s">
        <v>1339</v>
      </c>
      <c r="C2020" s="55" t="n">
        <v>15</v>
      </c>
      <c r="D2020" s="66" t="s">
        <v>3875</v>
      </c>
      <c r="E2020" s="55" t="n">
        <v>1.3</v>
      </c>
      <c r="F2020" s="55"/>
      <c r="G2020" s="66" t="s">
        <v>1122</v>
      </c>
      <c r="H2020" s="66" t="s">
        <v>2038</v>
      </c>
    </row>
    <row r="2021" customFormat="false" ht="15" hidden="false" customHeight="false" outlineLevel="0" collapsed="false">
      <c r="A2021" s="19" t="s">
        <v>3365</v>
      </c>
      <c r="B2021" s="19" t="s">
        <v>1668</v>
      </c>
      <c r="C2021" s="19" t="n">
        <v>15</v>
      </c>
      <c r="D2021" s="17" t="s">
        <v>3876</v>
      </c>
      <c r="E2021" s="19" t="n">
        <v>2.8</v>
      </c>
      <c r="F2021" s="17" t="s">
        <v>3877</v>
      </c>
      <c r="G2021" s="17" t="s">
        <v>1104</v>
      </c>
      <c r="H2021" s="17" t="s">
        <v>226</v>
      </c>
    </row>
    <row r="2022" customFormat="false" ht="15" hidden="false" customHeight="false" outlineLevel="0" collapsed="false">
      <c r="A2022" s="55" t="s">
        <v>3365</v>
      </c>
      <c r="B2022" s="55" t="s">
        <v>2807</v>
      </c>
      <c r="C2022" s="55" t="n">
        <v>15</v>
      </c>
      <c r="D2022" s="66" t="s">
        <v>3874</v>
      </c>
      <c r="E2022" s="55" t="n">
        <v>3.1</v>
      </c>
      <c r="F2022" s="55"/>
      <c r="G2022" s="66" t="s">
        <v>1122</v>
      </c>
      <c r="H2022" s="66" t="s">
        <v>2038</v>
      </c>
    </row>
    <row r="2023" customFormat="false" ht="15" hidden="false" customHeight="false" outlineLevel="0" collapsed="false">
      <c r="A2023" s="19" t="s">
        <v>3365</v>
      </c>
      <c r="B2023" s="19" t="s">
        <v>1342</v>
      </c>
      <c r="C2023" s="19" t="n">
        <v>15</v>
      </c>
      <c r="D2023" s="17" t="s">
        <v>3878</v>
      </c>
      <c r="E2023" s="19" t="n">
        <v>3.4</v>
      </c>
      <c r="F2023" s="17" t="s">
        <v>3879</v>
      </c>
      <c r="G2023" s="17" t="s">
        <v>1104</v>
      </c>
      <c r="H2023" s="17" t="s">
        <v>226</v>
      </c>
    </row>
    <row r="2024" customFormat="false" ht="15" hidden="false" customHeight="false" outlineLevel="0" collapsed="false">
      <c r="A2024" s="19" t="s">
        <v>3365</v>
      </c>
      <c r="B2024" s="19" t="s">
        <v>1682</v>
      </c>
      <c r="C2024" s="19" t="n">
        <v>15</v>
      </c>
      <c r="D2024" s="17" t="s">
        <v>3876</v>
      </c>
      <c r="E2024" s="19" t="n">
        <v>4</v>
      </c>
      <c r="F2024" s="17" t="s">
        <v>3880</v>
      </c>
      <c r="G2024" s="17" t="s">
        <v>1104</v>
      </c>
      <c r="H2024" s="17" t="s">
        <v>226</v>
      </c>
    </row>
    <row r="2025" customFormat="false" ht="15" hidden="false" customHeight="false" outlineLevel="0" collapsed="false">
      <c r="A2025" s="55" t="s">
        <v>3365</v>
      </c>
      <c r="B2025" s="55" t="s">
        <v>2813</v>
      </c>
      <c r="C2025" s="55" t="n">
        <v>15</v>
      </c>
      <c r="D2025" s="66" t="s">
        <v>3874</v>
      </c>
      <c r="E2025" s="55" t="n">
        <v>4.3</v>
      </c>
      <c r="F2025" s="55"/>
      <c r="G2025" s="66" t="s">
        <v>1122</v>
      </c>
      <c r="H2025" s="55" t="s">
        <v>131</v>
      </c>
    </row>
    <row r="2026" customFormat="false" ht="15" hidden="false" customHeight="false" outlineLevel="0" collapsed="false">
      <c r="A2026" s="19" t="s">
        <v>3365</v>
      </c>
      <c r="B2026" s="19" t="s">
        <v>1344</v>
      </c>
      <c r="C2026" s="19" t="n">
        <v>15</v>
      </c>
      <c r="D2026" s="17" t="s">
        <v>3878</v>
      </c>
      <c r="E2026" s="19" t="n">
        <v>5</v>
      </c>
      <c r="F2026" s="17" t="s">
        <v>3881</v>
      </c>
      <c r="G2026" s="17" t="s">
        <v>1104</v>
      </c>
      <c r="H2026" s="17" t="s">
        <v>226</v>
      </c>
    </row>
    <row r="2027" customFormat="false" ht="15" hidden="false" customHeight="false" outlineLevel="0" collapsed="false">
      <c r="A2027" s="55" t="s">
        <v>3365</v>
      </c>
      <c r="B2027" s="55" t="s">
        <v>1696</v>
      </c>
      <c r="C2027" s="55" t="n">
        <v>15</v>
      </c>
      <c r="D2027" s="66" t="s">
        <v>3873</v>
      </c>
      <c r="E2027" s="55" t="n">
        <v>7.8</v>
      </c>
      <c r="F2027" s="55"/>
      <c r="G2027" s="66" t="s">
        <v>1122</v>
      </c>
      <c r="H2027" s="55" t="s">
        <v>131</v>
      </c>
    </row>
    <row r="2028" customFormat="false" ht="15" hidden="false" customHeight="false" outlineLevel="0" collapsed="false">
      <c r="A2028" s="55" t="s">
        <v>3365</v>
      </c>
      <c r="B2028" s="55" t="s">
        <v>2819</v>
      </c>
      <c r="C2028" s="55" t="n">
        <v>15</v>
      </c>
      <c r="D2028" s="66" t="s">
        <v>3874</v>
      </c>
      <c r="E2028" s="55" t="n">
        <v>8.4</v>
      </c>
      <c r="F2028" s="55"/>
      <c r="G2028" s="66" t="s">
        <v>1122</v>
      </c>
      <c r="H2028" s="55" t="s">
        <v>131</v>
      </c>
    </row>
    <row r="2029" customFormat="false" ht="15" hidden="false" customHeight="false" outlineLevel="0" collapsed="false">
      <c r="A2029" s="55" t="s">
        <v>3365</v>
      </c>
      <c r="B2029" s="55" t="s">
        <v>1346</v>
      </c>
      <c r="C2029" s="55" t="n">
        <v>15</v>
      </c>
      <c r="D2029" s="66" t="s">
        <v>3875</v>
      </c>
      <c r="E2029" s="55" t="n">
        <v>9.1</v>
      </c>
      <c r="F2029" s="55"/>
      <c r="G2029" s="66" t="s">
        <v>1122</v>
      </c>
      <c r="H2029" s="66" t="s">
        <v>2038</v>
      </c>
    </row>
    <row r="2030" customFormat="false" ht="15" hidden="false" customHeight="false" outlineLevel="0" collapsed="false">
      <c r="A2030" s="19" t="s">
        <v>3365</v>
      </c>
      <c r="B2030" s="19" t="s">
        <v>1710</v>
      </c>
      <c r="C2030" s="19" t="n">
        <v>15</v>
      </c>
      <c r="D2030" s="17" t="s">
        <v>3876</v>
      </c>
      <c r="E2030" s="19" t="n">
        <v>12.6</v>
      </c>
      <c r="F2030" s="17" t="s">
        <v>3882</v>
      </c>
      <c r="G2030" s="17" t="s">
        <v>1104</v>
      </c>
      <c r="H2030" s="19" t="s">
        <v>140</v>
      </c>
    </row>
    <row r="2031" customFormat="false" ht="15" hidden="false" customHeight="false" outlineLevel="0" collapsed="false">
      <c r="A2031" s="19" t="s">
        <v>3365</v>
      </c>
      <c r="B2031" s="19" t="s">
        <v>2825</v>
      </c>
      <c r="C2031" s="19" t="n">
        <v>15</v>
      </c>
      <c r="D2031" s="17" t="s">
        <v>3883</v>
      </c>
      <c r="E2031" s="19" t="n">
        <v>16.8</v>
      </c>
      <c r="F2031" s="17" t="s">
        <v>3884</v>
      </c>
      <c r="G2031" s="17" t="s">
        <v>1104</v>
      </c>
      <c r="H2031" s="19" t="s">
        <v>140</v>
      </c>
    </row>
    <row r="2032" customFormat="false" ht="15" hidden="false" customHeight="false" outlineLevel="0" collapsed="false">
      <c r="A2032" s="19" t="s">
        <v>3365</v>
      </c>
      <c r="B2032" s="19" t="s">
        <v>1348</v>
      </c>
      <c r="C2032" s="19" t="n">
        <v>15</v>
      </c>
      <c r="D2032" s="17" t="s">
        <v>3878</v>
      </c>
      <c r="E2032" s="19" t="n">
        <v>21</v>
      </c>
      <c r="F2032" s="17" t="s">
        <v>3885</v>
      </c>
      <c r="G2032" s="17" t="s">
        <v>1104</v>
      </c>
      <c r="H2032" s="19" t="s">
        <v>140</v>
      </c>
    </row>
    <row r="2033" customFormat="false" ht="15" hidden="false" customHeight="false" outlineLevel="0" collapsed="false">
      <c r="A2033" s="55" t="s">
        <v>3369</v>
      </c>
      <c r="B2033" s="55" t="s">
        <v>1277</v>
      </c>
      <c r="C2033" s="55" t="n">
        <v>16</v>
      </c>
      <c r="D2033" s="55" t="s">
        <v>3886</v>
      </c>
      <c r="E2033" s="55" t="n">
        <v>0.3</v>
      </c>
      <c r="F2033" s="55"/>
      <c r="G2033" s="66" t="s">
        <v>1122</v>
      </c>
      <c r="H2033" s="55" t="s">
        <v>224</v>
      </c>
    </row>
    <row r="2034" customFormat="false" ht="15" hidden="false" customHeight="false" outlineLevel="0" collapsed="false">
      <c r="A2034" s="19" t="s">
        <v>3369</v>
      </c>
      <c r="B2034" s="19" t="s">
        <v>3887</v>
      </c>
      <c r="C2034" s="19" t="n">
        <v>16</v>
      </c>
      <c r="D2034" s="19" t="s">
        <v>3888</v>
      </c>
      <c r="E2034" s="19" t="n">
        <v>0.499747347145023</v>
      </c>
      <c r="F2034" s="17" t="s">
        <v>3889</v>
      </c>
      <c r="G2034" s="17" t="s">
        <v>1104</v>
      </c>
      <c r="H2034" s="19" t="s">
        <v>278</v>
      </c>
    </row>
    <row r="2035" customFormat="false" ht="15" hidden="false" customHeight="false" outlineLevel="0" collapsed="false">
      <c r="A2035" s="19" t="s">
        <v>3369</v>
      </c>
      <c r="B2035" s="19" t="s">
        <v>1225</v>
      </c>
      <c r="C2035" s="19" t="n">
        <v>16</v>
      </c>
      <c r="D2035" s="19" t="s">
        <v>3890</v>
      </c>
      <c r="E2035" s="19" t="n">
        <v>0.0429060401998604</v>
      </c>
      <c r="F2035" s="17" t="s">
        <v>3891</v>
      </c>
      <c r="G2035" s="17" t="s">
        <v>1104</v>
      </c>
      <c r="H2035" s="19"/>
    </row>
    <row r="2036" customFormat="false" ht="15" hidden="false" customHeight="false" outlineLevel="0" collapsed="false">
      <c r="A2036" s="55" t="s">
        <v>3369</v>
      </c>
      <c r="B2036" s="55" t="s">
        <v>3892</v>
      </c>
      <c r="C2036" s="55" t="n">
        <v>16</v>
      </c>
      <c r="D2036" s="55" t="s">
        <v>3893</v>
      </c>
      <c r="E2036" s="55" t="n">
        <v>1</v>
      </c>
      <c r="F2036" s="55"/>
      <c r="G2036" s="66" t="s">
        <v>1122</v>
      </c>
      <c r="H2036" s="55" t="s">
        <v>140</v>
      </c>
    </row>
    <row r="2037" customFormat="false" ht="15" hidden="false" customHeight="false" outlineLevel="0" collapsed="false">
      <c r="A2037" s="19" t="s">
        <v>3369</v>
      </c>
      <c r="B2037" s="19" t="s">
        <v>3894</v>
      </c>
      <c r="C2037" s="19" t="n">
        <v>16</v>
      </c>
      <c r="D2037" s="19" t="s">
        <v>3890</v>
      </c>
      <c r="E2037" s="19" t="n">
        <v>0.0411182885248662</v>
      </c>
      <c r="F2037" s="17" t="s">
        <v>3895</v>
      </c>
      <c r="G2037" s="17" t="s">
        <v>1104</v>
      </c>
      <c r="H2037" s="19"/>
    </row>
    <row r="2038" customFormat="false" ht="15" hidden="false" customHeight="false" outlineLevel="0" collapsed="false">
      <c r="A2038" s="55" t="s">
        <v>3369</v>
      </c>
      <c r="B2038" s="55" t="s">
        <v>3896</v>
      </c>
      <c r="C2038" s="55" t="n">
        <v>16</v>
      </c>
      <c r="D2038" s="55" t="s">
        <v>3893</v>
      </c>
      <c r="E2038" s="55" t="n">
        <v>1</v>
      </c>
      <c r="F2038" s="55"/>
      <c r="G2038" s="66" t="s">
        <v>1122</v>
      </c>
      <c r="H2038" s="55" t="s">
        <v>140</v>
      </c>
    </row>
    <row r="2039" customFormat="false" ht="15" hidden="false" customHeight="false" outlineLevel="0" collapsed="false">
      <c r="A2039" s="19" t="s">
        <v>3369</v>
      </c>
      <c r="B2039" s="19" t="s">
        <v>3897</v>
      </c>
      <c r="C2039" s="19" t="n">
        <v>16</v>
      </c>
      <c r="D2039" s="19" t="s">
        <v>3890</v>
      </c>
      <c r="E2039" s="19" t="n">
        <v>0.0357550334998836</v>
      </c>
      <c r="F2039" s="17" t="s">
        <v>3898</v>
      </c>
      <c r="G2039" s="17" t="s">
        <v>1104</v>
      </c>
      <c r="H2039" s="19"/>
    </row>
    <row r="2040" customFormat="false" ht="15" hidden="false" customHeight="false" outlineLevel="0" collapsed="false">
      <c r="A2040" s="55" t="s">
        <v>3369</v>
      </c>
      <c r="B2040" s="55" t="s">
        <v>3899</v>
      </c>
      <c r="C2040" s="55" t="n">
        <v>16</v>
      </c>
      <c r="D2040" s="55" t="s">
        <v>3893</v>
      </c>
      <c r="E2040" s="55" t="n">
        <v>1</v>
      </c>
      <c r="F2040" s="55"/>
      <c r="G2040" s="66" t="s">
        <v>1122</v>
      </c>
      <c r="H2040" s="55" t="s">
        <v>140</v>
      </c>
    </row>
    <row r="2041" customFormat="false" ht="15" hidden="false" customHeight="false" outlineLevel="0" collapsed="false">
      <c r="A2041" s="19" t="s">
        <v>3369</v>
      </c>
      <c r="B2041" s="19" t="s">
        <v>3900</v>
      </c>
      <c r="C2041" s="19" t="n">
        <v>16</v>
      </c>
      <c r="D2041" s="19" t="s">
        <v>3890</v>
      </c>
      <c r="E2041" s="19" t="n">
        <v>0.0357550334998836</v>
      </c>
      <c r="F2041" s="17" t="s">
        <v>3901</v>
      </c>
      <c r="G2041" s="17" t="s">
        <v>1104</v>
      </c>
      <c r="H2041" s="19"/>
    </row>
    <row r="2042" customFormat="false" ht="15" hidden="false" customHeight="false" outlineLevel="0" collapsed="false">
      <c r="A2042" s="55" t="s">
        <v>3369</v>
      </c>
      <c r="B2042" s="55" t="s">
        <v>3902</v>
      </c>
      <c r="C2042" s="55" t="n">
        <v>16</v>
      </c>
      <c r="D2042" s="55" t="s">
        <v>3893</v>
      </c>
      <c r="E2042" s="55" t="n">
        <v>1</v>
      </c>
      <c r="F2042" s="55"/>
      <c r="G2042" s="66" t="s">
        <v>1122</v>
      </c>
      <c r="H2042" s="55" t="s">
        <v>140</v>
      </c>
    </row>
    <row r="2043" customFormat="false" ht="15" hidden="false" customHeight="false" outlineLevel="0" collapsed="false">
      <c r="A2043" s="19" t="s">
        <v>3369</v>
      </c>
      <c r="B2043" s="19" t="s">
        <v>3903</v>
      </c>
      <c r="C2043" s="19" t="n">
        <v>16</v>
      </c>
      <c r="D2043" s="19" t="s">
        <v>3890</v>
      </c>
      <c r="E2043" s="19" t="n">
        <v>0.0357550334998836</v>
      </c>
      <c r="F2043" s="17" t="s">
        <v>3904</v>
      </c>
      <c r="G2043" s="17" t="s">
        <v>1104</v>
      </c>
      <c r="H2043" s="19"/>
    </row>
    <row r="2044" customFormat="false" ht="15" hidden="false" customHeight="false" outlineLevel="0" collapsed="false">
      <c r="A2044" s="19" t="s">
        <v>2615</v>
      </c>
      <c r="B2044" s="19" t="s">
        <v>1337</v>
      </c>
      <c r="C2044" s="19" t="n">
        <v>16</v>
      </c>
      <c r="D2044" s="19" t="s">
        <v>777</v>
      </c>
      <c r="E2044" s="19" t="n">
        <v>3.35</v>
      </c>
      <c r="F2044" s="17" t="s">
        <v>3905</v>
      </c>
      <c r="G2044" s="17" t="s">
        <v>1104</v>
      </c>
      <c r="H2044" s="19"/>
    </row>
    <row r="2045" customFormat="false" ht="15" hidden="false" customHeight="false" outlineLevel="0" collapsed="false">
      <c r="A2045" s="19" t="s">
        <v>2615</v>
      </c>
      <c r="B2045" s="19" t="s">
        <v>1300</v>
      </c>
      <c r="C2045" s="19" t="n">
        <v>16</v>
      </c>
      <c r="D2045" s="19" t="s">
        <v>3906</v>
      </c>
      <c r="E2045" s="19" t="n">
        <v>0.05</v>
      </c>
      <c r="F2045" s="17" t="s">
        <v>3907</v>
      </c>
      <c r="G2045" s="17" t="s">
        <v>1104</v>
      </c>
      <c r="H2045" s="19"/>
    </row>
    <row r="2046" customFormat="false" ht="15" hidden="false" customHeight="false" outlineLevel="0" collapsed="false">
      <c r="A2046" s="19" t="s">
        <v>2615</v>
      </c>
      <c r="B2046" s="19" t="s">
        <v>1153</v>
      </c>
      <c r="C2046" s="19" t="n">
        <v>16</v>
      </c>
      <c r="D2046" s="17" t="s">
        <v>798</v>
      </c>
      <c r="E2046" s="19" t="n">
        <v>43</v>
      </c>
      <c r="F2046" s="17" t="s">
        <v>3908</v>
      </c>
      <c r="G2046" s="17" t="s">
        <v>1104</v>
      </c>
      <c r="H2046" s="19"/>
    </row>
    <row r="2047" customFormat="false" ht="15" hidden="false" customHeight="false" outlineLevel="0" collapsed="false">
      <c r="A2047" s="19" t="s">
        <v>2615</v>
      </c>
      <c r="B2047" s="19" t="s">
        <v>1271</v>
      </c>
      <c r="C2047" s="19" t="n">
        <v>16</v>
      </c>
      <c r="D2047" s="19" t="s">
        <v>800</v>
      </c>
      <c r="E2047" s="19" t="n">
        <v>4096</v>
      </c>
      <c r="F2047" s="17" t="s">
        <v>3909</v>
      </c>
      <c r="G2047" s="17" t="s">
        <v>1104</v>
      </c>
      <c r="H2047" s="19"/>
    </row>
    <row r="2048" customFormat="false" ht="15" hidden="false" customHeight="false" outlineLevel="0" collapsed="false">
      <c r="A2048" s="19" t="s">
        <v>2615</v>
      </c>
      <c r="B2048" s="19" t="s">
        <v>1156</v>
      </c>
      <c r="C2048" s="19" t="n">
        <v>16</v>
      </c>
      <c r="D2048" s="17" t="s">
        <v>802</v>
      </c>
      <c r="E2048" s="19" t="n">
        <v>6</v>
      </c>
      <c r="F2048" s="17" t="s">
        <v>3910</v>
      </c>
      <c r="G2048" s="17" t="s">
        <v>1104</v>
      </c>
      <c r="H2048" s="19"/>
    </row>
    <row r="2049" customFormat="false" ht="15" hidden="false" customHeight="false" outlineLevel="0" collapsed="false">
      <c r="A2049" s="19" t="s">
        <v>2615</v>
      </c>
      <c r="B2049" s="19" t="s">
        <v>1222</v>
      </c>
      <c r="C2049" s="19" t="n">
        <v>16</v>
      </c>
      <c r="D2049" s="19" t="s">
        <v>3911</v>
      </c>
      <c r="E2049" s="19" t="n">
        <v>2795</v>
      </c>
      <c r="F2049" s="17" t="s">
        <v>3912</v>
      </c>
      <c r="G2049" s="17" t="s">
        <v>1104</v>
      </c>
      <c r="H2049" s="19"/>
    </row>
    <row r="2050" customFormat="false" ht="15" hidden="false" customHeight="false" outlineLevel="0" collapsed="false">
      <c r="A2050" s="19" t="s">
        <v>2615</v>
      </c>
      <c r="B2050" s="19" t="s">
        <v>1165</v>
      </c>
      <c r="C2050" s="19" t="n">
        <v>16</v>
      </c>
      <c r="D2050" s="17" t="s">
        <v>812</v>
      </c>
      <c r="E2050" s="19" t="n">
        <v>0.512</v>
      </c>
      <c r="F2050" s="17" t="s">
        <v>3913</v>
      </c>
      <c r="G2050" s="17" t="s">
        <v>1104</v>
      </c>
      <c r="H2050" s="19"/>
    </row>
    <row r="2051" customFormat="false" ht="15" hidden="false" customHeight="false" outlineLevel="0" collapsed="false">
      <c r="A2051" s="19" t="s">
        <v>2615</v>
      </c>
      <c r="B2051" s="19" t="s">
        <v>1123</v>
      </c>
      <c r="C2051" s="19" t="n">
        <v>16</v>
      </c>
      <c r="D2051" s="17" t="s">
        <v>814</v>
      </c>
      <c r="E2051" s="19" t="n">
        <v>4224</v>
      </c>
      <c r="F2051" s="17" t="s">
        <v>3914</v>
      </c>
      <c r="G2051" s="17" t="s">
        <v>1104</v>
      </c>
      <c r="H2051" s="19"/>
    </row>
    <row r="2052" customFormat="false" ht="15" hidden="false" customHeight="false" outlineLevel="0" collapsed="false">
      <c r="A2052" s="19" t="s">
        <v>2615</v>
      </c>
      <c r="B2052" s="19" t="s">
        <v>1650</v>
      </c>
      <c r="C2052" s="19" t="n">
        <v>16</v>
      </c>
      <c r="D2052" s="17" t="s">
        <v>816</v>
      </c>
      <c r="E2052" s="19" t="n">
        <v>128</v>
      </c>
      <c r="F2052" s="17" t="s">
        <v>3915</v>
      </c>
      <c r="G2052" s="17" t="s">
        <v>1104</v>
      </c>
      <c r="H2052" s="19"/>
    </row>
    <row r="2053" customFormat="false" ht="15" hidden="false" customHeight="false" outlineLevel="0" collapsed="false">
      <c r="A2053" s="19" t="s">
        <v>2615</v>
      </c>
      <c r="B2053" s="19" t="s">
        <v>1274</v>
      </c>
      <c r="C2053" s="19" t="n">
        <v>16</v>
      </c>
      <c r="D2053" s="17" t="s">
        <v>818</v>
      </c>
      <c r="E2053" s="19" t="n">
        <v>128</v>
      </c>
      <c r="F2053" s="17" t="s">
        <v>3916</v>
      </c>
      <c r="G2053" s="17" t="s">
        <v>1104</v>
      </c>
      <c r="H2053" s="19"/>
    </row>
    <row r="2054" customFormat="false" ht="15" hidden="false" customHeight="false" outlineLevel="0" collapsed="false">
      <c r="A2054" s="19" t="s">
        <v>2615</v>
      </c>
      <c r="B2054" s="19" t="s">
        <v>1661</v>
      </c>
      <c r="C2054" s="19" t="n">
        <v>16</v>
      </c>
      <c r="D2054" s="19" t="s">
        <v>829</v>
      </c>
      <c r="E2054" s="19" t="n">
        <v>8704</v>
      </c>
      <c r="F2054" s="17" t="s">
        <v>3917</v>
      </c>
      <c r="G2054" s="17" t="s">
        <v>1104</v>
      </c>
      <c r="H2054" s="19"/>
    </row>
    <row r="2055" customFormat="false" ht="15" hidden="false" customHeight="false" outlineLevel="0" collapsed="false">
      <c r="A2055" s="19" t="s">
        <v>2615</v>
      </c>
      <c r="B2055" s="19" t="s">
        <v>1664</v>
      </c>
      <c r="C2055" s="19" t="n">
        <v>16</v>
      </c>
      <c r="D2055" s="19" t="s">
        <v>832</v>
      </c>
      <c r="E2055" s="19" t="n">
        <v>4096</v>
      </c>
      <c r="F2055" s="17" t="s">
        <v>3918</v>
      </c>
      <c r="G2055" s="17" t="s">
        <v>1104</v>
      </c>
      <c r="H2055" s="19"/>
    </row>
    <row r="2056" customFormat="false" ht="15" hidden="false" customHeight="false" outlineLevel="0" collapsed="false">
      <c r="A2056" s="19" t="s">
        <v>2615</v>
      </c>
      <c r="B2056" s="19" t="s">
        <v>2059</v>
      </c>
      <c r="C2056" s="19" t="n">
        <v>16</v>
      </c>
      <c r="D2056" s="19" t="s">
        <v>3919</v>
      </c>
      <c r="E2056" s="19" t="n">
        <v>1</v>
      </c>
      <c r="F2056" s="17" t="s">
        <v>3920</v>
      </c>
      <c r="G2056" s="17" t="s">
        <v>1104</v>
      </c>
      <c r="H2056" s="19"/>
    </row>
    <row r="2057" customFormat="false" ht="15" hidden="false" customHeight="false" outlineLevel="0" collapsed="false">
      <c r="A2057" s="19" t="s">
        <v>2615</v>
      </c>
      <c r="B2057" s="19" t="s">
        <v>1558</v>
      </c>
      <c r="C2057" s="19" t="n">
        <v>16</v>
      </c>
      <c r="D2057" s="19" t="s">
        <v>3850</v>
      </c>
      <c r="E2057" s="19" t="n">
        <v>0.0429060401998604</v>
      </c>
      <c r="F2057" s="17" t="s">
        <v>3921</v>
      </c>
      <c r="G2057" s="17" t="s">
        <v>1104</v>
      </c>
      <c r="H2057" s="19"/>
    </row>
    <row r="2058" customFormat="false" ht="15" hidden="false" customHeight="false" outlineLevel="0" collapsed="false">
      <c r="A2058" s="19" t="s">
        <v>2615</v>
      </c>
      <c r="B2058" s="19" t="s">
        <v>3922</v>
      </c>
      <c r="C2058" s="19" t="n">
        <v>16</v>
      </c>
      <c r="D2058" s="19" t="s">
        <v>3923</v>
      </c>
      <c r="E2058" s="19" t="n">
        <v>3</v>
      </c>
      <c r="F2058" s="17" t="s">
        <v>3924</v>
      </c>
      <c r="G2058" s="17" t="s">
        <v>1104</v>
      </c>
      <c r="H2058" s="19"/>
    </row>
    <row r="2059" customFormat="false" ht="15" hidden="false" customHeight="false" outlineLevel="0" collapsed="false">
      <c r="A2059" s="19" t="s">
        <v>2615</v>
      </c>
      <c r="B2059" s="19" t="s">
        <v>3925</v>
      </c>
      <c r="C2059" s="19" t="n">
        <v>16</v>
      </c>
      <c r="D2059" s="19" t="s">
        <v>3926</v>
      </c>
      <c r="E2059" s="19" t="n">
        <v>0.7</v>
      </c>
      <c r="F2059" s="17" t="s">
        <v>3927</v>
      </c>
      <c r="G2059" s="17" t="s">
        <v>1104</v>
      </c>
      <c r="H2059" s="19"/>
    </row>
    <row r="2060" customFormat="false" ht="15" hidden="false" customHeight="false" outlineLevel="0" collapsed="false">
      <c r="A2060" s="19" t="s">
        <v>2615</v>
      </c>
      <c r="B2060" s="19" t="s">
        <v>3928</v>
      </c>
      <c r="C2060" s="19" t="n">
        <v>16</v>
      </c>
      <c r="D2060" s="19" t="s">
        <v>246</v>
      </c>
      <c r="E2060" s="19" t="n">
        <v>0.7</v>
      </c>
      <c r="F2060" s="17" t="s">
        <v>3929</v>
      </c>
      <c r="G2060" s="17" t="s">
        <v>1104</v>
      </c>
      <c r="H2060" s="19"/>
    </row>
    <row r="2061" customFormat="false" ht="15" hidden="false" customHeight="false" outlineLevel="0" collapsed="false">
      <c r="A2061" s="19" t="s">
        <v>2615</v>
      </c>
      <c r="B2061" s="19" t="s">
        <v>3887</v>
      </c>
      <c r="C2061" s="19" t="n">
        <v>16</v>
      </c>
      <c r="D2061" s="17" t="s">
        <v>861</v>
      </c>
      <c r="E2061" s="19" t="n">
        <v>72</v>
      </c>
      <c r="F2061" s="17" t="s">
        <v>3930</v>
      </c>
      <c r="G2061" s="17" t="s">
        <v>1104</v>
      </c>
      <c r="H2061" s="19"/>
    </row>
    <row r="2062" customFormat="false" ht="15" hidden="false" customHeight="false" outlineLevel="0" collapsed="false">
      <c r="A2062" s="19" t="s">
        <v>2615</v>
      </c>
      <c r="B2062" s="19" t="s">
        <v>3931</v>
      </c>
      <c r="C2062" s="19" t="n">
        <v>16</v>
      </c>
      <c r="D2062" s="19" t="s">
        <v>3932</v>
      </c>
      <c r="E2062" s="19" t="n">
        <v>64</v>
      </c>
      <c r="F2062" s="17" t="s">
        <v>3933</v>
      </c>
      <c r="G2062" s="17" t="s">
        <v>1104</v>
      </c>
      <c r="H2062" s="19"/>
    </row>
    <row r="2063" customFormat="false" ht="15" hidden="false" customHeight="false" outlineLevel="0" collapsed="false">
      <c r="A2063" s="19" t="s">
        <v>2615</v>
      </c>
      <c r="B2063" s="19" t="s">
        <v>3370</v>
      </c>
      <c r="C2063" s="19" t="n">
        <v>16</v>
      </c>
      <c r="D2063" s="17" t="s">
        <v>870</v>
      </c>
      <c r="E2063" s="19" t="n">
        <v>9.7649375</v>
      </c>
      <c r="F2063" s="17" t="s">
        <v>3934</v>
      </c>
      <c r="G2063" s="17" t="s">
        <v>1104</v>
      </c>
      <c r="H2063" s="19"/>
    </row>
    <row r="2064" customFormat="false" ht="15" hidden="false" customHeight="false" outlineLevel="0" collapsed="false">
      <c r="A2064" s="19" t="s">
        <v>2615</v>
      </c>
      <c r="B2064" s="19" t="s">
        <v>2502</v>
      </c>
      <c r="C2064" s="19" t="n">
        <v>16</v>
      </c>
      <c r="D2064" s="19" t="s">
        <v>777</v>
      </c>
      <c r="E2064" s="19" t="n">
        <v>3.35</v>
      </c>
      <c r="F2064" s="17" t="s">
        <v>3935</v>
      </c>
      <c r="G2064" s="17" t="s">
        <v>1104</v>
      </c>
      <c r="H2064" s="19"/>
    </row>
    <row r="2065" customFormat="false" ht="15" hidden="false" customHeight="false" outlineLevel="0" collapsed="false">
      <c r="A2065" s="19" t="s">
        <v>2615</v>
      </c>
      <c r="B2065" s="19" t="s">
        <v>1313</v>
      </c>
      <c r="C2065" s="19" t="n">
        <v>16</v>
      </c>
      <c r="D2065" s="19" t="s">
        <v>3906</v>
      </c>
      <c r="E2065" s="19" t="n">
        <v>0.05</v>
      </c>
      <c r="F2065" s="17" t="s">
        <v>3936</v>
      </c>
      <c r="G2065" s="17" t="s">
        <v>1104</v>
      </c>
      <c r="H2065" s="19"/>
    </row>
    <row r="2066" customFormat="false" ht="15" hidden="false" customHeight="false" outlineLevel="0" collapsed="false">
      <c r="A2066" s="19" t="s">
        <v>2615</v>
      </c>
      <c r="B2066" s="19" t="s">
        <v>1174</v>
      </c>
      <c r="C2066" s="19" t="n">
        <v>16</v>
      </c>
      <c r="D2066" s="17" t="s">
        <v>798</v>
      </c>
      <c r="E2066" s="19" t="n">
        <v>61</v>
      </c>
      <c r="F2066" s="17" t="s">
        <v>3937</v>
      </c>
      <c r="G2066" s="17" t="s">
        <v>1104</v>
      </c>
      <c r="H2066" s="19"/>
    </row>
    <row r="2067" customFormat="false" ht="15" hidden="false" customHeight="false" outlineLevel="0" collapsed="false">
      <c r="A2067" s="19" t="s">
        <v>2615</v>
      </c>
      <c r="B2067" s="19" t="s">
        <v>1285</v>
      </c>
      <c r="C2067" s="19" t="n">
        <v>16</v>
      </c>
      <c r="D2067" s="19" t="s">
        <v>800</v>
      </c>
      <c r="E2067" s="19" t="n">
        <v>7168</v>
      </c>
      <c r="F2067" s="17" t="s">
        <v>3938</v>
      </c>
      <c r="G2067" s="17" t="s">
        <v>1104</v>
      </c>
      <c r="H2067" s="19"/>
    </row>
    <row r="2068" customFormat="false" ht="15" hidden="false" customHeight="false" outlineLevel="0" collapsed="false">
      <c r="A2068" s="19" t="s">
        <v>2615</v>
      </c>
      <c r="B2068" s="19" t="s">
        <v>1267</v>
      </c>
      <c r="C2068" s="19" t="n">
        <v>16</v>
      </c>
      <c r="D2068" s="17" t="s">
        <v>802</v>
      </c>
      <c r="E2068" s="19" t="n">
        <v>6</v>
      </c>
      <c r="F2068" s="17" t="s">
        <v>3939</v>
      </c>
      <c r="G2068" s="17" t="s">
        <v>1104</v>
      </c>
      <c r="H2068" s="19"/>
    </row>
    <row r="2069" customFormat="false" ht="15" hidden="false" customHeight="false" outlineLevel="0" collapsed="false">
      <c r="A2069" s="19" t="s">
        <v>2615</v>
      </c>
      <c r="B2069" s="19" t="s">
        <v>2607</v>
      </c>
      <c r="C2069" s="19" t="n">
        <v>16</v>
      </c>
      <c r="D2069" s="19" t="s">
        <v>3911</v>
      </c>
      <c r="E2069" s="19" t="n">
        <v>3965</v>
      </c>
      <c r="F2069" s="17" t="s">
        <v>3940</v>
      </c>
      <c r="G2069" s="17" t="s">
        <v>1104</v>
      </c>
      <c r="H2069" s="19"/>
    </row>
    <row r="2070" customFormat="false" ht="15" hidden="false" customHeight="false" outlineLevel="0" collapsed="false">
      <c r="A2070" s="19" t="s">
        <v>2615</v>
      </c>
      <c r="B2070" s="19" t="s">
        <v>2681</v>
      </c>
      <c r="C2070" s="19" t="n">
        <v>16</v>
      </c>
      <c r="D2070" s="17" t="s">
        <v>812</v>
      </c>
      <c r="E2070" s="19" t="n">
        <v>0.492</v>
      </c>
      <c r="F2070" s="17" t="s">
        <v>3941</v>
      </c>
      <c r="G2070" s="17" t="s">
        <v>1104</v>
      </c>
      <c r="H2070" s="19"/>
    </row>
    <row r="2071" customFormat="false" ht="15" hidden="false" customHeight="false" outlineLevel="0" collapsed="false">
      <c r="A2071" s="19" t="s">
        <v>2615</v>
      </c>
      <c r="B2071" s="19" t="s">
        <v>2684</v>
      </c>
      <c r="C2071" s="19" t="n">
        <v>16</v>
      </c>
      <c r="D2071" s="17" t="s">
        <v>814</v>
      </c>
      <c r="E2071" s="19" t="n">
        <v>4224</v>
      </c>
      <c r="F2071" s="17" t="s">
        <v>3942</v>
      </c>
      <c r="G2071" s="17" t="s">
        <v>1104</v>
      </c>
      <c r="H2071" s="19"/>
    </row>
    <row r="2072" customFormat="false" ht="15" hidden="false" customHeight="false" outlineLevel="0" collapsed="false">
      <c r="A2072" s="19" t="s">
        <v>2615</v>
      </c>
      <c r="B2072" s="19" t="s">
        <v>1670</v>
      </c>
      <c r="C2072" s="19" t="n">
        <v>16</v>
      </c>
      <c r="D2072" s="17" t="s">
        <v>816</v>
      </c>
      <c r="E2072" s="19" t="n">
        <v>128</v>
      </c>
      <c r="F2072" s="17" t="s">
        <v>3943</v>
      </c>
      <c r="G2072" s="17" t="s">
        <v>1104</v>
      </c>
      <c r="H2072" s="19"/>
    </row>
    <row r="2073" customFormat="false" ht="15" hidden="false" customHeight="false" outlineLevel="0" collapsed="false">
      <c r="A2073" s="19" t="s">
        <v>2615</v>
      </c>
      <c r="B2073" s="19" t="s">
        <v>1287</v>
      </c>
      <c r="C2073" s="19" t="n">
        <v>16</v>
      </c>
      <c r="D2073" s="17" t="s">
        <v>818</v>
      </c>
      <c r="E2073" s="19" t="n">
        <v>128</v>
      </c>
      <c r="F2073" s="17" t="s">
        <v>3944</v>
      </c>
      <c r="G2073" s="17" t="s">
        <v>1104</v>
      </c>
      <c r="H2073" s="19"/>
    </row>
    <row r="2074" customFormat="false" ht="15" hidden="false" customHeight="false" outlineLevel="0" collapsed="false">
      <c r="A2074" s="19" t="s">
        <v>2615</v>
      </c>
      <c r="B2074" s="19" t="s">
        <v>1677</v>
      </c>
      <c r="C2074" s="19" t="n">
        <v>16</v>
      </c>
      <c r="D2074" s="19" t="s">
        <v>829</v>
      </c>
      <c r="E2074" s="19" t="n">
        <v>17408</v>
      </c>
      <c r="F2074" s="17" t="s">
        <v>3945</v>
      </c>
      <c r="G2074" s="17" t="s">
        <v>1104</v>
      </c>
      <c r="H2074" s="19"/>
    </row>
    <row r="2075" customFormat="false" ht="15" hidden="false" customHeight="false" outlineLevel="0" collapsed="false">
      <c r="A2075" s="19" t="s">
        <v>2615</v>
      </c>
      <c r="B2075" s="19" t="s">
        <v>1679</v>
      </c>
      <c r="C2075" s="19" t="n">
        <v>16</v>
      </c>
      <c r="D2075" s="19" t="s">
        <v>832</v>
      </c>
      <c r="E2075" s="19" t="n">
        <v>8192</v>
      </c>
      <c r="F2075" s="17" t="s">
        <v>3946</v>
      </c>
      <c r="G2075" s="17" t="s">
        <v>1104</v>
      </c>
      <c r="H2075" s="19"/>
    </row>
    <row r="2076" customFormat="false" ht="15" hidden="false" customHeight="false" outlineLevel="0" collapsed="false">
      <c r="A2076" s="19" t="s">
        <v>2615</v>
      </c>
      <c r="B2076" s="19" t="s">
        <v>2079</v>
      </c>
      <c r="C2076" s="19" t="n">
        <v>16</v>
      </c>
      <c r="D2076" s="19" t="s">
        <v>3919</v>
      </c>
      <c r="E2076" s="19" t="n">
        <v>1</v>
      </c>
      <c r="F2076" s="17" t="s">
        <v>3920</v>
      </c>
      <c r="G2076" s="17" t="s">
        <v>1104</v>
      </c>
      <c r="H2076" s="19"/>
    </row>
    <row r="2077" customFormat="false" ht="15" hidden="false" customHeight="false" outlineLevel="0" collapsed="false">
      <c r="A2077" s="19" t="s">
        <v>2615</v>
      </c>
      <c r="B2077" s="19" t="s">
        <v>1564</v>
      </c>
      <c r="C2077" s="19" t="n">
        <v>16</v>
      </c>
      <c r="D2077" s="19" t="s">
        <v>3850</v>
      </c>
      <c r="E2077" s="19" t="n">
        <v>0.0429060401998604</v>
      </c>
      <c r="F2077" s="17" t="s">
        <v>3947</v>
      </c>
      <c r="G2077" s="17" t="s">
        <v>1104</v>
      </c>
      <c r="H2077" s="19"/>
    </row>
    <row r="2078" customFormat="false" ht="15" hidden="false" customHeight="false" outlineLevel="0" collapsed="false">
      <c r="A2078" s="19" t="s">
        <v>2615</v>
      </c>
      <c r="B2078" s="19" t="s">
        <v>3948</v>
      </c>
      <c r="C2078" s="19" t="n">
        <v>16</v>
      </c>
      <c r="D2078" s="19" t="s">
        <v>3923</v>
      </c>
      <c r="E2078" s="19" t="n">
        <v>3</v>
      </c>
      <c r="F2078" s="17" t="s">
        <v>3924</v>
      </c>
      <c r="G2078" s="17" t="s">
        <v>1104</v>
      </c>
      <c r="H2078" s="19"/>
    </row>
    <row r="2079" customFormat="false" ht="15" hidden="false" customHeight="false" outlineLevel="0" collapsed="false">
      <c r="A2079" s="19" t="s">
        <v>2615</v>
      </c>
      <c r="B2079" s="19" t="s">
        <v>3949</v>
      </c>
      <c r="C2079" s="19" t="n">
        <v>16</v>
      </c>
      <c r="D2079" s="19" t="s">
        <v>3926</v>
      </c>
      <c r="E2079" s="19" t="n">
        <v>0.7</v>
      </c>
      <c r="F2079" s="17" t="s">
        <v>3927</v>
      </c>
      <c r="G2079" s="17" t="s">
        <v>1104</v>
      </c>
      <c r="H2079" s="19"/>
    </row>
    <row r="2080" customFormat="false" ht="15" hidden="false" customHeight="false" outlineLevel="0" collapsed="false">
      <c r="A2080" s="19" t="s">
        <v>2615</v>
      </c>
      <c r="B2080" s="19" t="s">
        <v>3950</v>
      </c>
      <c r="C2080" s="19" t="n">
        <v>16</v>
      </c>
      <c r="D2080" s="19" t="s">
        <v>246</v>
      </c>
      <c r="E2080" s="19" t="n">
        <v>0.7</v>
      </c>
      <c r="F2080" s="17" t="s">
        <v>3929</v>
      </c>
      <c r="G2080" s="17" t="s">
        <v>1104</v>
      </c>
      <c r="H2080" s="19"/>
    </row>
    <row r="2081" customFormat="false" ht="15" hidden="false" customHeight="false" outlineLevel="0" collapsed="false">
      <c r="A2081" s="19" t="s">
        <v>2615</v>
      </c>
      <c r="B2081" s="19" t="s">
        <v>3892</v>
      </c>
      <c r="C2081" s="19" t="n">
        <v>16</v>
      </c>
      <c r="D2081" s="17" t="s">
        <v>861</v>
      </c>
      <c r="E2081" s="19" t="n">
        <v>72</v>
      </c>
      <c r="F2081" s="17" t="s">
        <v>3951</v>
      </c>
      <c r="G2081" s="17" t="s">
        <v>1104</v>
      </c>
      <c r="H2081" s="19"/>
    </row>
    <row r="2082" customFormat="false" ht="15" hidden="false" customHeight="false" outlineLevel="0" collapsed="false">
      <c r="A2082" s="19" t="s">
        <v>2615</v>
      </c>
      <c r="B2082" s="19" t="s">
        <v>3952</v>
      </c>
      <c r="C2082" s="19" t="n">
        <v>16</v>
      </c>
      <c r="D2082" s="19" t="s">
        <v>3932</v>
      </c>
      <c r="E2082" s="19" t="n">
        <v>64</v>
      </c>
      <c r="F2082" s="17" t="s">
        <v>3953</v>
      </c>
      <c r="G2082" s="17" t="s">
        <v>1104</v>
      </c>
      <c r="H2082" s="19"/>
    </row>
    <row r="2083" customFormat="false" ht="15" hidden="false" customHeight="false" outlineLevel="0" collapsed="false">
      <c r="A2083" s="19" t="s">
        <v>2615</v>
      </c>
      <c r="B2083" s="19" t="s">
        <v>3373</v>
      </c>
      <c r="C2083" s="19" t="n">
        <v>16</v>
      </c>
      <c r="D2083" s="17" t="s">
        <v>870</v>
      </c>
      <c r="E2083" s="19" t="n">
        <v>34.8220486111111</v>
      </c>
      <c r="F2083" s="17" t="s">
        <v>3954</v>
      </c>
      <c r="G2083" s="17" t="s">
        <v>1104</v>
      </c>
      <c r="H2083" s="19"/>
    </row>
    <row r="2084" customFormat="false" ht="15" hidden="false" customHeight="false" outlineLevel="0" collapsed="false">
      <c r="A2084" s="19" t="s">
        <v>2615</v>
      </c>
      <c r="B2084" s="19" t="s">
        <v>2503</v>
      </c>
      <c r="C2084" s="19" t="n">
        <v>16</v>
      </c>
      <c r="D2084" s="19" t="s">
        <v>777</v>
      </c>
      <c r="E2084" s="19" t="n">
        <v>3.35</v>
      </c>
      <c r="F2084" s="17" t="s">
        <v>3955</v>
      </c>
      <c r="G2084" s="17" t="s">
        <v>1104</v>
      </c>
      <c r="H2084" s="19"/>
    </row>
    <row r="2085" customFormat="false" ht="15" hidden="false" customHeight="false" outlineLevel="0" collapsed="false">
      <c r="A2085" s="19" t="s">
        <v>2615</v>
      </c>
      <c r="B2085" s="19" t="s">
        <v>1321</v>
      </c>
      <c r="C2085" s="19" t="n">
        <v>16</v>
      </c>
      <c r="D2085" s="19" t="s">
        <v>3906</v>
      </c>
      <c r="E2085" s="19" t="n">
        <v>0.05</v>
      </c>
      <c r="F2085" s="17" t="s">
        <v>3956</v>
      </c>
      <c r="G2085" s="17" t="s">
        <v>1104</v>
      </c>
      <c r="H2085" s="19"/>
    </row>
    <row r="2086" customFormat="false" ht="15" hidden="false" customHeight="false" outlineLevel="0" collapsed="false">
      <c r="A2086" s="19" t="s">
        <v>2615</v>
      </c>
      <c r="B2086" s="19" t="s">
        <v>1182</v>
      </c>
      <c r="C2086" s="19" t="n">
        <v>16</v>
      </c>
      <c r="D2086" s="17" t="s">
        <v>798</v>
      </c>
      <c r="E2086" s="19" t="n">
        <v>100</v>
      </c>
      <c r="F2086" s="17" t="s">
        <v>3957</v>
      </c>
      <c r="G2086" s="17" t="s">
        <v>1104</v>
      </c>
      <c r="H2086" s="19"/>
    </row>
    <row r="2087" customFormat="false" ht="15" hidden="false" customHeight="false" outlineLevel="0" collapsed="false">
      <c r="A2087" s="19" t="s">
        <v>2615</v>
      </c>
      <c r="B2087" s="19" t="s">
        <v>1289</v>
      </c>
      <c r="C2087" s="19" t="n">
        <v>16</v>
      </c>
      <c r="D2087" s="19" t="s">
        <v>800</v>
      </c>
      <c r="E2087" s="19" t="n">
        <v>12288</v>
      </c>
      <c r="F2087" s="17" t="s">
        <v>3958</v>
      </c>
      <c r="G2087" s="17" t="s">
        <v>1104</v>
      </c>
      <c r="H2087" s="19"/>
    </row>
    <row r="2088" customFormat="false" ht="15" hidden="false" customHeight="false" outlineLevel="0" collapsed="false">
      <c r="A2088" s="19" t="s">
        <v>2615</v>
      </c>
      <c r="B2088" s="19" t="s">
        <v>1268</v>
      </c>
      <c r="C2088" s="19" t="n">
        <v>16</v>
      </c>
      <c r="D2088" s="17" t="s">
        <v>802</v>
      </c>
      <c r="E2088" s="19" t="n">
        <v>16</v>
      </c>
      <c r="F2088" s="17" t="s">
        <v>3959</v>
      </c>
      <c r="G2088" s="17" t="s">
        <v>1104</v>
      </c>
      <c r="H2088" s="19"/>
    </row>
    <row r="2089" customFormat="false" ht="15" hidden="false" customHeight="false" outlineLevel="0" collapsed="false">
      <c r="A2089" s="19" t="s">
        <v>2615</v>
      </c>
      <c r="B2089" s="19" t="s">
        <v>2610</v>
      </c>
      <c r="C2089" s="19" t="n">
        <v>16</v>
      </c>
      <c r="D2089" s="19" t="s">
        <v>3911</v>
      </c>
      <c r="E2089" s="19" t="n">
        <v>57600</v>
      </c>
      <c r="F2089" s="17" t="s">
        <v>3960</v>
      </c>
      <c r="G2089" s="17" t="s">
        <v>1104</v>
      </c>
      <c r="H2089" s="19"/>
    </row>
    <row r="2090" customFormat="false" ht="15" hidden="false" customHeight="false" outlineLevel="0" collapsed="false">
      <c r="A2090" s="19" t="s">
        <v>2615</v>
      </c>
      <c r="B2090" s="19" t="s">
        <v>2689</v>
      </c>
      <c r="C2090" s="19" t="n">
        <v>16</v>
      </c>
      <c r="D2090" s="17" t="s">
        <v>812</v>
      </c>
      <c r="E2090" s="19" t="n">
        <v>1</v>
      </c>
      <c r="F2090" s="17" t="s">
        <v>3961</v>
      </c>
      <c r="G2090" s="17" t="s">
        <v>1104</v>
      </c>
      <c r="H2090" s="19"/>
    </row>
    <row r="2091" customFormat="false" ht="15" hidden="false" customHeight="false" outlineLevel="0" collapsed="false">
      <c r="A2091" s="19" t="s">
        <v>2615</v>
      </c>
      <c r="B2091" s="19" t="s">
        <v>2691</v>
      </c>
      <c r="C2091" s="19" t="n">
        <v>16</v>
      </c>
      <c r="D2091" s="17" t="s">
        <v>814</v>
      </c>
      <c r="E2091" s="19" t="n">
        <v>0</v>
      </c>
      <c r="F2091" s="17" t="s">
        <v>3962</v>
      </c>
      <c r="G2091" s="17" t="s">
        <v>1104</v>
      </c>
      <c r="H2091" s="19"/>
    </row>
    <row r="2092" customFormat="false" ht="15" hidden="false" customHeight="false" outlineLevel="0" collapsed="false">
      <c r="A2092" s="19" t="s">
        <v>2615</v>
      </c>
      <c r="B2092" s="19" t="s">
        <v>1684</v>
      </c>
      <c r="C2092" s="19" t="n">
        <v>16</v>
      </c>
      <c r="D2092" s="17" t="s">
        <v>816</v>
      </c>
      <c r="E2092" s="19" t="n">
        <v>1</v>
      </c>
      <c r="F2092" s="17" t="s">
        <v>3963</v>
      </c>
      <c r="G2092" s="17" t="s">
        <v>1104</v>
      </c>
      <c r="H2092" s="19"/>
    </row>
    <row r="2093" customFormat="false" ht="15" hidden="false" customHeight="false" outlineLevel="0" collapsed="false">
      <c r="A2093" s="19" t="s">
        <v>2615</v>
      </c>
      <c r="B2093" s="19" t="s">
        <v>1291</v>
      </c>
      <c r="C2093" s="19" t="n">
        <v>16</v>
      </c>
      <c r="D2093" s="17" t="s">
        <v>818</v>
      </c>
      <c r="E2093" s="19" t="n">
        <v>0</v>
      </c>
      <c r="F2093" s="17" t="s">
        <v>3964</v>
      </c>
      <c r="G2093" s="17" t="s">
        <v>1104</v>
      </c>
      <c r="H2093" s="19"/>
    </row>
    <row r="2094" customFormat="false" ht="15" hidden="false" customHeight="false" outlineLevel="0" collapsed="false">
      <c r="A2094" s="19" t="s">
        <v>2615</v>
      </c>
      <c r="B2094" s="19" t="s">
        <v>1691</v>
      </c>
      <c r="C2094" s="19" t="n">
        <v>16</v>
      </c>
      <c r="D2094" s="19" t="s">
        <v>829</v>
      </c>
      <c r="E2094" s="19" t="n">
        <v>34816</v>
      </c>
      <c r="F2094" s="17" t="s">
        <v>3965</v>
      </c>
      <c r="G2094" s="17" t="s">
        <v>1104</v>
      </c>
      <c r="H2094" s="19"/>
    </row>
    <row r="2095" customFormat="false" ht="15" hidden="false" customHeight="false" outlineLevel="0" collapsed="false">
      <c r="A2095" s="19" t="s">
        <v>2615</v>
      </c>
      <c r="B2095" s="19" t="s">
        <v>1693</v>
      </c>
      <c r="C2095" s="19" t="n">
        <v>16</v>
      </c>
      <c r="D2095" s="19" t="s">
        <v>832</v>
      </c>
      <c r="E2095" s="19" t="n">
        <v>16384</v>
      </c>
      <c r="F2095" s="17" t="s">
        <v>3966</v>
      </c>
      <c r="G2095" s="17" t="s">
        <v>1104</v>
      </c>
      <c r="H2095" s="19"/>
    </row>
    <row r="2096" customFormat="false" ht="15" hidden="false" customHeight="false" outlineLevel="0" collapsed="false">
      <c r="A2096" s="19" t="s">
        <v>2615</v>
      </c>
      <c r="B2096" s="19" t="s">
        <v>2099</v>
      </c>
      <c r="C2096" s="19" t="n">
        <v>16</v>
      </c>
      <c r="D2096" s="19" t="s">
        <v>3919</v>
      </c>
      <c r="E2096" s="19" t="n">
        <v>1</v>
      </c>
      <c r="F2096" s="17" t="s">
        <v>3920</v>
      </c>
      <c r="G2096" s="17" t="s">
        <v>1104</v>
      </c>
      <c r="H2096" s="19"/>
    </row>
    <row r="2097" customFormat="false" ht="15" hidden="false" customHeight="false" outlineLevel="0" collapsed="false">
      <c r="A2097" s="19" t="s">
        <v>2615</v>
      </c>
      <c r="B2097" s="19" t="s">
        <v>1570</v>
      </c>
      <c r="C2097" s="19" t="n">
        <v>16</v>
      </c>
      <c r="D2097" s="19" t="s">
        <v>3850</v>
      </c>
      <c r="E2097" s="19" t="n">
        <v>0.0429060401998604</v>
      </c>
      <c r="F2097" s="17" t="s">
        <v>3967</v>
      </c>
      <c r="G2097" s="17" t="s">
        <v>1104</v>
      </c>
      <c r="H2097" s="19"/>
    </row>
    <row r="2098" customFormat="false" ht="15" hidden="false" customHeight="false" outlineLevel="0" collapsed="false">
      <c r="A2098" s="19" t="s">
        <v>2615</v>
      </c>
      <c r="B2098" s="19" t="s">
        <v>3968</v>
      </c>
      <c r="C2098" s="19" t="n">
        <v>16</v>
      </c>
      <c r="D2098" s="19" t="s">
        <v>3923</v>
      </c>
      <c r="E2098" s="19" t="n">
        <v>3</v>
      </c>
      <c r="F2098" s="17" t="s">
        <v>3924</v>
      </c>
      <c r="G2098" s="17" t="s">
        <v>1104</v>
      </c>
      <c r="H2098" s="19"/>
    </row>
    <row r="2099" customFormat="false" ht="15" hidden="false" customHeight="false" outlineLevel="0" collapsed="false">
      <c r="A2099" s="19" t="s">
        <v>2615</v>
      </c>
      <c r="B2099" s="19" t="s">
        <v>3969</v>
      </c>
      <c r="C2099" s="19" t="n">
        <v>16</v>
      </c>
      <c r="D2099" s="19" t="s">
        <v>3926</v>
      </c>
      <c r="E2099" s="19" t="n">
        <v>0.7</v>
      </c>
      <c r="F2099" s="17" t="s">
        <v>3927</v>
      </c>
      <c r="G2099" s="17" t="s">
        <v>1104</v>
      </c>
      <c r="H2099" s="19"/>
    </row>
    <row r="2100" customFormat="false" ht="15" hidden="false" customHeight="false" outlineLevel="0" collapsed="false">
      <c r="A2100" s="19" t="s">
        <v>2615</v>
      </c>
      <c r="B2100" s="19" t="s">
        <v>3970</v>
      </c>
      <c r="C2100" s="19" t="n">
        <v>16</v>
      </c>
      <c r="D2100" s="19" t="s">
        <v>246</v>
      </c>
      <c r="E2100" s="19" t="n">
        <v>0.7</v>
      </c>
      <c r="F2100" s="17" t="s">
        <v>3929</v>
      </c>
      <c r="G2100" s="17" t="s">
        <v>1104</v>
      </c>
      <c r="H2100" s="19"/>
    </row>
    <row r="2101" customFormat="false" ht="15" hidden="false" customHeight="false" outlineLevel="0" collapsed="false">
      <c r="A2101" s="19" t="s">
        <v>2615</v>
      </c>
      <c r="B2101" s="19" t="s">
        <v>3896</v>
      </c>
      <c r="C2101" s="19" t="n">
        <v>16</v>
      </c>
      <c r="D2101" s="17" t="s">
        <v>861</v>
      </c>
      <c r="E2101" s="19" t="n">
        <v>72</v>
      </c>
      <c r="F2101" s="17" t="s">
        <v>3971</v>
      </c>
      <c r="G2101" s="17" t="s">
        <v>1104</v>
      </c>
      <c r="H2101" s="19"/>
    </row>
    <row r="2102" customFormat="false" ht="15" hidden="false" customHeight="false" outlineLevel="0" collapsed="false">
      <c r="A2102" s="19" t="s">
        <v>2615</v>
      </c>
      <c r="B2102" s="19" t="s">
        <v>3972</v>
      </c>
      <c r="C2102" s="19" t="n">
        <v>16</v>
      </c>
      <c r="D2102" s="19" t="s">
        <v>3932</v>
      </c>
      <c r="E2102" s="19" t="n">
        <v>138</v>
      </c>
      <c r="F2102" s="17" t="s">
        <v>3973</v>
      </c>
      <c r="G2102" s="17" t="s">
        <v>1104</v>
      </c>
      <c r="H2102" s="19"/>
    </row>
    <row r="2103" customFormat="false" ht="15" hidden="false" customHeight="false" outlineLevel="0" collapsed="false">
      <c r="A2103" s="19" t="s">
        <v>2615</v>
      </c>
      <c r="B2103" s="19" t="s">
        <v>3375</v>
      </c>
      <c r="C2103" s="19" t="n">
        <v>16</v>
      </c>
      <c r="D2103" s="17" t="s">
        <v>870</v>
      </c>
      <c r="E2103" s="19" t="n">
        <v>40.898053997195</v>
      </c>
      <c r="F2103" s="17" t="s">
        <v>3974</v>
      </c>
      <c r="G2103" s="17" t="s">
        <v>1104</v>
      </c>
      <c r="H2103" s="19"/>
    </row>
    <row r="2104" customFormat="false" ht="15" hidden="false" customHeight="false" outlineLevel="0" collapsed="false">
      <c r="A2104" s="19" t="s">
        <v>2615</v>
      </c>
      <c r="B2104" s="19" t="s">
        <v>2504</v>
      </c>
      <c r="C2104" s="19" t="n">
        <v>16</v>
      </c>
      <c r="D2104" s="19" t="s">
        <v>777</v>
      </c>
      <c r="E2104" s="19" t="n">
        <v>8</v>
      </c>
      <c r="F2104" s="17" t="s">
        <v>3975</v>
      </c>
      <c r="G2104" s="17" t="s">
        <v>1104</v>
      </c>
      <c r="H2104" s="19"/>
    </row>
    <row r="2105" customFormat="false" ht="15" hidden="false" customHeight="false" outlineLevel="0" collapsed="false">
      <c r="A2105" s="19" t="s">
        <v>2615</v>
      </c>
      <c r="B2105" s="19" t="s">
        <v>1329</v>
      </c>
      <c r="C2105" s="19" t="n">
        <v>16</v>
      </c>
      <c r="D2105" s="19" t="s">
        <v>3906</v>
      </c>
      <c r="E2105" s="19" t="n">
        <v>0.9</v>
      </c>
      <c r="F2105" s="17" t="s">
        <v>3976</v>
      </c>
      <c r="G2105" s="17" t="s">
        <v>1104</v>
      </c>
      <c r="H2105" s="19"/>
    </row>
    <row r="2106" customFormat="false" ht="15" hidden="false" customHeight="false" outlineLevel="0" collapsed="false">
      <c r="A2106" s="19" t="s">
        <v>2615</v>
      </c>
      <c r="B2106" s="19" t="s">
        <v>1190</v>
      </c>
      <c r="C2106" s="19" t="n">
        <v>16</v>
      </c>
      <c r="D2106" s="17" t="s">
        <v>798</v>
      </c>
      <c r="E2106" s="19" t="n">
        <v>43</v>
      </c>
      <c r="F2106" s="17" t="s">
        <v>3977</v>
      </c>
      <c r="G2106" s="17" t="s">
        <v>1104</v>
      </c>
      <c r="H2106" s="19"/>
    </row>
    <row r="2107" customFormat="false" ht="15" hidden="false" customHeight="false" outlineLevel="0" collapsed="false">
      <c r="A2107" s="19" t="s">
        <v>2615</v>
      </c>
      <c r="B2107" s="19" t="s">
        <v>1293</v>
      </c>
      <c r="C2107" s="19" t="n">
        <v>16</v>
      </c>
      <c r="D2107" s="19" t="s">
        <v>800</v>
      </c>
      <c r="E2107" s="19" t="n">
        <v>4096</v>
      </c>
      <c r="F2107" s="17" t="s">
        <v>3978</v>
      </c>
      <c r="G2107" s="17" t="s">
        <v>1104</v>
      </c>
      <c r="H2107" s="19"/>
    </row>
    <row r="2108" customFormat="false" ht="15" hidden="false" customHeight="false" outlineLevel="0" collapsed="false">
      <c r="A2108" s="19" t="s">
        <v>2615</v>
      </c>
      <c r="B2108" s="19" t="s">
        <v>1484</v>
      </c>
      <c r="C2108" s="19" t="n">
        <v>16</v>
      </c>
      <c r="D2108" s="17" t="s">
        <v>802</v>
      </c>
      <c r="E2108" s="19" t="n">
        <v>6</v>
      </c>
      <c r="F2108" s="17" t="s">
        <v>3979</v>
      </c>
      <c r="G2108" s="17" t="s">
        <v>1104</v>
      </c>
      <c r="H2108" s="19"/>
    </row>
    <row r="2109" customFormat="false" ht="15" hidden="false" customHeight="false" outlineLevel="0" collapsed="false">
      <c r="A2109" s="19" t="s">
        <v>2615</v>
      </c>
      <c r="B2109" s="19" t="s">
        <v>2613</v>
      </c>
      <c r="C2109" s="19" t="n">
        <v>16</v>
      </c>
      <c r="D2109" s="19" t="s">
        <v>3911</v>
      </c>
      <c r="E2109" s="19" t="n">
        <v>2795</v>
      </c>
      <c r="F2109" s="17" t="s">
        <v>3980</v>
      </c>
      <c r="G2109" s="17" t="s">
        <v>1104</v>
      </c>
      <c r="H2109" s="19"/>
    </row>
    <row r="2110" customFormat="false" ht="15" hidden="false" customHeight="false" outlineLevel="0" collapsed="false">
      <c r="A2110" s="19" t="s">
        <v>2615</v>
      </c>
      <c r="B2110" s="19" t="s">
        <v>2695</v>
      </c>
      <c r="C2110" s="19" t="n">
        <v>16</v>
      </c>
      <c r="D2110" s="17" t="s">
        <v>812</v>
      </c>
      <c r="E2110" s="19" t="n">
        <v>0.512</v>
      </c>
      <c r="F2110" s="17" t="s">
        <v>3981</v>
      </c>
      <c r="G2110" s="17" t="s">
        <v>1104</v>
      </c>
      <c r="H2110" s="19"/>
    </row>
    <row r="2111" customFormat="false" ht="15" hidden="false" customHeight="false" outlineLevel="0" collapsed="false">
      <c r="A2111" s="19" t="s">
        <v>2615</v>
      </c>
      <c r="B2111" s="19" t="s">
        <v>2696</v>
      </c>
      <c r="C2111" s="19" t="n">
        <v>16</v>
      </c>
      <c r="D2111" s="17" t="s">
        <v>814</v>
      </c>
      <c r="E2111" s="19" t="n">
        <v>4224</v>
      </c>
      <c r="F2111" s="17" t="s">
        <v>3982</v>
      </c>
      <c r="G2111" s="17" t="s">
        <v>1104</v>
      </c>
      <c r="H2111" s="19"/>
    </row>
    <row r="2112" customFormat="false" ht="15" hidden="false" customHeight="false" outlineLevel="0" collapsed="false">
      <c r="A2112" s="19" t="s">
        <v>2615</v>
      </c>
      <c r="B2112" s="19" t="s">
        <v>1698</v>
      </c>
      <c r="C2112" s="19" t="n">
        <v>16</v>
      </c>
      <c r="D2112" s="17" t="s">
        <v>816</v>
      </c>
      <c r="E2112" s="19" t="n">
        <v>128</v>
      </c>
      <c r="F2112" s="17" t="s">
        <v>3983</v>
      </c>
      <c r="G2112" s="17" t="s">
        <v>1104</v>
      </c>
      <c r="H2112" s="19"/>
    </row>
    <row r="2113" customFormat="false" ht="15" hidden="false" customHeight="false" outlineLevel="0" collapsed="false">
      <c r="A2113" s="19" t="s">
        <v>2615</v>
      </c>
      <c r="B2113" s="19" t="s">
        <v>1295</v>
      </c>
      <c r="C2113" s="19" t="n">
        <v>16</v>
      </c>
      <c r="D2113" s="17" t="s">
        <v>818</v>
      </c>
      <c r="E2113" s="19" t="n">
        <v>128</v>
      </c>
      <c r="F2113" s="17" t="s">
        <v>3984</v>
      </c>
      <c r="G2113" s="17" t="s">
        <v>1104</v>
      </c>
      <c r="H2113" s="19"/>
    </row>
    <row r="2114" customFormat="false" ht="15" hidden="false" customHeight="false" outlineLevel="0" collapsed="false">
      <c r="A2114" s="19" t="s">
        <v>2615</v>
      </c>
      <c r="B2114" s="19" t="s">
        <v>1705</v>
      </c>
      <c r="C2114" s="19" t="n">
        <v>16</v>
      </c>
      <c r="D2114" s="19" t="s">
        <v>829</v>
      </c>
      <c r="E2114" s="19" t="n">
        <v>8704</v>
      </c>
      <c r="F2114" s="17" t="s">
        <v>3985</v>
      </c>
      <c r="G2114" s="17" t="s">
        <v>1104</v>
      </c>
      <c r="H2114" s="19"/>
    </row>
    <row r="2115" customFormat="false" ht="15" hidden="false" customHeight="false" outlineLevel="0" collapsed="false">
      <c r="A2115" s="19" t="s">
        <v>2615</v>
      </c>
      <c r="B2115" s="19" t="s">
        <v>1707</v>
      </c>
      <c r="C2115" s="19" t="n">
        <v>16</v>
      </c>
      <c r="D2115" s="19" t="s">
        <v>832</v>
      </c>
      <c r="E2115" s="19" t="n">
        <v>4096</v>
      </c>
      <c r="F2115" s="17" t="s">
        <v>3986</v>
      </c>
      <c r="G2115" s="17" t="s">
        <v>1104</v>
      </c>
      <c r="H2115" s="19"/>
    </row>
    <row r="2116" customFormat="false" ht="15" hidden="false" customHeight="false" outlineLevel="0" collapsed="false">
      <c r="A2116" s="19" t="s">
        <v>2615</v>
      </c>
      <c r="B2116" s="19" t="s">
        <v>2117</v>
      </c>
      <c r="C2116" s="19" t="n">
        <v>16</v>
      </c>
      <c r="D2116" s="19" t="s">
        <v>3919</v>
      </c>
      <c r="E2116" s="19" t="n">
        <v>1</v>
      </c>
      <c r="F2116" s="17" t="s">
        <v>3920</v>
      </c>
      <c r="G2116" s="17" t="s">
        <v>1104</v>
      </c>
      <c r="H2116" s="19"/>
    </row>
    <row r="2117" customFormat="false" ht="15" hidden="false" customHeight="false" outlineLevel="0" collapsed="false">
      <c r="A2117" s="19" t="s">
        <v>2615</v>
      </c>
      <c r="B2117" s="19" t="s">
        <v>1576</v>
      </c>
      <c r="C2117" s="19" t="n">
        <v>16</v>
      </c>
      <c r="D2117" s="19" t="s">
        <v>3850</v>
      </c>
      <c r="E2117" s="19" t="n">
        <v>0.0411182885248662</v>
      </c>
      <c r="F2117" s="17" t="s">
        <v>3987</v>
      </c>
      <c r="G2117" s="17" t="s">
        <v>1104</v>
      </c>
      <c r="H2117" s="19"/>
    </row>
    <row r="2118" customFormat="false" ht="15" hidden="false" customHeight="false" outlineLevel="0" collapsed="false">
      <c r="A2118" s="19" t="s">
        <v>2615</v>
      </c>
      <c r="B2118" s="19" t="s">
        <v>3988</v>
      </c>
      <c r="C2118" s="19" t="n">
        <v>16</v>
      </c>
      <c r="D2118" s="19" t="s">
        <v>3923</v>
      </c>
      <c r="E2118" s="19" t="n">
        <v>3</v>
      </c>
      <c r="F2118" s="17" t="s">
        <v>3924</v>
      </c>
      <c r="G2118" s="17" t="s">
        <v>1104</v>
      </c>
      <c r="H2118" s="19"/>
    </row>
    <row r="2119" customFormat="false" ht="15" hidden="false" customHeight="false" outlineLevel="0" collapsed="false">
      <c r="A2119" s="19" t="s">
        <v>2615</v>
      </c>
      <c r="B2119" s="19" t="s">
        <v>3989</v>
      </c>
      <c r="C2119" s="19" t="n">
        <v>16</v>
      </c>
      <c r="D2119" s="19" t="s">
        <v>3926</v>
      </c>
      <c r="E2119" s="19" t="n">
        <v>0.7</v>
      </c>
      <c r="F2119" s="17" t="s">
        <v>3927</v>
      </c>
      <c r="G2119" s="17" t="s">
        <v>1104</v>
      </c>
      <c r="H2119" s="19"/>
    </row>
    <row r="2120" customFormat="false" ht="15" hidden="false" customHeight="false" outlineLevel="0" collapsed="false">
      <c r="A2120" s="19" t="s">
        <v>2615</v>
      </c>
      <c r="B2120" s="19" t="s">
        <v>3990</v>
      </c>
      <c r="C2120" s="19" t="n">
        <v>16</v>
      </c>
      <c r="D2120" s="19" t="s">
        <v>246</v>
      </c>
      <c r="E2120" s="19" t="n">
        <v>0.7</v>
      </c>
      <c r="F2120" s="17" t="s">
        <v>3929</v>
      </c>
      <c r="G2120" s="17" t="s">
        <v>1104</v>
      </c>
      <c r="H2120" s="19"/>
    </row>
    <row r="2121" customFormat="false" ht="15" hidden="false" customHeight="false" outlineLevel="0" collapsed="false">
      <c r="A2121" s="19" t="s">
        <v>2615</v>
      </c>
      <c r="B2121" s="19" t="s">
        <v>3899</v>
      </c>
      <c r="C2121" s="19" t="n">
        <v>16</v>
      </c>
      <c r="D2121" s="17" t="s">
        <v>861</v>
      </c>
      <c r="E2121" s="19" t="n">
        <v>167.4</v>
      </c>
      <c r="F2121" s="17" t="s">
        <v>3991</v>
      </c>
      <c r="G2121" s="17" t="s">
        <v>1104</v>
      </c>
      <c r="H2121" s="19"/>
    </row>
    <row r="2122" customFormat="false" ht="15" hidden="false" customHeight="false" outlineLevel="0" collapsed="false">
      <c r="A2122" s="19" t="s">
        <v>2615</v>
      </c>
      <c r="B2122" s="19" t="s">
        <v>3992</v>
      </c>
      <c r="C2122" s="19" t="n">
        <v>16</v>
      </c>
      <c r="D2122" s="19" t="s">
        <v>3932</v>
      </c>
      <c r="E2122" s="19" t="n">
        <v>32</v>
      </c>
      <c r="F2122" s="17" t="s">
        <v>3993</v>
      </c>
      <c r="G2122" s="17" t="s">
        <v>1104</v>
      </c>
      <c r="H2122" s="19"/>
    </row>
    <row r="2123" customFormat="false" ht="15" hidden="false" customHeight="false" outlineLevel="0" collapsed="false">
      <c r="A2123" s="19" t="s">
        <v>2615</v>
      </c>
      <c r="B2123" s="19" t="s">
        <v>3377</v>
      </c>
      <c r="C2123" s="19" t="n">
        <v>16</v>
      </c>
      <c r="D2123" s="17" t="s">
        <v>870</v>
      </c>
      <c r="E2123" s="19" t="n">
        <v>10.3090546875</v>
      </c>
      <c r="F2123" s="17" t="s">
        <v>3994</v>
      </c>
      <c r="G2123" s="17" t="s">
        <v>1104</v>
      </c>
      <c r="H2123" s="19"/>
    </row>
    <row r="2124" customFormat="false" ht="15" hidden="false" customHeight="false" outlineLevel="0" collapsed="false">
      <c r="A2124" s="19" t="s">
        <v>2615</v>
      </c>
      <c r="B2124" s="19" t="s">
        <v>3995</v>
      </c>
      <c r="C2124" s="19" t="n">
        <v>16</v>
      </c>
      <c r="D2124" s="19" t="s">
        <v>777</v>
      </c>
      <c r="E2124" s="19" t="n">
        <v>8</v>
      </c>
      <c r="F2124" s="17" t="s">
        <v>3996</v>
      </c>
      <c r="G2124" s="17" t="s">
        <v>1104</v>
      </c>
      <c r="H2124" s="19"/>
    </row>
    <row r="2125" customFormat="false" ht="15" hidden="false" customHeight="false" outlineLevel="0" collapsed="false">
      <c r="A2125" s="19" t="s">
        <v>2615</v>
      </c>
      <c r="B2125" s="19" t="s">
        <v>3997</v>
      </c>
      <c r="C2125" s="19" t="n">
        <v>16</v>
      </c>
      <c r="D2125" s="19" t="s">
        <v>3906</v>
      </c>
      <c r="E2125" s="19" t="n">
        <v>0.9</v>
      </c>
      <c r="F2125" s="17" t="s">
        <v>3998</v>
      </c>
      <c r="G2125" s="17" t="s">
        <v>1104</v>
      </c>
      <c r="H2125" s="19"/>
    </row>
    <row r="2126" customFormat="false" ht="15" hidden="false" customHeight="false" outlineLevel="0" collapsed="false">
      <c r="A2126" s="19" t="s">
        <v>2615</v>
      </c>
      <c r="B2126" s="19" t="s">
        <v>2129</v>
      </c>
      <c r="C2126" s="19" t="n">
        <v>16</v>
      </c>
      <c r="D2126" s="17" t="s">
        <v>798</v>
      </c>
      <c r="E2126" s="19" t="n">
        <v>61</v>
      </c>
      <c r="F2126" s="17" t="s">
        <v>3999</v>
      </c>
      <c r="G2126" s="17" t="s">
        <v>1104</v>
      </c>
      <c r="H2126" s="19"/>
    </row>
    <row r="2127" customFormat="false" ht="15" hidden="false" customHeight="false" outlineLevel="0" collapsed="false">
      <c r="A2127" s="19" t="s">
        <v>2615</v>
      </c>
      <c r="B2127" s="19" t="s">
        <v>2131</v>
      </c>
      <c r="C2127" s="19" t="n">
        <v>16</v>
      </c>
      <c r="D2127" s="19" t="s">
        <v>800</v>
      </c>
      <c r="E2127" s="19" t="n">
        <v>7168</v>
      </c>
      <c r="F2127" s="17" t="s">
        <v>4000</v>
      </c>
      <c r="G2127" s="17" t="s">
        <v>1104</v>
      </c>
      <c r="H2127" s="19"/>
    </row>
    <row r="2128" customFormat="false" ht="15" hidden="false" customHeight="false" outlineLevel="0" collapsed="false">
      <c r="A2128" s="19" t="s">
        <v>2615</v>
      </c>
      <c r="B2128" s="19" t="s">
        <v>1490</v>
      </c>
      <c r="C2128" s="19" t="n">
        <v>16</v>
      </c>
      <c r="D2128" s="17" t="s">
        <v>802</v>
      </c>
      <c r="E2128" s="19" t="n">
        <v>6</v>
      </c>
      <c r="F2128" s="17" t="s">
        <v>4001</v>
      </c>
      <c r="G2128" s="17" t="s">
        <v>1104</v>
      </c>
      <c r="H2128" s="19"/>
    </row>
    <row r="2129" customFormat="false" ht="15" hidden="false" customHeight="false" outlineLevel="0" collapsed="false">
      <c r="A2129" s="19" t="s">
        <v>2615</v>
      </c>
      <c r="B2129" s="19" t="s">
        <v>4002</v>
      </c>
      <c r="C2129" s="19" t="n">
        <v>16</v>
      </c>
      <c r="D2129" s="19" t="s">
        <v>3911</v>
      </c>
      <c r="E2129" s="19" t="n">
        <v>3965</v>
      </c>
      <c r="F2129" s="17" t="s">
        <v>4003</v>
      </c>
      <c r="G2129" s="17" t="s">
        <v>1104</v>
      </c>
      <c r="H2129" s="19"/>
    </row>
    <row r="2130" customFormat="false" ht="15" hidden="false" customHeight="false" outlineLevel="0" collapsed="false">
      <c r="A2130" s="19" t="s">
        <v>2615</v>
      </c>
      <c r="B2130" s="19" t="s">
        <v>4004</v>
      </c>
      <c r="C2130" s="19" t="n">
        <v>16</v>
      </c>
      <c r="D2130" s="17" t="s">
        <v>812</v>
      </c>
      <c r="E2130" s="19" t="n">
        <v>0.492</v>
      </c>
      <c r="F2130" s="17" t="s">
        <v>4005</v>
      </c>
      <c r="G2130" s="17" t="s">
        <v>1104</v>
      </c>
      <c r="H2130" s="19"/>
    </row>
    <row r="2131" customFormat="false" ht="15" hidden="false" customHeight="false" outlineLevel="0" collapsed="false">
      <c r="A2131" s="19" t="s">
        <v>2615</v>
      </c>
      <c r="B2131" s="19" t="s">
        <v>4006</v>
      </c>
      <c r="C2131" s="19" t="n">
        <v>16</v>
      </c>
      <c r="D2131" s="17" t="s">
        <v>814</v>
      </c>
      <c r="E2131" s="19" t="n">
        <v>4224</v>
      </c>
      <c r="F2131" s="17" t="s">
        <v>4007</v>
      </c>
      <c r="G2131" s="17" t="s">
        <v>1104</v>
      </c>
      <c r="H2131" s="19"/>
    </row>
    <row r="2132" customFormat="false" ht="15" hidden="false" customHeight="false" outlineLevel="0" collapsed="false">
      <c r="A2132" s="19" t="s">
        <v>2615</v>
      </c>
      <c r="B2132" s="19" t="s">
        <v>1713</v>
      </c>
      <c r="C2132" s="19" t="n">
        <v>16</v>
      </c>
      <c r="D2132" s="17" t="s">
        <v>816</v>
      </c>
      <c r="E2132" s="19" t="n">
        <v>128</v>
      </c>
      <c r="F2132" s="17" t="s">
        <v>4008</v>
      </c>
      <c r="G2132" s="17" t="s">
        <v>1104</v>
      </c>
      <c r="H2132" s="19"/>
    </row>
    <row r="2133" customFormat="false" ht="15" hidden="false" customHeight="false" outlineLevel="0" collapsed="false">
      <c r="A2133" s="19" t="s">
        <v>2615</v>
      </c>
      <c r="B2133" s="19" t="s">
        <v>1715</v>
      </c>
      <c r="C2133" s="19" t="n">
        <v>16</v>
      </c>
      <c r="D2133" s="17" t="s">
        <v>818</v>
      </c>
      <c r="E2133" s="19" t="n">
        <v>128</v>
      </c>
      <c r="F2133" s="17" t="s">
        <v>4009</v>
      </c>
      <c r="G2133" s="17" t="s">
        <v>1104</v>
      </c>
      <c r="H2133" s="19"/>
    </row>
    <row r="2134" customFormat="false" ht="15" hidden="false" customHeight="false" outlineLevel="0" collapsed="false">
      <c r="A2134" s="19" t="s">
        <v>2615</v>
      </c>
      <c r="B2134" s="19" t="s">
        <v>1721</v>
      </c>
      <c r="C2134" s="19" t="n">
        <v>16</v>
      </c>
      <c r="D2134" s="19" t="s">
        <v>829</v>
      </c>
      <c r="E2134" s="19" t="n">
        <v>17408</v>
      </c>
      <c r="F2134" s="17" t="s">
        <v>4010</v>
      </c>
      <c r="G2134" s="17" t="s">
        <v>1104</v>
      </c>
      <c r="H2134" s="19"/>
    </row>
    <row r="2135" customFormat="false" ht="15" hidden="false" customHeight="false" outlineLevel="0" collapsed="false">
      <c r="A2135" s="19" t="s">
        <v>2615</v>
      </c>
      <c r="B2135" s="19" t="s">
        <v>1723</v>
      </c>
      <c r="C2135" s="19" t="n">
        <v>16</v>
      </c>
      <c r="D2135" s="19" t="s">
        <v>832</v>
      </c>
      <c r="E2135" s="19" t="n">
        <v>8192</v>
      </c>
      <c r="F2135" s="17" t="s">
        <v>4011</v>
      </c>
      <c r="G2135" s="17" t="s">
        <v>1104</v>
      </c>
      <c r="H2135" s="19"/>
    </row>
    <row r="2136" customFormat="false" ht="15" hidden="false" customHeight="false" outlineLevel="0" collapsed="false">
      <c r="A2136" s="19" t="s">
        <v>2615</v>
      </c>
      <c r="B2136" s="19" t="s">
        <v>2140</v>
      </c>
      <c r="C2136" s="19" t="n">
        <v>16</v>
      </c>
      <c r="D2136" s="19" t="s">
        <v>3919</v>
      </c>
      <c r="E2136" s="19" t="n">
        <v>1</v>
      </c>
      <c r="F2136" s="17" t="s">
        <v>3920</v>
      </c>
      <c r="G2136" s="17" t="s">
        <v>1104</v>
      </c>
      <c r="H2136" s="19"/>
    </row>
    <row r="2137" customFormat="false" ht="15" hidden="false" customHeight="false" outlineLevel="0" collapsed="false">
      <c r="A2137" s="19" t="s">
        <v>2615</v>
      </c>
      <c r="B2137" s="19" t="s">
        <v>1582</v>
      </c>
      <c r="C2137" s="19" t="n">
        <v>16</v>
      </c>
      <c r="D2137" s="19" t="s">
        <v>3850</v>
      </c>
      <c r="E2137" s="19" t="n">
        <v>0.0411182885248662</v>
      </c>
      <c r="F2137" s="17" t="s">
        <v>4012</v>
      </c>
      <c r="G2137" s="17" t="s">
        <v>1104</v>
      </c>
      <c r="H2137" s="19"/>
    </row>
    <row r="2138" customFormat="false" ht="15" hidden="false" customHeight="false" outlineLevel="0" collapsed="false">
      <c r="A2138" s="19" t="s">
        <v>2615</v>
      </c>
      <c r="B2138" s="19" t="s">
        <v>4013</v>
      </c>
      <c r="C2138" s="19" t="n">
        <v>16</v>
      </c>
      <c r="D2138" s="19" t="s">
        <v>3923</v>
      </c>
      <c r="E2138" s="19" t="n">
        <v>3</v>
      </c>
      <c r="F2138" s="17" t="s">
        <v>3924</v>
      </c>
      <c r="G2138" s="17" t="s">
        <v>1104</v>
      </c>
      <c r="H2138" s="19"/>
    </row>
    <row r="2139" customFormat="false" ht="15" hidden="false" customHeight="false" outlineLevel="0" collapsed="false">
      <c r="A2139" s="19" t="s">
        <v>2615</v>
      </c>
      <c r="B2139" s="19" t="s">
        <v>4014</v>
      </c>
      <c r="C2139" s="19" t="n">
        <v>16</v>
      </c>
      <c r="D2139" s="19" t="s">
        <v>3926</v>
      </c>
      <c r="E2139" s="19" t="n">
        <v>0.7</v>
      </c>
      <c r="F2139" s="17" t="s">
        <v>3927</v>
      </c>
      <c r="G2139" s="17" t="s">
        <v>1104</v>
      </c>
      <c r="H2139" s="19"/>
    </row>
    <row r="2140" customFormat="false" ht="15" hidden="false" customHeight="false" outlineLevel="0" collapsed="false">
      <c r="A2140" s="19" t="s">
        <v>2615</v>
      </c>
      <c r="B2140" s="19" t="s">
        <v>4015</v>
      </c>
      <c r="C2140" s="19" t="n">
        <v>16</v>
      </c>
      <c r="D2140" s="19" t="s">
        <v>246</v>
      </c>
      <c r="E2140" s="19" t="n">
        <v>0.7</v>
      </c>
      <c r="F2140" s="17" t="s">
        <v>3929</v>
      </c>
      <c r="G2140" s="17" t="s">
        <v>1104</v>
      </c>
      <c r="H2140" s="19"/>
    </row>
    <row r="2141" customFormat="false" ht="15" hidden="false" customHeight="false" outlineLevel="0" collapsed="false">
      <c r="A2141" s="19" t="s">
        <v>2615</v>
      </c>
      <c r="B2141" s="19" t="s">
        <v>3902</v>
      </c>
      <c r="C2141" s="19" t="n">
        <v>16</v>
      </c>
      <c r="D2141" s="17" t="s">
        <v>861</v>
      </c>
      <c r="E2141" s="19" t="n">
        <v>167.4</v>
      </c>
      <c r="F2141" s="17" t="s">
        <v>4016</v>
      </c>
      <c r="G2141" s="17" t="s">
        <v>1104</v>
      </c>
      <c r="H2141" s="19"/>
    </row>
    <row r="2142" customFormat="false" ht="15" hidden="false" customHeight="false" outlineLevel="0" collapsed="false">
      <c r="A2142" s="19" t="s">
        <v>2615</v>
      </c>
      <c r="B2142" s="19" t="s">
        <v>4017</v>
      </c>
      <c r="C2142" s="19" t="n">
        <v>16</v>
      </c>
      <c r="D2142" s="19" t="s">
        <v>3932</v>
      </c>
      <c r="E2142" s="19" t="n">
        <v>32</v>
      </c>
      <c r="F2142" s="17" t="s">
        <v>4018</v>
      </c>
      <c r="G2142" s="17" t="s">
        <v>1104</v>
      </c>
      <c r="H2142" s="19"/>
    </row>
    <row r="2143" customFormat="false" ht="15" hidden="false" customHeight="false" outlineLevel="0" collapsed="false">
      <c r="A2143" s="19" t="s">
        <v>2615</v>
      </c>
      <c r="B2143" s="19" t="s">
        <v>3379</v>
      </c>
      <c r="C2143" s="19" t="n">
        <v>16</v>
      </c>
      <c r="D2143" s="17" t="s">
        <v>870</v>
      </c>
      <c r="E2143" s="19" t="n">
        <v>48.0463324652778</v>
      </c>
      <c r="F2143" s="17" t="s">
        <v>4019</v>
      </c>
      <c r="G2143" s="17" t="s">
        <v>1104</v>
      </c>
      <c r="H2143" s="19"/>
    </row>
    <row r="2144" customFormat="false" ht="15" hidden="false" customHeight="false" outlineLevel="0" collapsed="false">
      <c r="A2144" s="19" t="s">
        <v>2615</v>
      </c>
      <c r="B2144" s="19" t="s">
        <v>4020</v>
      </c>
      <c r="C2144" s="19" t="n">
        <v>16</v>
      </c>
      <c r="D2144" s="19" t="s">
        <v>777</v>
      </c>
      <c r="E2144" s="19" t="n">
        <v>8</v>
      </c>
      <c r="F2144" s="17" t="s">
        <v>4021</v>
      </c>
      <c r="G2144" s="17" t="s">
        <v>1104</v>
      </c>
      <c r="H2144" s="19"/>
    </row>
    <row r="2145" customFormat="false" ht="15" hidden="false" customHeight="false" outlineLevel="0" collapsed="false">
      <c r="A2145" s="19" t="s">
        <v>2615</v>
      </c>
      <c r="B2145" s="19" t="s">
        <v>4022</v>
      </c>
      <c r="C2145" s="19" t="n">
        <v>16</v>
      </c>
      <c r="D2145" s="19" t="s">
        <v>3906</v>
      </c>
      <c r="E2145" s="19" t="n">
        <v>0.9</v>
      </c>
      <c r="F2145" s="17" t="s">
        <v>4023</v>
      </c>
      <c r="G2145" s="17" t="s">
        <v>1104</v>
      </c>
      <c r="H2145" s="19"/>
    </row>
    <row r="2146" customFormat="false" ht="15" hidden="false" customHeight="false" outlineLevel="0" collapsed="false">
      <c r="A2146" s="19" t="s">
        <v>2615</v>
      </c>
      <c r="B2146" s="19" t="s">
        <v>2152</v>
      </c>
      <c r="C2146" s="19" t="n">
        <v>16</v>
      </c>
      <c r="D2146" s="17" t="s">
        <v>798</v>
      </c>
      <c r="E2146" s="19" t="n">
        <v>100</v>
      </c>
      <c r="F2146" s="17" t="s">
        <v>4024</v>
      </c>
      <c r="G2146" s="17" t="s">
        <v>1104</v>
      </c>
      <c r="H2146" s="19"/>
    </row>
    <row r="2147" customFormat="false" ht="15" hidden="false" customHeight="false" outlineLevel="0" collapsed="false">
      <c r="A2147" s="19" t="s">
        <v>2615</v>
      </c>
      <c r="B2147" s="19" t="s">
        <v>2154</v>
      </c>
      <c r="C2147" s="19" t="n">
        <v>16</v>
      </c>
      <c r="D2147" s="19" t="s">
        <v>800</v>
      </c>
      <c r="E2147" s="19" t="n">
        <v>12288</v>
      </c>
      <c r="F2147" s="17" t="s">
        <v>4025</v>
      </c>
      <c r="G2147" s="17" t="s">
        <v>1104</v>
      </c>
      <c r="H2147" s="19"/>
    </row>
    <row r="2148" customFormat="false" ht="15" hidden="false" customHeight="false" outlineLevel="0" collapsed="false">
      <c r="A2148" s="19" t="s">
        <v>2615</v>
      </c>
      <c r="B2148" s="19" t="s">
        <v>1496</v>
      </c>
      <c r="C2148" s="19" t="n">
        <v>16</v>
      </c>
      <c r="D2148" s="17" t="s">
        <v>802</v>
      </c>
      <c r="E2148" s="19" t="n">
        <v>16</v>
      </c>
      <c r="F2148" s="17" t="s">
        <v>4026</v>
      </c>
      <c r="G2148" s="17" t="s">
        <v>1104</v>
      </c>
      <c r="H2148" s="19"/>
    </row>
    <row r="2149" customFormat="false" ht="15" hidden="false" customHeight="false" outlineLevel="0" collapsed="false">
      <c r="A2149" s="19" t="s">
        <v>2615</v>
      </c>
      <c r="B2149" s="19" t="s">
        <v>4027</v>
      </c>
      <c r="C2149" s="19" t="n">
        <v>16</v>
      </c>
      <c r="D2149" s="19" t="s">
        <v>3911</v>
      </c>
      <c r="E2149" s="19" t="n">
        <v>57600</v>
      </c>
      <c r="F2149" s="17" t="s">
        <v>4028</v>
      </c>
      <c r="G2149" s="17" t="s">
        <v>1104</v>
      </c>
      <c r="H2149" s="19"/>
    </row>
    <row r="2150" customFormat="false" ht="15" hidden="false" customHeight="false" outlineLevel="0" collapsed="false">
      <c r="A2150" s="19" t="s">
        <v>2615</v>
      </c>
      <c r="B2150" s="19" t="s">
        <v>4029</v>
      </c>
      <c r="C2150" s="19" t="n">
        <v>16</v>
      </c>
      <c r="D2150" s="17" t="s">
        <v>812</v>
      </c>
      <c r="E2150" s="19" t="n">
        <v>1</v>
      </c>
      <c r="F2150" s="17" t="s">
        <v>4030</v>
      </c>
      <c r="G2150" s="17" t="s">
        <v>1104</v>
      </c>
      <c r="H2150" s="19"/>
    </row>
    <row r="2151" customFormat="false" ht="15" hidden="false" customHeight="false" outlineLevel="0" collapsed="false">
      <c r="A2151" s="19" t="s">
        <v>2615</v>
      </c>
      <c r="B2151" s="19" t="s">
        <v>4031</v>
      </c>
      <c r="C2151" s="19" t="n">
        <v>16</v>
      </c>
      <c r="D2151" s="17" t="s">
        <v>814</v>
      </c>
      <c r="E2151" s="19" t="n">
        <v>0</v>
      </c>
      <c r="F2151" s="17" t="s">
        <v>4032</v>
      </c>
      <c r="G2151" s="17" t="s">
        <v>1104</v>
      </c>
      <c r="H2151" s="19"/>
    </row>
    <row r="2152" customFormat="false" ht="15" hidden="false" customHeight="false" outlineLevel="0" collapsed="false">
      <c r="A2152" s="19" t="s">
        <v>2615</v>
      </c>
      <c r="B2152" s="19" t="s">
        <v>1729</v>
      </c>
      <c r="C2152" s="19" t="n">
        <v>16</v>
      </c>
      <c r="D2152" s="17" t="s">
        <v>816</v>
      </c>
      <c r="E2152" s="19" t="n">
        <v>1</v>
      </c>
      <c r="F2152" s="17" t="s">
        <v>4033</v>
      </c>
      <c r="G2152" s="17" t="s">
        <v>1104</v>
      </c>
      <c r="H2152" s="19"/>
    </row>
    <row r="2153" customFormat="false" ht="15" hidden="false" customHeight="false" outlineLevel="0" collapsed="false">
      <c r="A2153" s="19" t="s">
        <v>2615</v>
      </c>
      <c r="B2153" s="19" t="s">
        <v>1731</v>
      </c>
      <c r="C2153" s="19" t="n">
        <v>16</v>
      </c>
      <c r="D2153" s="17" t="s">
        <v>818</v>
      </c>
      <c r="E2153" s="19" t="n">
        <v>0</v>
      </c>
      <c r="F2153" s="17" t="s">
        <v>4034</v>
      </c>
      <c r="G2153" s="17" t="s">
        <v>1104</v>
      </c>
      <c r="H2153" s="19"/>
    </row>
    <row r="2154" customFormat="false" ht="15" hidden="false" customHeight="false" outlineLevel="0" collapsed="false">
      <c r="A2154" s="19" t="s">
        <v>2615</v>
      </c>
      <c r="B2154" s="19" t="s">
        <v>1737</v>
      </c>
      <c r="C2154" s="19" t="n">
        <v>16</v>
      </c>
      <c r="D2154" s="19" t="s">
        <v>829</v>
      </c>
      <c r="E2154" s="19" t="n">
        <v>34816</v>
      </c>
      <c r="F2154" s="17" t="s">
        <v>4035</v>
      </c>
      <c r="G2154" s="17" t="s">
        <v>1104</v>
      </c>
      <c r="H2154" s="19"/>
    </row>
    <row r="2155" customFormat="false" ht="15" hidden="false" customHeight="false" outlineLevel="0" collapsed="false">
      <c r="A2155" s="19" t="s">
        <v>2615</v>
      </c>
      <c r="B2155" s="19" t="s">
        <v>1739</v>
      </c>
      <c r="C2155" s="19" t="n">
        <v>16</v>
      </c>
      <c r="D2155" s="19" t="s">
        <v>832</v>
      </c>
      <c r="E2155" s="19" t="n">
        <v>16384</v>
      </c>
      <c r="F2155" s="17" t="s">
        <v>4036</v>
      </c>
      <c r="G2155" s="17" t="s">
        <v>1104</v>
      </c>
      <c r="H2155" s="19"/>
    </row>
    <row r="2156" customFormat="false" ht="15" hidden="false" customHeight="false" outlineLevel="0" collapsed="false">
      <c r="A2156" s="19" t="s">
        <v>2615</v>
      </c>
      <c r="B2156" s="19" t="s">
        <v>2163</v>
      </c>
      <c r="C2156" s="19" t="n">
        <v>16</v>
      </c>
      <c r="D2156" s="19" t="s">
        <v>3919</v>
      </c>
      <c r="E2156" s="19" t="n">
        <v>1</v>
      </c>
      <c r="F2156" s="17" t="s">
        <v>3920</v>
      </c>
      <c r="G2156" s="17" t="s">
        <v>1104</v>
      </c>
      <c r="H2156" s="19"/>
    </row>
    <row r="2157" customFormat="false" ht="15" hidden="false" customHeight="false" outlineLevel="0" collapsed="false">
      <c r="A2157" s="19" t="s">
        <v>2615</v>
      </c>
      <c r="B2157" s="19" t="s">
        <v>1588</v>
      </c>
      <c r="C2157" s="19" t="n">
        <v>16</v>
      </c>
      <c r="D2157" s="19" t="s">
        <v>3850</v>
      </c>
      <c r="E2157" s="19" t="n">
        <v>0.0411182885248662</v>
      </c>
      <c r="F2157" s="17" t="s">
        <v>4037</v>
      </c>
      <c r="G2157" s="17" t="s">
        <v>1104</v>
      </c>
      <c r="H2157" s="19"/>
    </row>
    <row r="2158" customFormat="false" ht="15" hidden="false" customHeight="false" outlineLevel="0" collapsed="false">
      <c r="A2158" s="19" t="s">
        <v>2615</v>
      </c>
      <c r="B2158" s="19" t="s">
        <v>4038</v>
      </c>
      <c r="C2158" s="19" t="n">
        <v>16</v>
      </c>
      <c r="D2158" s="19" t="s">
        <v>3923</v>
      </c>
      <c r="E2158" s="19" t="n">
        <v>3</v>
      </c>
      <c r="F2158" s="17" t="s">
        <v>3924</v>
      </c>
      <c r="G2158" s="17" t="s">
        <v>1104</v>
      </c>
      <c r="H2158" s="19"/>
    </row>
    <row r="2159" customFormat="false" ht="15" hidden="false" customHeight="false" outlineLevel="0" collapsed="false">
      <c r="A2159" s="19" t="s">
        <v>2615</v>
      </c>
      <c r="B2159" s="19" t="s">
        <v>4039</v>
      </c>
      <c r="C2159" s="19" t="n">
        <v>16</v>
      </c>
      <c r="D2159" s="19" t="s">
        <v>3926</v>
      </c>
      <c r="E2159" s="19" t="n">
        <v>0.7</v>
      </c>
      <c r="F2159" s="17" t="s">
        <v>3927</v>
      </c>
      <c r="G2159" s="17" t="s">
        <v>1104</v>
      </c>
      <c r="H2159" s="19"/>
    </row>
    <row r="2160" customFormat="false" ht="15" hidden="false" customHeight="false" outlineLevel="0" collapsed="false">
      <c r="A2160" s="19" t="s">
        <v>2615</v>
      </c>
      <c r="B2160" s="19" t="s">
        <v>4040</v>
      </c>
      <c r="C2160" s="19" t="n">
        <v>16</v>
      </c>
      <c r="D2160" s="19" t="s">
        <v>246</v>
      </c>
      <c r="E2160" s="19" t="n">
        <v>0.7</v>
      </c>
      <c r="F2160" s="17" t="s">
        <v>3929</v>
      </c>
      <c r="G2160" s="17" t="s">
        <v>1104</v>
      </c>
      <c r="H2160" s="19"/>
    </row>
    <row r="2161" customFormat="false" ht="15" hidden="false" customHeight="false" outlineLevel="0" collapsed="false">
      <c r="A2161" s="19" t="s">
        <v>2615</v>
      </c>
      <c r="B2161" s="19" t="s">
        <v>4041</v>
      </c>
      <c r="C2161" s="19" t="n">
        <v>16</v>
      </c>
      <c r="D2161" s="17" t="s">
        <v>861</v>
      </c>
      <c r="E2161" s="19" t="n">
        <v>167.4</v>
      </c>
      <c r="F2161" s="17" t="s">
        <v>4042</v>
      </c>
      <c r="G2161" s="17" t="s">
        <v>1104</v>
      </c>
      <c r="H2161" s="19"/>
    </row>
    <row r="2162" customFormat="false" ht="15" hidden="false" customHeight="false" outlineLevel="0" collapsed="false">
      <c r="A2162" s="19" t="s">
        <v>2615</v>
      </c>
      <c r="B2162" s="19" t="s">
        <v>4043</v>
      </c>
      <c r="C2162" s="19" t="n">
        <v>16</v>
      </c>
      <c r="D2162" s="19" t="s">
        <v>3932</v>
      </c>
      <c r="E2162" s="19" t="n">
        <v>34</v>
      </c>
      <c r="F2162" s="17" t="s">
        <v>4044</v>
      </c>
      <c r="G2162" s="17" t="s">
        <v>1104</v>
      </c>
      <c r="H2162" s="19"/>
    </row>
    <row r="2163" customFormat="false" ht="15" hidden="false" customHeight="false" outlineLevel="0" collapsed="false">
      <c r="A2163" s="19" t="s">
        <v>2615</v>
      </c>
      <c r="B2163" s="19" t="s">
        <v>4045</v>
      </c>
      <c r="C2163" s="19" t="n">
        <v>16</v>
      </c>
      <c r="D2163" s="17" t="s">
        <v>870</v>
      </c>
      <c r="E2163" s="19" t="n">
        <v>89.9008983633776</v>
      </c>
      <c r="F2163" s="17" t="s">
        <v>4046</v>
      </c>
      <c r="G2163" s="17" t="s">
        <v>1104</v>
      </c>
      <c r="H2163" s="19"/>
    </row>
    <row r="2164" customFormat="false" ht="15" hidden="false" customHeight="false" outlineLevel="0" collapsed="false">
      <c r="A2164" s="19" t="s">
        <v>2615</v>
      </c>
      <c r="B2164" s="19" t="s">
        <v>4047</v>
      </c>
      <c r="C2164" s="19" t="n">
        <v>16</v>
      </c>
      <c r="D2164" s="19" t="s">
        <v>777</v>
      </c>
      <c r="E2164" s="19" t="n">
        <v>8</v>
      </c>
      <c r="F2164" s="17" t="s">
        <v>4048</v>
      </c>
      <c r="G2164" s="17" t="s">
        <v>1104</v>
      </c>
      <c r="H2164" s="19"/>
    </row>
    <row r="2165" customFormat="false" ht="15" hidden="false" customHeight="false" outlineLevel="0" collapsed="false">
      <c r="A2165" s="19" t="s">
        <v>2615</v>
      </c>
      <c r="B2165" s="19" t="s">
        <v>4049</v>
      </c>
      <c r="C2165" s="19" t="n">
        <v>16</v>
      </c>
      <c r="D2165" s="19" t="s">
        <v>3906</v>
      </c>
      <c r="E2165" s="19" t="n">
        <v>0.9</v>
      </c>
      <c r="F2165" s="17" t="s">
        <v>4050</v>
      </c>
      <c r="G2165" s="17" t="s">
        <v>1104</v>
      </c>
      <c r="H2165" s="19"/>
    </row>
    <row r="2166" customFormat="false" ht="15" hidden="false" customHeight="false" outlineLevel="0" collapsed="false">
      <c r="A2166" s="19" t="s">
        <v>2615</v>
      </c>
      <c r="B2166" s="19" t="s">
        <v>2175</v>
      </c>
      <c r="C2166" s="19" t="n">
        <v>16</v>
      </c>
      <c r="D2166" s="17" t="s">
        <v>798</v>
      </c>
      <c r="E2166" s="19" t="n">
        <v>43</v>
      </c>
      <c r="F2166" s="17" t="s">
        <v>4051</v>
      </c>
      <c r="G2166" s="17" t="s">
        <v>1104</v>
      </c>
      <c r="H2166" s="19"/>
    </row>
    <row r="2167" customFormat="false" ht="15" hidden="false" customHeight="false" outlineLevel="0" collapsed="false">
      <c r="A2167" s="19" t="s">
        <v>2615</v>
      </c>
      <c r="B2167" s="19" t="s">
        <v>2177</v>
      </c>
      <c r="C2167" s="19" t="n">
        <v>16</v>
      </c>
      <c r="D2167" s="19" t="s">
        <v>800</v>
      </c>
      <c r="E2167" s="19" t="n">
        <v>4096</v>
      </c>
      <c r="F2167" s="17" t="s">
        <v>4052</v>
      </c>
      <c r="G2167" s="17" t="s">
        <v>1104</v>
      </c>
      <c r="H2167" s="19"/>
    </row>
    <row r="2168" customFormat="false" ht="15" hidden="false" customHeight="false" outlineLevel="0" collapsed="false">
      <c r="A2168" s="19" t="s">
        <v>2615</v>
      </c>
      <c r="B2168" s="19" t="s">
        <v>1502</v>
      </c>
      <c r="C2168" s="19" t="n">
        <v>16</v>
      </c>
      <c r="D2168" s="17" t="s">
        <v>802</v>
      </c>
      <c r="E2168" s="19" t="n">
        <v>6</v>
      </c>
      <c r="F2168" s="17" t="s">
        <v>4053</v>
      </c>
      <c r="G2168" s="17" t="s">
        <v>1104</v>
      </c>
      <c r="H2168" s="19"/>
    </row>
    <row r="2169" customFormat="false" ht="15" hidden="false" customHeight="false" outlineLevel="0" collapsed="false">
      <c r="A2169" s="19" t="s">
        <v>2615</v>
      </c>
      <c r="B2169" s="19" t="s">
        <v>4054</v>
      </c>
      <c r="C2169" s="19" t="n">
        <v>16</v>
      </c>
      <c r="D2169" s="19" t="s">
        <v>3911</v>
      </c>
      <c r="E2169" s="19" t="n">
        <v>2795</v>
      </c>
      <c r="F2169" s="17" t="s">
        <v>4055</v>
      </c>
      <c r="G2169" s="17" t="s">
        <v>1104</v>
      </c>
      <c r="H2169" s="19"/>
    </row>
    <row r="2170" customFormat="false" ht="15" hidden="false" customHeight="false" outlineLevel="0" collapsed="false">
      <c r="A2170" s="19" t="s">
        <v>2615</v>
      </c>
      <c r="B2170" s="19" t="s">
        <v>4056</v>
      </c>
      <c r="C2170" s="19" t="n">
        <v>16</v>
      </c>
      <c r="D2170" s="17" t="s">
        <v>812</v>
      </c>
      <c r="E2170" s="19" t="n">
        <v>0.512</v>
      </c>
      <c r="F2170" s="17" t="s">
        <v>4057</v>
      </c>
      <c r="G2170" s="17" t="s">
        <v>1104</v>
      </c>
      <c r="H2170" s="19"/>
    </row>
    <row r="2171" customFormat="false" ht="15" hidden="false" customHeight="false" outlineLevel="0" collapsed="false">
      <c r="A2171" s="19" t="s">
        <v>2615</v>
      </c>
      <c r="B2171" s="19" t="s">
        <v>4058</v>
      </c>
      <c r="C2171" s="19" t="n">
        <v>16</v>
      </c>
      <c r="D2171" s="17" t="s">
        <v>814</v>
      </c>
      <c r="E2171" s="19" t="n">
        <v>4224</v>
      </c>
      <c r="F2171" s="17" t="s">
        <v>4059</v>
      </c>
      <c r="G2171" s="17" t="s">
        <v>1104</v>
      </c>
      <c r="H2171" s="19"/>
    </row>
    <row r="2172" customFormat="false" ht="15" hidden="false" customHeight="false" outlineLevel="0" collapsed="false">
      <c r="A2172" s="19" t="s">
        <v>2615</v>
      </c>
      <c r="B2172" s="19" t="s">
        <v>1745</v>
      </c>
      <c r="C2172" s="19" t="n">
        <v>16</v>
      </c>
      <c r="D2172" s="17" t="s">
        <v>816</v>
      </c>
      <c r="E2172" s="19" t="n">
        <v>128</v>
      </c>
      <c r="F2172" s="17" t="s">
        <v>4060</v>
      </c>
      <c r="G2172" s="17" t="s">
        <v>1104</v>
      </c>
      <c r="H2172" s="19"/>
    </row>
    <row r="2173" customFormat="false" ht="15" hidden="false" customHeight="false" outlineLevel="0" collapsed="false">
      <c r="A2173" s="19" t="s">
        <v>2615</v>
      </c>
      <c r="B2173" s="19" t="s">
        <v>1747</v>
      </c>
      <c r="C2173" s="19" t="n">
        <v>16</v>
      </c>
      <c r="D2173" s="17" t="s">
        <v>818</v>
      </c>
      <c r="E2173" s="19" t="n">
        <v>128</v>
      </c>
      <c r="F2173" s="17" t="s">
        <v>4061</v>
      </c>
      <c r="G2173" s="17" t="s">
        <v>1104</v>
      </c>
      <c r="H2173" s="19"/>
    </row>
    <row r="2174" customFormat="false" ht="15" hidden="false" customHeight="false" outlineLevel="0" collapsed="false">
      <c r="A2174" s="19" t="s">
        <v>2615</v>
      </c>
      <c r="B2174" s="19" t="s">
        <v>1753</v>
      </c>
      <c r="C2174" s="19" t="n">
        <v>16</v>
      </c>
      <c r="D2174" s="19" t="s">
        <v>829</v>
      </c>
      <c r="E2174" s="19" t="n">
        <v>8704</v>
      </c>
      <c r="F2174" s="17" t="s">
        <v>4062</v>
      </c>
      <c r="G2174" s="17" t="s">
        <v>1104</v>
      </c>
      <c r="H2174" s="19"/>
    </row>
    <row r="2175" customFormat="false" ht="15" hidden="false" customHeight="false" outlineLevel="0" collapsed="false">
      <c r="A2175" s="19" t="s">
        <v>2615</v>
      </c>
      <c r="B2175" s="19" t="s">
        <v>1755</v>
      </c>
      <c r="C2175" s="19" t="n">
        <v>16</v>
      </c>
      <c r="D2175" s="19" t="s">
        <v>832</v>
      </c>
      <c r="E2175" s="19" t="n">
        <v>4096</v>
      </c>
      <c r="F2175" s="17" t="s">
        <v>4063</v>
      </c>
      <c r="G2175" s="17" t="s">
        <v>1104</v>
      </c>
      <c r="H2175" s="19"/>
    </row>
    <row r="2176" customFormat="false" ht="15" hidden="false" customHeight="false" outlineLevel="0" collapsed="false">
      <c r="A2176" s="19" t="s">
        <v>2615</v>
      </c>
      <c r="B2176" s="19" t="s">
        <v>2186</v>
      </c>
      <c r="C2176" s="19" t="n">
        <v>16</v>
      </c>
      <c r="D2176" s="19" t="s">
        <v>3919</v>
      </c>
      <c r="E2176" s="19" t="n">
        <v>1</v>
      </c>
      <c r="F2176" s="17" t="s">
        <v>3920</v>
      </c>
      <c r="G2176" s="17" t="s">
        <v>1104</v>
      </c>
      <c r="H2176" s="19"/>
    </row>
    <row r="2177" customFormat="false" ht="15" hidden="false" customHeight="false" outlineLevel="0" collapsed="false">
      <c r="A2177" s="19" t="s">
        <v>2615</v>
      </c>
      <c r="B2177" s="19" t="s">
        <v>1594</v>
      </c>
      <c r="C2177" s="19" t="n">
        <v>16</v>
      </c>
      <c r="D2177" s="19" t="s">
        <v>3850</v>
      </c>
      <c r="E2177" s="19" t="n">
        <v>0.0357550334998836</v>
      </c>
      <c r="F2177" s="17" t="s">
        <v>4064</v>
      </c>
      <c r="G2177" s="17" t="s">
        <v>1104</v>
      </c>
      <c r="H2177" s="19"/>
    </row>
    <row r="2178" customFormat="false" ht="15" hidden="false" customHeight="false" outlineLevel="0" collapsed="false">
      <c r="A2178" s="19" t="s">
        <v>2615</v>
      </c>
      <c r="B2178" s="19" t="s">
        <v>4065</v>
      </c>
      <c r="C2178" s="19" t="n">
        <v>16</v>
      </c>
      <c r="D2178" s="19" t="s">
        <v>3923</v>
      </c>
      <c r="E2178" s="19" t="n">
        <v>3</v>
      </c>
      <c r="F2178" s="17" t="s">
        <v>3924</v>
      </c>
      <c r="G2178" s="17" t="s">
        <v>1104</v>
      </c>
      <c r="H2178" s="19"/>
    </row>
    <row r="2179" customFormat="false" ht="15" hidden="false" customHeight="false" outlineLevel="0" collapsed="false">
      <c r="A2179" s="19" t="s">
        <v>2615</v>
      </c>
      <c r="B2179" s="19" t="s">
        <v>4066</v>
      </c>
      <c r="C2179" s="19" t="n">
        <v>16</v>
      </c>
      <c r="D2179" s="19" t="s">
        <v>3926</v>
      </c>
      <c r="E2179" s="19" t="n">
        <v>0.7</v>
      </c>
      <c r="F2179" s="17" t="s">
        <v>3927</v>
      </c>
      <c r="G2179" s="17" t="s">
        <v>1104</v>
      </c>
      <c r="H2179" s="19"/>
    </row>
    <row r="2180" customFormat="false" ht="15" hidden="false" customHeight="false" outlineLevel="0" collapsed="false">
      <c r="A2180" s="19" t="s">
        <v>2615</v>
      </c>
      <c r="B2180" s="19" t="s">
        <v>4067</v>
      </c>
      <c r="C2180" s="19" t="n">
        <v>16</v>
      </c>
      <c r="D2180" s="19" t="s">
        <v>246</v>
      </c>
      <c r="E2180" s="19" t="n">
        <v>0.7</v>
      </c>
      <c r="F2180" s="17" t="s">
        <v>3929</v>
      </c>
      <c r="G2180" s="17" t="s">
        <v>1104</v>
      </c>
      <c r="H2180" s="19"/>
    </row>
    <row r="2181" customFormat="false" ht="15" hidden="false" customHeight="false" outlineLevel="0" collapsed="false">
      <c r="A2181" s="19" t="s">
        <v>2615</v>
      </c>
      <c r="B2181" s="19" t="s">
        <v>4068</v>
      </c>
      <c r="C2181" s="19" t="n">
        <v>16</v>
      </c>
      <c r="D2181" s="17" t="s">
        <v>861</v>
      </c>
      <c r="E2181" s="19" t="n">
        <v>259.2</v>
      </c>
      <c r="F2181" s="17" t="s">
        <v>4069</v>
      </c>
      <c r="G2181" s="17" t="s">
        <v>1104</v>
      </c>
      <c r="H2181" s="19"/>
    </row>
    <row r="2182" customFormat="false" ht="15" hidden="false" customHeight="false" outlineLevel="0" collapsed="false">
      <c r="A2182" s="19" t="s">
        <v>2615</v>
      </c>
      <c r="B2182" s="19" t="s">
        <v>4070</v>
      </c>
      <c r="C2182" s="19" t="n">
        <v>16</v>
      </c>
      <c r="D2182" s="19" t="s">
        <v>3932</v>
      </c>
      <c r="E2182" s="19" t="n">
        <v>32</v>
      </c>
      <c r="F2182" s="17" t="s">
        <v>4071</v>
      </c>
      <c r="G2182" s="17" t="s">
        <v>1104</v>
      </c>
      <c r="H2182" s="19"/>
    </row>
    <row r="2183" customFormat="false" ht="15" hidden="false" customHeight="false" outlineLevel="0" collapsed="false">
      <c r="A2183" s="19" t="s">
        <v>2615</v>
      </c>
      <c r="B2183" s="19" t="s">
        <v>4072</v>
      </c>
      <c r="C2183" s="19" t="n">
        <v>16</v>
      </c>
      <c r="D2183" s="17" t="s">
        <v>870</v>
      </c>
      <c r="E2183" s="19" t="n">
        <v>10.3090546875</v>
      </c>
      <c r="F2183" s="17" t="s">
        <v>4073</v>
      </c>
      <c r="G2183" s="17" t="s">
        <v>1104</v>
      </c>
      <c r="H2183" s="19"/>
    </row>
    <row r="2184" customFormat="false" ht="15" hidden="false" customHeight="false" outlineLevel="0" collapsed="false">
      <c r="A2184" s="19" t="s">
        <v>2615</v>
      </c>
      <c r="B2184" s="19" t="s">
        <v>4074</v>
      </c>
      <c r="C2184" s="19" t="n">
        <v>16</v>
      </c>
      <c r="D2184" s="19" t="s">
        <v>777</v>
      </c>
      <c r="E2184" s="19" t="n">
        <v>8</v>
      </c>
      <c r="F2184" s="17" t="s">
        <v>4075</v>
      </c>
      <c r="G2184" s="17" t="s">
        <v>1104</v>
      </c>
      <c r="H2184" s="19"/>
    </row>
    <row r="2185" customFormat="false" ht="15" hidden="false" customHeight="false" outlineLevel="0" collapsed="false">
      <c r="A2185" s="19" t="s">
        <v>2615</v>
      </c>
      <c r="B2185" s="19" t="s">
        <v>4076</v>
      </c>
      <c r="C2185" s="19" t="n">
        <v>16</v>
      </c>
      <c r="D2185" s="19" t="s">
        <v>3906</v>
      </c>
      <c r="E2185" s="19" t="n">
        <v>0.9</v>
      </c>
      <c r="F2185" s="17" t="s">
        <v>4077</v>
      </c>
      <c r="G2185" s="17" t="s">
        <v>1104</v>
      </c>
      <c r="H2185" s="19"/>
    </row>
    <row r="2186" customFormat="false" ht="15" hidden="false" customHeight="false" outlineLevel="0" collapsed="false">
      <c r="A2186" s="19" t="s">
        <v>2615</v>
      </c>
      <c r="B2186" s="19" t="s">
        <v>2198</v>
      </c>
      <c r="C2186" s="19" t="n">
        <v>16</v>
      </c>
      <c r="D2186" s="17" t="s">
        <v>798</v>
      </c>
      <c r="E2186" s="19" t="n">
        <v>61</v>
      </c>
      <c r="F2186" s="17" t="s">
        <v>4078</v>
      </c>
      <c r="G2186" s="17" t="s">
        <v>1104</v>
      </c>
      <c r="H2186" s="19"/>
    </row>
    <row r="2187" customFormat="false" ht="15" hidden="false" customHeight="false" outlineLevel="0" collapsed="false">
      <c r="A2187" s="19" t="s">
        <v>2615</v>
      </c>
      <c r="B2187" s="19" t="s">
        <v>2200</v>
      </c>
      <c r="C2187" s="19" t="n">
        <v>16</v>
      </c>
      <c r="D2187" s="19" t="s">
        <v>800</v>
      </c>
      <c r="E2187" s="19" t="n">
        <v>7168</v>
      </c>
      <c r="F2187" s="17" t="s">
        <v>4079</v>
      </c>
      <c r="G2187" s="17" t="s">
        <v>1104</v>
      </c>
      <c r="H2187" s="19"/>
    </row>
    <row r="2188" customFormat="false" ht="15" hidden="false" customHeight="false" outlineLevel="0" collapsed="false">
      <c r="A2188" s="19" t="s">
        <v>2615</v>
      </c>
      <c r="B2188" s="19" t="s">
        <v>1508</v>
      </c>
      <c r="C2188" s="19" t="n">
        <v>16</v>
      </c>
      <c r="D2188" s="17" t="s">
        <v>802</v>
      </c>
      <c r="E2188" s="19" t="n">
        <v>6</v>
      </c>
      <c r="F2188" s="17" t="s">
        <v>4080</v>
      </c>
      <c r="G2188" s="17" t="s">
        <v>1104</v>
      </c>
      <c r="H2188" s="19"/>
    </row>
    <row r="2189" customFormat="false" ht="15" hidden="false" customHeight="false" outlineLevel="0" collapsed="false">
      <c r="A2189" s="19" t="s">
        <v>2615</v>
      </c>
      <c r="B2189" s="19" t="s">
        <v>4081</v>
      </c>
      <c r="C2189" s="19" t="n">
        <v>16</v>
      </c>
      <c r="D2189" s="19" t="s">
        <v>3911</v>
      </c>
      <c r="E2189" s="19" t="n">
        <v>3965</v>
      </c>
      <c r="F2189" s="17" t="s">
        <v>4082</v>
      </c>
      <c r="G2189" s="17" t="s">
        <v>1104</v>
      </c>
      <c r="H2189" s="19"/>
    </row>
    <row r="2190" customFormat="false" ht="15" hidden="false" customHeight="false" outlineLevel="0" collapsed="false">
      <c r="A2190" s="19" t="s">
        <v>2615</v>
      </c>
      <c r="B2190" s="19" t="s">
        <v>4083</v>
      </c>
      <c r="C2190" s="19" t="n">
        <v>16</v>
      </c>
      <c r="D2190" s="17" t="s">
        <v>812</v>
      </c>
      <c r="E2190" s="19" t="n">
        <v>0.492</v>
      </c>
      <c r="F2190" s="17" t="s">
        <v>4084</v>
      </c>
      <c r="G2190" s="17" t="s">
        <v>1104</v>
      </c>
      <c r="H2190" s="19"/>
    </row>
    <row r="2191" customFormat="false" ht="15" hidden="false" customHeight="false" outlineLevel="0" collapsed="false">
      <c r="A2191" s="19" t="s">
        <v>2615</v>
      </c>
      <c r="B2191" s="19" t="s">
        <v>4085</v>
      </c>
      <c r="C2191" s="19" t="n">
        <v>16</v>
      </c>
      <c r="D2191" s="17" t="s">
        <v>814</v>
      </c>
      <c r="E2191" s="19" t="n">
        <v>4224</v>
      </c>
      <c r="F2191" s="17" t="s">
        <v>4086</v>
      </c>
      <c r="G2191" s="17" t="s">
        <v>1104</v>
      </c>
      <c r="H2191" s="19"/>
    </row>
    <row r="2192" customFormat="false" ht="15" hidden="false" customHeight="false" outlineLevel="0" collapsed="false">
      <c r="A2192" s="19" t="s">
        <v>2615</v>
      </c>
      <c r="B2192" s="19" t="s">
        <v>1761</v>
      </c>
      <c r="C2192" s="19" t="n">
        <v>16</v>
      </c>
      <c r="D2192" s="17" t="s">
        <v>816</v>
      </c>
      <c r="E2192" s="19" t="n">
        <v>128</v>
      </c>
      <c r="F2192" s="17" t="s">
        <v>4087</v>
      </c>
      <c r="G2192" s="17" t="s">
        <v>1104</v>
      </c>
      <c r="H2192" s="19"/>
    </row>
    <row r="2193" customFormat="false" ht="15" hidden="false" customHeight="false" outlineLevel="0" collapsed="false">
      <c r="A2193" s="19" t="s">
        <v>2615</v>
      </c>
      <c r="B2193" s="19" t="s">
        <v>1763</v>
      </c>
      <c r="C2193" s="19" t="n">
        <v>16</v>
      </c>
      <c r="D2193" s="17" t="s">
        <v>818</v>
      </c>
      <c r="E2193" s="19" t="n">
        <v>128</v>
      </c>
      <c r="F2193" s="17" t="s">
        <v>4088</v>
      </c>
      <c r="G2193" s="17" t="s">
        <v>1104</v>
      </c>
      <c r="H2193" s="19"/>
    </row>
    <row r="2194" customFormat="false" ht="15" hidden="false" customHeight="false" outlineLevel="0" collapsed="false">
      <c r="A2194" s="19" t="s">
        <v>2615</v>
      </c>
      <c r="B2194" s="19" t="s">
        <v>1769</v>
      </c>
      <c r="C2194" s="19" t="n">
        <v>16</v>
      </c>
      <c r="D2194" s="19" t="s">
        <v>829</v>
      </c>
      <c r="E2194" s="19" t="n">
        <v>17408</v>
      </c>
      <c r="F2194" s="17" t="s">
        <v>4089</v>
      </c>
      <c r="G2194" s="17" t="s">
        <v>1104</v>
      </c>
      <c r="H2194" s="19"/>
    </row>
    <row r="2195" customFormat="false" ht="15" hidden="false" customHeight="false" outlineLevel="0" collapsed="false">
      <c r="A2195" s="19" t="s">
        <v>2615</v>
      </c>
      <c r="B2195" s="19" t="s">
        <v>1771</v>
      </c>
      <c r="C2195" s="19" t="n">
        <v>16</v>
      </c>
      <c r="D2195" s="19" t="s">
        <v>832</v>
      </c>
      <c r="E2195" s="19" t="n">
        <v>8192</v>
      </c>
      <c r="F2195" s="17" t="s">
        <v>4090</v>
      </c>
      <c r="G2195" s="17" t="s">
        <v>1104</v>
      </c>
      <c r="H2195" s="19"/>
    </row>
    <row r="2196" customFormat="false" ht="15" hidden="false" customHeight="false" outlineLevel="0" collapsed="false">
      <c r="A2196" s="19" t="s">
        <v>2615</v>
      </c>
      <c r="B2196" s="19" t="s">
        <v>2209</v>
      </c>
      <c r="C2196" s="19" t="n">
        <v>16</v>
      </c>
      <c r="D2196" s="19" t="s">
        <v>3919</v>
      </c>
      <c r="E2196" s="19" t="n">
        <v>1</v>
      </c>
      <c r="F2196" s="17" t="s">
        <v>3920</v>
      </c>
      <c r="G2196" s="17" t="s">
        <v>1104</v>
      </c>
      <c r="H2196" s="19"/>
    </row>
    <row r="2197" customFormat="false" ht="15" hidden="false" customHeight="false" outlineLevel="0" collapsed="false">
      <c r="A2197" s="19" t="s">
        <v>2615</v>
      </c>
      <c r="B2197" s="19" t="s">
        <v>1600</v>
      </c>
      <c r="C2197" s="19" t="n">
        <v>16</v>
      </c>
      <c r="D2197" s="19" t="s">
        <v>3850</v>
      </c>
      <c r="E2197" s="19" t="n">
        <v>0.0357550334998836</v>
      </c>
      <c r="F2197" s="17" t="s">
        <v>4091</v>
      </c>
      <c r="G2197" s="17" t="s">
        <v>1104</v>
      </c>
      <c r="H2197" s="19"/>
    </row>
    <row r="2198" customFormat="false" ht="15" hidden="false" customHeight="false" outlineLevel="0" collapsed="false">
      <c r="A2198" s="19" t="s">
        <v>2615</v>
      </c>
      <c r="B2198" s="19" t="s">
        <v>4092</v>
      </c>
      <c r="C2198" s="19" t="n">
        <v>16</v>
      </c>
      <c r="D2198" s="19" t="s">
        <v>3923</v>
      </c>
      <c r="E2198" s="19" t="n">
        <v>3</v>
      </c>
      <c r="F2198" s="17" t="s">
        <v>3924</v>
      </c>
      <c r="G2198" s="17" t="s">
        <v>1104</v>
      </c>
      <c r="H2198" s="19"/>
    </row>
    <row r="2199" customFormat="false" ht="15" hidden="false" customHeight="false" outlineLevel="0" collapsed="false">
      <c r="A2199" s="19" t="s">
        <v>2615</v>
      </c>
      <c r="B2199" s="19" t="s">
        <v>4093</v>
      </c>
      <c r="C2199" s="19" t="n">
        <v>16</v>
      </c>
      <c r="D2199" s="19" t="s">
        <v>3926</v>
      </c>
      <c r="E2199" s="19" t="n">
        <v>0.7</v>
      </c>
      <c r="F2199" s="17" t="s">
        <v>3927</v>
      </c>
      <c r="G2199" s="17" t="s">
        <v>1104</v>
      </c>
      <c r="H2199" s="19"/>
    </row>
    <row r="2200" customFormat="false" ht="15" hidden="false" customHeight="false" outlineLevel="0" collapsed="false">
      <c r="A2200" s="19" t="s">
        <v>2615</v>
      </c>
      <c r="B2200" s="19" t="s">
        <v>4094</v>
      </c>
      <c r="C2200" s="19" t="n">
        <v>16</v>
      </c>
      <c r="D2200" s="19" t="s">
        <v>246</v>
      </c>
      <c r="E2200" s="19" t="n">
        <v>0.7</v>
      </c>
      <c r="F2200" s="17" t="s">
        <v>3929</v>
      </c>
      <c r="G2200" s="17" t="s">
        <v>1104</v>
      </c>
      <c r="H2200" s="19"/>
    </row>
    <row r="2201" customFormat="false" ht="15" hidden="false" customHeight="false" outlineLevel="0" collapsed="false">
      <c r="A2201" s="19" t="s">
        <v>2615</v>
      </c>
      <c r="B2201" s="19" t="s">
        <v>4095</v>
      </c>
      <c r="C2201" s="19" t="n">
        <v>16</v>
      </c>
      <c r="D2201" s="17" t="s">
        <v>861</v>
      </c>
      <c r="E2201" s="19" t="n">
        <v>259.2</v>
      </c>
      <c r="F2201" s="17" t="s">
        <v>4096</v>
      </c>
      <c r="G2201" s="17" t="s">
        <v>1104</v>
      </c>
      <c r="H2201" s="19"/>
    </row>
    <row r="2202" customFormat="false" ht="15" hidden="false" customHeight="false" outlineLevel="0" collapsed="false">
      <c r="A2202" s="19" t="s">
        <v>2615</v>
      </c>
      <c r="B2202" s="19" t="s">
        <v>4097</v>
      </c>
      <c r="C2202" s="19" t="n">
        <v>16</v>
      </c>
      <c r="D2202" s="19" t="s">
        <v>3932</v>
      </c>
      <c r="E2202" s="19" t="n">
        <v>32</v>
      </c>
      <c r="F2202" s="17" t="s">
        <v>4098</v>
      </c>
      <c r="G2202" s="17" t="s">
        <v>1104</v>
      </c>
      <c r="H2202" s="19"/>
    </row>
    <row r="2203" customFormat="false" ht="15" hidden="false" customHeight="false" outlineLevel="0" collapsed="false">
      <c r="A2203" s="19" t="s">
        <v>2615</v>
      </c>
      <c r="B2203" s="19" t="s">
        <v>4099</v>
      </c>
      <c r="C2203" s="19" t="n">
        <v>16</v>
      </c>
      <c r="D2203" s="17" t="s">
        <v>870</v>
      </c>
      <c r="E2203" s="19" t="n">
        <v>48.0463324652778</v>
      </c>
      <c r="F2203" s="17" t="s">
        <v>4100</v>
      </c>
      <c r="G2203" s="17" t="s">
        <v>1104</v>
      </c>
      <c r="H2203" s="19"/>
    </row>
    <row r="2204" customFormat="false" ht="15" hidden="false" customHeight="false" outlineLevel="0" collapsed="false">
      <c r="A2204" s="19" t="s">
        <v>2615</v>
      </c>
      <c r="B2204" s="19" t="s">
        <v>4101</v>
      </c>
      <c r="C2204" s="19" t="n">
        <v>16</v>
      </c>
      <c r="D2204" s="19" t="s">
        <v>777</v>
      </c>
      <c r="E2204" s="19" t="n">
        <v>8</v>
      </c>
      <c r="F2204" s="17" t="s">
        <v>4102</v>
      </c>
      <c r="G2204" s="17" t="s">
        <v>1104</v>
      </c>
      <c r="H2204" s="19"/>
    </row>
    <row r="2205" customFormat="false" ht="15" hidden="false" customHeight="false" outlineLevel="0" collapsed="false">
      <c r="A2205" s="19" t="s">
        <v>2615</v>
      </c>
      <c r="B2205" s="19" t="s">
        <v>4103</v>
      </c>
      <c r="C2205" s="19" t="n">
        <v>16</v>
      </c>
      <c r="D2205" s="19" t="s">
        <v>3906</v>
      </c>
      <c r="E2205" s="19" t="n">
        <v>0.9</v>
      </c>
      <c r="F2205" s="17" t="s">
        <v>4104</v>
      </c>
      <c r="G2205" s="17" t="s">
        <v>1104</v>
      </c>
      <c r="H2205" s="19"/>
    </row>
    <row r="2206" customFormat="false" ht="15" hidden="false" customHeight="false" outlineLevel="0" collapsed="false">
      <c r="A2206" s="19" t="s">
        <v>2615</v>
      </c>
      <c r="B2206" s="19" t="s">
        <v>2221</v>
      </c>
      <c r="C2206" s="19" t="n">
        <v>16</v>
      </c>
      <c r="D2206" s="17" t="s">
        <v>798</v>
      </c>
      <c r="E2206" s="19" t="n">
        <v>100</v>
      </c>
      <c r="F2206" s="17" t="s">
        <v>4105</v>
      </c>
      <c r="G2206" s="17" t="s">
        <v>1104</v>
      </c>
      <c r="H2206" s="19"/>
    </row>
    <row r="2207" customFormat="false" ht="15" hidden="false" customHeight="false" outlineLevel="0" collapsed="false">
      <c r="A2207" s="19" t="s">
        <v>2615</v>
      </c>
      <c r="B2207" s="19" t="s">
        <v>2223</v>
      </c>
      <c r="C2207" s="19" t="n">
        <v>16</v>
      </c>
      <c r="D2207" s="19" t="s">
        <v>800</v>
      </c>
      <c r="E2207" s="19" t="n">
        <v>12288</v>
      </c>
      <c r="F2207" s="17" t="s">
        <v>4106</v>
      </c>
      <c r="G2207" s="17" t="s">
        <v>1104</v>
      </c>
      <c r="H2207" s="19"/>
    </row>
    <row r="2208" customFormat="false" ht="15" hidden="false" customHeight="false" outlineLevel="0" collapsed="false">
      <c r="A2208" s="19" t="s">
        <v>2615</v>
      </c>
      <c r="B2208" s="19" t="s">
        <v>1514</v>
      </c>
      <c r="C2208" s="19" t="n">
        <v>16</v>
      </c>
      <c r="D2208" s="17" t="s">
        <v>802</v>
      </c>
      <c r="E2208" s="19" t="n">
        <v>16</v>
      </c>
      <c r="F2208" s="17" t="s">
        <v>4107</v>
      </c>
      <c r="G2208" s="17" t="s">
        <v>1104</v>
      </c>
      <c r="H2208" s="19"/>
    </row>
    <row r="2209" customFormat="false" ht="15" hidden="false" customHeight="false" outlineLevel="0" collapsed="false">
      <c r="A2209" s="19" t="s">
        <v>2615</v>
      </c>
      <c r="B2209" s="19" t="s">
        <v>4108</v>
      </c>
      <c r="C2209" s="19" t="n">
        <v>16</v>
      </c>
      <c r="D2209" s="19" t="s">
        <v>3911</v>
      </c>
      <c r="E2209" s="19" t="n">
        <v>57600</v>
      </c>
      <c r="F2209" s="17" t="s">
        <v>4109</v>
      </c>
      <c r="G2209" s="17" t="s">
        <v>1104</v>
      </c>
      <c r="H2209" s="19"/>
    </row>
    <row r="2210" customFormat="false" ht="15" hidden="false" customHeight="false" outlineLevel="0" collapsed="false">
      <c r="A2210" s="19" t="s">
        <v>2615</v>
      </c>
      <c r="B2210" s="19" t="s">
        <v>4110</v>
      </c>
      <c r="C2210" s="19" t="n">
        <v>16</v>
      </c>
      <c r="D2210" s="17" t="s">
        <v>812</v>
      </c>
      <c r="E2210" s="19" t="n">
        <v>1</v>
      </c>
      <c r="F2210" s="17" t="s">
        <v>4111</v>
      </c>
      <c r="G2210" s="17" t="s">
        <v>1104</v>
      </c>
      <c r="H2210" s="19"/>
    </row>
    <row r="2211" customFormat="false" ht="15" hidden="false" customHeight="false" outlineLevel="0" collapsed="false">
      <c r="A2211" s="19" t="s">
        <v>2615</v>
      </c>
      <c r="B2211" s="19" t="s">
        <v>4112</v>
      </c>
      <c r="C2211" s="19" t="n">
        <v>16</v>
      </c>
      <c r="D2211" s="17" t="s">
        <v>814</v>
      </c>
      <c r="E2211" s="19" t="n">
        <v>0</v>
      </c>
      <c r="F2211" s="17" t="s">
        <v>4113</v>
      </c>
      <c r="G2211" s="17" t="s">
        <v>1104</v>
      </c>
      <c r="H2211" s="19"/>
    </row>
    <row r="2212" customFormat="false" ht="15" hidden="false" customHeight="false" outlineLevel="0" collapsed="false">
      <c r="A2212" s="19" t="s">
        <v>2615</v>
      </c>
      <c r="B2212" s="19" t="s">
        <v>1777</v>
      </c>
      <c r="C2212" s="19" t="n">
        <v>16</v>
      </c>
      <c r="D2212" s="17" t="s">
        <v>816</v>
      </c>
      <c r="E2212" s="19" t="n">
        <v>1</v>
      </c>
      <c r="F2212" s="17" t="s">
        <v>4114</v>
      </c>
      <c r="G2212" s="17" t="s">
        <v>1104</v>
      </c>
      <c r="H2212" s="19"/>
    </row>
    <row r="2213" customFormat="false" ht="15" hidden="false" customHeight="false" outlineLevel="0" collapsed="false">
      <c r="A2213" s="19" t="s">
        <v>2615</v>
      </c>
      <c r="B2213" s="19" t="s">
        <v>1779</v>
      </c>
      <c r="C2213" s="19" t="n">
        <v>16</v>
      </c>
      <c r="D2213" s="17" t="s">
        <v>818</v>
      </c>
      <c r="E2213" s="19" t="n">
        <v>0</v>
      </c>
      <c r="F2213" s="17" t="s">
        <v>4115</v>
      </c>
      <c r="G2213" s="17" t="s">
        <v>1104</v>
      </c>
      <c r="H2213" s="19"/>
    </row>
    <row r="2214" customFormat="false" ht="15" hidden="false" customHeight="false" outlineLevel="0" collapsed="false">
      <c r="A2214" s="19" t="s">
        <v>2615</v>
      </c>
      <c r="B2214" s="19" t="s">
        <v>1785</v>
      </c>
      <c r="C2214" s="19" t="n">
        <v>16</v>
      </c>
      <c r="D2214" s="19" t="s">
        <v>829</v>
      </c>
      <c r="E2214" s="19" t="n">
        <v>34816</v>
      </c>
      <c r="F2214" s="17" t="s">
        <v>4116</v>
      </c>
      <c r="G2214" s="17" t="s">
        <v>1104</v>
      </c>
      <c r="H2214" s="19"/>
    </row>
    <row r="2215" customFormat="false" ht="15" hidden="false" customHeight="false" outlineLevel="0" collapsed="false">
      <c r="A2215" s="19" t="s">
        <v>2615</v>
      </c>
      <c r="B2215" s="19" t="s">
        <v>1787</v>
      </c>
      <c r="C2215" s="19" t="n">
        <v>16</v>
      </c>
      <c r="D2215" s="19" t="s">
        <v>832</v>
      </c>
      <c r="E2215" s="19" t="n">
        <v>16384</v>
      </c>
      <c r="F2215" s="17" t="s">
        <v>4117</v>
      </c>
      <c r="G2215" s="17" t="s">
        <v>1104</v>
      </c>
      <c r="H2215" s="19"/>
    </row>
    <row r="2216" customFormat="false" ht="15" hidden="false" customHeight="false" outlineLevel="0" collapsed="false">
      <c r="A2216" s="19" t="s">
        <v>2615</v>
      </c>
      <c r="B2216" s="19" t="s">
        <v>2232</v>
      </c>
      <c r="C2216" s="19" t="n">
        <v>16</v>
      </c>
      <c r="D2216" s="19" t="s">
        <v>3919</v>
      </c>
      <c r="E2216" s="19" t="n">
        <v>1</v>
      </c>
      <c r="F2216" s="17" t="s">
        <v>3920</v>
      </c>
      <c r="G2216" s="17" t="s">
        <v>1104</v>
      </c>
      <c r="H2216" s="19"/>
    </row>
    <row r="2217" customFormat="false" ht="15" hidden="false" customHeight="false" outlineLevel="0" collapsed="false">
      <c r="A2217" s="19" t="s">
        <v>2615</v>
      </c>
      <c r="B2217" s="19" t="s">
        <v>1606</v>
      </c>
      <c r="C2217" s="19" t="n">
        <v>16</v>
      </c>
      <c r="D2217" s="19" t="s">
        <v>3850</v>
      </c>
      <c r="E2217" s="19" t="n">
        <v>0.0357550334998836</v>
      </c>
      <c r="F2217" s="17" t="s">
        <v>4118</v>
      </c>
      <c r="G2217" s="17" t="s">
        <v>1104</v>
      </c>
      <c r="H2217" s="19"/>
    </row>
    <row r="2218" customFormat="false" ht="15" hidden="false" customHeight="false" outlineLevel="0" collapsed="false">
      <c r="A2218" s="19" t="s">
        <v>2615</v>
      </c>
      <c r="B2218" s="19" t="s">
        <v>4119</v>
      </c>
      <c r="C2218" s="19" t="n">
        <v>16</v>
      </c>
      <c r="D2218" s="19" t="s">
        <v>3923</v>
      </c>
      <c r="E2218" s="19" t="n">
        <v>3</v>
      </c>
      <c r="F2218" s="17" t="s">
        <v>3924</v>
      </c>
      <c r="G2218" s="17" t="s">
        <v>1104</v>
      </c>
      <c r="H2218" s="19"/>
    </row>
    <row r="2219" customFormat="false" ht="15" hidden="false" customHeight="false" outlineLevel="0" collapsed="false">
      <c r="A2219" s="19" t="s">
        <v>2615</v>
      </c>
      <c r="B2219" s="19" t="s">
        <v>4120</v>
      </c>
      <c r="C2219" s="19" t="n">
        <v>16</v>
      </c>
      <c r="D2219" s="19" t="s">
        <v>3926</v>
      </c>
      <c r="E2219" s="19" t="n">
        <v>0.7</v>
      </c>
      <c r="F2219" s="17" t="s">
        <v>3927</v>
      </c>
      <c r="G2219" s="17" t="s">
        <v>1104</v>
      </c>
      <c r="H2219" s="19"/>
    </row>
    <row r="2220" customFormat="false" ht="15" hidden="false" customHeight="false" outlineLevel="0" collapsed="false">
      <c r="A2220" s="19" t="s">
        <v>2615</v>
      </c>
      <c r="B2220" s="19" t="s">
        <v>4121</v>
      </c>
      <c r="C2220" s="19" t="n">
        <v>16</v>
      </c>
      <c r="D2220" s="19" t="s">
        <v>246</v>
      </c>
      <c r="E2220" s="19" t="n">
        <v>0.7</v>
      </c>
      <c r="F2220" s="17" t="s">
        <v>3929</v>
      </c>
      <c r="G2220" s="17" t="s">
        <v>1104</v>
      </c>
      <c r="H2220" s="19"/>
    </row>
    <row r="2221" customFormat="false" ht="15" hidden="false" customHeight="false" outlineLevel="0" collapsed="false">
      <c r="A2221" s="19" t="s">
        <v>2615</v>
      </c>
      <c r="B2221" s="19" t="s">
        <v>4122</v>
      </c>
      <c r="C2221" s="19" t="n">
        <v>16</v>
      </c>
      <c r="D2221" s="17" t="s">
        <v>861</v>
      </c>
      <c r="E2221" s="19" t="n">
        <v>259.2</v>
      </c>
      <c r="F2221" s="17" t="s">
        <v>4123</v>
      </c>
      <c r="G2221" s="17" t="s">
        <v>1104</v>
      </c>
      <c r="H2221" s="19"/>
    </row>
    <row r="2222" customFormat="false" ht="15" hidden="false" customHeight="false" outlineLevel="0" collapsed="false">
      <c r="A2222" s="19" t="s">
        <v>2615</v>
      </c>
      <c r="B2222" s="19" t="s">
        <v>4124</v>
      </c>
      <c r="C2222" s="19" t="n">
        <v>16</v>
      </c>
      <c r="D2222" s="19" t="s">
        <v>3932</v>
      </c>
      <c r="E2222" s="19" t="n">
        <v>32</v>
      </c>
      <c r="F2222" s="17" t="s">
        <v>4125</v>
      </c>
      <c r="G2222" s="17" t="s">
        <v>1104</v>
      </c>
      <c r="H2222" s="19"/>
    </row>
    <row r="2223" customFormat="false" ht="15" hidden="false" customHeight="false" outlineLevel="0" collapsed="false">
      <c r="A2223" s="19" t="s">
        <v>2615</v>
      </c>
      <c r="B2223" s="19" t="s">
        <v>4126</v>
      </c>
      <c r="C2223" s="19" t="n">
        <v>16</v>
      </c>
      <c r="D2223" s="17" t="s">
        <v>870</v>
      </c>
      <c r="E2223" s="19" t="n">
        <v>118.522476688508</v>
      </c>
      <c r="F2223" s="17" t="s">
        <v>4127</v>
      </c>
      <c r="G2223" s="17" t="s">
        <v>1104</v>
      </c>
      <c r="H2223" s="19"/>
    </row>
    <row r="2224" customFormat="false" ht="15" hidden="false" customHeight="false" outlineLevel="0" collapsed="false">
      <c r="A2224" s="19" t="s">
        <v>2615</v>
      </c>
      <c r="B2224" s="19" t="s">
        <v>4128</v>
      </c>
      <c r="C2224" s="19" t="n">
        <v>16</v>
      </c>
      <c r="D2224" s="19" t="s">
        <v>777</v>
      </c>
      <c r="E2224" s="19" t="n">
        <v>22</v>
      </c>
      <c r="F2224" s="17" t="s">
        <v>4129</v>
      </c>
      <c r="G2224" s="17" t="s">
        <v>1104</v>
      </c>
      <c r="H2224" s="19"/>
    </row>
    <row r="2225" customFormat="false" ht="15" hidden="false" customHeight="false" outlineLevel="0" collapsed="false">
      <c r="A2225" s="19" t="s">
        <v>2615</v>
      </c>
      <c r="B2225" s="19" t="s">
        <v>4130</v>
      </c>
      <c r="C2225" s="19" t="n">
        <v>16</v>
      </c>
      <c r="D2225" s="19" t="s">
        <v>3906</v>
      </c>
      <c r="E2225" s="19" t="n">
        <v>1.8</v>
      </c>
      <c r="F2225" s="17" t="s">
        <v>4131</v>
      </c>
      <c r="G2225" s="17" t="s">
        <v>1104</v>
      </c>
      <c r="H2225" s="19"/>
    </row>
    <row r="2226" customFormat="false" ht="15" hidden="false" customHeight="false" outlineLevel="0" collapsed="false">
      <c r="A2226" s="19" t="s">
        <v>2615</v>
      </c>
      <c r="B2226" s="19" t="s">
        <v>2244</v>
      </c>
      <c r="C2226" s="19" t="n">
        <v>16</v>
      </c>
      <c r="D2226" s="17" t="s">
        <v>798</v>
      </c>
      <c r="E2226" s="19" t="n">
        <v>43</v>
      </c>
      <c r="F2226" s="17" t="s">
        <v>4132</v>
      </c>
      <c r="G2226" s="17" t="s">
        <v>1104</v>
      </c>
      <c r="H2226" s="19"/>
    </row>
    <row r="2227" customFormat="false" ht="15" hidden="false" customHeight="false" outlineLevel="0" collapsed="false">
      <c r="A2227" s="19" t="s">
        <v>2615</v>
      </c>
      <c r="B2227" s="19" t="s">
        <v>2246</v>
      </c>
      <c r="C2227" s="19" t="n">
        <v>16</v>
      </c>
      <c r="D2227" s="19" t="s">
        <v>800</v>
      </c>
      <c r="E2227" s="19" t="n">
        <v>4096</v>
      </c>
      <c r="F2227" s="17" t="s">
        <v>4133</v>
      </c>
      <c r="G2227" s="17" t="s">
        <v>1104</v>
      </c>
      <c r="H2227" s="19"/>
    </row>
    <row r="2228" customFormat="false" ht="15" hidden="false" customHeight="false" outlineLevel="0" collapsed="false">
      <c r="A2228" s="19" t="s">
        <v>2615</v>
      </c>
      <c r="B2228" s="19" t="s">
        <v>1520</v>
      </c>
      <c r="C2228" s="19" t="n">
        <v>16</v>
      </c>
      <c r="D2228" s="17" t="s">
        <v>802</v>
      </c>
      <c r="E2228" s="19" t="n">
        <v>6</v>
      </c>
      <c r="F2228" s="17" t="s">
        <v>4134</v>
      </c>
      <c r="G2228" s="17" t="s">
        <v>1104</v>
      </c>
      <c r="H2228" s="19"/>
    </row>
    <row r="2229" customFormat="false" ht="15" hidden="false" customHeight="false" outlineLevel="0" collapsed="false">
      <c r="A2229" s="19" t="s">
        <v>2615</v>
      </c>
      <c r="B2229" s="19" t="s">
        <v>4135</v>
      </c>
      <c r="C2229" s="19" t="n">
        <v>16</v>
      </c>
      <c r="D2229" s="19" t="s">
        <v>3911</v>
      </c>
      <c r="E2229" s="19" t="n">
        <v>2795</v>
      </c>
      <c r="F2229" s="17" t="s">
        <v>4136</v>
      </c>
      <c r="G2229" s="17" t="s">
        <v>1104</v>
      </c>
      <c r="H2229" s="19"/>
    </row>
    <row r="2230" customFormat="false" ht="15" hidden="false" customHeight="false" outlineLevel="0" collapsed="false">
      <c r="A2230" s="19" t="s">
        <v>2615</v>
      </c>
      <c r="B2230" s="19" t="s">
        <v>4137</v>
      </c>
      <c r="C2230" s="19" t="n">
        <v>16</v>
      </c>
      <c r="D2230" s="17" t="s">
        <v>812</v>
      </c>
      <c r="E2230" s="19" t="n">
        <v>0.512</v>
      </c>
      <c r="F2230" s="17" t="s">
        <v>4138</v>
      </c>
      <c r="G2230" s="17" t="s">
        <v>1104</v>
      </c>
      <c r="H2230" s="19"/>
    </row>
    <row r="2231" customFormat="false" ht="15" hidden="false" customHeight="false" outlineLevel="0" collapsed="false">
      <c r="A2231" s="19" t="s">
        <v>2615</v>
      </c>
      <c r="B2231" s="19" t="s">
        <v>4139</v>
      </c>
      <c r="C2231" s="19" t="n">
        <v>16</v>
      </c>
      <c r="D2231" s="17" t="s">
        <v>814</v>
      </c>
      <c r="E2231" s="19" t="n">
        <v>4224</v>
      </c>
      <c r="F2231" s="17" t="s">
        <v>4140</v>
      </c>
      <c r="G2231" s="17" t="s">
        <v>1104</v>
      </c>
      <c r="H2231" s="19"/>
    </row>
    <row r="2232" customFormat="false" ht="15" hidden="false" customHeight="false" outlineLevel="0" collapsed="false">
      <c r="A2232" s="19" t="s">
        <v>2615</v>
      </c>
      <c r="B2232" s="19" t="s">
        <v>1793</v>
      </c>
      <c r="C2232" s="19" t="n">
        <v>16</v>
      </c>
      <c r="D2232" s="17" t="s">
        <v>816</v>
      </c>
      <c r="E2232" s="19" t="n">
        <v>128</v>
      </c>
      <c r="F2232" s="17" t="s">
        <v>4141</v>
      </c>
      <c r="G2232" s="17" t="s">
        <v>1104</v>
      </c>
      <c r="H2232" s="19"/>
    </row>
    <row r="2233" customFormat="false" ht="15" hidden="false" customHeight="false" outlineLevel="0" collapsed="false">
      <c r="A2233" s="19" t="s">
        <v>2615</v>
      </c>
      <c r="B2233" s="19" t="s">
        <v>1795</v>
      </c>
      <c r="C2233" s="19" t="n">
        <v>16</v>
      </c>
      <c r="D2233" s="17" t="s">
        <v>818</v>
      </c>
      <c r="E2233" s="19" t="n">
        <v>128</v>
      </c>
      <c r="F2233" s="17" t="s">
        <v>4142</v>
      </c>
      <c r="G2233" s="17" t="s">
        <v>1104</v>
      </c>
      <c r="H2233" s="19"/>
    </row>
    <row r="2234" customFormat="false" ht="15" hidden="false" customHeight="false" outlineLevel="0" collapsed="false">
      <c r="A2234" s="19" t="s">
        <v>2615</v>
      </c>
      <c r="B2234" s="19" t="s">
        <v>1801</v>
      </c>
      <c r="C2234" s="19" t="n">
        <v>16</v>
      </c>
      <c r="D2234" s="19" t="s">
        <v>829</v>
      </c>
      <c r="E2234" s="19" t="n">
        <v>8704</v>
      </c>
      <c r="F2234" s="17" t="s">
        <v>4143</v>
      </c>
      <c r="G2234" s="17" t="s">
        <v>1104</v>
      </c>
      <c r="H2234" s="19"/>
    </row>
    <row r="2235" customFormat="false" ht="15" hidden="false" customHeight="false" outlineLevel="0" collapsed="false">
      <c r="A2235" s="19" t="s">
        <v>2615</v>
      </c>
      <c r="B2235" s="19" t="s">
        <v>1803</v>
      </c>
      <c r="C2235" s="19" t="n">
        <v>16</v>
      </c>
      <c r="D2235" s="19" t="s">
        <v>832</v>
      </c>
      <c r="E2235" s="19" t="n">
        <v>4096</v>
      </c>
      <c r="F2235" s="17" t="s">
        <v>4144</v>
      </c>
      <c r="G2235" s="17" t="s">
        <v>1104</v>
      </c>
      <c r="H2235" s="19"/>
    </row>
    <row r="2236" customFormat="false" ht="15" hidden="false" customHeight="false" outlineLevel="0" collapsed="false">
      <c r="A2236" s="19" t="s">
        <v>2615</v>
      </c>
      <c r="B2236" s="19" t="s">
        <v>2255</v>
      </c>
      <c r="C2236" s="19" t="n">
        <v>16</v>
      </c>
      <c r="D2236" s="19" t="s">
        <v>3919</v>
      </c>
      <c r="E2236" s="19" t="n">
        <v>1</v>
      </c>
      <c r="F2236" s="17" t="s">
        <v>3920</v>
      </c>
      <c r="G2236" s="17" t="s">
        <v>1104</v>
      </c>
      <c r="H2236" s="19"/>
    </row>
    <row r="2237" customFormat="false" ht="15" hidden="false" customHeight="false" outlineLevel="0" collapsed="false">
      <c r="A2237" s="19" t="s">
        <v>2615</v>
      </c>
      <c r="B2237" s="19" t="s">
        <v>1612</v>
      </c>
      <c r="C2237" s="19" t="n">
        <v>16</v>
      </c>
      <c r="D2237" s="19" t="s">
        <v>3850</v>
      </c>
      <c r="E2237" s="19" t="n">
        <v>0.0357550334998836</v>
      </c>
      <c r="F2237" s="17" t="s">
        <v>4145</v>
      </c>
      <c r="G2237" s="17" t="s">
        <v>1104</v>
      </c>
      <c r="H2237" s="19"/>
    </row>
    <row r="2238" customFormat="false" ht="15" hidden="false" customHeight="false" outlineLevel="0" collapsed="false">
      <c r="A2238" s="19" t="s">
        <v>2615</v>
      </c>
      <c r="B2238" s="19" t="s">
        <v>4146</v>
      </c>
      <c r="C2238" s="19" t="n">
        <v>16</v>
      </c>
      <c r="D2238" s="19" t="s">
        <v>3923</v>
      </c>
      <c r="E2238" s="19" t="n">
        <v>3</v>
      </c>
      <c r="F2238" s="17" t="s">
        <v>3924</v>
      </c>
      <c r="G2238" s="17" t="s">
        <v>1104</v>
      </c>
      <c r="H2238" s="19"/>
    </row>
    <row r="2239" customFormat="false" ht="15" hidden="false" customHeight="false" outlineLevel="0" collapsed="false">
      <c r="A2239" s="19" t="s">
        <v>2615</v>
      </c>
      <c r="B2239" s="19" t="s">
        <v>4147</v>
      </c>
      <c r="C2239" s="19" t="n">
        <v>16</v>
      </c>
      <c r="D2239" s="19" t="s">
        <v>3926</v>
      </c>
      <c r="E2239" s="19" t="n">
        <v>0.7</v>
      </c>
      <c r="F2239" s="17" t="s">
        <v>3927</v>
      </c>
      <c r="G2239" s="17" t="s">
        <v>1104</v>
      </c>
      <c r="H2239" s="19"/>
    </row>
    <row r="2240" customFormat="false" ht="15" hidden="false" customHeight="false" outlineLevel="0" collapsed="false">
      <c r="A2240" s="19" t="s">
        <v>2615</v>
      </c>
      <c r="B2240" s="19" t="s">
        <v>4148</v>
      </c>
      <c r="C2240" s="19" t="n">
        <v>16</v>
      </c>
      <c r="D2240" s="19" t="s">
        <v>246</v>
      </c>
      <c r="E2240" s="19" t="n">
        <v>0.7</v>
      </c>
      <c r="F2240" s="17" t="s">
        <v>3929</v>
      </c>
      <c r="G2240" s="17" t="s">
        <v>1104</v>
      </c>
      <c r="H2240" s="19"/>
    </row>
    <row r="2241" customFormat="false" ht="15" hidden="false" customHeight="false" outlineLevel="0" collapsed="false">
      <c r="A2241" s="19" t="s">
        <v>2615</v>
      </c>
      <c r="B2241" s="19" t="s">
        <v>4149</v>
      </c>
      <c r="C2241" s="19" t="n">
        <v>16</v>
      </c>
      <c r="D2241" s="17" t="s">
        <v>861</v>
      </c>
      <c r="E2241" s="19" t="n">
        <v>259.2</v>
      </c>
      <c r="F2241" s="17" t="s">
        <v>4150</v>
      </c>
      <c r="G2241" s="17" t="s">
        <v>1104</v>
      </c>
      <c r="H2241" s="19"/>
    </row>
    <row r="2242" customFormat="false" ht="15" hidden="false" customHeight="false" outlineLevel="0" collapsed="false">
      <c r="A2242" s="19" t="s">
        <v>2615</v>
      </c>
      <c r="B2242" s="19" t="s">
        <v>4151</v>
      </c>
      <c r="C2242" s="19" t="n">
        <v>16</v>
      </c>
      <c r="D2242" s="19" t="s">
        <v>3932</v>
      </c>
      <c r="E2242" s="19" t="n">
        <v>32</v>
      </c>
      <c r="F2242" s="17" t="s">
        <v>4152</v>
      </c>
      <c r="G2242" s="17" t="s">
        <v>1104</v>
      </c>
      <c r="H2242" s="19"/>
    </row>
    <row r="2243" customFormat="false" ht="15" hidden="false" customHeight="false" outlineLevel="0" collapsed="false">
      <c r="A2243" s="19" t="s">
        <v>2615</v>
      </c>
      <c r="B2243" s="19" t="s">
        <v>4153</v>
      </c>
      <c r="C2243" s="19" t="n">
        <v>16</v>
      </c>
      <c r="D2243" s="17" t="s">
        <v>870</v>
      </c>
      <c r="E2243" s="19" t="n">
        <v>10.3090546875</v>
      </c>
      <c r="F2243" s="17" t="s">
        <v>4154</v>
      </c>
      <c r="G2243" s="17" t="s">
        <v>1104</v>
      </c>
      <c r="H2243" s="19"/>
    </row>
    <row r="2244" customFormat="false" ht="15" hidden="false" customHeight="false" outlineLevel="0" collapsed="false">
      <c r="A2244" s="19" t="s">
        <v>2615</v>
      </c>
      <c r="B2244" s="19" t="s">
        <v>4155</v>
      </c>
      <c r="C2244" s="19" t="n">
        <v>16</v>
      </c>
      <c r="D2244" s="19" t="s">
        <v>777</v>
      </c>
      <c r="E2244" s="19" t="n">
        <v>22</v>
      </c>
      <c r="F2244" s="17" t="s">
        <v>4156</v>
      </c>
      <c r="G2244" s="17" t="s">
        <v>1104</v>
      </c>
      <c r="H2244" s="19"/>
    </row>
    <row r="2245" customFormat="false" ht="15" hidden="false" customHeight="false" outlineLevel="0" collapsed="false">
      <c r="A2245" s="19" t="s">
        <v>2615</v>
      </c>
      <c r="B2245" s="19" t="s">
        <v>4157</v>
      </c>
      <c r="C2245" s="19" t="n">
        <v>16</v>
      </c>
      <c r="D2245" s="19" t="s">
        <v>3906</v>
      </c>
      <c r="E2245" s="19" t="n">
        <v>1.8</v>
      </c>
      <c r="F2245" s="17" t="s">
        <v>4158</v>
      </c>
      <c r="G2245" s="17" t="s">
        <v>1104</v>
      </c>
      <c r="H2245" s="19"/>
    </row>
    <row r="2246" customFormat="false" ht="15" hidden="false" customHeight="false" outlineLevel="0" collapsed="false">
      <c r="A2246" s="19" t="s">
        <v>2615</v>
      </c>
      <c r="B2246" s="19" t="s">
        <v>2267</v>
      </c>
      <c r="C2246" s="19" t="n">
        <v>16</v>
      </c>
      <c r="D2246" s="17" t="s">
        <v>798</v>
      </c>
      <c r="E2246" s="19" t="n">
        <v>61</v>
      </c>
      <c r="F2246" s="17" t="s">
        <v>4159</v>
      </c>
      <c r="G2246" s="17" t="s">
        <v>1104</v>
      </c>
      <c r="H2246" s="19"/>
    </row>
    <row r="2247" customFormat="false" ht="15" hidden="false" customHeight="false" outlineLevel="0" collapsed="false">
      <c r="A2247" s="19" t="s">
        <v>2615</v>
      </c>
      <c r="B2247" s="19" t="s">
        <v>2269</v>
      </c>
      <c r="C2247" s="19" t="n">
        <v>16</v>
      </c>
      <c r="D2247" s="19" t="s">
        <v>800</v>
      </c>
      <c r="E2247" s="19" t="n">
        <v>7168</v>
      </c>
      <c r="F2247" s="17" t="s">
        <v>4160</v>
      </c>
      <c r="G2247" s="17" t="s">
        <v>1104</v>
      </c>
      <c r="H2247" s="19"/>
    </row>
    <row r="2248" customFormat="false" ht="15" hidden="false" customHeight="false" outlineLevel="0" collapsed="false">
      <c r="A2248" s="19" t="s">
        <v>2615</v>
      </c>
      <c r="B2248" s="19" t="s">
        <v>1526</v>
      </c>
      <c r="C2248" s="19" t="n">
        <v>16</v>
      </c>
      <c r="D2248" s="17" t="s">
        <v>802</v>
      </c>
      <c r="E2248" s="19" t="n">
        <v>6</v>
      </c>
      <c r="F2248" s="17" t="s">
        <v>4161</v>
      </c>
      <c r="G2248" s="17" t="s">
        <v>1104</v>
      </c>
      <c r="H2248" s="19"/>
    </row>
    <row r="2249" customFormat="false" ht="15" hidden="false" customHeight="false" outlineLevel="0" collapsed="false">
      <c r="A2249" s="19" t="s">
        <v>2615</v>
      </c>
      <c r="B2249" s="19" t="s">
        <v>4162</v>
      </c>
      <c r="C2249" s="19" t="n">
        <v>16</v>
      </c>
      <c r="D2249" s="19" t="s">
        <v>3911</v>
      </c>
      <c r="E2249" s="19" t="n">
        <v>3965</v>
      </c>
      <c r="F2249" s="17" t="s">
        <v>4163</v>
      </c>
      <c r="G2249" s="17" t="s">
        <v>1104</v>
      </c>
      <c r="H2249" s="19"/>
    </row>
    <row r="2250" customFormat="false" ht="15" hidden="false" customHeight="false" outlineLevel="0" collapsed="false">
      <c r="A2250" s="19" t="s">
        <v>2615</v>
      </c>
      <c r="B2250" s="19" t="s">
        <v>4164</v>
      </c>
      <c r="C2250" s="19" t="n">
        <v>16</v>
      </c>
      <c r="D2250" s="17" t="s">
        <v>812</v>
      </c>
      <c r="E2250" s="19" t="n">
        <v>0.492</v>
      </c>
      <c r="F2250" s="17" t="s">
        <v>4165</v>
      </c>
      <c r="G2250" s="17" t="s">
        <v>1104</v>
      </c>
      <c r="H2250" s="19"/>
    </row>
    <row r="2251" customFormat="false" ht="15" hidden="false" customHeight="false" outlineLevel="0" collapsed="false">
      <c r="A2251" s="19" t="s">
        <v>2615</v>
      </c>
      <c r="B2251" s="19" t="s">
        <v>4166</v>
      </c>
      <c r="C2251" s="19" t="n">
        <v>16</v>
      </c>
      <c r="D2251" s="17" t="s">
        <v>814</v>
      </c>
      <c r="E2251" s="19" t="n">
        <v>4224</v>
      </c>
      <c r="F2251" s="17" t="s">
        <v>4167</v>
      </c>
      <c r="G2251" s="17" t="s">
        <v>1104</v>
      </c>
      <c r="H2251" s="19"/>
    </row>
    <row r="2252" customFormat="false" ht="15" hidden="false" customHeight="false" outlineLevel="0" collapsed="false">
      <c r="A2252" s="19" t="s">
        <v>2615</v>
      </c>
      <c r="B2252" s="19" t="s">
        <v>1809</v>
      </c>
      <c r="C2252" s="19" t="n">
        <v>16</v>
      </c>
      <c r="D2252" s="17" t="s">
        <v>816</v>
      </c>
      <c r="E2252" s="19" t="n">
        <v>128</v>
      </c>
      <c r="F2252" s="17" t="s">
        <v>4168</v>
      </c>
      <c r="G2252" s="17" t="s">
        <v>1104</v>
      </c>
      <c r="H2252" s="19"/>
    </row>
    <row r="2253" customFormat="false" ht="15" hidden="false" customHeight="false" outlineLevel="0" collapsed="false">
      <c r="A2253" s="19" t="s">
        <v>2615</v>
      </c>
      <c r="B2253" s="19" t="s">
        <v>1811</v>
      </c>
      <c r="C2253" s="19" t="n">
        <v>16</v>
      </c>
      <c r="D2253" s="17" t="s">
        <v>818</v>
      </c>
      <c r="E2253" s="19" t="n">
        <v>128</v>
      </c>
      <c r="F2253" s="17" t="s">
        <v>4169</v>
      </c>
      <c r="G2253" s="17" t="s">
        <v>1104</v>
      </c>
      <c r="H2253" s="19"/>
    </row>
    <row r="2254" customFormat="false" ht="15" hidden="false" customHeight="false" outlineLevel="0" collapsed="false">
      <c r="A2254" s="19" t="s">
        <v>2615</v>
      </c>
      <c r="B2254" s="19" t="s">
        <v>1817</v>
      </c>
      <c r="C2254" s="19" t="n">
        <v>16</v>
      </c>
      <c r="D2254" s="19" t="s">
        <v>829</v>
      </c>
      <c r="E2254" s="19" t="n">
        <v>17408</v>
      </c>
      <c r="F2254" s="17" t="s">
        <v>4170</v>
      </c>
      <c r="G2254" s="17" t="s">
        <v>1104</v>
      </c>
      <c r="H2254" s="19"/>
    </row>
    <row r="2255" customFormat="false" ht="15" hidden="false" customHeight="false" outlineLevel="0" collapsed="false">
      <c r="A2255" s="19" t="s">
        <v>2615</v>
      </c>
      <c r="B2255" s="19" t="s">
        <v>1819</v>
      </c>
      <c r="C2255" s="19" t="n">
        <v>16</v>
      </c>
      <c r="D2255" s="19" t="s">
        <v>832</v>
      </c>
      <c r="E2255" s="19" t="n">
        <v>8192</v>
      </c>
      <c r="F2255" s="17" t="s">
        <v>4171</v>
      </c>
      <c r="G2255" s="17" t="s">
        <v>1104</v>
      </c>
      <c r="H2255" s="19"/>
    </row>
    <row r="2256" customFormat="false" ht="15" hidden="false" customHeight="false" outlineLevel="0" collapsed="false">
      <c r="A2256" s="19" t="s">
        <v>2615</v>
      </c>
      <c r="B2256" s="19" t="s">
        <v>2278</v>
      </c>
      <c r="C2256" s="19" t="n">
        <v>16</v>
      </c>
      <c r="D2256" s="19" t="s">
        <v>3919</v>
      </c>
      <c r="E2256" s="19" t="n">
        <v>1</v>
      </c>
      <c r="F2256" s="17" t="s">
        <v>3920</v>
      </c>
      <c r="G2256" s="17" t="s">
        <v>1104</v>
      </c>
      <c r="H2256" s="19"/>
    </row>
    <row r="2257" customFormat="false" ht="15" hidden="false" customHeight="false" outlineLevel="0" collapsed="false">
      <c r="A2257" s="19" t="s">
        <v>2615</v>
      </c>
      <c r="B2257" s="19" t="s">
        <v>1618</v>
      </c>
      <c r="C2257" s="19" t="n">
        <v>16</v>
      </c>
      <c r="D2257" s="19" t="s">
        <v>3850</v>
      </c>
      <c r="E2257" s="19" t="n">
        <v>0.0357550334998836</v>
      </c>
      <c r="F2257" s="17" t="s">
        <v>4172</v>
      </c>
      <c r="G2257" s="17" t="s">
        <v>1104</v>
      </c>
      <c r="H2257" s="19"/>
    </row>
    <row r="2258" customFormat="false" ht="15" hidden="false" customHeight="false" outlineLevel="0" collapsed="false">
      <c r="A2258" s="19" t="s">
        <v>2615</v>
      </c>
      <c r="B2258" s="19" t="s">
        <v>4173</v>
      </c>
      <c r="C2258" s="19" t="n">
        <v>16</v>
      </c>
      <c r="D2258" s="19" t="s">
        <v>3923</v>
      </c>
      <c r="E2258" s="19" t="n">
        <v>3</v>
      </c>
      <c r="F2258" s="17" t="s">
        <v>3924</v>
      </c>
      <c r="G2258" s="17" t="s">
        <v>1104</v>
      </c>
      <c r="H2258" s="19"/>
    </row>
    <row r="2259" customFormat="false" ht="15" hidden="false" customHeight="false" outlineLevel="0" collapsed="false">
      <c r="A2259" s="19" t="s">
        <v>2615</v>
      </c>
      <c r="B2259" s="19" t="s">
        <v>4174</v>
      </c>
      <c r="C2259" s="19" t="n">
        <v>16</v>
      </c>
      <c r="D2259" s="19" t="s">
        <v>3926</v>
      </c>
      <c r="E2259" s="19" t="n">
        <v>0.7</v>
      </c>
      <c r="F2259" s="17" t="s">
        <v>3927</v>
      </c>
      <c r="G2259" s="17" t="s">
        <v>1104</v>
      </c>
      <c r="H2259" s="19"/>
    </row>
    <row r="2260" customFormat="false" ht="15" hidden="false" customHeight="false" outlineLevel="0" collapsed="false">
      <c r="A2260" s="19" t="s">
        <v>2615</v>
      </c>
      <c r="B2260" s="19" t="s">
        <v>4175</v>
      </c>
      <c r="C2260" s="19" t="n">
        <v>16</v>
      </c>
      <c r="D2260" s="19" t="s">
        <v>246</v>
      </c>
      <c r="E2260" s="19" t="n">
        <v>0.7</v>
      </c>
      <c r="F2260" s="17" t="s">
        <v>3929</v>
      </c>
      <c r="G2260" s="17" t="s">
        <v>1104</v>
      </c>
      <c r="H2260" s="19"/>
    </row>
    <row r="2261" customFormat="false" ht="15" hidden="false" customHeight="false" outlineLevel="0" collapsed="false">
      <c r="A2261" s="19" t="s">
        <v>2615</v>
      </c>
      <c r="B2261" s="19" t="s">
        <v>4176</v>
      </c>
      <c r="C2261" s="19" t="n">
        <v>16</v>
      </c>
      <c r="D2261" s="17" t="s">
        <v>861</v>
      </c>
      <c r="E2261" s="19" t="n">
        <v>259.2</v>
      </c>
      <c r="F2261" s="17" t="s">
        <v>4177</v>
      </c>
      <c r="G2261" s="17" t="s">
        <v>1104</v>
      </c>
      <c r="H2261" s="19"/>
    </row>
    <row r="2262" customFormat="false" ht="15" hidden="false" customHeight="false" outlineLevel="0" collapsed="false">
      <c r="A2262" s="19" t="s">
        <v>2615</v>
      </c>
      <c r="B2262" s="19" t="s">
        <v>4178</v>
      </c>
      <c r="C2262" s="19" t="n">
        <v>16</v>
      </c>
      <c r="D2262" s="19" t="s">
        <v>3932</v>
      </c>
      <c r="E2262" s="19" t="n">
        <v>32</v>
      </c>
      <c r="F2262" s="17" t="s">
        <v>4179</v>
      </c>
      <c r="G2262" s="17" t="s">
        <v>1104</v>
      </c>
      <c r="H2262" s="19"/>
    </row>
    <row r="2263" customFormat="false" ht="15" hidden="false" customHeight="false" outlineLevel="0" collapsed="false">
      <c r="A2263" s="19" t="s">
        <v>2615</v>
      </c>
      <c r="B2263" s="19" t="s">
        <v>4180</v>
      </c>
      <c r="C2263" s="19" t="n">
        <v>16</v>
      </c>
      <c r="D2263" s="17" t="s">
        <v>870</v>
      </c>
      <c r="E2263" s="19" t="n">
        <v>48.0463324652778</v>
      </c>
      <c r="F2263" s="17" t="s">
        <v>4181</v>
      </c>
      <c r="G2263" s="17" t="s">
        <v>1104</v>
      </c>
      <c r="H2263" s="19"/>
    </row>
    <row r="2264" customFormat="false" ht="15" hidden="false" customHeight="false" outlineLevel="0" collapsed="false">
      <c r="A2264" s="19" t="s">
        <v>2615</v>
      </c>
      <c r="B2264" s="19" t="s">
        <v>4182</v>
      </c>
      <c r="C2264" s="19" t="n">
        <v>16</v>
      </c>
      <c r="D2264" s="19" t="s">
        <v>777</v>
      </c>
      <c r="E2264" s="19" t="n">
        <v>22</v>
      </c>
      <c r="F2264" s="17" t="s">
        <v>4183</v>
      </c>
      <c r="G2264" s="17" t="s">
        <v>1104</v>
      </c>
      <c r="H2264" s="19"/>
    </row>
    <row r="2265" customFormat="false" ht="15" hidden="false" customHeight="false" outlineLevel="0" collapsed="false">
      <c r="A2265" s="19" t="s">
        <v>2615</v>
      </c>
      <c r="B2265" s="19" t="s">
        <v>4184</v>
      </c>
      <c r="C2265" s="19" t="n">
        <v>16</v>
      </c>
      <c r="D2265" s="19" t="s">
        <v>3906</v>
      </c>
      <c r="E2265" s="19" t="n">
        <v>1.8</v>
      </c>
      <c r="F2265" s="17" t="s">
        <v>4185</v>
      </c>
      <c r="G2265" s="17" t="s">
        <v>1104</v>
      </c>
      <c r="H2265" s="19"/>
    </row>
    <row r="2266" customFormat="false" ht="15" hidden="false" customHeight="false" outlineLevel="0" collapsed="false">
      <c r="A2266" s="19" t="s">
        <v>2615</v>
      </c>
      <c r="B2266" s="19" t="s">
        <v>2290</v>
      </c>
      <c r="C2266" s="19" t="n">
        <v>16</v>
      </c>
      <c r="D2266" s="17" t="s">
        <v>798</v>
      </c>
      <c r="E2266" s="19" t="n">
        <v>100</v>
      </c>
      <c r="F2266" s="17" t="s">
        <v>4186</v>
      </c>
      <c r="G2266" s="17" t="s">
        <v>1104</v>
      </c>
      <c r="H2266" s="19"/>
    </row>
    <row r="2267" customFormat="false" ht="15" hidden="false" customHeight="false" outlineLevel="0" collapsed="false">
      <c r="A2267" s="19" t="s">
        <v>2615</v>
      </c>
      <c r="B2267" s="19" t="s">
        <v>2292</v>
      </c>
      <c r="C2267" s="19" t="n">
        <v>16</v>
      </c>
      <c r="D2267" s="19" t="s">
        <v>800</v>
      </c>
      <c r="E2267" s="19" t="n">
        <v>12288</v>
      </c>
      <c r="F2267" s="17" t="s">
        <v>4187</v>
      </c>
      <c r="G2267" s="17" t="s">
        <v>1104</v>
      </c>
      <c r="H2267" s="19"/>
    </row>
    <row r="2268" customFormat="false" ht="15" hidden="false" customHeight="false" outlineLevel="0" collapsed="false">
      <c r="A2268" s="19" t="s">
        <v>2615</v>
      </c>
      <c r="B2268" s="19" t="s">
        <v>1532</v>
      </c>
      <c r="C2268" s="19" t="n">
        <v>16</v>
      </c>
      <c r="D2268" s="17" t="s">
        <v>802</v>
      </c>
      <c r="E2268" s="19" t="n">
        <v>16</v>
      </c>
      <c r="F2268" s="17" t="s">
        <v>4188</v>
      </c>
      <c r="G2268" s="17" t="s">
        <v>1104</v>
      </c>
      <c r="H2268" s="19"/>
    </row>
    <row r="2269" customFormat="false" ht="15" hidden="false" customHeight="false" outlineLevel="0" collapsed="false">
      <c r="A2269" s="19" t="s">
        <v>2615</v>
      </c>
      <c r="B2269" s="19" t="s">
        <v>4189</v>
      </c>
      <c r="C2269" s="19" t="n">
        <v>16</v>
      </c>
      <c r="D2269" s="19" t="s">
        <v>3911</v>
      </c>
      <c r="E2269" s="19" t="n">
        <v>57600</v>
      </c>
      <c r="F2269" s="17" t="s">
        <v>4190</v>
      </c>
      <c r="G2269" s="17" t="s">
        <v>1104</v>
      </c>
      <c r="H2269" s="19"/>
    </row>
    <row r="2270" customFormat="false" ht="15" hidden="false" customHeight="false" outlineLevel="0" collapsed="false">
      <c r="A2270" s="19" t="s">
        <v>2615</v>
      </c>
      <c r="B2270" s="19" t="s">
        <v>4191</v>
      </c>
      <c r="C2270" s="19" t="n">
        <v>16</v>
      </c>
      <c r="D2270" s="17" t="s">
        <v>812</v>
      </c>
      <c r="E2270" s="19" t="n">
        <v>1</v>
      </c>
      <c r="F2270" s="17" t="s">
        <v>4192</v>
      </c>
      <c r="G2270" s="17" t="s">
        <v>1104</v>
      </c>
      <c r="H2270" s="19"/>
    </row>
    <row r="2271" customFormat="false" ht="15" hidden="false" customHeight="false" outlineLevel="0" collapsed="false">
      <c r="A2271" s="19" t="s">
        <v>2615</v>
      </c>
      <c r="B2271" s="19" t="s">
        <v>4193</v>
      </c>
      <c r="C2271" s="19" t="n">
        <v>16</v>
      </c>
      <c r="D2271" s="17" t="s">
        <v>814</v>
      </c>
      <c r="E2271" s="19" t="n">
        <v>0</v>
      </c>
      <c r="F2271" s="17" t="s">
        <v>4194</v>
      </c>
      <c r="G2271" s="17" t="s">
        <v>1104</v>
      </c>
      <c r="H2271" s="19"/>
    </row>
    <row r="2272" customFormat="false" ht="15" hidden="false" customHeight="false" outlineLevel="0" collapsed="false">
      <c r="A2272" s="19" t="s">
        <v>2615</v>
      </c>
      <c r="B2272" s="19" t="s">
        <v>1825</v>
      </c>
      <c r="C2272" s="19" t="n">
        <v>16</v>
      </c>
      <c r="D2272" s="17" t="s">
        <v>816</v>
      </c>
      <c r="E2272" s="19" t="n">
        <v>1</v>
      </c>
      <c r="F2272" s="17" t="s">
        <v>4195</v>
      </c>
      <c r="G2272" s="17" t="s">
        <v>1104</v>
      </c>
      <c r="H2272" s="19"/>
    </row>
    <row r="2273" customFormat="false" ht="15" hidden="false" customHeight="false" outlineLevel="0" collapsed="false">
      <c r="A2273" s="19" t="s">
        <v>2615</v>
      </c>
      <c r="B2273" s="19" t="s">
        <v>1827</v>
      </c>
      <c r="C2273" s="19" t="n">
        <v>16</v>
      </c>
      <c r="D2273" s="17" t="s">
        <v>818</v>
      </c>
      <c r="E2273" s="19" t="n">
        <v>0</v>
      </c>
      <c r="F2273" s="17" t="s">
        <v>4196</v>
      </c>
      <c r="G2273" s="17" t="s">
        <v>1104</v>
      </c>
      <c r="H2273" s="19"/>
    </row>
    <row r="2274" customFormat="false" ht="15" hidden="false" customHeight="false" outlineLevel="0" collapsed="false">
      <c r="A2274" s="19" t="s">
        <v>2615</v>
      </c>
      <c r="B2274" s="19" t="s">
        <v>1833</v>
      </c>
      <c r="C2274" s="19" t="n">
        <v>16</v>
      </c>
      <c r="D2274" s="19" t="s">
        <v>829</v>
      </c>
      <c r="E2274" s="19" t="n">
        <v>34816</v>
      </c>
      <c r="F2274" s="17" t="s">
        <v>4197</v>
      </c>
      <c r="G2274" s="17" t="s">
        <v>1104</v>
      </c>
      <c r="H2274" s="19"/>
    </row>
    <row r="2275" customFormat="false" ht="15" hidden="false" customHeight="false" outlineLevel="0" collapsed="false">
      <c r="A2275" s="19" t="s">
        <v>2615</v>
      </c>
      <c r="B2275" s="19" t="s">
        <v>1835</v>
      </c>
      <c r="C2275" s="19" t="n">
        <v>16</v>
      </c>
      <c r="D2275" s="19" t="s">
        <v>832</v>
      </c>
      <c r="E2275" s="19" t="n">
        <v>16384</v>
      </c>
      <c r="F2275" s="17" t="s">
        <v>4198</v>
      </c>
      <c r="G2275" s="17" t="s">
        <v>1104</v>
      </c>
      <c r="H2275" s="19"/>
    </row>
    <row r="2276" customFormat="false" ht="15" hidden="false" customHeight="false" outlineLevel="0" collapsed="false">
      <c r="A2276" s="19" t="s">
        <v>2615</v>
      </c>
      <c r="B2276" s="19" t="s">
        <v>2301</v>
      </c>
      <c r="C2276" s="19" t="n">
        <v>16</v>
      </c>
      <c r="D2276" s="19" t="s">
        <v>3919</v>
      </c>
      <c r="E2276" s="19" t="n">
        <v>1</v>
      </c>
      <c r="F2276" s="17" t="s">
        <v>3920</v>
      </c>
      <c r="G2276" s="17" t="s">
        <v>1104</v>
      </c>
      <c r="H2276" s="19"/>
    </row>
    <row r="2277" customFormat="false" ht="15" hidden="false" customHeight="false" outlineLevel="0" collapsed="false">
      <c r="A2277" s="19" t="s">
        <v>2615</v>
      </c>
      <c r="B2277" s="19" t="s">
        <v>1624</v>
      </c>
      <c r="C2277" s="19" t="n">
        <v>16</v>
      </c>
      <c r="D2277" s="19" t="s">
        <v>3850</v>
      </c>
      <c r="E2277" s="19" t="n">
        <v>0.0357550334998836</v>
      </c>
      <c r="F2277" s="17" t="s">
        <v>4199</v>
      </c>
      <c r="G2277" s="17" t="s">
        <v>1104</v>
      </c>
      <c r="H2277" s="19"/>
    </row>
    <row r="2278" customFormat="false" ht="15" hidden="false" customHeight="false" outlineLevel="0" collapsed="false">
      <c r="A2278" s="19" t="s">
        <v>2615</v>
      </c>
      <c r="B2278" s="19" t="s">
        <v>4200</v>
      </c>
      <c r="C2278" s="19" t="n">
        <v>16</v>
      </c>
      <c r="D2278" s="19" t="s">
        <v>3923</v>
      </c>
      <c r="E2278" s="19" t="n">
        <v>3</v>
      </c>
      <c r="F2278" s="17" t="s">
        <v>3924</v>
      </c>
      <c r="G2278" s="17" t="s">
        <v>1104</v>
      </c>
      <c r="H2278" s="19"/>
    </row>
    <row r="2279" customFormat="false" ht="15" hidden="false" customHeight="false" outlineLevel="0" collapsed="false">
      <c r="A2279" s="19" t="s">
        <v>2615</v>
      </c>
      <c r="B2279" s="19" t="s">
        <v>4201</v>
      </c>
      <c r="C2279" s="19" t="n">
        <v>16</v>
      </c>
      <c r="D2279" s="19" t="s">
        <v>3926</v>
      </c>
      <c r="E2279" s="19" t="n">
        <v>0.7</v>
      </c>
      <c r="F2279" s="17" t="s">
        <v>3927</v>
      </c>
      <c r="G2279" s="17" t="s">
        <v>1104</v>
      </c>
      <c r="H2279" s="19"/>
    </row>
    <row r="2280" customFormat="false" ht="15" hidden="false" customHeight="false" outlineLevel="0" collapsed="false">
      <c r="A2280" s="19" t="s">
        <v>2615</v>
      </c>
      <c r="B2280" s="19" t="s">
        <v>4202</v>
      </c>
      <c r="C2280" s="19" t="n">
        <v>16</v>
      </c>
      <c r="D2280" s="19" t="s">
        <v>246</v>
      </c>
      <c r="E2280" s="19" t="n">
        <v>0.7</v>
      </c>
      <c r="F2280" s="17" t="s">
        <v>3929</v>
      </c>
      <c r="G2280" s="17" t="s">
        <v>1104</v>
      </c>
      <c r="H2280" s="19"/>
    </row>
    <row r="2281" customFormat="false" ht="15" hidden="false" customHeight="false" outlineLevel="0" collapsed="false">
      <c r="A2281" s="19" t="s">
        <v>2615</v>
      </c>
      <c r="B2281" s="19" t="s">
        <v>4203</v>
      </c>
      <c r="C2281" s="19" t="n">
        <v>16</v>
      </c>
      <c r="D2281" s="17" t="s">
        <v>861</v>
      </c>
      <c r="E2281" s="19" t="n">
        <v>259.2</v>
      </c>
      <c r="F2281" s="17" t="s">
        <v>4204</v>
      </c>
      <c r="G2281" s="17" t="s">
        <v>1104</v>
      </c>
      <c r="H2281" s="19"/>
    </row>
    <row r="2282" customFormat="false" ht="15" hidden="false" customHeight="false" outlineLevel="0" collapsed="false">
      <c r="A2282" s="19" t="s">
        <v>2615</v>
      </c>
      <c r="B2282" s="19" t="s">
        <v>4205</v>
      </c>
      <c r="C2282" s="19" t="n">
        <v>16</v>
      </c>
      <c r="D2282" s="19" t="s">
        <v>3932</v>
      </c>
      <c r="E2282" s="19" t="n">
        <v>32</v>
      </c>
      <c r="F2282" s="17" t="s">
        <v>4206</v>
      </c>
      <c r="G2282" s="17" t="s">
        <v>1104</v>
      </c>
      <c r="H2282" s="19"/>
    </row>
    <row r="2283" customFormat="false" ht="15" hidden="false" customHeight="false" outlineLevel="0" collapsed="false">
      <c r="A2283" s="19" t="s">
        <v>2615</v>
      </c>
      <c r="B2283" s="19" t="s">
        <v>4207</v>
      </c>
      <c r="C2283" s="19" t="n">
        <v>16</v>
      </c>
      <c r="D2283" s="17" t="s">
        <v>870</v>
      </c>
      <c r="E2283" s="19" t="n">
        <v>118.522476688508</v>
      </c>
      <c r="F2283" s="17" t="s">
        <v>4208</v>
      </c>
      <c r="G2283" s="17" t="s">
        <v>1104</v>
      </c>
      <c r="H2283" s="19"/>
    </row>
    <row r="2284" customFormat="false" ht="15" hidden="false" customHeight="false" outlineLevel="0" collapsed="false">
      <c r="A2284" s="19" t="s">
        <v>2615</v>
      </c>
      <c r="B2284" s="19" t="s">
        <v>4209</v>
      </c>
      <c r="C2284" s="19" t="n">
        <v>16</v>
      </c>
      <c r="D2284" s="19" t="s">
        <v>777</v>
      </c>
      <c r="E2284" s="19" t="n">
        <v>32</v>
      </c>
      <c r="F2284" s="17" t="s">
        <v>4210</v>
      </c>
      <c r="G2284" s="17" t="s">
        <v>1104</v>
      </c>
      <c r="H2284" s="19"/>
    </row>
    <row r="2285" customFormat="false" ht="15" hidden="false" customHeight="false" outlineLevel="0" collapsed="false">
      <c r="A2285" s="19" t="s">
        <v>2615</v>
      </c>
      <c r="B2285" s="19" t="s">
        <v>4211</v>
      </c>
      <c r="C2285" s="19" t="n">
        <v>16</v>
      </c>
      <c r="D2285" s="19" t="s">
        <v>3906</v>
      </c>
      <c r="E2285" s="19" t="n">
        <v>1.8</v>
      </c>
      <c r="F2285" s="17" t="s">
        <v>4212</v>
      </c>
      <c r="G2285" s="17" t="s">
        <v>1104</v>
      </c>
      <c r="H2285" s="19"/>
    </row>
    <row r="2286" customFormat="false" ht="15" hidden="false" customHeight="false" outlineLevel="0" collapsed="false">
      <c r="A2286" s="19" t="s">
        <v>2615</v>
      </c>
      <c r="B2286" s="19" t="s">
        <v>2313</v>
      </c>
      <c r="C2286" s="19" t="n">
        <v>16</v>
      </c>
      <c r="D2286" s="17" t="s">
        <v>798</v>
      </c>
      <c r="E2286" s="19" t="n">
        <v>43</v>
      </c>
      <c r="F2286" s="17" t="s">
        <v>4213</v>
      </c>
      <c r="G2286" s="17" t="s">
        <v>1104</v>
      </c>
      <c r="H2286" s="19"/>
    </row>
    <row r="2287" customFormat="false" ht="15" hidden="false" customHeight="false" outlineLevel="0" collapsed="false">
      <c r="A2287" s="19" t="s">
        <v>2615</v>
      </c>
      <c r="B2287" s="19" t="s">
        <v>2315</v>
      </c>
      <c r="C2287" s="19" t="n">
        <v>16</v>
      </c>
      <c r="D2287" s="19" t="s">
        <v>800</v>
      </c>
      <c r="E2287" s="19" t="n">
        <v>4096</v>
      </c>
      <c r="F2287" s="17" t="s">
        <v>4214</v>
      </c>
      <c r="G2287" s="17" t="s">
        <v>1104</v>
      </c>
      <c r="H2287" s="19"/>
    </row>
    <row r="2288" customFormat="false" ht="15" hidden="false" customHeight="false" outlineLevel="0" collapsed="false">
      <c r="A2288" s="19" t="s">
        <v>2615</v>
      </c>
      <c r="B2288" s="19" t="s">
        <v>1538</v>
      </c>
      <c r="C2288" s="19" t="n">
        <v>16</v>
      </c>
      <c r="D2288" s="17" t="s">
        <v>802</v>
      </c>
      <c r="E2288" s="19" t="n">
        <v>6</v>
      </c>
      <c r="F2288" s="17" t="s">
        <v>4215</v>
      </c>
      <c r="G2288" s="17" t="s">
        <v>1104</v>
      </c>
      <c r="H2288" s="19"/>
    </row>
    <row r="2289" customFormat="false" ht="15" hidden="false" customHeight="false" outlineLevel="0" collapsed="false">
      <c r="A2289" s="19" t="s">
        <v>2615</v>
      </c>
      <c r="B2289" s="19" t="s">
        <v>4216</v>
      </c>
      <c r="C2289" s="19" t="n">
        <v>16</v>
      </c>
      <c r="D2289" s="19" t="s">
        <v>3911</v>
      </c>
      <c r="E2289" s="19" t="n">
        <v>2795</v>
      </c>
      <c r="F2289" s="17" t="s">
        <v>4217</v>
      </c>
      <c r="G2289" s="17" t="s">
        <v>1104</v>
      </c>
      <c r="H2289" s="19"/>
    </row>
    <row r="2290" customFormat="false" ht="15" hidden="false" customHeight="false" outlineLevel="0" collapsed="false">
      <c r="A2290" s="19" t="s">
        <v>2615</v>
      </c>
      <c r="B2290" s="19" t="s">
        <v>4218</v>
      </c>
      <c r="C2290" s="19" t="n">
        <v>16</v>
      </c>
      <c r="D2290" s="17" t="s">
        <v>812</v>
      </c>
      <c r="E2290" s="19" t="n">
        <v>0.512</v>
      </c>
      <c r="F2290" s="17" t="s">
        <v>4219</v>
      </c>
      <c r="G2290" s="17" t="s">
        <v>1104</v>
      </c>
      <c r="H2290" s="19"/>
    </row>
    <row r="2291" customFormat="false" ht="15" hidden="false" customHeight="false" outlineLevel="0" collapsed="false">
      <c r="A2291" s="19" t="s">
        <v>2615</v>
      </c>
      <c r="B2291" s="19" t="s">
        <v>4220</v>
      </c>
      <c r="C2291" s="19" t="n">
        <v>16</v>
      </c>
      <c r="D2291" s="17" t="s">
        <v>814</v>
      </c>
      <c r="E2291" s="19" t="n">
        <v>4224</v>
      </c>
      <c r="F2291" s="17" t="s">
        <v>4221</v>
      </c>
      <c r="G2291" s="17" t="s">
        <v>1104</v>
      </c>
      <c r="H2291" s="19"/>
    </row>
    <row r="2292" customFormat="false" ht="15" hidden="false" customHeight="false" outlineLevel="0" collapsed="false">
      <c r="A2292" s="19" t="s">
        <v>2615</v>
      </c>
      <c r="B2292" s="19" t="s">
        <v>1841</v>
      </c>
      <c r="C2292" s="19" t="n">
        <v>16</v>
      </c>
      <c r="D2292" s="17" t="s">
        <v>816</v>
      </c>
      <c r="E2292" s="19" t="n">
        <v>128</v>
      </c>
      <c r="F2292" s="17" t="s">
        <v>4222</v>
      </c>
      <c r="G2292" s="17" t="s">
        <v>1104</v>
      </c>
      <c r="H2292" s="19"/>
    </row>
    <row r="2293" customFormat="false" ht="15" hidden="false" customHeight="false" outlineLevel="0" collapsed="false">
      <c r="A2293" s="19" t="s">
        <v>2615</v>
      </c>
      <c r="B2293" s="19" t="s">
        <v>1843</v>
      </c>
      <c r="C2293" s="19" t="n">
        <v>16</v>
      </c>
      <c r="D2293" s="17" t="s">
        <v>818</v>
      </c>
      <c r="E2293" s="19" t="n">
        <v>128</v>
      </c>
      <c r="F2293" s="17" t="s">
        <v>4223</v>
      </c>
      <c r="G2293" s="17" t="s">
        <v>1104</v>
      </c>
      <c r="H2293" s="19"/>
    </row>
    <row r="2294" customFormat="false" ht="15" hidden="false" customHeight="false" outlineLevel="0" collapsed="false">
      <c r="A2294" s="19" t="s">
        <v>2615</v>
      </c>
      <c r="B2294" s="19" t="s">
        <v>1849</v>
      </c>
      <c r="C2294" s="19" t="n">
        <v>16</v>
      </c>
      <c r="D2294" s="19" t="s">
        <v>829</v>
      </c>
      <c r="E2294" s="19" t="n">
        <v>8704</v>
      </c>
      <c r="F2294" s="17" t="s">
        <v>4224</v>
      </c>
      <c r="G2294" s="17" t="s">
        <v>1104</v>
      </c>
      <c r="H2294" s="19"/>
    </row>
    <row r="2295" customFormat="false" ht="15" hidden="false" customHeight="false" outlineLevel="0" collapsed="false">
      <c r="A2295" s="19" t="s">
        <v>2615</v>
      </c>
      <c r="B2295" s="19" t="s">
        <v>1851</v>
      </c>
      <c r="C2295" s="19" t="n">
        <v>16</v>
      </c>
      <c r="D2295" s="19" t="s">
        <v>832</v>
      </c>
      <c r="E2295" s="19" t="n">
        <v>4096</v>
      </c>
      <c r="F2295" s="17" t="s">
        <v>4225</v>
      </c>
      <c r="G2295" s="17" t="s">
        <v>1104</v>
      </c>
      <c r="H2295" s="19"/>
    </row>
    <row r="2296" customFormat="false" ht="15" hidden="false" customHeight="false" outlineLevel="0" collapsed="false">
      <c r="A2296" s="19" t="s">
        <v>2615</v>
      </c>
      <c r="B2296" s="19" t="s">
        <v>2324</v>
      </c>
      <c r="C2296" s="19" t="n">
        <v>16</v>
      </c>
      <c r="D2296" s="19" t="s">
        <v>3919</v>
      </c>
      <c r="E2296" s="19" t="n">
        <v>1</v>
      </c>
      <c r="F2296" s="17" t="s">
        <v>3920</v>
      </c>
      <c r="G2296" s="17" t="s">
        <v>1104</v>
      </c>
      <c r="H2296" s="19"/>
    </row>
    <row r="2297" customFormat="false" ht="15" hidden="false" customHeight="false" outlineLevel="0" collapsed="false">
      <c r="A2297" s="19" t="s">
        <v>2615</v>
      </c>
      <c r="B2297" s="19" t="s">
        <v>1630</v>
      </c>
      <c r="C2297" s="19" t="n">
        <v>16</v>
      </c>
      <c r="D2297" s="19" t="s">
        <v>3850</v>
      </c>
      <c r="E2297" s="19" t="n">
        <v>0.0357550334998836</v>
      </c>
      <c r="F2297" s="17" t="s">
        <v>4226</v>
      </c>
      <c r="G2297" s="17" t="s">
        <v>1104</v>
      </c>
      <c r="H2297" s="19"/>
    </row>
    <row r="2298" customFormat="false" ht="15" hidden="false" customHeight="false" outlineLevel="0" collapsed="false">
      <c r="A2298" s="19" t="s">
        <v>2615</v>
      </c>
      <c r="B2298" s="19" t="s">
        <v>4227</v>
      </c>
      <c r="C2298" s="19" t="n">
        <v>16</v>
      </c>
      <c r="D2298" s="19" t="s">
        <v>3923</v>
      </c>
      <c r="E2298" s="19" t="n">
        <v>3</v>
      </c>
      <c r="F2298" s="17" t="s">
        <v>3924</v>
      </c>
      <c r="G2298" s="17" t="s">
        <v>1104</v>
      </c>
      <c r="H2298" s="19"/>
    </row>
    <row r="2299" customFormat="false" ht="15" hidden="false" customHeight="false" outlineLevel="0" collapsed="false">
      <c r="A2299" s="19" t="s">
        <v>2615</v>
      </c>
      <c r="B2299" s="19" t="s">
        <v>4228</v>
      </c>
      <c r="C2299" s="19" t="n">
        <v>16</v>
      </c>
      <c r="D2299" s="19" t="s">
        <v>3926</v>
      </c>
      <c r="E2299" s="19" t="n">
        <v>0.7</v>
      </c>
      <c r="F2299" s="17" t="s">
        <v>3927</v>
      </c>
      <c r="G2299" s="17" t="s">
        <v>1104</v>
      </c>
      <c r="H2299" s="19"/>
    </row>
    <row r="2300" customFormat="false" ht="15" hidden="false" customHeight="false" outlineLevel="0" collapsed="false">
      <c r="A2300" s="19" t="s">
        <v>2615</v>
      </c>
      <c r="B2300" s="19" t="s">
        <v>4229</v>
      </c>
      <c r="C2300" s="19" t="n">
        <v>16</v>
      </c>
      <c r="D2300" s="19" t="s">
        <v>246</v>
      </c>
      <c r="E2300" s="19" t="n">
        <v>0.7</v>
      </c>
      <c r="F2300" s="17" t="s">
        <v>3929</v>
      </c>
      <c r="G2300" s="17" t="s">
        <v>1104</v>
      </c>
      <c r="H2300" s="19"/>
    </row>
    <row r="2301" customFormat="false" ht="15" hidden="false" customHeight="false" outlineLevel="0" collapsed="false">
      <c r="A2301" s="19" t="s">
        <v>2615</v>
      </c>
      <c r="B2301" s="19" t="s">
        <v>4230</v>
      </c>
      <c r="C2301" s="19" t="n">
        <v>16</v>
      </c>
      <c r="D2301" s="17" t="s">
        <v>861</v>
      </c>
      <c r="E2301" s="19" t="n">
        <v>921.6</v>
      </c>
      <c r="F2301" s="17" t="s">
        <v>4231</v>
      </c>
      <c r="G2301" s="17" t="s">
        <v>1104</v>
      </c>
      <c r="H2301" s="19"/>
    </row>
    <row r="2302" customFormat="false" ht="15" hidden="false" customHeight="false" outlineLevel="0" collapsed="false">
      <c r="A2302" s="19" t="s">
        <v>2615</v>
      </c>
      <c r="B2302" s="19" t="s">
        <v>4232</v>
      </c>
      <c r="C2302" s="19" t="n">
        <v>16</v>
      </c>
      <c r="D2302" s="19" t="s">
        <v>3932</v>
      </c>
      <c r="E2302" s="19" t="n">
        <v>64</v>
      </c>
      <c r="F2302" s="17" t="s">
        <v>4233</v>
      </c>
      <c r="G2302" s="17" t="s">
        <v>1104</v>
      </c>
      <c r="H2302" s="19"/>
    </row>
    <row r="2303" customFormat="false" ht="15" hidden="false" customHeight="false" outlineLevel="0" collapsed="false">
      <c r="A2303" s="19" t="s">
        <v>2615</v>
      </c>
      <c r="B2303" s="19" t="s">
        <v>4234</v>
      </c>
      <c r="C2303" s="19" t="n">
        <v>16</v>
      </c>
      <c r="D2303" s="17" t="s">
        <v>870</v>
      </c>
      <c r="E2303" s="19" t="n">
        <v>7.86052734375</v>
      </c>
      <c r="F2303" s="17" t="s">
        <v>4235</v>
      </c>
      <c r="G2303" s="17" t="s">
        <v>1104</v>
      </c>
      <c r="H2303" s="19"/>
    </row>
    <row r="2304" customFormat="false" ht="15" hidden="false" customHeight="false" outlineLevel="0" collapsed="false">
      <c r="A2304" s="19" t="s">
        <v>2615</v>
      </c>
      <c r="B2304" s="19" t="s">
        <v>4236</v>
      </c>
      <c r="C2304" s="19" t="n">
        <v>16</v>
      </c>
      <c r="D2304" s="19" t="s">
        <v>777</v>
      </c>
      <c r="E2304" s="19" t="n">
        <v>32</v>
      </c>
      <c r="F2304" s="17" t="s">
        <v>4237</v>
      </c>
      <c r="G2304" s="17" t="s">
        <v>1104</v>
      </c>
      <c r="H2304" s="19"/>
    </row>
    <row r="2305" customFormat="false" ht="15" hidden="false" customHeight="false" outlineLevel="0" collapsed="false">
      <c r="A2305" s="19" t="s">
        <v>2615</v>
      </c>
      <c r="B2305" s="19" t="s">
        <v>4238</v>
      </c>
      <c r="C2305" s="19" t="n">
        <v>16</v>
      </c>
      <c r="D2305" s="19" t="s">
        <v>3906</v>
      </c>
      <c r="E2305" s="19" t="n">
        <v>1.8</v>
      </c>
      <c r="F2305" s="17" t="s">
        <v>4239</v>
      </c>
      <c r="G2305" s="17" t="s">
        <v>1104</v>
      </c>
      <c r="H2305" s="19"/>
    </row>
    <row r="2306" customFormat="false" ht="15" hidden="false" customHeight="false" outlineLevel="0" collapsed="false">
      <c r="A2306" s="19" t="s">
        <v>2615</v>
      </c>
      <c r="B2306" s="19" t="s">
        <v>2336</v>
      </c>
      <c r="C2306" s="19" t="n">
        <v>16</v>
      </c>
      <c r="D2306" s="17" t="s">
        <v>798</v>
      </c>
      <c r="E2306" s="19" t="n">
        <v>61</v>
      </c>
      <c r="F2306" s="17" t="s">
        <v>4240</v>
      </c>
      <c r="G2306" s="17" t="s">
        <v>1104</v>
      </c>
      <c r="H2306" s="19"/>
    </row>
    <row r="2307" customFormat="false" ht="15" hidden="false" customHeight="false" outlineLevel="0" collapsed="false">
      <c r="A2307" s="19" t="s">
        <v>2615</v>
      </c>
      <c r="B2307" s="19" t="s">
        <v>2338</v>
      </c>
      <c r="C2307" s="19" t="n">
        <v>16</v>
      </c>
      <c r="D2307" s="19" t="s">
        <v>800</v>
      </c>
      <c r="E2307" s="19" t="n">
        <v>7168</v>
      </c>
      <c r="F2307" s="17" t="s">
        <v>4241</v>
      </c>
      <c r="G2307" s="17" t="s">
        <v>1104</v>
      </c>
      <c r="H2307" s="19"/>
    </row>
    <row r="2308" customFormat="false" ht="15" hidden="false" customHeight="false" outlineLevel="0" collapsed="false">
      <c r="A2308" s="19" t="s">
        <v>2615</v>
      </c>
      <c r="B2308" s="19" t="s">
        <v>1544</v>
      </c>
      <c r="C2308" s="19" t="n">
        <v>16</v>
      </c>
      <c r="D2308" s="17" t="s">
        <v>802</v>
      </c>
      <c r="E2308" s="19" t="n">
        <v>6</v>
      </c>
      <c r="F2308" s="17" t="s">
        <v>4242</v>
      </c>
      <c r="G2308" s="17" t="s">
        <v>1104</v>
      </c>
      <c r="H2308" s="19"/>
    </row>
    <row r="2309" customFormat="false" ht="15" hidden="false" customHeight="false" outlineLevel="0" collapsed="false">
      <c r="A2309" s="19" t="s">
        <v>2615</v>
      </c>
      <c r="B2309" s="19" t="s">
        <v>4243</v>
      </c>
      <c r="C2309" s="19" t="n">
        <v>16</v>
      </c>
      <c r="D2309" s="19" t="s">
        <v>3911</v>
      </c>
      <c r="E2309" s="19" t="n">
        <v>3965</v>
      </c>
      <c r="F2309" s="17" t="s">
        <v>4244</v>
      </c>
      <c r="G2309" s="17" t="s">
        <v>1104</v>
      </c>
      <c r="H2309" s="19"/>
    </row>
    <row r="2310" customFormat="false" ht="15" hidden="false" customHeight="false" outlineLevel="0" collapsed="false">
      <c r="A2310" s="19" t="s">
        <v>2615</v>
      </c>
      <c r="B2310" s="19" t="s">
        <v>4245</v>
      </c>
      <c r="C2310" s="19" t="n">
        <v>16</v>
      </c>
      <c r="D2310" s="17" t="s">
        <v>812</v>
      </c>
      <c r="E2310" s="19" t="n">
        <v>0.492</v>
      </c>
      <c r="F2310" s="17" t="s">
        <v>4246</v>
      </c>
      <c r="G2310" s="17" t="s">
        <v>1104</v>
      </c>
      <c r="H2310" s="19"/>
    </row>
    <row r="2311" customFormat="false" ht="15" hidden="false" customHeight="false" outlineLevel="0" collapsed="false">
      <c r="A2311" s="19" t="s">
        <v>2615</v>
      </c>
      <c r="B2311" s="19" t="s">
        <v>4247</v>
      </c>
      <c r="C2311" s="19" t="n">
        <v>16</v>
      </c>
      <c r="D2311" s="17" t="s">
        <v>814</v>
      </c>
      <c r="E2311" s="19" t="n">
        <v>4224</v>
      </c>
      <c r="F2311" s="17" t="s">
        <v>4248</v>
      </c>
      <c r="G2311" s="17" t="s">
        <v>1104</v>
      </c>
      <c r="H2311" s="19"/>
    </row>
    <row r="2312" customFormat="false" ht="15" hidden="false" customHeight="false" outlineLevel="0" collapsed="false">
      <c r="A2312" s="19" t="s">
        <v>2615</v>
      </c>
      <c r="B2312" s="19" t="s">
        <v>1857</v>
      </c>
      <c r="C2312" s="19" t="n">
        <v>16</v>
      </c>
      <c r="D2312" s="17" t="s">
        <v>816</v>
      </c>
      <c r="E2312" s="19" t="n">
        <v>128</v>
      </c>
      <c r="F2312" s="17" t="s">
        <v>4249</v>
      </c>
      <c r="G2312" s="17" t="s">
        <v>1104</v>
      </c>
      <c r="H2312" s="19"/>
    </row>
    <row r="2313" customFormat="false" ht="15" hidden="false" customHeight="false" outlineLevel="0" collapsed="false">
      <c r="A2313" s="19" t="s">
        <v>2615</v>
      </c>
      <c r="B2313" s="19" t="s">
        <v>1859</v>
      </c>
      <c r="C2313" s="19" t="n">
        <v>16</v>
      </c>
      <c r="D2313" s="17" t="s">
        <v>818</v>
      </c>
      <c r="E2313" s="19" t="n">
        <v>128</v>
      </c>
      <c r="F2313" s="17" t="s">
        <v>4250</v>
      </c>
      <c r="G2313" s="17" t="s">
        <v>1104</v>
      </c>
      <c r="H2313" s="19"/>
    </row>
    <row r="2314" customFormat="false" ht="15" hidden="false" customHeight="false" outlineLevel="0" collapsed="false">
      <c r="A2314" s="19" t="s">
        <v>2615</v>
      </c>
      <c r="B2314" s="19" t="s">
        <v>1865</v>
      </c>
      <c r="C2314" s="19" t="n">
        <v>16</v>
      </c>
      <c r="D2314" s="19" t="s">
        <v>829</v>
      </c>
      <c r="E2314" s="19" t="n">
        <v>17408</v>
      </c>
      <c r="F2314" s="17" t="s">
        <v>4251</v>
      </c>
      <c r="G2314" s="17" t="s">
        <v>1104</v>
      </c>
      <c r="H2314" s="19"/>
    </row>
    <row r="2315" customFormat="false" ht="15" hidden="false" customHeight="false" outlineLevel="0" collapsed="false">
      <c r="A2315" s="19" t="s">
        <v>2615</v>
      </c>
      <c r="B2315" s="19" t="s">
        <v>1867</v>
      </c>
      <c r="C2315" s="19" t="n">
        <v>16</v>
      </c>
      <c r="D2315" s="19" t="s">
        <v>832</v>
      </c>
      <c r="E2315" s="19" t="n">
        <v>8192</v>
      </c>
      <c r="F2315" s="17" t="s">
        <v>4252</v>
      </c>
      <c r="G2315" s="17" t="s">
        <v>1104</v>
      </c>
      <c r="H2315" s="19"/>
    </row>
    <row r="2316" customFormat="false" ht="15" hidden="false" customHeight="false" outlineLevel="0" collapsed="false">
      <c r="A2316" s="19" t="s">
        <v>2615</v>
      </c>
      <c r="B2316" s="19" t="s">
        <v>2347</v>
      </c>
      <c r="C2316" s="19" t="n">
        <v>16</v>
      </c>
      <c r="D2316" s="19" t="s">
        <v>3919</v>
      </c>
      <c r="E2316" s="19" t="n">
        <v>1</v>
      </c>
      <c r="F2316" s="17" t="s">
        <v>3920</v>
      </c>
      <c r="G2316" s="17" t="s">
        <v>1104</v>
      </c>
      <c r="H2316" s="19"/>
    </row>
    <row r="2317" customFormat="false" ht="15" hidden="false" customHeight="false" outlineLevel="0" collapsed="false">
      <c r="A2317" s="19" t="s">
        <v>2615</v>
      </c>
      <c r="B2317" s="19" t="s">
        <v>1636</v>
      </c>
      <c r="C2317" s="19" t="n">
        <v>16</v>
      </c>
      <c r="D2317" s="19" t="s">
        <v>3850</v>
      </c>
      <c r="E2317" s="19" t="n">
        <v>0.0357550334998836</v>
      </c>
      <c r="F2317" s="17" t="s">
        <v>4253</v>
      </c>
      <c r="G2317" s="17" t="s">
        <v>1104</v>
      </c>
      <c r="H2317" s="19"/>
    </row>
    <row r="2318" customFormat="false" ht="15" hidden="false" customHeight="false" outlineLevel="0" collapsed="false">
      <c r="A2318" s="19" t="s">
        <v>2615</v>
      </c>
      <c r="B2318" s="19" t="s">
        <v>4254</v>
      </c>
      <c r="C2318" s="19" t="n">
        <v>16</v>
      </c>
      <c r="D2318" s="19" t="s">
        <v>3923</v>
      </c>
      <c r="E2318" s="19" t="n">
        <v>3</v>
      </c>
      <c r="F2318" s="17" t="s">
        <v>3924</v>
      </c>
      <c r="G2318" s="17" t="s">
        <v>1104</v>
      </c>
      <c r="H2318" s="19"/>
    </row>
    <row r="2319" customFormat="false" ht="15" hidden="false" customHeight="false" outlineLevel="0" collapsed="false">
      <c r="A2319" s="19" t="s">
        <v>2615</v>
      </c>
      <c r="B2319" s="19" t="s">
        <v>4255</v>
      </c>
      <c r="C2319" s="19" t="n">
        <v>16</v>
      </c>
      <c r="D2319" s="19" t="s">
        <v>3926</v>
      </c>
      <c r="E2319" s="19" t="n">
        <v>0.7</v>
      </c>
      <c r="F2319" s="17" t="s">
        <v>3927</v>
      </c>
      <c r="G2319" s="17" t="s">
        <v>1104</v>
      </c>
      <c r="H2319" s="19"/>
    </row>
    <row r="2320" customFormat="false" ht="15" hidden="false" customHeight="false" outlineLevel="0" collapsed="false">
      <c r="A2320" s="19" t="s">
        <v>2615</v>
      </c>
      <c r="B2320" s="19" t="s">
        <v>4256</v>
      </c>
      <c r="C2320" s="19" t="n">
        <v>16</v>
      </c>
      <c r="D2320" s="19" t="s">
        <v>246</v>
      </c>
      <c r="E2320" s="19" t="n">
        <v>0.7</v>
      </c>
      <c r="F2320" s="17" t="s">
        <v>3929</v>
      </c>
      <c r="G2320" s="17" t="s">
        <v>1104</v>
      </c>
      <c r="H2320" s="19"/>
    </row>
    <row r="2321" customFormat="false" ht="15" hidden="false" customHeight="false" outlineLevel="0" collapsed="false">
      <c r="A2321" s="19" t="s">
        <v>2615</v>
      </c>
      <c r="B2321" s="19" t="s">
        <v>4257</v>
      </c>
      <c r="C2321" s="19" t="n">
        <v>16</v>
      </c>
      <c r="D2321" s="17" t="s">
        <v>861</v>
      </c>
      <c r="E2321" s="19" t="n">
        <v>921.6</v>
      </c>
      <c r="F2321" s="17" t="s">
        <v>4258</v>
      </c>
      <c r="G2321" s="17" t="s">
        <v>1104</v>
      </c>
      <c r="H2321" s="19"/>
    </row>
    <row r="2322" customFormat="false" ht="15" hidden="false" customHeight="false" outlineLevel="0" collapsed="false">
      <c r="A2322" s="19" t="s">
        <v>2615</v>
      </c>
      <c r="B2322" s="19" t="s">
        <v>4259</v>
      </c>
      <c r="C2322" s="19" t="n">
        <v>16</v>
      </c>
      <c r="D2322" s="19" t="s">
        <v>3932</v>
      </c>
      <c r="E2322" s="19" t="n">
        <v>64</v>
      </c>
      <c r="F2322" s="17" t="s">
        <v>4260</v>
      </c>
      <c r="G2322" s="17" t="s">
        <v>1104</v>
      </c>
      <c r="H2322" s="19"/>
    </row>
    <row r="2323" customFormat="false" ht="15" hidden="false" customHeight="false" outlineLevel="0" collapsed="false">
      <c r="A2323" s="19" t="s">
        <v>2615</v>
      </c>
      <c r="B2323" s="19" t="s">
        <v>4261</v>
      </c>
      <c r="C2323" s="19" t="n">
        <v>16</v>
      </c>
      <c r="D2323" s="17" t="s">
        <v>870</v>
      </c>
      <c r="E2323" s="19" t="n">
        <v>34.1620551215278</v>
      </c>
      <c r="F2323" s="17" t="s">
        <v>4262</v>
      </c>
      <c r="G2323" s="17" t="s">
        <v>1104</v>
      </c>
      <c r="H2323" s="19"/>
    </row>
    <row r="2324" customFormat="false" ht="15" hidden="false" customHeight="false" outlineLevel="0" collapsed="false">
      <c r="A2324" s="19" t="s">
        <v>2615</v>
      </c>
      <c r="B2324" s="19" t="s">
        <v>4263</v>
      </c>
      <c r="C2324" s="19" t="n">
        <v>16</v>
      </c>
      <c r="D2324" s="19" t="s">
        <v>777</v>
      </c>
      <c r="E2324" s="19" t="n">
        <v>32</v>
      </c>
      <c r="F2324" s="17" t="s">
        <v>4264</v>
      </c>
      <c r="G2324" s="17" t="s">
        <v>1104</v>
      </c>
      <c r="H2324" s="19"/>
    </row>
    <row r="2325" customFormat="false" ht="15" hidden="false" customHeight="false" outlineLevel="0" collapsed="false">
      <c r="A2325" s="19" t="s">
        <v>2615</v>
      </c>
      <c r="B2325" s="19" t="s">
        <v>4265</v>
      </c>
      <c r="C2325" s="19" t="n">
        <v>16</v>
      </c>
      <c r="D2325" s="19" t="s">
        <v>3906</v>
      </c>
      <c r="E2325" s="19" t="n">
        <v>1.8</v>
      </c>
      <c r="F2325" s="17" t="s">
        <v>4266</v>
      </c>
      <c r="G2325" s="17" t="s">
        <v>1104</v>
      </c>
      <c r="H2325" s="19"/>
    </row>
    <row r="2326" customFormat="false" ht="15" hidden="false" customHeight="false" outlineLevel="0" collapsed="false">
      <c r="A2326" s="19" t="s">
        <v>2615</v>
      </c>
      <c r="B2326" s="19" t="s">
        <v>2359</v>
      </c>
      <c r="C2326" s="19" t="n">
        <v>16</v>
      </c>
      <c r="D2326" s="17" t="s">
        <v>798</v>
      </c>
      <c r="E2326" s="19" t="n">
        <v>100</v>
      </c>
      <c r="F2326" s="17" t="s">
        <v>4267</v>
      </c>
      <c r="G2326" s="17" t="s">
        <v>1104</v>
      </c>
      <c r="H2326" s="19"/>
    </row>
    <row r="2327" customFormat="false" ht="15" hidden="false" customHeight="false" outlineLevel="0" collapsed="false">
      <c r="A2327" s="19" t="s">
        <v>2615</v>
      </c>
      <c r="B2327" s="19" t="s">
        <v>2361</v>
      </c>
      <c r="C2327" s="19" t="n">
        <v>16</v>
      </c>
      <c r="D2327" s="19" t="s">
        <v>800</v>
      </c>
      <c r="E2327" s="19" t="n">
        <v>12288</v>
      </c>
      <c r="F2327" s="17" t="s">
        <v>4268</v>
      </c>
      <c r="G2327" s="17" t="s">
        <v>1104</v>
      </c>
      <c r="H2327" s="19"/>
    </row>
    <row r="2328" customFormat="false" ht="15" hidden="false" customHeight="false" outlineLevel="0" collapsed="false">
      <c r="A2328" s="19" t="s">
        <v>2615</v>
      </c>
      <c r="B2328" s="19" t="s">
        <v>1550</v>
      </c>
      <c r="C2328" s="19" t="n">
        <v>16</v>
      </c>
      <c r="D2328" s="17" t="s">
        <v>802</v>
      </c>
      <c r="E2328" s="19" t="n">
        <v>16</v>
      </c>
      <c r="F2328" s="17" t="s">
        <v>4269</v>
      </c>
      <c r="G2328" s="17" t="s">
        <v>1104</v>
      </c>
      <c r="H2328" s="19"/>
    </row>
    <row r="2329" customFormat="false" ht="15" hidden="false" customHeight="false" outlineLevel="0" collapsed="false">
      <c r="A2329" s="19" t="s">
        <v>2615</v>
      </c>
      <c r="B2329" s="19" t="s">
        <v>4270</v>
      </c>
      <c r="C2329" s="19" t="n">
        <v>16</v>
      </c>
      <c r="D2329" s="19" t="s">
        <v>3911</v>
      </c>
      <c r="E2329" s="19" t="n">
        <v>57600</v>
      </c>
      <c r="F2329" s="17" t="s">
        <v>4271</v>
      </c>
      <c r="G2329" s="17" t="s">
        <v>1104</v>
      </c>
      <c r="H2329" s="19"/>
    </row>
    <row r="2330" customFormat="false" ht="15" hidden="false" customHeight="false" outlineLevel="0" collapsed="false">
      <c r="A2330" s="19" t="s">
        <v>2615</v>
      </c>
      <c r="B2330" s="19" t="s">
        <v>4272</v>
      </c>
      <c r="C2330" s="19" t="n">
        <v>16</v>
      </c>
      <c r="D2330" s="17" t="s">
        <v>812</v>
      </c>
      <c r="E2330" s="19" t="n">
        <v>1</v>
      </c>
      <c r="F2330" s="17" t="s">
        <v>4273</v>
      </c>
      <c r="G2330" s="17" t="s">
        <v>1104</v>
      </c>
      <c r="H2330" s="19"/>
    </row>
    <row r="2331" customFormat="false" ht="15" hidden="false" customHeight="false" outlineLevel="0" collapsed="false">
      <c r="A2331" s="19" t="s">
        <v>2615</v>
      </c>
      <c r="B2331" s="19" t="s">
        <v>4274</v>
      </c>
      <c r="C2331" s="19" t="n">
        <v>16</v>
      </c>
      <c r="D2331" s="17" t="s">
        <v>814</v>
      </c>
      <c r="E2331" s="19" t="n">
        <v>0</v>
      </c>
      <c r="F2331" s="17" t="s">
        <v>4275</v>
      </c>
      <c r="G2331" s="17" t="s">
        <v>1104</v>
      </c>
      <c r="H2331" s="19"/>
    </row>
    <row r="2332" customFormat="false" ht="15" hidden="false" customHeight="false" outlineLevel="0" collapsed="false">
      <c r="A2332" s="19" t="s">
        <v>2615</v>
      </c>
      <c r="B2332" s="19" t="s">
        <v>1873</v>
      </c>
      <c r="C2332" s="19" t="n">
        <v>16</v>
      </c>
      <c r="D2332" s="17" t="s">
        <v>816</v>
      </c>
      <c r="E2332" s="19" t="n">
        <v>1</v>
      </c>
      <c r="F2332" s="17" t="s">
        <v>4276</v>
      </c>
      <c r="G2332" s="17" t="s">
        <v>1104</v>
      </c>
      <c r="H2332" s="19"/>
    </row>
    <row r="2333" customFormat="false" ht="15" hidden="false" customHeight="false" outlineLevel="0" collapsed="false">
      <c r="A2333" s="19" t="s">
        <v>2615</v>
      </c>
      <c r="B2333" s="19" t="s">
        <v>1875</v>
      </c>
      <c r="C2333" s="19" t="n">
        <v>16</v>
      </c>
      <c r="D2333" s="17" t="s">
        <v>818</v>
      </c>
      <c r="E2333" s="19" t="n">
        <v>0</v>
      </c>
      <c r="F2333" s="17" t="s">
        <v>4277</v>
      </c>
      <c r="G2333" s="17" t="s">
        <v>1104</v>
      </c>
      <c r="H2333" s="19"/>
    </row>
    <row r="2334" customFormat="false" ht="15" hidden="false" customHeight="false" outlineLevel="0" collapsed="false">
      <c r="A2334" s="19" t="s">
        <v>2615</v>
      </c>
      <c r="B2334" s="19" t="s">
        <v>1881</v>
      </c>
      <c r="C2334" s="19" t="n">
        <v>16</v>
      </c>
      <c r="D2334" s="19" t="s">
        <v>829</v>
      </c>
      <c r="E2334" s="19" t="n">
        <v>34816</v>
      </c>
      <c r="F2334" s="17" t="s">
        <v>4278</v>
      </c>
      <c r="G2334" s="17" t="s">
        <v>1104</v>
      </c>
      <c r="H2334" s="19"/>
    </row>
    <row r="2335" customFormat="false" ht="15" hidden="false" customHeight="false" outlineLevel="0" collapsed="false">
      <c r="A2335" s="19" t="s">
        <v>2615</v>
      </c>
      <c r="B2335" s="19" t="s">
        <v>1883</v>
      </c>
      <c r="C2335" s="19" t="n">
        <v>16</v>
      </c>
      <c r="D2335" s="19" t="s">
        <v>832</v>
      </c>
      <c r="E2335" s="19" t="n">
        <v>16384</v>
      </c>
      <c r="F2335" s="17" t="s">
        <v>4279</v>
      </c>
      <c r="G2335" s="17" t="s">
        <v>1104</v>
      </c>
      <c r="H2335" s="19"/>
    </row>
    <row r="2336" customFormat="false" ht="15" hidden="false" customHeight="false" outlineLevel="0" collapsed="false">
      <c r="A2336" s="19" t="s">
        <v>2615</v>
      </c>
      <c r="B2336" s="19" t="s">
        <v>2370</v>
      </c>
      <c r="C2336" s="19" t="n">
        <v>16</v>
      </c>
      <c r="D2336" s="19" t="s">
        <v>3919</v>
      </c>
      <c r="E2336" s="19" t="n">
        <v>1</v>
      </c>
      <c r="F2336" s="17" t="s">
        <v>3920</v>
      </c>
      <c r="G2336" s="17" t="s">
        <v>1104</v>
      </c>
      <c r="H2336" s="19"/>
    </row>
    <row r="2337" customFormat="false" ht="15" hidden="false" customHeight="false" outlineLevel="0" collapsed="false">
      <c r="A2337" s="19" t="s">
        <v>2615</v>
      </c>
      <c r="B2337" s="19" t="s">
        <v>1642</v>
      </c>
      <c r="C2337" s="19" t="n">
        <v>16</v>
      </c>
      <c r="D2337" s="19" t="s">
        <v>3850</v>
      </c>
      <c r="E2337" s="19" t="n">
        <v>0.0357550334998836</v>
      </c>
      <c r="F2337" s="17" t="s">
        <v>4280</v>
      </c>
      <c r="G2337" s="17" t="s">
        <v>1104</v>
      </c>
      <c r="H2337" s="19"/>
    </row>
    <row r="2338" customFormat="false" ht="15" hidden="false" customHeight="false" outlineLevel="0" collapsed="false">
      <c r="A2338" s="19" t="s">
        <v>2615</v>
      </c>
      <c r="B2338" s="19" t="s">
        <v>4281</v>
      </c>
      <c r="C2338" s="19" t="n">
        <v>16</v>
      </c>
      <c r="D2338" s="19" t="s">
        <v>3923</v>
      </c>
      <c r="E2338" s="19" t="n">
        <v>3</v>
      </c>
      <c r="F2338" s="17" t="s">
        <v>3924</v>
      </c>
      <c r="G2338" s="17" t="s">
        <v>1104</v>
      </c>
      <c r="H2338" s="19"/>
    </row>
    <row r="2339" customFormat="false" ht="15" hidden="false" customHeight="false" outlineLevel="0" collapsed="false">
      <c r="A2339" s="19" t="s">
        <v>2615</v>
      </c>
      <c r="B2339" s="19" t="s">
        <v>4282</v>
      </c>
      <c r="C2339" s="19" t="n">
        <v>16</v>
      </c>
      <c r="D2339" s="19" t="s">
        <v>3926</v>
      </c>
      <c r="E2339" s="19" t="n">
        <v>0.7</v>
      </c>
      <c r="F2339" s="17" t="s">
        <v>3927</v>
      </c>
      <c r="G2339" s="17" t="s">
        <v>1104</v>
      </c>
      <c r="H2339" s="19"/>
    </row>
    <row r="2340" customFormat="false" ht="15" hidden="false" customHeight="false" outlineLevel="0" collapsed="false">
      <c r="A2340" s="19" t="s">
        <v>2615</v>
      </c>
      <c r="B2340" s="19" t="s">
        <v>4283</v>
      </c>
      <c r="C2340" s="19" t="n">
        <v>16</v>
      </c>
      <c r="D2340" s="19" t="s">
        <v>246</v>
      </c>
      <c r="E2340" s="19" t="n">
        <v>0.7</v>
      </c>
      <c r="F2340" s="17" t="s">
        <v>3929</v>
      </c>
      <c r="G2340" s="17" t="s">
        <v>1104</v>
      </c>
      <c r="H2340" s="19"/>
    </row>
    <row r="2341" customFormat="false" ht="15" hidden="false" customHeight="false" outlineLevel="0" collapsed="false">
      <c r="A2341" s="19" t="s">
        <v>2615</v>
      </c>
      <c r="B2341" s="19" t="s">
        <v>4284</v>
      </c>
      <c r="C2341" s="19" t="n">
        <v>16</v>
      </c>
      <c r="D2341" s="17" t="s">
        <v>861</v>
      </c>
      <c r="E2341" s="19" t="n">
        <v>921.6</v>
      </c>
      <c r="F2341" s="17" t="s">
        <v>4285</v>
      </c>
      <c r="G2341" s="17" t="s">
        <v>1104</v>
      </c>
      <c r="H2341" s="19"/>
    </row>
    <row r="2342" customFormat="false" ht="15" hidden="false" customHeight="false" outlineLevel="0" collapsed="false">
      <c r="A2342" s="19" t="s">
        <v>2615</v>
      </c>
      <c r="B2342" s="19" t="s">
        <v>4286</v>
      </c>
      <c r="C2342" s="19" t="n">
        <v>16</v>
      </c>
      <c r="D2342" s="19" t="s">
        <v>3932</v>
      </c>
      <c r="E2342" s="19" t="n">
        <v>64</v>
      </c>
      <c r="F2342" s="17" t="s">
        <v>4287</v>
      </c>
      <c r="G2342" s="17" t="s">
        <v>1104</v>
      </c>
      <c r="H2342" s="19"/>
    </row>
    <row r="2343" customFormat="false" ht="15" hidden="false" customHeight="false" outlineLevel="0" collapsed="false">
      <c r="A2343" s="19" t="s">
        <v>2615</v>
      </c>
      <c r="B2343" s="19" t="s">
        <v>4288</v>
      </c>
      <c r="C2343" s="19" t="n">
        <v>16</v>
      </c>
      <c r="D2343" s="17" t="s">
        <v>870</v>
      </c>
      <c r="E2343" s="19" t="n">
        <v>83.7975286668347</v>
      </c>
      <c r="F2343" s="17" t="s">
        <v>4289</v>
      </c>
      <c r="G2343" s="17" t="s">
        <v>1104</v>
      </c>
      <c r="H2343" s="19"/>
    </row>
    <row r="2344" customFormat="false" ht="15" hidden="false" customHeight="false" outlineLevel="0" collapsed="false">
      <c r="A2344" s="19" t="s">
        <v>2453</v>
      </c>
      <c r="B2344" s="19" t="s">
        <v>1390</v>
      </c>
      <c r="C2344" s="19" t="n">
        <v>16</v>
      </c>
      <c r="D2344" s="17" t="s">
        <v>4290</v>
      </c>
      <c r="E2344" s="19" t="n">
        <v>284.444714353584</v>
      </c>
      <c r="F2344" s="17" t="s">
        <v>4291</v>
      </c>
      <c r="G2344" s="17" t="s">
        <v>1104</v>
      </c>
      <c r="H2344" s="19"/>
    </row>
    <row r="2345" customFormat="false" ht="15" hidden="false" customHeight="false" outlineLevel="0" collapsed="false">
      <c r="A2345" s="19" t="s">
        <v>2453</v>
      </c>
      <c r="B2345" s="19" t="s">
        <v>1393</v>
      </c>
      <c r="C2345" s="19" t="n">
        <v>16</v>
      </c>
      <c r="D2345" s="17" t="s">
        <v>4290</v>
      </c>
      <c r="E2345" s="19" t="n">
        <v>284.444714353584</v>
      </c>
      <c r="F2345" s="17" t="s">
        <v>4292</v>
      </c>
      <c r="G2345" s="17" t="s">
        <v>1104</v>
      </c>
      <c r="H2345" s="19"/>
    </row>
    <row r="2346" customFormat="false" ht="15" hidden="false" customHeight="false" outlineLevel="0" collapsed="false">
      <c r="A2346" s="19" t="s">
        <v>2453</v>
      </c>
      <c r="B2346" s="19" t="s">
        <v>1395</v>
      </c>
      <c r="C2346" s="19" t="n">
        <v>16</v>
      </c>
      <c r="D2346" s="17" t="s">
        <v>4290</v>
      </c>
      <c r="E2346" s="19" t="n">
        <v>284.444714353584</v>
      </c>
      <c r="F2346" s="17" t="s">
        <v>4293</v>
      </c>
      <c r="G2346" s="17" t="s">
        <v>1104</v>
      </c>
      <c r="H2346" s="19"/>
    </row>
    <row r="2347" customFormat="false" ht="15" hidden="false" customHeight="false" outlineLevel="0" collapsed="false">
      <c r="A2347" s="19" t="s">
        <v>2453</v>
      </c>
      <c r="B2347" s="19" t="s">
        <v>1397</v>
      </c>
      <c r="C2347" s="19" t="n">
        <v>16</v>
      </c>
      <c r="D2347" s="17" t="s">
        <v>4290</v>
      </c>
      <c r="E2347" s="19" t="n">
        <v>189.629809569056</v>
      </c>
      <c r="F2347" s="17" t="s">
        <v>4294</v>
      </c>
      <c r="G2347" s="17" t="s">
        <v>1104</v>
      </c>
      <c r="H2347" s="19"/>
    </row>
    <row r="2348" customFormat="false" ht="15" hidden="false" customHeight="false" outlineLevel="0" collapsed="false">
      <c r="A2348" s="19" t="s">
        <v>2453</v>
      </c>
      <c r="B2348" s="19" t="s">
        <v>1399</v>
      </c>
      <c r="C2348" s="19" t="n">
        <v>16</v>
      </c>
      <c r="D2348" s="17" t="s">
        <v>4290</v>
      </c>
      <c r="E2348" s="19" t="n">
        <v>189.629809569056</v>
      </c>
      <c r="F2348" s="17" t="s">
        <v>4295</v>
      </c>
      <c r="G2348" s="17" t="s">
        <v>1104</v>
      </c>
      <c r="H2348" s="19"/>
    </row>
    <row r="2349" customFormat="false" ht="15" hidden="false" customHeight="false" outlineLevel="0" collapsed="false">
      <c r="A2349" s="19" t="s">
        <v>2453</v>
      </c>
      <c r="B2349" s="19" t="s">
        <v>1401</v>
      </c>
      <c r="C2349" s="19" t="n">
        <v>16</v>
      </c>
      <c r="D2349" s="17" t="s">
        <v>4290</v>
      </c>
      <c r="E2349" s="19" t="n">
        <v>189.629809569056</v>
      </c>
      <c r="F2349" s="17" t="s">
        <v>4296</v>
      </c>
      <c r="G2349" s="17" t="s">
        <v>1104</v>
      </c>
      <c r="H2349" s="19"/>
    </row>
    <row r="2350" customFormat="false" ht="15" hidden="false" customHeight="false" outlineLevel="0" collapsed="false">
      <c r="A2350" s="19" t="s">
        <v>2453</v>
      </c>
      <c r="B2350" s="19" t="s">
        <v>1403</v>
      </c>
      <c r="C2350" s="19" t="n">
        <v>16</v>
      </c>
      <c r="D2350" s="17" t="s">
        <v>4290</v>
      </c>
      <c r="E2350" s="19" t="n">
        <v>189.629809569056</v>
      </c>
      <c r="F2350" s="17" t="s">
        <v>4297</v>
      </c>
      <c r="G2350" s="17" t="s">
        <v>1104</v>
      </c>
      <c r="H2350" s="19"/>
    </row>
    <row r="2351" customFormat="false" ht="15" hidden="false" customHeight="false" outlineLevel="0" collapsed="false">
      <c r="A2351" s="19" t="s">
        <v>2453</v>
      </c>
      <c r="B2351" s="19" t="s">
        <v>1405</v>
      </c>
      <c r="C2351" s="19" t="n">
        <v>16</v>
      </c>
      <c r="D2351" s="17" t="s">
        <v>4290</v>
      </c>
      <c r="E2351" s="19" t="n">
        <v>189.629809569056</v>
      </c>
      <c r="F2351" s="17" t="s">
        <v>4298</v>
      </c>
      <c r="G2351" s="17" t="s">
        <v>1104</v>
      </c>
      <c r="H2351" s="19"/>
    </row>
    <row r="2352" customFormat="false" ht="15" hidden="false" customHeight="false" outlineLevel="0" collapsed="false">
      <c r="A2352" s="19" t="s">
        <v>2453</v>
      </c>
      <c r="B2352" s="19" t="s">
        <v>1407</v>
      </c>
      <c r="C2352" s="19" t="n">
        <v>16</v>
      </c>
      <c r="D2352" s="17" t="s">
        <v>4290</v>
      </c>
      <c r="E2352" s="19" t="n">
        <v>189.629809569056</v>
      </c>
      <c r="F2352" s="17" t="s">
        <v>4299</v>
      </c>
      <c r="G2352" s="17" t="s">
        <v>1104</v>
      </c>
      <c r="H2352" s="19"/>
    </row>
    <row r="2353" customFormat="false" ht="15" hidden="false" customHeight="false" outlineLevel="0" collapsed="false">
      <c r="A2353" s="19" t="s">
        <v>2453</v>
      </c>
      <c r="B2353" s="19" t="s">
        <v>1409</v>
      </c>
      <c r="C2353" s="19" t="n">
        <v>16</v>
      </c>
      <c r="D2353" s="17" t="s">
        <v>4290</v>
      </c>
      <c r="E2353" s="19" t="n">
        <v>189.629809569056</v>
      </c>
      <c r="F2353" s="17" t="s">
        <v>4300</v>
      </c>
      <c r="G2353" s="17" t="s">
        <v>1104</v>
      </c>
      <c r="H2353" s="19"/>
    </row>
    <row r="2354" customFormat="false" ht="15" hidden="false" customHeight="false" outlineLevel="0" collapsed="false">
      <c r="A2354" s="19" t="s">
        <v>2453</v>
      </c>
      <c r="B2354" s="19" t="s">
        <v>1411</v>
      </c>
      <c r="C2354" s="19" t="n">
        <v>16</v>
      </c>
      <c r="D2354" s="17" t="s">
        <v>4290</v>
      </c>
      <c r="E2354" s="19" t="n">
        <v>189.629809569056</v>
      </c>
      <c r="F2354" s="17" t="s">
        <v>4301</v>
      </c>
      <c r="G2354" s="17" t="s">
        <v>1104</v>
      </c>
      <c r="H2354" s="19"/>
    </row>
    <row r="2355" customFormat="false" ht="15" hidden="false" customHeight="false" outlineLevel="0" collapsed="false">
      <c r="A2355" s="19" t="s">
        <v>2453</v>
      </c>
      <c r="B2355" s="19" t="s">
        <v>1413</v>
      </c>
      <c r="C2355" s="19" t="n">
        <v>16</v>
      </c>
      <c r="D2355" s="17" t="s">
        <v>4290</v>
      </c>
      <c r="E2355" s="19" t="n">
        <v>189.629809569056</v>
      </c>
      <c r="F2355" s="17" t="s">
        <v>4302</v>
      </c>
      <c r="G2355" s="17" t="s">
        <v>1104</v>
      </c>
      <c r="H2355" s="19"/>
    </row>
    <row r="2356" customFormat="false" ht="15" hidden="false" customHeight="false" outlineLevel="0" collapsed="false">
      <c r="A2356" s="19" t="s">
        <v>2453</v>
      </c>
      <c r="B2356" s="19" t="s">
        <v>1415</v>
      </c>
      <c r="C2356" s="19" t="n">
        <v>16</v>
      </c>
      <c r="D2356" s="17" t="s">
        <v>4290</v>
      </c>
      <c r="E2356" s="19" t="n">
        <v>189.629809569056</v>
      </c>
      <c r="F2356" s="17" t="s">
        <v>4303</v>
      </c>
      <c r="G2356" s="17" t="s">
        <v>1104</v>
      </c>
      <c r="H2356" s="19"/>
    </row>
    <row r="2357" customFormat="false" ht="15" hidden="false" customHeight="false" outlineLevel="0" collapsed="false">
      <c r="A2357" s="19" t="s">
        <v>2453</v>
      </c>
      <c r="B2357" s="19" t="s">
        <v>1417</v>
      </c>
      <c r="C2357" s="19" t="n">
        <v>16</v>
      </c>
      <c r="D2357" s="17" t="s">
        <v>4290</v>
      </c>
      <c r="E2357" s="19" t="n">
        <v>189.629809569056</v>
      </c>
      <c r="F2357" s="17" t="s">
        <v>4304</v>
      </c>
      <c r="G2357" s="17" t="s">
        <v>1104</v>
      </c>
      <c r="H2357" s="19"/>
    </row>
    <row r="2358" customFormat="false" ht="15" hidden="false" customHeight="false" outlineLevel="0" collapsed="false">
      <c r="A2358" s="19" t="s">
        <v>2453</v>
      </c>
      <c r="B2358" s="19" t="s">
        <v>1419</v>
      </c>
      <c r="C2358" s="19" t="n">
        <v>16</v>
      </c>
      <c r="D2358" s="17" t="s">
        <v>4290</v>
      </c>
      <c r="E2358" s="19" t="n">
        <v>189.629809569056</v>
      </c>
      <c r="F2358" s="17" t="s">
        <v>4305</v>
      </c>
      <c r="G2358" s="17" t="s">
        <v>1104</v>
      </c>
      <c r="H2358" s="19"/>
    </row>
    <row r="2359" customFormat="false" ht="15" hidden="false" customHeight="false" outlineLevel="0" collapsed="false">
      <c r="A2359" s="55" t="s">
        <v>3680</v>
      </c>
      <c r="B2359" s="55" t="s">
        <v>1335</v>
      </c>
      <c r="C2359" s="55" t="n">
        <v>16</v>
      </c>
      <c r="D2359" s="55" t="s">
        <v>4306</v>
      </c>
      <c r="E2359" s="55" t="n">
        <v>5</v>
      </c>
      <c r="F2359" s="55"/>
      <c r="G2359" s="66" t="s">
        <v>1122</v>
      </c>
      <c r="H2359" s="55"/>
    </row>
    <row r="2360" customFormat="false" ht="15" hidden="false" customHeight="false" outlineLevel="0" collapsed="false">
      <c r="A2360" s="55" t="s">
        <v>3680</v>
      </c>
      <c r="B2360" s="55" t="s">
        <v>4307</v>
      </c>
      <c r="C2360" s="55" t="n">
        <v>16</v>
      </c>
      <c r="D2360" s="55" t="s">
        <v>4308</v>
      </c>
      <c r="E2360" s="55" t="n">
        <v>4</v>
      </c>
      <c r="F2360" s="55"/>
      <c r="G2360" s="66" t="s">
        <v>1122</v>
      </c>
      <c r="H2360" s="55"/>
    </row>
    <row r="2361" customFormat="false" ht="15" hidden="false" customHeight="false" outlineLevel="0" collapsed="false">
      <c r="A2361" s="55" t="s">
        <v>3680</v>
      </c>
      <c r="B2361" s="55" t="s">
        <v>2678</v>
      </c>
      <c r="C2361" s="55" t="n">
        <v>16</v>
      </c>
      <c r="D2361" s="55" t="s">
        <v>4309</v>
      </c>
      <c r="E2361" s="55" t="n">
        <v>2.8</v>
      </c>
      <c r="F2361" s="55"/>
      <c r="G2361" s="66" t="s">
        <v>1122</v>
      </c>
      <c r="H2361" s="55"/>
    </row>
    <row r="2362" customFormat="false" ht="15" hidden="false" customHeight="false" outlineLevel="0" collapsed="false">
      <c r="A2362" s="55" t="s">
        <v>3680</v>
      </c>
      <c r="B2362" s="55" t="s">
        <v>2688</v>
      </c>
      <c r="C2362" s="55" t="n">
        <v>16</v>
      </c>
      <c r="D2362" s="55" t="s">
        <v>4309</v>
      </c>
      <c r="E2362" s="55" t="n">
        <v>3.4</v>
      </c>
      <c r="F2362" s="55"/>
      <c r="G2362" s="66" t="s">
        <v>1122</v>
      </c>
      <c r="H2362" s="55"/>
    </row>
    <row r="2363" customFormat="false" ht="15" hidden="false" customHeight="false" outlineLevel="0" collapsed="false">
      <c r="A2363" s="55" t="s">
        <v>3365</v>
      </c>
      <c r="B2363" s="55" t="s">
        <v>1385</v>
      </c>
      <c r="C2363" s="55" t="n">
        <v>16</v>
      </c>
      <c r="D2363" s="66" t="s">
        <v>4310</v>
      </c>
      <c r="E2363" s="55" t="n">
        <v>8</v>
      </c>
      <c r="F2363" s="55"/>
      <c r="G2363" s="66" t="s">
        <v>1122</v>
      </c>
      <c r="H2363" s="55" t="s">
        <v>140</v>
      </c>
    </row>
    <row r="2364" customFormat="false" ht="15" hidden="false" customHeight="false" outlineLevel="0" collapsed="false">
      <c r="A2364" s="55" t="s">
        <v>3365</v>
      </c>
      <c r="B2364" s="55" t="s">
        <v>3092</v>
      </c>
      <c r="C2364" s="55" t="n">
        <v>16</v>
      </c>
      <c r="D2364" s="55" t="s">
        <v>4311</v>
      </c>
      <c r="E2364" s="55" t="n">
        <v>1.5</v>
      </c>
      <c r="F2364" s="55"/>
      <c r="G2364" s="66" t="s">
        <v>1122</v>
      </c>
      <c r="H2364" s="55" t="s">
        <v>140</v>
      </c>
    </row>
    <row r="2365" customFormat="false" ht="15" hidden="false" customHeight="false" outlineLevel="0" collapsed="false">
      <c r="A2365" s="55" t="s">
        <v>3365</v>
      </c>
      <c r="B2365" s="55" t="s">
        <v>3602</v>
      </c>
      <c r="C2365" s="55" t="n">
        <v>16</v>
      </c>
      <c r="D2365" s="55" t="s">
        <v>4312</v>
      </c>
      <c r="E2365" s="55" t="n">
        <v>2.5</v>
      </c>
      <c r="F2365" s="55"/>
      <c r="G2365" s="66" t="s">
        <v>1122</v>
      </c>
      <c r="H2365" s="55" t="s">
        <v>140</v>
      </c>
    </row>
    <row r="2366" customFormat="false" ht="15" hidden="false" customHeight="false" outlineLevel="0" collapsed="false">
      <c r="A2366" s="55" t="s">
        <v>3365</v>
      </c>
      <c r="B2366" s="55" t="s">
        <v>1387</v>
      </c>
      <c r="C2366" s="55" t="n">
        <v>16</v>
      </c>
      <c r="D2366" s="66" t="s">
        <v>4310</v>
      </c>
      <c r="E2366" s="55" t="n">
        <v>4</v>
      </c>
      <c r="F2366" s="55"/>
      <c r="G2366" s="66" t="s">
        <v>1122</v>
      </c>
      <c r="H2366" s="55" t="s">
        <v>224</v>
      </c>
    </row>
    <row r="2367" customFormat="false" ht="15" hidden="false" customHeight="false" outlineLevel="0" collapsed="false">
      <c r="A2367" s="19" t="s">
        <v>3365</v>
      </c>
      <c r="B2367" s="19" t="s">
        <v>1388</v>
      </c>
      <c r="C2367" s="19" t="n">
        <v>16</v>
      </c>
      <c r="D2367" s="17" t="s">
        <v>4313</v>
      </c>
      <c r="E2367" s="19" t="n">
        <v>4</v>
      </c>
      <c r="F2367" s="17" t="s">
        <v>4314</v>
      </c>
      <c r="G2367" s="17" t="s">
        <v>1104</v>
      </c>
      <c r="H2367" s="17" t="s">
        <v>226</v>
      </c>
    </row>
    <row r="2368" customFormat="false" ht="15" hidden="false" customHeight="false" outlineLevel="0" collapsed="false">
      <c r="A2368" s="55" t="s">
        <v>3365</v>
      </c>
      <c r="B2368" s="55" t="s">
        <v>2533</v>
      </c>
      <c r="C2368" s="55" t="n">
        <v>16</v>
      </c>
      <c r="D2368" s="66" t="s">
        <v>4310</v>
      </c>
      <c r="E2368" s="55" t="n">
        <v>4</v>
      </c>
      <c r="F2368" s="55"/>
      <c r="G2368" s="66" t="s">
        <v>1122</v>
      </c>
      <c r="H2368" s="55" t="s">
        <v>224</v>
      </c>
    </row>
    <row r="2369" customFormat="false" ht="15" hidden="false" customHeight="false" outlineLevel="0" collapsed="false">
      <c r="A2369" s="55" t="s">
        <v>3365</v>
      </c>
      <c r="B2369" s="55" t="s">
        <v>2539</v>
      </c>
      <c r="C2369" s="55" t="n">
        <v>16</v>
      </c>
      <c r="D2369" s="66" t="s">
        <v>4310</v>
      </c>
      <c r="E2369" s="55" t="n">
        <v>8</v>
      </c>
      <c r="F2369" s="55"/>
      <c r="G2369" s="66" t="s">
        <v>1122</v>
      </c>
      <c r="H2369" s="55" t="s">
        <v>140</v>
      </c>
    </row>
    <row r="2370" customFormat="false" ht="15" hidden="false" customHeight="false" outlineLevel="0" collapsed="false">
      <c r="A2370" s="19" t="s">
        <v>4315</v>
      </c>
      <c r="B2370" s="19" t="s">
        <v>1339</v>
      </c>
      <c r="C2370" s="19" t="n">
        <v>17</v>
      </c>
      <c r="D2370" s="17" t="s">
        <v>4316</v>
      </c>
      <c r="E2370" s="19" t="n">
        <v>6</v>
      </c>
      <c r="F2370" s="17" t="s">
        <v>4317</v>
      </c>
      <c r="G2370" s="17" t="s">
        <v>1104</v>
      </c>
      <c r="H2370" s="17" t="s">
        <v>226</v>
      </c>
    </row>
    <row r="2371" customFormat="false" ht="15" hidden="false" customHeight="false" outlineLevel="0" collapsed="false">
      <c r="A2371" s="19" t="s">
        <v>4315</v>
      </c>
      <c r="B2371" s="19" t="s">
        <v>2041</v>
      </c>
      <c r="C2371" s="19" t="n">
        <v>17</v>
      </c>
      <c r="D2371" s="19" t="s">
        <v>4318</v>
      </c>
      <c r="E2371" s="19" t="n">
        <v>2795</v>
      </c>
      <c r="F2371" s="17" t="s">
        <v>4319</v>
      </c>
      <c r="G2371" s="17" t="s">
        <v>1104</v>
      </c>
      <c r="H2371" s="19"/>
    </row>
    <row r="2372" customFormat="false" ht="15" hidden="false" customHeight="false" outlineLevel="0" collapsed="false">
      <c r="A2372" s="19" t="s">
        <v>4315</v>
      </c>
      <c r="B2372" s="19" t="s">
        <v>1282</v>
      </c>
      <c r="C2372" s="19" t="n">
        <v>17</v>
      </c>
      <c r="D2372" s="17" t="s">
        <v>798</v>
      </c>
      <c r="E2372" s="19" t="n">
        <v>43</v>
      </c>
      <c r="F2372" s="17" t="s">
        <v>4320</v>
      </c>
      <c r="G2372" s="17" t="s">
        <v>1104</v>
      </c>
      <c r="H2372" s="17" t="s">
        <v>226</v>
      </c>
    </row>
    <row r="2373" customFormat="false" ht="15" hidden="false" customHeight="false" outlineLevel="0" collapsed="false">
      <c r="A2373" s="19" t="s">
        <v>4315</v>
      </c>
      <c r="B2373" s="19" t="s">
        <v>1228</v>
      </c>
      <c r="C2373" s="19" t="n">
        <v>17</v>
      </c>
      <c r="D2373" s="19" t="s">
        <v>800</v>
      </c>
      <c r="E2373" s="19" t="n">
        <v>4096</v>
      </c>
      <c r="F2373" s="17" t="s">
        <v>4321</v>
      </c>
      <c r="G2373" s="17" t="s">
        <v>1104</v>
      </c>
      <c r="H2373" s="17" t="s">
        <v>226</v>
      </c>
    </row>
    <row r="2374" customFormat="false" ht="15" hidden="false" customHeight="false" outlineLevel="0" collapsed="false">
      <c r="A2374" s="19" t="s">
        <v>4315</v>
      </c>
      <c r="B2374" s="19" t="s">
        <v>1342</v>
      </c>
      <c r="C2374" s="19" t="n">
        <v>17</v>
      </c>
      <c r="D2374" s="17" t="s">
        <v>4316</v>
      </c>
      <c r="E2374" s="19" t="n">
        <v>6</v>
      </c>
      <c r="F2374" s="17" t="s">
        <v>4317</v>
      </c>
      <c r="G2374" s="17" t="s">
        <v>1104</v>
      </c>
      <c r="H2374" s="17" t="s">
        <v>226</v>
      </c>
    </row>
    <row r="2375" customFormat="false" ht="15" hidden="false" customHeight="false" outlineLevel="0" collapsed="false">
      <c r="A2375" s="19" t="s">
        <v>4315</v>
      </c>
      <c r="B2375" s="19" t="s">
        <v>2063</v>
      </c>
      <c r="C2375" s="19" t="n">
        <v>17</v>
      </c>
      <c r="D2375" s="19" t="s">
        <v>4318</v>
      </c>
      <c r="E2375" s="19" t="n">
        <v>3965</v>
      </c>
      <c r="F2375" s="17" t="s">
        <v>4322</v>
      </c>
      <c r="G2375" s="17" t="s">
        <v>1104</v>
      </c>
      <c r="H2375" s="19"/>
    </row>
    <row r="2376" customFormat="false" ht="15" hidden="false" customHeight="false" outlineLevel="0" collapsed="false">
      <c r="A2376" s="19" t="s">
        <v>4315</v>
      </c>
      <c r="B2376" s="19" t="s">
        <v>2522</v>
      </c>
      <c r="C2376" s="19" t="n">
        <v>17</v>
      </c>
      <c r="D2376" s="17" t="s">
        <v>798</v>
      </c>
      <c r="E2376" s="19" t="n">
        <v>61</v>
      </c>
      <c r="F2376" s="17" t="s">
        <v>4323</v>
      </c>
      <c r="G2376" s="17" t="s">
        <v>1104</v>
      </c>
      <c r="H2376" s="17" t="s">
        <v>226</v>
      </c>
    </row>
    <row r="2377" customFormat="false" ht="15" hidden="false" customHeight="false" outlineLevel="0" collapsed="false">
      <c r="A2377" s="19" t="s">
        <v>4315</v>
      </c>
      <c r="B2377" s="19" t="s">
        <v>2687</v>
      </c>
      <c r="C2377" s="19" t="n">
        <v>17</v>
      </c>
      <c r="D2377" s="19" t="s">
        <v>800</v>
      </c>
      <c r="E2377" s="19" t="n">
        <v>7168</v>
      </c>
      <c r="F2377" s="17" t="s">
        <v>4324</v>
      </c>
      <c r="G2377" s="17" t="s">
        <v>1104</v>
      </c>
      <c r="H2377" s="17" t="s">
        <v>226</v>
      </c>
    </row>
    <row r="2378" customFormat="false" ht="15" hidden="false" customHeight="false" outlineLevel="0" collapsed="false">
      <c r="A2378" s="55" t="s">
        <v>4315</v>
      </c>
      <c r="B2378" s="55" t="s">
        <v>1344</v>
      </c>
      <c r="C2378" s="55" t="n">
        <v>17</v>
      </c>
      <c r="D2378" s="66" t="s">
        <v>4325</v>
      </c>
      <c r="E2378" s="55" t="n">
        <v>16</v>
      </c>
      <c r="F2378" s="55"/>
      <c r="G2378" s="66" t="s">
        <v>1122</v>
      </c>
      <c r="H2378" s="55" t="s">
        <v>140</v>
      </c>
    </row>
    <row r="2379" customFormat="false" ht="15" hidden="false" customHeight="false" outlineLevel="0" collapsed="false">
      <c r="A2379" s="19" t="s">
        <v>4315</v>
      </c>
      <c r="B2379" s="19" t="s">
        <v>2083</v>
      </c>
      <c r="C2379" s="19" t="n">
        <v>17</v>
      </c>
      <c r="D2379" s="19" t="s">
        <v>4318</v>
      </c>
      <c r="E2379" s="19" t="n">
        <v>57600</v>
      </c>
      <c r="F2379" s="17" t="s">
        <v>4326</v>
      </c>
      <c r="G2379" s="17" t="s">
        <v>1104</v>
      </c>
      <c r="H2379" s="19"/>
    </row>
    <row r="2380" customFormat="false" ht="15" hidden="false" customHeight="false" outlineLevel="0" collapsed="false">
      <c r="A2380" s="55" t="s">
        <v>4315</v>
      </c>
      <c r="B2380" s="55" t="s">
        <v>2531</v>
      </c>
      <c r="C2380" s="55" t="n">
        <v>17</v>
      </c>
      <c r="D2380" s="66" t="s">
        <v>798</v>
      </c>
      <c r="E2380" s="55" t="n">
        <v>100</v>
      </c>
      <c r="F2380" s="55"/>
      <c r="G2380" s="66" t="s">
        <v>1122</v>
      </c>
      <c r="H2380" s="55" t="s">
        <v>140</v>
      </c>
    </row>
    <row r="2381" customFormat="false" ht="15" hidden="false" customHeight="false" outlineLevel="0" collapsed="false">
      <c r="A2381" s="55" t="s">
        <v>4315</v>
      </c>
      <c r="B2381" s="55" t="s">
        <v>2692</v>
      </c>
      <c r="C2381" s="55" t="n">
        <v>17</v>
      </c>
      <c r="D2381" s="55" t="s">
        <v>800</v>
      </c>
      <c r="E2381" s="55" t="n">
        <v>12288</v>
      </c>
      <c r="F2381" s="55"/>
      <c r="G2381" s="66" t="s">
        <v>1122</v>
      </c>
      <c r="H2381" s="55" t="s">
        <v>140</v>
      </c>
    </row>
    <row r="2382" customFormat="false" ht="15" hidden="false" customHeight="false" outlineLevel="0" collapsed="false">
      <c r="A2382" s="19" t="s">
        <v>3369</v>
      </c>
      <c r="B2382" s="19" t="s">
        <v>3931</v>
      </c>
      <c r="C2382" s="19" t="n">
        <v>17</v>
      </c>
      <c r="D2382" s="17" t="s">
        <v>4327</v>
      </c>
      <c r="E2382" s="19" t="n">
        <v>241.778007200547</v>
      </c>
      <c r="F2382" s="17" t="s">
        <v>4328</v>
      </c>
      <c r="G2382" s="17" t="s">
        <v>1104</v>
      </c>
      <c r="H2382" s="19"/>
    </row>
    <row r="2383" customFormat="false" ht="15" hidden="false" customHeight="false" outlineLevel="0" collapsed="false">
      <c r="A2383" s="19" t="s">
        <v>3369</v>
      </c>
      <c r="B2383" s="19" t="s">
        <v>3952</v>
      </c>
      <c r="C2383" s="19" t="n">
        <v>17</v>
      </c>
      <c r="D2383" s="17" t="s">
        <v>4327</v>
      </c>
      <c r="E2383" s="19" t="n">
        <v>161.185338133698</v>
      </c>
      <c r="F2383" s="17" t="s">
        <v>4329</v>
      </c>
      <c r="G2383" s="17" t="s">
        <v>1104</v>
      </c>
      <c r="H2383" s="19"/>
    </row>
    <row r="2384" customFormat="false" ht="15" hidden="false" customHeight="false" outlineLevel="0" collapsed="false">
      <c r="A2384" s="19" t="s">
        <v>3369</v>
      </c>
      <c r="B2384" s="19" t="s">
        <v>3972</v>
      </c>
      <c r="C2384" s="19" t="n">
        <v>17</v>
      </c>
      <c r="D2384" s="17" t="s">
        <v>4327</v>
      </c>
      <c r="E2384" s="19" t="n">
        <v>161.185338133698</v>
      </c>
      <c r="F2384" s="17" t="s">
        <v>4330</v>
      </c>
      <c r="G2384" s="17" t="s">
        <v>1104</v>
      </c>
      <c r="H2384" s="19"/>
    </row>
    <row r="2385" customFormat="false" ht="15" hidden="false" customHeight="false" outlineLevel="0" collapsed="false">
      <c r="A2385" s="19" t="s">
        <v>3369</v>
      </c>
      <c r="B2385" s="19" t="s">
        <v>3992</v>
      </c>
      <c r="C2385" s="19" t="n">
        <v>17</v>
      </c>
      <c r="D2385" s="17" t="s">
        <v>4327</v>
      </c>
      <c r="E2385" s="19" t="n">
        <v>161.185338133698</v>
      </c>
      <c r="F2385" s="17" t="s">
        <v>4331</v>
      </c>
      <c r="G2385" s="17" t="s">
        <v>1104</v>
      </c>
      <c r="H2385" s="19"/>
    </row>
    <row r="2386" customFormat="false" ht="15" hidden="false" customHeight="false" outlineLevel="0" collapsed="false">
      <c r="A2386" s="19" t="s">
        <v>3369</v>
      </c>
      <c r="B2386" s="19" t="s">
        <v>4017</v>
      </c>
      <c r="C2386" s="19" t="n">
        <v>17</v>
      </c>
      <c r="D2386" s="17" t="s">
        <v>4327</v>
      </c>
      <c r="E2386" s="19" t="n">
        <v>161.185338133698</v>
      </c>
      <c r="F2386" s="17" t="s">
        <v>4332</v>
      </c>
      <c r="G2386" s="17" t="s">
        <v>1104</v>
      </c>
      <c r="H2386" s="19"/>
    </row>
    <row r="2387" customFormat="false" ht="15" hidden="false" customHeight="false" outlineLevel="0" collapsed="false">
      <c r="A2387" s="19" t="s">
        <v>2615</v>
      </c>
      <c r="B2387" s="19" t="s">
        <v>1120</v>
      </c>
      <c r="C2387" s="19" t="n">
        <v>17</v>
      </c>
      <c r="D2387" s="19" t="s">
        <v>4333</v>
      </c>
      <c r="E2387" s="19" t="n">
        <v>1</v>
      </c>
      <c r="F2387" s="17" t="s">
        <v>4334</v>
      </c>
      <c r="G2387" s="17" t="s">
        <v>1104</v>
      </c>
      <c r="H2387" s="19"/>
    </row>
    <row r="2388" customFormat="false" ht="15" hidden="false" customHeight="false" outlineLevel="0" collapsed="false">
      <c r="A2388" s="19" t="s">
        <v>2615</v>
      </c>
      <c r="B2388" s="19" t="s">
        <v>1147</v>
      </c>
      <c r="C2388" s="19" t="n">
        <v>17</v>
      </c>
      <c r="D2388" s="19" t="s">
        <v>782</v>
      </c>
      <c r="E2388" s="19" t="n">
        <v>64</v>
      </c>
      <c r="F2388" s="17" t="s">
        <v>4335</v>
      </c>
      <c r="G2388" s="17" t="s">
        <v>1104</v>
      </c>
      <c r="H2388" s="19"/>
    </row>
    <row r="2389" customFormat="false" ht="15" hidden="false" customHeight="false" outlineLevel="0" collapsed="false">
      <c r="A2389" s="19" t="s">
        <v>2615</v>
      </c>
      <c r="B2389" s="19" t="s">
        <v>1210</v>
      </c>
      <c r="C2389" s="19" t="n">
        <v>17</v>
      </c>
      <c r="D2389" s="17" t="s">
        <v>4336</v>
      </c>
      <c r="E2389" s="19" t="n">
        <v>1</v>
      </c>
      <c r="F2389" s="17" t="s">
        <v>4337</v>
      </c>
      <c r="G2389" s="17" t="s">
        <v>1104</v>
      </c>
      <c r="H2389" s="19"/>
    </row>
    <row r="2390" customFormat="false" ht="15" hidden="false" customHeight="false" outlineLevel="0" collapsed="false">
      <c r="A2390" s="19" t="s">
        <v>2615</v>
      </c>
      <c r="B2390" s="19" t="s">
        <v>1213</v>
      </c>
      <c r="C2390" s="19" t="n">
        <v>17</v>
      </c>
      <c r="D2390" s="17" t="s">
        <v>4338</v>
      </c>
      <c r="E2390" s="19" t="n">
        <v>1</v>
      </c>
      <c r="F2390" s="17" t="s">
        <v>4339</v>
      </c>
      <c r="G2390" s="17" t="s">
        <v>1104</v>
      </c>
      <c r="H2390" s="19"/>
    </row>
    <row r="2391" customFormat="false" ht="15" hidden="false" customHeight="false" outlineLevel="0" collapsed="false">
      <c r="A2391" s="19" t="s">
        <v>2615</v>
      </c>
      <c r="B2391" s="19" t="s">
        <v>1385</v>
      </c>
      <c r="C2391" s="19" t="n">
        <v>17</v>
      </c>
      <c r="D2391" s="17" t="s">
        <v>804</v>
      </c>
      <c r="E2391" s="19" t="n">
        <v>5.412</v>
      </c>
      <c r="F2391" s="17" t="s">
        <v>4340</v>
      </c>
      <c r="G2391" s="17" t="s">
        <v>1104</v>
      </c>
      <c r="H2391" s="19"/>
    </row>
    <row r="2392" customFormat="false" ht="15" hidden="false" customHeight="false" outlineLevel="0" collapsed="false">
      <c r="A2392" s="19" t="s">
        <v>2615</v>
      </c>
      <c r="B2392" s="19" t="s">
        <v>1159</v>
      </c>
      <c r="C2392" s="19" t="n">
        <v>17</v>
      </c>
      <c r="D2392" s="17" t="s">
        <v>806</v>
      </c>
      <c r="E2392" s="19" t="n">
        <v>278.588</v>
      </c>
      <c r="F2392" s="17" t="s">
        <v>4341</v>
      </c>
      <c r="G2392" s="17" t="s">
        <v>1104</v>
      </c>
      <c r="H2392" s="19"/>
    </row>
    <row r="2393" customFormat="false" ht="15" hidden="false" customHeight="false" outlineLevel="0" collapsed="false">
      <c r="A2393" s="19" t="s">
        <v>2615</v>
      </c>
      <c r="B2393" s="19" t="s">
        <v>1199</v>
      </c>
      <c r="C2393" s="19" t="n">
        <v>17</v>
      </c>
      <c r="D2393" s="17" t="s">
        <v>4342</v>
      </c>
      <c r="E2393" s="19" t="n">
        <v>0.7</v>
      </c>
      <c r="F2393" s="17" t="s">
        <v>4343</v>
      </c>
      <c r="G2393" s="17" t="s">
        <v>1104</v>
      </c>
      <c r="H2393" s="19"/>
    </row>
    <row r="2394" customFormat="false" ht="15" hidden="false" customHeight="false" outlineLevel="0" collapsed="false">
      <c r="A2394" s="19" t="s">
        <v>2615</v>
      </c>
      <c r="B2394" s="19" t="s">
        <v>1560</v>
      </c>
      <c r="C2394" s="19" t="n">
        <v>17</v>
      </c>
      <c r="D2394" s="17" t="s">
        <v>4344</v>
      </c>
      <c r="E2394" s="19" t="n">
        <v>1</v>
      </c>
      <c r="F2394" s="17" t="s">
        <v>4345</v>
      </c>
      <c r="G2394" s="17" t="s">
        <v>1104</v>
      </c>
      <c r="H2394" s="19"/>
    </row>
    <row r="2395" customFormat="false" ht="15" hidden="false" customHeight="false" outlineLevel="0" collapsed="false">
      <c r="A2395" s="19" t="s">
        <v>2615</v>
      </c>
      <c r="B2395" s="19" t="s">
        <v>1390</v>
      </c>
      <c r="C2395" s="19" t="n">
        <v>17</v>
      </c>
      <c r="D2395" s="17" t="s">
        <v>4290</v>
      </c>
      <c r="E2395" s="19" t="n">
        <v>241.778007200547</v>
      </c>
      <c r="F2395" s="17" t="s">
        <v>4346</v>
      </c>
      <c r="G2395" s="17" t="s">
        <v>1104</v>
      </c>
      <c r="H2395" s="19"/>
    </row>
    <row r="2396" customFormat="false" ht="15" hidden="false" customHeight="false" outlineLevel="0" collapsed="false">
      <c r="A2396" s="19" t="s">
        <v>2615</v>
      </c>
      <c r="B2396" s="19" t="s">
        <v>4347</v>
      </c>
      <c r="C2396" s="19" t="n">
        <v>17</v>
      </c>
      <c r="D2396" s="17" t="s">
        <v>4348</v>
      </c>
      <c r="E2396" s="19" t="n">
        <v>0.4</v>
      </c>
      <c r="F2396" s="17" t="s">
        <v>4349</v>
      </c>
      <c r="G2396" s="17" t="s">
        <v>1104</v>
      </c>
      <c r="H2396" s="19"/>
    </row>
    <row r="2397" customFormat="false" ht="15" hidden="false" customHeight="false" outlineLevel="0" collapsed="false">
      <c r="A2397" s="19" t="s">
        <v>2615</v>
      </c>
      <c r="B2397" s="19" t="s">
        <v>4350</v>
      </c>
      <c r="C2397" s="19" t="n">
        <v>17</v>
      </c>
      <c r="D2397" s="19" t="s">
        <v>848</v>
      </c>
      <c r="E2397" s="19" t="n">
        <v>2258.336</v>
      </c>
      <c r="F2397" s="17" t="s">
        <v>4351</v>
      </c>
      <c r="G2397" s="17" t="s">
        <v>1104</v>
      </c>
      <c r="H2397" s="19"/>
    </row>
    <row r="2398" customFormat="false" ht="15" hidden="false" customHeight="false" outlineLevel="0" collapsed="false">
      <c r="A2398" s="19" t="s">
        <v>2615</v>
      </c>
      <c r="B2398" s="19" t="s">
        <v>1225</v>
      </c>
      <c r="C2398" s="19" t="n">
        <v>17</v>
      </c>
      <c r="D2398" s="17" t="s">
        <v>4352</v>
      </c>
      <c r="E2398" s="19" t="n">
        <v>1</v>
      </c>
      <c r="F2398" s="17" t="s">
        <v>4353</v>
      </c>
      <c r="G2398" s="17" t="s">
        <v>1104</v>
      </c>
      <c r="H2398" s="19"/>
    </row>
    <row r="2399" customFormat="false" ht="15" hidden="false" customHeight="false" outlineLevel="0" collapsed="false">
      <c r="A2399" s="19" t="s">
        <v>2615</v>
      </c>
      <c r="B2399" s="19" t="s">
        <v>1668</v>
      </c>
      <c r="C2399" s="19" t="n">
        <v>17</v>
      </c>
      <c r="D2399" s="19" t="s">
        <v>4333</v>
      </c>
      <c r="E2399" s="19" t="n">
        <v>1</v>
      </c>
      <c r="F2399" s="17" t="s">
        <v>4334</v>
      </c>
      <c r="G2399" s="17" t="s">
        <v>1104</v>
      </c>
      <c r="H2399" s="19"/>
    </row>
    <row r="2400" customFormat="false" ht="15" hidden="false" customHeight="false" outlineLevel="0" collapsed="false">
      <c r="A2400" s="19" t="s">
        <v>2615</v>
      </c>
      <c r="B2400" s="19" t="s">
        <v>1170</v>
      </c>
      <c r="C2400" s="19" t="n">
        <v>17</v>
      </c>
      <c r="D2400" s="19" t="s">
        <v>782</v>
      </c>
      <c r="E2400" s="19" t="n">
        <v>64</v>
      </c>
      <c r="F2400" s="17" t="s">
        <v>4354</v>
      </c>
      <c r="G2400" s="17" t="s">
        <v>1104</v>
      </c>
      <c r="H2400" s="19"/>
    </row>
    <row r="2401" customFormat="false" ht="15" hidden="false" customHeight="false" outlineLevel="0" collapsed="false">
      <c r="A2401" s="19" t="s">
        <v>2615</v>
      </c>
      <c r="B2401" s="19" t="s">
        <v>1231</v>
      </c>
      <c r="C2401" s="19" t="n">
        <v>17</v>
      </c>
      <c r="D2401" s="17" t="s">
        <v>4336</v>
      </c>
      <c r="E2401" s="19" t="n">
        <v>1</v>
      </c>
      <c r="F2401" s="17" t="s">
        <v>4355</v>
      </c>
      <c r="G2401" s="17" t="s">
        <v>1104</v>
      </c>
      <c r="H2401" s="19"/>
    </row>
    <row r="2402" customFormat="false" ht="15" hidden="false" customHeight="false" outlineLevel="0" collapsed="false">
      <c r="A2402" s="19" t="s">
        <v>2615</v>
      </c>
      <c r="B2402" s="19" t="s">
        <v>1233</v>
      </c>
      <c r="C2402" s="19" t="n">
        <v>17</v>
      </c>
      <c r="D2402" s="17" t="s">
        <v>4338</v>
      </c>
      <c r="E2402" s="19" t="n">
        <v>1</v>
      </c>
      <c r="F2402" s="17" t="s">
        <v>4356</v>
      </c>
      <c r="G2402" s="17" t="s">
        <v>1104</v>
      </c>
      <c r="H2402" s="19"/>
    </row>
    <row r="2403" customFormat="false" ht="15" hidden="false" customHeight="false" outlineLevel="0" collapsed="false">
      <c r="A2403" s="19" t="s">
        <v>2615</v>
      </c>
      <c r="B2403" s="19" t="s">
        <v>1387</v>
      </c>
      <c r="C2403" s="19" t="n">
        <v>17</v>
      </c>
      <c r="D2403" s="17" t="s">
        <v>804</v>
      </c>
      <c r="E2403" s="19" t="n">
        <v>20.2777777777778</v>
      </c>
      <c r="F2403" s="17" t="s">
        <v>4357</v>
      </c>
      <c r="G2403" s="17" t="s">
        <v>1104</v>
      </c>
      <c r="H2403" s="19"/>
    </row>
    <row r="2404" customFormat="false" ht="15" hidden="false" customHeight="false" outlineLevel="0" collapsed="false">
      <c r="A2404" s="19" t="s">
        <v>2615</v>
      </c>
      <c r="B2404" s="19" t="s">
        <v>2517</v>
      </c>
      <c r="C2404" s="19" t="n">
        <v>17</v>
      </c>
      <c r="D2404" s="17" t="s">
        <v>806</v>
      </c>
      <c r="E2404" s="19" t="n">
        <v>1579.72222222222</v>
      </c>
      <c r="F2404" s="17" t="s">
        <v>4358</v>
      </c>
      <c r="G2404" s="17" t="s">
        <v>1104</v>
      </c>
      <c r="H2404" s="19"/>
    </row>
    <row r="2405" customFormat="false" ht="15" hidden="false" customHeight="false" outlineLevel="0" collapsed="false">
      <c r="A2405" s="19" t="s">
        <v>2615</v>
      </c>
      <c r="B2405" s="19" t="s">
        <v>1562</v>
      </c>
      <c r="C2405" s="19" t="n">
        <v>17</v>
      </c>
      <c r="D2405" s="17" t="s">
        <v>4342</v>
      </c>
      <c r="E2405" s="19" t="n">
        <v>0.7</v>
      </c>
      <c r="F2405" s="17" t="s">
        <v>4343</v>
      </c>
      <c r="G2405" s="17" t="s">
        <v>1104</v>
      </c>
      <c r="H2405" s="19"/>
    </row>
    <row r="2406" customFormat="false" ht="15" hidden="false" customHeight="false" outlineLevel="0" collapsed="false">
      <c r="A2406" s="19" t="s">
        <v>2615</v>
      </c>
      <c r="B2406" s="19" t="s">
        <v>1566</v>
      </c>
      <c r="C2406" s="19" t="n">
        <v>17</v>
      </c>
      <c r="D2406" s="17" t="s">
        <v>4344</v>
      </c>
      <c r="E2406" s="19" t="n">
        <v>1</v>
      </c>
      <c r="F2406" s="17" t="s">
        <v>4345</v>
      </c>
      <c r="G2406" s="17" t="s">
        <v>1104</v>
      </c>
      <c r="H2406" s="19"/>
    </row>
    <row r="2407" customFormat="false" ht="15" hidden="false" customHeight="false" outlineLevel="0" collapsed="false">
      <c r="A2407" s="19" t="s">
        <v>2615</v>
      </c>
      <c r="B2407" s="19" t="s">
        <v>1393</v>
      </c>
      <c r="C2407" s="19" t="n">
        <v>17</v>
      </c>
      <c r="D2407" s="17" t="s">
        <v>4290</v>
      </c>
      <c r="E2407" s="19" t="n">
        <v>241.778007200547</v>
      </c>
      <c r="F2407" s="17" t="s">
        <v>4359</v>
      </c>
      <c r="G2407" s="17" t="s">
        <v>1104</v>
      </c>
      <c r="H2407" s="19"/>
    </row>
    <row r="2408" customFormat="false" ht="15" hidden="false" customHeight="false" outlineLevel="0" collapsed="false">
      <c r="A2408" s="19" t="s">
        <v>2615</v>
      </c>
      <c r="B2408" s="19" t="s">
        <v>4360</v>
      </c>
      <c r="C2408" s="19" t="n">
        <v>17</v>
      </c>
      <c r="D2408" s="17" t="s">
        <v>4348</v>
      </c>
      <c r="E2408" s="19" t="n">
        <v>0.4</v>
      </c>
      <c r="F2408" s="17" t="s">
        <v>4349</v>
      </c>
      <c r="G2408" s="17" t="s">
        <v>1104</v>
      </c>
      <c r="H2408" s="19"/>
    </row>
    <row r="2409" customFormat="false" ht="15" hidden="false" customHeight="false" outlineLevel="0" collapsed="false">
      <c r="A2409" s="19" t="s">
        <v>2615</v>
      </c>
      <c r="B2409" s="19" t="s">
        <v>4361</v>
      </c>
      <c r="C2409" s="19" t="n">
        <v>17</v>
      </c>
      <c r="D2409" s="19" t="s">
        <v>848</v>
      </c>
      <c r="E2409" s="19" t="n">
        <v>2212.32</v>
      </c>
      <c r="F2409" s="17" t="s">
        <v>4362</v>
      </c>
      <c r="G2409" s="17" t="s">
        <v>1104</v>
      </c>
      <c r="H2409" s="19"/>
    </row>
    <row r="2410" customFormat="false" ht="15" hidden="false" customHeight="false" outlineLevel="0" collapsed="false">
      <c r="A2410" s="19" t="s">
        <v>2615</v>
      </c>
      <c r="B2410" s="19" t="s">
        <v>3894</v>
      </c>
      <c r="C2410" s="19" t="n">
        <v>17</v>
      </c>
      <c r="D2410" s="17" t="s">
        <v>4352</v>
      </c>
      <c r="E2410" s="19" t="n">
        <v>2</v>
      </c>
      <c r="F2410" s="17" t="s">
        <v>4363</v>
      </c>
      <c r="G2410" s="17" t="s">
        <v>1104</v>
      </c>
      <c r="H2410" s="19"/>
    </row>
    <row r="2411" customFormat="false" ht="15" hidden="false" customHeight="false" outlineLevel="0" collapsed="false">
      <c r="A2411" s="19" t="s">
        <v>2615</v>
      </c>
      <c r="B2411" s="19" t="s">
        <v>1682</v>
      </c>
      <c r="C2411" s="19" t="n">
        <v>17</v>
      </c>
      <c r="D2411" s="19" t="s">
        <v>4333</v>
      </c>
      <c r="E2411" s="19" t="n">
        <v>1</v>
      </c>
      <c r="F2411" s="17" t="s">
        <v>4334</v>
      </c>
      <c r="G2411" s="17" t="s">
        <v>1104</v>
      </c>
      <c r="H2411" s="19"/>
    </row>
    <row r="2412" customFormat="false" ht="15" hidden="false" customHeight="false" outlineLevel="0" collapsed="false">
      <c r="A2412" s="19" t="s">
        <v>2615</v>
      </c>
      <c r="B2412" s="19" t="s">
        <v>1178</v>
      </c>
      <c r="C2412" s="19" t="n">
        <v>17</v>
      </c>
      <c r="D2412" s="19" t="s">
        <v>782</v>
      </c>
      <c r="E2412" s="19" t="n">
        <v>64</v>
      </c>
      <c r="F2412" s="17" t="s">
        <v>4364</v>
      </c>
      <c r="G2412" s="17" t="s">
        <v>1104</v>
      </c>
      <c r="H2412" s="19"/>
    </row>
    <row r="2413" customFormat="false" ht="15" hidden="false" customHeight="false" outlineLevel="0" collapsed="false">
      <c r="A2413" s="19" t="s">
        <v>2615</v>
      </c>
      <c r="B2413" s="19" t="s">
        <v>1239</v>
      </c>
      <c r="C2413" s="19" t="n">
        <v>17</v>
      </c>
      <c r="D2413" s="17" t="s">
        <v>4336</v>
      </c>
      <c r="E2413" s="19" t="n">
        <v>1</v>
      </c>
      <c r="F2413" s="17" t="s">
        <v>4365</v>
      </c>
      <c r="G2413" s="17" t="s">
        <v>1104</v>
      </c>
      <c r="H2413" s="19"/>
    </row>
    <row r="2414" customFormat="false" ht="15" hidden="false" customHeight="false" outlineLevel="0" collapsed="false">
      <c r="A2414" s="19" t="s">
        <v>2615</v>
      </c>
      <c r="B2414" s="19" t="s">
        <v>1241</v>
      </c>
      <c r="C2414" s="19" t="n">
        <v>17</v>
      </c>
      <c r="D2414" s="17" t="s">
        <v>4338</v>
      </c>
      <c r="E2414" s="19" t="n">
        <v>1</v>
      </c>
      <c r="F2414" s="17" t="s">
        <v>4366</v>
      </c>
      <c r="G2414" s="17" t="s">
        <v>1104</v>
      </c>
      <c r="H2414" s="19"/>
    </row>
    <row r="2415" customFormat="false" ht="15" hidden="false" customHeight="false" outlineLevel="0" collapsed="false">
      <c r="A2415" s="19" t="s">
        <v>2615</v>
      </c>
      <c r="B2415" s="19" t="s">
        <v>1388</v>
      </c>
      <c r="C2415" s="19" t="n">
        <v>17</v>
      </c>
      <c r="D2415" s="17" t="s">
        <v>804</v>
      </c>
      <c r="E2415" s="19" t="n">
        <v>49.0725806451613</v>
      </c>
      <c r="F2415" s="17" t="s">
        <v>4367</v>
      </c>
      <c r="G2415" s="17" t="s">
        <v>1104</v>
      </c>
      <c r="H2415" s="19"/>
    </row>
    <row r="2416" customFormat="false" ht="15" hidden="false" customHeight="false" outlineLevel="0" collapsed="false">
      <c r="A2416" s="19" t="s">
        <v>2615</v>
      </c>
      <c r="B2416" s="19" t="s">
        <v>2526</v>
      </c>
      <c r="C2416" s="19" t="n">
        <v>17</v>
      </c>
      <c r="D2416" s="17" t="s">
        <v>806</v>
      </c>
      <c r="E2416" s="19" t="n">
        <v>3950.92741935484</v>
      </c>
      <c r="F2416" s="17" t="s">
        <v>4368</v>
      </c>
      <c r="G2416" s="17" t="s">
        <v>1104</v>
      </c>
      <c r="H2416" s="19"/>
    </row>
    <row r="2417" customFormat="false" ht="15" hidden="false" customHeight="false" outlineLevel="0" collapsed="false">
      <c r="A2417" s="19" t="s">
        <v>2615</v>
      </c>
      <c r="B2417" s="19" t="s">
        <v>1568</v>
      </c>
      <c r="C2417" s="19" t="n">
        <v>17</v>
      </c>
      <c r="D2417" s="17" t="s">
        <v>4342</v>
      </c>
      <c r="E2417" s="19" t="n">
        <v>0.7</v>
      </c>
      <c r="F2417" s="17" t="s">
        <v>4343</v>
      </c>
      <c r="G2417" s="17" t="s">
        <v>1104</v>
      </c>
      <c r="H2417" s="19"/>
    </row>
    <row r="2418" customFormat="false" ht="15" hidden="false" customHeight="false" outlineLevel="0" collapsed="false">
      <c r="A2418" s="19" t="s">
        <v>2615</v>
      </c>
      <c r="B2418" s="19" t="s">
        <v>1572</v>
      </c>
      <c r="C2418" s="19" t="n">
        <v>17</v>
      </c>
      <c r="D2418" s="17" t="s">
        <v>4344</v>
      </c>
      <c r="E2418" s="19" t="n">
        <v>1</v>
      </c>
      <c r="F2418" s="17" t="s">
        <v>4345</v>
      </c>
      <c r="G2418" s="17" t="s">
        <v>1104</v>
      </c>
      <c r="H2418" s="19"/>
    </row>
    <row r="2419" customFormat="false" ht="15" hidden="false" customHeight="false" outlineLevel="0" collapsed="false">
      <c r="A2419" s="19" t="s">
        <v>2615</v>
      </c>
      <c r="B2419" s="19" t="s">
        <v>1395</v>
      </c>
      <c r="C2419" s="19" t="n">
        <v>17</v>
      </c>
      <c r="D2419" s="17" t="s">
        <v>4290</v>
      </c>
      <c r="E2419" s="19" t="n">
        <v>241.778007200547</v>
      </c>
      <c r="F2419" s="17" t="s">
        <v>4369</v>
      </c>
      <c r="G2419" s="17" t="s">
        <v>1104</v>
      </c>
      <c r="H2419" s="19"/>
    </row>
    <row r="2420" customFormat="false" ht="15" hidden="false" customHeight="false" outlineLevel="0" collapsed="false">
      <c r="A2420" s="19" t="s">
        <v>2615</v>
      </c>
      <c r="B2420" s="19" t="s">
        <v>4370</v>
      </c>
      <c r="C2420" s="19" t="n">
        <v>17</v>
      </c>
      <c r="D2420" s="17" t="s">
        <v>4348</v>
      </c>
      <c r="E2420" s="19" t="n">
        <v>0.4</v>
      </c>
      <c r="F2420" s="17" t="s">
        <v>4349</v>
      </c>
      <c r="G2420" s="17" t="s">
        <v>1104</v>
      </c>
      <c r="H2420" s="19"/>
    </row>
    <row r="2421" customFormat="false" ht="15" hidden="false" customHeight="false" outlineLevel="0" collapsed="false">
      <c r="A2421" s="19" t="s">
        <v>2615</v>
      </c>
      <c r="B2421" s="19" t="s">
        <v>4371</v>
      </c>
      <c r="C2421" s="19" t="n">
        <v>17</v>
      </c>
      <c r="D2421" s="19" t="s">
        <v>848</v>
      </c>
      <c r="E2421" s="19" t="n">
        <v>34816</v>
      </c>
      <c r="F2421" s="17" t="s">
        <v>4372</v>
      </c>
      <c r="G2421" s="17" t="s">
        <v>1104</v>
      </c>
      <c r="H2421" s="19"/>
    </row>
    <row r="2422" customFormat="false" ht="15" hidden="false" customHeight="false" outlineLevel="0" collapsed="false">
      <c r="A2422" s="19" t="s">
        <v>2615</v>
      </c>
      <c r="B2422" s="19" t="s">
        <v>3897</v>
      </c>
      <c r="C2422" s="19" t="n">
        <v>17</v>
      </c>
      <c r="D2422" s="17" t="s">
        <v>4352</v>
      </c>
      <c r="E2422" s="19" t="n">
        <v>4</v>
      </c>
      <c r="F2422" s="17" t="s">
        <v>4373</v>
      </c>
      <c r="G2422" s="17" t="s">
        <v>1104</v>
      </c>
      <c r="H2422" s="19"/>
    </row>
    <row r="2423" customFormat="false" ht="15" hidden="false" customHeight="false" outlineLevel="0" collapsed="false">
      <c r="A2423" s="19" t="s">
        <v>2615</v>
      </c>
      <c r="B2423" s="19" t="s">
        <v>1696</v>
      </c>
      <c r="C2423" s="19" t="n">
        <v>17</v>
      </c>
      <c r="D2423" s="19" t="s">
        <v>4333</v>
      </c>
      <c r="E2423" s="19" t="n">
        <v>1</v>
      </c>
      <c r="F2423" s="17" t="s">
        <v>4334</v>
      </c>
      <c r="G2423" s="17" t="s">
        <v>1104</v>
      </c>
      <c r="H2423" s="19"/>
    </row>
    <row r="2424" customFormat="false" ht="15" hidden="false" customHeight="false" outlineLevel="0" collapsed="false">
      <c r="A2424" s="19" t="s">
        <v>2615</v>
      </c>
      <c r="B2424" s="19" t="s">
        <v>1186</v>
      </c>
      <c r="C2424" s="19" t="n">
        <v>17</v>
      </c>
      <c r="D2424" s="19" t="s">
        <v>782</v>
      </c>
      <c r="E2424" s="19" t="n">
        <v>32</v>
      </c>
      <c r="F2424" s="17" t="s">
        <v>4374</v>
      </c>
      <c r="G2424" s="17" t="s">
        <v>1104</v>
      </c>
      <c r="H2424" s="19"/>
    </row>
    <row r="2425" customFormat="false" ht="15" hidden="false" customHeight="false" outlineLevel="0" collapsed="false">
      <c r="A2425" s="19" t="s">
        <v>2615</v>
      </c>
      <c r="B2425" s="19" t="s">
        <v>1247</v>
      </c>
      <c r="C2425" s="19" t="n">
        <v>17</v>
      </c>
      <c r="D2425" s="17" t="s">
        <v>4336</v>
      </c>
      <c r="E2425" s="19" t="n">
        <v>0.5625</v>
      </c>
      <c r="F2425" s="17" t="s">
        <v>4375</v>
      </c>
      <c r="G2425" s="17" t="s">
        <v>1104</v>
      </c>
      <c r="H2425" s="19"/>
    </row>
    <row r="2426" customFormat="false" ht="15" hidden="false" customHeight="false" outlineLevel="0" collapsed="false">
      <c r="A2426" s="19" t="s">
        <v>2615</v>
      </c>
      <c r="B2426" s="19" t="s">
        <v>1249</v>
      </c>
      <c r="C2426" s="19" t="n">
        <v>17</v>
      </c>
      <c r="D2426" s="17" t="s">
        <v>4338</v>
      </c>
      <c r="E2426" s="19" t="n">
        <v>1</v>
      </c>
      <c r="F2426" s="17" t="s">
        <v>4376</v>
      </c>
      <c r="G2426" s="17" t="s">
        <v>1104</v>
      </c>
      <c r="H2426" s="19"/>
    </row>
    <row r="2427" customFormat="false" ht="15" hidden="false" customHeight="false" outlineLevel="0" collapsed="false">
      <c r="A2427" s="19" t="s">
        <v>2615</v>
      </c>
      <c r="B2427" s="19" t="s">
        <v>2533</v>
      </c>
      <c r="C2427" s="19" t="n">
        <v>17</v>
      </c>
      <c r="D2427" s="17" t="s">
        <v>804</v>
      </c>
      <c r="E2427" s="19" t="n">
        <v>5.412</v>
      </c>
      <c r="F2427" s="17" t="s">
        <v>4377</v>
      </c>
      <c r="G2427" s="17" t="s">
        <v>1104</v>
      </c>
      <c r="H2427" s="19"/>
    </row>
    <row r="2428" customFormat="false" ht="15" hidden="false" customHeight="false" outlineLevel="0" collapsed="false">
      <c r="A2428" s="19" t="s">
        <v>2615</v>
      </c>
      <c r="B2428" s="19" t="s">
        <v>2535</v>
      </c>
      <c r="C2428" s="19" t="n">
        <v>17</v>
      </c>
      <c r="D2428" s="17" t="s">
        <v>806</v>
      </c>
      <c r="E2428" s="19" t="n">
        <v>278.588</v>
      </c>
      <c r="F2428" s="17" t="s">
        <v>4378</v>
      </c>
      <c r="G2428" s="17" t="s">
        <v>1104</v>
      </c>
      <c r="H2428" s="19"/>
    </row>
    <row r="2429" customFormat="false" ht="15" hidden="false" customHeight="false" outlineLevel="0" collapsed="false">
      <c r="A2429" s="19" t="s">
        <v>2615</v>
      </c>
      <c r="B2429" s="19" t="s">
        <v>1574</v>
      </c>
      <c r="C2429" s="19" t="n">
        <v>17</v>
      </c>
      <c r="D2429" s="17" t="s">
        <v>4342</v>
      </c>
      <c r="E2429" s="19" t="n">
        <v>0.7</v>
      </c>
      <c r="F2429" s="17" t="s">
        <v>4343</v>
      </c>
      <c r="G2429" s="17" t="s">
        <v>1104</v>
      </c>
      <c r="H2429" s="19"/>
    </row>
    <row r="2430" customFormat="false" ht="15" hidden="false" customHeight="false" outlineLevel="0" collapsed="false">
      <c r="A2430" s="19" t="s">
        <v>2615</v>
      </c>
      <c r="B2430" s="19" t="s">
        <v>1578</v>
      </c>
      <c r="C2430" s="19" t="n">
        <v>17</v>
      </c>
      <c r="D2430" s="17" t="s">
        <v>4344</v>
      </c>
      <c r="E2430" s="19" t="n">
        <v>1</v>
      </c>
      <c r="F2430" s="17" t="s">
        <v>4345</v>
      </c>
      <c r="G2430" s="17" t="s">
        <v>1104</v>
      </c>
      <c r="H2430" s="19"/>
    </row>
    <row r="2431" customFormat="false" ht="15" hidden="false" customHeight="false" outlineLevel="0" collapsed="false">
      <c r="A2431" s="19" t="s">
        <v>2615</v>
      </c>
      <c r="B2431" s="19" t="s">
        <v>1397</v>
      </c>
      <c r="C2431" s="19" t="n">
        <v>17</v>
      </c>
      <c r="D2431" s="17" t="s">
        <v>4290</v>
      </c>
      <c r="E2431" s="19" t="n">
        <v>161.185338133698</v>
      </c>
      <c r="F2431" s="17" t="s">
        <v>4379</v>
      </c>
      <c r="G2431" s="17" t="s">
        <v>1104</v>
      </c>
      <c r="H2431" s="19"/>
    </row>
    <row r="2432" customFormat="false" ht="15" hidden="false" customHeight="false" outlineLevel="0" collapsed="false">
      <c r="A2432" s="19" t="s">
        <v>2615</v>
      </c>
      <c r="B2432" s="19" t="s">
        <v>4380</v>
      </c>
      <c r="C2432" s="19" t="n">
        <v>17</v>
      </c>
      <c r="D2432" s="17" t="s">
        <v>4348</v>
      </c>
      <c r="E2432" s="19" t="n">
        <v>0.4</v>
      </c>
      <c r="F2432" s="17" t="s">
        <v>4349</v>
      </c>
      <c r="G2432" s="17" t="s">
        <v>1104</v>
      </c>
      <c r="H2432" s="19"/>
    </row>
    <row r="2433" customFormat="false" ht="15" hidden="false" customHeight="false" outlineLevel="0" collapsed="false">
      <c r="A2433" s="19" t="s">
        <v>2615</v>
      </c>
      <c r="B2433" s="19" t="s">
        <v>4381</v>
      </c>
      <c r="C2433" s="19" t="n">
        <v>17</v>
      </c>
      <c r="D2433" s="19" t="s">
        <v>848</v>
      </c>
      <c r="E2433" s="19" t="n">
        <v>2258.336</v>
      </c>
      <c r="F2433" s="17" t="s">
        <v>4382</v>
      </c>
      <c r="G2433" s="17" t="s">
        <v>1104</v>
      </c>
      <c r="H2433" s="19"/>
    </row>
    <row r="2434" customFormat="false" ht="15" hidden="false" customHeight="false" outlineLevel="0" collapsed="false">
      <c r="A2434" s="19" t="s">
        <v>2615</v>
      </c>
      <c r="B2434" s="19" t="s">
        <v>3900</v>
      </c>
      <c r="C2434" s="19" t="n">
        <v>17</v>
      </c>
      <c r="D2434" s="17" t="s">
        <v>4352</v>
      </c>
      <c r="E2434" s="19" t="n">
        <v>1</v>
      </c>
      <c r="F2434" s="17" t="s">
        <v>4383</v>
      </c>
      <c r="G2434" s="17" t="s">
        <v>1104</v>
      </c>
      <c r="H2434" s="19"/>
    </row>
    <row r="2435" customFormat="false" ht="15" hidden="false" customHeight="false" outlineLevel="0" collapsed="false">
      <c r="A2435" s="19" t="s">
        <v>2615</v>
      </c>
      <c r="B2435" s="19" t="s">
        <v>1710</v>
      </c>
      <c r="C2435" s="19" t="n">
        <v>17</v>
      </c>
      <c r="D2435" s="19" t="s">
        <v>4333</v>
      </c>
      <c r="E2435" s="19" t="n">
        <v>1</v>
      </c>
      <c r="F2435" s="17" t="s">
        <v>4334</v>
      </c>
      <c r="G2435" s="17" t="s">
        <v>1104</v>
      </c>
      <c r="H2435" s="19"/>
    </row>
    <row r="2436" customFormat="false" ht="15" hidden="false" customHeight="false" outlineLevel="0" collapsed="false">
      <c r="A2436" s="19" t="s">
        <v>2615</v>
      </c>
      <c r="B2436" s="19" t="s">
        <v>1711</v>
      </c>
      <c r="C2436" s="19" t="n">
        <v>17</v>
      </c>
      <c r="D2436" s="19" t="s">
        <v>782</v>
      </c>
      <c r="E2436" s="19" t="n">
        <v>32</v>
      </c>
      <c r="F2436" s="17" t="s">
        <v>4384</v>
      </c>
      <c r="G2436" s="17" t="s">
        <v>1104</v>
      </c>
      <c r="H2436" s="19"/>
    </row>
    <row r="2437" customFormat="false" ht="15" hidden="false" customHeight="false" outlineLevel="0" collapsed="false">
      <c r="A2437" s="19" t="s">
        <v>2615</v>
      </c>
      <c r="B2437" s="19" t="s">
        <v>1427</v>
      </c>
      <c r="C2437" s="19" t="n">
        <v>17</v>
      </c>
      <c r="D2437" s="17" t="s">
        <v>4336</v>
      </c>
      <c r="E2437" s="19" t="n">
        <v>0.5625</v>
      </c>
      <c r="F2437" s="17" t="s">
        <v>4385</v>
      </c>
      <c r="G2437" s="17" t="s">
        <v>1104</v>
      </c>
      <c r="H2437" s="19"/>
    </row>
    <row r="2438" customFormat="false" ht="15" hidden="false" customHeight="false" outlineLevel="0" collapsed="false">
      <c r="A2438" s="19" t="s">
        <v>2615</v>
      </c>
      <c r="B2438" s="19" t="s">
        <v>3036</v>
      </c>
      <c r="C2438" s="19" t="n">
        <v>17</v>
      </c>
      <c r="D2438" s="17" t="s">
        <v>4338</v>
      </c>
      <c r="E2438" s="19" t="n">
        <v>1</v>
      </c>
      <c r="F2438" s="17" t="s">
        <v>4386</v>
      </c>
      <c r="G2438" s="17" t="s">
        <v>1104</v>
      </c>
      <c r="H2438" s="19"/>
    </row>
    <row r="2439" customFormat="false" ht="15" hidden="false" customHeight="false" outlineLevel="0" collapsed="false">
      <c r="A2439" s="19" t="s">
        <v>2615</v>
      </c>
      <c r="B2439" s="19" t="s">
        <v>2539</v>
      </c>
      <c r="C2439" s="19" t="n">
        <v>17</v>
      </c>
      <c r="D2439" s="17" t="s">
        <v>804</v>
      </c>
      <c r="E2439" s="19" t="n">
        <v>20.2777777777778</v>
      </c>
      <c r="F2439" s="17" t="s">
        <v>4387</v>
      </c>
      <c r="G2439" s="17" t="s">
        <v>1104</v>
      </c>
      <c r="H2439" s="19"/>
    </row>
    <row r="2440" customFormat="false" ht="15" hidden="false" customHeight="false" outlineLevel="0" collapsed="false">
      <c r="A2440" s="19" t="s">
        <v>2615</v>
      </c>
      <c r="B2440" s="19" t="s">
        <v>2541</v>
      </c>
      <c r="C2440" s="19" t="n">
        <v>17</v>
      </c>
      <c r="D2440" s="17" t="s">
        <v>806</v>
      </c>
      <c r="E2440" s="19" t="n">
        <v>1579.72222222222</v>
      </c>
      <c r="F2440" s="17" t="s">
        <v>4388</v>
      </c>
      <c r="G2440" s="17" t="s">
        <v>1104</v>
      </c>
      <c r="H2440" s="19"/>
    </row>
    <row r="2441" customFormat="false" ht="15" hidden="false" customHeight="false" outlineLevel="0" collapsed="false">
      <c r="A2441" s="19" t="s">
        <v>2615</v>
      </c>
      <c r="B2441" s="19" t="s">
        <v>1580</v>
      </c>
      <c r="C2441" s="19" t="n">
        <v>17</v>
      </c>
      <c r="D2441" s="17" t="s">
        <v>4342</v>
      </c>
      <c r="E2441" s="19" t="n">
        <v>0.7</v>
      </c>
      <c r="F2441" s="17" t="s">
        <v>4343</v>
      </c>
      <c r="G2441" s="17" t="s">
        <v>1104</v>
      </c>
      <c r="H2441" s="19"/>
    </row>
    <row r="2442" customFormat="false" ht="15" hidden="false" customHeight="false" outlineLevel="0" collapsed="false">
      <c r="A2442" s="19" t="s">
        <v>2615</v>
      </c>
      <c r="B2442" s="19" t="s">
        <v>1584</v>
      </c>
      <c r="C2442" s="19" t="n">
        <v>17</v>
      </c>
      <c r="D2442" s="17" t="s">
        <v>4344</v>
      </c>
      <c r="E2442" s="19" t="n">
        <v>1</v>
      </c>
      <c r="F2442" s="17" t="s">
        <v>4345</v>
      </c>
      <c r="G2442" s="17" t="s">
        <v>1104</v>
      </c>
      <c r="H2442" s="19"/>
    </row>
    <row r="2443" customFormat="false" ht="15" hidden="false" customHeight="false" outlineLevel="0" collapsed="false">
      <c r="A2443" s="19" t="s">
        <v>2615</v>
      </c>
      <c r="B2443" s="19" t="s">
        <v>1399</v>
      </c>
      <c r="C2443" s="19" t="n">
        <v>17</v>
      </c>
      <c r="D2443" s="17" t="s">
        <v>4290</v>
      </c>
      <c r="E2443" s="19" t="n">
        <v>161.185338133698</v>
      </c>
      <c r="F2443" s="17" t="s">
        <v>4389</v>
      </c>
      <c r="G2443" s="17" t="s">
        <v>1104</v>
      </c>
      <c r="H2443" s="19"/>
    </row>
    <row r="2444" customFormat="false" ht="15" hidden="false" customHeight="false" outlineLevel="0" collapsed="false">
      <c r="A2444" s="19" t="s">
        <v>2615</v>
      </c>
      <c r="B2444" s="19" t="s">
        <v>4390</v>
      </c>
      <c r="C2444" s="19" t="n">
        <v>17</v>
      </c>
      <c r="D2444" s="17" t="s">
        <v>4348</v>
      </c>
      <c r="E2444" s="19" t="n">
        <v>0.4</v>
      </c>
      <c r="F2444" s="17" t="s">
        <v>4349</v>
      </c>
      <c r="G2444" s="17" t="s">
        <v>1104</v>
      </c>
      <c r="H2444" s="19"/>
    </row>
    <row r="2445" customFormat="false" ht="15" hidden="false" customHeight="false" outlineLevel="0" collapsed="false">
      <c r="A2445" s="19" t="s">
        <v>2615</v>
      </c>
      <c r="B2445" s="19" t="s">
        <v>4391</v>
      </c>
      <c r="C2445" s="19" t="n">
        <v>17</v>
      </c>
      <c r="D2445" s="19" t="s">
        <v>848</v>
      </c>
      <c r="E2445" s="19" t="n">
        <v>2212.32</v>
      </c>
      <c r="F2445" s="17" t="s">
        <v>4392</v>
      </c>
      <c r="G2445" s="17" t="s">
        <v>1104</v>
      </c>
      <c r="H2445" s="19"/>
    </row>
    <row r="2446" customFormat="false" ht="15" hidden="false" customHeight="false" outlineLevel="0" collapsed="false">
      <c r="A2446" s="19" t="s">
        <v>2615</v>
      </c>
      <c r="B2446" s="19" t="s">
        <v>3903</v>
      </c>
      <c r="C2446" s="19" t="n">
        <v>17</v>
      </c>
      <c r="D2446" s="17" t="s">
        <v>4352</v>
      </c>
      <c r="E2446" s="19" t="n">
        <v>1</v>
      </c>
      <c r="F2446" s="17" t="s">
        <v>4393</v>
      </c>
      <c r="G2446" s="17" t="s">
        <v>1104</v>
      </c>
      <c r="H2446" s="19"/>
    </row>
    <row r="2447" customFormat="false" ht="15" hidden="false" customHeight="false" outlineLevel="0" collapsed="false">
      <c r="A2447" s="19" t="s">
        <v>2615</v>
      </c>
      <c r="B2447" s="19" t="s">
        <v>1726</v>
      </c>
      <c r="C2447" s="19" t="n">
        <v>17</v>
      </c>
      <c r="D2447" s="19" t="s">
        <v>4333</v>
      </c>
      <c r="E2447" s="19" t="n">
        <v>1</v>
      </c>
      <c r="F2447" s="17" t="s">
        <v>4334</v>
      </c>
      <c r="G2447" s="17" t="s">
        <v>1104</v>
      </c>
      <c r="H2447" s="19"/>
    </row>
    <row r="2448" customFormat="false" ht="15" hidden="false" customHeight="false" outlineLevel="0" collapsed="false">
      <c r="A2448" s="19" t="s">
        <v>2615</v>
      </c>
      <c r="B2448" s="19" t="s">
        <v>1727</v>
      </c>
      <c r="C2448" s="19" t="n">
        <v>17</v>
      </c>
      <c r="D2448" s="19" t="s">
        <v>782</v>
      </c>
      <c r="E2448" s="19" t="n">
        <v>32</v>
      </c>
      <c r="F2448" s="17" t="s">
        <v>4394</v>
      </c>
      <c r="G2448" s="17" t="s">
        <v>1104</v>
      </c>
      <c r="H2448" s="19"/>
    </row>
    <row r="2449" customFormat="false" ht="15" hidden="false" customHeight="false" outlineLevel="0" collapsed="false">
      <c r="A2449" s="19" t="s">
        <v>2615</v>
      </c>
      <c r="B2449" s="19" t="s">
        <v>1429</v>
      </c>
      <c r="C2449" s="19" t="n">
        <v>17</v>
      </c>
      <c r="D2449" s="17" t="s">
        <v>4336</v>
      </c>
      <c r="E2449" s="19" t="n">
        <v>0.5625</v>
      </c>
      <c r="F2449" s="17" t="s">
        <v>4395</v>
      </c>
      <c r="G2449" s="17" t="s">
        <v>1104</v>
      </c>
      <c r="H2449" s="19"/>
    </row>
    <row r="2450" customFormat="false" ht="15" hidden="false" customHeight="false" outlineLevel="0" collapsed="false">
      <c r="A2450" s="19" t="s">
        <v>2615</v>
      </c>
      <c r="B2450" s="19" t="s">
        <v>3041</v>
      </c>
      <c r="C2450" s="19" t="n">
        <v>17</v>
      </c>
      <c r="D2450" s="17" t="s">
        <v>4338</v>
      </c>
      <c r="E2450" s="19" t="n">
        <v>1</v>
      </c>
      <c r="F2450" s="17" t="s">
        <v>4396</v>
      </c>
      <c r="G2450" s="17" t="s">
        <v>1104</v>
      </c>
      <c r="H2450" s="19"/>
    </row>
    <row r="2451" customFormat="false" ht="15" hidden="false" customHeight="false" outlineLevel="0" collapsed="false">
      <c r="A2451" s="19" t="s">
        <v>2615</v>
      </c>
      <c r="B2451" s="19" t="s">
        <v>2545</v>
      </c>
      <c r="C2451" s="19" t="n">
        <v>17</v>
      </c>
      <c r="D2451" s="17" t="s">
        <v>804</v>
      </c>
      <c r="E2451" s="19" t="n">
        <v>49.0725806451613</v>
      </c>
      <c r="F2451" s="17" t="s">
        <v>4397</v>
      </c>
      <c r="G2451" s="17" t="s">
        <v>1104</v>
      </c>
      <c r="H2451" s="19"/>
    </row>
    <row r="2452" customFormat="false" ht="15" hidden="false" customHeight="false" outlineLevel="0" collapsed="false">
      <c r="A2452" s="19" t="s">
        <v>2615</v>
      </c>
      <c r="B2452" s="19" t="s">
        <v>2547</v>
      </c>
      <c r="C2452" s="19" t="n">
        <v>17</v>
      </c>
      <c r="D2452" s="17" t="s">
        <v>806</v>
      </c>
      <c r="E2452" s="19" t="n">
        <v>3950.92741935484</v>
      </c>
      <c r="F2452" s="17" t="s">
        <v>4398</v>
      </c>
      <c r="G2452" s="17" t="s">
        <v>1104</v>
      </c>
      <c r="H2452" s="19"/>
    </row>
    <row r="2453" customFormat="false" ht="15" hidden="false" customHeight="false" outlineLevel="0" collapsed="false">
      <c r="A2453" s="19" t="s">
        <v>2615</v>
      </c>
      <c r="B2453" s="19" t="s">
        <v>1586</v>
      </c>
      <c r="C2453" s="19" t="n">
        <v>17</v>
      </c>
      <c r="D2453" s="17" t="s">
        <v>4342</v>
      </c>
      <c r="E2453" s="19" t="n">
        <v>0.7</v>
      </c>
      <c r="F2453" s="17" t="s">
        <v>4343</v>
      </c>
      <c r="G2453" s="17" t="s">
        <v>1104</v>
      </c>
      <c r="H2453" s="19"/>
    </row>
    <row r="2454" customFormat="false" ht="15" hidden="false" customHeight="false" outlineLevel="0" collapsed="false">
      <c r="A2454" s="19" t="s">
        <v>2615</v>
      </c>
      <c r="B2454" s="19" t="s">
        <v>1590</v>
      </c>
      <c r="C2454" s="19" t="n">
        <v>17</v>
      </c>
      <c r="D2454" s="17" t="s">
        <v>4344</v>
      </c>
      <c r="E2454" s="19" t="n">
        <v>1</v>
      </c>
      <c r="F2454" s="17" t="s">
        <v>4345</v>
      </c>
      <c r="G2454" s="17" t="s">
        <v>1104</v>
      </c>
      <c r="H2454" s="19"/>
    </row>
    <row r="2455" customFormat="false" ht="15" hidden="false" customHeight="false" outlineLevel="0" collapsed="false">
      <c r="A2455" s="19" t="s">
        <v>2615</v>
      </c>
      <c r="B2455" s="19" t="s">
        <v>1401</v>
      </c>
      <c r="C2455" s="19" t="n">
        <v>17</v>
      </c>
      <c r="D2455" s="17" t="s">
        <v>4290</v>
      </c>
      <c r="E2455" s="19" t="n">
        <v>161.185338133698</v>
      </c>
      <c r="F2455" s="17" t="s">
        <v>4399</v>
      </c>
      <c r="G2455" s="17" t="s">
        <v>1104</v>
      </c>
      <c r="H2455" s="19"/>
    </row>
    <row r="2456" customFormat="false" ht="15" hidden="false" customHeight="false" outlineLevel="0" collapsed="false">
      <c r="A2456" s="19" t="s">
        <v>2615</v>
      </c>
      <c r="B2456" s="19" t="s">
        <v>4400</v>
      </c>
      <c r="C2456" s="19" t="n">
        <v>17</v>
      </c>
      <c r="D2456" s="17" t="s">
        <v>4348</v>
      </c>
      <c r="E2456" s="19" t="n">
        <v>0.4</v>
      </c>
      <c r="F2456" s="17" t="s">
        <v>4349</v>
      </c>
      <c r="G2456" s="17" t="s">
        <v>1104</v>
      </c>
      <c r="H2456" s="19"/>
    </row>
    <row r="2457" customFormat="false" ht="15" hidden="false" customHeight="false" outlineLevel="0" collapsed="false">
      <c r="A2457" s="19" t="s">
        <v>2615</v>
      </c>
      <c r="B2457" s="19" t="s">
        <v>4401</v>
      </c>
      <c r="C2457" s="19" t="n">
        <v>17</v>
      </c>
      <c r="D2457" s="19" t="s">
        <v>848</v>
      </c>
      <c r="E2457" s="19" t="n">
        <v>34816</v>
      </c>
      <c r="F2457" s="17" t="s">
        <v>4402</v>
      </c>
      <c r="G2457" s="17" t="s">
        <v>1104</v>
      </c>
      <c r="H2457" s="19"/>
    </row>
    <row r="2458" customFormat="false" ht="15" hidden="false" customHeight="false" outlineLevel="0" collapsed="false">
      <c r="A2458" s="19" t="s">
        <v>2615</v>
      </c>
      <c r="B2458" s="19" t="s">
        <v>4403</v>
      </c>
      <c r="C2458" s="19" t="n">
        <v>17</v>
      </c>
      <c r="D2458" s="17" t="s">
        <v>4352</v>
      </c>
      <c r="E2458" s="19" t="n">
        <v>2</v>
      </c>
      <c r="F2458" s="17" t="s">
        <v>4404</v>
      </c>
      <c r="G2458" s="17" t="s">
        <v>1104</v>
      </c>
      <c r="H2458" s="19"/>
    </row>
    <row r="2459" customFormat="false" ht="15" hidden="false" customHeight="false" outlineLevel="0" collapsed="false">
      <c r="A2459" s="19" t="s">
        <v>2615</v>
      </c>
      <c r="B2459" s="19" t="s">
        <v>1742</v>
      </c>
      <c r="C2459" s="19" t="n">
        <v>17</v>
      </c>
      <c r="D2459" s="19" t="s">
        <v>4333</v>
      </c>
      <c r="E2459" s="19" t="n">
        <v>1</v>
      </c>
      <c r="F2459" s="17" t="s">
        <v>4334</v>
      </c>
      <c r="G2459" s="17" t="s">
        <v>1104</v>
      </c>
      <c r="H2459" s="19"/>
    </row>
    <row r="2460" customFormat="false" ht="15" hidden="false" customHeight="false" outlineLevel="0" collapsed="false">
      <c r="A2460" s="19" t="s">
        <v>2615</v>
      </c>
      <c r="B2460" s="19" t="s">
        <v>1743</v>
      </c>
      <c r="C2460" s="19" t="n">
        <v>17</v>
      </c>
      <c r="D2460" s="19" t="s">
        <v>782</v>
      </c>
      <c r="E2460" s="19" t="n">
        <v>32</v>
      </c>
      <c r="F2460" s="17" t="s">
        <v>4405</v>
      </c>
      <c r="G2460" s="17" t="s">
        <v>1104</v>
      </c>
      <c r="H2460" s="19"/>
    </row>
    <row r="2461" customFormat="false" ht="15" hidden="false" customHeight="false" outlineLevel="0" collapsed="false">
      <c r="A2461" s="19" t="s">
        <v>2615</v>
      </c>
      <c r="B2461" s="19" t="s">
        <v>1431</v>
      </c>
      <c r="C2461" s="19" t="n">
        <v>17</v>
      </c>
      <c r="D2461" s="17" t="s">
        <v>4336</v>
      </c>
      <c r="E2461" s="19" t="n">
        <v>0.5625</v>
      </c>
      <c r="F2461" s="17" t="s">
        <v>4406</v>
      </c>
      <c r="G2461" s="17" t="s">
        <v>1104</v>
      </c>
      <c r="H2461" s="19"/>
    </row>
    <row r="2462" customFormat="false" ht="15" hidden="false" customHeight="false" outlineLevel="0" collapsed="false">
      <c r="A2462" s="19" t="s">
        <v>2615</v>
      </c>
      <c r="B2462" s="19" t="s">
        <v>3047</v>
      </c>
      <c r="C2462" s="19" t="n">
        <v>17</v>
      </c>
      <c r="D2462" s="17" t="s">
        <v>4338</v>
      </c>
      <c r="E2462" s="19" t="n">
        <v>1</v>
      </c>
      <c r="F2462" s="17" t="s">
        <v>4407</v>
      </c>
      <c r="G2462" s="17" t="s">
        <v>1104</v>
      </c>
      <c r="H2462" s="19"/>
    </row>
    <row r="2463" customFormat="false" ht="15" hidden="false" customHeight="false" outlineLevel="0" collapsed="false">
      <c r="A2463" s="19" t="s">
        <v>2615</v>
      </c>
      <c r="B2463" s="19" t="s">
        <v>2551</v>
      </c>
      <c r="C2463" s="19" t="n">
        <v>17</v>
      </c>
      <c r="D2463" s="17" t="s">
        <v>804</v>
      </c>
      <c r="E2463" s="19" t="n">
        <v>5.412</v>
      </c>
      <c r="F2463" s="17" t="s">
        <v>4408</v>
      </c>
      <c r="G2463" s="17" t="s">
        <v>1104</v>
      </c>
      <c r="H2463" s="19"/>
    </row>
    <row r="2464" customFormat="false" ht="15" hidden="false" customHeight="false" outlineLevel="0" collapsed="false">
      <c r="A2464" s="19" t="s">
        <v>2615</v>
      </c>
      <c r="B2464" s="19" t="s">
        <v>2553</v>
      </c>
      <c r="C2464" s="19" t="n">
        <v>17</v>
      </c>
      <c r="D2464" s="17" t="s">
        <v>806</v>
      </c>
      <c r="E2464" s="19" t="n">
        <v>278.588</v>
      </c>
      <c r="F2464" s="17" t="s">
        <v>4409</v>
      </c>
      <c r="G2464" s="17" t="s">
        <v>1104</v>
      </c>
      <c r="H2464" s="19"/>
    </row>
    <row r="2465" customFormat="false" ht="15" hidden="false" customHeight="false" outlineLevel="0" collapsed="false">
      <c r="A2465" s="19" t="s">
        <v>2615</v>
      </c>
      <c r="B2465" s="19" t="s">
        <v>1592</v>
      </c>
      <c r="C2465" s="19" t="n">
        <v>17</v>
      </c>
      <c r="D2465" s="17" t="s">
        <v>4342</v>
      </c>
      <c r="E2465" s="19" t="n">
        <v>0.7</v>
      </c>
      <c r="F2465" s="17" t="s">
        <v>4343</v>
      </c>
      <c r="G2465" s="17" t="s">
        <v>1104</v>
      </c>
      <c r="H2465" s="19"/>
    </row>
    <row r="2466" customFormat="false" ht="15" hidden="false" customHeight="false" outlineLevel="0" collapsed="false">
      <c r="A2466" s="19" t="s">
        <v>2615</v>
      </c>
      <c r="B2466" s="19" t="s">
        <v>1596</v>
      </c>
      <c r="C2466" s="19" t="n">
        <v>17</v>
      </c>
      <c r="D2466" s="17" t="s">
        <v>4344</v>
      </c>
      <c r="E2466" s="19" t="n">
        <v>1</v>
      </c>
      <c r="F2466" s="17" t="s">
        <v>4345</v>
      </c>
      <c r="G2466" s="17" t="s">
        <v>1104</v>
      </c>
      <c r="H2466" s="19"/>
    </row>
    <row r="2467" customFormat="false" ht="15" hidden="false" customHeight="false" outlineLevel="0" collapsed="false">
      <c r="A2467" s="19" t="s">
        <v>2615</v>
      </c>
      <c r="B2467" s="19" t="s">
        <v>1403</v>
      </c>
      <c r="C2467" s="19" t="n">
        <v>17</v>
      </c>
      <c r="D2467" s="17" t="s">
        <v>4290</v>
      </c>
      <c r="E2467" s="19" t="n">
        <v>161.185338133698</v>
      </c>
      <c r="F2467" s="17" t="s">
        <v>4410</v>
      </c>
      <c r="G2467" s="17" t="s">
        <v>1104</v>
      </c>
      <c r="H2467" s="19"/>
    </row>
    <row r="2468" customFormat="false" ht="15" hidden="false" customHeight="false" outlineLevel="0" collapsed="false">
      <c r="A2468" s="19" t="s">
        <v>2615</v>
      </c>
      <c r="B2468" s="19" t="s">
        <v>4411</v>
      </c>
      <c r="C2468" s="19" t="n">
        <v>17</v>
      </c>
      <c r="D2468" s="17" t="s">
        <v>4348</v>
      </c>
      <c r="E2468" s="19" t="n">
        <v>0.4</v>
      </c>
      <c r="F2468" s="17" t="s">
        <v>4349</v>
      </c>
      <c r="G2468" s="17" t="s">
        <v>1104</v>
      </c>
      <c r="H2468" s="19"/>
    </row>
    <row r="2469" customFormat="false" ht="15" hidden="false" customHeight="false" outlineLevel="0" collapsed="false">
      <c r="A2469" s="19" t="s">
        <v>2615</v>
      </c>
      <c r="B2469" s="19" t="s">
        <v>4412</v>
      </c>
      <c r="C2469" s="19" t="n">
        <v>17</v>
      </c>
      <c r="D2469" s="19" t="s">
        <v>848</v>
      </c>
      <c r="E2469" s="19" t="n">
        <v>2258.336</v>
      </c>
      <c r="F2469" s="17" t="s">
        <v>4413</v>
      </c>
      <c r="G2469" s="17" t="s">
        <v>1104</v>
      </c>
      <c r="H2469" s="19"/>
    </row>
    <row r="2470" customFormat="false" ht="15" hidden="false" customHeight="false" outlineLevel="0" collapsed="false">
      <c r="A2470" s="19" t="s">
        <v>2615</v>
      </c>
      <c r="B2470" s="19" t="s">
        <v>4414</v>
      </c>
      <c r="C2470" s="19" t="n">
        <v>17</v>
      </c>
      <c r="D2470" s="17" t="s">
        <v>4352</v>
      </c>
      <c r="E2470" s="19" t="n">
        <v>1</v>
      </c>
      <c r="F2470" s="17" t="s">
        <v>4415</v>
      </c>
      <c r="G2470" s="17" t="s">
        <v>1104</v>
      </c>
      <c r="H2470" s="19"/>
    </row>
    <row r="2471" customFormat="false" ht="15" hidden="false" customHeight="false" outlineLevel="0" collapsed="false">
      <c r="A2471" s="19" t="s">
        <v>2615</v>
      </c>
      <c r="B2471" s="19" t="s">
        <v>1758</v>
      </c>
      <c r="C2471" s="19" t="n">
        <v>17</v>
      </c>
      <c r="D2471" s="19" t="s">
        <v>4333</v>
      </c>
      <c r="E2471" s="19" t="n">
        <v>1</v>
      </c>
      <c r="F2471" s="17" t="s">
        <v>4334</v>
      </c>
      <c r="G2471" s="17" t="s">
        <v>1104</v>
      </c>
      <c r="H2471" s="19"/>
    </row>
    <row r="2472" customFormat="false" ht="15" hidden="false" customHeight="false" outlineLevel="0" collapsed="false">
      <c r="A2472" s="19" t="s">
        <v>2615</v>
      </c>
      <c r="B2472" s="19" t="s">
        <v>1759</v>
      </c>
      <c r="C2472" s="19" t="n">
        <v>17</v>
      </c>
      <c r="D2472" s="19" t="s">
        <v>782</v>
      </c>
      <c r="E2472" s="19" t="n">
        <v>32</v>
      </c>
      <c r="F2472" s="17" t="s">
        <v>4416</v>
      </c>
      <c r="G2472" s="17" t="s">
        <v>1104</v>
      </c>
      <c r="H2472" s="19"/>
    </row>
    <row r="2473" customFormat="false" ht="15" hidden="false" customHeight="false" outlineLevel="0" collapsed="false">
      <c r="A2473" s="19" t="s">
        <v>2615</v>
      </c>
      <c r="B2473" s="19" t="s">
        <v>1433</v>
      </c>
      <c r="C2473" s="19" t="n">
        <v>17</v>
      </c>
      <c r="D2473" s="17" t="s">
        <v>4336</v>
      </c>
      <c r="E2473" s="19" t="n">
        <v>0.5625</v>
      </c>
      <c r="F2473" s="17" t="s">
        <v>4417</v>
      </c>
      <c r="G2473" s="17" t="s">
        <v>1104</v>
      </c>
      <c r="H2473" s="19"/>
    </row>
    <row r="2474" customFormat="false" ht="15" hidden="false" customHeight="false" outlineLevel="0" collapsed="false">
      <c r="A2474" s="19" t="s">
        <v>2615</v>
      </c>
      <c r="B2474" s="19" t="s">
        <v>3052</v>
      </c>
      <c r="C2474" s="19" t="n">
        <v>17</v>
      </c>
      <c r="D2474" s="17" t="s">
        <v>4338</v>
      </c>
      <c r="E2474" s="19" t="n">
        <v>1</v>
      </c>
      <c r="F2474" s="17" t="s">
        <v>4418</v>
      </c>
      <c r="G2474" s="17" t="s">
        <v>1104</v>
      </c>
      <c r="H2474" s="19"/>
    </row>
    <row r="2475" customFormat="false" ht="15" hidden="false" customHeight="false" outlineLevel="0" collapsed="false">
      <c r="A2475" s="19" t="s">
        <v>2615</v>
      </c>
      <c r="B2475" s="19" t="s">
        <v>2557</v>
      </c>
      <c r="C2475" s="19" t="n">
        <v>17</v>
      </c>
      <c r="D2475" s="17" t="s">
        <v>804</v>
      </c>
      <c r="E2475" s="19" t="n">
        <v>20.2777777777778</v>
      </c>
      <c r="F2475" s="17" t="s">
        <v>4419</v>
      </c>
      <c r="G2475" s="17" t="s">
        <v>1104</v>
      </c>
      <c r="H2475" s="19"/>
    </row>
    <row r="2476" customFormat="false" ht="15" hidden="false" customHeight="false" outlineLevel="0" collapsed="false">
      <c r="A2476" s="19" t="s">
        <v>2615</v>
      </c>
      <c r="B2476" s="19" t="s">
        <v>2559</v>
      </c>
      <c r="C2476" s="19" t="n">
        <v>17</v>
      </c>
      <c r="D2476" s="17" t="s">
        <v>806</v>
      </c>
      <c r="E2476" s="19" t="n">
        <v>1579.72222222222</v>
      </c>
      <c r="F2476" s="17" t="s">
        <v>4420</v>
      </c>
      <c r="G2476" s="17" t="s">
        <v>1104</v>
      </c>
      <c r="H2476" s="19"/>
    </row>
    <row r="2477" customFormat="false" ht="15" hidden="false" customHeight="false" outlineLevel="0" collapsed="false">
      <c r="A2477" s="19" t="s">
        <v>2615</v>
      </c>
      <c r="B2477" s="19" t="s">
        <v>1598</v>
      </c>
      <c r="C2477" s="19" t="n">
        <v>17</v>
      </c>
      <c r="D2477" s="17" t="s">
        <v>4342</v>
      </c>
      <c r="E2477" s="19" t="n">
        <v>0.7</v>
      </c>
      <c r="F2477" s="17" t="s">
        <v>4343</v>
      </c>
      <c r="G2477" s="17" t="s">
        <v>1104</v>
      </c>
      <c r="H2477" s="19"/>
    </row>
    <row r="2478" customFormat="false" ht="15" hidden="false" customHeight="false" outlineLevel="0" collapsed="false">
      <c r="A2478" s="19" t="s">
        <v>2615</v>
      </c>
      <c r="B2478" s="19" t="s">
        <v>1602</v>
      </c>
      <c r="C2478" s="19" t="n">
        <v>17</v>
      </c>
      <c r="D2478" s="17" t="s">
        <v>4344</v>
      </c>
      <c r="E2478" s="19" t="n">
        <v>1</v>
      </c>
      <c r="F2478" s="17" t="s">
        <v>4345</v>
      </c>
      <c r="G2478" s="17" t="s">
        <v>1104</v>
      </c>
      <c r="H2478" s="19"/>
    </row>
    <row r="2479" customFormat="false" ht="15" hidden="false" customHeight="false" outlineLevel="0" collapsed="false">
      <c r="A2479" s="19" t="s">
        <v>2615</v>
      </c>
      <c r="B2479" s="19" t="s">
        <v>1405</v>
      </c>
      <c r="C2479" s="19" t="n">
        <v>17</v>
      </c>
      <c r="D2479" s="17" t="s">
        <v>4290</v>
      </c>
      <c r="E2479" s="19" t="n">
        <v>161.185338133698</v>
      </c>
      <c r="F2479" s="17" t="s">
        <v>4421</v>
      </c>
      <c r="G2479" s="17" t="s">
        <v>1104</v>
      </c>
      <c r="H2479" s="19"/>
    </row>
    <row r="2480" customFormat="false" ht="15" hidden="false" customHeight="false" outlineLevel="0" collapsed="false">
      <c r="A2480" s="19" t="s">
        <v>2615</v>
      </c>
      <c r="B2480" s="19" t="s">
        <v>4422</v>
      </c>
      <c r="C2480" s="19" t="n">
        <v>17</v>
      </c>
      <c r="D2480" s="17" t="s">
        <v>4348</v>
      </c>
      <c r="E2480" s="19" t="n">
        <v>0.4</v>
      </c>
      <c r="F2480" s="17" t="s">
        <v>4349</v>
      </c>
      <c r="G2480" s="17" t="s">
        <v>1104</v>
      </c>
      <c r="H2480" s="19"/>
    </row>
    <row r="2481" customFormat="false" ht="15" hidden="false" customHeight="false" outlineLevel="0" collapsed="false">
      <c r="A2481" s="19" t="s">
        <v>2615</v>
      </c>
      <c r="B2481" s="19" t="s">
        <v>4423</v>
      </c>
      <c r="C2481" s="19" t="n">
        <v>17</v>
      </c>
      <c r="D2481" s="19" t="s">
        <v>848</v>
      </c>
      <c r="E2481" s="19" t="n">
        <v>2212.32</v>
      </c>
      <c r="F2481" s="17" t="s">
        <v>4424</v>
      </c>
      <c r="G2481" s="17" t="s">
        <v>1104</v>
      </c>
      <c r="H2481" s="19"/>
    </row>
    <row r="2482" customFormat="false" ht="15" hidden="false" customHeight="false" outlineLevel="0" collapsed="false">
      <c r="A2482" s="19" t="s">
        <v>2615</v>
      </c>
      <c r="B2482" s="19" t="s">
        <v>4425</v>
      </c>
      <c r="C2482" s="19" t="n">
        <v>17</v>
      </c>
      <c r="D2482" s="17" t="s">
        <v>4352</v>
      </c>
      <c r="E2482" s="19" t="n">
        <v>1</v>
      </c>
      <c r="F2482" s="17" t="s">
        <v>4426</v>
      </c>
      <c r="G2482" s="17" t="s">
        <v>1104</v>
      </c>
      <c r="H2482" s="19"/>
    </row>
    <row r="2483" customFormat="false" ht="15" hidden="false" customHeight="false" outlineLevel="0" collapsed="false">
      <c r="A2483" s="19" t="s">
        <v>2615</v>
      </c>
      <c r="B2483" s="19" t="s">
        <v>1774</v>
      </c>
      <c r="C2483" s="19" t="n">
        <v>17</v>
      </c>
      <c r="D2483" s="19" t="s">
        <v>4333</v>
      </c>
      <c r="E2483" s="19" t="n">
        <v>1</v>
      </c>
      <c r="F2483" s="17" t="s">
        <v>4334</v>
      </c>
      <c r="G2483" s="17" t="s">
        <v>1104</v>
      </c>
      <c r="H2483" s="19"/>
    </row>
    <row r="2484" customFormat="false" ht="15" hidden="false" customHeight="false" outlineLevel="0" collapsed="false">
      <c r="A2484" s="19" t="s">
        <v>2615</v>
      </c>
      <c r="B2484" s="19" t="s">
        <v>1775</v>
      </c>
      <c r="C2484" s="19" t="n">
        <v>17</v>
      </c>
      <c r="D2484" s="19" t="s">
        <v>782</v>
      </c>
      <c r="E2484" s="19" t="n">
        <v>32</v>
      </c>
      <c r="F2484" s="17" t="s">
        <v>4427</v>
      </c>
      <c r="G2484" s="17" t="s">
        <v>1104</v>
      </c>
      <c r="H2484" s="19"/>
    </row>
    <row r="2485" customFormat="false" ht="15" hidden="false" customHeight="false" outlineLevel="0" collapsed="false">
      <c r="A2485" s="19" t="s">
        <v>2615</v>
      </c>
      <c r="B2485" s="19" t="s">
        <v>1435</v>
      </c>
      <c r="C2485" s="19" t="n">
        <v>17</v>
      </c>
      <c r="D2485" s="17" t="s">
        <v>4336</v>
      </c>
      <c r="E2485" s="19" t="n">
        <v>0.5625</v>
      </c>
      <c r="F2485" s="17" t="s">
        <v>4428</v>
      </c>
      <c r="G2485" s="17" t="s">
        <v>1104</v>
      </c>
      <c r="H2485" s="19"/>
    </row>
    <row r="2486" customFormat="false" ht="15" hidden="false" customHeight="false" outlineLevel="0" collapsed="false">
      <c r="A2486" s="19" t="s">
        <v>2615</v>
      </c>
      <c r="B2486" s="19" t="s">
        <v>3057</v>
      </c>
      <c r="C2486" s="19" t="n">
        <v>17</v>
      </c>
      <c r="D2486" s="17" t="s">
        <v>4338</v>
      </c>
      <c r="E2486" s="19" t="n">
        <v>1</v>
      </c>
      <c r="F2486" s="17" t="s">
        <v>4429</v>
      </c>
      <c r="G2486" s="17" t="s">
        <v>1104</v>
      </c>
      <c r="H2486" s="19"/>
    </row>
    <row r="2487" customFormat="false" ht="15" hidden="false" customHeight="false" outlineLevel="0" collapsed="false">
      <c r="A2487" s="19" t="s">
        <v>2615</v>
      </c>
      <c r="B2487" s="19" t="s">
        <v>2563</v>
      </c>
      <c r="C2487" s="19" t="n">
        <v>17</v>
      </c>
      <c r="D2487" s="17" t="s">
        <v>804</v>
      </c>
      <c r="E2487" s="19" t="n">
        <v>49.0725806451613</v>
      </c>
      <c r="F2487" s="17" t="s">
        <v>4430</v>
      </c>
      <c r="G2487" s="17" t="s">
        <v>1104</v>
      </c>
      <c r="H2487" s="19"/>
    </row>
    <row r="2488" customFormat="false" ht="15" hidden="false" customHeight="false" outlineLevel="0" collapsed="false">
      <c r="A2488" s="19" t="s">
        <v>2615</v>
      </c>
      <c r="B2488" s="19" t="s">
        <v>2565</v>
      </c>
      <c r="C2488" s="19" t="n">
        <v>17</v>
      </c>
      <c r="D2488" s="17" t="s">
        <v>806</v>
      </c>
      <c r="E2488" s="19" t="n">
        <v>3950.92741935484</v>
      </c>
      <c r="F2488" s="17" t="s">
        <v>4431</v>
      </c>
      <c r="G2488" s="17" t="s">
        <v>1104</v>
      </c>
      <c r="H2488" s="19"/>
    </row>
    <row r="2489" customFormat="false" ht="15" hidden="false" customHeight="false" outlineLevel="0" collapsed="false">
      <c r="A2489" s="19" t="s">
        <v>2615</v>
      </c>
      <c r="B2489" s="19" t="s">
        <v>1604</v>
      </c>
      <c r="C2489" s="19" t="n">
        <v>17</v>
      </c>
      <c r="D2489" s="17" t="s">
        <v>4342</v>
      </c>
      <c r="E2489" s="19" t="n">
        <v>0.7</v>
      </c>
      <c r="F2489" s="17" t="s">
        <v>4343</v>
      </c>
      <c r="G2489" s="17" t="s">
        <v>1104</v>
      </c>
      <c r="H2489" s="19"/>
    </row>
    <row r="2490" customFormat="false" ht="15" hidden="false" customHeight="false" outlineLevel="0" collapsed="false">
      <c r="A2490" s="19" t="s">
        <v>2615</v>
      </c>
      <c r="B2490" s="19" t="s">
        <v>1608</v>
      </c>
      <c r="C2490" s="19" t="n">
        <v>17</v>
      </c>
      <c r="D2490" s="17" t="s">
        <v>4344</v>
      </c>
      <c r="E2490" s="19" t="n">
        <v>1</v>
      </c>
      <c r="F2490" s="17" t="s">
        <v>4345</v>
      </c>
      <c r="G2490" s="17" t="s">
        <v>1104</v>
      </c>
      <c r="H2490" s="19"/>
    </row>
    <row r="2491" customFormat="false" ht="15" hidden="false" customHeight="false" outlineLevel="0" collapsed="false">
      <c r="A2491" s="19" t="s">
        <v>2615</v>
      </c>
      <c r="B2491" s="19" t="s">
        <v>1407</v>
      </c>
      <c r="C2491" s="19" t="n">
        <v>17</v>
      </c>
      <c r="D2491" s="17" t="s">
        <v>4290</v>
      </c>
      <c r="E2491" s="19" t="n">
        <v>161.185338133698</v>
      </c>
      <c r="F2491" s="17" t="s">
        <v>4432</v>
      </c>
      <c r="G2491" s="17" t="s">
        <v>1104</v>
      </c>
      <c r="H2491" s="19"/>
    </row>
    <row r="2492" customFormat="false" ht="15" hidden="false" customHeight="false" outlineLevel="0" collapsed="false">
      <c r="A2492" s="19" t="s">
        <v>2615</v>
      </c>
      <c r="B2492" s="19" t="s">
        <v>4433</v>
      </c>
      <c r="C2492" s="19" t="n">
        <v>17</v>
      </c>
      <c r="D2492" s="17" t="s">
        <v>4348</v>
      </c>
      <c r="E2492" s="19" t="n">
        <v>0.4</v>
      </c>
      <c r="F2492" s="17" t="s">
        <v>4349</v>
      </c>
      <c r="G2492" s="17" t="s">
        <v>1104</v>
      </c>
      <c r="H2492" s="19"/>
    </row>
    <row r="2493" customFormat="false" ht="15" hidden="false" customHeight="false" outlineLevel="0" collapsed="false">
      <c r="A2493" s="19" t="s">
        <v>2615</v>
      </c>
      <c r="B2493" s="19" t="s">
        <v>4434</v>
      </c>
      <c r="C2493" s="19" t="n">
        <v>17</v>
      </c>
      <c r="D2493" s="19" t="s">
        <v>848</v>
      </c>
      <c r="E2493" s="19" t="n">
        <v>34816</v>
      </c>
      <c r="F2493" s="17" t="s">
        <v>4435</v>
      </c>
      <c r="G2493" s="17" t="s">
        <v>1104</v>
      </c>
      <c r="H2493" s="19"/>
    </row>
    <row r="2494" customFormat="false" ht="15" hidden="false" customHeight="false" outlineLevel="0" collapsed="false">
      <c r="A2494" s="19" t="s">
        <v>2615</v>
      </c>
      <c r="B2494" s="19" t="s">
        <v>4436</v>
      </c>
      <c r="C2494" s="19" t="n">
        <v>17</v>
      </c>
      <c r="D2494" s="17" t="s">
        <v>4352</v>
      </c>
      <c r="E2494" s="19" t="n">
        <v>1</v>
      </c>
      <c r="F2494" s="17" t="s">
        <v>4437</v>
      </c>
      <c r="G2494" s="17" t="s">
        <v>1104</v>
      </c>
      <c r="H2494" s="19"/>
    </row>
    <row r="2495" customFormat="false" ht="15" hidden="false" customHeight="false" outlineLevel="0" collapsed="false">
      <c r="A2495" s="19" t="s">
        <v>2615</v>
      </c>
      <c r="B2495" s="19" t="s">
        <v>1790</v>
      </c>
      <c r="C2495" s="19" t="n">
        <v>17</v>
      </c>
      <c r="D2495" s="19" t="s">
        <v>4333</v>
      </c>
      <c r="E2495" s="19" t="n">
        <v>1</v>
      </c>
      <c r="F2495" s="17" t="s">
        <v>4334</v>
      </c>
      <c r="G2495" s="17" t="s">
        <v>1104</v>
      </c>
      <c r="H2495" s="19"/>
    </row>
    <row r="2496" customFormat="false" ht="15" hidden="false" customHeight="false" outlineLevel="0" collapsed="false">
      <c r="A2496" s="19" t="s">
        <v>2615</v>
      </c>
      <c r="B2496" s="19" t="s">
        <v>1791</v>
      </c>
      <c r="C2496" s="19" t="n">
        <v>17</v>
      </c>
      <c r="D2496" s="19" t="s">
        <v>782</v>
      </c>
      <c r="E2496" s="19" t="n">
        <v>32</v>
      </c>
      <c r="F2496" s="17" t="s">
        <v>4438</v>
      </c>
      <c r="G2496" s="17" t="s">
        <v>1104</v>
      </c>
      <c r="H2496" s="19"/>
    </row>
    <row r="2497" customFormat="false" ht="15" hidden="false" customHeight="false" outlineLevel="0" collapsed="false">
      <c r="A2497" s="19" t="s">
        <v>2615</v>
      </c>
      <c r="B2497" s="19" t="s">
        <v>1437</v>
      </c>
      <c r="C2497" s="19" t="n">
        <v>17</v>
      </c>
      <c r="D2497" s="17" t="s">
        <v>4336</v>
      </c>
      <c r="E2497" s="19" t="n">
        <v>0.5625</v>
      </c>
      <c r="F2497" s="17" t="s">
        <v>4439</v>
      </c>
      <c r="G2497" s="17" t="s">
        <v>1104</v>
      </c>
      <c r="H2497" s="19"/>
    </row>
    <row r="2498" customFormat="false" ht="15" hidden="false" customHeight="false" outlineLevel="0" collapsed="false">
      <c r="A2498" s="19" t="s">
        <v>2615</v>
      </c>
      <c r="B2498" s="19" t="s">
        <v>3063</v>
      </c>
      <c r="C2498" s="19" t="n">
        <v>17</v>
      </c>
      <c r="D2498" s="17" t="s">
        <v>4338</v>
      </c>
      <c r="E2498" s="19" t="n">
        <v>1</v>
      </c>
      <c r="F2498" s="17" t="s">
        <v>4440</v>
      </c>
      <c r="G2498" s="17" t="s">
        <v>1104</v>
      </c>
      <c r="H2498" s="19"/>
    </row>
    <row r="2499" customFormat="false" ht="15" hidden="false" customHeight="false" outlineLevel="0" collapsed="false">
      <c r="A2499" s="19" t="s">
        <v>2615</v>
      </c>
      <c r="B2499" s="19" t="s">
        <v>2569</v>
      </c>
      <c r="C2499" s="19" t="n">
        <v>17</v>
      </c>
      <c r="D2499" s="17" t="s">
        <v>804</v>
      </c>
      <c r="E2499" s="19" t="n">
        <v>5.412</v>
      </c>
      <c r="F2499" s="17" t="s">
        <v>4441</v>
      </c>
      <c r="G2499" s="17" t="s">
        <v>1104</v>
      </c>
      <c r="H2499" s="19"/>
    </row>
    <row r="2500" customFormat="false" ht="15" hidden="false" customHeight="false" outlineLevel="0" collapsed="false">
      <c r="A2500" s="19" t="s">
        <v>2615</v>
      </c>
      <c r="B2500" s="19" t="s">
        <v>2571</v>
      </c>
      <c r="C2500" s="19" t="n">
        <v>17</v>
      </c>
      <c r="D2500" s="17" t="s">
        <v>806</v>
      </c>
      <c r="E2500" s="19" t="n">
        <v>278.588</v>
      </c>
      <c r="F2500" s="17" t="s">
        <v>4442</v>
      </c>
      <c r="G2500" s="17" t="s">
        <v>1104</v>
      </c>
      <c r="H2500" s="19"/>
    </row>
    <row r="2501" customFormat="false" ht="15" hidden="false" customHeight="false" outlineLevel="0" collapsed="false">
      <c r="A2501" s="19" t="s">
        <v>2615</v>
      </c>
      <c r="B2501" s="19" t="s">
        <v>1610</v>
      </c>
      <c r="C2501" s="19" t="n">
        <v>17</v>
      </c>
      <c r="D2501" s="17" t="s">
        <v>4342</v>
      </c>
      <c r="E2501" s="19" t="n">
        <v>0.7</v>
      </c>
      <c r="F2501" s="17" t="s">
        <v>4343</v>
      </c>
      <c r="G2501" s="17" t="s">
        <v>1104</v>
      </c>
      <c r="H2501" s="19"/>
    </row>
    <row r="2502" customFormat="false" ht="15" hidden="false" customHeight="false" outlineLevel="0" collapsed="false">
      <c r="A2502" s="19" t="s">
        <v>2615</v>
      </c>
      <c r="B2502" s="19" t="s">
        <v>1614</v>
      </c>
      <c r="C2502" s="19" t="n">
        <v>17</v>
      </c>
      <c r="D2502" s="17" t="s">
        <v>4344</v>
      </c>
      <c r="E2502" s="19" t="n">
        <v>1</v>
      </c>
      <c r="F2502" s="17" t="s">
        <v>4345</v>
      </c>
      <c r="G2502" s="17" t="s">
        <v>1104</v>
      </c>
      <c r="H2502" s="19"/>
    </row>
    <row r="2503" customFormat="false" ht="15" hidden="false" customHeight="false" outlineLevel="0" collapsed="false">
      <c r="A2503" s="19" t="s">
        <v>2615</v>
      </c>
      <c r="B2503" s="19" t="s">
        <v>1409</v>
      </c>
      <c r="C2503" s="19" t="n">
        <v>17</v>
      </c>
      <c r="D2503" s="17" t="s">
        <v>4290</v>
      </c>
      <c r="E2503" s="19" t="n">
        <v>161.185338133698</v>
      </c>
      <c r="F2503" s="17" t="s">
        <v>4443</v>
      </c>
      <c r="G2503" s="17" t="s">
        <v>1104</v>
      </c>
      <c r="H2503" s="19"/>
    </row>
    <row r="2504" customFormat="false" ht="15" hidden="false" customHeight="false" outlineLevel="0" collapsed="false">
      <c r="A2504" s="19" t="s">
        <v>2615</v>
      </c>
      <c r="B2504" s="19" t="s">
        <v>4444</v>
      </c>
      <c r="C2504" s="19" t="n">
        <v>17</v>
      </c>
      <c r="D2504" s="17" t="s">
        <v>4348</v>
      </c>
      <c r="E2504" s="19" t="n">
        <v>0.4</v>
      </c>
      <c r="F2504" s="17" t="s">
        <v>4349</v>
      </c>
      <c r="G2504" s="17" t="s">
        <v>1104</v>
      </c>
      <c r="H2504" s="19"/>
    </row>
    <row r="2505" customFormat="false" ht="15" hidden="false" customHeight="false" outlineLevel="0" collapsed="false">
      <c r="A2505" s="19" t="s">
        <v>2615</v>
      </c>
      <c r="B2505" s="19" t="s">
        <v>4445</v>
      </c>
      <c r="C2505" s="19" t="n">
        <v>17</v>
      </c>
      <c r="D2505" s="19" t="s">
        <v>848</v>
      </c>
      <c r="E2505" s="19" t="n">
        <v>2258.336</v>
      </c>
      <c r="F2505" s="17" t="s">
        <v>4446</v>
      </c>
      <c r="G2505" s="17" t="s">
        <v>1104</v>
      </c>
      <c r="H2505" s="19"/>
    </row>
    <row r="2506" customFormat="false" ht="15" hidden="false" customHeight="false" outlineLevel="0" collapsed="false">
      <c r="A2506" s="19" t="s">
        <v>2615</v>
      </c>
      <c r="B2506" s="19" t="s">
        <v>4447</v>
      </c>
      <c r="C2506" s="19" t="n">
        <v>17</v>
      </c>
      <c r="D2506" s="17" t="s">
        <v>4352</v>
      </c>
      <c r="E2506" s="19" t="n">
        <v>1</v>
      </c>
      <c r="F2506" s="17" t="s">
        <v>4448</v>
      </c>
      <c r="G2506" s="17" t="s">
        <v>1104</v>
      </c>
      <c r="H2506" s="19"/>
    </row>
    <row r="2507" customFormat="false" ht="15" hidden="false" customHeight="false" outlineLevel="0" collapsed="false">
      <c r="A2507" s="19" t="s">
        <v>2615</v>
      </c>
      <c r="B2507" s="19" t="s">
        <v>1806</v>
      </c>
      <c r="C2507" s="19" t="n">
        <v>17</v>
      </c>
      <c r="D2507" s="19" t="s">
        <v>4333</v>
      </c>
      <c r="E2507" s="19" t="n">
        <v>1</v>
      </c>
      <c r="F2507" s="17" t="s">
        <v>4334</v>
      </c>
      <c r="G2507" s="17" t="s">
        <v>1104</v>
      </c>
      <c r="H2507" s="19"/>
    </row>
    <row r="2508" customFormat="false" ht="15" hidden="false" customHeight="false" outlineLevel="0" collapsed="false">
      <c r="A2508" s="19" t="s">
        <v>2615</v>
      </c>
      <c r="B2508" s="19" t="s">
        <v>1807</v>
      </c>
      <c r="C2508" s="19" t="n">
        <v>17</v>
      </c>
      <c r="D2508" s="19" t="s">
        <v>782</v>
      </c>
      <c r="E2508" s="19" t="n">
        <v>32</v>
      </c>
      <c r="F2508" s="17" t="s">
        <v>4449</v>
      </c>
      <c r="G2508" s="17" t="s">
        <v>1104</v>
      </c>
      <c r="H2508" s="19"/>
    </row>
    <row r="2509" customFormat="false" ht="15" hidden="false" customHeight="false" outlineLevel="0" collapsed="false">
      <c r="A2509" s="19" t="s">
        <v>2615</v>
      </c>
      <c r="B2509" s="19" t="s">
        <v>1439</v>
      </c>
      <c r="C2509" s="19" t="n">
        <v>17</v>
      </c>
      <c r="D2509" s="17" t="s">
        <v>4336</v>
      </c>
      <c r="E2509" s="19" t="n">
        <v>0.5625</v>
      </c>
      <c r="F2509" s="17" t="s">
        <v>4450</v>
      </c>
      <c r="G2509" s="17" t="s">
        <v>1104</v>
      </c>
      <c r="H2509" s="19"/>
    </row>
    <row r="2510" customFormat="false" ht="15" hidden="false" customHeight="false" outlineLevel="0" collapsed="false">
      <c r="A2510" s="19" t="s">
        <v>2615</v>
      </c>
      <c r="B2510" s="19" t="s">
        <v>3068</v>
      </c>
      <c r="C2510" s="19" t="n">
        <v>17</v>
      </c>
      <c r="D2510" s="17" t="s">
        <v>4338</v>
      </c>
      <c r="E2510" s="19" t="n">
        <v>1</v>
      </c>
      <c r="F2510" s="17" t="s">
        <v>4451</v>
      </c>
      <c r="G2510" s="17" t="s">
        <v>1104</v>
      </c>
      <c r="H2510" s="19"/>
    </row>
    <row r="2511" customFormat="false" ht="15" hidden="false" customHeight="false" outlineLevel="0" collapsed="false">
      <c r="A2511" s="19" t="s">
        <v>2615</v>
      </c>
      <c r="B2511" s="19" t="s">
        <v>2575</v>
      </c>
      <c r="C2511" s="19" t="n">
        <v>17</v>
      </c>
      <c r="D2511" s="17" t="s">
        <v>804</v>
      </c>
      <c r="E2511" s="19" t="n">
        <v>20.2777777777778</v>
      </c>
      <c r="F2511" s="17" t="s">
        <v>4452</v>
      </c>
      <c r="G2511" s="17" t="s">
        <v>1104</v>
      </c>
      <c r="H2511" s="19"/>
    </row>
    <row r="2512" customFormat="false" ht="15" hidden="false" customHeight="false" outlineLevel="0" collapsed="false">
      <c r="A2512" s="19" t="s">
        <v>2615</v>
      </c>
      <c r="B2512" s="19" t="s">
        <v>2577</v>
      </c>
      <c r="C2512" s="19" t="n">
        <v>17</v>
      </c>
      <c r="D2512" s="17" t="s">
        <v>806</v>
      </c>
      <c r="E2512" s="19" t="n">
        <v>1579.72222222222</v>
      </c>
      <c r="F2512" s="17" t="s">
        <v>4453</v>
      </c>
      <c r="G2512" s="17" t="s">
        <v>1104</v>
      </c>
      <c r="H2512" s="19"/>
    </row>
    <row r="2513" customFormat="false" ht="15" hidden="false" customHeight="false" outlineLevel="0" collapsed="false">
      <c r="A2513" s="19" t="s">
        <v>2615</v>
      </c>
      <c r="B2513" s="19" t="s">
        <v>1616</v>
      </c>
      <c r="C2513" s="19" t="n">
        <v>17</v>
      </c>
      <c r="D2513" s="17" t="s">
        <v>4342</v>
      </c>
      <c r="E2513" s="19" t="n">
        <v>0.7</v>
      </c>
      <c r="F2513" s="17" t="s">
        <v>4343</v>
      </c>
      <c r="G2513" s="17" t="s">
        <v>1104</v>
      </c>
      <c r="H2513" s="19"/>
    </row>
    <row r="2514" customFormat="false" ht="15" hidden="false" customHeight="false" outlineLevel="0" collapsed="false">
      <c r="A2514" s="19" t="s">
        <v>2615</v>
      </c>
      <c r="B2514" s="19" t="s">
        <v>1620</v>
      </c>
      <c r="C2514" s="19" t="n">
        <v>17</v>
      </c>
      <c r="D2514" s="17" t="s">
        <v>4344</v>
      </c>
      <c r="E2514" s="19" t="n">
        <v>1</v>
      </c>
      <c r="F2514" s="17" t="s">
        <v>4345</v>
      </c>
      <c r="G2514" s="17" t="s">
        <v>1104</v>
      </c>
      <c r="H2514" s="19"/>
    </row>
    <row r="2515" customFormat="false" ht="15" hidden="false" customHeight="false" outlineLevel="0" collapsed="false">
      <c r="A2515" s="19" t="s">
        <v>2615</v>
      </c>
      <c r="B2515" s="19" t="s">
        <v>1411</v>
      </c>
      <c r="C2515" s="19" t="n">
        <v>17</v>
      </c>
      <c r="D2515" s="17" t="s">
        <v>4290</v>
      </c>
      <c r="E2515" s="19" t="n">
        <v>161.185338133698</v>
      </c>
      <c r="F2515" s="17" t="s">
        <v>4454</v>
      </c>
      <c r="G2515" s="17" t="s">
        <v>1104</v>
      </c>
      <c r="H2515" s="19"/>
    </row>
    <row r="2516" customFormat="false" ht="15" hidden="false" customHeight="false" outlineLevel="0" collapsed="false">
      <c r="A2516" s="19" t="s">
        <v>2615</v>
      </c>
      <c r="B2516" s="19" t="s">
        <v>4455</v>
      </c>
      <c r="C2516" s="19" t="n">
        <v>17</v>
      </c>
      <c r="D2516" s="17" t="s">
        <v>4348</v>
      </c>
      <c r="E2516" s="19" t="n">
        <v>0.4</v>
      </c>
      <c r="F2516" s="17" t="s">
        <v>4349</v>
      </c>
      <c r="G2516" s="17" t="s">
        <v>1104</v>
      </c>
      <c r="H2516" s="19"/>
    </row>
    <row r="2517" customFormat="false" ht="15" hidden="false" customHeight="false" outlineLevel="0" collapsed="false">
      <c r="A2517" s="19" t="s">
        <v>2615</v>
      </c>
      <c r="B2517" s="19" t="s">
        <v>4456</v>
      </c>
      <c r="C2517" s="19" t="n">
        <v>17</v>
      </c>
      <c r="D2517" s="19" t="s">
        <v>848</v>
      </c>
      <c r="E2517" s="19" t="n">
        <v>2212.32</v>
      </c>
      <c r="F2517" s="17" t="s">
        <v>4457</v>
      </c>
      <c r="G2517" s="17" t="s">
        <v>1104</v>
      </c>
      <c r="H2517" s="19"/>
    </row>
    <row r="2518" customFormat="false" ht="15" hidden="false" customHeight="false" outlineLevel="0" collapsed="false">
      <c r="A2518" s="19" t="s">
        <v>2615</v>
      </c>
      <c r="B2518" s="19" t="s">
        <v>4458</v>
      </c>
      <c r="C2518" s="19" t="n">
        <v>17</v>
      </c>
      <c r="D2518" s="17" t="s">
        <v>4352</v>
      </c>
      <c r="E2518" s="19" t="n">
        <v>1</v>
      </c>
      <c r="F2518" s="17" t="s">
        <v>4459</v>
      </c>
      <c r="G2518" s="17" t="s">
        <v>1104</v>
      </c>
      <c r="H2518" s="19"/>
    </row>
    <row r="2519" customFormat="false" ht="15" hidden="false" customHeight="false" outlineLevel="0" collapsed="false">
      <c r="A2519" s="19" t="s">
        <v>2615</v>
      </c>
      <c r="B2519" s="19" t="s">
        <v>1822</v>
      </c>
      <c r="C2519" s="19" t="n">
        <v>17</v>
      </c>
      <c r="D2519" s="19" t="s">
        <v>4333</v>
      </c>
      <c r="E2519" s="19" t="n">
        <v>1</v>
      </c>
      <c r="F2519" s="17" t="s">
        <v>4334</v>
      </c>
      <c r="G2519" s="17" t="s">
        <v>1104</v>
      </c>
      <c r="H2519" s="19"/>
    </row>
    <row r="2520" customFormat="false" ht="15" hidden="false" customHeight="false" outlineLevel="0" collapsed="false">
      <c r="A2520" s="19" t="s">
        <v>2615</v>
      </c>
      <c r="B2520" s="19" t="s">
        <v>1823</v>
      </c>
      <c r="C2520" s="19" t="n">
        <v>17</v>
      </c>
      <c r="D2520" s="19" t="s">
        <v>782</v>
      </c>
      <c r="E2520" s="19" t="n">
        <v>32</v>
      </c>
      <c r="F2520" s="17" t="s">
        <v>4460</v>
      </c>
      <c r="G2520" s="17" t="s">
        <v>1104</v>
      </c>
      <c r="H2520" s="19"/>
    </row>
    <row r="2521" customFormat="false" ht="15" hidden="false" customHeight="false" outlineLevel="0" collapsed="false">
      <c r="A2521" s="19" t="s">
        <v>2615</v>
      </c>
      <c r="B2521" s="19" t="s">
        <v>1441</v>
      </c>
      <c r="C2521" s="19" t="n">
        <v>17</v>
      </c>
      <c r="D2521" s="17" t="s">
        <v>4336</v>
      </c>
      <c r="E2521" s="19" t="n">
        <v>0.5625</v>
      </c>
      <c r="F2521" s="17" t="s">
        <v>4461</v>
      </c>
      <c r="G2521" s="17" t="s">
        <v>1104</v>
      </c>
      <c r="H2521" s="19"/>
    </row>
    <row r="2522" customFormat="false" ht="15" hidden="false" customHeight="false" outlineLevel="0" collapsed="false">
      <c r="A2522" s="19" t="s">
        <v>2615</v>
      </c>
      <c r="B2522" s="19" t="s">
        <v>3073</v>
      </c>
      <c r="C2522" s="19" t="n">
        <v>17</v>
      </c>
      <c r="D2522" s="17" t="s">
        <v>4338</v>
      </c>
      <c r="E2522" s="19" t="n">
        <v>1</v>
      </c>
      <c r="F2522" s="17" t="s">
        <v>4462</v>
      </c>
      <c r="G2522" s="17" t="s">
        <v>1104</v>
      </c>
      <c r="H2522" s="19"/>
    </row>
    <row r="2523" customFormat="false" ht="15" hidden="false" customHeight="false" outlineLevel="0" collapsed="false">
      <c r="A2523" s="19" t="s">
        <v>2615</v>
      </c>
      <c r="B2523" s="19" t="s">
        <v>2581</v>
      </c>
      <c r="C2523" s="19" t="n">
        <v>17</v>
      </c>
      <c r="D2523" s="17" t="s">
        <v>804</v>
      </c>
      <c r="E2523" s="19" t="n">
        <v>49.0725806451613</v>
      </c>
      <c r="F2523" s="17" t="s">
        <v>4463</v>
      </c>
      <c r="G2523" s="17" t="s">
        <v>1104</v>
      </c>
      <c r="H2523" s="19"/>
    </row>
    <row r="2524" customFormat="false" ht="15" hidden="false" customHeight="false" outlineLevel="0" collapsed="false">
      <c r="A2524" s="19" t="s">
        <v>2615</v>
      </c>
      <c r="B2524" s="19" t="s">
        <v>2583</v>
      </c>
      <c r="C2524" s="19" t="n">
        <v>17</v>
      </c>
      <c r="D2524" s="17" t="s">
        <v>806</v>
      </c>
      <c r="E2524" s="19" t="n">
        <v>3950.92741935484</v>
      </c>
      <c r="F2524" s="17" t="s">
        <v>4464</v>
      </c>
      <c r="G2524" s="17" t="s">
        <v>1104</v>
      </c>
      <c r="H2524" s="19"/>
    </row>
    <row r="2525" customFormat="false" ht="15" hidden="false" customHeight="false" outlineLevel="0" collapsed="false">
      <c r="A2525" s="19" t="s">
        <v>2615</v>
      </c>
      <c r="B2525" s="19" t="s">
        <v>1622</v>
      </c>
      <c r="C2525" s="19" t="n">
        <v>17</v>
      </c>
      <c r="D2525" s="17" t="s">
        <v>4342</v>
      </c>
      <c r="E2525" s="19" t="n">
        <v>0.7</v>
      </c>
      <c r="F2525" s="17" t="s">
        <v>4343</v>
      </c>
      <c r="G2525" s="17" t="s">
        <v>1104</v>
      </c>
      <c r="H2525" s="19"/>
    </row>
    <row r="2526" customFormat="false" ht="15" hidden="false" customHeight="false" outlineLevel="0" collapsed="false">
      <c r="A2526" s="19" t="s">
        <v>2615</v>
      </c>
      <c r="B2526" s="19" t="s">
        <v>1626</v>
      </c>
      <c r="C2526" s="19" t="n">
        <v>17</v>
      </c>
      <c r="D2526" s="17" t="s">
        <v>4344</v>
      </c>
      <c r="E2526" s="19" t="n">
        <v>1</v>
      </c>
      <c r="F2526" s="17" t="s">
        <v>4345</v>
      </c>
      <c r="G2526" s="17" t="s">
        <v>1104</v>
      </c>
      <c r="H2526" s="19"/>
    </row>
    <row r="2527" customFormat="false" ht="15" hidden="false" customHeight="false" outlineLevel="0" collapsed="false">
      <c r="A2527" s="19" t="s">
        <v>2615</v>
      </c>
      <c r="B2527" s="19" t="s">
        <v>1413</v>
      </c>
      <c r="C2527" s="19" t="n">
        <v>17</v>
      </c>
      <c r="D2527" s="17" t="s">
        <v>4290</v>
      </c>
      <c r="E2527" s="19" t="n">
        <v>161.185338133698</v>
      </c>
      <c r="F2527" s="17" t="s">
        <v>4465</v>
      </c>
      <c r="G2527" s="17" t="s">
        <v>1104</v>
      </c>
      <c r="H2527" s="19"/>
    </row>
    <row r="2528" customFormat="false" ht="15" hidden="false" customHeight="false" outlineLevel="0" collapsed="false">
      <c r="A2528" s="19" t="s">
        <v>2615</v>
      </c>
      <c r="B2528" s="19" t="s">
        <v>4466</v>
      </c>
      <c r="C2528" s="19" t="n">
        <v>17</v>
      </c>
      <c r="D2528" s="17" t="s">
        <v>4348</v>
      </c>
      <c r="E2528" s="19" t="n">
        <v>0.4</v>
      </c>
      <c r="F2528" s="17" t="s">
        <v>4349</v>
      </c>
      <c r="G2528" s="17" t="s">
        <v>1104</v>
      </c>
      <c r="H2528" s="19"/>
    </row>
    <row r="2529" customFormat="false" ht="15" hidden="false" customHeight="false" outlineLevel="0" collapsed="false">
      <c r="A2529" s="19" t="s">
        <v>2615</v>
      </c>
      <c r="B2529" s="19" t="s">
        <v>4467</v>
      </c>
      <c r="C2529" s="19" t="n">
        <v>17</v>
      </c>
      <c r="D2529" s="19" t="s">
        <v>848</v>
      </c>
      <c r="E2529" s="19" t="n">
        <v>34816</v>
      </c>
      <c r="F2529" s="17" t="s">
        <v>4468</v>
      </c>
      <c r="G2529" s="17" t="s">
        <v>1104</v>
      </c>
      <c r="H2529" s="19"/>
    </row>
    <row r="2530" customFormat="false" ht="15" hidden="false" customHeight="false" outlineLevel="0" collapsed="false">
      <c r="A2530" s="19" t="s">
        <v>2615</v>
      </c>
      <c r="B2530" s="19" t="s">
        <v>4469</v>
      </c>
      <c r="C2530" s="19" t="n">
        <v>17</v>
      </c>
      <c r="D2530" s="17" t="s">
        <v>4352</v>
      </c>
      <c r="E2530" s="19" t="n">
        <v>1</v>
      </c>
      <c r="F2530" s="17" t="s">
        <v>4470</v>
      </c>
      <c r="G2530" s="17" t="s">
        <v>1104</v>
      </c>
      <c r="H2530" s="19"/>
    </row>
    <row r="2531" customFormat="false" ht="15" hidden="false" customHeight="false" outlineLevel="0" collapsed="false">
      <c r="A2531" s="19" t="s">
        <v>2615</v>
      </c>
      <c r="B2531" s="19" t="s">
        <v>1838</v>
      </c>
      <c r="C2531" s="19" t="n">
        <v>17</v>
      </c>
      <c r="D2531" s="19" t="s">
        <v>4333</v>
      </c>
      <c r="E2531" s="19" t="n">
        <v>1</v>
      </c>
      <c r="F2531" s="17" t="s">
        <v>4334</v>
      </c>
      <c r="G2531" s="17" t="s">
        <v>1104</v>
      </c>
      <c r="H2531" s="19"/>
    </row>
    <row r="2532" customFormat="false" ht="15" hidden="false" customHeight="false" outlineLevel="0" collapsed="false">
      <c r="A2532" s="19" t="s">
        <v>2615</v>
      </c>
      <c r="B2532" s="19" t="s">
        <v>1839</v>
      </c>
      <c r="C2532" s="19" t="n">
        <v>17</v>
      </c>
      <c r="D2532" s="19" t="s">
        <v>782</v>
      </c>
      <c r="E2532" s="19" t="n">
        <v>64</v>
      </c>
      <c r="F2532" s="17" t="s">
        <v>4471</v>
      </c>
      <c r="G2532" s="17" t="s">
        <v>1104</v>
      </c>
      <c r="H2532" s="19"/>
    </row>
    <row r="2533" customFormat="false" ht="15" hidden="false" customHeight="false" outlineLevel="0" collapsed="false">
      <c r="A2533" s="19" t="s">
        <v>2615</v>
      </c>
      <c r="B2533" s="19" t="s">
        <v>1443</v>
      </c>
      <c r="C2533" s="19" t="n">
        <v>17</v>
      </c>
      <c r="D2533" s="17" t="s">
        <v>4336</v>
      </c>
      <c r="E2533" s="19" t="n">
        <v>0.5625</v>
      </c>
      <c r="F2533" s="17" t="s">
        <v>4472</v>
      </c>
      <c r="G2533" s="17" t="s">
        <v>1104</v>
      </c>
      <c r="H2533" s="19"/>
    </row>
    <row r="2534" customFormat="false" ht="15" hidden="false" customHeight="false" outlineLevel="0" collapsed="false">
      <c r="A2534" s="19" t="s">
        <v>2615</v>
      </c>
      <c r="B2534" s="19" t="s">
        <v>3079</v>
      </c>
      <c r="C2534" s="19" t="n">
        <v>17</v>
      </c>
      <c r="D2534" s="17" t="s">
        <v>4338</v>
      </c>
      <c r="E2534" s="19" t="n">
        <v>1</v>
      </c>
      <c r="F2534" s="17" t="s">
        <v>4473</v>
      </c>
      <c r="G2534" s="17" t="s">
        <v>1104</v>
      </c>
      <c r="H2534" s="19"/>
    </row>
    <row r="2535" customFormat="false" ht="15" hidden="false" customHeight="false" outlineLevel="0" collapsed="false">
      <c r="A2535" s="19" t="s">
        <v>2615</v>
      </c>
      <c r="B2535" s="19" t="s">
        <v>2587</v>
      </c>
      <c r="C2535" s="19" t="n">
        <v>17</v>
      </c>
      <c r="D2535" s="17" t="s">
        <v>804</v>
      </c>
      <c r="E2535" s="19" t="n">
        <v>5.412</v>
      </c>
      <c r="F2535" s="17" t="s">
        <v>4474</v>
      </c>
      <c r="G2535" s="17" t="s">
        <v>1104</v>
      </c>
      <c r="H2535" s="19"/>
    </row>
    <row r="2536" customFormat="false" ht="15" hidden="false" customHeight="false" outlineLevel="0" collapsed="false">
      <c r="A2536" s="19" t="s">
        <v>2615</v>
      </c>
      <c r="B2536" s="19" t="s">
        <v>2589</v>
      </c>
      <c r="C2536" s="19" t="n">
        <v>17</v>
      </c>
      <c r="D2536" s="17" t="s">
        <v>806</v>
      </c>
      <c r="E2536" s="19" t="n">
        <v>278.588</v>
      </c>
      <c r="F2536" s="17" t="s">
        <v>4475</v>
      </c>
      <c r="G2536" s="17" t="s">
        <v>1104</v>
      </c>
      <c r="H2536" s="19"/>
    </row>
    <row r="2537" customFormat="false" ht="15" hidden="false" customHeight="false" outlineLevel="0" collapsed="false">
      <c r="A2537" s="19" t="s">
        <v>2615</v>
      </c>
      <c r="B2537" s="19" t="s">
        <v>1628</v>
      </c>
      <c r="C2537" s="19" t="n">
        <v>17</v>
      </c>
      <c r="D2537" s="17" t="s">
        <v>4342</v>
      </c>
      <c r="E2537" s="19" t="n">
        <v>0.7</v>
      </c>
      <c r="F2537" s="17" t="s">
        <v>4343</v>
      </c>
      <c r="G2537" s="17" t="s">
        <v>1104</v>
      </c>
      <c r="H2537" s="19"/>
    </row>
    <row r="2538" customFormat="false" ht="15" hidden="false" customHeight="false" outlineLevel="0" collapsed="false">
      <c r="A2538" s="19" t="s">
        <v>2615</v>
      </c>
      <c r="B2538" s="19" t="s">
        <v>1632</v>
      </c>
      <c r="C2538" s="19" t="n">
        <v>17</v>
      </c>
      <c r="D2538" s="17" t="s">
        <v>4344</v>
      </c>
      <c r="E2538" s="19" t="n">
        <v>1</v>
      </c>
      <c r="F2538" s="17" t="s">
        <v>4345</v>
      </c>
      <c r="G2538" s="17" t="s">
        <v>1104</v>
      </c>
      <c r="H2538" s="19"/>
    </row>
    <row r="2539" customFormat="false" ht="15" hidden="false" customHeight="false" outlineLevel="0" collapsed="false">
      <c r="A2539" s="19" t="s">
        <v>2615</v>
      </c>
      <c r="B2539" s="19" t="s">
        <v>1415</v>
      </c>
      <c r="C2539" s="19" t="n">
        <v>17</v>
      </c>
      <c r="D2539" s="17" t="s">
        <v>4290</v>
      </c>
      <c r="E2539" s="19" t="n">
        <v>161.185338133698</v>
      </c>
      <c r="F2539" s="17" t="s">
        <v>4476</v>
      </c>
      <c r="G2539" s="17" t="s">
        <v>1104</v>
      </c>
      <c r="H2539" s="19"/>
    </row>
    <row r="2540" customFormat="false" ht="15" hidden="false" customHeight="false" outlineLevel="0" collapsed="false">
      <c r="A2540" s="19" t="s">
        <v>2615</v>
      </c>
      <c r="B2540" s="19" t="s">
        <v>4477</v>
      </c>
      <c r="C2540" s="19" t="n">
        <v>17</v>
      </c>
      <c r="D2540" s="17" t="s">
        <v>4348</v>
      </c>
      <c r="E2540" s="19" t="n">
        <v>0.4</v>
      </c>
      <c r="F2540" s="17" t="s">
        <v>4349</v>
      </c>
      <c r="G2540" s="17" t="s">
        <v>1104</v>
      </c>
      <c r="H2540" s="19"/>
    </row>
    <row r="2541" customFormat="false" ht="15" hidden="false" customHeight="false" outlineLevel="0" collapsed="false">
      <c r="A2541" s="19" t="s">
        <v>2615</v>
      </c>
      <c r="B2541" s="19" t="s">
        <v>4478</v>
      </c>
      <c r="C2541" s="19" t="n">
        <v>17</v>
      </c>
      <c r="D2541" s="19" t="s">
        <v>848</v>
      </c>
      <c r="E2541" s="19" t="n">
        <v>2258.336</v>
      </c>
      <c r="F2541" s="17" t="s">
        <v>4479</v>
      </c>
      <c r="G2541" s="17" t="s">
        <v>1104</v>
      </c>
      <c r="H2541" s="19"/>
    </row>
    <row r="2542" customFormat="false" ht="15" hidden="false" customHeight="false" outlineLevel="0" collapsed="false">
      <c r="A2542" s="19" t="s">
        <v>2615</v>
      </c>
      <c r="B2542" s="19" t="s">
        <v>4480</v>
      </c>
      <c r="C2542" s="19" t="n">
        <v>17</v>
      </c>
      <c r="D2542" s="17" t="s">
        <v>4352</v>
      </c>
      <c r="E2542" s="19" t="n">
        <v>1</v>
      </c>
      <c r="F2542" s="17" t="s">
        <v>4481</v>
      </c>
      <c r="G2542" s="17" t="s">
        <v>1104</v>
      </c>
      <c r="H2542" s="19"/>
    </row>
    <row r="2543" customFormat="false" ht="15" hidden="false" customHeight="false" outlineLevel="0" collapsed="false">
      <c r="A2543" s="19" t="s">
        <v>2615</v>
      </c>
      <c r="B2543" s="19" t="s">
        <v>1854</v>
      </c>
      <c r="C2543" s="19" t="n">
        <v>17</v>
      </c>
      <c r="D2543" s="19" t="s">
        <v>4333</v>
      </c>
      <c r="E2543" s="19" t="n">
        <v>1</v>
      </c>
      <c r="F2543" s="17" t="s">
        <v>4334</v>
      </c>
      <c r="G2543" s="17" t="s">
        <v>1104</v>
      </c>
      <c r="H2543" s="19"/>
    </row>
    <row r="2544" customFormat="false" ht="15" hidden="false" customHeight="false" outlineLevel="0" collapsed="false">
      <c r="A2544" s="19" t="s">
        <v>2615</v>
      </c>
      <c r="B2544" s="19" t="s">
        <v>1855</v>
      </c>
      <c r="C2544" s="19" t="n">
        <v>17</v>
      </c>
      <c r="D2544" s="19" t="s">
        <v>782</v>
      </c>
      <c r="E2544" s="19" t="n">
        <v>64</v>
      </c>
      <c r="F2544" s="17" t="s">
        <v>4482</v>
      </c>
      <c r="G2544" s="17" t="s">
        <v>1104</v>
      </c>
      <c r="H2544" s="19"/>
    </row>
    <row r="2545" customFormat="false" ht="15" hidden="false" customHeight="false" outlineLevel="0" collapsed="false">
      <c r="A2545" s="19" t="s">
        <v>2615</v>
      </c>
      <c r="B2545" s="19" t="s">
        <v>1445</v>
      </c>
      <c r="C2545" s="19" t="n">
        <v>17</v>
      </c>
      <c r="D2545" s="17" t="s">
        <v>4336</v>
      </c>
      <c r="E2545" s="19" t="n">
        <v>0.5625</v>
      </c>
      <c r="F2545" s="17" t="s">
        <v>4483</v>
      </c>
      <c r="G2545" s="17" t="s">
        <v>1104</v>
      </c>
      <c r="H2545" s="19"/>
    </row>
    <row r="2546" customFormat="false" ht="15" hidden="false" customHeight="false" outlineLevel="0" collapsed="false">
      <c r="A2546" s="19" t="s">
        <v>2615</v>
      </c>
      <c r="B2546" s="19" t="s">
        <v>3084</v>
      </c>
      <c r="C2546" s="19" t="n">
        <v>17</v>
      </c>
      <c r="D2546" s="17" t="s">
        <v>4338</v>
      </c>
      <c r="E2546" s="19" t="n">
        <v>1</v>
      </c>
      <c r="F2546" s="17" t="s">
        <v>4484</v>
      </c>
      <c r="G2546" s="17" t="s">
        <v>1104</v>
      </c>
      <c r="H2546" s="19"/>
    </row>
    <row r="2547" customFormat="false" ht="15" hidden="false" customHeight="false" outlineLevel="0" collapsed="false">
      <c r="A2547" s="19" t="s">
        <v>2615</v>
      </c>
      <c r="B2547" s="19" t="s">
        <v>2593</v>
      </c>
      <c r="C2547" s="19" t="n">
        <v>17</v>
      </c>
      <c r="D2547" s="17" t="s">
        <v>804</v>
      </c>
      <c r="E2547" s="19" t="n">
        <v>20.2777777777778</v>
      </c>
      <c r="F2547" s="17" t="s">
        <v>4485</v>
      </c>
      <c r="G2547" s="17" t="s">
        <v>1104</v>
      </c>
      <c r="H2547" s="19"/>
    </row>
    <row r="2548" customFormat="false" ht="15" hidden="false" customHeight="false" outlineLevel="0" collapsed="false">
      <c r="A2548" s="19" t="s">
        <v>2615</v>
      </c>
      <c r="B2548" s="19" t="s">
        <v>2595</v>
      </c>
      <c r="C2548" s="19" t="n">
        <v>17</v>
      </c>
      <c r="D2548" s="17" t="s">
        <v>806</v>
      </c>
      <c r="E2548" s="19" t="n">
        <v>1579.72222222222</v>
      </c>
      <c r="F2548" s="17" t="s">
        <v>4486</v>
      </c>
      <c r="G2548" s="17" t="s">
        <v>1104</v>
      </c>
      <c r="H2548" s="19"/>
    </row>
    <row r="2549" customFormat="false" ht="15" hidden="false" customHeight="false" outlineLevel="0" collapsed="false">
      <c r="A2549" s="19" t="s">
        <v>2615</v>
      </c>
      <c r="B2549" s="19" t="s">
        <v>1634</v>
      </c>
      <c r="C2549" s="19" t="n">
        <v>17</v>
      </c>
      <c r="D2549" s="17" t="s">
        <v>4342</v>
      </c>
      <c r="E2549" s="19" t="n">
        <v>0.7</v>
      </c>
      <c r="F2549" s="17" t="s">
        <v>4343</v>
      </c>
      <c r="G2549" s="17" t="s">
        <v>1104</v>
      </c>
      <c r="H2549" s="19"/>
    </row>
    <row r="2550" customFormat="false" ht="15" hidden="false" customHeight="false" outlineLevel="0" collapsed="false">
      <c r="A2550" s="19" t="s">
        <v>2615</v>
      </c>
      <c r="B2550" s="19" t="s">
        <v>1638</v>
      </c>
      <c r="C2550" s="19" t="n">
        <v>17</v>
      </c>
      <c r="D2550" s="17" t="s">
        <v>4344</v>
      </c>
      <c r="E2550" s="19" t="n">
        <v>1</v>
      </c>
      <c r="F2550" s="17" t="s">
        <v>4345</v>
      </c>
      <c r="G2550" s="17" t="s">
        <v>1104</v>
      </c>
      <c r="H2550" s="19"/>
    </row>
    <row r="2551" customFormat="false" ht="15" hidden="false" customHeight="false" outlineLevel="0" collapsed="false">
      <c r="A2551" s="19" t="s">
        <v>2615</v>
      </c>
      <c r="B2551" s="19" t="s">
        <v>1417</v>
      </c>
      <c r="C2551" s="19" t="n">
        <v>17</v>
      </c>
      <c r="D2551" s="17" t="s">
        <v>4290</v>
      </c>
      <c r="E2551" s="19" t="n">
        <v>161.185338133698</v>
      </c>
      <c r="F2551" s="17" t="s">
        <v>4487</v>
      </c>
      <c r="G2551" s="17" t="s">
        <v>1104</v>
      </c>
      <c r="H2551" s="19"/>
    </row>
    <row r="2552" customFormat="false" ht="15" hidden="false" customHeight="false" outlineLevel="0" collapsed="false">
      <c r="A2552" s="19" t="s">
        <v>2615</v>
      </c>
      <c r="B2552" s="19" t="s">
        <v>4488</v>
      </c>
      <c r="C2552" s="19" t="n">
        <v>17</v>
      </c>
      <c r="D2552" s="17" t="s">
        <v>4348</v>
      </c>
      <c r="E2552" s="19" t="n">
        <v>0.4</v>
      </c>
      <c r="F2552" s="17" t="s">
        <v>4349</v>
      </c>
      <c r="G2552" s="17" t="s">
        <v>1104</v>
      </c>
      <c r="H2552" s="19"/>
    </row>
    <row r="2553" customFormat="false" ht="15" hidden="false" customHeight="false" outlineLevel="0" collapsed="false">
      <c r="A2553" s="19" t="s">
        <v>2615</v>
      </c>
      <c r="B2553" s="19" t="s">
        <v>4489</v>
      </c>
      <c r="C2553" s="19" t="n">
        <v>17</v>
      </c>
      <c r="D2553" s="19" t="s">
        <v>848</v>
      </c>
      <c r="E2553" s="19" t="n">
        <v>2212.32</v>
      </c>
      <c r="F2553" s="17" t="s">
        <v>4490</v>
      </c>
      <c r="G2553" s="17" t="s">
        <v>1104</v>
      </c>
      <c r="H2553" s="19"/>
    </row>
    <row r="2554" customFormat="false" ht="15" hidden="false" customHeight="false" outlineLevel="0" collapsed="false">
      <c r="A2554" s="19" t="s">
        <v>2615</v>
      </c>
      <c r="B2554" s="19" t="s">
        <v>4491</v>
      </c>
      <c r="C2554" s="19" t="n">
        <v>17</v>
      </c>
      <c r="D2554" s="17" t="s">
        <v>4352</v>
      </c>
      <c r="E2554" s="19" t="n">
        <v>1</v>
      </c>
      <c r="F2554" s="17" t="s">
        <v>4492</v>
      </c>
      <c r="G2554" s="17" t="s">
        <v>1104</v>
      </c>
      <c r="H2554" s="19"/>
    </row>
    <row r="2555" customFormat="false" ht="15" hidden="false" customHeight="false" outlineLevel="0" collapsed="false">
      <c r="A2555" s="19" t="s">
        <v>2615</v>
      </c>
      <c r="B2555" s="19" t="s">
        <v>1870</v>
      </c>
      <c r="C2555" s="19" t="n">
        <v>17</v>
      </c>
      <c r="D2555" s="19" t="s">
        <v>4333</v>
      </c>
      <c r="E2555" s="19" t="n">
        <v>1</v>
      </c>
      <c r="F2555" s="17" t="s">
        <v>4334</v>
      </c>
      <c r="G2555" s="17" t="s">
        <v>1104</v>
      </c>
      <c r="H2555" s="19"/>
    </row>
    <row r="2556" customFormat="false" ht="15" hidden="false" customHeight="false" outlineLevel="0" collapsed="false">
      <c r="A2556" s="19" t="s">
        <v>2615</v>
      </c>
      <c r="B2556" s="19" t="s">
        <v>1871</v>
      </c>
      <c r="C2556" s="19" t="n">
        <v>17</v>
      </c>
      <c r="D2556" s="19" t="s">
        <v>782</v>
      </c>
      <c r="E2556" s="19" t="n">
        <v>64</v>
      </c>
      <c r="F2556" s="17" t="s">
        <v>4493</v>
      </c>
      <c r="G2556" s="17" t="s">
        <v>1104</v>
      </c>
      <c r="H2556" s="19"/>
    </row>
    <row r="2557" customFormat="false" ht="15" hidden="false" customHeight="false" outlineLevel="0" collapsed="false">
      <c r="A2557" s="19" t="s">
        <v>2615</v>
      </c>
      <c r="B2557" s="19" t="s">
        <v>1447</v>
      </c>
      <c r="C2557" s="19" t="n">
        <v>17</v>
      </c>
      <c r="D2557" s="17" t="s">
        <v>4336</v>
      </c>
      <c r="E2557" s="19" t="n">
        <v>0.5625</v>
      </c>
      <c r="F2557" s="17" t="s">
        <v>4494</v>
      </c>
      <c r="G2557" s="17" t="s">
        <v>1104</v>
      </c>
      <c r="H2557" s="19"/>
    </row>
    <row r="2558" customFormat="false" ht="15" hidden="false" customHeight="false" outlineLevel="0" collapsed="false">
      <c r="A2558" s="19" t="s">
        <v>2615</v>
      </c>
      <c r="B2558" s="19" t="s">
        <v>3089</v>
      </c>
      <c r="C2558" s="19" t="n">
        <v>17</v>
      </c>
      <c r="D2558" s="17" t="s">
        <v>4338</v>
      </c>
      <c r="E2558" s="19" t="n">
        <v>1</v>
      </c>
      <c r="F2558" s="17" t="s">
        <v>4495</v>
      </c>
      <c r="G2558" s="17" t="s">
        <v>1104</v>
      </c>
      <c r="H2558" s="19"/>
    </row>
    <row r="2559" customFormat="false" ht="15" hidden="false" customHeight="false" outlineLevel="0" collapsed="false">
      <c r="A2559" s="19" t="s">
        <v>2615</v>
      </c>
      <c r="B2559" s="19" t="s">
        <v>2599</v>
      </c>
      <c r="C2559" s="19" t="n">
        <v>17</v>
      </c>
      <c r="D2559" s="17" t="s">
        <v>804</v>
      </c>
      <c r="E2559" s="19" t="n">
        <v>49.0725806451613</v>
      </c>
      <c r="F2559" s="17" t="s">
        <v>4496</v>
      </c>
      <c r="G2559" s="17" t="s">
        <v>1104</v>
      </c>
      <c r="H2559" s="19"/>
    </row>
    <row r="2560" customFormat="false" ht="15" hidden="false" customHeight="false" outlineLevel="0" collapsed="false">
      <c r="A2560" s="19" t="s">
        <v>2615</v>
      </c>
      <c r="B2560" s="19" t="s">
        <v>2601</v>
      </c>
      <c r="C2560" s="19" t="n">
        <v>17</v>
      </c>
      <c r="D2560" s="17" t="s">
        <v>806</v>
      </c>
      <c r="E2560" s="19" t="n">
        <v>3950.92741935484</v>
      </c>
      <c r="F2560" s="17" t="s">
        <v>4497</v>
      </c>
      <c r="G2560" s="17" t="s">
        <v>1104</v>
      </c>
      <c r="H2560" s="19"/>
    </row>
    <row r="2561" customFormat="false" ht="15" hidden="false" customHeight="false" outlineLevel="0" collapsed="false">
      <c r="A2561" s="19" t="s">
        <v>2615</v>
      </c>
      <c r="B2561" s="19" t="s">
        <v>1640</v>
      </c>
      <c r="C2561" s="19" t="n">
        <v>17</v>
      </c>
      <c r="D2561" s="17" t="s">
        <v>4342</v>
      </c>
      <c r="E2561" s="19" t="n">
        <v>0.7</v>
      </c>
      <c r="F2561" s="17" t="s">
        <v>4343</v>
      </c>
      <c r="G2561" s="17" t="s">
        <v>1104</v>
      </c>
      <c r="H2561" s="19"/>
    </row>
    <row r="2562" customFormat="false" ht="15" hidden="false" customHeight="false" outlineLevel="0" collapsed="false">
      <c r="A2562" s="19" t="s">
        <v>2615</v>
      </c>
      <c r="B2562" s="19" t="s">
        <v>1644</v>
      </c>
      <c r="C2562" s="19" t="n">
        <v>17</v>
      </c>
      <c r="D2562" s="17" t="s">
        <v>4344</v>
      </c>
      <c r="E2562" s="19" t="n">
        <v>1</v>
      </c>
      <c r="F2562" s="17" t="s">
        <v>4345</v>
      </c>
      <c r="G2562" s="17" t="s">
        <v>1104</v>
      </c>
      <c r="H2562" s="19"/>
    </row>
    <row r="2563" customFormat="false" ht="15" hidden="false" customHeight="false" outlineLevel="0" collapsed="false">
      <c r="A2563" s="19" t="s">
        <v>2615</v>
      </c>
      <c r="B2563" s="19" t="s">
        <v>1419</v>
      </c>
      <c r="C2563" s="19" t="n">
        <v>17</v>
      </c>
      <c r="D2563" s="17" t="s">
        <v>4290</v>
      </c>
      <c r="E2563" s="19" t="n">
        <v>161.185338133698</v>
      </c>
      <c r="F2563" s="17" t="s">
        <v>4498</v>
      </c>
      <c r="G2563" s="17" t="s">
        <v>1104</v>
      </c>
      <c r="H2563" s="19"/>
    </row>
    <row r="2564" customFormat="false" ht="15" hidden="false" customHeight="false" outlineLevel="0" collapsed="false">
      <c r="A2564" s="19" t="s">
        <v>2615</v>
      </c>
      <c r="B2564" s="19" t="s">
        <v>4499</v>
      </c>
      <c r="C2564" s="19" t="n">
        <v>17</v>
      </c>
      <c r="D2564" s="17" t="s">
        <v>4348</v>
      </c>
      <c r="E2564" s="19" t="n">
        <v>0.4</v>
      </c>
      <c r="F2564" s="17" t="s">
        <v>4349</v>
      </c>
      <c r="G2564" s="17" t="s">
        <v>1104</v>
      </c>
      <c r="H2564" s="19"/>
    </row>
    <row r="2565" customFormat="false" ht="15" hidden="false" customHeight="false" outlineLevel="0" collapsed="false">
      <c r="A2565" s="19" t="s">
        <v>2615</v>
      </c>
      <c r="B2565" s="19" t="s">
        <v>4500</v>
      </c>
      <c r="C2565" s="19" t="n">
        <v>17</v>
      </c>
      <c r="D2565" s="19" t="s">
        <v>848</v>
      </c>
      <c r="E2565" s="19" t="n">
        <v>34816</v>
      </c>
      <c r="F2565" s="17" t="s">
        <v>4501</v>
      </c>
      <c r="G2565" s="17" t="s">
        <v>1104</v>
      </c>
      <c r="H2565" s="19"/>
    </row>
    <row r="2566" customFormat="false" ht="15" hidden="false" customHeight="false" outlineLevel="0" collapsed="false">
      <c r="A2566" s="19" t="s">
        <v>2615</v>
      </c>
      <c r="B2566" s="19" t="s">
        <v>4502</v>
      </c>
      <c r="C2566" s="19" t="n">
        <v>17</v>
      </c>
      <c r="D2566" s="17" t="s">
        <v>4352</v>
      </c>
      <c r="E2566" s="19" t="n">
        <v>1</v>
      </c>
      <c r="F2566" s="17" t="s">
        <v>4503</v>
      </c>
      <c r="G2566" s="17" t="s">
        <v>1104</v>
      </c>
      <c r="H2566" s="19"/>
    </row>
    <row r="2567" customFormat="false" ht="15" hidden="false" customHeight="false" outlineLevel="0" collapsed="false">
      <c r="A2567" s="55" t="s">
        <v>3680</v>
      </c>
      <c r="B2567" s="55" t="s">
        <v>1255</v>
      </c>
      <c r="C2567" s="55" t="n">
        <v>17</v>
      </c>
      <c r="D2567" s="55" t="s">
        <v>4504</v>
      </c>
      <c r="E2567" s="55" t="n">
        <v>0.989</v>
      </c>
      <c r="F2567" s="55"/>
      <c r="G2567" s="66" t="s">
        <v>1122</v>
      </c>
      <c r="H2567" s="55"/>
    </row>
    <row r="2568" customFormat="false" ht="15" hidden="false" customHeight="false" outlineLevel="0" collapsed="false">
      <c r="A2568" s="55" t="s">
        <v>3680</v>
      </c>
      <c r="B2568" s="55" t="s">
        <v>1658</v>
      </c>
      <c r="C2568" s="55" t="n">
        <v>17</v>
      </c>
      <c r="D2568" s="55" t="s">
        <v>4505</v>
      </c>
      <c r="E2568" s="55" t="n">
        <v>1.979</v>
      </c>
      <c r="F2568" s="55"/>
      <c r="G2568" s="66" t="s">
        <v>1122</v>
      </c>
      <c r="H2568" s="55"/>
    </row>
    <row r="2569" customFormat="false" ht="15" hidden="false" customHeight="false" outlineLevel="0" collapsed="false">
      <c r="A2569" s="55" t="s">
        <v>4506</v>
      </c>
      <c r="B2569" s="55" t="s">
        <v>1120</v>
      </c>
      <c r="C2569" s="55" t="n">
        <v>17</v>
      </c>
      <c r="D2569" s="55" t="s">
        <v>4507</v>
      </c>
      <c r="E2569" s="55" t="n">
        <v>4</v>
      </c>
      <c r="F2569" s="55"/>
      <c r="G2569" s="66" t="s">
        <v>1122</v>
      </c>
      <c r="H2569" s="55"/>
    </row>
    <row r="2570" customFormat="false" ht="15" hidden="false" customHeight="false" outlineLevel="0" collapsed="false">
      <c r="A2570" s="55" t="s">
        <v>1202</v>
      </c>
      <c r="B2570" s="55" t="s">
        <v>1258</v>
      </c>
      <c r="C2570" s="55" t="n">
        <v>17</v>
      </c>
      <c r="D2570" s="55" t="s">
        <v>4508</v>
      </c>
      <c r="E2570" s="55" t="n">
        <v>3</v>
      </c>
      <c r="F2570" s="55"/>
      <c r="G2570" s="66" t="s">
        <v>1122</v>
      </c>
      <c r="H2570" s="55" t="s">
        <v>140</v>
      </c>
    </row>
    <row r="2571" customFormat="false" ht="15" hidden="false" customHeight="false" outlineLevel="0" collapsed="false">
      <c r="A2571" s="55" t="s">
        <v>1202</v>
      </c>
      <c r="B2571" s="55" t="s">
        <v>1339</v>
      </c>
      <c r="C2571" s="55" t="n">
        <v>17</v>
      </c>
      <c r="D2571" s="55" t="s">
        <v>4509</v>
      </c>
      <c r="E2571" s="55" t="n">
        <v>0.7</v>
      </c>
      <c r="F2571" s="55"/>
      <c r="G2571" s="66" t="s">
        <v>1122</v>
      </c>
      <c r="H2571" s="55" t="s">
        <v>140</v>
      </c>
    </row>
    <row r="2572" customFormat="false" ht="15" hidden="false" customHeight="false" outlineLevel="0" collapsed="false">
      <c r="A2572" s="55" t="s">
        <v>1202</v>
      </c>
      <c r="B2572" s="55" t="s">
        <v>1335</v>
      </c>
      <c r="C2572" s="55" t="n">
        <v>17</v>
      </c>
      <c r="D2572" s="55" t="s">
        <v>4510</v>
      </c>
      <c r="E2572" s="55" t="n">
        <v>0.7</v>
      </c>
      <c r="F2572" s="55"/>
      <c r="G2572" s="66" t="s">
        <v>1122</v>
      </c>
      <c r="H2572" s="55" t="s">
        <v>140</v>
      </c>
    </row>
    <row r="2573" customFormat="false" ht="15" hidden="false" customHeight="false" outlineLevel="0" collapsed="false">
      <c r="A2573" s="19" t="s">
        <v>1202</v>
      </c>
      <c r="B2573" s="19" t="s">
        <v>1216</v>
      </c>
      <c r="C2573" s="19" t="n">
        <v>17</v>
      </c>
      <c r="D2573" s="19" t="s">
        <v>3702</v>
      </c>
      <c r="E2573" s="19" t="n">
        <v>84.3000593119602</v>
      </c>
      <c r="F2573" s="17" t="s">
        <v>4511</v>
      </c>
      <c r="G2573" s="17" t="s">
        <v>1104</v>
      </c>
      <c r="H2573" s="19" t="s">
        <v>278</v>
      </c>
    </row>
    <row r="2574" customFormat="false" ht="15" hidden="false" customHeight="false" outlineLevel="0" collapsed="false">
      <c r="A2574" s="55" t="s">
        <v>1202</v>
      </c>
      <c r="B2574" s="55" t="s">
        <v>1308</v>
      </c>
      <c r="C2574" s="55" t="n">
        <v>17</v>
      </c>
      <c r="D2574" s="55" t="s">
        <v>4512</v>
      </c>
      <c r="E2574" s="55" t="n">
        <v>3</v>
      </c>
      <c r="F2574" s="55"/>
      <c r="G2574" s="66" t="s">
        <v>1122</v>
      </c>
      <c r="H2574" s="55" t="s">
        <v>224</v>
      </c>
    </row>
    <row r="2575" customFormat="false" ht="15" hidden="false" customHeight="false" outlineLevel="0" collapsed="false">
      <c r="A2575" s="19" t="s">
        <v>1202</v>
      </c>
      <c r="B2575" s="19" t="s">
        <v>1235</v>
      </c>
      <c r="C2575" s="19" t="n">
        <v>17</v>
      </c>
      <c r="D2575" s="19" t="s">
        <v>3702</v>
      </c>
      <c r="E2575" s="19" t="n">
        <v>43.31166124729</v>
      </c>
      <c r="F2575" s="17" t="s">
        <v>4513</v>
      </c>
      <c r="G2575" s="17" t="s">
        <v>1104</v>
      </c>
      <c r="H2575" s="19" t="s">
        <v>278</v>
      </c>
    </row>
    <row r="2576" customFormat="false" ht="15" hidden="false" customHeight="false" outlineLevel="0" collapsed="false">
      <c r="A2576" s="19" t="s">
        <v>1202</v>
      </c>
      <c r="B2576" s="19" t="s">
        <v>1243</v>
      </c>
      <c r="C2576" s="19" t="n">
        <v>17</v>
      </c>
      <c r="D2576" s="19" t="s">
        <v>3702</v>
      </c>
      <c r="E2576" s="19" t="n">
        <v>40.8313604965595</v>
      </c>
      <c r="F2576" s="17" t="s">
        <v>4514</v>
      </c>
      <c r="G2576" s="17" t="s">
        <v>1104</v>
      </c>
      <c r="H2576" s="19" t="s">
        <v>278</v>
      </c>
    </row>
    <row r="2577" customFormat="false" ht="15" hidden="false" customHeight="false" outlineLevel="0" collapsed="false">
      <c r="A2577" s="19" t="s">
        <v>3365</v>
      </c>
      <c r="B2577" s="19" t="s">
        <v>1150</v>
      </c>
      <c r="C2577" s="19" t="n">
        <v>17</v>
      </c>
      <c r="D2577" s="19" t="s">
        <v>4515</v>
      </c>
      <c r="E2577" s="19" t="n">
        <v>3.35</v>
      </c>
      <c r="F2577" s="17" t="s">
        <v>4516</v>
      </c>
      <c r="G2577" s="17" t="s">
        <v>1104</v>
      </c>
      <c r="H2577" s="17" t="s">
        <v>226</v>
      </c>
    </row>
    <row r="2578" customFormat="false" ht="15" hidden="false" customHeight="false" outlineLevel="0" collapsed="false">
      <c r="A2578" s="19" t="s">
        <v>3365</v>
      </c>
      <c r="B2578" s="19" t="s">
        <v>1303</v>
      </c>
      <c r="C2578" s="19" t="n">
        <v>17</v>
      </c>
      <c r="D2578" s="19" t="s">
        <v>4517</v>
      </c>
      <c r="E2578" s="19" t="n">
        <v>0.05</v>
      </c>
      <c r="F2578" s="17" t="s">
        <v>4518</v>
      </c>
      <c r="G2578" s="17" t="s">
        <v>1104</v>
      </c>
      <c r="H2578" s="17" t="s">
        <v>226</v>
      </c>
    </row>
    <row r="2579" customFormat="false" ht="15" hidden="false" customHeight="false" outlineLevel="0" collapsed="false">
      <c r="A2579" s="19" t="s">
        <v>3365</v>
      </c>
      <c r="B2579" s="19" t="s">
        <v>1162</v>
      </c>
      <c r="C2579" s="19" t="n">
        <v>17</v>
      </c>
      <c r="D2579" s="17" t="s">
        <v>4519</v>
      </c>
      <c r="E2579" s="19" t="n">
        <v>1.979</v>
      </c>
      <c r="F2579" s="17" t="s">
        <v>4520</v>
      </c>
      <c r="G2579" s="17" t="s">
        <v>1104</v>
      </c>
      <c r="H2579" s="19"/>
    </row>
    <row r="2580" customFormat="false" ht="15" hidden="false" customHeight="false" outlineLevel="0" collapsed="false">
      <c r="A2580" s="19" t="s">
        <v>3365</v>
      </c>
      <c r="B2580" s="19" t="s">
        <v>1172</v>
      </c>
      <c r="C2580" s="19" t="n">
        <v>17</v>
      </c>
      <c r="D2580" s="19" t="s">
        <v>4515</v>
      </c>
      <c r="E2580" s="19" t="n">
        <v>8</v>
      </c>
      <c r="F2580" s="17" t="s">
        <v>4521</v>
      </c>
      <c r="G2580" s="17" t="s">
        <v>1104</v>
      </c>
      <c r="H2580" s="17" t="s">
        <v>226</v>
      </c>
    </row>
    <row r="2581" customFormat="false" ht="15" hidden="false" customHeight="false" outlineLevel="0" collapsed="false">
      <c r="A2581" s="19" t="s">
        <v>3365</v>
      </c>
      <c r="B2581" s="19" t="s">
        <v>1315</v>
      </c>
      <c r="C2581" s="19" t="n">
        <v>17</v>
      </c>
      <c r="D2581" s="19" t="s">
        <v>4517</v>
      </c>
      <c r="E2581" s="19" t="n">
        <v>0.9</v>
      </c>
      <c r="F2581" s="17" t="s">
        <v>4522</v>
      </c>
      <c r="G2581" s="17" t="s">
        <v>1104</v>
      </c>
      <c r="H2581" s="17" t="s">
        <v>226</v>
      </c>
    </row>
    <row r="2582" customFormat="false" ht="15" hidden="false" customHeight="false" outlineLevel="0" collapsed="false">
      <c r="A2582" s="19" t="s">
        <v>3365</v>
      </c>
      <c r="B2582" s="19" t="s">
        <v>2608</v>
      </c>
      <c r="C2582" s="19" t="n">
        <v>17</v>
      </c>
      <c r="D2582" s="17" t="s">
        <v>4519</v>
      </c>
      <c r="E2582" s="19" t="n">
        <v>10</v>
      </c>
      <c r="F2582" s="17" t="s">
        <v>4523</v>
      </c>
      <c r="G2582" s="17" t="s">
        <v>1104</v>
      </c>
      <c r="H2582" s="19"/>
    </row>
    <row r="2583" customFormat="false" ht="15" hidden="false" customHeight="false" outlineLevel="0" collapsed="false">
      <c r="A2583" s="19" t="s">
        <v>3365</v>
      </c>
      <c r="B2583" s="19" t="s">
        <v>1180</v>
      </c>
      <c r="C2583" s="19" t="n">
        <v>17</v>
      </c>
      <c r="D2583" s="19" t="s">
        <v>4515</v>
      </c>
      <c r="E2583" s="19" t="n">
        <v>8</v>
      </c>
      <c r="F2583" s="17" t="s">
        <v>4524</v>
      </c>
      <c r="G2583" s="17" t="s">
        <v>1104</v>
      </c>
      <c r="H2583" s="17" t="s">
        <v>226</v>
      </c>
    </row>
    <row r="2584" customFormat="false" ht="15" hidden="false" customHeight="false" outlineLevel="0" collapsed="false">
      <c r="A2584" s="19" t="s">
        <v>3365</v>
      </c>
      <c r="B2584" s="19" t="s">
        <v>1323</v>
      </c>
      <c r="C2584" s="19" t="n">
        <v>17</v>
      </c>
      <c r="D2584" s="19" t="s">
        <v>4517</v>
      </c>
      <c r="E2584" s="19" t="n">
        <v>0.9</v>
      </c>
      <c r="F2584" s="17" t="s">
        <v>4522</v>
      </c>
      <c r="G2584" s="17" t="s">
        <v>1104</v>
      </c>
      <c r="H2584" s="17" t="s">
        <v>226</v>
      </c>
    </row>
    <row r="2585" customFormat="false" ht="15" hidden="false" customHeight="false" outlineLevel="0" collapsed="false">
      <c r="A2585" s="19" t="s">
        <v>3365</v>
      </c>
      <c r="B2585" s="19" t="s">
        <v>2611</v>
      </c>
      <c r="C2585" s="19" t="n">
        <v>17</v>
      </c>
      <c r="D2585" s="17" t="s">
        <v>4519</v>
      </c>
      <c r="E2585" s="19" t="n">
        <v>15</v>
      </c>
      <c r="F2585" s="17" t="s">
        <v>4525</v>
      </c>
      <c r="G2585" s="17" t="s">
        <v>1104</v>
      </c>
      <c r="H2585" s="19"/>
    </row>
    <row r="2586" customFormat="false" ht="15" hidden="false" customHeight="false" outlineLevel="0" collapsed="false">
      <c r="A2586" s="19" t="s">
        <v>3365</v>
      </c>
      <c r="B2586" s="19" t="s">
        <v>1188</v>
      </c>
      <c r="C2586" s="19" t="n">
        <v>17</v>
      </c>
      <c r="D2586" s="19" t="s">
        <v>4515</v>
      </c>
      <c r="E2586" s="19" t="n">
        <v>22</v>
      </c>
      <c r="F2586" s="17" t="s">
        <v>4526</v>
      </c>
      <c r="G2586" s="17" t="s">
        <v>1104</v>
      </c>
      <c r="H2586" s="17" t="s">
        <v>226</v>
      </c>
    </row>
    <row r="2587" customFormat="false" ht="15" hidden="false" customHeight="false" outlineLevel="0" collapsed="false">
      <c r="A2587" s="19" t="s">
        <v>3365</v>
      </c>
      <c r="B2587" s="19" t="s">
        <v>1331</v>
      </c>
      <c r="C2587" s="19" t="n">
        <v>17</v>
      </c>
      <c r="D2587" s="19" t="s">
        <v>4517</v>
      </c>
      <c r="E2587" s="19" t="n">
        <v>1.8</v>
      </c>
      <c r="F2587" s="17" t="s">
        <v>4527</v>
      </c>
      <c r="G2587" s="17" t="s">
        <v>1104</v>
      </c>
      <c r="H2587" s="17" t="s">
        <v>226</v>
      </c>
    </row>
    <row r="2588" customFormat="false" ht="15" hidden="false" customHeight="false" outlineLevel="0" collapsed="false">
      <c r="A2588" s="19" t="s">
        <v>3365</v>
      </c>
      <c r="B2588" s="19" t="s">
        <v>2614</v>
      </c>
      <c r="C2588" s="19" t="n">
        <v>17</v>
      </c>
      <c r="D2588" s="17" t="s">
        <v>4519</v>
      </c>
      <c r="E2588" s="19" t="n">
        <v>35</v>
      </c>
      <c r="F2588" s="17" t="s">
        <v>4528</v>
      </c>
      <c r="G2588" s="17" t="s">
        <v>1104</v>
      </c>
      <c r="H2588" s="19"/>
    </row>
    <row r="2589" customFormat="false" ht="15" hidden="false" customHeight="false" outlineLevel="0" collapsed="false">
      <c r="A2589" s="55" t="s">
        <v>3365</v>
      </c>
      <c r="B2589" s="55" t="s">
        <v>2123</v>
      </c>
      <c r="C2589" s="55" t="n">
        <v>17</v>
      </c>
      <c r="D2589" s="55" t="s">
        <v>4529</v>
      </c>
      <c r="E2589" s="55" t="n">
        <v>32</v>
      </c>
      <c r="F2589" s="55"/>
      <c r="G2589" s="66" t="s">
        <v>1122</v>
      </c>
      <c r="H2589" s="66" t="s">
        <v>2038</v>
      </c>
    </row>
    <row r="2590" customFormat="false" ht="15" hidden="false" customHeight="false" outlineLevel="0" collapsed="false">
      <c r="A2590" s="55" t="s">
        <v>3365</v>
      </c>
      <c r="B2590" s="55" t="s">
        <v>2125</v>
      </c>
      <c r="C2590" s="55" t="n">
        <v>17</v>
      </c>
      <c r="D2590" s="55" t="s">
        <v>4530</v>
      </c>
      <c r="E2590" s="55" t="n">
        <v>1.8</v>
      </c>
      <c r="F2590" s="55"/>
      <c r="G2590" s="66" t="s">
        <v>1122</v>
      </c>
      <c r="H2590" s="55" t="s">
        <v>140</v>
      </c>
    </row>
    <row r="2591" customFormat="false" ht="15" hidden="false" customHeight="false" outlineLevel="0" collapsed="false">
      <c r="A2591" s="19" t="s">
        <v>3365</v>
      </c>
      <c r="B2591" s="19" t="s">
        <v>3741</v>
      </c>
      <c r="C2591" s="19" t="n">
        <v>17</v>
      </c>
      <c r="D2591" s="17" t="s">
        <v>4519</v>
      </c>
      <c r="E2591" s="19" t="n">
        <v>70</v>
      </c>
      <c r="F2591" s="17" t="s">
        <v>4531</v>
      </c>
      <c r="G2591" s="17" t="s">
        <v>1104</v>
      </c>
      <c r="H2591" s="19"/>
    </row>
    <row r="2592" customFormat="false" ht="15" hidden="false" customHeight="false" outlineLevel="0" collapsed="false">
      <c r="A2592" s="55" t="s">
        <v>4315</v>
      </c>
      <c r="B2592" s="55" t="s">
        <v>1213</v>
      </c>
      <c r="C2592" s="55" t="n">
        <v>18</v>
      </c>
      <c r="D2592" s="55" t="s">
        <v>4532</v>
      </c>
      <c r="E2592" s="55"/>
      <c r="F2592" s="55"/>
      <c r="G2592" s="66" t="s">
        <v>1122</v>
      </c>
      <c r="H2592" s="55"/>
    </row>
    <row r="2593" customFormat="false" ht="15" hidden="false" customHeight="false" outlineLevel="0" collapsed="false">
      <c r="A2593" s="19" t="s">
        <v>4315</v>
      </c>
      <c r="B2593" s="19" t="s">
        <v>1216</v>
      </c>
      <c r="C2593" s="19" t="n">
        <v>18</v>
      </c>
      <c r="D2593" s="19" t="s">
        <v>4533</v>
      </c>
      <c r="E2593" s="19" t="n">
        <v>2795</v>
      </c>
      <c r="F2593" s="17" t="s">
        <v>4534</v>
      </c>
      <c r="G2593" s="17" t="s">
        <v>1104</v>
      </c>
      <c r="H2593" s="19" t="s">
        <v>278</v>
      </c>
    </row>
    <row r="2594" customFormat="false" ht="15" hidden="false" customHeight="false" outlineLevel="0" collapsed="false">
      <c r="A2594" s="19" t="s">
        <v>4315</v>
      </c>
      <c r="B2594" s="19" t="s">
        <v>1219</v>
      </c>
      <c r="C2594" s="19" t="n">
        <v>18</v>
      </c>
      <c r="D2594" s="19" t="s">
        <v>4535</v>
      </c>
      <c r="E2594" s="19" t="n">
        <v>2795</v>
      </c>
      <c r="F2594" s="17" t="s">
        <v>4534</v>
      </c>
      <c r="G2594" s="17" t="s">
        <v>1104</v>
      </c>
      <c r="H2594" s="19" t="s">
        <v>278</v>
      </c>
    </row>
    <row r="2595" customFormat="false" ht="15" hidden="false" customHeight="false" outlineLevel="0" collapsed="false">
      <c r="A2595" s="19" t="s">
        <v>4315</v>
      </c>
      <c r="B2595" s="19" t="s">
        <v>1255</v>
      </c>
      <c r="C2595" s="19" t="n">
        <v>18</v>
      </c>
      <c r="D2595" s="19" t="s">
        <v>4536</v>
      </c>
      <c r="E2595" s="19" t="n">
        <v>2795</v>
      </c>
      <c r="F2595" s="17" t="s">
        <v>4534</v>
      </c>
      <c r="G2595" s="17" t="s">
        <v>1104</v>
      </c>
      <c r="H2595" s="19" t="s">
        <v>278</v>
      </c>
    </row>
    <row r="2596" customFormat="false" ht="15" hidden="false" customHeight="false" outlineLevel="0" collapsed="false">
      <c r="A2596" s="19" t="s">
        <v>4315</v>
      </c>
      <c r="B2596" s="19" t="s">
        <v>1153</v>
      </c>
      <c r="C2596" s="19" t="n">
        <v>18</v>
      </c>
      <c r="D2596" s="17" t="s">
        <v>806</v>
      </c>
      <c r="E2596" s="19" t="n">
        <v>278.588</v>
      </c>
      <c r="F2596" s="17" t="s">
        <v>4537</v>
      </c>
      <c r="G2596" s="17" t="s">
        <v>1104</v>
      </c>
      <c r="H2596" s="19"/>
    </row>
    <row r="2597" customFormat="false" ht="15" hidden="false" customHeight="false" outlineLevel="0" collapsed="false">
      <c r="A2597" s="19" t="s">
        <v>4315</v>
      </c>
      <c r="B2597" s="19" t="s">
        <v>1271</v>
      </c>
      <c r="C2597" s="19" t="n">
        <v>18</v>
      </c>
      <c r="D2597" s="17" t="s">
        <v>4538</v>
      </c>
      <c r="E2597" s="19" t="n">
        <v>5636096</v>
      </c>
      <c r="F2597" s="17" t="s">
        <v>4539</v>
      </c>
      <c r="G2597" s="17" t="s">
        <v>1104</v>
      </c>
      <c r="H2597" s="19"/>
    </row>
    <row r="2598" customFormat="false" ht="15" hidden="false" customHeight="false" outlineLevel="0" collapsed="false">
      <c r="A2598" s="19" t="s">
        <v>4315</v>
      </c>
      <c r="B2598" s="19" t="s">
        <v>1280</v>
      </c>
      <c r="C2598" s="19" t="n">
        <v>18</v>
      </c>
      <c r="D2598" s="17" t="s">
        <v>796</v>
      </c>
      <c r="E2598" s="19" t="n">
        <v>13</v>
      </c>
      <c r="F2598" s="17" t="s">
        <v>4540</v>
      </c>
      <c r="G2598" s="17" t="s">
        <v>1104</v>
      </c>
      <c r="H2598" s="17" t="s">
        <v>226</v>
      </c>
    </row>
    <row r="2599" customFormat="false" ht="15" hidden="false" customHeight="false" outlineLevel="0" collapsed="false">
      <c r="A2599" s="55" t="s">
        <v>4315</v>
      </c>
      <c r="B2599" s="55" t="s">
        <v>1233</v>
      </c>
      <c r="C2599" s="55" t="n">
        <v>18</v>
      </c>
      <c r="D2599" s="55" t="s">
        <v>4532</v>
      </c>
      <c r="E2599" s="55"/>
      <c r="F2599" s="55"/>
      <c r="G2599" s="66" t="s">
        <v>1122</v>
      </c>
      <c r="H2599" s="55"/>
    </row>
    <row r="2600" customFormat="false" ht="15" hidden="false" customHeight="false" outlineLevel="0" collapsed="false">
      <c r="A2600" s="19" t="s">
        <v>4315</v>
      </c>
      <c r="B2600" s="19" t="s">
        <v>1235</v>
      </c>
      <c r="C2600" s="19" t="n">
        <v>18</v>
      </c>
      <c r="D2600" s="19" t="s">
        <v>4533</v>
      </c>
      <c r="E2600" s="19" t="n">
        <v>3965</v>
      </c>
      <c r="F2600" s="17" t="s">
        <v>4541</v>
      </c>
      <c r="G2600" s="17" t="s">
        <v>1104</v>
      </c>
      <c r="H2600" s="19" t="s">
        <v>278</v>
      </c>
    </row>
    <row r="2601" customFormat="false" ht="15" hidden="false" customHeight="false" outlineLevel="0" collapsed="false">
      <c r="A2601" s="19" t="s">
        <v>4315</v>
      </c>
      <c r="B2601" s="19" t="s">
        <v>1237</v>
      </c>
      <c r="C2601" s="19" t="n">
        <v>18</v>
      </c>
      <c r="D2601" s="19" t="s">
        <v>4535</v>
      </c>
      <c r="E2601" s="19" t="n">
        <v>3965</v>
      </c>
      <c r="F2601" s="17" t="s">
        <v>4541</v>
      </c>
      <c r="G2601" s="17" t="s">
        <v>1104</v>
      </c>
      <c r="H2601" s="19" t="s">
        <v>278</v>
      </c>
    </row>
    <row r="2602" customFormat="false" ht="15" hidden="false" customHeight="false" outlineLevel="0" collapsed="false">
      <c r="A2602" s="19" t="s">
        <v>4315</v>
      </c>
      <c r="B2602" s="19" t="s">
        <v>1373</v>
      </c>
      <c r="C2602" s="19" t="n">
        <v>18</v>
      </c>
      <c r="D2602" s="19" t="s">
        <v>4536</v>
      </c>
      <c r="E2602" s="19" t="n">
        <v>3965</v>
      </c>
      <c r="F2602" s="17" t="s">
        <v>4541</v>
      </c>
      <c r="G2602" s="17" t="s">
        <v>1104</v>
      </c>
      <c r="H2602" s="19" t="s">
        <v>278</v>
      </c>
    </row>
    <row r="2603" customFormat="false" ht="15" hidden="false" customHeight="false" outlineLevel="0" collapsed="false">
      <c r="A2603" s="19" t="s">
        <v>4315</v>
      </c>
      <c r="B2603" s="19" t="s">
        <v>1174</v>
      </c>
      <c r="C2603" s="19" t="n">
        <v>18</v>
      </c>
      <c r="D2603" s="17" t="s">
        <v>806</v>
      </c>
      <c r="E2603" s="19" t="n">
        <v>1579.72222222222</v>
      </c>
      <c r="F2603" s="17" t="s">
        <v>4542</v>
      </c>
      <c r="G2603" s="17" t="s">
        <v>1104</v>
      </c>
      <c r="H2603" s="19"/>
    </row>
    <row r="2604" customFormat="false" ht="15" hidden="false" customHeight="false" outlineLevel="0" collapsed="false">
      <c r="A2604" s="19" t="s">
        <v>4315</v>
      </c>
      <c r="B2604" s="19" t="s">
        <v>1285</v>
      </c>
      <c r="C2604" s="19" t="n">
        <v>18</v>
      </c>
      <c r="D2604" s="17" t="s">
        <v>4538</v>
      </c>
      <c r="E2604" s="19" t="n">
        <v>15990784</v>
      </c>
      <c r="F2604" s="17" t="s">
        <v>4543</v>
      </c>
      <c r="G2604" s="17" t="s">
        <v>1104</v>
      </c>
      <c r="H2604" s="19"/>
    </row>
    <row r="2605" customFormat="false" ht="15" hidden="false" customHeight="false" outlineLevel="0" collapsed="false">
      <c r="A2605" s="19" t="s">
        <v>4315</v>
      </c>
      <c r="B2605" s="19" t="s">
        <v>1681</v>
      </c>
      <c r="C2605" s="19" t="n">
        <v>18</v>
      </c>
      <c r="D2605" s="17" t="s">
        <v>796</v>
      </c>
      <c r="E2605" s="19" t="n">
        <v>49</v>
      </c>
      <c r="F2605" s="17" t="s">
        <v>4544</v>
      </c>
      <c r="G2605" s="17" t="s">
        <v>1104</v>
      </c>
      <c r="H2605" s="17" t="s">
        <v>226</v>
      </c>
    </row>
    <row r="2606" customFormat="false" ht="15" hidden="false" customHeight="false" outlineLevel="0" collapsed="false">
      <c r="A2606" s="55" t="s">
        <v>4315</v>
      </c>
      <c r="B2606" s="55" t="s">
        <v>1241</v>
      </c>
      <c r="C2606" s="55" t="n">
        <v>18</v>
      </c>
      <c r="D2606" s="55" t="s">
        <v>4532</v>
      </c>
      <c r="E2606" s="55" t="n">
        <v>2</v>
      </c>
      <c r="F2606" s="55"/>
      <c r="G2606" s="66" t="s">
        <v>1122</v>
      </c>
      <c r="H2606" s="55" t="s">
        <v>343</v>
      </c>
    </row>
    <row r="2607" customFormat="false" ht="15" hidden="false" customHeight="false" outlineLevel="0" collapsed="false">
      <c r="A2607" s="19" t="s">
        <v>4315</v>
      </c>
      <c r="B2607" s="19" t="s">
        <v>1243</v>
      </c>
      <c r="C2607" s="19" t="n">
        <v>18</v>
      </c>
      <c r="D2607" s="19" t="s">
        <v>4533</v>
      </c>
      <c r="E2607" s="19" t="n">
        <v>14976</v>
      </c>
      <c r="F2607" s="17" t="s">
        <v>4545</v>
      </c>
      <c r="G2607" s="17" t="s">
        <v>1104</v>
      </c>
      <c r="H2607" s="19" t="s">
        <v>278</v>
      </c>
    </row>
    <row r="2608" customFormat="false" ht="15" hidden="false" customHeight="false" outlineLevel="0" collapsed="false">
      <c r="A2608" s="19" t="s">
        <v>4315</v>
      </c>
      <c r="B2608" s="19" t="s">
        <v>1245</v>
      </c>
      <c r="C2608" s="19" t="n">
        <v>18</v>
      </c>
      <c r="D2608" s="19" t="s">
        <v>4535</v>
      </c>
      <c r="E2608" s="19" t="n">
        <v>57600</v>
      </c>
      <c r="F2608" s="17" t="s">
        <v>4546</v>
      </c>
      <c r="G2608" s="17" t="s">
        <v>1104</v>
      </c>
      <c r="H2608" s="19" t="s">
        <v>278</v>
      </c>
    </row>
    <row r="2609" customFormat="false" ht="15" hidden="false" customHeight="false" outlineLevel="0" collapsed="false">
      <c r="A2609" s="19" t="s">
        <v>4315</v>
      </c>
      <c r="B2609" s="19" t="s">
        <v>1375</v>
      </c>
      <c r="C2609" s="19" t="n">
        <v>18</v>
      </c>
      <c r="D2609" s="19" t="s">
        <v>4536</v>
      </c>
      <c r="E2609" s="19" t="n">
        <v>204800</v>
      </c>
      <c r="F2609" s="17" t="s">
        <v>4547</v>
      </c>
      <c r="G2609" s="17" t="s">
        <v>1104</v>
      </c>
      <c r="H2609" s="19" t="s">
        <v>278</v>
      </c>
    </row>
    <row r="2610" customFormat="false" ht="15" hidden="false" customHeight="false" outlineLevel="0" collapsed="false">
      <c r="A2610" s="19" t="s">
        <v>4315</v>
      </c>
      <c r="B2610" s="19" t="s">
        <v>1182</v>
      </c>
      <c r="C2610" s="19" t="n">
        <v>18</v>
      </c>
      <c r="D2610" s="17" t="s">
        <v>806</v>
      </c>
      <c r="E2610" s="19" t="n">
        <v>3950.92741935484</v>
      </c>
      <c r="F2610" s="17" t="s">
        <v>4548</v>
      </c>
      <c r="G2610" s="17" t="s">
        <v>1104</v>
      </c>
      <c r="H2610" s="19"/>
    </row>
    <row r="2611" customFormat="false" ht="15" hidden="false" customHeight="false" outlineLevel="0" collapsed="false">
      <c r="A2611" s="19" t="s">
        <v>4315</v>
      </c>
      <c r="B2611" s="19" t="s">
        <v>1289</v>
      </c>
      <c r="C2611" s="19" t="n">
        <v>18</v>
      </c>
      <c r="D2611" s="17" t="s">
        <v>4538</v>
      </c>
      <c r="E2611" s="19" t="n">
        <v>4915200</v>
      </c>
      <c r="F2611" s="17" t="s">
        <v>4549</v>
      </c>
      <c r="G2611" s="17" t="s">
        <v>1104</v>
      </c>
      <c r="H2611" s="19"/>
    </row>
    <row r="2612" customFormat="false" ht="15" hidden="false" customHeight="false" outlineLevel="0" collapsed="false">
      <c r="A2612" s="55" t="s">
        <v>4315</v>
      </c>
      <c r="B2612" s="55" t="s">
        <v>1695</v>
      </c>
      <c r="C2612" s="55" t="n">
        <v>18</v>
      </c>
      <c r="D2612" s="66" t="s">
        <v>796</v>
      </c>
      <c r="E2612" s="55" t="n">
        <v>180</v>
      </c>
      <c r="F2612" s="55"/>
      <c r="G2612" s="66" t="s">
        <v>1122</v>
      </c>
      <c r="H2612" s="55" t="s">
        <v>140</v>
      </c>
    </row>
    <row r="2613" customFormat="false" ht="15" hidden="false" customHeight="false" outlineLevel="0" collapsed="false">
      <c r="A2613" s="19" t="s">
        <v>3369</v>
      </c>
      <c r="B2613" s="19" t="s">
        <v>3925</v>
      </c>
      <c r="C2613" s="19" t="n">
        <v>18</v>
      </c>
      <c r="D2613" s="19" t="s">
        <v>4550</v>
      </c>
      <c r="E2613" s="19" t="n">
        <v>0.0357550334998836</v>
      </c>
      <c r="F2613" s="17" t="s">
        <v>4551</v>
      </c>
      <c r="G2613" s="17" t="s">
        <v>1104</v>
      </c>
      <c r="H2613" s="19"/>
    </row>
    <row r="2614" customFormat="false" ht="15" hidden="false" customHeight="false" outlineLevel="0" collapsed="false">
      <c r="A2614" s="55" t="s">
        <v>3369</v>
      </c>
      <c r="B2614" s="55" t="s">
        <v>3095</v>
      </c>
      <c r="C2614" s="55" t="n">
        <v>18</v>
      </c>
      <c r="D2614" s="55" t="s">
        <v>4552</v>
      </c>
      <c r="E2614" s="55" t="n">
        <v>1.2</v>
      </c>
      <c r="F2614" s="55"/>
      <c r="G2614" s="66" t="s">
        <v>1122</v>
      </c>
      <c r="H2614" s="55" t="s">
        <v>131</v>
      </c>
    </row>
    <row r="2615" customFormat="false" ht="15" hidden="false" customHeight="false" outlineLevel="0" collapsed="false">
      <c r="A2615" s="55" t="s">
        <v>3369</v>
      </c>
      <c r="B2615" s="55" t="s">
        <v>3104</v>
      </c>
      <c r="C2615" s="55" t="n">
        <v>18</v>
      </c>
      <c r="D2615" s="55" t="s">
        <v>4552</v>
      </c>
      <c r="E2615" s="55" t="n">
        <v>1.15</v>
      </c>
      <c r="F2615" s="55"/>
      <c r="G2615" s="66" t="s">
        <v>1122</v>
      </c>
      <c r="H2615" s="55" t="s">
        <v>131</v>
      </c>
    </row>
    <row r="2616" customFormat="false" ht="15" hidden="false" customHeight="false" outlineLevel="0" collapsed="false">
      <c r="A2616" s="55" t="s">
        <v>3369</v>
      </c>
      <c r="B2616" s="55" t="s">
        <v>3113</v>
      </c>
      <c r="C2616" s="55" t="n">
        <v>18</v>
      </c>
      <c r="D2616" s="55" t="s">
        <v>4552</v>
      </c>
      <c r="E2616" s="55" t="n">
        <v>1</v>
      </c>
      <c r="F2616" s="55"/>
      <c r="G2616" s="66" t="s">
        <v>1122</v>
      </c>
      <c r="H2616" s="55" t="s">
        <v>224</v>
      </c>
    </row>
    <row r="2617" customFormat="false" ht="15" hidden="false" customHeight="false" outlineLevel="0" collapsed="false">
      <c r="A2617" s="55" t="s">
        <v>3369</v>
      </c>
      <c r="B2617" s="55" t="s">
        <v>3122</v>
      </c>
      <c r="C2617" s="55" t="n">
        <v>18</v>
      </c>
      <c r="D2617" s="55" t="s">
        <v>4552</v>
      </c>
      <c r="E2617" s="55" t="n">
        <v>1</v>
      </c>
      <c r="F2617" s="55"/>
      <c r="G2617" s="66" t="s">
        <v>1122</v>
      </c>
      <c r="H2617" s="55" t="s">
        <v>224</v>
      </c>
    </row>
    <row r="2618" customFormat="false" ht="15" hidden="false" customHeight="false" outlineLevel="0" collapsed="false">
      <c r="A2618" s="55" t="s">
        <v>3369</v>
      </c>
      <c r="B2618" s="55" t="s">
        <v>3131</v>
      </c>
      <c r="C2618" s="55" t="n">
        <v>18</v>
      </c>
      <c r="D2618" s="55" t="s">
        <v>4552</v>
      </c>
      <c r="E2618" s="55" t="n">
        <v>1</v>
      </c>
      <c r="F2618" s="55"/>
      <c r="G2618" s="66" t="s">
        <v>1122</v>
      </c>
      <c r="H2618" s="55" t="s">
        <v>224</v>
      </c>
    </row>
    <row r="2619" customFormat="false" ht="15" hidden="false" customHeight="false" outlineLevel="0" collapsed="false">
      <c r="A2619" s="19" t="s">
        <v>2615</v>
      </c>
      <c r="B2619" s="19" t="s">
        <v>1258</v>
      </c>
      <c r="C2619" s="19" t="n">
        <v>18</v>
      </c>
      <c r="D2619" s="17" t="s">
        <v>4553</v>
      </c>
      <c r="E2619" s="19" t="n">
        <v>1</v>
      </c>
      <c r="F2619" s="17" t="s">
        <v>4554</v>
      </c>
      <c r="G2619" s="17" t="s">
        <v>1104</v>
      </c>
      <c r="H2619" s="19"/>
    </row>
    <row r="2620" customFormat="false" ht="15" hidden="false" customHeight="false" outlineLevel="0" collapsed="false">
      <c r="A2620" s="19" t="s">
        <v>2615</v>
      </c>
      <c r="B2620" s="19" t="s">
        <v>1382</v>
      </c>
      <c r="C2620" s="19" t="n">
        <v>18</v>
      </c>
      <c r="D2620" s="19" t="s">
        <v>774</v>
      </c>
      <c r="E2620" s="19" t="n">
        <v>80</v>
      </c>
      <c r="F2620" s="17" t="s">
        <v>4555</v>
      </c>
      <c r="G2620" s="17" t="s">
        <v>1104</v>
      </c>
      <c r="H2620" s="19"/>
    </row>
    <row r="2621" customFormat="false" ht="15" hidden="false" customHeight="false" outlineLevel="0" collapsed="false">
      <c r="A2621" s="19" t="s">
        <v>2615</v>
      </c>
      <c r="B2621" s="19" t="s">
        <v>4307</v>
      </c>
      <c r="C2621" s="19" t="n">
        <v>18</v>
      </c>
      <c r="D2621" s="19" t="s">
        <v>231</v>
      </c>
      <c r="E2621" s="19" t="n">
        <v>0.1</v>
      </c>
      <c r="F2621" s="17" t="s">
        <v>4556</v>
      </c>
      <c r="G2621" s="17" t="s">
        <v>1104</v>
      </c>
      <c r="H2621" s="19"/>
    </row>
    <row r="2622" customFormat="false" ht="15" hidden="false" customHeight="false" outlineLevel="0" collapsed="false">
      <c r="A2622" s="19" t="s">
        <v>2615</v>
      </c>
      <c r="B2622" s="19" t="s">
        <v>4557</v>
      </c>
      <c r="C2622" s="19" t="n">
        <v>18</v>
      </c>
      <c r="D2622" s="17" t="s">
        <v>4558</v>
      </c>
      <c r="E2622" s="19" t="n">
        <v>0.2</v>
      </c>
      <c r="F2622" s="17" t="s">
        <v>4559</v>
      </c>
      <c r="G2622" s="17" t="s">
        <v>1104</v>
      </c>
      <c r="H2622" s="19"/>
    </row>
    <row r="2623" customFormat="false" ht="15" hidden="false" customHeight="false" outlineLevel="0" collapsed="false">
      <c r="A2623" s="19" t="s">
        <v>2615</v>
      </c>
      <c r="B2623" s="19" t="s">
        <v>2807</v>
      </c>
      <c r="C2623" s="19" t="n">
        <v>18</v>
      </c>
      <c r="D2623" s="17" t="s">
        <v>4553</v>
      </c>
      <c r="E2623" s="19" t="n">
        <v>1</v>
      </c>
      <c r="F2623" s="17" t="s">
        <v>4554</v>
      </c>
      <c r="G2623" s="17" t="s">
        <v>1104</v>
      </c>
      <c r="H2623" s="19"/>
    </row>
    <row r="2624" customFormat="false" ht="15" hidden="false" customHeight="false" outlineLevel="0" collapsed="false">
      <c r="A2624" s="19" t="s">
        <v>2615</v>
      </c>
      <c r="B2624" s="19" t="s">
        <v>2514</v>
      </c>
      <c r="C2624" s="19" t="n">
        <v>18</v>
      </c>
      <c r="D2624" s="19" t="s">
        <v>774</v>
      </c>
      <c r="E2624" s="19" t="n">
        <v>80</v>
      </c>
      <c r="F2624" s="17" t="s">
        <v>4560</v>
      </c>
      <c r="G2624" s="17" t="s">
        <v>1104</v>
      </c>
      <c r="H2624" s="19"/>
    </row>
    <row r="2625" customFormat="false" ht="15" hidden="false" customHeight="false" outlineLevel="0" collapsed="false">
      <c r="A2625" s="19" t="s">
        <v>2615</v>
      </c>
      <c r="B2625" s="19" t="s">
        <v>4561</v>
      </c>
      <c r="C2625" s="19" t="n">
        <v>18</v>
      </c>
      <c r="D2625" s="19" t="s">
        <v>231</v>
      </c>
      <c r="E2625" s="19" t="n">
        <v>0.1</v>
      </c>
      <c r="F2625" s="17" t="s">
        <v>4556</v>
      </c>
      <c r="G2625" s="17" t="s">
        <v>1104</v>
      </c>
      <c r="H2625" s="19"/>
    </row>
    <row r="2626" customFormat="false" ht="15" hidden="false" customHeight="false" outlineLevel="0" collapsed="false">
      <c r="A2626" s="19" t="s">
        <v>2615</v>
      </c>
      <c r="B2626" s="19" t="s">
        <v>4562</v>
      </c>
      <c r="C2626" s="19" t="n">
        <v>18</v>
      </c>
      <c r="D2626" s="17" t="s">
        <v>4558</v>
      </c>
      <c r="E2626" s="19" t="n">
        <v>0.2</v>
      </c>
      <c r="F2626" s="17" t="s">
        <v>4559</v>
      </c>
      <c r="G2626" s="17" t="s">
        <v>1104</v>
      </c>
      <c r="H2626" s="19"/>
    </row>
    <row r="2627" customFormat="false" ht="15" hidden="false" customHeight="false" outlineLevel="0" collapsed="false">
      <c r="A2627" s="19" t="s">
        <v>2615</v>
      </c>
      <c r="B2627" s="19" t="s">
        <v>2813</v>
      </c>
      <c r="C2627" s="19" t="n">
        <v>18</v>
      </c>
      <c r="D2627" s="17" t="s">
        <v>4553</v>
      </c>
      <c r="E2627" s="19" t="n">
        <v>1</v>
      </c>
      <c r="F2627" s="17" t="s">
        <v>4554</v>
      </c>
      <c r="G2627" s="17" t="s">
        <v>1104</v>
      </c>
      <c r="H2627" s="19"/>
    </row>
    <row r="2628" customFormat="false" ht="15" hidden="false" customHeight="false" outlineLevel="0" collapsed="false">
      <c r="A2628" s="19" t="s">
        <v>2615</v>
      </c>
      <c r="B2628" s="19" t="s">
        <v>2523</v>
      </c>
      <c r="C2628" s="19" t="n">
        <v>18</v>
      </c>
      <c r="D2628" s="19" t="s">
        <v>774</v>
      </c>
      <c r="E2628" s="19" t="n">
        <v>80</v>
      </c>
      <c r="F2628" s="17" t="s">
        <v>4563</v>
      </c>
      <c r="G2628" s="17" t="s">
        <v>1104</v>
      </c>
      <c r="H2628" s="19"/>
    </row>
    <row r="2629" customFormat="false" ht="15" hidden="false" customHeight="false" outlineLevel="0" collapsed="false">
      <c r="A2629" s="19" t="s">
        <v>2615</v>
      </c>
      <c r="B2629" s="19" t="s">
        <v>4564</v>
      </c>
      <c r="C2629" s="19" t="n">
        <v>18</v>
      </c>
      <c r="D2629" s="19" t="s">
        <v>231</v>
      </c>
      <c r="E2629" s="19" t="n">
        <v>0.1</v>
      </c>
      <c r="F2629" s="17" t="s">
        <v>4556</v>
      </c>
      <c r="G2629" s="17" t="s">
        <v>1104</v>
      </c>
      <c r="H2629" s="19"/>
    </row>
    <row r="2630" customFormat="false" ht="15" hidden="false" customHeight="false" outlineLevel="0" collapsed="false">
      <c r="A2630" s="19" t="s">
        <v>2615</v>
      </c>
      <c r="B2630" s="19" t="s">
        <v>4565</v>
      </c>
      <c r="C2630" s="19" t="n">
        <v>18</v>
      </c>
      <c r="D2630" s="17" t="s">
        <v>4558</v>
      </c>
      <c r="E2630" s="19" t="n">
        <v>0.2</v>
      </c>
      <c r="F2630" s="17" t="s">
        <v>4559</v>
      </c>
      <c r="G2630" s="17" t="s">
        <v>1104</v>
      </c>
      <c r="H2630" s="19"/>
    </row>
    <row r="2631" customFormat="false" ht="15" hidden="false" customHeight="false" outlineLevel="0" collapsed="false">
      <c r="A2631" s="19" t="s">
        <v>2615</v>
      </c>
      <c r="B2631" s="19" t="s">
        <v>2819</v>
      </c>
      <c r="C2631" s="19" t="n">
        <v>18</v>
      </c>
      <c r="D2631" s="17" t="s">
        <v>4553</v>
      </c>
      <c r="E2631" s="19" t="n">
        <v>1</v>
      </c>
      <c r="F2631" s="17" t="s">
        <v>4554</v>
      </c>
      <c r="G2631" s="17" t="s">
        <v>1104</v>
      </c>
      <c r="H2631" s="19"/>
    </row>
    <row r="2632" customFormat="false" ht="15" hidden="false" customHeight="false" outlineLevel="0" collapsed="false">
      <c r="A2632" s="19" t="s">
        <v>2615</v>
      </c>
      <c r="B2632" s="19" t="s">
        <v>2532</v>
      </c>
      <c r="C2632" s="19" t="n">
        <v>18</v>
      </c>
      <c r="D2632" s="19" t="s">
        <v>774</v>
      </c>
      <c r="E2632" s="19" t="n">
        <v>186</v>
      </c>
      <c r="F2632" s="17" t="s">
        <v>4566</v>
      </c>
      <c r="G2632" s="17" t="s">
        <v>1104</v>
      </c>
      <c r="H2632" s="19"/>
    </row>
    <row r="2633" customFormat="false" ht="15" hidden="false" customHeight="false" outlineLevel="0" collapsed="false">
      <c r="A2633" s="19" t="s">
        <v>2615</v>
      </c>
      <c r="B2633" s="19" t="s">
        <v>4567</v>
      </c>
      <c r="C2633" s="19" t="n">
        <v>18</v>
      </c>
      <c r="D2633" s="19" t="s">
        <v>231</v>
      </c>
      <c r="E2633" s="19" t="n">
        <v>0.1</v>
      </c>
      <c r="F2633" s="17" t="s">
        <v>4556</v>
      </c>
      <c r="G2633" s="17" t="s">
        <v>1104</v>
      </c>
      <c r="H2633" s="19"/>
    </row>
    <row r="2634" customFormat="false" ht="15" hidden="false" customHeight="false" outlineLevel="0" collapsed="false">
      <c r="A2634" s="19" t="s">
        <v>2615</v>
      </c>
      <c r="B2634" s="19" t="s">
        <v>4568</v>
      </c>
      <c r="C2634" s="19" t="n">
        <v>18</v>
      </c>
      <c r="D2634" s="17" t="s">
        <v>4558</v>
      </c>
      <c r="E2634" s="19" t="n">
        <v>0.2</v>
      </c>
      <c r="F2634" s="17" t="s">
        <v>4559</v>
      </c>
      <c r="G2634" s="17" t="s">
        <v>1104</v>
      </c>
      <c r="H2634" s="19"/>
    </row>
    <row r="2635" customFormat="false" ht="15" hidden="false" customHeight="false" outlineLevel="0" collapsed="false">
      <c r="A2635" s="19" t="s">
        <v>2615</v>
      </c>
      <c r="B2635" s="19" t="s">
        <v>2825</v>
      </c>
      <c r="C2635" s="19" t="n">
        <v>18</v>
      </c>
      <c r="D2635" s="17" t="s">
        <v>4553</v>
      </c>
      <c r="E2635" s="19" t="n">
        <v>1</v>
      </c>
      <c r="F2635" s="17" t="s">
        <v>4554</v>
      </c>
      <c r="G2635" s="17" t="s">
        <v>1104</v>
      </c>
      <c r="H2635" s="19"/>
    </row>
    <row r="2636" customFormat="false" ht="15" hidden="false" customHeight="false" outlineLevel="0" collapsed="false">
      <c r="A2636" s="19" t="s">
        <v>2615</v>
      </c>
      <c r="B2636" s="19" t="s">
        <v>2538</v>
      </c>
      <c r="C2636" s="19" t="n">
        <v>18</v>
      </c>
      <c r="D2636" s="19" t="s">
        <v>774</v>
      </c>
      <c r="E2636" s="19" t="n">
        <v>186</v>
      </c>
      <c r="F2636" s="17" t="s">
        <v>4569</v>
      </c>
      <c r="G2636" s="17" t="s">
        <v>1104</v>
      </c>
      <c r="H2636" s="19"/>
    </row>
    <row r="2637" customFormat="false" ht="15" hidden="false" customHeight="false" outlineLevel="0" collapsed="false">
      <c r="A2637" s="19" t="s">
        <v>2615</v>
      </c>
      <c r="B2637" s="19" t="s">
        <v>4570</v>
      </c>
      <c r="C2637" s="19" t="n">
        <v>18</v>
      </c>
      <c r="D2637" s="19" t="s">
        <v>231</v>
      </c>
      <c r="E2637" s="19" t="n">
        <v>0.1</v>
      </c>
      <c r="F2637" s="17" t="s">
        <v>4556</v>
      </c>
      <c r="G2637" s="17" t="s">
        <v>1104</v>
      </c>
      <c r="H2637" s="19"/>
    </row>
    <row r="2638" customFormat="false" ht="15" hidden="false" customHeight="false" outlineLevel="0" collapsed="false">
      <c r="A2638" s="19" t="s">
        <v>2615</v>
      </c>
      <c r="B2638" s="19" t="s">
        <v>4571</v>
      </c>
      <c r="C2638" s="19" t="n">
        <v>18</v>
      </c>
      <c r="D2638" s="17" t="s">
        <v>4558</v>
      </c>
      <c r="E2638" s="19" t="n">
        <v>0.2</v>
      </c>
      <c r="F2638" s="17" t="s">
        <v>4559</v>
      </c>
      <c r="G2638" s="17" t="s">
        <v>1104</v>
      </c>
      <c r="H2638" s="19"/>
    </row>
    <row r="2639" customFormat="false" ht="15" hidden="false" customHeight="false" outlineLevel="0" collapsed="false">
      <c r="A2639" s="19" t="s">
        <v>2615</v>
      </c>
      <c r="B2639" s="19" t="s">
        <v>2832</v>
      </c>
      <c r="C2639" s="19" t="n">
        <v>18</v>
      </c>
      <c r="D2639" s="17" t="s">
        <v>4553</v>
      </c>
      <c r="E2639" s="19" t="n">
        <v>1</v>
      </c>
      <c r="F2639" s="17" t="s">
        <v>4554</v>
      </c>
      <c r="G2639" s="17" t="s">
        <v>1104</v>
      </c>
      <c r="H2639" s="19"/>
    </row>
    <row r="2640" customFormat="false" ht="15" hidden="false" customHeight="false" outlineLevel="0" collapsed="false">
      <c r="A2640" s="19" t="s">
        <v>2615</v>
      </c>
      <c r="B2640" s="19" t="s">
        <v>2544</v>
      </c>
      <c r="C2640" s="19" t="n">
        <v>18</v>
      </c>
      <c r="D2640" s="19" t="s">
        <v>774</v>
      </c>
      <c r="E2640" s="19" t="n">
        <v>186</v>
      </c>
      <c r="F2640" s="17" t="s">
        <v>4572</v>
      </c>
      <c r="G2640" s="17" t="s">
        <v>1104</v>
      </c>
      <c r="H2640" s="19"/>
    </row>
    <row r="2641" customFormat="false" ht="15" hidden="false" customHeight="false" outlineLevel="0" collapsed="false">
      <c r="A2641" s="19" t="s">
        <v>2615</v>
      </c>
      <c r="B2641" s="19" t="s">
        <v>4573</v>
      </c>
      <c r="C2641" s="19" t="n">
        <v>18</v>
      </c>
      <c r="D2641" s="19" t="s">
        <v>231</v>
      </c>
      <c r="E2641" s="19" t="n">
        <v>0.1</v>
      </c>
      <c r="F2641" s="17" t="s">
        <v>4556</v>
      </c>
      <c r="G2641" s="17" t="s">
        <v>1104</v>
      </c>
      <c r="H2641" s="19"/>
    </row>
    <row r="2642" customFormat="false" ht="15" hidden="false" customHeight="false" outlineLevel="0" collapsed="false">
      <c r="A2642" s="19" t="s">
        <v>2615</v>
      </c>
      <c r="B2642" s="19" t="s">
        <v>4574</v>
      </c>
      <c r="C2642" s="19" t="n">
        <v>18</v>
      </c>
      <c r="D2642" s="17" t="s">
        <v>4558</v>
      </c>
      <c r="E2642" s="19" t="n">
        <v>0.2</v>
      </c>
      <c r="F2642" s="17" t="s">
        <v>4559</v>
      </c>
      <c r="G2642" s="17" t="s">
        <v>1104</v>
      </c>
      <c r="H2642" s="19"/>
    </row>
    <row r="2643" customFormat="false" ht="15" hidden="false" customHeight="false" outlineLevel="0" collapsed="false">
      <c r="A2643" s="19" t="s">
        <v>2615</v>
      </c>
      <c r="B2643" s="19" t="s">
        <v>2839</v>
      </c>
      <c r="C2643" s="19" t="n">
        <v>18</v>
      </c>
      <c r="D2643" s="17" t="s">
        <v>4553</v>
      </c>
      <c r="E2643" s="19" t="n">
        <v>1</v>
      </c>
      <c r="F2643" s="17" t="s">
        <v>4554</v>
      </c>
      <c r="G2643" s="17" t="s">
        <v>1104</v>
      </c>
      <c r="H2643" s="19"/>
    </row>
    <row r="2644" customFormat="false" ht="15" hidden="false" customHeight="false" outlineLevel="0" collapsed="false">
      <c r="A2644" s="19" t="s">
        <v>2615</v>
      </c>
      <c r="B2644" s="19" t="s">
        <v>2550</v>
      </c>
      <c r="C2644" s="19" t="n">
        <v>18</v>
      </c>
      <c r="D2644" s="19" t="s">
        <v>774</v>
      </c>
      <c r="E2644" s="19" t="n">
        <v>288</v>
      </c>
      <c r="F2644" s="17" t="s">
        <v>4575</v>
      </c>
      <c r="G2644" s="17" t="s">
        <v>1104</v>
      </c>
      <c r="H2644" s="19"/>
    </row>
    <row r="2645" customFormat="false" ht="15" hidden="false" customHeight="false" outlineLevel="0" collapsed="false">
      <c r="A2645" s="19" t="s">
        <v>2615</v>
      </c>
      <c r="B2645" s="19" t="s">
        <v>4576</v>
      </c>
      <c r="C2645" s="19" t="n">
        <v>18</v>
      </c>
      <c r="D2645" s="19" t="s">
        <v>231</v>
      </c>
      <c r="E2645" s="19" t="n">
        <v>0.1</v>
      </c>
      <c r="F2645" s="17" t="s">
        <v>4556</v>
      </c>
      <c r="G2645" s="17" t="s">
        <v>1104</v>
      </c>
      <c r="H2645" s="19"/>
    </row>
    <row r="2646" customFormat="false" ht="15" hidden="false" customHeight="false" outlineLevel="0" collapsed="false">
      <c r="A2646" s="19" t="s">
        <v>2615</v>
      </c>
      <c r="B2646" s="19" t="s">
        <v>4577</v>
      </c>
      <c r="C2646" s="19" t="n">
        <v>18</v>
      </c>
      <c r="D2646" s="17" t="s">
        <v>4558</v>
      </c>
      <c r="E2646" s="19" t="n">
        <v>0.2</v>
      </c>
      <c r="F2646" s="17" t="s">
        <v>4559</v>
      </c>
      <c r="G2646" s="17" t="s">
        <v>1104</v>
      </c>
      <c r="H2646" s="19"/>
    </row>
    <row r="2647" customFormat="false" ht="15" hidden="false" customHeight="false" outlineLevel="0" collapsed="false">
      <c r="A2647" s="19" t="s">
        <v>2615</v>
      </c>
      <c r="B2647" s="19" t="s">
        <v>2846</v>
      </c>
      <c r="C2647" s="19" t="n">
        <v>18</v>
      </c>
      <c r="D2647" s="17" t="s">
        <v>4553</v>
      </c>
      <c r="E2647" s="19" t="n">
        <v>1</v>
      </c>
      <c r="F2647" s="17" t="s">
        <v>4554</v>
      </c>
      <c r="G2647" s="17" t="s">
        <v>1104</v>
      </c>
      <c r="H2647" s="19"/>
    </row>
    <row r="2648" customFormat="false" ht="15" hidden="false" customHeight="false" outlineLevel="0" collapsed="false">
      <c r="A2648" s="19" t="s">
        <v>2615</v>
      </c>
      <c r="B2648" s="19" t="s">
        <v>2556</v>
      </c>
      <c r="C2648" s="19" t="n">
        <v>18</v>
      </c>
      <c r="D2648" s="19" t="s">
        <v>774</v>
      </c>
      <c r="E2648" s="19" t="n">
        <v>288</v>
      </c>
      <c r="F2648" s="17" t="s">
        <v>4578</v>
      </c>
      <c r="G2648" s="17" t="s">
        <v>1104</v>
      </c>
      <c r="H2648" s="19"/>
    </row>
    <row r="2649" customFormat="false" ht="15" hidden="false" customHeight="false" outlineLevel="0" collapsed="false">
      <c r="A2649" s="19" t="s">
        <v>2615</v>
      </c>
      <c r="B2649" s="19" t="s">
        <v>4579</v>
      </c>
      <c r="C2649" s="19" t="n">
        <v>18</v>
      </c>
      <c r="D2649" s="19" t="s">
        <v>231</v>
      </c>
      <c r="E2649" s="19" t="n">
        <v>0.1</v>
      </c>
      <c r="F2649" s="17" t="s">
        <v>4556</v>
      </c>
      <c r="G2649" s="17" t="s">
        <v>1104</v>
      </c>
      <c r="H2649" s="19"/>
    </row>
    <row r="2650" customFormat="false" ht="15" hidden="false" customHeight="false" outlineLevel="0" collapsed="false">
      <c r="A2650" s="19" t="s">
        <v>2615</v>
      </c>
      <c r="B2650" s="19" t="s">
        <v>4580</v>
      </c>
      <c r="C2650" s="19" t="n">
        <v>18</v>
      </c>
      <c r="D2650" s="17" t="s">
        <v>4558</v>
      </c>
      <c r="E2650" s="19" t="n">
        <v>0.2</v>
      </c>
      <c r="F2650" s="17" t="s">
        <v>4559</v>
      </c>
      <c r="G2650" s="17" t="s">
        <v>1104</v>
      </c>
      <c r="H2650" s="19"/>
    </row>
    <row r="2651" customFormat="false" ht="15" hidden="false" customHeight="false" outlineLevel="0" collapsed="false">
      <c r="A2651" s="19" t="s">
        <v>2615</v>
      </c>
      <c r="B2651" s="19" t="s">
        <v>2853</v>
      </c>
      <c r="C2651" s="19" t="n">
        <v>18</v>
      </c>
      <c r="D2651" s="17" t="s">
        <v>4553</v>
      </c>
      <c r="E2651" s="19" t="n">
        <v>1</v>
      </c>
      <c r="F2651" s="17" t="s">
        <v>4554</v>
      </c>
      <c r="G2651" s="17" t="s">
        <v>1104</v>
      </c>
      <c r="H2651" s="19"/>
    </row>
    <row r="2652" customFormat="false" ht="15" hidden="false" customHeight="false" outlineLevel="0" collapsed="false">
      <c r="A2652" s="19" t="s">
        <v>2615</v>
      </c>
      <c r="B2652" s="19" t="s">
        <v>2562</v>
      </c>
      <c r="C2652" s="19" t="n">
        <v>18</v>
      </c>
      <c r="D2652" s="19" t="s">
        <v>774</v>
      </c>
      <c r="E2652" s="19" t="n">
        <v>288</v>
      </c>
      <c r="F2652" s="17" t="s">
        <v>4581</v>
      </c>
      <c r="G2652" s="17" t="s">
        <v>1104</v>
      </c>
      <c r="H2652" s="19"/>
    </row>
    <row r="2653" customFormat="false" ht="15" hidden="false" customHeight="false" outlineLevel="0" collapsed="false">
      <c r="A2653" s="19" t="s">
        <v>2615</v>
      </c>
      <c r="B2653" s="19" t="s">
        <v>4582</v>
      </c>
      <c r="C2653" s="19" t="n">
        <v>18</v>
      </c>
      <c r="D2653" s="19" t="s">
        <v>231</v>
      </c>
      <c r="E2653" s="19" t="n">
        <v>0.1</v>
      </c>
      <c r="F2653" s="17" t="s">
        <v>4556</v>
      </c>
      <c r="G2653" s="17" t="s">
        <v>1104</v>
      </c>
      <c r="H2653" s="19"/>
    </row>
    <row r="2654" customFormat="false" ht="15" hidden="false" customHeight="false" outlineLevel="0" collapsed="false">
      <c r="A2654" s="19" t="s">
        <v>2615</v>
      </c>
      <c r="B2654" s="19" t="s">
        <v>4583</v>
      </c>
      <c r="C2654" s="19" t="n">
        <v>18</v>
      </c>
      <c r="D2654" s="17" t="s">
        <v>4558</v>
      </c>
      <c r="E2654" s="19" t="n">
        <v>0.2</v>
      </c>
      <c r="F2654" s="17" t="s">
        <v>4559</v>
      </c>
      <c r="G2654" s="17" t="s">
        <v>1104</v>
      </c>
      <c r="H2654" s="19"/>
    </row>
    <row r="2655" customFormat="false" ht="15" hidden="false" customHeight="false" outlineLevel="0" collapsed="false">
      <c r="A2655" s="19" t="s">
        <v>2615</v>
      </c>
      <c r="B2655" s="19" t="s">
        <v>2860</v>
      </c>
      <c r="C2655" s="19" t="n">
        <v>18</v>
      </c>
      <c r="D2655" s="17" t="s">
        <v>4553</v>
      </c>
      <c r="E2655" s="19" t="n">
        <v>1</v>
      </c>
      <c r="F2655" s="17" t="s">
        <v>4554</v>
      </c>
      <c r="G2655" s="17" t="s">
        <v>1104</v>
      </c>
      <c r="H2655" s="19"/>
    </row>
    <row r="2656" customFormat="false" ht="15" hidden="false" customHeight="false" outlineLevel="0" collapsed="false">
      <c r="A2656" s="19" t="s">
        <v>2615</v>
      </c>
      <c r="B2656" s="19" t="s">
        <v>2568</v>
      </c>
      <c r="C2656" s="19" t="n">
        <v>18</v>
      </c>
      <c r="D2656" s="19" t="s">
        <v>774</v>
      </c>
      <c r="E2656" s="19" t="n">
        <v>288</v>
      </c>
      <c r="F2656" s="17" t="s">
        <v>4584</v>
      </c>
      <c r="G2656" s="17" t="s">
        <v>1104</v>
      </c>
      <c r="H2656" s="19"/>
    </row>
    <row r="2657" customFormat="false" ht="15" hidden="false" customHeight="false" outlineLevel="0" collapsed="false">
      <c r="A2657" s="19" t="s">
        <v>2615</v>
      </c>
      <c r="B2657" s="19" t="s">
        <v>4585</v>
      </c>
      <c r="C2657" s="19" t="n">
        <v>18</v>
      </c>
      <c r="D2657" s="19" t="s">
        <v>231</v>
      </c>
      <c r="E2657" s="19" t="n">
        <v>0.1</v>
      </c>
      <c r="F2657" s="17" t="s">
        <v>4556</v>
      </c>
      <c r="G2657" s="17" t="s">
        <v>1104</v>
      </c>
      <c r="H2657" s="19"/>
    </row>
    <row r="2658" customFormat="false" ht="15" hidden="false" customHeight="false" outlineLevel="0" collapsed="false">
      <c r="A2658" s="19" t="s">
        <v>2615</v>
      </c>
      <c r="B2658" s="19" t="s">
        <v>4586</v>
      </c>
      <c r="C2658" s="19" t="n">
        <v>18</v>
      </c>
      <c r="D2658" s="17" t="s">
        <v>4558</v>
      </c>
      <c r="E2658" s="19" t="n">
        <v>0.2</v>
      </c>
      <c r="F2658" s="17" t="s">
        <v>4559</v>
      </c>
      <c r="G2658" s="17" t="s">
        <v>1104</v>
      </c>
      <c r="H2658" s="19"/>
    </row>
    <row r="2659" customFormat="false" ht="15" hidden="false" customHeight="false" outlineLevel="0" collapsed="false">
      <c r="A2659" s="19" t="s">
        <v>2615</v>
      </c>
      <c r="B2659" s="19" t="s">
        <v>2867</v>
      </c>
      <c r="C2659" s="19" t="n">
        <v>18</v>
      </c>
      <c r="D2659" s="17" t="s">
        <v>4553</v>
      </c>
      <c r="E2659" s="19" t="n">
        <v>1</v>
      </c>
      <c r="F2659" s="17" t="s">
        <v>4554</v>
      </c>
      <c r="G2659" s="17" t="s">
        <v>1104</v>
      </c>
      <c r="H2659" s="19"/>
    </row>
    <row r="2660" customFormat="false" ht="15" hidden="false" customHeight="false" outlineLevel="0" collapsed="false">
      <c r="A2660" s="19" t="s">
        <v>2615</v>
      </c>
      <c r="B2660" s="19" t="s">
        <v>2574</v>
      </c>
      <c r="C2660" s="19" t="n">
        <v>18</v>
      </c>
      <c r="D2660" s="19" t="s">
        <v>774</v>
      </c>
      <c r="E2660" s="19" t="n">
        <v>288</v>
      </c>
      <c r="F2660" s="17" t="s">
        <v>4587</v>
      </c>
      <c r="G2660" s="17" t="s">
        <v>1104</v>
      </c>
      <c r="H2660" s="19"/>
    </row>
    <row r="2661" customFormat="false" ht="15" hidden="false" customHeight="false" outlineLevel="0" collapsed="false">
      <c r="A2661" s="19" t="s">
        <v>2615</v>
      </c>
      <c r="B2661" s="19" t="s">
        <v>4588</v>
      </c>
      <c r="C2661" s="19" t="n">
        <v>18</v>
      </c>
      <c r="D2661" s="19" t="s">
        <v>231</v>
      </c>
      <c r="E2661" s="19" t="n">
        <v>0.1</v>
      </c>
      <c r="F2661" s="17" t="s">
        <v>4556</v>
      </c>
      <c r="G2661" s="17" t="s">
        <v>1104</v>
      </c>
      <c r="H2661" s="19"/>
    </row>
    <row r="2662" customFormat="false" ht="15" hidden="false" customHeight="false" outlineLevel="0" collapsed="false">
      <c r="A2662" s="19" t="s">
        <v>2615</v>
      </c>
      <c r="B2662" s="19" t="s">
        <v>4589</v>
      </c>
      <c r="C2662" s="19" t="n">
        <v>18</v>
      </c>
      <c r="D2662" s="17" t="s">
        <v>4558</v>
      </c>
      <c r="E2662" s="19" t="n">
        <v>0.2</v>
      </c>
      <c r="F2662" s="17" t="s">
        <v>4559</v>
      </c>
      <c r="G2662" s="17" t="s">
        <v>1104</v>
      </c>
      <c r="H2662" s="19"/>
    </row>
    <row r="2663" customFormat="false" ht="15" hidden="false" customHeight="false" outlineLevel="0" collapsed="false">
      <c r="A2663" s="19" t="s">
        <v>2615</v>
      </c>
      <c r="B2663" s="19" t="s">
        <v>2874</v>
      </c>
      <c r="C2663" s="19" t="n">
        <v>18</v>
      </c>
      <c r="D2663" s="17" t="s">
        <v>4553</v>
      </c>
      <c r="E2663" s="19" t="n">
        <v>1</v>
      </c>
      <c r="F2663" s="17" t="s">
        <v>4554</v>
      </c>
      <c r="G2663" s="17" t="s">
        <v>1104</v>
      </c>
      <c r="H2663" s="19"/>
    </row>
    <row r="2664" customFormat="false" ht="15" hidden="false" customHeight="false" outlineLevel="0" collapsed="false">
      <c r="A2664" s="19" t="s">
        <v>2615</v>
      </c>
      <c r="B2664" s="19" t="s">
        <v>2580</v>
      </c>
      <c r="C2664" s="19" t="n">
        <v>18</v>
      </c>
      <c r="D2664" s="19" t="s">
        <v>774</v>
      </c>
      <c r="E2664" s="19" t="n">
        <v>288</v>
      </c>
      <c r="F2664" s="17" t="s">
        <v>4590</v>
      </c>
      <c r="G2664" s="17" t="s">
        <v>1104</v>
      </c>
      <c r="H2664" s="19"/>
    </row>
    <row r="2665" customFormat="false" ht="15" hidden="false" customHeight="false" outlineLevel="0" collapsed="false">
      <c r="A2665" s="19" t="s">
        <v>2615</v>
      </c>
      <c r="B2665" s="19" t="s">
        <v>4591</v>
      </c>
      <c r="C2665" s="19" t="n">
        <v>18</v>
      </c>
      <c r="D2665" s="19" t="s">
        <v>231</v>
      </c>
      <c r="E2665" s="19" t="n">
        <v>0.1</v>
      </c>
      <c r="F2665" s="17" t="s">
        <v>4556</v>
      </c>
      <c r="G2665" s="17" t="s">
        <v>1104</v>
      </c>
      <c r="H2665" s="19"/>
    </row>
    <row r="2666" customFormat="false" ht="15" hidden="false" customHeight="false" outlineLevel="0" collapsed="false">
      <c r="A2666" s="19" t="s">
        <v>2615</v>
      </c>
      <c r="B2666" s="19" t="s">
        <v>4592</v>
      </c>
      <c r="C2666" s="19" t="n">
        <v>18</v>
      </c>
      <c r="D2666" s="17" t="s">
        <v>4558</v>
      </c>
      <c r="E2666" s="19" t="n">
        <v>0.2</v>
      </c>
      <c r="F2666" s="17" t="s">
        <v>4559</v>
      </c>
      <c r="G2666" s="17" t="s">
        <v>1104</v>
      </c>
      <c r="H2666" s="19"/>
    </row>
    <row r="2667" customFormat="false" ht="15" hidden="false" customHeight="false" outlineLevel="0" collapsed="false">
      <c r="A2667" s="19" t="s">
        <v>2615</v>
      </c>
      <c r="B2667" s="19" t="s">
        <v>2881</v>
      </c>
      <c r="C2667" s="19" t="n">
        <v>18</v>
      </c>
      <c r="D2667" s="17" t="s">
        <v>4553</v>
      </c>
      <c r="E2667" s="19" t="n">
        <v>1</v>
      </c>
      <c r="F2667" s="17" t="s">
        <v>4554</v>
      </c>
      <c r="G2667" s="17" t="s">
        <v>1104</v>
      </c>
      <c r="H2667" s="19"/>
    </row>
    <row r="2668" customFormat="false" ht="15" hidden="false" customHeight="false" outlineLevel="0" collapsed="false">
      <c r="A2668" s="19" t="s">
        <v>2615</v>
      </c>
      <c r="B2668" s="19" t="s">
        <v>2586</v>
      </c>
      <c r="C2668" s="19" t="n">
        <v>18</v>
      </c>
      <c r="D2668" s="19" t="s">
        <v>774</v>
      </c>
      <c r="E2668" s="19" t="n">
        <v>1024</v>
      </c>
      <c r="F2668" s="17" t="s">
        <v>4593</v>
      </c>
      <c r="G2668" s="17" t="s">
        <v>1104</v>
      </c>
      <c r="H2668" s="19"/>
    </row>
    <row r="2669" customFormat="false" ht="15" hidden="false" customHeight="false" outlineLevel="0" collapsed="false">
      <c r="A2669" s="19" t="s">
        <v>2615</v>
      </c>
      <c r="B2669" s="19" t="s">
        <v>4594</v>
      </c>
      <c r="C2669" s="19" t="n">
        <v>18</v>
      </c>
      <c r="D2669" s="19" t="s">
        <v>231</v>
      </c>
      <c r="E2669" s="19" t="n">
        <v>0.1</v>
      </c>
      <c r="F2669" s="17" t="s">
        <v>4556</v>
      </c>
      <c r="G2669" s="17" t="s">
        <v>1104</v>
      </c>
      <c r="H2669" s="19"/>
    </row>
    <row r="2670" customFormat="false" ht="15" hidden="false" customHeight="false" outlineLevel="0" collapsed="false">
      <c r="A2670" s="19" t="s">
        <v>2615</v>
      </c>
      <c r="B2670" s="19" t="s">
        <v>4595</v>
      </c>
      <c r="C2670" s="19" t="n">
        <v>18</v>
      </c>
      <c r="D2670" s="17" t="s">
        <v>4558</v>
      </c>
      <c r="E2670" s="19" t="n">
        <v>0.2</v>
      </c>
      <c r="F2670" s="17" t="s">
        <v>4559</v>
      </c>
      <c r="G2670" s="17" t="s">
        <v>1104</v>
      </c>
      <c r="H2670" s="19"/>
    </row>
    <row r="2671" customFormat="false" ht="15" hidden="false" customHeight="false" outlineLevel="0" collapsed="false">
      <c r="A2671" s="19" t="s">
        <v>2615</v>
      </c>
      <c r="B2671" s="19" t="s">
        <v>2888</v>
      </c>
      <c r="C2671" s="19" t="n">
        <v>18</v>
      </c>
      <c r="D2671" s="17" t="s">
        <v>4553</v>
      </c>
      <c r="E2671" s="19" t="n">
        <v>1</v>
      </c>
      <c r="F2671" s="17" t="s">
        <v>4554</v>
      </c>
      <c r="G2671" s="17" t="s">
        <v>1104</v>
      </c>
      <c r="H2671" s="19"/>
    </row>
    <row r="2672" customFormat="false" ht="15" hidden="false" customHeight="false" outlineLevel="0" collapsed="false">
      <c r="A2672" s="19" t="s">
        <v>2615</v>
      </c>
      <c r="B2672" s="19" t="s">
        <v>2592</v>
      </c>
      <c r="C2672" s="19" t="n">
        <v>18</v>
      </c>
      <c r="D2672" s="19" t="s">
        <v>774</v>
      </c>
      <c r="E2672" s="19" t="n">
        <v>1024</v>
      </c>
      <c r="F2672" s="17" t="s">
        <v>4596</v>
      </c>
      <c r="G2672" s="17" t="s">
        <v>1104</v>
      </c>
      <c r="H2672" s="19"/>
    </row>
    <row r="2673" customFormat="false" ht="15" hidden="false" customHeight="false" outlineLevel="0" collapsed="false">
      <c r="A2673" s="19" t="s">
        <v>2615</v>
      </c>
      <c r="B2673" s="19" t="s">
        <v>4597</v>
      </c>
      <c r="C2673" s="19" t="n">
        <v>18</v>
      </c>
      <c r="D2673" s="19" t="s">
        <v>231</v>
      </c>
      <c r="E2673" s="19" t="n">
        <v>0.1</v>
      </c>
      <c r="F2673" s="17" t="s">
        <v>4556</v>
      </c>
      <c r="G2673" s="17" t="s">
        <v>1104</v>
      </c>
      <c r="H2673" s="19"/>
    </row>
    <row r="2674" customFormat="false" ht="15" hidden="false" customHeight="false" outlineLevel="0" collapsed="false">
      <c r="A2674" s="19" t="s">
        <v>2615</v>
      </c>
      <c r="B2674" s="19" t="s">
        <v>4598</v>
      </c>
      <c r="C2674" s="19" t="n">
        <v>18</v>
      </c>
      <c r="D2674" s="17" t="s">
        <v>4558</v>
      </c>
      <c r="E2674" s="19" t="n">
        <v>0.2</v>
      </c>
      <c r="F2674" s="17" t="s">
        <v>4559</v>
      </c>
      <c r="G2674" s="17" t="s">
        <v>1104</v>
      </c>
      <c r="H2674" s="19"/>
    </row>
    <row r="2675" customFormat="false" ht="15" hidden="false" customHeight="false" outlineLevel="0" collapsed="false">
      <c r="A2675" s="19" t="s">
        <v>2615</v>
      </c>
      <c r="B2675" s="19" t="s">
        <v>2895</v>
      </c>
      <c r="C2675" s="19" t="n">
        <v>18</v>
      </c>
      <c r="D2675" s="17" t="s">
        <v>4553</v>
      </c>
      <c r="E2675" s="19" t="n">
        <v>1</v>
      </c>
      <c r="F2675" s="17" t="s">
        <v>4554</v>
      </c>
      <c r="G2675" s="17" t="s">
        <v>1104</v>
      </c>
      <c r="H2675" s="19"/>
    </row>
    <row r="2676" customFormat="false" ht="15" hidden="false" customHeight="false" outlineLevel="0" collapsed="false">
      <c r="A2676" s="19" t="s">
        <v>2615</v>
      </c>
      <c r="B2676" s="19" t="s">
        <v>2598</v>
      </c>
      <c r="C2676" s="19" t="n">
        <v>18</v>
      </c>
      <c r="D2676" s="19" t="s">
        <v>774</v>
      </c>
      <c r="E2676" s="19" t="n">
        <v>1024</v>
      </c>
      <c r="F2676" s="17" t="s">
        <v>4599</v>
      </c>
      <c r="G2676" s="17" t="s">
        <v>1104</v>
      </c>
      <c r="H2676" s="19"/>
    </row>
    <row r="2677" customFormat="false" ht="15" hidden="false" customHeight="false" outlineLevel="0" collapsed="false">
      <c r="A2677" s="19" t="s">
        <v>2615</v>
      </c>
      <c r="B2677" s="19" t="s">
        <v>4600</v>
      </c>
      <c r="C2677" s="19" t="n">
        <v>18</v>
      </c>
      <c r="D2677" s="19" t="s">
        <v>231</v>
      </c>
      <c r="E2677" s="19" t="n">
        <v>0.1</v>
      </c>
      <c r="F2677" s="17" t="s">
        <v>4556</v>
      </c>
      <c r="G2677" s="17" t="s">
        <v>1104</v>
      </c>
      <c r="H2677" s="19"/>
    </row>
    <row r="2678" customFormat="false" ht="15" hidden="false" customHeight="false" outlineLevel="0" collapsed="false">
      <c r="A2678" s="19" t="s">
        <v>2615</v>
      </c>
      <c r="B2678" s="19" t="s">
        <v>4601</v>
      </c>
      <c r="C2678" s="19" t="n">
        <v>18</v>
      </c>
      <c r="D2678" s="17" t="s">
        <v>4558</v>
      </c>
      <c r="E2678" s="19" t="n">
        <v>0.2</v>
      </c>
      <c r="F2678" s="17" t="s">
        <v>4559</v>
      </c>
      <c r="G2678" s="17" t="s">
        <v>1104</v>
      </c>
      <c r="H2678" s="19"/>
    </row>
    <row r="2679" customFormat="false" ht="15" hidden="false" customHeight="false" outlineLevel="0" collapsed="false">
      <c r="A2679" s="55" t="s">
        <v>3680</v>
      </c>
      <c r="B2679" s="55" t="s">
        <v>2041</v>
      </c>
      <c r="C2679" s="55" t="n">
        <v>18</v>
      </c>
      <c r="D2679" s="55" t="s">
        <v>4602</v>
      </c>
      <c r="E2679" s="55" t="n">
        <v>3.35</v>
      </c>
      <c r="F2679" s="55"/>
      <c r="G2679" s="66" t="s">
        <v>1122</v>
      </c>
      <c r="H2679" s="55"/>
    </row>
    <row r="2680" customFormat="false" ht="15" hidden="false" customHeight="false" outlineLevel="0" collapsed="false">
      <c r="A2680" s="55" t="s">
        <v>3680</v>
      </c>
      <c r="B2680" s="55" t="s">
        <v>1303</v>
      </c>
      <c r="C2680" s="55" t="n">
        <v>18</v>
      </c>
      <c r="D2680" s="55" t="s">
        <v>4603</v>
      </c>
      <c r="E2680" s="55" t="n">
        <v>8</v>
      </c>
      <c r="F2680" s="55"/>
      <c r="G2680" s="66" t="s">
        <v>1122</v>
      </c>
      <c r="H2680" s="55"/>
    </row>
    <row r="2681" customFormat="false" ht="15" hidden="false" customHeight="false" outlineLevel="0" collapsed="false">
      <c r="A2681" s="55" t="s">
        <v>3680</v>
      </c>
      <c r="B2681" s="55" t="s">
        <v>1222</v>
      </c>
      <c r="C2681" s="55" t="n">
        <v>18</v>
      </c>
      <c r="D2681" s="55" t="s">
        <v>4604</v>
      </c>
      <c r="E2681" s="55" t="n">
        <v>22</v>
      </c>
      <c r="F2681" s="55"/>
      <c r="G2681" s="66" t="s">
        <v>1122</v>
      </c>
      <c r="H2681" s="55"/>
    </row>
    <row r="2682" customFormat="false" ht="15" hidden="false" customHeight="false" outlineLevel="0" collapsed="false">
      <c r="A2682" s="55" t="s">
        <v>3680</v>
      </c>
      <c r="B2682" s="55" t="s">
        <v>2059</v>
      </c>
      <c r="C2682" s="55" t="n">
        <v>18</v>
      </c>
      <c r="D2682" s="55" t="s">
        <v>4605</v>
      </c>
      <c r="E2682" s="55" t="n">
        <v>0.9</v>
      </c>
      <c r="F2682" s="55"/>
      <c r="G2682" s="66" t="s">
        <v>1122</v>
      </c>
      <c r="H2682" s="55"/>
    </row>
    <row r="2683" customFormat="false" ht="15" hidden="false" customHeight="false" outlineLevel="0" collapsed="false">
      <c r="A2683" s="55" t="s">
        <v>3680</v>
      </c>
      <c r="B2683" s="55" t="s">
        <v>1558</v>
      </c>
      <c r="C2683" s="55" t="n">
        <v>18</v>
      </c>
      <c r="D2683" s="55" t="s">
        <v>4606</v>
      </c>
      <c r="E2683" s="55" t="n">
        <v>1.8</v>
      </c>
      <c r="F2683" s="55"/>
      <c r="G2683" s="66" t="s">
        <v>1122</v>
      </c>
      <c r="H2683" s="55"/>
    </row>
    <row r="2684" customFormat="false" ht="15" hidden="false" customHeight="false" outlineLevel="0" collapsed="false">
      <c r="A2684" s="55" t="s">
        <v>3680</v>
      </c>
      <c r="B2684" s="55" t="s">
        <v>4607</v>
      </c>
      <c r="C2684" s="55" t="n">
        <v>18</v>
      </c>
      <c r="D2684" s="55" t="s">
        <v>4608</v>
      </c>
      <c r="E2684" s="55" t="n">
        <v>8</v>
      </c>
      <c r="F2684" s="55"/>
      <c r="G2684" s="66" t="s">
        <v>1122</v>
      </c>
      <c r="H2684" s="55"/>
    </row>
    <row r="2685" customFormat="false" ht="15" hidden="false" customHeight="false" outlineLevel="0" collapsed="false">
      <c r="A2685" s="55" t="s">
        <v>3680</v>
      </c>
      <c r="B2685" s="55" t="s">
        <v>4350</v>
      </c>
      <c r="C2685" s="55" t="n">
        <v>18</v>
      </c>
      <c r="D2685" s="55" t="s">
        <v>4609</v>
      </c>
      <c r="E2685" s="55" t="n">
        <v>400</v>
      </c>
      <c r="F2685" s="55"/>
      <c r="G2685" s="66" t="s">
        <v>1122</v>
      </c>
      <c r="H2685" s="55"/>
    </row>
    <row r="2686" customFormat="false" ht="15" hidden="false" customHeight="false" outlineLevel="0" collapsed="false">
      <c r="A2686" s="55" t="s">
        <v>4610</v>
      </c>
      <c r="B2686" s="55" t="s">
        <v>4307</v>
      </c>
      <c r="C2686" s="55" t="n">
        <v>18</v>
      </c>
      <c r="D2686" s="55" t="s">
        <v>4611</v>
      </c>
      <c r="E2686" s="55" t="n">
        <v>4096</v>
      </c>
      <c r="F2686" s="55"/>
      <c r="G2686" s="66" t="s">
        <v>1122</v>
      </c>
      <c r="H2686" s="55"/>
    </row>
    <row r="2687" customFormat="false" ht="15" hidden="false" customHeight="false" outlineLevel="0" collapsed="false">
      <c r="A2687" s="55" t="s">
        <v>4610</v>
      </c>
      <c r="B2687" s="55" t="s">
        <v>1282</v>
      </c>
      <c r="C2687" s="55" t="n">
        <v>18</v>
      </c>
      <c r="D2687" s="55" t="s">
        <v>4612</v>
      </c>
      <c r="E2687" s="55" t="n">
        <v>7168</v>
      </c>
      <c r="F2687" s="55"/>
      <c r="G2687" s="66" t="s">
        <v>1122</v>
      </c>
      <c r="H2687" s="55"/>
    </row>
    <row r="2688" customFormat="false" ht="15" hidden="false" customHeight="false" outlineLevel="0" collapsed="false">
      <c r="A2688" s="55" t="s">
        <v>4506</v>
      </c>
      <c r="B2688" s="55" t="s">
        <v>1225</v>
      </c>
      <c r="C2688" s="55" t="n">
        <v>18</v>
      </c>
      <c r="D2688" s="55" t="s">
        <v>4613</v>
      </c>
      <c r="E2688" s="55" t="n">
        <v>116.5</v>
      </c>
      <c r="F2688" s="55"/>
      <c r="G2688" s="66" t="s">
        <v>1122</v>
      </c>
      <c r="H2688" s="55"/>
    </row>
    <row r="2689" customFormat="false" ht="15" hidden="false" customHeight="false" outlineLevel="0" collapsed="false">
      <c r="A2689" s="55" t="s">
        <v>4506</v>
      </c>
      <c r="B2689" s="55" t="s">
        <v>3931</v>
      </c>
      <c r="C2689" s="55" t="n">
        <v>18</v>
      </c>
      <c r="D2689" s="55" t="s">
        <v>4614</v>
      </c>
      <c r="E2689" s="55" t="n">
        <v>61</v>
      </c>
      <c r="F2689" s="55"/>
      <c r="G2689" s="66" t="s">
        <v>1122</v>
      </c>
      <c r="H2689" s="55"/>
    </row>
    <row r="2690" customFormat="false" ht="15" hidden="false" customHeight="false" outlineLevel="0" collapsed="false">
      <c r="A2690" s="55" t="s">
        <v>4506</v>
      </c>
      <c r="B2690" s="55" t="s">
        <v>3370</v>
      </c>
      <c r="C2690" s="55" t="n">
        <v>18</v>
      </c>
      <c r="D2690" s="55" t="s">
        <v>4615</v>
      </c>
      <c r="E2690" s="55" t="n">
        <v>50.7</v>
      </c>
      <c r="F2690" s="55"/>
      <c r="G2690" s="66" t="s">
        <v>1122</v>
      </c>
      <c r="H2690" s="55"/>
    </row>
    <row r="2691" customFormat="false" ht="15" hidden="false" customHeight="false" outlineLevel="0" collapsed="false">
      <c r="A2691" s="55" t="s">
        <v>4506</v>
      </c>
      <c r="B2691" s="55" t="s">
        <v>4616</v>
      </c>
      <c r="C2691" s="55" t="n">
        <v>18</v>
      </c>
      <c r="D2691" s="55" t="s">
        <v>4617</v>
      </c>
      <c r="E2691" s="55" t="n">
        <v>37</v>
      </c>
      <c r="F2691" s="55"/>
      <c r="G2691" s="66" t="s">
        <v>1122</v>
      </c>
      <c r="H2691" s="55"/>
    </row>
    <row r="2692" customFormat="false" ht="15" hidden="false" customHeight="false" outlineLevel="0" collapsed="false">
      <c r="A2692" s="55" t="s">
        <v>4506</v>
      </c>
      <c r="B2692" s="55" t="s">
        <v>4618</v>
      </c>
      <c r="C2692" s="55" t="n">
        <v>18</v>
      </c>
      <c r="D2692" s="55" t="s">
        <v>4619</v>
      </c>
      <c r="E2692" s="55" t="n">
        <v>52.1</v>
      </c>
      <c r="F2692" s="55"/>
      <c r="G2692" s="66" t="s">
        <v>1122</v>
      </c>
      <c r="H2692" s="55"/>
    </row>
    <row r="2693" customFormat="false" ht="15" hidden="false" customHeight="false" outlineLevel="0" collapsed="false">
      <c r="A2693" s="55" t="s">
        <v>4506</v>
      </c>
      <c r="B2693" s="55" t="s">
        <v>2917</v>
      </c>
      <c r="C2693" s="55" t="n">
        <v>18</v>
      </c>
      <c r="D2693" s="55" t="s">
        <v>4620</v>
      </c>
      <c r="E2693" s="55" t="n">
        <v>32</v>
      </c>
      <c r="F2693" s="55"/>
      <c r="G2693" s="66" t="s">
        <v>1122</v>
      </c>
      <c r="H2693" s="55"/>
    </row>
    <row r="2694" customFormat="false" ht="15" hidden="false" customHeight="false" outlineLevel="0" collapsed="false">
      <c r="A2694" s="55" t="s">
        <v>1202</v>
      </c>
      <c r="B2694" s="55" t="s">
        <v>1120</v>
      </c>
      <c r="C2694" s="55" t="n">
        <v>18</v>
      </c>
      <c r="D2694" s="66" t="s">
        <v>4621</v>
      </c>
      <c r="E2694" s="55" t="n">
        <v>0.4</v>
      </c>
      <c r="F2694" s="55"/>
      <c r="G2694" s="66" t="s">
        <v>1122</v>
      </c>
      <c r="H2694" s="55" t="s">
        <v>140</v>
      </c>
    </row>
    <row r="2695" customFormat="false" ht="15" hidden="false" customHeight="false" outlineLevel="0" collapsed="false">
      <c r="A2695" s="55" t="s">
        <v>1202</v>
      </c>
      <c r="B2695" s="55" t="s">
        <v>1147</v>
      </c>
      <c r="C2695" s="55" t="n">
        <v>18</v>
      </c>
      <c r="D2695" s="66" t="s">
        <v>3603</v>
      </c>
      <c r="E2695" s="55" t="n">
        <v>1</v>
      </c>
      <c r="F2695" s="55"/>
      <c r="G2695" s="66" t="s">
        <v>1122</v>
      </c>
      <c r="H2695" s="55" t="s">
        <v>140</v>
      </c>
    </row>
    <row r="2696" customFormat="false" ht="15" hidden="false" customHeight="false" outlineLevel="0" collapsed="false">
      <c r="A2696" s="55" t="s">
        <v>1202</v>
      </c>
      <c r="B2696" s="55" t="s">
        <v>1255</v>
      </c>
      <c r="C2696" s="55" t="n">
        <v>18</v>
      </c>
      <c r="D2696" s="66" t="s">
        <v>4622</v>
      </c>
      <c r="E2696" s="55" t="n">
        <v>8192</v>
      </c>
      <c r="F2696" s="55"/>
      <c r="G2696" s="66" t="s">
        <v>1122</v>
      </c>
      <c r="H2696" s="55" t="s">
        <v>140</v>
      </c>
    </row>
    <row r="2697" customFormat="false" ht="15" hidden="false" customHeight="false" outlineLevel="0" collapsed="false">
      <c r="A2697" s="55" t="s">
        <v>1202</v>
      </c>
      <c r="B2697" s="55" t="s">
        <v>1193</v>
      </c>
      <c r="C2697" s="55" t="n">
        <v>18</v>
      </c>
      <c r="D2697" s="66" t="s">
        <v>4623</v>
      </c>
      <c r="E2697" s="55" t="n">
        <v>1024</v>
      </c>
      <c r="F2697" s="55"/>
      <c r="G2697" s="66" t="s">
        <v>1122</v>
      </c>
      <c r="H2697" s="55" t="s">
        <v>140</v>
      </c>
    </row>
    <row r="2698" customFormat="false" ht="15" hidden="false" customHeight="false" outlineLevel="0" collapsed="false">
      <c r="A2698" s="19" t="s">
        <v>1202</v>
      </c>
      <c r="B2698" s="19" t="s">
        <v>1280</v>
      </c>
      <c r="C2698" s="19" t="n">
        <v>18</v>
      </c>
      <c r="D2698" s="17" t="s">
        <v>4624</v>
      </c>
      <c r="E2698" s="19" t="n">
        <v>0.7</v>
      </c>
      <c r="F2698" s="17" t="s">
        <v>4625</v>
      </c>
      <c r="G2698" s="17" t="s">
        <v>1104</v>
      </c>
      <c r="H2698" s="17" t="s">
        <v>226</v>
      </c>
    </row>
    <row r="2699" customFormat="false" ht="15" hidden="false" customHeight="false" outlineLevel="0" collapsed="false">
      <c r="A2699" s="55" t="s">
        <v>1202</v>
      </c>
      <c r="B2699" s="55" t="s">
        <v>1373</v>
      </c>
      <c r="C2699" s="55" t="n">
        <v>18</v>
      </c>
      <c r="D2699" s="66" t="s">
        <v>4622</v>
      </c>
      <c r="E2699" s="55" t="n">
        <v>16384</v>
      </c>
      <c r="F2699" s="55"/>
      <c r="G2699" s="66" t="s">
        <v>1122</v>
      </c>
      <c r="H2699" s="55" t="s">
        <v>140</v>
      </c>
    </row>
    <row r="2700" customFormat="false" ht="15" hidden="false" customHeight="false" outlineLevel="0" collapsed="false">
      <c r="A2700" s="55" t="s">
        <v>1202</v>
      </c>
      <c r="B2700" s="55" t="s">
        <v>2061</v>
      </c>
      <c r="C2700" s="55" t="n">
        <v>18</v>
      </c>
      <c r="D2700" s="66" t="s">
        <v>4623</v>
      </c>
      <c r="E2700" s="55" t="n">
        <v>2048</v>
      </c>
      <c r="F2700" s="55"/>
      <c r="G2700" s="66" t="s">
        <v>1122</v>
      </c>
      <c r="H2700" s="55" t="s">
        <v>140</v>
      </c>
    </row>
    <row r="2701" customFormat="false" ht="15" hidden="false" customHeight="false" outlineLevel="0" collapsed="false">
      <c r="A2701" s="55" t="s">
        <v>1202</v>
      </c>
      <c r="B2701" s="55" t="s">
        <v>1375</v>
      </c>
      <c r="C2701" s="55" t="n">
        <v>18</v>
      </c>
      <c r="D2701" s="66" t="s">
        <v>4622</v>
      </c>
      <c r="E2701" s="55" t="n">
        <v>32768</v>
      </c>
      <c r="F2701" s="55"/>
      <c r="G2701" s="66" t="s">
        <v>1122</v>
      </c>
      <c r="H2701" s="55" t="s">
        <v>140</v>
      </c>
    </row>
    <row r="2702" customFormat="false" ht="15" hidden="false" customHeight="false" outlineLevel="0" collapsed="false">
      <c r="A2702" s="55" t="s">
        <v>1202</v>
      </c>
      <c r="B2702" s="55" t="s">
        <v>2081</v>
      </c>
      <c r="C2702" s="55" t="n">
        <v>18</v>
      </c>
      <c r="D2702" s="66" t="s">
        <v>4623</v>
      </c>
      <c r="E2702" s="55" t="n">
        <v>4096</v>
      </c>
      <c r="F2702" s="55"/>
      <c r="G2702" s="66" t="s">
        <v>1122</v>
      </c>
      <c r="H2702" s="55" t="s">
        <v>140</v>
      </c>
    </row>
    <row r="2703" customFormat="false" ht="15" hidden="false" customHeight="false" outlineLevel="0" collapsed="false">
      <c r="A2703" s="55" t="s">
        <v>3365</v>
      </c>
      <c r="B2703" s="55" t="s">
        <v>1153</v>
      </c>
      <c r="C2703" s="55" t="n">
        <v>18</v>
      </c>
      <c r="D2703" s="55" t="s">
        <v>4626</v>
      </c>
      <c r="E2703" s="55" t="n">
        <v>64</v>
      </c>
      <c r="F2703" s="55"/>
      <c r="G2703" s="66" t="s">
        <v>1122</v>
      </c>
      <c r="H2703" s="55" t="s">
        <v>224</v>
      </c>
    </row>
    <row r="2704" customFormat="false" ht="15" hidden="false" customHeight="false" outlineLevel="0" collapsed="false">
      <c r="A2704" s="19" t="s">
        <v>3365</v>
      </c>
      <c r="B2704" s="19" t="s">
        <v>1271</v>
      </c>
      <c r="C2704" s="19" t="n">
        <v>18</v>
      </c>
      <c r="D2704" s="17" t="s">
        <v>784</v>
      </c>
      <c r="E2704" s="19" t="n">
        <v>1</v>
      </c>
      <c r="F2704" s="17" t="s">
        <v>4627</v>
      </c>
      <c r="G2704" s="17" t="s">
        <v>1104</v>
      </c>
      <c r="H2704" s="17" t="s">
        <v>226</v>
      </c>
    </row>
    <row r="2705" customFormat="false" ht="15" hidden="false" customHeight="false" outlineLevel="0" collapsed="false">
      <c r="A2705" s="55" t="s">
        <v>3365</v>
      </c>
      <c r="B2705" s="55" t="s">
        <v>1658</v>
      </c>
      <c r="C2705" s="55" t="n">
        <v>18</v>
      </c>
      <c r="D2705" s="66" t="s">
        <v>4628</v>
      </c>
      <c r="E2705" s="55" t="n">
        <v>1</v>
      </c>
      <c r="F2705" s="55"/>
      <c r="G2705" s="66" t="s">
        <v>1122</v>
      </c>
      <c r="H2705" s="55"/>
    </row>
    <row r="2706" customFormat="false" ht="15" hidden="false" customHeight="false" outlineLevel="0" collapsed="false">
      <c r="A2706" s="55" t="s">
        <v>3365</v>
      </c>
      <c r="B2706" s="55" t="s">
        <v>1174</v>
      </c>
      <c r="C2706" s="55" t="n">
        <v>18</v>
      </c>
      <c r="D2706" s="55" t="s">
        <v>4626</v>
      </c>
      <c r="E2706" s="55" t="n">
        <v>32</v>
      </c>
      <c r="F2706" s="55"/>
      <c r="G2706" s="66" t="s">
        <v>1122</v>
      </c>
      <c r="H2706" s="55" t="s">
        <v>224</v>
      </c>
    </row>
    <row r="2707" customFormat="false" ht="15" hidden="false" customHeight="false" outlineLevel="0" collapsed="false">
      <c r="A2707" s="19" t="s">
        <v>3365</v>
      </c>
      <c r="B2707" s="19" t="s">
        <v>1285</v>
      </c>
      <c r="C2707" s="19" t="n">
        <v>18</v>
      </c>
      <c r="D2707" s="17" t="s">
        <v>784</v>
      </c>
      <c r="E2707" s="19" t="n">
        <v>0.5625</v>
      </c>
      <c r="F2707" s="17" t="s">
        <v>4629</v>
      </c>
      <c r="G2707" s="17" t="s">
        <v>1104</v>
      </c>
      <c r="H2707" s="17" t="s">
        <v>226</v>
      </c>
    </row>
    <row r="2708" customFormat="false" ht="15" hidden="false" customHeight="false" outlineLevel="0" collapsed="false">
      <c r="A2708" s="55" t="s">
        <v>3365</v>
      </c>
      <c r="B2708" s="55" t="s">
        <v>1675</v>
      </c>
      <c r="C2708" s="55" t="n">
        <v>18</v>
      </c>
      <c r="D2708" s="66" t="s">
        <v>4628</v>
      </c>
      <c r="E2708" s="55" t="n">
        <v>1</v>
      </c>
      <c r="F2708" s="55"/>
      <c r="G2708" s="66" t="s">
        <v>1122</v>
      </c>
      <c r="H2708" s="55"/>
    </row>
    <row r="2709" customFormat="false" ht="15" hidden="false" customHeight="false" outlineLevel="0" collapsed="false">
      <c r="A2709" s="19" t="s">
        <v>3365</v>
      </c>
      <c r="B2709" s="19" t="s">
        <v>1182</v>
      </c>
      <c r="C2709" s="19" t="n">
        <v>18</v>
      </c>
      <c r="D2709" s="19" t="s">
        <v>782</v>
      </c>
      <c r="E2709" s="19" t="n">
        <v>32</v>
      </c>
      <c r="F2709" s="17" t="s">
        <v>4630</v>
      </c>
      <c r="G2709" s="17" t="s">
        <v>1104</v>
      </c>
      <c r="H2709" s="17" t="s">
        <v>226</v>
      </c>
    </row>
    <row r="2710" customFormat="false" ht="15" hidden="false" customHeight="false" outlineLevel="0" collapsed="false">
      <c r="A2710" s="19" t="s">
        <v>3365</v>
      </c>
      <c r="B2710" s="19" t="s">
        <v>1289</v>
      </c>
      <c r="C2710" s="19" t="n">
        <v>18</v>
      </c>
      <c r="D2710" s="17" t="s">
        <v>784</v>
      </c>
      <c r="E2710" s="19" t="n">
        <v>0.5625</v>
      </c>
      <c r="F2710" s="17" t="s">
        <v>4629</v>
      </c>
      <c r="G2710" s="17" t="s">
        <v>1104</v>
      </c>
      <c r="H2710" s="17" t="s">
        <v>226</v>
      </c>
    </row>
    <row r="2711" customFormat="false" ht="15" hidden="false" customHeight="false" outlineLevel="0" collapsed="false">
      <c r="A2711" s="55" t="s">
        <v>3365</v>
      </c>
      <c r="B2711" s="55" t="s">
        <v>1689</v>
      </c>
      <c r="C2711" s="55" t="n">
        <v>18</v>
      </c>
      <c r="D2711" s="66" t="s">
        <v>4628</v>
      </c>
      <c r="E2711" s="55" t="n">
        <v>1</v>
      </c>
      <c r="F2711" s="55"/>
      <c r="G2711" s="66" t="s">
        <v>1122</v>
      </c>
      <c r="H2711" s="55"/>
    </row>
    <row r="2712" customFormat="false" ht="15" hidden="false" customHeight="false" outlineLevel="0" collapsed="false">
      <c r="A2712" s="55" t="s">
        <v>3365</v>
      </c>
      <c r="B2712" s="55" t="s">
        <v>1190</v>
      </c>
      <c r="C2712" s="55" t="n">
        <v>18</v>
      </c>
      <c r="D2712" s="55" t="s">
        <v>4626</v>
      </c>
      <c r="E2712" s="55" t="n">
        <v>32</v>
      </c>
      <c r="F2712" s="55"/>
      <c r="G2712" s="66" t="s">
        <v>1122</v>
      </c>
      <c r="H2712" s="55" t="s">
        <v>224</v>
      </c>
    </row>
    <row r="2713" customFormat="false" ht="15" hidden="false" customHeight="false" outlineLevel="0" collapsed="false">
      <c r="A2713" s="19" t="s">
        <v>3365</v>
      </c>
      <c r="B2713" s="19" t="s">
        <v>1293</v>
      </c>
      <c r="C2713" s="19" t="n">
        <v>18</v>
      </c>
      <c r="D2713" s="17" t="s">
        <v>784</v>
      </c>
      <c r="E2713" s="19" t="n">
        <v>0.5625</v>
      </c>
      <c r="F2713" s="17" t="s">
        <v>4629</v>
      </c>
      <c r="G2713" s="17" t="s">
        <v>1104</v>
      </c>
      <c r="H2713" s="17" t="s">
        <v>226</v>
      </c>
    </row>
    <row r="2714" customFormat="false" ht="15" hidden="false" customHeight="false" outlineLevel="0" collapsed="false">
      <c r="A2714" s="55" t="s">
        <v>3365</v>
      </c>
      <c r="B2714" s="55" t="s">
        <v>1703</v>
      </c>
      <c r="C2714" s="55" t="n">
        <v>18</v>
      </c>
      <c r="D2714" s="66" t="s">
        <v>4628</v>
      </c>
      <c r="E2714" s="55" t="n">
        <v>1</v>
      </c>
      <c r="F2714" s="55"/>
      <c r="G2714" s="66" t="s">
        <v>1122</v>
      </c>
      <c r="H2714" s="55"/>
    </row>
    <row r="2715" customFormat="false" ht="15" hidden="false" customHeight="false" outlineLevel="0" collapsed="false">
      <c r="A2715" s="55" t="s">
        <v>3365</v>
      </c>
      <c r="B2715" s="55" t="s">
        <v>2129</v>
      </c>
      <c r="C2715" s="55" t="n">
        <v>18</v>
      </c>
      <c r="D2715" s="55" t="s">
        <v>4626</v>
      </c>
      <c r="E2715" s="55" t="n">
        <v>64</v>
      </c>
      <c r="F2715" s="55"/>
      <c r="G2715" s="66" t="s">
        <v>1122</v>
      </c>
      <c r="H2715" s="55" t="s">
        <v>140</v>
      </c>
    </row>
    <row r="2716" customFormat="false" ht="15" hidden="false" customHeight="false" outlineLevel="0" collapsed="false">
      <c r="A2716" s="19" t="s">
        <v>3365</v>
      </c>
      <c r="B2716" s="19" t="s">
        <v>2131</v>
      </c>
      <c r="C2716" s="19" t="n">
        <v>18</v>
      </c>
      <c r="D2716" s="17" t="s">
        <v>784</v>
      </c>
      <c r="E2716" s="19" t="n">
        <v>0.5625</v>
      </c>
      <c r="F2716" s="17" t="s">
        <v>4629</v>
      </c>
      <c r="G2716" s="17" t="s">
        <v>1104</v>
      </c>
      <c r="H2716" s="17" t="s">
        <v>226</v>
      </c>
    </row>
    <row r="2717" customFormat="false" ht="15" hidden="false" customHeight="false" outlineLevel="0" collapsed="false">
      <c r="A2717" s="55" t="s">
        <v>3365</v>
      </c>
      <c r="B2717" s="55" t="s">
        <v>1719</v>
      </c>
      <c r="C2717" s="55" t="n">
        <v>18</v>
      </c>
      <c r="D2717" s="66" t="s">
        <v>4628</v>
      </c>
      <c r="E2717" s="55" t="n">
        <v>1</v>
      </c>
      <c r="F2717" s="55"/>
      <c r="G2717" s="66" t="s">
        <v>1122</v>
      </c>
      <c r="H2717" s="55"/>
    </row>
    <row r="2718" customFormat="false" ht="15" hidden="false" customHeight="false" outlineLevel="0" collapsed="false">
      <c r="A2718" s="19" t="s">
        <v>4631</v>
      </c>
      <c r="B2718" s="19" t="s">
        <v>1241</v>
      </c>
      <c r="C2718" s="19" t="n">
        <v>18</v>
      </c>
      <c r="D2718" s="19" t="s">
        <v>4632</v>
      </c>
      <c r="E2718" s="19" t="n">
        <v>1</v>
      </c>
      <c r="F2718" s="17" t="s">
        <v>4633</v>
      </c>
      <c r="G2718" s="17" t="s">
        <v>1104</v>
      </c>
      <c r="H2718" s="19"/>
    </row>
    <row r="2719" customFormat="false" ht="15" hidden="false" customHeight="false" outlineLevel="0" collapsed="false">
      <c r="A2719" s="19" t="s">
        <v>4631</v>
      </c>
      <c r="B2719" s="19" t="s">
        <v>1245</v>
      </c>
      <c r="C2719" s="19" t="n">
        <v>18</v>
      </c>
      <c r="D2719" s="19" t="s">
        <v>4634</v>
      </c>
      <c r="E2719" s="19" t="n">
        <v>1</v>
      </c>
      <c r="F2719" s="17" t="s">
        <v>4635</v>
      </c>
      <c r="G2719" s="17" t="s">
        <v>1104</v>
      </c>
      <c r="H2719" s="19"/>
    </row>
    <row r="2720" customFormat="false" ht="15" hidden="false" customHeight="false" outlineLevel="0" collapsed="false">
      <c r="A2720" s="19" t="s">
        <v>4631</v>
      </c>
      <c r="B2720" s="19" t="s">
        <v>1375</v>
      </c>
      <c r="C2720" s="19" t="n">
        <v>18</v>
      </c>
      <c r="D2720" s="19" t="s">
        <v>4636</v>
      </c>
      <c r="E2720" s="19" t="n">
        <v>1</v>
      </c>
      <c r="F2720" s="17" t="s">
        <v>4637</v>
      </c>
      <c r="G2720" s="17" t="s">
        <v>1104</v>
      </c>
      <c r="H2720" s="19"/>
    </row>
    <row r="2721" customFormat="false" ht="15" hidden="false" customHeight="false" outlineLevel="0" collapsed="false">
      <c r="A2721" s="19" t="s">
        <v>4315</v>
      </c>
      <c r="B2721" s="19" t="s">
        <v>1205</v>
      </c>
      <c r="C2721" s="19" t="n">
        <v>19</v>
      </c>
      <c r="D2721" s="19" t="s">
        <v>4638</v>
      </c>
      <c r="E2721" s="19" t="n">
        <v>64</v>
      </c>
      <c r="F2721" s="17" t="s">
        <v>4639</v>
      </c>
      <c r="G2721" s="17" t="s">
        <v>1104</v>
      </c>
      <c r="H2721" s="17" t="s">
        <v>226</v>
      </c>
    </row>
    <row r="2722" customFormat="false" ht="15" hidden="false" customHeight="false" outlineLevel="0" collapsed="false">
      <c r="A2722" s="19" t="s">
        <v>4315</v>
      </c>
      <c r="B2722" s="19" t="s">
        <v>1120</v>
      </c>
      <c r="C2722" s="19" t="n">
        <v>19</v>
      </c>
      <c r="D2722" s="19" t="s">
        <v>4640</v>
      </c>
      <c r="E2722" s="19" t="n">
        <v>512</v>
      </c>
      <c r="F2722" s="17" t="s">
        <v>4641</v>
      </c>
      <c r="G2722" s="17" t="s">
        <v>1104</v>
      </c>
      <c r="H2722" s="17" t="s">
        <v>226</v>
      </c>
    </row>
    <row r="2723" customFormat="false" ht="15" hidden="false" customHeight="false" outlineLevel="0" collapsed="false">
      <c r="A2723" s="19" t="s">
        <v>4315</v>
      </c>
      <c r="B2723" s="19" t="s">
        <v>1337</v>
      </c>
      <c r="C2723" s="19" t="n">
        <v>19</v>
      </c>
      <c r="D2723" s="17" t="s">
        <v>812</v>
      </c>
      <c r="E2723" s="19" t="n">
        <v>0.512</v>
      </c>
      <c r="F2723" s="17" t="s">
        <v>4642</v>
      </c>
      <c r="G2723" s="17" t="s">
        <v>1104</v>
      </c>
      <c r="H2723" s="17" t="s">
        <v>226</v>
      </c>
    </row>
    <row r="2724" customFormat="false" ht="15" hidden="false" customHeight="false" outlineLevel="0" collapsed="false">
      <c r="A2724" s="19" t="s">
        <v>4315</v>
      </c>
      <c r="B2724" s="19" t="s">
        <v>1300</v>
      </c>
      <c r="C2724" s="19" t="n">
        <v>19</v>
      </c>
      <c r="D2724" s="17" t="s">
        <v>4643</v>
      </c>
      <c r="E2724" s="19" t="n">
        <v>4224</v>
      </c>
      <c r="F2724" s="17" t="s">
        <v>4644</v>
      </c>
      <c r="G2724" s="17" t="s">
        <v>1104</v>
      </c>
      <c r="H2724" s="17" t="s">
        <v>226</v>
      </c>
    </row>
    <row r="2725" customFormat="false" ht="15" hidden="false" customHeight="false" outlineLevel="0" collapsed="false">
      <c r="A2725" s="19" t="s">
        <v>4315</v>
      </c>
      <c r="B2725" s="19" t="s">
        <v>1147</v>
      </c>
      <c r="C2725" s="19" t="n">
        <v>19</v>
      </c>
      <c r="D2725" s="17" t="s">
        <v>816</v>
      </c>
      <c r="E2725" s="19" t="n">
        <v>128</v>
      </c>
      <c r="F2725" s="17" t="s">
        <v>4645</v>
      </c>
      <c r="G2725" s="17" t="s">
        <v>1104</v>
      </c>
      <c r="H2725" s="17" t="s">
        <v>226</v>
      </c>
    </row>
    <row r="2726" customFormat="false" ht="15" hidden="false" customHeight="false" outlineLevel="0" collapsed="false">
      <c r="A2726" s="19" t="s">
        <v>4315</v>
      </c>
      <c r="B2726" s="19" t="s">
        <v>1210</v>
      </c>
      <c r="C2726" s="19" t="n">
        <v>19</v>
      </c>
      <c r="D2726" s="17" t="s">
        <v>818</v>
      </c>
      <c r="E2726" s="19" t="n">
        <v>128</v>
      </c>
      <c r="F2726" s="17" t="s">
        <v>4646</v>
      </c>
      <c r="G2726" s="17" t="s">
        <v>1104</v>
      </c>
      <c r="H2726" s="17" t="s">
        <v>226</v>
      </c>
    </row>
    <row r="2727" customFormat="false" ht="15" hidden="false" customHeight="false" outlineLevel="0" collapsed="false">
      <c r="A2727" s="19" t="s">
        <v>4315</v>
      </c>
      <c r="B2727" s="19" t="s">
        <v>1203</v>
      </c>
      <c r="C2727" s="19" t="n">
        <v>19</v>
      </c>
      <c r="D2727" s="17" t="s">
        <v>4647</v>
      </c>
      <c r="E2727" s="19" t="n">
        <v>5.412</v>
      </c>
      <c r="F2727" s="17" t="s">
        <v>4648</v>
      </c>
      <c r="G2727" s="17" t="s">
        <v>1104</v>
      </c>
      <c r="H2727" s="19"/>
    </row>
    <row r="2728" customFormat="false" ht="15" hidden="false" customHeight="false" outlineLevel="0" collapsed="false">
      <c r="A2728" s="55" t="s">
        <v>4315</v>
      </c>
      <c r="B2728" s="55" t="s">
        <v>1222</v>
      </c>
      <c r="C2728" s="55" t="n">
        <v>19</v>
      </c>
      <c r="D2728" s="66" t="s">
        <v>4649</v>
      </c>
      <c r="E2728" s="55" t="n">
        <v>65</v>
      </c>
      <c r="F2728" s="55"/>
      <c r="G2728" s="66" t="s">
        <v>1122</v>
      </c>
      <c r="H2728" s="55"/>
    </row>
    <row r="2729" customFormat="false" ht="15" hidden="false" customHeight="false" outlineLevel="0" collapsed="false">
      <c r="A2729" s="19" t="s">
        <v>4315</v>
      </c>
      <c r="B2729" s="19" t="s">
        <v>1650</v>
      </c>
      <c r="C2729" s="19" t="n">
        <v>19</v>
      </c>
      <c r="D2729" s="19" t="s">
        <v>4650</v>
      </c>
      <c r="E2729" s="19" t="n">
        <v>1</v>
      </c>
      <c r="F2729" s="17" t="s">
        <v>4627</v>
      </c>
      <c r="G2729" s="17" t="s">
        <v>1104</v>
      </c>
      <c r="H2729" s="17" t="s">
        <v>226</v>
      </c>
    </row>
    <row r="2730" customFormat="false" ht="15" hidden="false" customHeight="false" outlineLevel="0" collapsed="false">
      <c r="A2730" s="19" t="s">
        <v>4315</v>
      </c>
      <c r="B2730" s="19" t="s">
        <v>1308</v>
      </c>
      <c r="C2730" s="19" t="n">
        <v>19</v>
      </c>
      <c r="D2730" s="17" t="s">
        <v>4651</v>
      </c>
      <c r="E2730" s="19" t="n">
        <v>284</v>
      </c>
      <c r="F2730" s="17" t="s">
        <v>4652</v>
      </c>
      <c r="G2730" s="17" t="s">
        <v>1104</v>
      </c>
      <c r="H2730" s="17" t="s">
        <v>226</v>
      </c>
    </row>
    <row r="2731" customFormat="false" ht="15" hidden="false" customHeight="false" outlineLevel="0" collapsed="false">
      <c r="A2731" s="19" t="s">
        <v>4315</v>
      </c>
      <c r="B2731" s="19" t="s">
        <v>2502</v>
      </c>
      <c r="C2731" s="19" t="n">
        <v>19</v>
      </c>
      <c r="D2731" s="17" t="s">
        <v>812</v>
      </c>
      <c r="E2731" s="19" t="n">
        <v>0.492</v>
      </c>
      <c r="F2731" s="17" t="s">
        <v>4653</v>
      </c>
      <c r="G2731" s="17" t="s">
        <v>1104</v>
      </c>
      <c r="H2731" s="17" t="s">
        <v>226</v>
      </c>
    </row>
    <row r="2732" customFormat="false" ht="15" hidden="false" customHeight="false" outlineLevel="0" collapsed="false">
      <c r="A2732" s="19" t="s">
        <v>4315</v>
      </c>
      <c r="B2732" s="19" t="s">
        <v>1313</v>
      </c>
      <c r="C2732" s="19" t="n">
        <v>19</v>
      </c>
      <c r="D2732" s="17" t="s">
        <v>4643</v>
      </c>
      <c r="E2732" s="19" t="n">
        <v>4224</v>
      </c>
      <c r="F2732" s="17" t="s">
        <v>4644</v>
      </c>
      <c r="G2732" s="17" t="s">
        <v>1104</v>
      </c>
      <c r="H2732" s="17" t="s">
        <v>226</v>
      </c>
    </row>
    <row r="2733" customFormat="false" ht="15" hidden="false" customHeight="false" outlineLevel="0" collapsed="false">
      <c r="A2733" s="19" t="s">
        <v>4315</v>
      </c>
      <c r="B2733" s="19" t="s">
        <v>1170</v>
      </c>
      <c r="C2733" s="19" t="n">
        <v>19</v>
      </c>
      <c r="D2733" s="17" t="s">
        <v>816</v>
      </c>
      <c r="E2733" s="19" t="n">
        <v>128</v>
      </c>
      <c r="F2733" s="17" t="s">
        <v>4645</v>
      </c>
      <c r="G2733" s="17" t="s">
        <v>1104</v>
      </c>
      <c r="H2733" s="17" t="s">
        <v>226</v>
      </c>
    </row>
    <row r="2734" customFormat="false" ht="15" hidden="false" customHeight="false" outlineLevel="0" collapsed="false">
      <c r="A2734" s="19" t="s">
        <v>4315</v>
      </c>
      <c r="B2734" s="19" t="s">
        <v>1231</v>
      </c>
      <c r="C2734" s="19" t="n">
        <v>19</v>
      </c>
      <c r="D2734" s="17" t="s">
        <v>818</v>
      </c>
      <c r="E2734" s="19" t="n">
        <v>128</v>
      </c>
      <c r="F2734" s="17" t="s">
        <v>4646</v>
      </c>
      <c r="G2734" s="17" t="s">
        <v>1104</v>
      </c>
      <c r="H2734" s="17" t="s">
        <v>226</v>
      </c>
    </row>
    <row r="2735" customFormat="false" ht="15" hidden="false" customHeight="false" outlineLevel="0" collapsed="false">
      <c r="A2735" s="19" t="s">
        <v>4315</v>
      </c>
      <c r="B2735" s="19" t="s">
        <v>1317</v>
      </c>
      <c r="C2735" s="19" t="n">
        <v>19</v>
      </c>
      <c r="D2735" s="17" t="s">
        <v>4647</v>
      </c>
      <c r="E2735" s="19" t="n">
        <v>20.2777777777778</v>
      </c>
      <c r="F2735" s="17" t="s">
        <v>4654</v>
      </c>
      <c r="G2735" s="17" t="s">
        <v>1104</v>
      </c>
      <c r="H2735" s="19"/>
    </row>
    <row r="2736" customFormat="false" ht="15" hidden="false" customHeight="false" outlineLevel="0" collapsed="false">
      <c r="A2736" s="55" t="s">
        <v>4315</v>
      </c>
      <c r="B2736" s="55" t="s">
        <v>2607</v>
      </c>
      <c r="C2736" s="55" t="n">
        <v>19</v>
      </c>
      <c r="D2736" s="66" t="s">
        <v>4649</v>
      </c>
      <c r="E2736" s="55" t="n">
        <v>65</v>
      </c>
      <c r="F2736" s="55"/>
      <c r="G2736" s="66" t="s">
        <v>1122</v>
      </c>
      <c r="H2736" s="55"/>
    </row>
    <row r="2737" customFormat="false" ht="15" hidden="false" customHeight="false" outlineLevel="0" collapsed="false">
      <c r="A2737" s="19" t="s">
        <v>4315</v>
      </c>
      <c r="B2737" s="19" t="s">
        <v>2487</v>
      </c>
      <c r="C2737" s="19" t="n">
        <v>19</v>
      </c>
      <c r="D2737" s="17" t="s">
        <v>4651</v>
      </c>
      <c r="E2737" s="19" t="n">
        <v>1600</v>
      </c>
      <c r="F2737" s="17" t="s">
        <v>4655</v>
      </c>
      <c r="G2737" s="17" t="s">
        <v>1104</v>
      </c>
      <c r="H2737" s="17" t="s">
        <v>226</v>
      </c>
    </row>
    <row r="2738" customFormat="false" ht="15" hidden="false" customHeight="false" outlineLevel="0" collapsed="false">
      <c r="A2738" s="55" t="s">
        <v>4315</v>
      </c>
      <c r="B2738" s="55" t="s">
        <v>2688</v>
      </c>
      <c r="C2738" s="55" t="n">
        <v>19</v>
      </c>
      <c r="D2738" s="55" t="s">
        <v>4638</v>
      </c>
      <c r="E2738" s="55" t="n">
        <v>96</v>
      </c>
      <c r="F2738" s="55"/>
      <c r="G2738" s="66" t="s">
        <v>1122</v>
      </c>
      <c r="H2738" s="55" t="s">
        <v>140</v>
      </c>
    </row>
    <row r="2739" customFormat="false" ht="15" hidden="false" customHeight="false" outlineLevel="0" collapsed="false">
      <c r="A2739" s="55" t="s">
        <v>4315</v>
      </c>
      <c r="B2739" s="55" t="s">
        <v>1682</v>
      </c>
      <c r="C2739" s="55" t="n">
        <v>19</v>
      </c>
      <c r="D2739" s="55" t="s">
        <v>4640</v>
      </c>
      <c r="E2739" s="55" t="n">
        <v>128</v>
      </c>
      <c r="F2739" s="55"/>
      <c r="G2739" s="66" t="s">
        <v>1122</v>
      </c>
      <c r="H2739" s="55" t="s">
        <v>140</v>
      </c>
    </row>
    <row r="2740" customFormat="false" ht="15" hidden="false" customHeight="false" outlineLevel="0" collapsed="false">
      <c r="A2740" s="55" t="s">
        <v>4315</v>
      </c>
      <c r="B2740" s="55" t="s">
        <v>2503</v>
      </c>
      <c r="C2740" s="55" t="n">
        <v>19</v>
      </c>
      <c r="D2740" s="66" t="s">
        <v>812</v>
      </c>
      <c r="E2740" s="55" t="n">
        <v>1</v>
      </c>
      <c r="F2740" s="55"/>
      <c r="G2740" s="66" t="s">
        <v>1122</v>
      </c>
      <c r="H2740" s="55" t="s">
        <v>140</v>
      </c>
    </row>
    <row r="2741" customFormat="false" ht="15" hidden="false" customHeight="false" outlineLevel="0" collapsed="false">
      <c r="A2741" s="55" t="s">
        <v>4315</v>
      </c>
      <c r="B2741" s="55" t="s">
        <v>1321</v>
      </c>
      <c r="C2741" s="55" t="n">
        <v>19</v>
      </c>
      <c r="D2741" s="66" t="s">
        <v>4656</v>
      </c>
      <c r="E2741" s="55" t="n">
        <v>0</v>
      </c>
      <c r="F2741" s="55"/>
      <c r="G2741" s="66" t="s">
        <v>1122</v>
      </c>
      <c r="H2741" s="55" t="s">
        <v>140</v>
      </c>
    </row>
    <row r="2742" customFormat="false" ht="15" hidden="false" customHeight="false" outlineLevel="0" collapsed="false">
      <c r="A2742" s="55" t="s">
        <v>4315</v>
      </c>
      <c r="B2742" s="55" t="s">
        <v>1178</v>
      </c>
      <c r="C2742" s="55" t="n">
        <v>19</v>
      </c>
      <c r="D2742" s="66" t="s">
        <v>816</v>
      </c>
      <c r="E2742" s="55" t="n">
        <v>1</v>
      </c>
      <c r="F2742" s="55"/>
      <c r="G2742" s="66" t="s">
        <v>1122</v>
      </c>
      <c r="H2742" s="55" t="s">
        <v>140</v>
      </c>
    </row>
    <row r="2743" customFormat="false" ht="15" hidden="false" customHeight="false" outlineLevel="0" collapsed="false">
      <c r="A2743" s="55" t="s">
        <v>4315</v>
      </c>
      <c r="B2743" s="55" t="s">
        <v>1239</v>
      </c>
      <c r="C2743" s="55" t="n">
        <v>19</v>
      </c>
      <c r="D2743" s="66" t="s">
        <v>818</v>
      </c>
      <c r="E2743" s="55" t="n">
        <v>0</v>
      </c>
      <c r="F2743" s="55"/>
      <c r="G2743" s="66" t="s">
        <v>1122</v>
      </c>
      <c r="H2743" s="55" t="s">
        <v>140</v>
      </c>
    </row>
    <row r="2744" customFormat="false" ht="15" hidden="false" customHeight="false" outlineLevel="0" collapsed="false">
      <c r="A2744" s="19" t="s">
        <v>4315</v>
      </c>
      <c r="B2744" s="19" t="s">
        <v>1325</v>
      </c>
      <c r="C2744" s="19" t="n">
        <v>19</v>
      </c>
      <c r="D2744" s="17" t="s">
        <v>4647</v>
      </c>
      <c r="E2744" s="19" t="n">
        <v>49.0725806451613</v>
      </c>
      <c r="F2744" s="17" t="s">
        <v>4657</v>
      </c>
      <c r="G2744" s="17" t="s">
        <v>1104</v>
      </c>
      <c r="H2744" s="19"/>
    </row>
    <row r="2745" customFormat="false" ht="15" hidden="false" customHeight="false" outlineLevel="0" collapsed="false">
      <c r="A2745" s="55" t="s">
        <v>4315</v>
      </c>
      <c r="B2745" s="55" t="s">
        <v>2611</v>
      </c>
      <c r="C2745" s="55" t="n">
        <v>19</v>
      </c>
      <c r="D2745" s="55" t="s">
        <v>4658</v>
      </c>
      <c r="E2745" s="55" t="n">
        <v>576</v>
      </c>
      <c r="F2745" s="55"/>
      <c r="G2745" s="66" t="s">
        <v>1122</v>
      </c>
      <c r="H2745" s="55" t="s">
        <v>224</v>
      </c>
    </row>
    <row r="2746" customFormat="false" ht="15" hidden="false" customHeight="false" outlineLevel="0" collapsed="false">
      <c r="A2746" s="55" t="s">
        <v>4315</v>
      </c>
      <c r="B2746" s="55" t="s">
        <v>2689</v>
      </c>
      <c r="C2746" s="55" t="n">
        <v>19</v>
      </c>
      <c r="D2746" s="55" t="s">
        <v>4659</v>
      </c>
      <c r="E2746" s="55" t="n">
        <v>0.26</v>
      </c>
      <c r="F2746" s="55"/>
      <c r="G2746" s="66" t="s">
        <v>1122</v>
      </c>
      <c r="H2746" s="55" t="s">
        <v>140</v>
      </c>
    </row>
    <row r="2747" customFormat="false" ht="15" hidden="false" customHeight="false" outlineLevel="0" collapsed="false">
      <c r="A2747" s="55" t="s">
        <v>4315</v>
      </c>
      <c r="B2747" s="55" t="s">
        <v>2691</v>
      </c>
      <c r="C2747" s="55" t="n">
        <v>19</v>
      </c>
      <c r="D2747" s="55" t="s">
        <v>4660</v>
      </c>
      <c r="E2747" s="55" t="n">
        <v>8</v>
      </c>
      <c r="F2747" s="55"/>
      <c r="G2747" s="66" t="s">
        <v>1122</v>
      </c>
      <c r="H2747" s="55" t="s">
        <v>140</v>
      </c>
    </row>
    <row r="2748" customFormat="false" ht="15" hidden="false" customHeight="false" outlineLevel="0" collapsed="false">
      <c r="A2748" s="55" t="s">
        <v>4315</v>
      </c>
      <c r="B2748" s="55" t="s">
        <v>2488</v>
      </c>
      <c r="C2748" s="55" t="n">
        <v>19</v>
      </c>
      <c r="D2748" s="66" t="s">
        <v>4651</v>
      </c>
      <c r="E2748" s="55" t="n">
        <v>4000</v>
      </c>
      <c r="F2748" s="55"/>
      <c r="G2748" s="66" t="s">
        <v>1122</v>
      </c>
      <c r="H2748" s="55" t="s">
        <v>140</v>
      </c>
    </row>
    <row r="2749" customFormat="false" ht="15" hidden="false" customHeight="false" outlineLevel="0" collapsed="false">
      <c r="A2749" s="19" t="s">
        <v>3369</v>
      </c>
      <c r="B2749" s="19" t="s">
        <v>1335</v>
      </c>
      <c r="C2749" s="19" t="n">
        <v>19</v>
      </c>
      <c r="D2749" s="17" t="s">
        <v>4661</v>
      </c>
      <c r="E2749" s="19" t="n">
        <v>72</v>
      </c>
      <c r="F2749" s="17" t="s">
        <v>4662</v>
      </c>
      <c r="G2749" s="17" t="s">
        <v>1104</v>
      </c>
      <c r="H2749" s="17" t="s">
        <v>226</v>
      </c>
    </row>
    <row r="2750" customFormat="false" ht="15" hidden="false" customHeight="false" outlineLevel="0" collapsed="false">
      <c r="A2750" s="19" t="s">
        <v>3369</v>
      </c>
      <c r="B2750" s="19" t="s">
        <v>1558</v>
      </c>
      <c r="C2750" s="19" t="n">
        <v>19</v>
      </c>
      <c r="D2750" s="17" t="s">
        <v>4663</v>
      </c>
      <c r="E2750" s="19" t="n">
        <v>2.533</v>
      </c>
      <c r="F2750" s="17" t="s">
        <v>4664</v>
      </c>
      <c r="G2750" s="17" t="s">
        <v>1104</v>
      </c>
      <c r="H2750" s="19"/>
    </row>
    <row r="2751" customFormat="false" ht="15" hidden="false" customHeight="false" outlineLevel="0" collapsed="false">
      <c r="A2751" s="19" t="s">
        <v>3369</v>
      </c>
      <c r="B2751" s="19" t="s">
        <v>1390</v>
      </c>
      <c r="C2751" s="19" t="n">
        <v>19</v>
      </c>
      <c r="D2751" s="17" t="s">
        <v>4665</v>
      </c>
      <c r="E2751" s="19" t="n">
        <v>0.0354198254977024</v>
      </c>
      <c r="F2751" s="17" t="s">
        <v>4666</v>
      </c>
      <c r="G2751" s="17" t="s">
        <v>1104</v>
      </c>
      <c r="H2751" s="19"/>
    </row>
    <row r="2752" customFormat="false" ht="15" hidden="false" customHeight="false" outlineLevel="0" collapsed="false">
      <c r="A2752" s="19" t="s">
        <v>3369</v>
      </c>
      <c r="B2752" s="19" t="s">
        <v>4557</v>
      </c>
      <c r="C2752" s="19" t="n">
        <v>19</v>
      </c>
      <c r="D2752" s="17" t="s">
        <v>4667</v>
      </c>
      <c r="E2752" s="19" t="n">
        <v>19.037380226042</v>
      </c>
      <c r="F2752" s="17" t="s">
        <v>4668</v>
      </c>
      <c r="G2752" s="17" t="s">
        <v>1104</v>
      </c>
      <c r="H2752" s="19"/>
    </row>
    <row r="2753" customFormat="false" ht="15" hidden="false" customHeight="false" outlineLevel="0" collapsed="false">
      <c r="A2753" s="19" t="s">
        <v>3369</v>
      </c>
      <c r="B2753" s="19" t="s">
        <v>4669</v>
      </c>
      <c r="C2753" s="19" t="n">
        <v>19</v>
      </c>
      <c r="D2753" s="17" t="s">
        <v>844</v>
      </c>
      <c r="E2753" s="19" t="n">
        <v>161.185338133698</v>
      </c>
      <c r="F2753" s="17" t="s">
        <v>4670</v>
      </c>
      <c r="G2753" s="17" t="s">
        <v>1104</v>
      </c>
      <c r="H2753" s="19"/>
    </row>
    <row r="2754" customFormat="false" ht="15" hidden="false" customHeight="false" outlineLevel="0" collapsed="false">
      <c r="A2754" s="55" t="s">
        <v>3369</v>
      </c>
      <c r="B2754" s="55" t="s">
        <v>4671</v>
      </c>
      <c r="C2754" s="55" t="n">
        <v>19</v>
      </c>
      <c r="D2754" s="66" t="s">
        <v>4672</v>
      </c>
      <c r="E2754" s="55" t="n">
        <v>1.5</v>
      </c>
      <c r="F2754" s="55"/>
      <c r="G2754" s="66" t="s">
        <v>1122</v>
      </c>
      <c r="H2754" s="55" t="s">
        <v>140</v>
      </c>
    </row>
    <row r="2755" customFormat="false" ht="15" hidden="false" customHeight="false" outlineLevel="0" collapsed="false">
      <c r="A2755" s="19" t="s">
        <v>3369</v>
      </c>
      <c r="B2755" s="19" t="s">
        <v>3019</v>
      </c>
      <c r="C2755" s="19" t="n">
        <v>19</v>
      </c>
      <c r="D2755" s="17" t="s">
        <v>4661</v>
      </c>
      <c r="E2755" s="19" t="n">
        <v>130</v>
      </c>
      <c r="F2755" s="17" t="s">
        <v>4673</v>
      </c>
      <c r="G2755" s="17" t="s">
        <v>1104</v>
      </c>
      <c r="H2755" s="17" t="s">
        <v>226</v>
      </c>
    </row>
    <row r="2756" customFormat="false" ht="15" hidden="false" customHeight="false" outlineLevel="0" collapsed="false">
      <c r="A2756" s="19" t="s">
        <v>3369</v>
      </c>
      <c r="B2756" s="19" t="s">
        <v>1564</v>
      </c>
      <c r="C2756" s="19" t="n">
        <v>19</v>
      </c>
      <c r="D2756" s="17" t="s">
        <v>4663</v>
      </c>
      <c r="E2756" s="19" t="n">
        <v>2.533</v>
      </c>
      <c r="F2756" s="17" t="s">
        <v>4674</v>
      </c>
      <c r="G2756" s="17" t="s">
        <v>1104</v>
      </c>
      <c r="H2756" s="19"/>
    </row>
    <row r="2757" customFormat="false" ht="15" hidden="false" customHeight="false" outlineLevel="0" collapsed="false">
      <c r="A2757" s="19" t="s">
        <v>3369</v>
      </c>
      <c r="B2757" s="19" t="s">
        <v>4562</v>
      </c>
      <c r="C2757" s="19" t="n">
        <v>19</v>
      </c>
      <c r="D2757" s="17" t="s">
        <v>4667</v>
      </c>
      <c r="E2757" s="19" t="n">
        <v>3.19289599331934</v>
      </c>
      <c r="F2757" s="17" t="s">
        <v>4675</v>
      </c>
      <c r="G2757" s="17" t="s">
        <v>1104</v>
      </c>
      <c r="H2757" s="19"/>
    </row>
    <row r="2758" customFormat="false" ht="15" hidden="false" customHeight="false" outlineLevel="0" collapsed="false">
      <c r="A2758" s="55" t="s">
        <v>3369</v>
      </c>
      <c r="B2758" s="55" t="s">
        <v>4676</v>
      </c>
      <c r="C2758" s="55" t="n">
        <v>19</v>
      </c>
      <c r="D2758" s="66" t="s">
        <v>4672</v>
      </c>
      <c r="E2758" s="55" t="n">
        <v>1</v>
      </c>
      <c r="F2758" s="55"/>
      <c r="G2758" s="66" t="s">
        <v>1122</v>
      </c>
      <c r="H2758" s="55" t="s">
        <v>140</v>
      </c>
    </row>
    <row r="2759" customFormat="false" ht="15" hidden="false" customHeight="false" outlineLevel="0" collapsed="false">
      <c r="A2759" s="55" t="s">
        <v>3369</v>
      </c>
      <c r="B2759" s="55" t="s">
        <v>4677</v>
      </c>
      <c r="C2759" s="55" t="n">
        <v>19</v>
      </c>
      <c r="D2759" s="66" t="s">
        <v>4672</v>
      </c>
      <c r="E2759" s="55" t="n">
        <v>1</v>
      </c>
      <c r="F2759" s="55"/>
      <c r="G2759" s="66" t="s">
        <v>1122</v>
      </c>
      <c r="H2759" s="55" t="s">
        <v>140</v>
      </c>
    </row>
    <row r="2760" customFormat="false" ht="15" hidden="false" customHeight="false" outlineLevel="0" collapsed="false">
      <c r="A2760" s="55" t="s">
        <v>3369</v>
      </c>
      <c r="B2760" s="55" t="s">
        <v>4678</v>
      </c>
      <c r="C2760" s="55" t="n">
        <v>19</v>
      </c>
      <c r="D2760" s="66" t="s">
        <v>4672</v>
      </c>
      <c r="E2760" s="55" t="n">
        <v>1</v>
      </c>
      <c r="F2760" s="55"/>
      <c r="G2760" s="66" t="s">
        <v>1122</v>
      </c>
      <c r="H2760" s="55" t="s">
        <v>140</v>
      </c>
    </row>
    <row r="2761" customFormat="false" ht="15" hidden="false" customHeight="false" outlineLevel="0" collapsed="false">
      <c r="A2761" s="55" t="s">
        <v>3369</v>
      </c>
      <c r="B2761" s="55" t="s">
        <v>4679</v>
      </c>
      <c r="C2761" s="55" t="n">
        <v>19</v>
      </c>
      <c r="D2761" s="66" t="s">
        <v>4672</v>
      </c>
      <c r="E2761" s="55" t="n">
        <v>1</v>
      </c>
      <c r="F2761" s="55"/>
      <c r="G2761" s="66" t="s">
        <v>1122</v>
      </c>
      <c r="H2761" s="55" t="s">
        <v>140</v>
      </c>
    </row>
    <row r="2762" customFormat="false" ht="15" hidden="false" customHeight="false" outlineLevel="0" collapsed="false">
      <c r="A2762" s="55" t="s">
        <v>3680</v>
      </c>
      <c r="B2762" s="55" t="s">
        <v>1560</v>
      </c>
      <c r="C2762" s="55" t="n">
        <v>19</v>
      </c>
      <c r="D2762" s="55" t="s">
        <v>4680</v>
      </c>
      <c r="E2762" s="55" t="n">
        <v>0.5625</v>
      </c>
      <c r="F2762" s="55"/>
      <c r="G2762" s="66" t="s">
        <v>1122</v>
      </c>
      <c r="H2762" s="55"/>
    </row>
    <row r="2763" customFormat="false" ht="15" hidden="false" customHeight="false" outlineLevel="0" collapsed="false">
      <c r="A2763" s="55" t="s">
        <v>3680</v>
      </c>
      <c r="B2763" s="55" t="s">
        <v>3922</v>
      </c>
      <c r="C2763" s="55" t="n">
        <v>19</v>
      </c>
      <c r="D2763" s="55" t="s">
        <v>4681</v>
      </c>
      <c r="E2763" s="55" t="n">
        <v>1</v>
      </c>
      <c r="F2763" s="55"/>
      <c r="G2763" s="66" t="s">
        <v>1122</v>
      </c>
      <c r="H2763" s="55"/>
    </row>
    <row r="2764" customFormat="false" ht="15" hidden="false" customHeight="false" outlineLevel="0" collapsed="false">
      <c r="A2764" s="55" t="s">
        <v>4506</v>
      </c>
      <c r="B2764" s="55" t="s">
        <v>1258</v>
      </c>
      <c r="C2764" s="55" t="n">
        <v>19</v>
      </c>
      <c r="D2764" s="55" t="s">
        <v>4682</v>
      </c>
      <c r="E2764" s="55" t="n">
        <v>32</v>
      </c>
      <c r="F2764" s="55"/>
      <c r="G2764" s="66" t="s">
        <v>1122</v>
      </c>
      <c r="H2764" s="55"/>
    </row>
    <row r="2765" customFormat="false" ht="15" hidden="false" customHeight="false" outlineLevel="0" collapsed="false">
      <c r="A2765" s="55" t="s">
        <v>1202</v>
      </c>
      <c r="B2765" s="55" t="s">
        <v>1205</v>
      </c>
      <c r="C2765" s="55" t="n">
        <v>19</v>
      </c>
      <c r="D2765" s="66" t="s">
        <v>4683</v>
      </c>
      <c r="E2765" s="55" t="n">
        <v>0.2</v>
      </c>
      <c r="F2765" s="55"/>
      <c r="G2765" s="66" t="s">
        <v>1122</v>
      </c>
      <c r="H2765" s="55" t="s">
        <v>140</v>
      </c>
    </row>
    <row r="2766" customFormat="false" ht="15" hidden="false" customHeight="false" outlineLevel="0" collapsed="false">
      <c r="A2766" s="55" t="s">
        <v>1202</v>
      </c>
      <c r="B2766" s="55" t="s">
        <v>1228</v>
      </c>
      <c r="C2766" s="55" t="n">
        <v>19</v>
      </c>
      <c r="D2766" s="55" t="s">
        <v>4684</v>
      </c>
      <c r="E2766" s="55" t="n">
        <v>0.1</v>
      </c>
      <c r="F2766" s="55"/>
      <c r="G2766" s="66" t="s">
        <v>1122</v>
      </c>
      <c r="H2766" s="55" t="s">
        <v>140</v>
      </c>
    </row>
    <row r="2767" customFormat="false" ht="15" hidden="false" customHeight="false" outlineLevel="0" collapsed="false">
      <c r="A2767" s="19" t="s">
        <v>3365</v>
      </c>
      <c r="B2767" s="19" t="s">
        <v>2041</v>
      </c>
      <c r="C2767" s="19" t="n">
        <v>19</v>
      </c>
      <c r="D2767" s="19" t="s">
        <v>4685</v>
      </c>
      <c r="E2767" s="19" t="n">
        <v>80</v>
      </c>
      <c r="F2767" s="17" t="s">
        <v>4686</v>
      </c>
      <c r="G2767" s="17" t="s">
        <v>1104</v>
      </c>
      <c r="H2767" s="17" t="s">
        <v>226</v>
      </c>
    </row>
    <row r="2768" customFormat="false" ht="15" hidden="false" customHeight="false" outlineLevel="0" collapsed="false">
      <c r="A2768" s="55" t="s">
        <v>3365</v>
      </c>
      <c r="B2768" s="55" t="s">
        <v>1156</v>
      </c>
      <c r="C2768" s="55" t="n">
        <v>19</v>
      </c>
      <c r="D2768" s="66" t="s">
        <v>4687</v>
      </c>
      <c r="E2768" s="55" t="n">
        <v>1</v>
      </c>
      <c r="F2768" s="55"/>
      <c r="G2768" s="66" t="s">
        <v>1122</v>
      </c>
      <c r="H2768" s="55" t="s">
        <v>140</v>
      </c>
    </row>
    <row r="2769" customFormat="false" ht="15" hidden="false" customHeight="false" outlineLevel="0" collapsed="false">
      <c r="A2769" s="55" t="s">
        <v>3365</v>
      </c>
      <c r="B2769" s="55" t="s">
        <v>2063</v>
      </c>
      <c r="C2769" s="55" t="n">
        <v>19</v>
      </c>
      <c r="D2769" s="55" t="s">
        <v>4688</v>
      </c>
      <c r="E2769" s="55" t="n">
        <v>186</v>
      </c>
      <c r="F2769" s="55"/>
      <c r="G2769" s="66" t="s">
        <v>1122</v>
      </c>
      <c r="H2769" s="66" t="s">
        <v>2038</v>
      </c>
    </row>
    <row r="2770" customFormat="false" ht="15" hidden="false" customHeight="false" outlineLevel="0" collapsed="false">
      <c r="A2770" s="55" t="s">
        <v>3365</v>
      </c>
      <c r="B2770" s="55" t="s">
        <v>1267</v>
      </c>
      <c r="C2770" s="55" t="n">
        <v>19</v>
      </c>
      <c r="D2770" s="66" t="s">
        <v>4687</v>
      </c>
      <c r="E2770" s="55" t="n">
        <v>1</v>
      </c>
      <c r="F2770" s="55"/>
      <c r="G2770" s="66" t="s">
        <v>1122</v>
      </c>
      <c r="H2770" s="55" t="s">
        <v>140</v>
      </c>
    </row>
    <row r="2771" customFormat="false" ht="15" hidden="false" customHeight="false" outlineLevel="0" collapsed="false">
      <c r="A2771" s="19" t="s">
        <v>3365</v>
      </c>
      <c r="B2771" s="19" t="s">
        <v>2083</v>
      </c>
      <c r="C2771" s="19" t="n">
        <v>19</v>
      </c>
      <c r="D2771" s="19" t="s">
        <v>4685</v>
      </c>
      <c r="E2771" s="19" t="n">
        <v>288</v>
      </c>
      <c r="F2771" s="17" t="s">
        <v>4689</v>
      </c>
      <c r="G2771" s="17" t="s">
        <v>1104</v>
      </c>
      <c r="H2771" s="17" t="s">
        <v>226</v>
      </c>
    </row>
    <row r="2772" customFormat="false" ht="15" hidden="false" customHeight="false" outlineLevel="0" collapsed="false">
      <c r="A2772" s="55" t="s">
        <v>3365</v>
      </c>
      <c r="B2772" s="55" t="s">
        <v>1268</v>
      </c>
      <c r="C2772" s="55" t="n">
        <v>19</v>
      </c>
      <c r="D2772" s="66" t="s">
        <v>4687</v>
      </c>
      <c r="E2772" s="55" t="n">
        <v>1</v>
      </c>
      <c r="F2772" s="55"/>
      <c r="G2772" s="66" t="s">
        <v>1122</v>
      </c>
      <c r="H2772" s="55" t="s">
        <v>140</v>
      </c>
    </row>
    <row r="2773" customFormat="false" ht="15" hidden="false" customHeight="false" outlineLevel="0" collapsed="false">
      <c r="A2773" s="19" t="s">
        <v>3365</v>
      </c>
      <c r="B2773" s="19" t="s">
        <v>2103</v>
      </c>
      <c r="C2773" s="19" t="n">
        <v>19</v>
      </c>
      <c r="D2773" s="19" t="s">
        <v>4685</v>
      </c>
      <c r="E2773" s="19" t="n">
        <v>288</v>
      </c>
      <c r="F2773" s="17" t="s">
        <v>4690</v>
      </c>
      <c r="G2773" s="17" t="s">
        <v>1104</v>
      </c>
      <c r="H2773" s="17" t="s">
        <v>226</v>
      </c>
    </row>
    <row r="2774" customFormat="false" ht="15" hidden="false" customHeight="false" outlineLevel="0" collapsed="false">
      <c r="A2774" s="55" t="s">
        <v>3365</v>
      </c>
      <c r="B2774" s="55" t="s">
        <v>1484</v>
      </c>
      <c r="C2774" s="55" t="n">
        <v>19</v>
      </c>
      <c r="D2774" s="66" t="s">
        <v>4687</v>
      </c>
      <c r="E2774" s="55" t="n">
        <v>1</v>
      </c>
      <c r="F2774" s="55"/>
      <c r="G2774" s="66" t="s">
        <v>1122</v>
      </c>
      <c r="H2774" s="55" t="s">
        <v>140</v>
      </c>
    </row>
    <row r="2775" customFormat="false" ht="15" hidden="false" customHeight="false" outlineLevel="0" collapsed="false">
      <c r="A2775" s="55" t="s">
        <v>3365</v>
      </c>
      <c r="B2775" s="55" t="s">
        <v>2121</v>
      </c>
      <c r="C2775" s="55" t="n">
        <v>19</v>
      </c>
      <c r="D2775" s="55" t="s">
        <v>4688</v>
      </c>
      <c r="E2775" s="55" t="n">
        <v>1024</v>
      </c>
      <c r="F2775" s="55"/>
      <c r="G2775" s="66" t="s">
        <v>1122</v>
      </c>
      <c r="H2775" s="55" t="s">
        <v>140</v>
      </c>
    </row>
    <row r="2776" customFormat="false" ht="15" hidden="false" customHeight="false" outlineLevel="0" collapsed="false">
      <c r="A2776" s="55" t="s">
        <v>3365</v>
      </c>
      <c r="B2776" s="55" t="s">
        <v>1490</v>
      </c>
      <c r="C2776" s="55" t="n">
        <v>19</v>
      </c>
      <c r="D2776" s="66" t="s">
        <v>4687</v>
      </c>
      <c r="E2776" s="55" t="n">
        <v>1</v>
      </c>
      <c r="F2776" s="55"/>
      <c r="G2776" s="66" t="s">
        <v>1122</v>
      </c>
      <c r="H2776" s="55" t="s">
        <v>140</v>
      </c>
    </row>
    <row r="2777" customFormat="false" ht="15" hidden="false" customHeight="false" outlineLevel="0" collapsed="false">
      <c r="A2777" s="55" t="s">
        <v>4631</v>
      </c>
      <c r="B2777" s="55" t="s">
        <v>1205</v>
      </c>
      <c r="C2777" s="55" t="n">
        <v>19</v>
      </c>
      <c r="D2777" s="55" t="s">
        <v>4691</v>
      </c>
      <c r="E2777" s="55" t="s">
        <v>4692</v>
      </c>
      <c r="F2777" s="55"/>
      <c r="G2777" s="66" t="s">
        <v>1122</v>
      </c>
      <c r="H2777" s="55"/>
    </row>
    <row r="2778" customFormat="false" ht="15" hidden="false" customHeight="false" outlineLevel="0" collapsed="false">
      <c r="A2778" s="55" t="s">
        <v>4631</v>
      </c>
      <c r="B2778" s="55" t="s">
        <v>1120</v>
      </c>
      <c r="C2778" s="55" t="n">
        <v>19</v>
      </c>
      <c r="D2778" s="55" t="s">
        <v>4693</v>
      </c>
      <c r="E2778" s="55" t="s">
        <v>4694</v>
      </c>
      <c r="F2778" s="55"/>
      <c r="G2778" s="66" t="s">
        <v>1122</v>
      </c>
      <c r="H2778" s="55"/>
    </row>
    <row r="2779" customFormat="false" ht="15" hidden="false" customHeight="false" outlineLevel="0" collapsed="false">
      <c r="A2779" s="55" t="s">
        <v>4631</v>
      </c>
      <c r="B2779" s="55" t="s">
        <v>1258</v>
      </c>
      <c r="C2779" s="55" t="n">
        <v>19</v>
      </c>
      <c r="D2779" s="55" t="s">
        <v>4695</v>
      </c>
      <c r="E2779" s="55" t="s">
        <v>4634</v>
      </c>
      <c r="F2779" s="55"/>
      <c r="G2779" s="66" t="s">
        <v>1122</v>
      </c>
      <c r="H2779" s="55"/>
    </row>
    <row r="2780" customFormat="false" ht="15" hidden="false" customHeight="false" outlineLevel="0" collapsed="false">
      <c r="A2780" s="55" t="s">
        <v>4631</v>
      </c>
      <c r="B2780" s="55" t="s">
        <v>1339</v>
      </c>
      <c r="C2780" s="55" t="n">
        <v>19</v>
      </c>
      <c r="D2780" s="55" t="s">
        <v>4696</v>
      </c>
      <c r="E2780" s="55" t="s">
        <v>4697</v>
      </c>
      <c r="F2780" s="55"/>
      <c r="G2780" s="66" t="s">
        <v>1122</v>
      </c>
      <c r="H2780" s="55"/>
    </row>
    <row r="2781" customFormat="false" ht="15" hidden="false" customHeight="false" outlineLevel="0" collapsed="false">
      <c r="A2781" s="55" t="s">
        <v>4631</v>
      </c>
      <c r="B2781" s="55" t="s">
        <v>1335</v>
      </c>
      <c r="C2781" s="55" t="n">
        <v>19</v>
      </c>
      <c r="D2781" s="55" t="s">
        <v>4698</v>
      </c>
      <c r="E2781" s="55" t="s">
        <v>4699</v>
      </c>
      <c r="F2781" s="55"/>
      <c r="G2781" s="66" t="s">
        <v>1122</v>
      </c>
      <c r="H2781" s="55"/>
    </row>
    <row r="2782" customFormat="false" ht="15" hidden="false" customHeight="false" outlineLevel="0" collapsed="false">
      <c r="A2782" s="55" t="s">
        <v>4631</v>
      </c>
      <c r="B2782" s="55" t="s">
        <v>1382</v>
      </c>
      <c r="C2782" s="55" t="n">
        <v>19</v>
      </c>
      <c r="D2782" s="55" t="s">
        <v>4700</v>
      </c>
      <c r="E2782" s="55" t="s">
        <v>4636</v>
      </c>
      <c r="F2782" s="55"/>
      <c r="G2782" s="66" t="s">
        <v>1122</v>
      </c>
      <c r="H2782" s="55"/>
    </row>
    <row r="2783" customFormat="false" ht="15" hidden="false" customHeight="false" outlineLevel="0" collapsed="false">
      <c r="A2783" s="55" t="s">
        <v>4631</v>
      </c>
      <c r="B2783" s="55" t="s">
        <v>1337</v>
      </c>
      <c r="C2783" s="55" t="n">
        <v>19</v>
      </c>
      <c r="D2783" s="55" t="s">
        <v>4701</v>
      </c>
      <c r="E2783" s="55" t="s">
        <v>4702</v>
      </c>
      <c r="F2783" s="55"/>
      <c r="G2783" s="66" t="s">
        <v>1122</v>
      </c>
      <c r="H2783" s="55"/>
    </row>
    <row r="2784" customFormat="false" ht="15" hidden="false" customHeight="false" outlineLevel="0" collapsed="false">
      <c r="A2784" s="55" t="s">
        <v>4631</v>
      </c>
      <c r="B2784" s="55" t="s">
        <v>1277</v>
      </c>
      <c r="C2784" s="55" t="n">
        <v>19</v>
      </c>
      <c r="D2784" s="55" t="s">
        <v>4703</v>
      </c>
      <c r="E2784" s="55" t="s">
        <v>108</v>
      </c>
      <c r="F2784" s="55"/>
      <c r="G2784" s="66" t="s">
        <v>1122</v>
      </c>
      <c r="H2784" s="55"/>
    </row>
    <row r="2785" customFormat="false" ht="15" hidden="false" customHeight="false" outlineLevel="0" collapsed="false">
      <c r="A2785" s="55" t="s">
        <v>4631</v>
      </c>
      <c r="B2785" s="55" t="s">
        <v>1308</v>
      </c>
      <c r="C2785" s="55" t="n">
        <v>19</v>
      </c>
      <c r="D2785" s="55" t="s">
        <v>4704</v>
      </c>
      <c r="E2785" s="55" t="s">
        <v>108</v>
      </c>
      <c r="F2785" s="55"/>
      <c r="G2785" s="66" t="s">
        <v>1122</v>
      </c>
      <c r="H2785" s="55"/>
    </row>
    <row r="2786" customFormat="false" ht="15" hidden="false" customHeight="false" outlineLevel="0" collapsed="false">
      <c r="A2786" s="55" t="s">
        <v>4631</v>
      </c>
      <c r="B2786" s="55" t="s">
        <v>1280</v>
      </c>
      <c r="C2786" s="55" t="n">
        <v>19</v>
      </c>
      <c r="D2786" s="55" t="s">
        <v>4705</v>
      </c>
      <c r="E2786" s="55" t="s">
        <v>108</v>
      </c>
      <c r="F2786" s="55"/>
      <c r="G2786" s="66" t="s">
        <v>1122</v>
      </c>
      <c r="H2786" s="55"/>
    </row>
    <row r="2787" customFormat="false" ht="15" hidden="false" customHeight="false" outlineLevel="0" collapsed="false">
      <c r="A2787" s="55" t="s">
        <v>4631</v>
      </c>
      <c r="B2787" s="55" t="s">
        <v>1282</v>
      </c>
      <c r="C2787" s="55" t="n">
        <v>19</v>
      </c>
      <c r="D2787" s="55" t="s">
        <v>4706</v>
      </c>
      <c r="E2787" s="55" t="s">
        <v>108</v>
      </c>
      <c r="F2787" s="55"/>
      <c r="G2787" s="66" t="s">
        <v>1122</v>
      </c>
      <c r="H2787" s="55"/>
    </row>
    <row r="2788" customFormat="false" ht="15" hidden="false" customHeight="false" outlineLevel="0" collapsed="false">
      <c r="A2788" s="55" t="s">
        <v>4631</v>
      </c>
      <c r="B2788" s="55" t="s">
        <v>1228</v>
      </c>
      <c r="C2788" s="55" t="n">
        <v>19</v>
      </c>
      <c r="D2788" s="55" t="s">
        <v>4707</v>
      </c>
      <c r="E2788" s="55" t="s">
        <v>108</v>
      </c>
      <c r="F2788" s="55"/>
      <c r="G2788" s="66" t="s">
        <v>1122</v>
      </c>
      <c r="H2788" s="55"/>
    </row>
    <row r="2789" customFormat="false" ht="15" hidden="false" customHeight="false" outlineLevel="0" collapsed="false">
      <c r="A2789" s="19" t="s">
        <v>4631</v>
      </c>
      <c r="B2789" s="19" t="s">
        <v>1243</v>
      </c>
      <c r="C2789" s="19" t="n">
        <v>19</v>
      </c>
      <c r="D2789" s="19" t="s">
        <v>4697</v>
      </c>
      <c r="E2789" s="19" t="n">
        <v>1</v>
      </c>
      <c r="F2789" s="17" t="s">
        <v>4708</v>
      </c>
      <c r="G2789" s="17" t="s">
        <v>1104</v>
      </c>
      <c r="H2789" s="19"/>
    </row>
    <row r="2790" customFormat="false" ht="15" hidden="false" customHeight="false" outlineLevel="0" collapsed="false">
      <c r="A2790" s="19" t="s">
        <v>4631</v>
      </c>
      <c r="B2790" s="19" t="s">
        <v>2081</v>
      </c>
      <c r="C2790" s="19" t="n">
        <v>19</v>
      </c>
      <c r="D2790" s="19" t="s">
        <v>4709</v>
      </c>
      <c r="E2790" s="19" t="n">
        <v>1</v>
      </c>
      <c r="F2790" s="17" t="s">
        <v>4710</v>
      </c>
      <c r="G2790" s="17" t="s">
        <v>1104</v>
      </c>
      <c r="H2790" s="19"/>
    </row>
    <row r="2791" customFormat="false" ht="15" hidden="false" customHeight="false" outlineLevel="0" collapsed="false">
      <c r="A2791" s="19" t="s">
        <v>4631</v>
      </c>
      <c r="B2791" s="19" t="s">
        <v>3080</v>
      </c>
      <c r="C2791" s="19" t="n">
        <v>19</v>
      </c>
      <c r="D2791" s="19" t="s">
        <v>4691</v>
      </c>
      <c r="E2791" s="19" t="n">
        <v>1</v>
      </c>
      <c r="F2791" s="17" t="s">
        <v>4711</v>
      </c>
      <c r="G2791" s="17" t="s">
        <v>1104</v>
      </c>
      <c r="H2791" s="19"/>
    </row>
    <row r="2792" customFormat="false" ht="15" hidden="false" customHeight="false" outlineLevel="0" collapsed="false">
      <c r="A2792" s="19" t="s">
        <v>4631</v>
      </c>
      <c r="B2792" s="19" t="s">
        <v>1854</v>
      </c>
      <c r="C2792" s="19" t="n">
        <v>19</v>
      </c>
      <c r="D2792" s="19" t="s">
        <v>4693</v>
      </c>
      <c r="E2792" s="19" t="n">
        <v>1</v>
      </c>
      <c r="F2792" s="17" t="s">
        <v>4712</v>
      </c>
      <c r="G2792" s="17" t="s">
        <v>1104</v>
      </c>
      <c r="H2792" s="19"/>
    </row>
    <row r="2793" customFormat="false" ht="15" hidden="false" customHeight="false" outlineLevel="0" collapsed="false">
      <c r="A2793" s="19" t="s">
        <v>4631</v>
      </c>
      <c r="B2793" s="19" t="s">
        <v>2888</v>
      </c>
      <c r="C2793" s="19" t="n">
        <v>19</v>
      </c>
      <c r="D2793" s="19" t="s">
        <v>4695</v>
      </c>
      <c r="E2793" s="19" t="n">
        <v>1</v>
      </c>
      <c r="F2793" s="17" t="s">
        <v>4713</v>
      </c>
      <c r="G2793" s="17" t="s">
        <v>1104</v>
      </c>
      <c r="H2793" s="19"/>
    </row>
    <row r="2794" customFormat="false" ht="15" hidden="false" customHeight="false" outlineLevel="0" collapsed="false">
      <c r="A2794" s="19" t="s">
        <v>4631</v>
      </c>
      <c r="B2794" s="19" t="s">
        <v>1366</v>
      </c>
      <c r="C2794" s="19" t="n">
        <v>19</v>
      </c>
      <c r="D2794" s="19" t="s">
        <v>4696</v>
      </c>
      <c r="E2794" s="19" t="n">
        <v>1</v>
      </c>
      <c r="F2794" s="17" t="s">
        <v>4714</v>
      </c>
      <c r="G2794" s="17" t="s">
        <v>1104</v>
      </c>
      <c r="H2794" s="19"/>
    </row>
    <row r="2795" customFormat="false" ht="15" hidden="false" customHeight="false" outlineLevel="0" collapsed="false">
      <c r="A2795" s="19" t="s">
        <v>4631</v>
      </c>
      <c r="B2795" s="19" t="s">
        <v>3082</v>
      </c>
      <c r="C2795" s="19" t="n">
        <v>19</v>
      </c>
      <c r="D2795" s="19" t="s">
        <v>4698</v>
      </c>
      <c r="E2795" s="19" t="n">
        <v>1</v>
      </c>
      <c r="F2795" s="17" t="s">
        <v>4715</v>
      </c>
      <c r="G2795" s="17" t="s">
        <v>1104</v>
      </c>
      <c r="H2795" s="19"/>
    </row>
    <row r="2796" customFormat="false" ht="15" hidden="false" customHeight="false" outlineLevel="0" collapsed="false">
      <c r="A2796" s="19" t="s">
        <v>4631</v>
      </c>
      <c r="B2796" s="19" t="s">
        <v>2592</v>
      </c>
      <c r="C2796" s="19" t="n">
        <v>19</v>
      </c>
      <c r="D2796" s="19" t="s">
        <v>4700</v>
      </c>
      <c r="E2796" s="19" t="n">
        <v>1</v>
      </c>
      <c r="F2796" s="17" t="s">
        <v>4716</v>
      </c>
      <c r="G2796" s="17" t="s">
        <v>1104</v>
      </c>
      <c r="H2796" s="19"/>
    </row>
    <row r="2797" customFormat="false" ht="15" hidden="false" customHeight="false" outlineLevel="0" collapsed="false">
      <c r="A2797" s="19" t="s">
        <v>4631</v>
      </c>
      <c r="B2797" s="19" t="s">
        <v>4236</v>
      </c>
      <c r="C2797" s="19" t="n">
        <v>19</v>
      </c>
      <c r="D2797" s="19" t="s">
        <v>4701</v>
      </c>
      <c r="E2797" s="19" t="n">
        <v>1</v>
      </c>
      <c r="F2797" s="17" t="s">
        <v>4717</v>
      </c>
      <c r="G2797" s="17" t="s">
        <v>1104</v>
      </c>
      <c r="H2797" s="19"/>
    </row>
    <row r="2798" customFormat="false" ht="15" hidden="false" customHeight="false" outlineLevel="0" collapsed="false">
      <c r="A2798" s="19" t="s">
        <v>4631</v>
      </c>
      <c r="B2798" s="19" t="s">
        <v>4718</v>
      </c>
      <c r="C2798" s="19" t="n">
        <v>19</v>
      </c>
      <c r="D2798" s="19" t="s">
        <v>4703</v>
      </c>
      <c r="E2798" s="19" t="n">
        <v>1</v>
      </c>
      <c r="F2798" s="17" t="s">
        <v>4719</v>
      </c>
      <c r="G2798" s="17" t="s">
        <v>1104</v>
      </c>
      <c r="H2798" s="19"/>
    </row>
    <row r="2799" customFormat="false" ht="15" hidden="false" customHeight="false" outlineLevel="0" collapsed="false">
      <c r="A2799" s="19" t="s">
        <v>4631</v>
      </c>
      <c r="B2799" s="19" t="s">
        <v>2499</v>
      </c>
      <c r="C2799" s="19" t="n">
        <v>19</v>
      </c>
      <c r="D2799" s="19" t="s">
        <v>4704</v>
      </c>
      <c r="E2799" s="19" t="n">
        <v>1</v>
      </c>
      <c r="F2799" s="17" t="s">
        <v>4720</v>
      </c>
      <c r="G2799" s="17" t="s">
        <v>1104</v>
      </c>
      <c r="H2799" s="19"/>
    </row>
    <row r="2800" customFormat="false" ht="15" hidden="false" customHeight="false" outlineLevel="0" collapsed="false">
      <c r="A2800" s="19" t="s">
        <v>4631</v>
      </c>
      <c r="B2800" s="19" t="s">
        <v>1869</v>
      </c>
      <c r="C2800" s="19" t="n">
        <v>19</v>
      </c>
      <c r="D2800" s="19" t="s">
        <v>4705</v>
      </c>
      <c r="E2800" s="19" t="n">
        <v>1</v>
      </c>
      <c r="F2800" s="17" t="s">
        <v>4721</v>
      </c>
      <c r="G2800" s="17" t="s">
        <v>1104</v>
      </c>
      <c r="H2800" s="19"/>
    </row>
    <row r="2801" customFormat="false" ht="15" hidden="false" customHeight="false" outlineLevel="0" collapsed="false">
      <c r="A2801" s="19" t="s">
        <v>4631</v>
      </c>
      <c r="B2801" s="19" t="s">
        <v>2597</v>
      </c>
      <c r="C2801" s="19" t="n">
        <v>19</v>
      </c>
      <c r="D2801" s="19" t="s">
        <v>4706</v>
      </c>
      <c r="E2801" s="19" t="n">
        <v>1</v>
      </c>
      <c r="F2801" s="17" t="s">
        <v>4722</v>
      </c>
      <c r="G2801" s="17" t="s">
        <v>1104</v>
      </c>
      <c r="H2801" s="19"/>
    </row>
    <row r="2802" customFormat="false" ht="15" hidden="false" customHeight="false" outlineLevel="0" collapsed="false">
      <c r="A2802" s="19" t="s">
        <v>4631</v>
      </c>
      <c r="B2802" s="19" t="s">
        <v>3411</v>
      </c>
      <c r="C2802" s="19" t="n">
        <v>19</v>
      </c>
      <c r="D2802" s="19" t="s">
        <v>4707</v>
      </c>
      <c r="E2802" s="19" t="n">
        <v>1</v>
      </c>
      <c r="F2802" s="17" t="s">
        <v>4723</v>
      </c>
      <c r="G2802" s="17" t="s">
        <v>1104</v>
      </c>
      <c r="H2802" s="19"/>
    </row>
    <row r="2803" customFormat="false" ht="15" hidden="false" customHeight="false" outlineLevel="0" collapsed="false">
      <c r="A2803" s="19" t="s">
        <v>4315</v>
      </c>
      <c r="B2803" s="19" t="s">
        <v>1335</v>
      </c>
      <c r="C2803" s="19" t="n">
        <v>20</v>
      </c>
      <c r="D2803" s="19" t="s">
        <v>4724</v>
      </c>
      <c r="E2803" s="19" t="n">
        <v>1</v>
      </c>
      <c r="F2803" s="17" t="s">
        <v>4725</v>
      </c>
      <c r="G2803" s="17" t="s">
        <v>1104</v>
      </c>
      <c r="H2803" s="17" t="s">
        <v>226</v>
      </c>
    </row>
    <row r="2804" customFormat="false" ht="15" hidden="false" customHeight="false" outlineLevel="0" collapsed="false">
      <c r="A2804" s="19" t="s">
        <v>4315</v>
      </c>
      <c r="B2804" s="19" t="s">
        <v>1303</v>
      </c>
      <c r="C2804" s="19" t="n">
        <v>20</v>
      </c>
      <c r="D2804" s="17" t="s">
        <v>4726</v>
      </c>
      <c r="E2804" s="19" t="n">
        <v>0.0252093023255814</v>
      </c>
      <c r="F2804" s="17" t="s">
        <v>4727</v>
      </c>
      <c r="G2804" s="17" t="s">
        <v>1104</v>
      </c>
      <c r="H2804" s="19"/>
    </row>
    <row r="2805" customFormat="false" ht="15" hidden="false" customHeight="false" outlineLevel="0" collapsed="false">
      <c r="A2805" s="19" t="s">
        <v>4315</v>
      </c>
      <c r="B2805" s="19" t="s">
        <v>3019</v>
      </c>
      <c r="C2805" s="19" t="n">
        <v>20</v>
      </c>
      <c r="D2805" s="19" t="s">
        <v>4724</v>
      </c>
      <c r="E2805" s="19" t="n">
        <v>1</v>
      </c>
      <c r="F2805" s="17" t="s">
        <v>4725</v>
      </c>
      <c r="G2805" s="17" t="s">
        <v>1104</v>
      </c>
      <c r="H2805" s="17" t="s">
        <v>226</v>
      </c>
    </row>
    <row r="2806" customFormat="false" ht="15" hidden="false" customHeight="false" outlineLevel="0" collapsed="false">
      <c r="A2806" s="19" t="s">
        <v>4315</v>
      </c>
      <c r="B2806" s="19" t="s">
        <v>1315</v>
      </c>
      <c r="C2806" s="19" t="n">
        <v>20</v>
      </c>
      <c r="D2806" s="17" t="s">
        <v>4726</v>
      </c>
      <c r="E2806" s="19" t="n">
        <v>0.0672651574290919</v>
      </c>
      <c r="F2806" s="17" t="s">
        <v>4728</v>
      </c>
      <c r="G2806" s="17" t="s">
        <v>1104</v>
      </c>
      <c r="H2806" s="19"/>
    </row>
    <row r="2807" customFormat="false" ht="15" hidden="false" customHeight="false" outlineLevel="0" collapsed="false">
      <c r="A2807" s="55" t="s">
        <v>4315</v>
      </c>
      <c r="B2807" s="55" t="s">
        <v>3024</v>
      </c>
      <c r="C2807" s="55" t="n">
        <v>20</v>
      </c>
      <c r="D2807" s="55" t="s">
        <v>4724</v>
      </c>
      <c r="E2807" s="55" t="n">
        <v>1</v>
      </c>
      <c r="F2807" s="55"/>
      <c r="G2807" s="66" t="s">
        <v>1122</v>
      </c>
      <c r="H2807" s="55" t="s">
        <v>140</v>
      </c>
    </row>
    <row r="2808" customFormat="false" ht="15" hidden="false" customHeight="false" outlineLevel="0" collapsed="false">
      <c r="A2808" s="19" t="s">
        <v>4315</v>
      </c>
      <c r="B2808" s="19" t="s">
        <v>1323</v>
      </c>
      <c r="C2808" s="19" t="n">
        <v>20</v>
      </c>
      <c r="D2808" s="17" t="s">
        <v>4726</v>
      </c>
      <c r="E2808" s="19" t="n">
        <v>0.0770161290322581</v>
      </c>
      <c r="F2808" s="17" t="s">
        <v>4729</v>
      </c>
      <c r="G2808" s="17" t="s">
        <v>1104</v>
      </c>
      <c r="H2808" s="19"/>
    </row>
    <row r="2809" customFormat="false" ht="15" hidden="false" customHeight="false" outlineLevel="0" collapsed="false">
      <c r="A2809" s="19" t="s">
        <v>3369</v>
      </c>
      <c r="B2809" s="19" t="s">
        <v>1339</v>
      </c>
      <c r="C2809" s="19" t="n">
        <v>20</v>
      </c>
      <c r="D2809" s="19" t="s">
        <v>4730</v>
      </c>
      <c r="E2809" s="19" t="n">
        <v>1</v>
      </c>
      <c r="F2809" s="17" t="s">
        <v>4731</v>
      </c>
      <c r="G2809" s="17" t="s">
        <v>1104</v>
      </c>
      <c r="H2809" s="17" t="s">
        <v>226</v>
      </c>
    </row>
    <row r="2810" customFormat="false" ht="15" hidden="false" customHeight="false" outlineLevel="0" collapsed="false">
      <c r="A2810" s="19" t="s">
        <v>3369</v>
      </c>
      <c r="B2810" s="19" t="s">
        <v>1255</v>
      </c>
      <c r="C2810" s="19" t="n">
        <v>20</v>
      </c>
      <c r="D2810" s="17" t="s">
        <v>772</v>
      </c>
      <c r="E2810" s="19" t="n">
        <v>15</v>
      </c>
      <c r="F2810" s="17" t="s">
        <v>4732</v>
      </c>
      <c r="G2810" s="17" t="s">
        <v>1104</v>
      </c>
      <c r="H2810" s="19"/>
    </row>
    <row r="2811" customFormat="false" ht="15" hidden="false" customHeight="false" outlineLevel="0" collapsed="false">
      <c r="A2811" s="19" t="s">
        <v>3369</v>
      </c>
      <c r="B2811" s="19" t="s">
        <v>2041</v>
      </c>
      <c r="C2811" s="19" t="n">
        <v>20</v>
      </c>
      <c r="D2811" s="19" t="s">
        <v>777</v>
      </c>
      <c r="E2811" s="19" t="n">
        <v>8</v>
      </c>
      <c r="F2811" s="17" t="s">
        <v>4733</v>
      </c>
      <c r="G2811" s="17" t="s">
        <v>1104</v>
      </c>
      <c r="H2811" s="19"/>
    </row>
    <row r="2812" customFormat="false" ht="15" hidden="false" customHeight="false" outlineLevel="0" collapsed="false">
      <c r="A2812" s="19" t="s">
        <v>3369</v>
      </c>
      <c r="B2812" s="19" t="s">
        <v>1156</v>
      </c>
      <c r="C2812" s="19" t="n">
        <v>20</v>
      </c>
      <c r="D2812" s="17" t="s">
        <v>798</v>
      </c>
      <c r="E2812" s="19" t="n">
        <v>61</v>
      </c>
      <c r="F2812" s="17" t="s">
        <v>4734</v>
      </c>
      <c r="G2812" s="17" t="s">
        <v>1104</v>
      </c>
      <c r="H2812" s="19"/>
    </row>
    <row r="2813" customFormat="false" ht="15" hidden="false" customHeight="false" outlineLevel="0" collapsed="false">
      <c r="A2813" s="19" t="s">
        <v>3369</v>
      </c>
      <c r="B2813" s="19" t="s">
        <v>1658</v>
      </c>
      <c r="C2813" s="19" t="n">
        <v>20</v>
      </c>
      <c r="D2813" s="19" t="s">
        <v>851</v>
      </c>
      <c r="E2813" s="19" t="n">
        <v>132.824345616384</v>
      </c>
      <c r="F2813" s="17" t="s">
        <v>4735</v>
      </c>
      <c r="G2813" s="17" t="s">
        <v>1104</v>
      </c>
      <c r="H2813" s="19"/>
    </row>
    <row r="2814" customFormat="false" ht="15" hidden="false" customHeight="false" outlineLevel="0" collapsed="false">
      <c r="A2814" s="19" t="s">
        <v>3369</v>
      </c>
      <c r="B2814" s="19" t="s">
        <v>2057</v>
      </c>
      <c r="C2814" s="19" t="n">
        <v>20</v>
      </c>
      <c r="D2814" s="17" t="s">
        <v>870</v>
      </c>
      <c r="E2814" s="19" t="n">
        <v>48.0463324652778</v>
      </c>
      <c r="F2814" s="17" t="s">
        <v>4736</v>
      </c>
      <c r="G2814" s="17" t="s">
        <v>1104</v>
      </c>
      <c r="H2814" s="19"/>
    </row>
    <row r="2815" customFormat="false" ht="15" hidden="false" customHeight="false" outlineLevel="0" collapsed="false">
      <c r="A2815" s="19" t="s">
        <v>3369</v>
      </c>
      <c r="B2815" s="19" t="s">
        <v>2059</v>
      </c>
      <c r="C2815" s="19" t="n">
        <v>20</v>
      </c>
      <c r="D2815" s="17" t="s">
        <v>4737</v>
      </c>
      <c r="E2815" s="19" t="n">
        <v>3</v>
      </c>
      <c r="F2815" s="17" t="s">
        <v>4738</v>
      </c>
      <c r="G2815" s="17" t="s">
        <v>1104</v>
      </c>
      <c r="H2815" s="19"/>
    </row>
    <row r="2816" customFormat="false" ht="15" hidden="false" customHeight="false" outlineLevel="0" collapsed="false">
      <c r="A2816" s="19" t="s">
        <v>3369</v>
      </c>
      <c r="B2816" s="19" t="s">
        <v>4307</v>
      </c>
      <c r="C2816" s="19" t="n">
        <v>20</v>
      </c>
      <c r="D2816" s="17" t="s">
        <v>4739</v>
      </c>
      <c r="E2816" s="19" t="n">
        <v>1370.69137627503</v>
      </c>
      <c r="F2816" s="17" t="s">
        <v>4740</v>
      </c>
      <c r="G2816" s="17" t="s">
        <v>1104</v>
      </c>
      <c r="H2816" s="19"/>
    </row>
    <row r="2817" customFormat="false" ht="15" hidden="false" customHeight="false" outlineLevel="0" collapsed="false">
      <c r="A2817" s="19" t="s">
        <v>3369</v>
      </c>
      <c r="B2817" s="19" t="s">
        <v>3928</v>
      </c>
      <c r="C2817" s="19" t="n">
        <v>20</v>
      </c>
      <c r="D2817" s="17" t="s">
        <v>4741</v>
      </c>
      <c r="E2817" s="19" t="n">
        <v>16.3216531987164</v>
      </c>
      <c r="F2817" s="17" t="s">
        <v>4742</v>
      </c>
      <c r="G2817" s="17" t="s">
        <v>1104</v>
      </c>
      <c r="H2817" s="19"/>
    </row>
    <row r="2818" customFormat="false" ht="15" hidden="false" customHeight="false" outlineLevel="0" collapsed="false">
      <c r="A2818" s="19" t="s">
        <v>3369</v>
      </c>
      <c r="B2818" s="19" t="s">
        <v>1342</v>
      </c>
      <c r="C2818" s="19" t="n">
        <v>20</v>
      </c>
      <c r="D2818" s="19" t="s">
        <v>4730</v>
      </c>
      <c r="E2818" s="19" t="n">
        <v>1</v>
      </c>
      <c r="F2818" s="17" t="s">
        <v>4743</v>
      </c>
      <c r="G2818" s="17" t="s">
        <v>1104</v>
      </c>
      <c r="H2818" s="17" t="s">
        <v>226</v>
      </c>
    </row>
    <row r="2819" customFormat="false" ht="15" hidden="false" customHeight="false" outlineLevel="0" collapsed="false">
      <c r="A2819" s="19" t="s">
        <v>3369</v>
      </c>
      <c r="B2819" s="19" t="s">
        <v>4561</v>
      </c>
      <c r="C2819" s="19" t="n">
        <v>20</v>
      </c>
      <c r="D2819" s="17" t="s">
        <v>4739</v>
      </c>
      <c r="E2819" s="19" t="n">
        <v>415.076479131515</v>
      </c>
      <c r="F2819" s="17" t="s">
        <v>4744</v>
      </c>
      <c r="G2819" s="17" t="s">
        <v>1104</v>
      </c>
      <c r="H2819" s="19"/>
    </row>
    <row r="2820" customFormat="false" ht="15" hidden="false" customHeight="false" outlineLevel="0" collapsed="false">
      <c r="A2820" s="55" t="s">
        <v>3680</v>
      </c>
      <c r="B2820" s="55" t="s">
        <v>1193</v>
      </c>
      <c r="C2820" s="55" t="n">
        <v>20</v>
      </c>
      <c r="D2820" s="55" t="s">
        <v>4745</v>
      </c>
      <c r="E2820" s="55" t="n">
        <v>80</v>
      </c>
      <c r="F2820" s="55"/>
      <c r="G2820" s="66" t="s">
        <v>1122</v>
      </c>
      <c r="H2820" s="55"/>
    </row>
    <row r="2821" customFormat="false" ht="15" hidden="false" customHeight="false" outlineLevel="0" collapsed="false">
      <c r="A2821" s="55" t="s">
        <v>3680</v>
      </c>
      <c r="B2821" s="55" t="s">
        <v>1271</v>
      </c>
      <c r="C2821" s="55" t="n">
        <v>20</v>
      </c>
      <c r="D2821" s="55" t="s">
        <v>4746</v>
      </c>
      <c r="E2821" s="55" t="n">
        <v>288</v>
      </c>
      <c r="F2821" s="55"/>
      <c r="G2821" s="66" t="s">
        <v>1122</v>
      </c>
      <c r="H2821" s="55"/>
    </row>
    <row r="2822" customFormat="false" ht="15" hidden="false" customHeight="false" outlineLevel="0" collapsed="false">
      <c r="A2822" s="55" t="s">
        <v>3680</v>
      </c>
      <c r="B2822" s="55" t="s">
        <v>1159</v>
      </c>
      <c r="C2822" s="55" t="n">
        <v>20</v>
      </c>
      <c r="D2822" s="55" t="s">
        <v>4747</v>
      </c>
      <c r="E2822" s="55" t="n">
        <v>288</v>
      </c>
      <c r="F2822" s="55"/>
      <c r="G2822" s="66" t="s">
        <v>1122</v>
      </c>
      <c r="H2822" s="55"/>
    </row>
    <row r="2823" customFormat="false" ht="15" hidden="false" customHeight="false" outlineLevel="0" collapsed="false">
      <c r="A2823" s="55" t="s">
        <v>4610</v>
      </c>
      <c r="B2823" s="55" t="s">
        <v>1339</v>
      </c>
      <c r="C2823" s="55" t="n">
        <v>20</v>
      </c>
      <c r="D2823" s="55" t="s">
        <v>4748</v>
      </c>
      <c r="E2823" s="55" t="n">
        <v>512</v>
      </c>
      <c r="F2823" s="55"/>
      <c r="G2823" s="66" t="s">
        <v>1122</v>
      </c>
      <c r="H2823" s="55"/>
    </row>
    <row r="2824" customFormat="false" ht="15" hidden="false" customHeight="false" outlineLevel="0" collapsed="false">
      <c r="A2824" s="55" t="s">
        <v>4610</v>
      </c>
      <c r="B2824" s="55" t="s">
        <v>1210</v>
      </c>
      <c r="C2824" s="55" t="n">
        <v>20</v>
      </c>
      <c r="D2824" s="55" t="s">
        <v>4749</v>
      </c>
      <c r="E2824" s="55" t="n">
        <v>0.512</v>
      </c>
      <c r="F2824" s="55"/>
      <c r="G2824" s="66" t="s">
        <v>1122</v>
      </c>
      <c r="H2824" s="55"/>
    </row>
    <row r="2825" customFormat="false" ht="15" hidden="false" customHeight="false" outlineLevel="0" collapsed="false">
      <c r="A2825" s="55" t="s">
        <v>4610</v>
      </c>
      <c r="B2825" s="55" t="s">
        <v>1213</v>
      </c>
      <c r="C2825" s="55" t="n">
        <v>20</v>
      </c>
      <c r="D2825" s="55" t="s">
        <v>4750</v>
      </c>
      <c r="E2825" s="55" t="n">
        <v>128</v>
      </c>
      <c r="F2825" s="55"/>
      <c r="G2825" s="66" t="s">
        <v>1122</v>
      </c>
      <c r="H2825" s="55"/>
    </row>
    <row r="2826" customFormat="false" ht="15" hidden="false" customHeight="false" outlineLevel="0" collapsed="false">
      <c r="A2826" s="55" t="s">
        <v>4610</v>
      </c>
      <c r="B2826" s="55" t="s">
        <v>1216</v>
      </c>
      <c r="C2826" s="55" t="n">
        <v>20</v>
      </c>
      <c r="D2826" s="55" t="s">
        <v>4751</v>
      </c>
      <c r="E2826" s="55" t="n">
        <v>128</v>
      </c>
      <c r="F2826" s="55"/>
      <c r="G2826" s="66" t="s">
        <v>1122</v>
      </c>
      <c r="H2826" s="55"/>
    </row>
    <row r="2827" customFormat="false" ht="15" hidden="false" customHeight="false" outlineLevel="0" collapsed="false">
      <c r="A2827" s="55" t="s">
        <v>4610</v>
      </c>
      <c r="B2827" s="55" t="s">
        <v>1219</v>
      </c>
      <c r="C2827" s="55" t="n">
        <v>20</v>
      </c>
      <c r="D2827" s="55" t="s">
        <v>4752</v>
      </c>
      <c r="E2827" s="55" t="n">
        <v>1024</v>
      </c>
      <c r="F2827" s="55"/>
      <c r="G2827" s="66" t="s">
        <v>1122</v>
      </c>
      <c r="H2827" s="55"/>
    </row>
    <row r="2828" customFormat="false" ht="15" hidden="false" customHeight="false" outlineLevel="0" collapsed="false">
      <c r="A2828" s="55" t="s">
        <v>4610</v>
      </c>
      <c r="B2828" s="55" t="s">
        <v>1255</v>
      </c>
      <c r="C2828" s="55" t="n">
        <v>20</v>
      </c>
      <c r="D2828" s="55" t="s">
        <v>4753</v>
      </c>
      <c r="E2828" s="55" t="n">
        <v>4</v>
      </c>
      <c r="F2828" s="55"/>
      <c r="G2828" s="66" t="s">
        <v>1122</v>
      </c>
      <c r="H2828" s="55"/>
    </row>
    <row r="2829" customFormat="false" ht="15" hidden="false" customHeight="false" outlineLevel="0" collapsed="false">
      <c r="A2829" s="55" t="s">
        <v>4610</v>
      </c>
      <c r="B2829" s="55" t="s">
        <v>4557</v>
      </c>
      <c r="C2829" s="55" t="n">
        <v>20</v>
      </c>
      <c r="D2829" s="55" t="s">
        <v>4754</v>
      </c>
      <c r="E2829" s="55" t="n">
        <v>64</v>
      </c>
      <c r="F2829" s="55"/>
      <c r="G2829" s="66" t="s">
        <v>1122</v>
      </c>
      <c r="H2829" s="55"/>
    </row>
    <row r="2830" customFormat="false" ht="15" hidden="false" customHeight="false" outlineLevel="0" collapsed="false">
      <c r="A2830" s="55" t="s">
        <v>4506</v>
      </c>
      <c r="B2830" s="55" t="s">
        <v>4755</v>
      </c>
      <c r="C2830" s="55" t="n">
        <v>20</v>
      </c>
      <c r="D2830" s="55" t="s">
        <v>4756</v>
      </c>
      <c r="E2830" s="55" t="n">
        <v>72</v>
      </c>
      <c r="F2830" s="55"/>
      <c r="G2830" s="66" t="s">
        <v>1122</v>
      </c>
      <c r="H2830" s="55"/>
    </row>
    <row r="2831" customFormat="false" ht="15" hidden="false" customHeight="false" outlineLevel="0" collapsed="false">
      <c r="A2831" s="55" t="s">
        <v>4506</v>
      </c>
      <c r="B2831" s="55" t="s">
        <v>4757</v>
      </c>
      <c r="C2831" s="55" t="n">
        <v>20</v>
      </c>
      <c r="D2831" s="55" t="s">
        <v>4758</v>
      </c>
      <c r="E2831" s="55" t="n">
        <v>130</v>
      </c>
      <c r="F2831" s="55"/>
      <c r="G2831" s="66" t="s">
        <v>1122</v>
      </c>
      <c r="H2831" s="55"/>
    </row>
    <row r="2832" customFormat="false" ht="15" hidden="false" customHeight="false" outlineLevel="0" collapsed="false">
      <c r="A2832" s="19" t="s">
        <v>1202</v>
      </c>
      <c r="B2832" s="19" t="s">
        <v>1282</v>
      </c>
      <c r="C2832" s="19" t="n">
        <v>20</v>
      </c>
      <c r="D2832" s="17" t="s">
        <v>835</v>
      </c>
      <c r="E2832" s="19" t="n">
        <v>2.533</v>
      </c>
      <c r="F2832" s="17" t="s">
        <v>4759</v>
      </c>
      <c r="G2832" s="17" t="s">
        <v>1104</v>
      </c>
      <c r="H2832" s="19"/>
    </row>
    <row r="2833" customFormat="false" ht="15" hidden="false" customHeight="false" outlineLevel="0" collapsed="false">
      <c r="A2833" s="19" t="s">
        <v>4315</v>
      </c>
      <c r="B2833" s="19" t="s">
        <v>1258</v>
      </c>
      <c r="C2833" s="19" t="n">
        <v>21</v>
      </c>
      <c r="D2833" s="19" t="s">
        <v>4760</v>
      </c>
      <c r="E2833" s="19" t="n">
        <v>256</v>
      </c>
      <c r="F2833" s="17" t="s">
        <v>4761</v>
      </c>
      <c r="G2833" s="17" t="s">
        <v>1104</v>
      </c>
      <c r="H2833" s="17" t="s">
        <v>226</v>
      </c>
    </row>
    <row r="2834" customFormat="false" ht="15" hidden="false" customHeight="false" outlineLevel="0" collapsed="false">
      <c r="A2834" s="19" t="s">
        <v>4315</v>
      </c>
      <c r="B2834" s="19" t="s">
        <v>2807</v>
      </c>
      <c r="C2834" s="19" t="n">
        <v>21</v>
      </c>
      <c r="D2834" s="19" t="s">
        <v>4760</v>
      </c>
      <c r="E2834" s="19" t="n">
        <v>384</v>
      </c>
      <c r="F2834" s="17" t="s">
        <v>4762</v>
      </c>
      <c r="G2834" s="17" t="s">
        <v>1104</v>
      </c>
      <c r="H2834" s="17" t="s">
        <v>226</v>
      </c>
    </row>
    <row r="2835" customFormat="false" ht="15" hidden="false" customHeight="false" outlineLevel="0" collapsed="false">
      <c r="A2835" s="55" t="s">
        <v>4315</v>
      </c>
      <c r="B2835" s="55" t="s">
        <v>2813</v>
      </c>
      <c r="C2835" s="55" t="n">
        <v>21</v>
      </c>
      <c r="D2835" s="55" t="s">
        <v>4760</v>
      </c>
      <c r="E2835" s="55" t="n">
        <v>512</v>
      </c>
      <c r="F2835" s="55"/>
      <c r="G2835" s="66" t="s">
        <v>1122</v>
      </c>
      <c r="H2835" s="55" t="s">
        <v>140</v>
      </c>
    </row>
    <row r="2836" customFormat="false" ht="15" hidden="false" customHeight="false" outlineLevel="0" collapsed="false">
      <c r="A2836" s="55" t="s">
        <v>3369</v>
      </c>
      <c r="B2836" s="55" t="s">
        <v>1205</v>
      </c>
      <c r="C2836" s="55" t="n">
        <v>21</v>
      </c>
      <c r="D2836" s="66" t="s">
        <v>2486</v>
      </c>
      <c r="E2836" s="55" t="n">
        <v>3</v>
      </c>
      <c r="F2836" s="55"/>
      <c r="G2836" s="66" t="s">
        <v>1122</v>
      </c>
      <c r="H2836" s="55"/>
    </row>
    <row r="2837" customFormat="false" ht="15" hidden="false" customHeight="false" outlineLevel="0" collapsed="false">
      <c r="A2837" s="19" t="s">
        <v>3369</v>
      </c>
      <c r="B2837" s="19" t="s">
        <v>1382</v>
      </c>
      <c r="C2837" s="19" t="n">
        <v>21</v>
      </c>
      <c r="D2837" s="19" t="s">
        <v>4763</v>
      </c>
      <c r="E2837" s="19" t="n">
        <v>8192</v>
      </c>
      <c r="F2837" s="17" t="s">
        <v>4764</v>
      </c>
      <c r="G2837" s="17" t="s">
        <v>1104</v>
      </c>
      <c r="H2837" s="17" t="s">
        <v>226</v>
      </c>
    </row>
    <row r="2838" customFormat="false" ht="15" hidden="false" customHeight="false" outlineLevel="0" collapsed="false">
      <c r="A2838" s="19" t="s">
        <v>3369</v>
      </c>
      <c r="B2838" s="19" t="s">
        <v>1337</v>
      </c>
      <c r="C2838" s="19" t="n">
        <v>21</v>
      </c>
      <c r="D2838" s="19" t="s">
        <v>4765</v>
      </c>
      <c r="E2838" s="19" t="n">
        <v>1024</v>
      </c>
      <c r="F2838" s="17" t="s">
        <v>4766</v>
      </c>
      <c r="G2838" s="17" t="s">
        <v>1104</v>
      </c>
      <c r="H2838" s="17" t="s">
        <v>226</v>
      </c>
    </row>
    <row r="2839" customFormat="false" ht="15" hidden="false" customHeight="false" outlineLevel="0" collapsed="false">
      <c r="A2839" s="19" t="s">
        <v>3369</v>
      </c>
      <c r="B2839" s="19" t="s">
        <v>1300</v>
      </c>
      <c r="C2839" s="19" t="n">
        <v>21</v>
      </c>
      <c r="D2839" s="17" t="s">
        <v>4767</v>
      </c>
      <c r="E2839" s="19" t="n">
        <v>9342.1</v>
      </c>
      <c r="F2839" s="17" t="s">
        <v>4768</v>
      </c>
      <c r="G2839" s="17" t="s">
        <v>1104</v>
      </c>
      <c r="H2839" s="17" t="s">
        <v>226</v>
      </c>
    </row>
    <row r="2840" customFormat="false" ht="15" hidden="false" customHeight="false" outlineLevel="0" collapsed="false">
      <c r="A2840" s="19" t="s">
        <v>3369</v>
      </c>
      <c r="B2840" s="19" t="s">
        <v>1203</v>
      </c>
      <c r="C2840" s="19" t="n">
        <v>21</v>
      </c>
      <c r="D2840" s="17" t="s">
        <v>4769</v>
      </c>
      <c r="E2840" s="19" t="n">
        <v>0.5625</v>
      </c>
      <c r="F2840" s="17" t="s">
        <v>4770</v>
      </c>
      <c r="G2840" s="17" t="s">
        <v>1104</v>
      </c>
      <c r="H2840" s="19"/>
    </row>
    <row r="2841" customFormat="false" ht="15" hidden="false" customHeight="false" outlineLevel="0" collapsed="false">
      <c r="A2841" s="19" t="s">
        <v>3369</v>
      </c>
      <c r="B2841" s="19" t="s">
        <v>1153</v>
      </c>
      <c r="C2841" s="19" t="n">
        <v>21</v>
      </c>
      <c r="D2841" s="17" t="s">
        <v>4771</v>
      </c>
      <c r="E2841" s="19" t="n">
        <v>1</v>
      </c>
      <c r="F2841" s="17" t="s">
        <v>4772</v>
      </c>
      <c r="G2841" s="17" t="s">
        <v>1104</v>
      </c>
      <c r="H2841" s="19"/>
    </row>
    <row r="2842" customFormat="false" ht="15" hidden="false" customHeight="false" outlineLevel="0" collapsed="false">
      <c r="A2842" s="19" t="s">
        <v>3369</v>
      </c>
      <c r="B2842" s="19" t="s">
        <v>1271</v>
      </c>
      <c r="C2842" s="19" t="n">
        <v>21</v>
      </c>
      <c r="D2842" s="17" t="s">
        <v>796</v>
      </c>
      <c r="E2842" s="19" t="n">
        <v>49</v>
      </c>
      <c r="F2842" s="17" t="s">
        <v>4773</v>
      </c>
      <c r="G2842" s="17" t="s">
        <v>1104</v>
      </c>
      <c r="H2842" s="19"/>
    </row>
    <row r="2843" customFormat="false" ht="15" hidden="false" customHeight="false" outlineLevel="0" collapsed="false">
      <c r="A2843" s="19" t="s">
        <v>3369</v>
      </c>
      <c r="B2843" s="19" t="s">
        <v>1222</v>
      </c>
      <c r="C2843" s="19" t="n">
        <v>21</v>
      </c>
      <c r="D2843" s="17" t="s">
        <v>804</v>
      </c>
      <c r="E2843" s="19" t="n">
        <v>20.2777777777778</v>
      </c>
      <c r="F2843" s="17" t="s">
        <v>4774</v>
      </c>
      <c r="G2843" s="17" t="s">
        <v>1104</v>
      </c>
      <c r="H2843" s="19"/>
    </row>
    <row r="2844" customFormat="false" ht="15" hidden="false" customHeight="false" outlineLevel="0" collapsed="false">
      <c r="A2844" s="19" t="s">
        <v>3369</v>
      </c>
      <c r="B2844" s="19" t="s">
        <v>1162</v>
      </c>
      <c r="C2844" s="19" t="n">
        <v>21</v>
      </c>
      <c r="D2844" s="17" t="s">
        <v>806</v>
      </c>
      <c r="E2844" s="19" t="n">
        <v>1579.72222222222</v>
      </c>
      <c r="F2844" s="17" t="s">
        <v>4775</v>
      </c>
      <c r="G2844" s="17" t="s">
        <v>1104</v>
      </c>
      <c r="H2844" s="19"/>
    </row>
    <row r="2845" customFormat="false" ht="15" hidden="false" customHeight="false" outlineLevel="0" collapsed="false">
      <c r="A2845" s="19" t="s">
        <v>3369</v>
      </c>
      <c r="B2845" s="19" t="s">
        <v>1123</v>
      </c>
      <c r="C2845" s="19" t="n">
        <v>21</v>
      </c>
      <c r="D2845" s="17" t="s">
        <v>810</v>
      </c>
      <c r="E2845" s="19" t="n">
        <v>15990784</v>
      </c>
      <c r="F2845" s="17" t="s">
        <v>4776</v>
      </c>
      <c r="G2845" s="17" t="s">
        <v>1104</v>
      </c>
      <c r="H2845" s="19"/>
    </row>
    <row r="2846" customFormat="false" ht="15" hidden="false" customHeight="false" outlineLevel="0" collapsed="false">
      <c r="A2846" s="19" t="s">
        <v>3369</v>
      </c>
      <c r="B2846" s="19" t="s">
        <v>2049</v>
      </c>
      <c r="C2846" s="19" t="n">
        <v>21</v>
      </c>
      <c r="D2846" s="19" t="s">
        <v>4777</v>
      </c>
      <c r="E2846" s="19" t="n">
        <v>2177.776</v>
      </c>
      <c r="F2846" s="17" t="s">
        <v>4778</v>
      </c>
      <c r="G2846" s="17" t="s">
        <v>1104</v>
      </c>
      <c r="H2846" s="19"/>
    </row>
    <row r="2847" customFormat="false" ht="15" hidden="false" customHeight="false" outlineLevel="0" collapsed="false">
      <c r="A2847" s="19" t="s">
        <v>3369</v>
      </c>
      <c r="B2847" s="19" t="s">
        <v>3092</v>
      </c>
      <c r="C2847" s="19" t="n">
        <v>21</v>
      </c>
      <c r="D2847" s="17" t="s">
        <v>864</v>
      </c>
      <c r="E2847" s="19" t="n">
        <v>1</v>
      </c>
      <c r="F2847" s="17" t="s">
        <v>4779</v>
      </c>
      <c r="G2847" s="17" t="s">
        <v>1104</v>
      </c>
      <c r="H2847" s="19"/>
    </row>
    <row r="2848" customFormat="false" ht="15" hidden="false" customHeight="false" outlineLevel="0" collapsed="false">
      <c r="A2848" s="19" t="s">
        <v>3369</v>
      </c>
      <c r="B2848" s="19" t="s">
        <v>3602</v>
      </c>
      <c r="C2848" s="19" t="n">
        <v>21</v>
      </c>
      <c r="D2848" s="19" t="s">
        <v>4780</v>
      </c>
      <c r="E2848" s="19" t="n">
        <v>32</v>
      </c>
      <c r="F2848" s="17" t="s">
        <v>4781</v>
      </c>
      <c r="G2848" s="17" t="s">
        <v>1104</v>
      </c>
      <c r="H2848" s="19"/>
    </row>
    <row r="2849" customFormat="false" ht="15" hidden="false" customHeight="false" outlineLevel="0" collapsed="false">
      <c r="A2849" s="19" t="s">
        <v>3369</v>
      </c>
      <c r="B2849" s="19" t="s">
        <v>1560</v>
      </c>
      <c r="C2849" s="19" t="n">
        <v>21</v>
      </c>
      <c r="D2849" s="19" t="s">
        <v>4782</v>
      </c>
      <c r="E2849" s="19" t="n">
        <v>34214.061426857</v>
      </c>
      <c r="F2849" s="17" t="s">
        <v>4783</v>
      </c>
      <c r="G2849" s="17" t="s">
        <v>1104</v>
      </c>
      <c r="H2849" s="19"/>
    </row>
    <row r="2850" customFormat="false" ht="15" hidden="false" customHeight="false" outlineLevel="0" collapsed="false">
      <c r="A2850" s="19" t="s">
        <v>3369</v>
      </c>
      <c r="B2850" s="19" t="s">
        <v>2514</v>
      </c>
      <c r="C2850" s="19" t="n">
        <v>21</v>
      </c>
      <c r="D2850" s="19" t="s">
        <v>4763</v>
      </c>
      <c r="E2850" s="19" t="n">
        <v>8192</v>
      </c>
      <c r="F2850" s="17" t="s">
        <v>4784</v>
      </c>
      <c r="G2850" s="17" t="s">
        <v>1104</v>
      </c>
      <c r="H2850" s="17" t="s">
        <v>226</v>
      </c>
    </row>
    <row r="2851" customFormat="false" ht="15" hidden="false" customHeight="false" outlineLevel="0" collapsed="false">
      <c r="A2851" s="19" t="s">
        <v>3369</v>
      </c>
      <c r="B2851" s="19" t="s">
        <v>2502</v>
      </c>
      <c r="C2851" s="19" t="n">
        <v>21</v>
      </c>
      <c r="D2851" s="19" t="s">
        <v>4765</v>
      </c>
      <c r="E2851" s="19" t="n">
        <v>1024</v>
      </c>
      <c r="F2851" s="17" t="s">
        <v>4785</v>
      </c>
      <c r="G2851" s="17" t="s">
        <v>1104</v>
      </c>
      <c r="H2851" s="17" t="s">
        <v>226</v>
      </c>
    </row>
    <row r="2852" customFormat="false" ht="15" hidden="false" customHeight="false" outlineLevel="0" collapsed="false">
      <c r="A2852" s="19" t="s">
        <v>3369</v>
      </c>
      <c r="B2852" s="19" t="s">
        <v>1313</v>
      </c>
      <c r="C2852" s="19" t="n">
        <v>21</v>
      </c>
      <c r="D2852" s="17" t="s">
        <v>4767</v>
      </c>
      <c r="E2852" s="19" t="n">
        <v>3405.2</v>
      </c>
      <c r="F2852" s="17" t="s">
        <v>4786</v>
      </c>
      <c r="G2852" s="17" t="s">
        <v>1104</v>
      </c>
      <c r="H2852" s="17" t="s">
        <v>226</v>
      </c>
    </row>
    <row r="2853" customFormat="false" ht="15" hidden="false" customHeight="false" outlineLevel="0" collapsed="false">
      <c r="A2853" s="19" t="s">
        <v>3369</v>
      </c>
      <c r="B2853" s="19" t="s">
        <v>1566</v>
      </c>
      <c r="C2853" s="19" t="n">
        <v>21</v>
      </c>
      <c r="D2853" s="19" t="s">
        <v>4782</v>
      </c>
      <c r="E2853" s="19" t="n">
        <v>34214.061426857</v>
      </c>
      <c r="F2853" s="17" t="s">
        <v>4787</v>
      </c>
      <c r="G2853" s="17" t="s">
        <v>1104</v>
      </c>
      <c r="H2853" s="19"/>
    </row>
    <row r="2854" customFormat="false" ht="15" hidden="false" customHeight="false" outlineLevel="0" collapsed="false">
      <c r="A2854" s="55" t="s">
        <v>4610</v>
      </c>
      <c r="B2854" s="55" t="s">
        <v>1300</v>
      </c>
      <c r="C2854" s="55" t="n">
        <v>21</v>
      </c>
      <c r="D2854" s="55" t="s">
        <v>4788</v>
      </c>
      <c r="E2854" s="55" t="n">
        <v>1</v>
      </c>
      <c r="F2854" s="55"/>
      <c r="G2854" s="66" t="s">
        <v>1122</v>
      </c>
      <c r="H2854" s="55"/>
    </row>
    <row r="2855" customFormat="false" ht="15" hidden="false" customHeight="false" outlineLevel="0" collapsed="false">
      <c r="A2855" s="55" t="s">
        <v>4506</v>
      </c>
      <c r="B2855" s="55" t="s">
        <v>4789</v>
      </c>
      <c r="C2855" s="55" t="n">
        <v>21</v>
      </c>
      <c r="D2855" s="55" t="s">
        <v>4756</v>
      </c>
      <c r="E2855" s="55" t="n">
        <v>1</v>
      </c>
      <c r="F2855" s="55"/>
      <c r="G2855" s="66" t="s">
        <v>1122</v>
      </c>
      <c r="H2855" s="55"/>
    </row>
    <row r="2856" customFormat="false" ht="15" hidden="false" customHeight="false" outlineLevel="0" collapsed="false">
      <c r="A2856" s="55" t="s">
        <v>4506</v>
      </c>
      <c r="B2856" s="55" t="s">
        <v>4790</v>
      </c>
      <c r="C2856" s="55" t="n">
        <v>21</v>
      </c>
      <c r="D2856" s="55" t="s">
        <v>4758</v>
      </c>
      <c r="E2856" s="55" t="n">
        <v>1</v>
      </c>
      <c r="F2856" s="55"/>
      <c r="G2856" s="66" t="s">
        <v>1122</v>
      </c>
      <c r="H2856" s="55"/>
    </row>
    <row r="2857" customFormat="false" ht="15" hidden="false" customHeight="false" outlineLevel="0" collapsed="false">
      <c r="A2857" s="55" t="s">
        <v>4631</v>
      </c>
      <c r="B2857" s="55" t="s">
        <v>2688</v>
      </c>
      <c r="C2857" s="55" t="n">
        <v>21</v>
      </c>
      <c r="D2857" s="55" t="s">
        <v>4691</v>
      </c>
      <c r="E2857" s="55" t="n">
        <v>0.7</v>
      </c>
      <c r="F2857" s="55"/>
      <c r="G2857" s="66" t="s">
        <v>1122</v>
      </c>
      <c r="H2857" s="55"/>
    </row>
    <row r="2858" customFormat="false" ht="15" hidden="false" customHeight="false" outlineLevel="0" collapsed="false">
      <c r="A2858" s="55" t="s">
        <v>4631</v>
      </c>
      <c r="B2858" s="55" t="s">
        <v>1682</v>
      </c>
      <c r="C2858" s="55" t="n">
        <v>21</v>
      </c>
      <c r="D2858" s="55" t="s">
        <v>4693</v>
      </c>
      <c r="E2858" s="55" t="n">
        <v>1.5</v>
      </c>
      <c r="F2858" s="55"/>
      <c r="G2858" s="66" t="s">
        <v>1122</v>
      </c>
      <c r="H2858" s="55"/>
    </row>
    <row r="2859" customFormat="false" ht="15" hidden="false" customHeight="false" outlineLevel="0" collapsed="false">
      <c r="A2859" s="55" t="s">
        <v>4631</v>
      </c>
      <c r="B2859" s="55" t="s">
        <v>2813</v>
      </c>
      <c r="C2859" s="55" t="n">
        <v>21</v>
      </c>
      <c r="D2859" s="55" t="s">
        <v>4695</v>
      </c>
      <c r="E2859" s="55" t="n">
        <v>1.5</v>
      </c>
      <c r="F2859" s="55"/>
      <c r="G2859" s="66" t="s">
        <v>1122</v>
      </c>
      <c r="H2859" s="55"/>
    </row>
    <row r="2860" customFormat="false" ht="15" hidden="false" customHeight="false" outlineLevel="0" collapsed="false">
      <c r="A2860" s="55" t="s">
        <v>4631</v>
      </c>
      <c r="B2860" s="55" t="s">
        <v>1344</v>
      </c>
      <c r="C2860" s="55" t="n">
        <v>21</v>
      </c>
      <c r="D2860" s="55" t="s">
        <v>4696</v>
      </c>
      <c r="E2860" s="55" t="n">
        <v>1.5</v>
      </c>
      <c r="F2860" s="55"/>
      <c r="G2860" s="66" t="s">
        <v>1122</v>
      </c>
      <c r="H2860" s="55"/>
    </row>
    <row r="2861" customFormat="false" ht="15" hidden="false" customHeight="false" outlineLevel="0" collapsed="false">
      <c r="A2861" s="55" t="s">
        <v>4631</v>
      </c>
      <c r="B2861" s="55" t="s">
        <v>3024</v>
      </c>
      <c r="C2861" s="55" t="n">
        <v>21</v>
      </c>
      <c r="D2861" s="55" t="s">
        <v>4698</v>
      </c>
      <c r="E2861" s="55" t="n">
        <v>1.2</v>
      </c>
      <c r="F2861" s="55"/>
      <c r="G2861" s="66" t="s">
        <v>1122</v>
      </c>
      <c r="H2861" s="55"/>
    </row>
    <row r="2862" customFormat="false" ht="15" hidden="false" customHeight="false" outlineLevel="0" collapsed="false">
      <c r="A2862" s="55" t="s">
        <v>4631</v>
      </c>
      <c r="B2862" s="55" t="s">
        <v>2523</v>
      </c>
      <c r="C2862" s="55" t="n">
        <v>21</v>
      </c>
      <c r="D2862" s="55" t="s">
        <v>4700</v>
      </c>
      <c r="E2862" s="55" t="n">
        <v>0.5</v>
      </c>
      <c r="F2862" s="55"/>
      <c r="G2862" s="66" t="s">
        <v>1122</v>
      </c>
      <c r="H2862" s="55"/>
    </row>
    <row r="2863" customFormat="false" ht="15" hidden="false" customHeight="false" outlineLevel="0" collapsed="false">
      <c r="A2863" s="55" t="s">
        <v>4631</v>
      </c>
      <c r="B2863" s="55" t="s">
        <v>2503</v>
      </c>
      <c r="C2863" s="55" t="n">
        <v>21</v>
      </c>
      <c r="D2863" s="55" t="s">
        <v>4701</v>
      </c>
      <c r="E2863" s="55" t="n">
        <v>1</v>
      </c>
      <c r="F2863" s="55"/>
      <c r="G2863" s="66" t="s">
        <v>1122</v>
      </c>
      <c r="H2863" s="55"/>
    </row>
    <row r="2864" customFormat="false" ht="15" hidden="false" customHeight="false" outlineLevel="0" collapsed="false">
      <c r="A2864" s="55" t="s">
        <v>4631</v>
      </c>
      <c r="B2864" s="55" t="s">
        <v>1466</v>
      </c>
      <c r="C2864" s="55" t="n">
        <v>21</v>
      </c>
      <c r="D2864" s="55" t="s">
        <v>4703</v>
      </c>
      <c r="E2864" s="55" t="n">
        <v>1</v>
      </c>
      <c r="F2864" s="55"/>
      <c r="G2864" s="66" t="s">
        <v>1122</v>
      </c>
      <c r="H2864" s="55"/>
    </row>
    <row r="2865" customFormat="false" ht="15" hidden="false" customHeight="false" outlineLevel="0" collapsed="false">
      <c r="A2865" s="55" t="s">
        <v>4631</v>
      </c>
      <c r="B2865" s="55" t="s">
        <v>2488</v>
      </c>
      <c r="C2865" s="55" t="n">
        <v>21</v>
      </c>
      <c r="D2865" s="55" t="s">
        <v>4704</v>
      </c>
      <c r="E2865" s="55" t="n">
        <v>1</v>
      </c>
      <c r="F2865" s="55"/>
      <c r="G2865" s="66" t="s">
        <v>1122</v>
      </c>
      <c r="H2865" s="55"/>
    </row>
    <row r="2866" customFormat="false" ht="15" hidden="false" customHeight="false" outlineLevel="0" collapsed="false">
      <c r="A2866" s="55" t="s">
        <v>4631</v>
      </c>
      <c r="B2866" s="55" t="s">
        <v>1695</v>
      </c>
      <c r="C2866" s="55" t="n">
        <v>21</v>
      </c>
      <c r="D2866" s="55" t="s">
        <v>4705</v>
      </c>
      <c r="E2866" s="55" t="n">
        <v>1</v>
      </c>
      <c r="F2866" s="55"/>
      <c r="G2866" s="66" t="s">
        <v>1122</v>
      </c>
      <c r="H2866" s="55"/>
    </row>
    <row r="2867" customFormat="false" ht="15" hidden="false" customHeight="false" outlineLevel="0" collapsed="false">
      <c r="A2867" s="55" t="s">
        <v>4631</v>
      </c>
      <c r="B2867" s="55" t="s">
        <v>2531</v>
      </c>
      <c r="C2867" s="55" t="n">
        <v>21</v>
      </c>
      <c r="D2867" s="55" t="s">
        <v>4706</v>
      </c>
      <c r="E2867" s="55" t="n">
        <v>1</v>
      </c>
      <c r="F2867" s="55"/>
      <c r="G2867" s="66" t="s">
        <v>1122</v>
      </c>
      <c r="H2867" s="55"/>
    </row>
    <row r="2868" customFormat="false" ht="15" hidden="false" customHeight="false" outlineLevel="0" collapsed="false">
      <c r="A2868" s="55" t="s">
        <v>4631</v>
      </c>
      <c r="B2868" s="55" t="s">
        <v>2692</v>
      </c>
      <c r="C2868" s="55" t="n">
        <v>21</v>
      </c>
      <c r="D2868" s="55" t="s">
        <v>4707</v>
      </c>
      <c r="E2868" s="55" t="n">
        <v>1</v>
      </c>
      <c r="F2868" s="55"/>
      <c r="G2868" s="66" t="s">
        <v>1122</v>
      </c>
      <c r="H2868" s="55"/>
    </row>
    <row r="2869" customFormat="false" ht="15" hidden="false" customHeight="false" outlineLevel="0" collapsed="false">
      <c r="A2869" s="55" t="s">
        <v>4631</v>
      </c>
      <c r="B2869" s="55" t="s">
        <v>2693</v>
      </c>
      <c r="C2869" s="55" t="n">
        <v>21</v>
      </c>
      <c r="D2869" s="55" t="s">
        <v>4691</v>
      </c>
      <c r="E2869" s="55" t="n">
        <v>0.85</v>
      </c>
      <c r="F2869" s="55"/>
      <c r="G2869" s="66" t="s">
        <v>1122</v>
      </c>
      <c r="H2869" s="55"/>
    </row>
    <row r="2870" customFormat="false" ht="15" hidden="false" customHeight="false" outlineLevel="0" collapsed="false">
      <c r="A2870" s="55" t="s">
        <v>4631</v>
      </c>
      <c r="B2870" s="55" t="s">
        <v>1696</v>
      </c>
      <c r="C2870" s="55" t="n">
        <v>21</v>
      </c>
      <c r="D2870" s="55" t="s">
        <v>4693</v>
      </c>
      <c r="E2870" s="55" t="n">
        <v>2</v>
      </c>
      <c r="F2870" s="55"/>
      <c r="G2870" s="66" t="s">
        <v>1122</v>
      </c>
      <c r="H2870" s="55"/>
    </row>
    <row r="2871" customFormat="false" ht="15" hidden="false" customHeight="false" outlineLevel="0" collapsed="false">
      <c r="A2871" s="55" t="s">
        <v>4631</v>
      </c>
      <c r="B2871" s="55" t="s">
        <v>2819</v>
      </c>
      <c r="C2871" s="55" t="n">
        <v>21</v>
      </c>
      <c r="D2871" s="55" t="s">
        <v>4695</v>
      </c>
      <c r="E2871" s="55" t="n">
        <v>2</v>
      </c>
      <c r="F2871" s="55"/>
      <c r="G2871" s="66" t="s">
        <v>1122</v>
      </c>
      <c r="H2871" s="55"/>
    </row>
    <row r="2872" customFormat="false" ht="15" hidden="false" customHeight="false" outlineLevel="0" collapsed="false">
      <c r="A2872" s="55" t="s">
        <v>4631</v>
      </c>
      <c r="B2872" s="55" t="s">
        <v>1346</v>
      </c>
      <c r="C2872" s="55" t="n">
        <v>21</v>
      </c>
      <c r="D2872" s="55" t="s">
        <v>4696</v>
      </c>
      <c r="E2872" s="55" t="n">
        <v>2</v>
      </c>
      <c r="F2872" s="55"/>
      <c r="G2872" s="66" t="s">
        <v>1122</v>
      </c>
      <c r="H2872" s="55"/>
    </row>
    <row r="2873" customFormat="false" ht="15" hidden="false" customHeight="false" outlineLevel="0" collapsed="false">
      <c r="A2873" s="55" t="s">
        <v>4631</v>
      </c>
      <c r="B2873" s="55" t="s">
        <v>3030</v>
      </c>
      <c r="C2873" s="55" t="n">
        <v>21</v>
      </c>
      <c r="D2873" s="55" t="s">
        <v>4698</v>
      </c>
      <c r="E2873" s="55" t="n">
        <v>1.4</v>
      </c>
      <c r="F2873" s="55"/>
      <c r="G2873" s="66" t="s">
        <v>1122</v>
      </c>
      <c r="H2873" s="55"/>
    </row>
    <row r="2874" customFormat="false" ht="15" hidden="false" customHeight="false" outlineLevel="0" collapsed="false">
      <c r="A2874" s="55" t="s">
        <v>4631</v>
      </c>
      <c r="B2874" s="55" t="s">
        <v>2532</v>
      </c>
      <c r="C2874" s="55" t="n">
        <v>21</v>
      </c>
      <c r="D2874" s="55" t="s">
        <v>4700</v>
      </c>
      <c r="E2874" s="55" t="n">
        <v>0.5</v>
      </c>
      <c r="F2874" s="55"/>
      <c r="G2874" s="66" t="s">
        <v>1122</v>
      </c>
      <c r="H2874" s="55"/>
    </row>
    <row r="2875" customFormat="false" ht="15" hidden="false" customHeight="false" outlineLevel="0" collapsed="false">
      <c r="A2875" s="55" t="s">
        <v>4631</v>
      </c>
      <c r="B2875" s="55" t="s">
        <v>2504</v>
      </c>
      <c r="C2875" s="55" t="n">
        <v>21</v>
      </c>
      <c r="D2875" s="55" t="s">
        <v>4701</v>
      </c>
      <c r="E2875" s="55" t="n">
        <v>1</v>
      </c>
      <c r="F2875" s="55"/>
      <c r="G2875" s="66" t="s">
        <v>1122</v>
      </c>
      <c r="H2875" s="55"/>
    </row>
    <row r="2876" customFormat="false" ht="15" hidden="false" customHeight="false" outlineLevel="0" collapsed="false">
      <c r="A2876" s="55" t="s">
        <v>4631</v>
      </c>
      <c r="B2876" s="55" t="s">
        <v>4791</v>
      </c>
      <c r="C2876" s="55" t="n">
        <v>21</v>
      </c>
      <c r="D2876" s="55" t="s">
        <v>4703</v>
      </c>
      <c r="E2876" s="55" t="n">
        <v>1</v>
      </c>
      <c r="F2876" s="55"/>
      <c r="G2876" s="66" t="s">
        <v>1122</v>
      </c>
      <c r="H2876" s="55"/>
    </row>
    <row r="2877" customFormat="false" ht="15" hidden="false" customHeight="false" outlineLevel="0" collapsed="false">
      <c r="A2877" s="55" t="s">
        <v>4631</v>
      </c>
      <c r="B2877" s="55" t="s">
        <v>2489</v>
      </c>
      <c r="C2877" s="55" t="n">
        <v>21</v>
      </c>
      <c r="D2877" s="55" t="s">
        <v>4704</v>
      </c>
      <c r="E2877" s="55" t="n">
        <v>1</v>
      </c>
      <c r="F2877" s="55"/>
      <c r="G2877" s="66" t="s">
        <v>1122</v>
      </c>
      <c r="H2877" s="55"/>
    </row>
    <row r="2878" customFormat="false" ht="15" hidden="false" customHeight="false" outlineLevel="0" collapsed="false">
      <c r="A2878" s="55" t="s">
        <v>4631</v>
      </c>
      <c r="B2878" s="55" t="s">
        <v>1709</v>
      </c>
      <c r="C2878" s="55" t="n">
        <v>21</v>
      </c>
      <c r="D2878" s="55" t="s">
        <v>4705</v>
      </c>
      <c r="E2878" s="55" t="n">
        <v>1</v>
      </c>
      <c r="F2878" s="55"/>
      <c r="G2878" s="66" t="s">
        <v>1122</v>
      </c>
      <c r="H2878" s="55"/>
    </row>
    <row r="2879" customFormat="false" ht="15" hidden="false" customHeight="false" outlineLevel="0" collapsed="false">
      <c r="A2879" s="55" t="s">
        <v>4631</v>
      </c>
      <c r="B2879" s="55" t="s">
        <v>2537</v>
      </c>
      <c r="C2879" s="55" t="n">
        <v>21</v>
      </c>
      <c r="D2879" s="55" t="s">
        <v>4706</v>
      </c>
      <c r="E2879" s="55" t="n">
        <v>1</v>
      </c>
      <c r="F2879" s="55"/>
      <c r="G2879" s="66" t="s">
        <v>1122</v>
      </c>
      <c r="H2879" s="55"/>
    </row>
    <row r="2880" customFormat="false" ht="15" hidden="false" customHeight="false" outlineLevel="0" collapsed="false">
      <c r="A2880" s="55" t="s">
        <v>4631</v>
      </c>
      <c r="B2880" s="55" t="s">
        <v>2697</v>
      </c>
      <c r="C2880" s="55" t="n">
        <v>21</v>
      </c>
      <c r="D2880" s="55" t="s">
        <v>4707</v>
      </c>
      <c r="E2880" s="55" t="n">
        <v>1</v>
      </c>
      <c r="F2880" s="55"/>
      <c r="G2880" s="66" t="s">
        <v>1122</v>
      </c>
      <c r="H2880" s="55"/>
    </row>
    <row r="2881" customFormat="false" ht="15" hidden="false" customHeight="false" outlineLevel="0" collapsed="false">
      <c r="A2881" s="55" t="s">
        <v>4631</v>
      </c>
      <c r="B2881" s="55" t="s">
        <v>3032</v>
      </c>
      <c r="C2881" s="55" t="n">
        <v>21</v>
      </c>
      <c r="D2881" s="55" t="s">
        <v>4691</v>
      </c>
      <c r="E2881" s="55" t="n">
        <v>1</v>
      </c>
      <c r="F2881" s="55"/>
      <c r="G2881" s="66" t="s">
        <v>1122</v>
      </c>
      <c r="H2881" s="55"/>
    </row>
    <row r="2882" customFormat="false" ht="15" hidden="false" customHeight="false" outlineLevel="0" collapsed="false">
      <c r="A2882" s="55" t="s">
        <v>4631</v>
      </c>
      <c r="B2882" s="55" t="s">
        <v>1710</v>
      </c>
      <c r="C2882" s="55" t="n">
        <v>21</v>
      </c>
      <c r="D2882" s="55" t="s">
        <v>4693</v>
      </c>
      <c r="E2882" s="55" t="n">
        <v>3</v>
      </c>
      <c r="F2882" s="55"/>
      <c r="G2882" s="66" t="s">
        <v>1122</v>
      </c>
      <c r="H2882" s="55"/>
    </row>
    <row r="2883" customFormat="false" ht="15" hidden="false" customHeight="false" outlineLevel="0" collapsed="false">
      <c r="A2883" s="55" t="s">
        <v>4631</v>
      </c>
      <c r="B2883" s="55" t="s">
        <v>2825</v>
      </c>
      <c r="C2883" s="55" t="n">
        <v>21</v>
      </c>
      <c r="D2883" s="55" t="s">
        <v>4695</v>
      </c>
      <c r="E2883" s="55" t="n">
        <v>4</v>
      </c>
      <c r="F2883" s="55"/>
      <c r="G2883" s="66" t="s">
        <v>1122</v>
      </c>
      <c r="H2883" s="55"/>
    </row>
    <row r="2884" customFormat="false" ht="15" hidden="false" customHeight="false" outlineLevel="0" collapsed="false">
      <c r="A2884" s="55" t="s">
        <v>4631</v>
      </c>
      <c r="B2884" s="55" t="s">
        <v>1348</v>
      </c>
      <c r="C2884" s="55" t="n">
        <v>21</v>
      </c>
      <c r="D2884" s="55" t="s">
        <v>4696</v>
      </c>
      <c r="E2884" s="55" t="n">
        <v>4</v>
      </c>
      <c r="F2884" s="55"/>
      <c r="G2884" s="66" t="s">
        <v>1122</v>
      </c>
      <c r="H2884" s="55"/>
    </row>
    <row r="2885" customFormat="false" ht="15" hidden="false" customHeight="false" outlineLevel="0" collapsed="false">
      <c r="A2885" s="55" t="s">
        <v>4631</v>
      </c>
      <c r="B2885" s="55" t="s">
        <v>3034</v>
      </c>
      <c r="C2885" s="55" t="n">
        <v>21</v>
      </c>
      <c r="D2885" s="55" t="s">
        <v>4698</v>
      </c>
      <c r="E2885" s="55" t="n">
        <v>1.6</v>
      </c>
      <c r="F2885" s="55"/>
      <c r="G2885" s="66" t="s">
        <v>1122</v>
      </c>
      <c r="H2885" s="55"/>
    </row>
    <row r="2886" customFormat="false" ht="15" hidden="false" customHeight="false" outlineLevel="0" collapsed="false">
      <c r="A2886" s="55" t="s">
        <v>4631</v>
      </c>
      <c r="B2886" s="55" t="s">
        <v>2538</v>
      </c>
      <c r="C2886" s="55" t="n">
        <v>21</v>
      </c>
      <c r="D2886" s="55" t="s">
        <v>4700</v>
      </c>
      <c r="E2886" s="55" t="n">
        <v>0.75</v>
      </c>
      <c r="F2886" s="55"/>
      <c r="G2886" s="66" t="s">
        <v>1122</v>
      </c>
      <c r="H2886" s="55"/>
    </row>
    <row r="2887" customFormat="false" ht="15" hidden="false" customHeight="false" outlineLevel="0" collapsed="false">
      <c r="A2887" s="55" t="s">
        <v>4631</v>
      </c>
      <c r="B2887" s="55" t="s">
        <v>3995</v>
      </c>
      <c r="C2887" s="55" t="n">
        <v>21</v>
      </c>
      <c r="D2887" s="55" t="s">
        <v>4701</v>
      </c>
      <c r="E2887" s="55" t="n">
        <v>1</v>
      </c>
      <c r="F2887" s="55"/>
      <c r="G2887" s="66" t="s">
        <v>1122</v>
      </c>
      <c r="H2887" s="55"/>
    </row>
    <row r="2888" customFormat="false" ht="15" hidden="false" customHeight="false" outlineLevel="0" collapsed="false">
      <c r="A2888" s="55" t="s">
        <v>4631</v>
      </c>
      <c r="B2888" s="55" t="s">
        <v>4792</v>
      </c>
      <c r="C2888" s="55" t="n">
        <v>21</v>
      </c>
      <c r="D2888" s="55" t="s">
        <v>4703</v>
      </c>
      <c r="E2888" s="55" t="n">
        <v>1</v>
      </c>
      <c r="F2888" s="55"/>
      <c r="G2888" s="66" t="s">
        <v>1122</v>
      </c>
      <c r="H2888" s="55"/>
    </row>
    <row r="2889" customFormat="false" ht="15" hidden="false" customHeight="false" outlineLevel="0" collapsed="false">
      <c r="A2889" s="55" t="s">
        <v>4631</v>
      </c>
      <c r="B2889" s="55" t="s">
        <v>2490</v>
      </c>
      <c r="C2889" s="55" t="n">
        <v>21</v>
      </c>
      <c r="D2889" s="55" t="s">
        <v>4704</v>
      </c>
      <c r="E2889" s="55" t="n">
        <v>1</v>
      </c>
      <c r="F2889" s="55"/>
      <c r="G2889" s="66" t="s">
        <v>1122</v>
      </c>
      <c r="H2889" s="55"/>
    </row>
    <row r="2890" customFormat="false" ht="15" hidden="false" customHeight="false" outlineLevel="0" collapsed="false">
      <c r="A2890" s="55" t="s">
        <v>4631</v>
      </c>
      <c r="B2890" s="55" t="s">
        <v>1725</v>
      </c>
      <c r="C2890" s="55" t="n">
        <v>21</v>
      </c>
      <c r="D2890" s="55" t="s">
        <v>4705</v>
      </c>
      <c r="E2890" s="55" t="n">
        <v>1</v>
      </c>
      <c r="F2890" s="55"/>
      <c r="G2890" s="66" t="s">
        <v>1122</v>
      </c>
      <c r="H2890" s="55"/>
    </row>
    <row r="2891" customFormat="false" ht="15" hidden="false" customHeight="false" outlineLevel="0" collapsed="false">
      <c r="A2891" s="55" t="s">
        <v>4631</v>
      </c>
      <c r="B2891" s="55" t="s">
        <v>2543</v>
      </c>
      <c r="C2891" s="55" t="n">
        <v>21</v>
      </c>
      <c r="D2891" s="55" t="s">
        <v>4706</v>
      </c>
      <c r="E2891" s="55" t="n">
        <v>1</v>
      </c>
      <c r="F2891" s="55"/>
      <c r="G2891" s="66" t="s">
        <v>1122</v>
      </c>
      <c r="H2891" s="55"/>
    </row>
    <row r="2892" customFormat="false" ht="15" hidden="false" customHeight="false" outlineLevel="0" collapsed="false">
      <c r="A2892" s="55" t="s">
        <v>4631</v>
      </c>
      <c r="B2892" s="55" t="s">
        <v>3390</v>
      </c>
      <c r="C2892" s="55" t="n">
        <v>21</v>
      </c>
      <c r="D2892" s="55" t="s">
        <v>4707</v>
      </c>
      <c r="E2892" s="55" t="n">
        <v>1</v>
      </c>
      <c r="F2892" s="55"/>
      <c r="G2892" s="66" t="s">
        <v>1122</v>
      </c>
      <c r="H2892" s="55"/>
    </row>
    <row r="2893" customFormat="false" ht="15" hidden="false" customHeight="false" outlineLevel="0" collapsed="false">
      <c r="A2893" s="55" t="s">
        <v>4631</v>
      </c>
      <c r="B2893" s="55" t="s">
        <v>3037</v>
      </c>
      <c r="C2893" s="55" t="n">
        <v>21</v>
      </c>
      <c r="D2893" s="55" t="s">
        <v>4691</v>
      </c>
      <c r="E2893" s="55" t="n">
        <v>2</v>
      </c>
      <c r="F2893" s="55"/>
      <c r="G2893" s="66" t="s">
        <v>1122</v>
      </c>
      <c r="H2893" s="55"/>
    </row>
    <row r="2894" customFormat="false" ht="15" hidden="false" customHeight="false" outlineLevel="0" collapsed="false">
      <c r="A2894" s="55" t="s">
        <v>4631</v>
      </c>
      <c r="B2894" s="55" t="s">
        <v>1726</v>
      </c>
      <c r="C2894" s="55" t="n">
        <v>21</v>
      </c>
      <c r="D2894" s="55" t="s">
        <v>4693</v>
      </c>
      <c r="E2894" s="55" t="n">
        <v>2</v>
      </c>
      <c r="F2894" s="55"/>
      <c r="G2894" s="66" t="s">
        <v>1122</v>
      </c>
      <c r="H2894" s="55"/>
    </row>
    <row r="2895" customFormat="false" ht="15" hidden="false" customHeight="false" outlineLevel="0" collapsed="false">
      <c r="A2895" s="55" t="s">
        <v>4631</v>
      </c>
      <c r="B2895" s="55" t="s">
        <v>2832</v>
      </c>
      <c r="C2895" s="55" t="n">
        <v>21</v>
      </c>
      <c r="D2895" s="55" t="s">
        <v>4695</v>
      </c>
      <c r="E2895" s="55" t="n">
        <v>2</v>
      </c>
      <c r="F2895" s="55"/>
      <c r="G2895" s="66" t="s">
        <v>1122</v>
      </c>
      <c r="H2895" s="55"/>
    </row>
    <row r="2896" customFormat="false" ht="15" hidden="false" customHeight="false" outlineLevel="0" collapsed="false">
      <c r="A2896" s="55" t="s">
        <v>4631</v>
      </c>
      <c r="B2896" s="55" t="s">
        <v>1350</v>
      </c>
      <c r="C2896" s="55" t="n">
        <v>21</v>
      </c>
      <c r="D2896" s="55" t="s">
        <v>4696</v>
      </c>
      <c r="E2896" s="55" t="n">
        <v>2</v>
      </c>
      <c r="F2896" s="55"/>
      <c r="G2896" s="66" t="s">
        <v>1122</v>
      </c>
      <c r="H2896" s="55"/>
    </row>
    <row r="2897" customFormat="false" ht="15" hidden="false" customHeight="false" outlineLevel="0" collapsed="false">
      <c r="A2897" s="55" t="s">
        <v>4631</v>
      </c>
      <c r="B2897" s="55" t="s">
        <v>3039</v>
      </c>
      <c r="C2897" s="55" t="n">
        <v>21</v>
      </c>
      <c r="D2897" s="55" t="s">
        <v>4698</v>
      </c>
      <c r="E2897" s="55" t="n">
        <v>2</v>
      </c>
      <c r="F2897" s="55"/>
      <c r="G2897" s="66" t="s">
        <v>1122</v>
      </c>
      <c r="H2897" s="55"/>
    </row>
    <row r="2898" customFormat="false" ht="15" hidden="false" customHeight="false" outlineLevel="0" collapsed="false">
      <c r="A2898" s="55" t="s">
        <v>4631</v>
      </c>
      <c r="B2898" s="55" t="s">
        <v>2544</v>
      </c>
      <c r="C2898" s="55" t="n">
        <v>21</v>
      </c>
      <c r="D2898" s="55" t="s">
        <v>4700</v>
      </c>
      <c r="E2898" s="55" t="n">
        <v>2</v>
      </c>
      <c r="F2898" s="55"/>
      <c r="G2898" s="66" t="s">
        <v>1122</v>
      </c>
      <c r="H2898" s="55"/>
    </row>
    <row r="2899" customFormat="false" ht="15" hidden="false" customHeight="false" outlineLevel="0" collapsed="false">
      <c r="A2899" s="55" t="s">
        <v>4631</v>
      </c>
      <c r="B2899" s="55" t="s">
        <v>4020</v>
      </c>
      <c r="C2899" s="55" t="n">
        <v>21</v>
      </c>
      <c r="D2899" s="55" t="s">
        <v>4701</v>
      </c>
      <c r="E2899" s="55" t="n">
        <v>2</v>
      </c>
      <c r="F2899" s="55"/>
      <c r="G2899" s="66" t="s">
        <v>1122</v>
      </c>
      <c r="H2899" s="55"/>
    </row>
    <row r="2900" customFormat="false" ht="15" hidden="false" customHeight="false" outlineLevel="0" collapsed="false">
      <c r="A2900" s="55" t="s">
        <v>4631</v>
      </c>
      <c r="B2900" s="55" t="s">
        <v>4793</v>
      </c>
      <c r="C2900" s="55" t="n">
        <v>21</v>
      </c>
      <c r="D2900" s="55" t="s">
        <v>4703</v>
      </c>
      <c r="E2900" s="55" t="n">
        <v>2</v>
      </c>
      <c r="F2900" s="55"/>
      <c r="G2900" s="66" t="s">
        <v>1122</v>
      </c>
      <c r="H2900" s="55"/>
    </row>
    <row r="2901" customFormat="false" ht="15" hidden="false" customHeight="false" outlineLevel="0" collapsed="false">
      <c r="A2901" s="55" t="s">
        <v>4631</v>
      </c>
      <c r="B2901" s="55" t="s">
        <v>2491</v>
      </c>
      <c r="C2901" s="55" t="n">
        <v>21</v>
      </c>
      <c r="D2901" s="55" t="s">
        <v>4704</v>
      </c>
      <c r="E2901" s="55" t="n">
        <v>2</v>
      </c>
      <c r="F2901" s="55"/>
      <c r="G2901" s="66" t="s">
        <v>1122</v>
      </c>
      <c r="H2901" s="55"/>
    </row>
    <row r="2902" customFormat="false" ht="15" hidden="false" customHeight="false" outlineLevel="0" collapsed="false">
      <c r="A2902" s="55" t="s">
        <v>4631</v>
      </c>
      <c r="B2902" s="55" t="s">
        <v>1741</v>
      </c>
      <c r="C2902" s="55" t="n">
        <v>21</v>
      </c>
      <c r="D2902" s="55" t="s">
        <v>4705</v>
      </c>
      <c r="E2902" s="55" t="n">
        <v>2</v>
      </c>
      <c r="F2902" s="55"/>
      <c r="G2902" s="66" t="s">
        <v>1122</v>
      </c>
      <c r="H2902" s="55"/>
    </row>
    <row r="2903" customFormat="false" ht="15" hidden="false" customHeight="false" outlineLevel="0" collapsed="false">
      <c r="A2903" s="55" t="s">
        <v>4631</v>
      </c>
      <c r="B2903" s="55" t="s">
        <v>2549</v>
      </c>
      <c r="C2903" s="55" t="n">
        <v>21</v>
      </c>
      <c r="D2903" s="55" t="s">
        <v>4706</v>
      </c>
      <c r="E2903" s="55" t="n">
        <v>2</v>
      </c>
      <c r="F2903" s="55"/>
      <c r="G2903" s="66" t="s">
        <v>1122</v>
      </c>
      <c r="H2903" s="55"/>
    </row>
    <row r="2904" customFormat="false" ht="15" hidden="false" customHeight="false" outlineLevel="0" collapsed="false">
      <c r="A2904" s="55" t="s">
        <v>4631</v>
      </c>
      <c r="B2904" s="55" t="s">
        <v>3392</v>
      </c>
      <c r="C2904" s="55" t="n">
        <v>21</v>
      </c>
      <c r="D2904" s="55" t="s">
        <v>4707</v>
      </c>
      <c r="E2904" s="55" t="n">
        <v>2</v>
      </c>
      <c r="F2904" s="55"/>
      <c r="G2904" s="66" t="s">
        <v>1122</v>
      </c>
      <c r="H2904" s="55"/>
    </row>
    <row r="2905" customFormat="false" ht="15" hidden="false" customHeight="false" outlineLevel="0" collapsed="false">
      <c r="A2905" s="55" t="s">
        <v>4631</v>
      </c>
      <c r="B2905" s="55" t="s">
        <v>3064</v>
      </c>
      <c r="C2905" s="55" t="n">
        <v>21</v>
      </c>
      <c r="D2905" s="55" t="s">
        <v>4691</v>
      </c>
      <c r="E2905" s="66" t="s">
        <v>2920</v>
      </c>
      <c r="F2905" s="55"/>
      <c r="G2905" s="66" t="s">
        <v>1122</v>
      </c>
      <c r="H2905" s="55"/>
    </row>
    <row r="2906" customFormat="false" ht="15" hidden="false" customHeight="false" outlineLevel="0" collapsed="false">
      <c r="A2906" s="55" t="s">
        <v>4631</v>
      </c>
      <c r="B2906" s="55" t="s">
        <v>1806</v>
      </c>
      <c r="C2906" s="55" t="n">
        <v>21</v>
      </c>
      <c r="D2906" s="55" t="s">
        <v>4693</v>
      </c>
      <c r="E2906" s="66" t="s">
        <v>4794</v>
      </c>
      <c r="F2906" s="55"/>
      <c r="G2906" s="66" t="s">
        <v>1122</v>
      </c>
      <c r="H2906" s="55"/>
    </row>
    <row r="2907" customFormat="false" ht="15" hidden="false" customHeight="false" outlineLevel="0" collapsed="false">
      <c r="A2907" s="55" t="s">
        <v>4631</v>
      </c>
      <c r="B2907" s="55" t="s">
        <v>2867</v>
      </c>
      <c r="C2907" s="55" t="n">
        <v>21</v>
      </c>
      <c r="D2907" s="55" t="s">
        <v>4695</v>
      </c>
      <c r="E2907" s="66" t="s">
        <v>4794</v>
      </c>
      <c r="F2907" s="55"/>
      <c r="G2907" s="66" t="s">
        <v>1122</v>
      </c>
      <c r="H2907" s="55"/>
    </row>
    <row r="2908" customFormat="false" ht="15" hidden="false" customHeight="false" outlineLevel="0" collapsed="false">
      <c r="A2908" s="55" t="s">
        <v>4631</v>
      </c>
      <c r="B2908" s="55" t="s">
        <v>1360</v>
      </c>
      <c r="C2908" s="55" t="n">
        <v>21</v>
      </c>
      <c r="D2908" s="55" t="s">
        <v>4696</v>
      </c>
      <c r="E2908" s="66" t="s">
        <v>4794</v>
      </c>
      <c r="F2908" s="55"/>
      <c r="G2908" s="66" t="s">
        <v>1122</v>
      </c>
      <c r="H2908" s="55"/>
    </row>
    <row r="2909" customFormat="false" ht="15" hidden="false" customHeight="false" outlineLevel="0" collapsed="false">
      <c r="A2909" s="55" t="s">
        <v>4631</v>
      </c>
      <c r="B2909" s="55" t="s">
        <v>3066</v>
      </c>
      <c r="C2909" s="55" t="n">
        <v>21</v>
      </c>
      <c r="D2909" s="55" t="s">
        <v>4698</v>
      </c>
      <c r="E2909" s="66" t="s">
        <v>2920</v>
      </c>
      <c r="F2909" s="55"/>
      <c r="G2909" s="66" t="s">
        <v>1122</v>
      </c>
      <c r="H2909" s="55"/>
    </row>
    <row r="2910" customFormat="false" ht="15" hidden="false" customHeight="false" outlineLevel="0" collapsed="false">
      <c r="A2910" s="55" t="s">
        <v>4631</v>
      </c>
      <c r="B2910" s="55" t="s">
        <v>2574</v>
      </c>
      <c r="C2910" s="55" t="n">
        <v>21</v>
      </c>
      <c r="D2910" s="55" t="s">
        <v>4700</v>
      </c>
      <c r="E2910" s="66" t="s">
        <v>4794</v>
      </c>
      <c r="F2910" s="55"/>
      <c r="G2910" s="66" t="s">
        <v>1122</v>
      </c>
      <c r="H2910" s="55"/>
    </row>
    <row r="2911" customFormat="false" ht="15" hidden="false" customHeight="false" outlineLevel="0" collapsed="false">
      <c r="A2911" s="55" t="s">
        <v>4631</v>
      </c>
      <c r="B2911" s="55" t="s">
        <v>4155</v>
      </c>
      <c r="C2911" s="55" t="n">
        <v>21</v>
      </c>
      <c r="D2911" s="55" t="s">
        <v>4701</v>
      </c>
      <c r="E2911" s="66" t="s">
        <v>4794</v>
      </c>
      <c r="F2911" s="55"/>
      <c r="G2911" s="66" t="s">
        <v>1122</v>
      </c>
      <c r="H2911" s="55"/>
    </row>
    <row r="2912" customFormat="false" ht="15" hidden="false" customHeight="false" outlineLevel="0" collapsed="false">
      <c r="A2912" s="55" t="s">
        <v>4631</v>
      </c>
      <c r="B2912" s="55" t="s">
        <v>4795</v>
      </c>
      <c r="C2912" s="55" t="n">
        <v>21</v>
      </c>
      <c r="D2912" s="55" t="s">
        <v>4703</v>
      </c>
      <c r="E2912" s="66" t="s">
        <v>2920</v>
      </c>
      <c r="F2912" s="55"/>
      <c r="G2912" s="66" t="s">
        <v>1122</v>
      </c>
      <c r="H2912" s="55"/>
    </row>
    <row r="2913" customFormat="false" ht="15" hidden="false" customHeight="false" outlineLevel="0" collapsed="false">
      <c r="A2913" s="55" t="s">
        <v>4631</v>
      </c>
      <c r="B2913" s="55" t="s">
        <v>2496</v>
      </c>
      <c r="C2913" s="55" t="n">
        <v>21</v>
      </c>
      <c r="D2913" s="55" t="s">
        <v>4704</v>
      </c>
      <c r="E2913" s="66" t="s">
        <v>2920</v>
      </c>
      <c r="F2913" s="55"/>
      <c r="G2913" s="66" t="s">
        <v>1122</v>
      </c>
      <c r="H2913" s="55"/>
    </row>
    <row r="2914" customFormat="false" ht="15" hidden="false" customHeight="false" outlineLevel="0" collapsed="false">
      <c r="A2914" s="55" t="s">
        <v>4631</v>
      </c>
      <c r="B2914" s="55" t="s">
        <v>1821</v>
      </c>
      <c r="C2914" s="55" t="n">
        <v>21</v>
      </c>
      <c r="D2914" s="55" t="s">
        <v>4705</v>
      </c>
      <c r="E2914" s="66" t="s">
        <v>2920</v>
      </c>
      <c r="F2914" s="55"/>
      <c r="G2914" s="66" t="s">
        <v>1122</v>
      </c>
      <c r="H2914" s="55"/>
    </row>
    <row r="2915" customFormat="false" ht="15" hidden="false" customHeight="false" outlineLevel="0" collapsed="false">
      <c r="A2915" s="55" t="s">
        <v>4631</v>
      </c>
      <c r="B2915" s="55" t="s">
        <v>2579</v>
      </c>
      <c r="C2915" s="55" t="n">
        <v>21</v>
      </c>
      <c r="D2915" s="55" t="s">
        <v>4706</v>
      </c>
      <c r="E2915" s="66" t="s">
        <v>2920</v>
      </c>
      <c r="F2915" s="55"/>
      <c r="G2915" s="66" t="s">
        <v>1122</v>
      </c>
      <c r="H2915" s="55"/>
    </row>
    <row r="2916" customFormat="false" ht="15" hidden="false" customHeight="false" outlineLevel="0" collapsed="false">
      <c r="A2916" s="55" t="s">
        <v>4631</v>
      </c>
      <c r="B2916" s="55" t="s">
        <v>3404</v>
      </c>
      <c r="C2916" s="55" t="n">
        <v>21</v>
      </c>
      <c r="D2916" s="55" t="s">
        <v>4707</v>
      </c>
      <c r="E2916" s="66" t="s">
        <v>2920</v>
      </c>
      <c r="F2916" s="55"/>
      <c r="G2916" s="66" t="s">
        <v>1122</v>
      </c>
      <c r="H2916" s="55"/>
    </row>
    <row r="2917" customFormat="false" ht="15" hidden="false" customHeight="false" outlineLevel="0" collapsed="false">
      <c r="A2917" s="55" t="s">
        <v>4631</v>
      </c>
      <c r="B2917" s="55" t="s">
        <v>3069</v>
      </c>
      <c r="C2917" s="55" t="n">
        <v>21</v>
      </c>
      <c r="D2917" s="55" t="s">
        <v>4691</v>
      </c>
      <c r="E2917" s="55" t="n">
        <v>1</v>
      </c>
      <c r="F2917" s="55"/>
      <c r="G2917" s="66" t="s">
        <v>1122</v>
      </c>
      <c r="H2917" s="55"/>
    </row>
    <row r="2918" customFormat="false" ht="15" hidden="false" customHeight="false" outlineLevel="0" collapsed="false">
      <c r="A2918" s="55" t="s">
        <v>4631</v>
      </c>
      <c r="B2918" s="55" t="s">
        <v>1822</v>
      </c>
      <c r="C2918" s="55" t="n">
        <v>21</v>
      </c>
      <c r="D2918" s="55" t="s">
        <v>4693</v>
      </c>
      <c r="E2918" s="55" t="n">
        <v>1</v>
      </c>
      <c r="F2918" s="55"/>
      <c r="G2918" s="66" t="s">
        <v>1122</v>
      </c>
      <c r="H2918" s="55"/>
    </row>
    <row r="2919" customFormat="false" ht="15" hidden="false" customHeight="false" outlineLevel="0" collapsed="false">
      <c r="A2919" s="55" t="s">
        <v>4631</v>
      </c>
      <c r="B2919" s="55" t="s">
        <v>2874</v>
      </c>
      <c r="C2919" s="55" t="n">
        <v>21</v>
      </c>
      <c r="D2919" s="55" t="s">
        <v>4695</v>
      </c>
      <c r="E2919" s="55" t="n">
        <v>1</v>
      </c>
      <c r="F2919" s="55"/>
      <c r="G2919" s="66" t="s">
        <v>1122</v>
      </c>
      <c r="H2919" s="55"/>
    </row>
    <row r="2920" customFormat="false" ht="15" hidden="false" customHeight="false" outlineLevel="0" collapsed="false">
      <c r="A2920" s="55" t="s">
        <v>4631</v>
      </c>
      <c r="B2920" s="55" t="s">
        <v>1362</v>
      </c>
      <c r="C2920" s="55" t="n">
        <v>21</v>
      </c>
      <c r="D2920" s="55" t="s">
        <v>4696</v>
      </c>
      <c r="E2920" s="55" t="n">
        <v>1</v>
      </c>
      <c r="F2920" s="55"/>
      <c r="G2920" s="66" t="s">
        <v>1122</v>
      </c>
      <c r="H2920" s="55"/>
    </row>
    <row r="2921" customFormat="false" ht="15" hidden="false" customHeight="false" outlineLevel="0" collapsed="false">
      <c r="A2921" s="55" t="s">
        <v>4631</v>
      </c>
      <c r="B2921" s="55" t="s">
        <v>3071</v>
      </c>
      <c r="C2921" s="55" t="n">
        <v>21</v>
      </c>
      <c r="D2921" s="55" t="s">
        <v>4698</v>
      </c>
      <c r="E2921" s="55" t="n">
        <v>1</v>
      </c>
      <c r="F2921" s="55"/>
      <c r="G2921" s="66" t="s">
        <v>1122</v>
      </c>
      <c r="H2921" s="55"/>
    </row>
    <row r="2922" customFormat="false" ht="15" hidden="false" customHeight="false" outlineLevel="0" collapsed="false">
      <c r="A2922" s="55" t="s">
        <v>4631</v>
      </c>
      <c r="B2922" s="55" t="s">
        <v>2580</v>
      </c>
      <c r="C2922" s="55" t="n">
        <v>21</v>
      </c>
      <c r="D2922" s="55" t="s">
        <v>4700</v>
      </c>
      <c r="E2922" s="55" t="n">
        <v>1</v>
      </c>
      <c r="F2922" s="55"/>
      <c r="G2922" s="66" t="s">
        <v>1122</v>
      </c>
      <c r="H2922" s="55"/>
    </row>
    <row r="2923" customFormat="false" ht="15" hidden="false" customHeight="false" outlineLevel="0" collapsed="false">
      <c r="A2923" s="55" t="s">
        <v>4631</v>
      </c>
      <c r="B2923" s="55" t="s">
        <v>4182</v>
      </c>
      <c r="C2923" s="55" t="n">
        <v>21</v>
      </c>
      <c r="D2923" s="55" t="s">
        <v>4701</v>
      </c>
      <c r="E2923" s="55" t="n">
        <v>1</v>
      </c>
      <c r="F2923" s="55"/>
      <c r="G2923" s="66" t="s">
        <v>1122</v>
      </c>
      <c r="H2923" s="55"/>
    </row>
    <row r="2924" customFormat="false" ht="15" hidden="false" customHeight="false" outlineLevel="0" collapsed="false">
      <c r="A2924" s="55" t="s">
        <v>4631</v>
      </c>
      <c r="B2924" s="55" t="s">
        <v>4796</v>
      </c>
      <c r="C2924" s="55" t="n">
        <v>21</v>
      </c>
      <c r="D2924" s="55" t="s">
        <v>4703</v>
      </c>
      <c r="E2924" s="55" t="n">
        <v>1</v>
      </c>
      <c r="F2924" s="55"/>
      <c r="G2924" s="66" t="s">
        <v>1122</v>
      </c>
      <c r="H2924" s="55"/>
    </row>
    <row r="2925" customFormat="false" ht="15" hidden="false" customHeight="false" outlineLevel="0" collapsed="false">
      <c r="A2925" s="55" t="s">
        <v>4631</v>
      </c>
      <c r="B2925" s="55" t="s">
        <v>2497</v>
      </c>
      <c r="C2925" s="55" t="n">
        <v>21</v>
      </c>
      <c r="D2925" s="55" t="s">
        <v>4704</v>
      </c>
      <c r="E2925" s="55" t="n">
        <v>1</v>
      </c>
      <c r="F2925" s="55"/>
      <c r="G2925" s="66" t="s">
        <v>1122</v>
      </c>
      <c r="H2925" s="55"/>
    </row>
    <row r="2926" customFormat="false" ht="15" hidden="false" customHeight="false" outlineLevel="0" collapsed="false">
      <c r="A2926" s="55" t="s">
        <v>4631</v>
      </c>
      <c r="B2926" s="55" t="s">
        <v>1837</v>
      </c>
      <c r="C2926" s="55" t="n">
        <v>21</v>
      </c>
      <c r="D2926" s="55" t="s">
        <v>4705</v>
      </c>
      <c r="E2926" s="55" t="n">
        <v>1</v>
      </c>
      <c r="F2926" s="55"/>
      <c r="G2926" s="66" t="s">
        <v>1122</v>
      </c>
      <c r="H2926" s="55"/>
    </row>
    <row r="2927" customFormat="false" ht="15" hidden="false" customHeight="false" outlineLevel="0" collapsed="false">
      <c r="A2927" s="55" t="s">
        <v>4631</v>
      </c>
      <c r="B2927" s="55" t="s">
        <v>2585</v>
      </c>
      <c r="C2927" s="55" t="n">
        <v>21</v>
      </c>
      <c r="D2927" s="55" t="s">
        <v>4706</v>
      </c>
      <c r="E2927" s="55" t="n">
        <v>1</v>
      </c>
      <c r="F2927" s="55"/>
      <c r="G2927" s="66" t="s">
        <v>1122</v>
      </c>
      <c r="H2927" s="55"/>
    </row>
    <row r="2928" customFormat="false" ht="15" hidden="false" customHeight="false" outlineLevel="0" collapsed="false">
      <c r="A2928" s="55" t="s">
        <v>4631</v>
      </c>
      <c r="B2928" s="55" t="s">
        <v>3406</v>
      </c>
      <c r="C2928" s="55" t="n">
        <v>21</v>
      </c>
      <c r="D2928" s="55" t="s">
        <v>4707</v>
      </c>
      <c r="E2928" s="55" t="n">
        <v>1</v>
      </c>
      <c r="F2928" s="55"/>
      <c r="G2928" s="66" t="s">
        <v>1122</v>
      </c>
      <c r="H2928" s="55"/>
    </row>
    <row r="2929" customFormat="false" ht="15" hidden="false" customHeight="false" outlineLevel="0" collapsed="false">
      <c r="A2929" s="55" t="s">
        <v>4631</v>
      </c>
      <c r="B2929" s="55" t="s">
        <v>3074</v>
      </c>
      <c r="C2929" s="55" t="n">
        <v>21</v>
      </c>
      <c r="D2929" s="55" t="s">
        <v>4691</v>
      </c>
      <c r="E2929" s="55" t="n">
        <v>0</v>
      </c>
      <c r="F2929" s="55"/>
      <c r="G2929" s="66" t="s">
        <v>1122</v>
      </c>
      <c r="H2929" s="55"/>
    </row>
    <row r="2930" customFormat="false" ht="15" hidden="false" customHeight="false" outlineLevel="0" collapsed="false">
      <c r="A2930" s="55" t="s">
        <v>4631</v>
      </c>
      <c r="B2930" s="55" t="s">
        <v>1838</v>
      </c>
      <c r="C2930" s="55" t="n">
        <v>21</v>
      </c>
      <c r="D2930" s="55" t="s">
        <v>4693</v>
      </c>
      <c r="E2930" s="55" t="n">
        <v>0</v>
      </c>
      <c r="F2930" s="55"/>
      <c r="G2930" s="66" t="s">
        <v>1122</v>
      </c>
      <c r="H2930" s="55"/>
    </row>
    <row r="2931" customFormat="false" ht="15" hidden="false" customHeight="false" outlineLevel="0" collapsed="false">
      <c r="A2931" s="55" t="s">
        <v>4631</v>
      </c>
      <c r="B2931" s="55" t="s">
        <v>2881</v>
      </c>
      <c r="C2931" s="55" t="n">
        <v>21</v>
      </c>
      <c r="D2931" s="55" t="s">
        <v>4695</v>
      </c>
      <c r="E2931" s="55" t="n">
        <v>0</v>
      </c>
      <c r="F2931" s="55"/>
      <c r="G2931" s="66" t="s">
        <v>1122</v>
      </c>
      <c r="H2931" s="55"/>
    </row>
    <row r="2932" customFormat="false" ht="15" hidden="false" customHeight="false" outlineLevel="0" collapsed="false">
      <c r="A2932" s="55" t="s">
        <v>4631</v>
      </c>
      <c r="B2932" s="55" t="s">
        <v>1364</v>
      </c>
      <c r="C2932" s="55" t="n">
        <v>21</v>
      </c>
      <c r="D2932" s="55" t="s">
        <v>4696</v>
      </c>
      <c r="E2932" s="55" t="n">
        <v>0</v>
      </c>
      <c r="F2932" s="55"/>
      <c r="G2932" s="66" t="s">
        <v>1122</v>
      </c>
      <c r="H2932" s="55"/>
    </row>
    <row r="2933" customFormat="false" ht="15" hidden="false" customHeight="false" outlineLevel="0" collapsed="false">
      <c r="A2933" s="55" t="s">
        <v>4631</v>
      </c>
      <c r="B2933" s="55" t="s">
        <v>3077</v>
      </c>
      <c r="C2933" s="55" t="n">
        <v>21</v>
      </c>
      <c r="D2933" s="55" t="s">
        <v>4698</v>
      </c>
      <c r="E2933" s="55" t="n">
        <v>0</v>
      </c>
      <c r="F2933" s="55"/>
      <c r="G2933" s="66" t="s">
        <v>1122</v>
      </c>
      <c r="H2933" s="55"/>
    </row>
    <row r="2934" customFormat="false" ht="15" hidden="false" customHeight="false" outlineLevel="0" collapsed="false">
      <c r="A2934" s="55" t="s">
        <v>4631</v>
      </c>
      <c r="B2934" s="55" t="s">
        <v>2586</v>
      </c>
      <c r="C2934" s="55" t="n">
        <v>21</v>
      </c>
      <c r="D2934" s="55" t="s">
        <v>4700</v>
      </c>
      <c r="E2934" s="55" t="n">
        <v>0</v>
      </c>
      <c r="F2934" s="55"/>
      <c r="G2934" s="66" t="s">
        <v>1122</v>
      </c>
      <c r="H2934" s="55"/>
    </row>
    <row r="2935" customFormat="false" ht="15" hidden="false" customHeight="false" outlineLevel="0" collapsed="false">
      <c r="A2935" s="55" t="s">
        <v>4631</v>
      </c>
      <c r="B2935" s="55" t="s">
        <v>4209</v>
      </c>
      <c r="C2935" s="55" t="n">
        <v>21</v>
      </c>
      <c r="D2935" s="55" t="s">
        <v>4701</v>
      </c>
      <c r="E2935" s="55" t="n">
        <v>0</v>
      </c>
      <c r="F2935" s="55"/>
      <c r="G2935" s="66" t="s">
        <v>1122</v>
      </c>
      <c r="H2935" s="55"/>
    </row>
    <row r="2936" customFormat="false" ht="15" hidden="false" customHeight="false" outlineLevel="0" collapsed="false">
      <c r="A2936" s="55" t="s">
        <v>4631</v>
      </c>
      <c r="B2936" s="55" t="s">
        <v>4797</v>
      </c>
      <c r="C2936" s="55" t="n">
        <v>21</v>
      </c>
      <c r="D2936" s="55" t="s">
        <v>4703</v>
      </c>
      <c r="E2936" s="55" t="n">
        <v>1</v>
      </c>
      <c r="F2936" s="55"/>
      <c r="G2936" s="66" t="s">
        <v>1122</v>
      </c>
      <c r="H2936" s="55"/>
    </row>
    <row r="2937" customFormat="false" ht="15" hidden="false" customHeight="false" outlineLevel="0" collapsed="false">
      <c r="A2937" s="55" t="s">
        <v>4631</v>
      </c>
      <c r="B2937" s="55" t="s">
        <v>2498</v>
      </c>
      <c r="C2937" s="55" t="n">
        <v>21</v>
      </c>
      <c r="D2937" s="55" t="s">
        <v>4704</v>
      </c>
      <c r="E2937" s="55" t="n">
        <v>1</v>
      </c>
      <c r="F2937" s="55"/>
      <c r="G2937" s="66" t="s">
        <v>1122</v>
      </c>
      <c r="H2937" s="55"/>
    </row>
    <row r="2938" customFormat="false" ht="15" hidden="false" customHeight="false" outlineLevel="0" collapsed="false">
      <c r="A2938" s="55" t="s">
        <v>4631</v>
      </c>
      <c r="B2938" s="55" t="s">
        <v>1853</v>
      </c>
      <c r="C2938" s="55" t="n">
        <v>21</v>
      </c>
      <c r="D2938" s="55" t="s">
        <v>4705</v>
      </c>
      <c r="E2938" s="55" t="n">
        <v>1</v>
      </c>
      <c r="F2938" s="55"/>
      <c r="G2938" s="66" t="s">
        <v>1122</v>
      </c>
      <c r="H2938" s="55"/>
    </row>
    <row r="2939" customFormat="false" ht="15" hidden="false" customHeight="false" outlineLevel="0" collapsed="false">
      <c r="A2939" s="55" t="s">
        <v>4631</v>
      </c>
      <c r="B2939" s="55" t="s">
        <v>2591</v>
      </c>
      <c r="C2939" s="55" t="n">
        <v>21</v>
      </c>
      <c r="D2939" s="55" t="s">
        <v>4706</v>
      </c>
      <c r="E2939" s="55" t="n">
        <v>1</v>
      </c>
      <c r="F2939" s="55"/>
      <c r="G2939" s="66" t="s">
        <v>1122</v>
      </c>
      <c r="H2939" s="55"/>
    </row>
    <row r="2940" customFormat="false" ht="15" hidden="false" customHeight="false" outlineLevel="0" collapsed="false">
      <c r="A2940" s="55" t="s">
        <v>4631</v>
      </c>
      <c r="B2940" s="55" t="s">
        <v>3409</v>
      </c>
      <c r="C2940" s="55" t="n">
        <v>21</v>
      </c>
      <c r="D2940" s="55" t="s">
        <v>4707</v>
      </c>
      <c r="E2940" s="55" t="n">
        <v>1</v>
      </c>
      <c r="F2940" s="55"/>
      <c r="G2940" s="66" t="s">
        <v>1122</v>
      </c>
      <c r="H2940" s="55"/>
    </row>
    <row r="2941" customFormat="false" ht="15" hidden="false" customHeight="false" outlineLevel="0" collapsed="false">
      <c r="A2941" s="19" t="s">
        <v>3369</v>
      </c>
      <c r="B2941" s="19" t="s">
        <v>1303</v>
      </c>
      <c r="C2941" s="19" t="n">
        <v>22</v>
      </c>
      <c r="D2941" s="19" t="s">
        <v>4798</v>
      </c>
      <c r="E2941" s="19" t="n">
        <v>32</v>
      </c>
      <c r="F2941" s="17" t="s">
        <v>4799</v>
      </c>
      <c r="G2941" s="17" t="s">
        <v>1104</v>
      </c>
      <c r="H2941" s="19"/>
    </row>
    <row r="2942" customFormat="false" ht="15" hidden="false" customHeight="false" outlineLevel="0" collapsed="false">
      <c r="A2942" s="19" t="s">
        <v>3369</v>
      </c>
      <c r="B2942" s="19" t="s">
        <v>1650</v>
      </c>
      <c r="C2942" s="19" t="n">
        <v>22</v>
      </c>
      <c r="D2942" s="17" t="s">
        <v>812</v>
      </c>
      <c r="E2942" s="19" t="n">
        <v>0.492</v>
      </c>
      <c r="F2942" s="17" t="s">
        <v>4800</v>
      </c>
      <c r="G2942" s="17" t="s">
        <v>1104</v>
      </c>
      <c r="H2942" s="19"/>
    </row>
    <row r="2943" customFormat="false" ht="15" hidden="false" customHeight="false" outlineLevel="0" collapsed="false">
      <c r="A2943" s="19" t="s">
        <v>3369</v>
      </c>
      <c r="B2943" s="19" t="s">
        <v>1274</v>
      </c>
      <c r="C2943" s="19" t="n">
        <v>22</v>
      </c>
      <c r="D2943" s="17" t="s">
        <v>4801</v>
      </c>
      <c r="E2943" s="19" t="n">
        <v>4224</v>
      </c>
      <c r="F2943" s="17" t="s">
        <v>4802</v>
      </c>
      <c r="G2943" s="17" t="s">
        <v>1104</v>
      </c>
      <c r="H2943" s="19"/>
    </row>
    <row r="2944" customFormat="false" ht="15" hidden="false" customHeight="false" outlineLevel="0" collapsed="false">
      <c r="A2944" s="19" t="s">
        <v>3369</v>
      </c>
      <c r="B2944" s="19" t="s">
        <v>1655</v>
      </c>
      <c r="C2944" s="19" t="n">
        <v>22</v>
      </c>
      <c r="D2944" s="17" t="s">
        <v>4803</v>
      </c>
      <c r="E2944" s="19" t="n">
        <v>128</v>
      </c>
      <c r="F2944" s="17" t="s">
        <v>4804</v>
      </c>
      <c r="G2944" s="17" t="s">
        <v>1104</v>
      </c>
      <c r="H2944" s="19"/>
    </row>
    <row r="2945" customFormat="false" ht="15" hidden="false" customHeight="false" outlineLevel="0" collapsed="false">
      <c r="A2945" s="19" t="s">
        <v>3369</v>
      </c>
      <c r="B2945" s="19" t="s">
        <v>1472</v>
      </c>
      <c r="C2945" s="19" t="n">
        <v>22</v>
      </c>
      <c r="D2945" s="17" t="s">
        <v>4805</v>
      </c>
      <c r="E2945" s="19" t="n">
        <v>128</v>
      </c>
      <c r="F2945" s="17" t="s">
        <v>4806</v>
      </c>
      <c r="G2945" s="17" t="s">
        <v>1104</v>
      </c>
      <c r="H2945" s="19"/>
    </row>
    <row r="2946" customFormat="false" ht="15" hidden="false" customHeight="false" outlineLevel="0" collapsed="false">
      <c r="A2946" s="19" t="s">
        <v>3369</v>
      </c>
      <c r="B2946" s="19" t="s">
        <v>2374</v>
      </c>
      <c r="C2946" s="19" t="n">
        <v>22</v>
      </c>
      <c r="D2946" s="19" t="s">
        <v>829</v>
      </c>
      <c r="E2946" s="19" t="n">
        <v>8704</v>
      </c>
      <c r="F2946" s="17" t="s">
        <v>4807</v>
      </c>
      <c r="G2946" s="17" t="s">
        <v>1104</v>
      </c>
      <c r="H2946" s="19"/>
    </row>
    <row r="2947" customFormat="false" ht="15" hidden="false" customHeight="false" outlineLevel="0" collapsed="false">
      <c r="A2947" s="19" t="s">
        <v>3369</v>
      </c>
      <c r="B2947" s="19" t="s">
        <v>2055</v>
      </c>
      <c r="C2947" s="19" t="n">
        <v>22</v>
      </c>
      <c r="D2947" s="19" t="s">
        <v>858</v>
      </c>
      <c r="E2947" s="19" t="n">
        <v>131.524870545408</v>
      </c>
      <c r="F2947" s="17" t="s">
        <v>4808</v>
      </c>
      <c r="G2947" s="17" t="s">
        <v>1104</v>
      </c>
      <c r="H2947" s="19"/>
    </row>
    <row r="2948" customFormat="false" ht="15" hidden="false" customHeight="false" outlineLevel="0" collapsed="false">
      <c r="A2948" s="19" t="s">
        <v>3369</v>
      </c>
      <c r="B2948" s="19" t="s">
        <v>1199</v>
      </c>
      <c r="C2948" s="19" t="n">
        <v>22</v>
      </c>
      <c r="D2948" s="17" t="s">
        <v>861</v>
      </c>
      <c r="E2948" s="19" t="n">
        <v>259.2</v>
      </c>
      <c r="F2948" s="17" t="s">
        <v>4809</v>
      </c>
      <c r="G2948" s="17" t="s">
        <v>1104</v>
      </c>
      <c r="H2948" s="19"/>
    </row>
    <row r="2949" customFormat="false" ht="15" hidden="false" customHeight="false" outlineLevel="0" collapsed="false">
      <c r="A2949" s="19" t="s">
        <v>3369</v>
      </c>
      <c r="B2949" s="19" t="s">
        <v>1373</v>
      </c>
      <c r="C2949" s="19" t="n">
        <v>22</v>
      </c>
      <c r="D2949" s="17" t="s">
        <v>772</v>
      </c>
      <c r="E2949" s="19" t="n">
        <v>15</v>
      </c>
      <c r="F2949" s="17" t="s">
        <v>4810</v>
      </c>
      <c r="G2949" s="17" t="s">
        <v>1104</v>
      </c>
      <c r="H2949" s="19"/>
    </row>
    <row r="2950" customFormat="false" ht="15" hidden="false" customHeight="false" outlineLevel="0" collapsed="false">
      <c r="A2950" s="19" t="s">
        <v>3369</v>
      </c>
      <c r="B2950" s="19" t="s">
        <v>2075</v>
      </c>
      <c r="C2950" s="19" t="n">
        <v>22</v>
      </c>
      <c r="D2950" s="19" t="s">
        <v>858</v>
      </c>
      <c r="E2950" s="19" t="n">
        <v>131.524870545408</v>
      </c>
      <c r="F2950" s="17" t="s">
        <v>4811</v>
      </c>
      <c r="G2950" s="17" t="s">
        <v>1104</v>
      </c>
      <c r="H2950" s="19"/>
    </row>
    <row r="2951" customFormat="false" ht="15" hidden="false" customHeight="false" outlineLevel="0" collapsed="false">
      <c r="A2951" s="55" t="s">
        <v>4610</v>
      </c>
      <c r="B2951" s="55" t="s">
        <v>1205</v>
      </c>
      <c r="C2951" s="55" t="n">
        <v>22</v>
      </c>
      <c r="D2951" s="55" t="s">
        <v>4812</v>
      </c>
      <c r="E2951" s="55" t="n">
        <v>13</v>
      </c>
      <c r="F2951" s="55"/>
      <c r="G2951" s="66" t="s">
        <v>1122</v>
      </c>
      <c r="H2951" s="55"/>
    </row>
    <row r="2952" customFormat="false" ht="15" hidden="false" customHeight="false" outlineLevel="0" collapsed="false">
      <c r="A2952" s="55" t="s">
        <v>4610</v>
      </c>
      <c r="B2952" s="55" t="s">
        <v>1120</v>
      </c>
      <c r="C2952" s="55" t="n">
        <v>22</v>
      </c>
      <c r="D2952" s="55" t="s">
        <v>4813</v>
      </c>
      <c r="E2952" s="55" t="n">
        <v>43</v>
      </c>
      <c r="F2952" s="55"/>
      <c r="G2952" s="66" t="s">
        <v>1122</v>
      </c>
      <c r="H2952" s="55"/>
    </row>
    <row r="2953" customFormat="false" ht="15" hidden="false" customHeight="false" outlineLevel="0" collapsed="false">
      <c r="A2953" s="55" t="s">
        <v>4610</v>
      </c>
      <c r="B2953" s="55" t="s">
        <v>1335</v>
      </c>
      <c r="C2953" s="55" t="n">
        <v>22</v>
      </c>
      <c r="D2953" s="55" t="s">
        <v>4814</v>
      </c>
      <c r="E2953" s="55" t="n">
        <v>256</v>
      </c>
      <c r="F2953" s="55"/>
      <c r="G2953" s="66" t="s">
        <v>1122</v>
      </c>
      <c r="H2953" s="55"/>
    </row>
    <row r="2954" customFormat="false" ht="15" hidden="false" customHeight="false" outlineLevel="0" collapsed="false">
      <c r="A2954" s="55" t="s">
        <v>4610</v>
      </c>
      <c r="B2954" s="55" t="s">
        <v>1382</v>
      </c>
      <c r="C2954" s="55" t="n">
        <v>22</v>
      </c>
      <c r="D2954" s="55" t="s">
        <v>4815</v>
      </c>
      <c r="E2954" s="55" t="n">
        <v>384</v>
      </c>
      <c r="F2954" s="55"/>
      <c r="G2954" s="66" t="s">
        <v>1122</v>
      </c>
      <c r="H2954" s="55"/>
    </row>
    <row r="2955" customFormat="false" ht="15" hidden="false" customHeight="false" outlineLevel="0" collapsed="false">
      <c r="A2955" s="55" t="s">
        <v>4610</v>
      </c>
      <c r="B2955" s="55" t="s">
        <v>1337</v>
      </c>
      <c r="C2955" s="55" t="n">
        <v>22</v>
      </c>
      <c r="D2955" s="55" t="s">
        <v>4816</v>
      </c>
      <c r="E2955" s="55" t="n">
        <v>6</v>
      </c>
      <c r="F2955" s="55"/>
      <c r="G2955" s="66" t="s">
        <v>1122</v>
      </c>
      <c r="H2955" s="55"/>
    </row>
    <row r="2956" customFormat="false" ht="15" hidden="false" customHeight="false" outlineLevel="0" collapsed="false">
      <c r="A2956" s="55" t="s">
        <v>4610</v>
      </c>
      <c r="B2956" s="55" t="s">
        <v>1277</v>
      </c>
      <c r="C2956" s="55" t="n">
        <v>22</v>
      </c>
      <c r="D2956" s="55" t="s">
        <v>4817</v>
      </c>
      <c r="E2956" s="55" t="n">
        <v>1600</v>
      </c>
      <c r="F2956" s="55"/>
      <c r="G2956" s="66" t="s">
        <v>1122</v>
      </c>
      <c r="H2956" s="55"/>
    </row>
    <row r="2957" customFormat="false" ht="15" hidden="false" customHeight="false" outlineLevel="0" collapsed="false">
      <c r="A2957" s="55" t="s">
        <v>4610</v>
      </c>
      <c r="B2957" s="55" t="s">
        <v>1308</v>
      </c>
      <c r="C2957" s="55" t="n">
        <v>22</v>
      </c>
      <c r="D2957" s="55" t="s">
        <v>4818</v>
      </c>
      <c r="E2957" s="55" t="n">
        <v>49</v>
      </c>
      <c r="F2957" s="55"/>
      <c r="G2957" s="66" t="s">
        <v>1122</v>
      </c>
      <c r="H2957" s="55"/>
    </row>
    <row r="2958" customFormat="false" ht="15" hidden="false" customHeight="false" outlineLevel="0" collapsed="false">
      <c r="A2958" s="55" t="s">
        <v>4610</v>
      </c>
      <c r="B2958" s="55" t="s">
        <v>1280</v>
      </c>
      <c r="C2958" s="55" t="n">
        <v>22</v>
      </c>
      <c r="D2958" s="55" t="s">
        <v>4819</v>
      </c>
      <c r="E2958" s="55" t="n">
        <v>61</v>
      </c>
      <c r="F2958" s="55"/>
      <c r="G2958" s="66" t="s">
        <v>1122</v>
      </c>
      <c r="H2958" s="55"/>
    </row>
    <row r="2959" customFormat="false" ht="15" hidden="false" customHeight="false" outlineLevel="0" collapsed="false">
      <c r="A2959" s="55" t="s">
        <v>4610</v>
      </c>
      <c r="B2959" s="55" t="s">
        <v>1228</v>
      </c>
      <c r="C2959" s="55" t="n">
        <v>22</v>
      </c>
      <c r="D2959" s="55" t="s">
        <v>4820</v>
      </c>
      <c r="E2959" s="55" t="n">
        <v>284</v>
      </c>
      <c r="F2959" s="55"/>
      <c r="G2959" s="66" t="s">
        <v>1122</v>
      </c>
      <c r="H2959" s="55"/>
    </row>
    <row r="2960" customFormat="false" ht="15" hidden="false" customHeight="false" outlineLevel="0" collapsed="false">
      <c r="A2960" s="55" t="s">
        <v>4506</v>
      </c>
      <c r="B2960" s="55" t="s">
        <v>4821</v>
      </c>
      <c r="C2960" s="55" t="n">
        <v>22</v>
      </c>
      <c r="D2960" s="55" t="s">
        <v>4758</v>
      </c>
      <c r="E2960" s="55" t="n">
        <v>1024</v>
      </c>
      <c r="F2960" s="55"/>
      <c r="G2960" s="66" t="s">
        <v>1122</v>
      </c>
      <c r="H2960" s="55"/>
    </row>
    <row r="2961" customFormat="false" ht="15" hidden="false" customHeight="false" outlineLevel="0" collapsed="false">
      <c r="A2961" s="55" t="s">
        <v>4506</v>
      </c>
      <c r="B2961" s="55" t="s">
        <v>1339</v>
      </c>
      <c r="C2961" s="55" t="n">
        <v>22</v>
      </c>
      <c r="D2961" s="55" t="s">
        <v>4756</v>
      </c>
      <c r="E2961" s="55" t="n">
        <v>9342.1</v>
      </c>
      <c r="F2961" s="55"/>
      <c r="G2961" s="66" t="s">
        <v>1122</v>
      </c>
      <c r="H2961" s="55"/>
    </row>
    <row r="2962" customFormat="false" ht="15" hidden="false" customHeight="false" outlineLevel="0" collapsed="false">
      <c r="A2962" s="55" t="s">
        <v>4506</v>
      </c>
      <c r="B2962" s="55" t="s">
        <v>1335</v>
      </c>
      <c r="C2962" s="55" t="n">
        <v>22</v>
      </c>
      <c r="D2962" s="55" t="s">
        <v>4758</v>
      </c>
      <c r="E2962" s="55" t="n">
        <v>3405.2</v>
      </c>
      <c r="F2962" s="55"/>
      <c r="G2962" s="66" t="s">
        <v>1122</v>
      </c>
      <c r="H2962" s="55"/>
    </row>
    <row r="2963" customFormat="false" ht="15" hidden="false" customHeight="false" outlineLevel="0" collapsed="false">
      <c r="A2963" s="55" t="s">
        <v>4506</v>
      </c>
      <c r="B2963" s="55" t="s">
        <v>1228</v>
      </c>
      <c r="C2963" s="55" t="n">
        <v>22</v>
      </c>
      <c r="D2963" s="55" t="s">
        <v>4822</v>
      </c>
      <c r="E2963" s="55" t="n">
        <v>0.7</v>
      </c>
      <c r="F2963" s="55"/>
      <c r="G2963" s="66" t="s">
        <v>1122</v>
      </c>
      <c r="H2963" s="55"/>
    </row>
    <row r="2964" customFormat="false" ht="15" hidden="false" customHeight="false" outlineLevel="0" collapsed="false">
      <c r="A2964" s="55" t="s">
        <v>1202</v>
      </c>
      <c r="B2964" s="55" t="s">
        <v>1337</v>
      </c>
      <c r="C2964" s="55" t="n">
        <v>22</v>
      </c>
      <c r="D2964" s="66" t="s">
        <v>4823</v>
      </c>
      <c r="E2964" s="55" t="n">
        <v>1</v>
      </c>
      <c r="F2964" s="55"/>
      <c r="G2964" s="66" t="s">
        <v>1122</v>
      </c>
      <c r="H2964" s="55" t="s">
        <v>343</v>
      </c>
    </row>
    <row r="2965" customFormat="false" ht="15" hidden="false" customHeight="false" outlineLevel="0" collapsed="false">
      <c r="A2965" s="19" t="s">
        <v>3365</v>
      </c>
      <c r="B2965" s="19" t="s">
        <v>1255</v>
      </c>
      <c r="C2965" s="19" t="n">
        <v>22</v>
      </c>
      <c r="D2965" s="17" t="s">
        <v>4824</v>
      </c>
      <c r="E2965" s="19" t="n">
        <v>1.979</v>
      </c>
      <c r="F2965" s="17" t="s">
        <v>4825</v>
      </c>
      <c r="G2965" s="17" t="s">
        <v>1104</v>
      </c>
      <c r="H2965" s="17" t="s">
        <v>226</v>
      </c>
    </row>
    <row r="2966" customFormat="false" ht="15" hidden="false" customHeight="false" outlineLevel="0" collapsed="false">
      <c r="A2966" s="19" t="s">
        <v>3365</v>
      </c>
      <c r="B2966" s="19" t="s">
        <v>1193</v>
      </c>
      <c r="C2966" s="19" t="n">
        <v>22</v>
      </c>
      <c r="D2966" s="17" t="s">
        <v>4826</v>
      </c>
      <c r="E2966" s="19" t="n">
        <v>1.979</v>
      </c>
      <c r="F2966" s="17" t="s">
        <v>4827</v>
      </c>
      <c r="G2966" s="17" t="s">
        <v>1104</v>
      </c>
      <c r="H2966" s="19" t="s">
        <v>278</v>
      </c>
    </row>
    <row r="2967" customFormat="false" ht="15" hidden="false" customHeight="false" outlineLevel="0" collapsed="false">
      <c r="A2967" s="19" t="s">
        <v>3365</v>
      </c>
      <c r="B2967" s="19" t="s">
        <v>1373</v>
      </c>
      <c r="C2967" s="19" t="n">
        <v>22</v>
      </c>
      <c r="D2967" s="17" t="s">
        <v>4824</v>
      </c>
      <c r="E2967" s="19" t="n">
        <v>10</v>
      </c>
      <c r="F2967" s="17" t="s">
        <v>4828</v>
      </c>
      <c r="G2967" s="17" t="s">
        <v>1104</v>
      </c>
      <c r="H2967" s="17" t="s">
        <v>226</v>
      </c>
    </row>
    <row r="2968" customFormat="false" ht="15" hidden="false" customHeight="false" outlineLevel="0" collapsed="false">
      <c r="A2968" s="19" t="s">
        <v>3365</v>
      </c>
      <c r="B2968" s="19" t="s">
        <v>2061</v>
      </c>
      <c r="C2968" s="19" t="n">
        <v>22</v>
      </c>
      <c r="D2968" s="17" t="s">
        <v>4826</v>
      </c>
      <c r="E2968" s="19" t="n">
        <v>10</v>
      </c>
      <c r="F2968" s="17" t="s">
        <v>4828</v>
      </c>
      <c r="G2968" s="17" t="s">
        <v>1104</v>
      </c>
      <c r="H2968" s="17" t="s">
        <v>226</v>
      </c>
    </row>
    <row r="2969" customFormat="false" ht="15" hidden="false" customHeight="false" outlineLevel="0" collapsed="false">
      <c r="A2969" s="19" t="s">
        <v>3365</v>
      </c>
      <c r="B2969" s="19" t="s">
        <v>1375</v>
      </c>
      <c r="C2969" s="19" t="n">
        <v>22</v>
      </c>
      <c r="D2969" s="17" t="s">
        <v>4824</v>
      </c>
      <c r="E2969" s="19" t="n">
        <v>15</v>
      </c>
      <c r="F2969" s="17" t="s">
        <v>4829</v>
      </c>
      <c r="G2969" s="17" t="s">
        <v>1104</v>
      </c>
      <c r="H2969" s="17" t="s">
        <v>226</v>
      </c>
    </row>
    <row r="2970" customFormat="false" ht="15" hidden="false" customHeight="false" outlineLevel="0" collapsed="false">
      <c r="A2970" s="19" t="s">
        <v>3365</v>
      </c>
      <c r="B2970" s="19" t="s">
        <v>2081</v>
      </c>
      <c r="C2970" s="19" t="n">
        <v>22</v>
      </c>
      <c r="D2970" s="17" t="s">
        <v>4826</v>
      </c>
      <c r="E2970" s="19" t="n">
        <v>15</v>
      </c>
      <c r="F2970" s="17" t="s">
        <v>4829</v>
      </c>
      <c r="G2970" s="17" t="s">
        <v>1104</v>
      </c>
      <c r="H2970" s="17" t="s">
        <v>226</v>
      </c>
    </row>
    <row r="2971" customFormat="false" ht="15" hidden="false" customHeight="false" outlineLevel="0" collapsed="false">
      <c r="A2971" s="19" t="s">
        <v>3365</v>
      </c>
      <c r="B2971" s="19" t="s">
        <v>1377</v>
      </c>
      <c r="C2971" s="19" t="n">
        <v>22</v>
      </c>
      <c r="D2971" s="17" t="s">
        <v>4824</v>
      </c>
      <c r="E2971" s="19" t="n">
        <v>35</v>
      </c>
      <c r="F2971" s="17" t="s">
        <v>4830</v>
      </c>
      <c r="G2971" s="17" t="s">
        <v>1104</v>
      </c>
      <c r="H2971" s="17" t="s">
        <v>226</v>
      </c>
    </row>
    <row r="2972" customFormat="false" ht="15" hidden="false" customHeight="false" outlineLevel="0" collapsed="false">
      <c r="A2972" s="19" t="s">
        <v>3365</v>
      </c>
      <c r="B2972" s="19" t="s">
        <v>2101</v>
      </c>
      <c r="C2972" s="19" t="n">
        <v>22</v>
      </c>
      <c r="D2972" s="17" t="s">
        <v>4826</v>
      </c>
      <c r="E2972" s="19" t="n">
        <v>50</v>
      </c>
      <c r="F2972" s="17" t="s">
        <v>4831</v>
      </c>
      <c r="G2972" s="17" t="s">
        <v>1104</v>
      </c>
      <c r="H2972" s="17" t="s">
        <v>226</v>
      </c>
    </row>
    <row r="2973" customFormat="false" ht="15" hidden="false" customHeight="false" outlineLevel="0" collapsed="false">
      <c r="A2973" s="55" t="s">
        <v>3365</v>
      </c>
      <c r="B2973" s="55" t="s">
        <v>2829</v>
      </c>
      <c r="C2973" s="55" t="n">
        <v>22</v>
      </c>
      <c r="D2973" s="66" t="s">
        <v>4832</v>
      </c>
      <c r="E2973" s="55" t="n">
        <v>70</v>
      </c>
      <c r="F2973" s="55"/>
      <c r="G2973" s="66" t="s">
        <v>1122</v>
      </c>
      <c r="H2973" s="55" t="s">
        <v>131</v>
      </c>
    </row>
    <row r="2974" customFormat="false" ht="15" hidden="false" customHeight="false" outlineLevel="0" collapsed="false">
      <c r="A2974" s="55" t="s">
        <v>3365</v>
      </c>
      <c r="B2974" s="55" t="s">
        <v>2119</v>
      </c>
      <c r="C2974" s="55" t="n">
        <v>22</v>
      </c>
      <c r="D2974" s="66" t="s">
        <v>4833</v>
      </c>
      <c r="E2974" s="55" t="n">
        <v>100</v>
      </c>
      <c r="F2974" s="55"/>
      <c r="G2974" s="66" t="s">
        <v>1122</v>
      </c>
      <c r="H2974" s="55" t="s">
        <v>131</v>
      </c>
    </row>
    <row r="2975" customFormat="false" ht="15" hidden="false" customHeight="false" outlineLevel="0" collapsed="false">
      <c r="A2975" s="19" t="s">
        <v>4315</v>
      </c>
      <c r="B2975" s="19" t="s">
        <v>2678</v>
      </c>
      <c r="C2975" s="19" t="n">
        <v>23</v>
      </c>
      <c r="D2975" s="19" t="s">
        <v>4638</v>
      </c>
      <c r="E2975" s="19" t="n">
        <v>128</v>
      </c>
      <c r="F2975" s="17" t="s">
        <v>4834</v>
      </c>
      <c r="G2975" s="17" t="s">
        <v>1104</v>
      </c>
      <c r="H2975" s="17" t="s">
        <v>226</v>
      </c>
    </row>
    <row r="2976" customFormat="false" ht="15" hidden="false" customHeight="false" outlineLevel="0" collapsed="false">
      <c r="A2976" s="19" t="s">
        <v>4315</v>
      </c>
      <c r="B2976" s="19" t="s">
        <v>1668</v>
      </c>
      <c r="C2976" s="19" t="n">
        <v>23</v>
      </c>
      <c r="D2976" s="19" t="s">
        <v>4640</v>
      </c>
      <c r="E2976" s="19" t="n">
        <v>512</v>
      </c>
      <c r="F2976" s="17" t="s">
        <v>4641</v>
      </c>
      <c r="G2976" s="17" t="s">
        <v>1104</v>
      </c>
      <c r="H2976" s="17" t="s">
        <v>226</v>
      </c>
    </row>
    <row r="2977" customFormat="false" ht="15" hidden="false" customHeight="false" outlineLevel="0" collapsed="false">
      <c r="A2977" s="19" t="s">
        <v>3369</v>
      </c>
      <c r="B2977" s="19" t="s">
        <v>1193</v>
      </c>
      <c r="C2977" s="19" t="n">
        <v>23</v>
      </c>
      <c r="D2977" s="19" t="s">
        <v>774</v>
      </c>
      <c r="E2977" s="19" t="n">
        <v>288</v>
      </c>
      <c r="F2977" s="17" t="s">
        <v>4835</v>
      </c>
      <c r="G2977" s="17" t="s">
        <v>1104</v>
      </c>
      <c r="H2977" s="19"/>
    </row>
    <row r="2978" customFormat="false" ht="15" hidden="false" customHeight="false" outlineLevel="0" collapsed="false">
      <c r="A2978" s="19" t="s">
        <v>3369</v>
      </c>
      <c r="B2978" s="19" t="s">
        <v>1664</v>
      </c>
      <c r="C2978" s="19" t="n">
        <v>23</v>
      </c>
      <c r="D2978" s="19" t="s">
        <v>4836</v>
      </c>
      <c r="E2978" s="19" t="n">
        <v>2096.512</v>
      </c>
      <c r="F2978" s="17" t="s">
        <v>4837</v>
      </c>
      <c r="G2978" s="17" t="s">
        <v>1104</v>
      </c>
      <c r="H2978" s="19"/>
    </row>
    <row r="2979" customFormat="false" ht="15" hidden="false" customHeight="false" outlineLevel="0" collapsed="false">
      <c r="A2979" s="55" t="s">
        <v>3369</v>
      </c>
      <c r="B2979" s="55" t="s">
        <v>2678</v>
      </c>
      <c r="C2979" s="55" t="n">
        <v>23</v>
      </c>
      <c r="D2979" s="66" t="s">
        <v>2486</v>
      </c>
      <c r="E2979" s="55" t="n">
        <v>3</v>
      </c>
      <c r="F2979" s="55"/>
      <c r="G2979" s="66" t="s">
        <v>1122</v>
      </c>
      <c r="H2979" s="55"/>
    </row>
    <row r="2980" customFormat="false" ht="15" hidden="false" customHeight="false" outlineLevel="0" collapsed="false">
      <c r="A2980" s="19" t="s">
        <v>3369</v>
      </c>
      <c r="B2980" s="19" t="s">
        <v>1285</v>
      </c>
      <c r="C2980" s="19" t="n">
        <v>23</v>
      </c>
      <c r="D2980" s="17" t="s">
        <v>796</v>
      </c>
      <c r="E2980" s="19" t="n">
        <v>49</v>
      </c>
      <c r="F2980" s="17" t="s">
        <v>4773</v>
      </c>
      <c r="G2980" s="17" t="s">
        <v>1104</v>
      </c>
      <c r="H2980" s="19"/>
    </row>
    <row r="2981" customFormat="false" ht="15" hidden="false" customHeight="false" outlineLevel="0" collapsed="false">
      <c r="A2981" s="19" t="s">
        <v>3369</v>
      </c>
      <c r="B2981" s="19" t="s">
        <v>2684</v>
      </c>
      <c r="C2981" s="19" t="n">
        <v>23</v>
      </c>
      <c r="D2981" s="17" t="s">
        <v>810</v>
      </c>
      <c r="E2981" s="19" t="n">
        <v>15990784</v>
      </c>
      <c r="F2981" s="17" t="s">
        <v>4776</v>
      </c>
      <c r="G2981" s="17" t="s">
        <v>1104</v>
      </c>
      <c r="H2981" s="19"/>
    </row>
    <row r="2982" customFormat="false" ht="15" hidden="false" customHeight="false" outlineLevel="0" collapsed="false">
      <c r="A2982" s="19" t="s">
        <v>3369</v>
      </c>
      <c r="B2982" s="19" t="s">
        <v>1679</v>
      </c>
      <c r="C2982" s="19" t="n">
        <v>23</v>
      </c>
      <c r="D2982" s="19" t="s">
        <v>4836</v>
      </c>
      <c r="E2982" s="19" t="n">
        <v>2096.512</v>
      </c>
      <c r="F2982" s="17" t="s">
        <v>4838</v>
      </c>
      <c r="G2982" s="17" t="s">
        <v>1104</v>
      </c>
      <c r="H2982" s="19"/>
    </row>
    <row r="2983" customFormat="false" ht="15" hidden="false" customHeight="false" outlineLevel="0" collapsed="false">
      <c r="A2983" s="55" t="s">
        <v>3680</v>
      </c>
      <c r="B2983" s="55" t="s">
        <v>1150</v>
      </c>
      <c r="C2983" s="55" t="n">
        <v>23</v>
      </c>
      <c r="D2983" s="55" t="s">
        <v>4839</v>
      </c>
      <c r="E2983" s="55" t="n">
        <v>10</v>
      </c>
      <c r="F2983" s="55"/>
      <c r="G2983" s="66" t="s">
        <v>1122</v>
      </c>
      <c r="H2983" s="55"/>
    </row>
    <row r="2984" customFormat="false" ht="15" hidden="false" customHeight="false" outlineLevel="0" collapsed="false">
      <c r="A2984" s="55" t="s">
        <v>3680</v>
      </c>
      <c r="B2984" s="55" t="s">
        <v>1153</v>
      </c>
      <c r="C2984" s="55" t="n">
        <v>23</v>
      </c>
      <c r="D2984" s="55" t="s">
        <v>4840</v>
      </c>
      <c r="E2984" s="55" t="n">
        <v>15</v>
      </c>
      <c r="F2984" s="55"/>
      <c r="G2984" s="66" t="s">
        <v>1122</v>
      </c>
      <c r="H2984" s="55"/>
    </row>
    <row r="2985" customFormat="false" ht="15" hidden="false" customHeight="false" outlineLevel="0" collapsed="false">
      <c r="A2985" s="55" t="s">
        <v>3680</v>
      </c>
      <c r="B2985" s="55" t="s">
        <v>1156</v>
      </c>
      <c r="C2985" s="55" t="n">
        <v>23</v>
      </c>
      <c r="D2985" s="55" t="s">
        <v>4841</v>
      </c>
      <c r="E2985" s="55" t="n">
        <v>50</v>
      </c>
      <c r="F2985" s="55"/>
      <c r="G2985" s="66" t="s">
        <v>1122</v>
      </c>
      <c r="H2985" s="55"/>
    </row>
    <row r="2986" customFormat="false" ht="15" hidden="false" customHeight="false" outlineLevel="0" collapsed="false">
      <c r="A2986" s="55" t="s">
        <v>3680</v>
      </c>
      <c r="B2986" s="55" t="s">
        <v>1385</v>
      </c>
      <c r="C2986" s="55" t="n">
        <v>23</v>
      </c>
      <c r="D2986" s="55" t="s">
        <v>4842</v>
      </c>
      <c r="E2986" s="55" t="n">
        <v>35</v>
      </c>
      <c r="F2986" s="55"/>
      <c r="G2986" s="66" t="s">
        <v>1122</v>
      </c>
      <c r="H2986" s="55"/>
    </row>
    <row r="2987" customFormat="false" ht="15" hidden="false" customHeight="false" outlineLevel="0" collapsed="false">
      <c r="A2987" s="19" t="s">
        <v>3369</v>
      </c>
      <c r="B2987" s="19" t="s">
        <v>1661</v>
      </c>
      <c r="C2987" s="19" t="n">
        <v>24</v>
      </c>
      <c r="D2987" s="19" t="s">
        <v>832</v>
      </c>
      <c r="E2987" s="19" t="n">
        <v>4096</v>
      </c>
      <c r="F2987" s="17" t="s">
        <v>4843</v>
      </c>
      <c r="G2987" s="17" t="s">
        <v>1104</v>
      </c>
      <c r="H2987" s="19"/>
    </row>
    <row r="2988" customFormat="false" ht="15" hidden="false" customHeight="false" outlineLevel="0" collapsed="false">
      <c r="A2988" s="19" t="s">
        <v>3369</v>
      </c>
      <c r="B2988" s="19" t="s">
        <v>1670</v>
      </c>
      <c r="C2988" s="19" t="n">
        <v>24</v>
      </c>
      <c r="D2988" s="17" t="s">
        <v>812</v>
      </c>
      <c r="E2988" s="19" t="n">
        <v>0.492</v>
      </c>
      <c r="F2988" s="17" t="s">
        <v>4800</v>
      </c>
      <c r="G2988" s="17" t="s">
        <v>1104</v>
      </c>
      <c r="H2988" s="19"/>
    </row>
    <row r="2989" customFormat="false" ht="15" hidden="false" customHeight="false" outlineLevel="0" collapsed="false">
      <c r="A2989" s="19" t="s">
        <v>3369</v>
      </c>
      <c r="B2989" s="19" t="s">
        <v>1287</v>
      </c>
      <c r="C2989" s="19" t="n">
        <v>24</v>
      </c>
      <c r="D2989" s="17" t="s">
        <v>4801</v>
      </c>
      <c r="E2989" s="19" t="n">
        <v>4224</v>
      </c>
      <c r="F2989" s="17" t="s">
        <v>4802</v>
      </c>
      <c r="G2989" s="17" t="s">
        <v>1104</v>
      </c>
      <c r="H2989" s="19"/>
    </row>
    <row r="2990" customFormat="false" ht="15" hidden="false" customHeight="false" outlineLevel="0" collapsed="false">
      <c r="A2990" s="19" t="s">
        <v>3369</v>
      </c>
      <c r="B2990" s="19" t="s">
        <v>1673</v>
      </c>
      <c r="C2990" s="19" t="n">
        <v>24</v>
      </c>
      <c r="D2990" s="17" t="s">
        <v>4803</v>
      </c>
      <c r="E2990" s="19" t="n">
        <v>128</v>
      </c>
      <c r="F2990" s="17" t="s">
        <v>4804</v>
      </c>
      <c r="G2990" s="17" t="s">
        <v>1104</v>
      </c>
      <c r="H2990" s="19"/>
    </row>
    <row r="2991" customFormat="false" ht="15" hidden="false" customHeight="false" outlineLevel="0" collapsed="false">
      <c r="A2991" s="19" t="s">
        <v>3369</v>
      </c>
      <c r="B2991" s="19" t="s">
        <v>1477</v>
      </c>
      <c r="C2991" s="19" t="n">
        <v>24</v>
      </c>
      <c r="D2991" s="17" t="s">
        <v>4805</v>
      </c>
      <c r="E2991" s="19" t="n">
        <v>128</v>
      </c>
      <c r="F2991" s="17" t="s">
        <v>4806</v>
      </c>
      <c r="G2991" s="17" t="s">
        <v>1104</v>
      </c>
      <c r="H2991" s="19"/>
    </row>
    <row r="2992" customFormat="false" ht="15" hidden="false" customHeight="false" outlineLevel="0" collapsed="false">
      <c r="A2992" s="19" t="s">
        <v>3369</v>
      </c>
      <c r="B2992" s="19" t="s">
        <v>1677</v>
      </c>
      <c r="C2992" s="19" t="n">
        <v>24</v>
      </c>
      <c r="D2992" s="19" t="s">
        <v>832</v>
      </c>
      <c r="E2992" s="19" t="n">
        <v>4096</v>
      </c>
      <c r="F2992" s="17" t="s">
        <v>4844</v>
      </c>
      <c r="G2992" s="17" t="s">
        <v>1104</v>
      </c>
      <c r="H2992" s="19"/>
    </row>
    <row r="2993" customFormat="false" ht="15" hidden="false" customHeight="false" outlineLevel="0" collapsed="false">
      <c r="A2993" s="55" t="s">
        <v>4610</v>
      </c>
      <c r="B2993" s="55" t="s">
        <v>1258</v>
      </c>
      <c r="C2993" s="55" t="n">
        <v>24</v>
      </c>
      <c r="D2993" s="55" t="s">
        <v>4845</v>
      </c>
      <c r="E2993" s="55" t="n">
        <v>128</v>
      </c>
      <c r="F2993" s="55"/>
      <c r="G2993" s="66" t="s">
        <v>1122</v>
      </c>
      <c r="H2993" s="55"/>
    </row>
    <row r="2994" customFormat="false" ht="15" hidden="false" customHeight="false" outlineLevel="0" collapsed="false">
      <c r="A2994" s="55" t="s">
        <v>4610</v>
      </c>
      <c r="B2994" s="55" t="s">
        <v>4347</v>
      </c>
      <c r="C2994" s="55" t="n">
        <v>24</v>
      </c>
      <c r="D2994" s="55" t="s">
        <v>4846</v>
      </c>
      <c r="E2994" s="55" t="n">
        <v>0.492</v>
      </c>
      <c r="F2994" s="55"/>
      <c r="G2994" s="66" t="s">
        <v>1122</v>
      </c>
      <c r="H2994" s="55"/>
    </row>
    <row r="2995" customFormat="false" ht="15" hidden="false" customHeight="false" outlineLevel="0" collapsed="false">
      <c r="A2995" s="55" t="s">
        <v>4506</v>
      </c>
      <c r="B2995" s="55" t="s">
        <v>4847</v>
      </c>
      <c r="C2995" s="55" t="n">
        <v>24</v>
      </c>
      <c r="D2995" s="55" t="s">
        <v>4756</v>
      </c>
      <c r="E2995" s="55" t="n">
        <v>8192</v>
      </c>
      <c r="F2995" s="55"/>
      <c r="G2995" s="66" t="s">
        <v>1122</v>
      </c>
      <c r="H2995" s="55"/>
    </row>
    <row r="2996" customFormat="false" ht="15" hidden="false" customHeight="false" outlineLevel="0" collapsed="false">
      <c r="A2996" s="55" t="s">
        <v>4506</v>
      </c>
      <c r="B2996" s="55" t="s">
        <v>4848</v>
      </c>
      <c r="C2996" s="55" t="n">
        <v>24</v>
      </c>
      <c r="D2996" s="55" t="s">
        <v>4756</v>
      </c>
      <c r="E2996" s="55" t="n">
        <v>1024</v>
      </c>
      <c r="F2996" s="55"/>
      <c r="G2996" s="66" t="s">
        <v>1122</v>
      </c>
      <c r="H2996" s="55"/>
    </row>
    <row r="2997" customFormat="false" ht="15" hidden="false" customHeight="false" outlineLevel="0" collapsed="false">
      <c r="A2997" s="55" t="s">
        <v>4506</v>
      </c>
      <c r="B2997" s="55" t="s">
        <v>4849</v>
      </c>
      <c r="C2997" s="55" t="n">
        <v>26</v>
      </c>
      <c r="D2997" s="55" t="s">
        <v>4758</v>
      </c>
      <c r="E2997" s="55" t="n">
        <v>8192</v>
      </c>
      <c r="F2997" s="55"/>
      <c r="G2997" s="66" t="s">
        <v>1122</v>
      </c>
      <c r="H2997" s="55"/>
    </row>
  </sheetData>
  <autoFilter ref="A4:H29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2026-10-18T01:47:51Z</dcterms:created>
  <dc:creator>openpyxl</dc:creator>
  <dc:description/>
  <dc:language>en-US</dc:language>
  <cp:lastModifiedBy/>
  <dcterms:modified xsi:type="dcterms:W3CDTF">2026-10-18T01:47:51Z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