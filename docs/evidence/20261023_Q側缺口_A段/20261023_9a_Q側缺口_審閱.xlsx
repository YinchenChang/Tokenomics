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結論" sheetId="1" state="visible" r:id="rId3"/>
    <sheet name="輸入" sheetId="2" state="visible" r:id="rId4"/>
    <sheet name="三因子" sheetId="3" state="visible" r:id="rId5"/>
    <sheet name="敏感度" sheetId="4" state="visible" r:id="rId6"/>
    <sheet name="支出路線對照" sheetId="5" state="visible" r:id="rId7"/>
    <sheet name="證據" sheetId="6" state="visible" r:id="rId8"/>
    <sheet name="衝突裁定" sheetId="7" state="visible" r:id="rId9"/>
    <sheet name="待判斷" sheetId="8" state="visible" r:id="rId10"/>
    <sheet name="方向與涵蓋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<sst xmlns="http://schemas.openxmlformats.org/spreadsheetml/2006/main" count="294" uniqueCount="238">
  <si>
    <r>
      <rPr>
        <b val="true"/>
        <sz val="12"/>
        <rFont val="Arial"/>
        <family val="0"/>
        <charset val="1"/>
      </rPr>
      <t xml:space="preserve">9a Q </t>
    </r>
    <r>
      <rPr>
        <b val="true"/>
        <sz val="12"/>
        <rFont val="Noto Sans CJK SC"/>
        <family val="2"/>
      </rPr>
      <t xml:space="preserve">側約 </t>
    </r>
    <r>
      <rPr>
        <b val="true"/>
        <sz val="12"/>
        <rFont val="Arial"/>
        <family val="0"/>
        <charset val="1"/>
      </rPr>
      <t xml:space="preserve">2 </t>
    </r>
    <r>
      <rPr>
        <b val="true"/>
        <sz val="12"/>
        <rFont val="Noto Sans CJK SC"/>
        <family val="2"/>
      </rPr>
      <t xml:space="preserve">倍缺口：審閱檔（</t>
    </r>
    <r>
      <rPr>
        <b val="true"/>
        <sz val="12"/>
        <rFont val="Arial"/>
        <family val="0"/>
        <charset val="1"/>
      </rPr>
      <t xml:space="preserve">2026-10-23</t>
    </r>
    <r>
      <rPr>
        <b val="true"/>
        <sz val="12"/>
        <rFont val="Noto Sans CJK SC"/>
        <family val="2"/>
      </rPr>
      <t xml:space="preserve">；唯讀查證，未改模型）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</si>
  <si>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v21.1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4ef0b0a</t>
    </r>
    <r>
      <rPr>
        <sz val="10"/>
        <rFont val="Noto Sans CJK SC"/>
        <family val="2"/>
      </rPr>
      <t xml:space="preserve">）。來源：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端查證筆記（</t>
    </r>
    <r>
      <rPr>
        <sz val="10"/>
        <rFont val="Arial"/>
        <family val="0"/>
        <charset val="1"/>
      </rPr>
      <t xml:space="preserve">Drive Tokenomics/</t>
    </r>
    <r>
      <rPr>
        <sz val="10"/>
        <rFont val="Noto Sans CJK SC"/>
        <family val="2"/>
      </rPr>
      <t xml:space="preserve">證據研究</t>
    </r>
    <r>
      <rPr>
        <sz val="10"/>
        <rFont val="Arial"/>
        <family val="0"/>
        <charset val="1"/>
      </rPr>
      <t xml:space="preserve">/20261023_9a_chat</t>
    </r>
    <r>
      <rPr>
        <sz val="10"/>
        <rFont val="Noto Sans CJK SC"/>
        <family val="2"/>
      </rPr>
      <t xml:space="preserve">端查證筆記</t>
    </r>
    <r>
      <rPr>
        <sz val="10"/>
        <rFont val="Arial"/>
        <family val="0"/>
        <charset val="1"/>
      </rPr>
      <t xml:space="preserve">.md</t>
    </r>
    <r>
      <rPr>
        <sz val="10"/>
        <rFont val="Noto Sans CJK SC"/>
        <family val="2"/>
      </rPr>
      <t xml:space="preserve">）＋ </t>
    </r>
    <r>
      <rPr>
        <sz val="10"/>
        <rFont val="Arial"/>
        <family val="0"/>
        <charset val="1"/>
      </rPr>
      <t xml:space="preserve">PR #155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CC A </t>
    </r>
    <r>
      <rPr>
        <sz val="10"/>
        <rFont val="Noto Sans CJK SC"/>
        <family val="2"/>
      </rPr>
      <t xml:space="preserve">段（</t>
    </r>
    <r>
      <rPr>
        <sz val="10"/>
        <rFont val="Arial"/>
        <family val="0"/>
        <charset val="1"/>
      </rPr>
      <t xml:space="preserve">docs/evidence/20261023_Q</t>
    </r>
    <r>
      <rPr>
        <sz val="10"/>
        <rFont val="Noto Sans CJK SC"/>
        <family val="2"/>
      </rPr>
      <t xml:space="preserve">側缺口</t>
    </r>
    <r>
      <rPr>
        <sz val="10"/>
        <rFont val="Arial"/>
        <family val="0"/>
        <charset val="1"/>
      </rPr>
      <t xml:space="preserve">_A</t>
    </r>
    <r>
      <rPr>
        <sz val="10"/>
        <rFont val="Noto Sans CJK SC"/>
        <family val="2"/>
      </rPr>
      <t xml:space="preserve">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</si>
  <si>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一句話結論：約 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倍缺口主要是「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實付算力單價高於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持有成本」（價格因子約 </t>
    </r>
    <r>
      <rPr>
        <b val="true"/>
        <sz val="10"/>
        <rFont val="Arial"/>
        <family val="0"/>
        <charset val="1"/>
      </rPr>
      <t xml:space="preserve">1.4–2.2 </t>
    </r>
    <r>
      <rPr>
        <b val="true"/>
        <sz val="10"/>
        <rFont val="Noto Sans CJK SC"/>
        <family val="2"/>
      </rPr>
      <t xml:space="preserve">倍），不是 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側（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）錯誤；</t>
    </r>
    <r>
      <rPr>
        <b val="true"/>
        <sz val="10"/>
        <rFont val="Arial"/>
        <family val="0"/>
        <charset val="1"/>
      </rPr>
      <t xml:space="preserve">9a </t>
    </r>
    <r>
      <rPr>
        <b val="true"/>
        <sz val="10"/>
        <rFont val="Noto Sans CJK SC"/>
        <family val="2"/>
      </rPr>
      <t xml:space="preserve">不構成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帳修正。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</si>
  <si>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恆等式：</t>
    </r>
    <r>
      <rPr>
        <sz val="10"/>
        <rFont val="Arial"/>
        <family val="0"/>
        <charset val="1"/>
      </rPr>
      <t xml:space="preserve">B4_Serve 0.41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84 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84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），所以 </t>
    </r>
    <r>
      <rPr>
        <sz val="10"/>
        <rFont val="Arial"/>
        <family val="0"/>
        <charset val="1"/>
      </rPr>
      <t xml:space="preserve">9a </t>
    </r>
    <r>
      <rPr>
        <sz val="10"/>
        <rFont val="Noto Sans CJK SC"/>
        <family val="2"/>
      </rPr>
      <t xml:space="preserve">比值 </t>
    </r>
    <r>
      <rPr>
        <sz val="10"/>
        <rFont val="Arial"/>
        <family val="0"/>
        <charset val="1"/>
      </rPr>
      <t xml:space="preserve">1.94 ≈ 2025 </t>
    </r>
    <r>
      <rPr>
        <sz val="10"/>
        <rFont val="Noto Sans CJK SC"/>
        <family val="2"/>
      </rPr>
      <t xml:space="preserve">全部算力支出 </t>
    </r>
    <r>
      <rPr>
        <sz val="10"/>
        <rFont val="Arial"/>
        <family val="0"/>
        <charset val="1"/>
      </rPr>
      <t xml:space="preserve">204 </t>
    </r>
    <r>
      <rPr>
        <sz val="10"/>
        <rFont val="Noto Sans CJK SC"/>
        <family val="2"/>
      </rPr>
      <t xml:space="preserve">億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（平均上線 </t>
    </r>
    <r>
      <rPr>
        <sz val="10"/>
        <rFont val="Arial"/>
        <family val="0"/>
        <charset val="1"/>
      </rPr>
      <t xml:space="preserve">GW 1.128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持有成本 </t>
    </r>
    <r>
      <rPr>
        <sz val="10"/>
        <rFont val="Arial"/>
        <family val="0"/>
        <charset val="1"/>
      </rPr>
      <t xml:space="preserve">9.353</t>
    </r>
    <r>
      <rPr>
        <sz val="10"/>
        <rFont val="Noto Sans CJK SC"/>
        <family val="2"/>
      </rPr>
      <t xml:space="preserve">）。見「三因子」。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</si>
  <si>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口徑因子約 </t>
    </r>
    <r>
      <rPr>
        <sz val="10"/>
        <rFont val="Arial"/>
        <family val="0"/>
        <charset val="1"/>
      </rPr>
      <t xml:space="preserve">1.0–1.27</t>
    </r>
    <r>
      <rPr>
        <sz val="10"/>
        <rFont val="Noto Sans CJK SC"/>
        <family val="2"/>
      </rPr>
      <t xml:space="preserve">：外流查核財報（</t>
    </r>
    <r>
      <rPr>
        <sz val="10"/>
        <rFont val="Arial"/>
        <family val="0"/>
        <charset val="1"/>
      </rPr>
      <t xml:space="preserve">FT </t>
    </r>
    <r>
      <rPr>
        <sz val="10"/>
        <rFont val="Noto Sans CJK SC"/>
        <family val="2"/>
      </rPr>
      <t xml:space="preserve">核實）付 </t>
    </r>
    <r>
      <rPr>
        <sz val="10"/>
        <rFont val="Arial"/>
        <family val="0"/>
        <charset val="1"/>
      </rPr>
      <t xml:space="preserve">Microsoft 172.1 </t>
    </r>
    <r>
      <rPr>
        <sz val="10"/>
        <rFont val="Noto Sans CJK SC"/>
        <family val="2"/>
      </rPr>
      <t xml:space="preserve">億（若含約 </t>
    </r>
    <r>
      <rPr>
        <sz val="10"/>
        <rFont val="Arial"/>
        <family val="0"/>
        <charset val="1"/>
      </rPr>
      <t xml:space="preserve">26 </t>
    </r>
    <r>
      <rPr>
        <sz val="10"/>
        <rFont val="Noto Sans CJK SC"/>
        <family val="2"/>
      </rPr>
      <t xml:space="preserve">億營收分成，則算力為 </t>
    </r>
    <r>
      <rPr>
        <sz val="10"/>
        <rFont val="Arial"/>
        <family val="0"/>
        <charset val="1"/>
      </rPr>
      <t xml:space="preserve">146 </t>
    </r>
    <r>
      <rPr>
        <sz val="10"/>
        <rFont val="Noto Sans CJK SC"/>
        <family val="2"/>
      </rPr>
      <t xml:space="preserve">億），加非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算力 </t>
    </r>
    <r>
      <rPr>
        <sz val="10"/>
        <rFont val="Arial"/>
        <family val="0"/>
        <charset val="1"/>
      </rPr>
      <t xml:space="preserve">14.5–44.5 </t>
    </r>
    <r>
      <rPr>
        <sz val="10"/>
        <rFont val="Noto Sans CJK SC"/>
        <family val="2"/>
      </rPr>
      <t xml:space="preserve">億，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全部算力約 </t>
    </r>
    <r>
      <rPr>
        <sz val="10"/>
        <rFont val="Arial"/>
        <family val="0"/>
        <charset val="1"/>
      </rPr>
      <t xml:space="preserve">161–217 </t>
    </r>
    <r>
      <rPr>
        <sz val="10"/>
        <rFont val="Noto Sans CJK SC"/>
        <family val="2"/>
      </rPr>
      <t xml:space="preserve">億，與 </t>
    </r>
    <r>
      <rPr>
        <sz val="10"/>
        <rFont val="Arial"/>
        <family val="0"/>
        <charset val="1"/>
      </rPr>
      <t xml:space="preserve">204 </t>
    </r>
    <r>
      <rPr>
        <sz val="10"/>
        <rFont val="Noto Sans CJK SC"/>
        <family val="2"/>
      </rPr>
      <t xml:space="preserve">相容；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</rPr>
      <t xml:space="preserve">引的 </t>
    </r>
    <r>
      <rPr>
        <sz val="10"/>
        <rFont val="Arial"/>
        <family val="0"/>
        <charset val="1"/>
      </rPr>
      <t xml:space="preserve">160 </t>
    </r>
    <r>
      <rPr>
        <sz val="10"/>
        <rFont val="Noto Sans CJK SC"/>
        <family val="2"/>
      </rPr>
      <t xml:space="preserve">億落在下界，不能據以說 </t>
    </r>
    <r>
      <rPr>
        <sz val="10"/>
        <rFont val="Arial"/>
        <family val="0"/>
        <charset val="1"/>
      </rPr>
      <t xml:space="preserve">204 </t>
    </r>
    <r>
      <rPr>
        <sz val="10"/>
        <rFont val="Noto Sans CJK SC"/>
        <family val="2"/>
      </rPr>
      <t xml:space="preserve">高估 </t>
    </r>
    <r>
      <rPr>
        <sz val="10"/>
        <rFont val="Arial"/>
        <family val="0"/>
        <charset val="1"/>
      </rPr>
      <t xml:space="preserve">27%</t>
    </r>
    <r>
      <rPr>
        <sz val="10"/>
        <rFont val="Noto Sans CJK SC"/>
        <family val="2"/>
      </rPr>
      <t xml:space="preserve">（見「衝突裁定」）。</t>
    </r>
  </si>
  <si>
    <r>
      <rPr>
        <sz val="10"/>
        <rFont val="Arial"/>
        <family val="0"/>
        <charset val="1"/>
      </rPr>
      <t xml:space="preserve">3. GW </t>
    </r>
    <r>
      <rPr>
        <sz val="10"/>
        <rFont val="Noto Sans CJK SC"/>
        <family val="2"/>
      </rPr>
      <t xml:space="preserve">因子 </t>
    </r>
    <r>
      <rPr>
        <sz val="10"/>
        <rFont val="Arial"/>
        <family val="0"/>
        <charset val="1"/>
      </rPr>
      <t xml:space="preserve">0.89–1.11</t>
    </r>
    <r>
      <rPr>
        <sz val="10"/>
        <rFont val="Noto Sans CJK SC"/>
        <family val="2"/>
      </rPr>
      <t xml:space="preserve">：官方年底 </t>
    </r>
    <r>
      <rPr>
        <sz val="10"/>
        <rFont val="Arial"/>
        <family val="0"/>
        <charset val="1"/>
      </rPr>
      <t xml:space="preserve">0.6→1.9 GW </t>
    </r>
    <r>
      <rPr>
        <sz val="10"/>
        <rFont val="Noto Sans CJK SC"/>
        <family val="2"/>
      </rPr>
      <t xml:space="preserve">內插平均 </t>
    </r>
    <r>
      <rPr>
        <sz val="10"/>
        <rFont val="Arial"/>
        <family val="0"/>
        <charset val="1"/>
      </rPr>
      <t xml:space="preserve">1.0–1.25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1.9 GW </t>
    </r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</rPr>
      <t xml:space="preserve">讀法已含 </t>
    </r>
    <r>
      <rPr>
        <sz val="10"/>
        <rFont val="Arial"/>
        <family val="0"/>
        <charset val="1"/>
      </rPr>
      <t xml:space="preserve">Azure</t>
    </r>
    <r>
      <rPr>
        <sz val="10"/>
        <rFont val="Noto Sans CJK SC"/>
        <family val="2"/>
      </rPr>
      <t xml:space="preserve">。要讓價格＝持有成本，平均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須約 </t>
    </r>
    <r>
      <rPr>
        <sz val="10"/>
        <rFont val="Arial"/>
        <family val="0"/>
        <charset val="1"/>
      </rPr>
      <t xml:space="preserve">1.7–2.3</t>
    </r>
    <r>
      <rPr>
        <sz val="10"/>
        <rFont val="Noto Sans CJK SC"/>
        <family val="2"/>
      </rPr>
      <t xml:space="preserve">（「三因子」</t>
    </r>
    <r>
      <rPr>
        <sz val="10"/>
        <rFont val="Arial"/>
        <family val="0"/>
        <charset val="1"/>
      </rPr>
      <t xml:space="preserve">B15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B16</t>
    </r>
    <r>
      <rPr>
        <sz val="10"/>
        <rFont val="Noto Sans CJK SC"/>
        <family val="2"/>
      </rPr>
      <t xml:space="preserve">，以查核帳 </t>
    </r>
    <r>
      <rPr>
        <sz val="10"/>
        <rFont val="Arial"/>
        <family val="0"/>
        <charset val="1"/>
      </rPr>
      <t xml:space="preserve">161–217 </t>
    </r>
    <r>
      <rPr>
        <sz val="10"/>
        <rFont val="Noto Sans CJK SC"/>
        <family val="2"/>
      </rPr>
      <t xml:space="preserve">億計），證據不支持。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</si>
  <si>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所以價格因子是殘差，必須約 </t>
    </r>
    <r>
      <rPr>
        <sz val="10"/>
        <rFont val="Arial"/>
        <family val="0"/>
        <charset val="1"/>
      </rPr>
      <t xml:space="preserve">1.4–2.2</t>
    </r>
    <r>
      <rPr>
        <sz val="10"/>
        <rFont val="Noto Sans CJK SC"/>
        <family val="2"/>
      </rPr>
      <t xml:space="preserve">（必須為真，見「三因子」第 </t>
    </r>
    <r>
      <rPr>
        <sz val="10"/>
        <rFont val="Arial"/>
        <family val="0"/>
        <charset val="1"/>
      </rPr>
      <t xml:space="preserve">13–14 </t>
    </r>
    <r>
      <rPr>
        <sz val="10"/>
        <rFont val="Noto Sans CJK SC"/>
        <family val="2"/>
      </rPr>
      <t xml:space="preserve">列與「敏感度」；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上限截在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，不截則上端 </t>
    </r>
    <r>
      <rPr>
        <sz val="10"/>
        <rFont val="Arial"/>
        <family val="0"/>
        <charset val="1"/>
      </rPr>
      <t xml:space="preserve">2.32</t>
    </r>
    <r>
      <rPr>
        <sz val="10"/>
        <rFont val="Noto Sans CJK SC"/>
        <family val="2"/>
      </rPr>
      <t xml:space="preserve">）。以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帳換一種切法（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70–100% </t>
    </r>
    <r>
      <rPr>
        <sz val="10"/>
        <rFont val="Noto Sans CJK SC"/>
        <family val="2"/>
      </rPr>
      <t xml:space="preserve">情境），隱含每 </t>
    </r>
    <r>
      <rPr>
        <sz val="10"/>
        <rFont val="Arial"/>
        <family val="0"/>
        <charset val="1"/>
      </rPr>
      <t xml:space="preserve">GW·</t>
    </r>
    <r>
      <rPr>
        <sz val="10"/>
        <rFont val="Noto Sans CJK SC"/>
        <family val="2"/>
      </rPr>
      <t xml:space="preserve">年為持有成本 </t>
    </r>
    <r>
      <rPr>
        <sz val="10"/>
        <rFont val="Arial"/>
        <family val="0"/>
        <charset val="1"/>
      </rPr>
      <t xml:space="preserve">1.38–2.33 </t>
    </r>
    <r>
      <rPr>
        <sz val="10"/>
        <rFont val="Noto Sans CJK SC"/>
        <family val="2"/>
      </rPr>
      <t xml:space="preserve">倍、約每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 </t>
    </r>
    <r>
      <rPr>
        <sz val="10"/>
        <rFont val="Arial"/>
        <family val="0"/>
        <charset val="1"/>
      </rPr>
      <t xml:space="preserve">2.3–3.9 </t>
    </r>
    <r>
      <rPr>
        <sz val="10"/>
        <rFont val="Noto Sans CJK SC"/>
        <family val="2"/>
      </rPr>
      <t xml:space="preserve">美元——與上句共用付 </t>
    </r>
    <r>
      <rPr>
        <sz val="10"/>
        <rFont val="Arial"/>
        <family val="0"/>
        <charset val="1"/>
      </rPr>
      <t xml:space="preserve">Microsoft 172.1 </t>
    </r>
    <r>
      <rPr>
        <sz val="10"/>
        <rFont val="Noto Sans CJK SC"/>
        <family val="2"/>
      </rPr>
      <t xml:space="preserve">億，不是獨立證據。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實付價的直接證據：無。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</si>
  <si>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與缺口恆等式相容（循環，非獨立印證）：若把模型的計價倍數 </t>
    </r>
    <r>
      <rPr>
        <sz val="10"/>
        <rFont val="Arial"/>
        <family val="0"/>
        <charset val="1"/>
      </rPr>
      <t xml:space="preserve">AL_SpendBasis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0.85 </t>
    </r>
    <r>
      <rPr>
        <sz val="10"/>
        <rFont val="Noto Sans CJK SC"/>
        <family val="2"/>
      </rPr>
      <t xml:space="preserve">改為約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1.4–2.2</t>
    </r>
    <r>
      <rPr>
        <sz val="10"/>
        <rFont val="Noto Sans CJK SC"/>
        <family val="2"/>
      </rPr>
      <t xml:space="preserve">），支出路線服務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1.06 </t>
    </r>
    <r>
      <rPr>
        <sz val="10"/>
        <rFont val="Noto Sans CJK SC"/>
        <family val="2"/>
      </rPr>
      <t xml:space="preserve">降到約 </t>
    </r>
    <r>
      <rPr>
        <sz val="10"/>
        <rFont val="Arial"/>
        <family val="0"/>
        <charset val="1"/>
      </rPr>
      <t xml:space="preserve">0.50</t>
    </r>
    <r>
      <rPr>
        <sz val="10"/>
        <rFont val="Noto Sans CJK SC"/>
        <family val="2"/>
      </rPr>
      <t xml:space="preserve">，接近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優先口徑 </t>
    </r>
    <r>
      <rPr>
        <sz val="10"/>
        <rFont val="Arial"/>
        <family val="0"/>
        <charset val="1"/>
      </rPr>
      <t xml:space="preserve">0.46——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1.94 </t>
    </r>
    <r>
      <rPr>
        <sz val="10"/>
        <rFont val="Noto Sans CJK SC"/>
        <family val="2"/>
      </rPr>
      <t xml:space="preserve">倍缺口下這是代數上必然。它說明 </t>
    </r>
    <r>
      <rPr>
        <sz val="10"/>
        <rFont val="Arial"/>
        <family val="0"/>
        <charset val="1"/>
      </rPr>
      <t xml:space="preserve">10-21 </t>
    </r>
    <r>
      <rPr>
        <sz val="10"/>
        <rFont val="Noto Sans CJK SC"/>
        <family val="2"/>
      </rPr>
      <t xml:space="preserve">起「支出路線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高估約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倍」與 </t>
    </r>
    <r>
      <rPr>
        <sz val="10"/>
        <rFont val="Arial"/>
        <family val="0"/>
        <charset val="1"/>
      </rPr>
      <t xml:space="preserve">9a </t>
    </r>
    <r>
      <rPr>
        <sz val="10"/>
        <rFont val="Noto Sans CJK SC"/>
        <family val="2"/>
      </rPr>
      <t xml:space="preserve">是同一件事：同一個價格假設。見「支出路線對照」。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</si>
  <si>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對模型的含義：主判讀（</t>
    </r>
    <r>
      <rPr>
        <sz val="10"/>
        <rFont val="Arial"/>
        <family val="0"/>
        <charset val="1"/>
      </rPr>
      <t xml:space="preserve">v20.0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優先、全部算力持有成本）不受影響；受影響的是 </t>
    </r>
    <r>
      <rPr>
        <sz val="10"/>
        <rFont val="Arial"/>
        <family val="0"/>
        <charset val="1"/>
      </rPr>
      <t xml:space="preserve">AL_SpendBasis 0.85 </t>
    </r>
    <r>
      <rPr>
        <sz val="10"/>
        <rFont val="Noto Sans CJK SC"/>
        <family val="2"/>
      </rPr>
      <t xml:space="preserve">及其對照列（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218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255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343 </t>
    </r>
    <r>
      <rPr>
        <sz val="10"/>
        <rFont val="Noto Sans CJK SC"/>
        <family val="2"/>
      </rPr>
      <t xml:space="preserve">列）。是否改值見「待判斷」</t>
    </r>
    <r>
      <rPr>
        <sz val="10"/>
        <rFont val="Arial"/>
        <family val="0"/>
        <charset val="1"/>
      </rPr>
      <t xml:space="preserve">J5</t>
    </r>
    <r>
      <rPr>
        <sz val="10"/>
        <rFont val="Noto Sans CJK SC"/>
        <family val="2"/>
      </rPr>
      <t xml:space="preserve">（判斷類，另開版本）。</t>
    </r>
  </si>
  <si>
    <r>
      <rPr>
        <sz val="10"/>
        <rFont val="Noto Sans CJK SC"/>
        <family val="2"/>
      </rPr>
      <t xml:space="preserve">最強反證：找不到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實付每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小時；訓練多以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抵用額度支付（</t>
    </r>
    <r>
      <rPr>
        <sz val="10"/>
        <rFont val="Arial"/>
        <family val="0"/>
        <charset val="1"/>
      </rPr>
      <t xml:space="preserve">TechCrunch</t>
    </r>
    <r>
      <rPr>
        <sz val="10"/>
        <rFont val="Noto Sans CJK SC"/>
        <family val="2"/>
      </rPr>
      <t xml:space="preserve">），若抵用額度以牌價入帳，價格因子部分是會計計價而非經濟成本——不改變「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側不是主因」，但會改變「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真實算力成本」的讀法。</t>
    </r>
  </si>
  <si>
    <r>
      <rPr>
        <sz val="10"/>
        <rFont val="Noto Sans CJK SC"/>
        <family val="2"/>
      </rPr>
      <t xml:space="preserve">證偽條件：</t>
    </r>
    <r>
      <rPr>
        <sz val="10"/>
        <rFont val="Arial"/>
        <family val="0"/>
        <charset val="1"/>
      </rPr>
      <t xml:space="preserve">(a) OpenAI 2025 </t>
    </r>
    <r>
      <rPr>
        <sz val="10"/>
        <rFont val="Noto Sans CJK SC"/>
        <family val="2"/>
      </rPr>
      <t xml:space="preserve">平均或季度 </t>
    </r>
    <r>
      <rPr>
        <sz val="10"/>
        <rFont val="Arial"/>
        <family val="0"/>
        <charset val="1"/>
      </rPr>
      <t xml:space="preserve">GW ≥ 1.8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(b) OpenAI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實付價 ≤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美元／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小時；</t>
    </r>
    <r>
      <rPr>
        <sz val="10"/>
        <rFont val="Arial"/>
        <family val="0"/>
        <charset val="1"/>
      </rPr>
      <t xml:space="preserve">(c)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Microsoft 172 </t>
    </r>
    <r>
      <rPr>
        <sz val="10"/>
        <rFont val="Noto Sans CJK SC"/>
        <family val="2"/>
      </rPr>
      <t xml:space="preserve">億中有大額非算力項。</t>
    </r>
  </si>
  <si>
    <r>
      <rPr>
        <sz val="10"/>
        <rFont val="Noto Sans CJK SC"/>
        <family val="2"/>
      </rPr>
      <t xml:space="preserve">標記：</t>
    </r>
    <r>
      <rPr>
        <sz val="10"/>
        <rFont val="Arial"/>
        <family val="0"/>
        <charset val="1"/>
      </rPr>
      <t xml:space="preserve">[Verified] SEC</t>
    </r>
    <r>
      <rPr>
        <sz val="10"/>
        <rFont val="Noto Sans CJK SC"/>
        <family val="2"/>
      </rPr>
      <t xml:space="preserve">／公司申報；</t>
    </r>
    <r>
      <rPr>
        <sz val="10"/>
        <rFont val="Arial"/>
        <family val="0"/>
        <charset val="1"/>
      </rPr>
      <t xml:space="preserve">[Verified-ish] </t>
    </r>
    <r>
      <rPr>
        <sz val="10"/>
        <rFont val="Noto Sans CJK SC"/>
        <family val="2"/>
      </rPr>
      <t xml:space="preserve">外流查核財報經 </t>
    </r>
    <r>
      <rPr>
        <sz val="10"/>
        <rFont val="Arial"/>
        <family val="0"/>
        <charset val="1"/>
      </rPr>
      <t xml:space="preserve">FT </t>
    </r>
    <r>
      <rPr>
        <sz val="10"/>
        <rFont val="Noto Sans CJK SC"/>
        <family val="2"/>
      </rPr>
      <t xml:space="preserve">核實；</t>
    </r>
    <r>
      <rPr>
        <sz val="10"/>
        <rFont val="Arial"/>
        <family val="0"/>
        <charset val="1"/>
      </rPr>
      <t xml:space="preserve">[Interested-party] </t>
    </r>
    <r>
      <rPr>
        <sz val="10"/>
        <rFont val="Noto Sans CJK SC"/>
        <family val="2"/>
      </rPr>
      <t xml:space="preserve">投資人資料、</t>
    </r>
    <r>
      <rPr>
        <sz val="10"/>
        <rFont val="Arial"/>
        <family val="0"/>
        <charset val="1"/>
      </rPr>
      <t xml:space="preserve">Zitron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[Derived] </t>
    </r>
    <r>
      <rPr>
        <sz val="10"/>
        <rFont val="Noto Sans CJK SC"/>
        <family val="2"/>
      </rPr>
      <t xml:space="preserve">本檔推算；</t>
    </r>
    <r>
      <rPr>
        <sz val="10"/>
        <rFont val="Arial"/>
        <family val="0"/>
        <charset val="1"/>
      </rPr>
      <t xml:space="preserve">[Assumed] </t>
    </r>
    <r>
      <rPr>
        <sz val="10"/>
        <rFont val="Noto Sans CJK SC"/>
        <family val="2"/>
      </rPr>
      <t xml:space="preserve">無依據。藍字＝輸入，黑字＝公式。</t>
    </r>
  </si>
  <si>
    <t xml:space="preserve">輸入</t>
  </si>
  <si>
    <t xml:space="preserve">值</t>
  </si>
  <si>
    <t xml:space="preserve">單位</t>
  </si>
  <si>
    <t xml:space="preserve">標記</t>
  </si>
  <si>
    <t xml:space="preserve">來源／說明</t>
  </si>
  <si>
    <r>
      <rPr>
        <sz val="10"/>
        <rFont val="Noto Sans CJK SC"/>
        <family val="2"/>
      </rPr>
      <t xml:space="preserve">平均上線 </t>
    </r>
    <r>
      <rPr>
        <sz val="10"/>
        <rFont val="Arial"/>
        <family val="0"/>
        <charset val="1"/>
      </rPr>
      <t xml:space="preserve">GW 2025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AL_FleetGW25</t>
    </r>
    <r>
      <rPr>
        <sz val="10"/>
        <rFont val="Noto Sans CJK SC"/>
        <family val="2"/>
      </rPr>
      <t xml:space="preserve">）</t>
    </r>
  </si>
  <si>
    <t xml:space="preserve">GW</t>
  </si>
  <si>
    <t xml:space="preserve">Derived</t>
  </si>
  <si>
    <r>
      <rPr>
        <sz val="10"/>
        <rFont val="Arial"/>
        <family val="0"/>
        <charset val="1"/>
      </rPr>
      <t xml:space="preserve">TK v21.1 Cap_In C331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0.6→1.9 GW </t>
    </r>
    <r>
      <rPr>
        <sz val="10"/>
        <rFont val="Noto Sans CJK SC"/>
        <family val="2"/>
      </rPr>
      <t xml:space="preserve">指數內插（</t>
    </r>
    <r>
      <rPr>
        <sz val="10"/>
        <rFont val="Arial"/>
        <family val="0"/>
        <charset val="1"/>
      </rPr>
      <t xml:space="preserve">SRC_DEM_008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009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</si>
  <si>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平均上線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低端</t>
    </r>
  </si>
  <si>
    <r>
      <rPr>
        <sz val="10"/>
        <rFont val="Arial"/>
        <family val="0"/>
        <charset val="1"/>
      </rPr>
      <t xml:space="preserve">TK Cap_In D331</t>
    </r>
    <r>
      <rPr>
        <sz val="10"/>
        <rFont val="Noto Sans CJK SC"/>
        <family val="2"/>
      </rPr>
      <t xml:space="preserve">（後段集中）</t>
    </r>
  </si>
  <si>
    <r>
      <rPr>
        <sz val="10"/>
        <rFont val="Noto Sans CJK SC"/>
        <family val="2"/>
      </rPr>
      <t xml:space="preserve">平均上線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高端</t>
    </r>
  </si>
  <si>
    <r>
      <rPr>
        <sz val="10"/>
        <rFont val="Arial"/>
        <family val="0"/>
        <charset val="1"/>
      </rPr>
      <t xml:space="preserve">TK Cap_In E331</t>
    </r>
    <r>
      <rPr>
        <sz val="10"/>
        <rFont val="Noto Sans CJK SC"/>
        <family val="2"/>
      </rPr>
      <t xml:space="preserve">（線性）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</si>
  <si>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年持有成本（</t>
    </r>
    <r>
      <rPr>
        <sz val="10"/>
        <rFont val="Arial"/>
        <family val="0"/>
        <charset val="1"/>
      </rPr>
      <t xml:space="preserve">AL_FleetHold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</si>
  <si>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$B/GW·</t>
    </r>
    <r>
      <rPr>
        <sz val="10"/>
        <rFont val="Noto Sans CJK SC"/>
        <family val="2"/>
      </rPr>
      <t xml:space="preserve">年</t>
    </r>
  </si>
  <si>
    <r>
      <rPr>
        <sz val="10"/>
        <rFont val="Arial"/>
        <family val="0"/>
        <charset val="1"/>
      </rPr>
      <t xml:space="preserve">TK v21.1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機隊 </t>
    </r>
    <r>
      <rPr>
        <sz val="10"/>
        <rFont val="Arial"/>
        <family val="0"/>
        <charset val="1"/>
      </rPr>
      <t xml:space="preserve">Hopper 0.6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0.4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</si>
  <si>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推論支出（</t>
    </r>
    <r>
      <rPr>
        <sz val="10"/>
        <rFont val="Arial"/>
        <family val="0"/>
        <charset val="1"/>
      </rPr>
      <t xml:space="preserve">SRC_DEM_004</t>
    </r>
    <r>
      <rPr>
        <sz val="10"/>
        <rFont val="Noto Sans CJK SC"/>
        <family val="2"/>
      </rPr>
      <t xml:space="preserve">）</t>
    </r>
  </si>
  <si>
    <t xml:space="preserve">$B</t>
  </si>
  <si>
    <t xml:space="preserve">Interested-party</t>
  </si>
  <si>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</rPr>
      <t xml:space="preserve">（付費牆）經二手轉述；含免費 </t>
    </r>
    <r>
      <rPr>
        <sz val="10"/>
        <rFont val="Arial"/>
        <family val="0"/>
        <charset val="1"/>
      </rPr>
      <t xml:space="preserve">3.9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</si>
  <si>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訓練支出（</t>
    </r>
    <r>
      <rPr>
        <sz val="10"/>
        <rFont val="Arial"/>
        <family val="0"/>
        <charset val="1"/>
      </rPr>
      <t xml:space="preserve">SRC_DEM_006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</si>
  <si>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出處待補；外部最近值為 </t>
    </r>
    <r>
      <rPr>
        <sz val="10"/>
        <rFont val="Arial"/>
        <family val="0"/>
        <charset val="1"/>
      </rPr>
      <t xml:space="preserve">2025-09 </t>
    </r>
    <r>
      <rPr>
        <sz val="10"/>
        <rFont val="Noto Sans CJK SC"/>
        <family val="2"/>
      </rPr>
      <t xml:space="preserve">預測「逾 </t>
    </r>
    <r>
      <rPr>
        <sz val="10"/>
        <rFont val="Arial"/>
        <family val="0"/>
        <charset val="1"/>
      </rPr>
      <t xml:space="preserve">90 </t>
    </r>
    <r>
      <rPr>
        <sz val="10"/>
        <rFont val="Noto Sans CJK SC"/>
        <family val="2"/>
      </rPr>
      <t xml:space="preserve">億」</t>
    </r>
  </si>
  <si>
    <r>
      <rPr>
        <sz val="10"/>
        <rFont val="Noto Sans CJK SC"/>
        <family val="2"/>
      </rPr>
      <t xml:space="preserve">對外服務占機隊（</t>
    </r>
    <r>
      <rPr>
        <sz val="10"/>
        <rFont val="Arial"/>
        <family val="0"/>
        <charset val="1"/>
      </rPr>
      <t xml:space="preserve">B4_Serve</t>
    </r>
    <r>
      <rPr>
        <sz val="10"/>
        <rFont val="Noto Sans CJK SC"/>
        <family val="2"/>
      </rPr>
      <t xml:space="preserve">）</t>
    </r>
  </si>
  <si>
    <t xml:space="preserve">比例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</si>
  <si>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Derived</t>
    </r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</si>
  <si>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84÷(84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120) </t>
    </r>
    <r>
      <rPr>
        <sz val="10"/>
        <rFont val="Noto Sans CJK SC"/>
        <family val="2"/>
      </rPr>
      <t xml:space="preserve">四捨五入</t>
    </r>
  </si>
  <si>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合計 </t>
    </r>
    <r>
      <rPr>
        <sz val="10"/>
        <rFont val="Arial"/>
        <family val="0"/>
        <charset val="1"/>
      </rPr>
      <t xml:space="preserve">2025</t>
    </r>
  </si>
  <si>
    <t xml:space="preserve">Verified-ish</t>
  </si>
  <si>
    <r>
      <rPr>
        <sz val="10"/>
        <rFont val="Noto Sans CJK SC"/>
        <family val="2"/>
      </rPr>
      <t xml:space="preserve">外流查核財報（</t>
    </r>
    <r>
      <rPr>
        <sz val="10"/>
        <rFont val="Arial"/>
        <family val="0"/>
        <charset val="1"/>
      </rPr>
      <t xml:space="preserve">FT </t>
    </r>
    <r>
      <rPr>
        <sz val="10"/>
        <rFont val="Noto Sans CJK SC"/>
        <family val="2"/>
      </rPr>
      <t xml:space="preserve">核實）：營業成本 </t>
    </r>
    <r>
      <rPr>
        <sz val="10"/>
        <rFont val="Arial"/>
        <family val="0"/>
        <charset val="1"/>
      </rPr>
      <t xml:space="preserve">6.047</t>
    </r>
    <r>
      <rPr>
        <sz val="10"/>
        <rFont val="Noto Sans CJK SC"/>
        <family val="2"/>
      </rPr>
      <t xml:space="preserve">＋研發 </t>
    </r>
    <r>
      <rPr>
        <sz val="10"/>
        <rFont val="Arial"/>
        <family val="0"/>
        <charset val="1"/>
      </rPr>
      <t xml:space="preserve">10.59</t>
    </r>
    <r>
      <rPr>
        <sz val="10"/>
        <rFont val="Noto Sans CJK SC"/>
        <family val="2"/>
      </rPr>
      <t xml:space="preserve">＋行銷 </t>
    </r>
    <r>
      <rPr>
        <sz val="10"/>
        <rFont val="Arial"/>
        <family val="0"/>
        <charset val="1"/>
      </rPr>
      <t xml:space="preserve">0.527</t>
    </r>
    <r>
      <rPr>
        <sz val="10"/>
        <rFont val="Noto Sans CJK SC"/>
        <family val="2"/>
      </rPr>
      <t xml:space="preserve">＋管理 </t>
    </r>
    <r>
      <rPr>
        <sz val="10"/>
        <rFont val="Arial"/>
        <family val="0"/>
        <charset val="1"/>
      </rPr>
      <t xml:space="preserve">0.042</t>
    </r>
  </si>
  <si>
    <t xml:space="preserve">其中可能為營收分成（若在帳內）</t>
  </si>
  <si>
    <t xml:space="preserve">Assumed</t>
  </si>
  <si>
    <r>
      <rPr>
        <sz val="10"/>
        <rFont val="Arial"/>
        <family val="0"/>
        <charset val="1"/>
      </rPr>
      <t xml:space="preserve">20%×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13.07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出自 </t>
    </r>
    <r>
      <rPr>
        <sz val="10"/>
        <rFont val="Arial"/>
        <family val="0"/>
        <charset val="1"/>
      </rPr>
      <t xml:space="preserve">Microsoft–OpenAI </t>
    </r>
    <r>
      <rPr>
        <sz val="10"/>
        <rFont val="Noto Sans CJK SC"/>
        <family val="2"/>
      </rPr>
      <t xml:space="preserve">協議的公開報導，</t>
    </r>
    <r>
      <rPr>
        <sz val="10"/>
        <rFont val="Arial"/>
        <family val="0"/>
        <charset val="1"/>
      </rPr>
      <t xml:space="preserve">The Register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om.co</t>
    </r>
    <r>
      <rPr>
        <sz val="10"/>
        <rFont val="Noto Sans CJK SC"/>
        <family val="2"/>
      </rPr>
      <t xml:space="preserve">）；記帳位置未找到（可能為營收減項）</t>
    </r>
  </si>
  <si>
    <r>
      <rPr>
        <sz val="10"/>
        <rFont val="Noto Sans CJK SC"/>
        <family val="2"/>
      </rPr>
      <t xml:space="preserve">營業成本中非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部分</t>
    </r>
  </si>
  <si>
    <t xml:space="preserve">7.5−6.047</t>
  </si>
  <si>
    <r>
      <rPr>
        <sz val="10"/>
        <rFont val="Noto Sans CJK SC"/>
        <family val="2"/>
      </rPr>
      <t xml:space="preserve">研發中非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算力 低</t>
    </r>
  </si>
  <si>
    <r>
      <rPr>
        <sz val="10"/>
        <rFont val="Noto Sans CJK SC"/>
        <family val="2"/>
      </rPr>
      <t xml:space="preserve">研發 </t>
    </r>
    <r>
      <rPr>
        <sz val="10"/>
        <rFont val="Arial"/>
        <family val="0"/>
        <charset val="1"/>
      </rPr>
      <t xml:space="preserve">19.18−10.59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8.59 </t>
    </r>
    <r>
      <rPr>
        <sz val="10"/>
        <rFont val="Noto Sans CJK SC"/>
        <family val="2"/>
      </rPr>
      <t xml:space="preserve">含人員與股份酬勞（</t>
    </r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億）</t>
    </r>
  </si>
  <si>
    <r>
      <rPr>
        <sz val="10"/>
        <rFont val="Noto Sans CJK SC"/>
        <family val="2"/>
      </rPr>
      <t xml:space="preserve">研發中非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算力 高</t>
    </r>
  </si>
  <si>
    <t xml:space="preserve">同上</t>
  </si>
  <si>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</rPr>
      <t xml:space="preserve">引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雲端總支出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</si>
  <si>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（媒體）</t>
    </r>
  </si>
  <si>
    <t xml:space="preserve">epoch.ai frontier-labs-dont-use-most-ai-compute</t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</si>
  <si>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推論前三季 </t>
    </r>
    <r>
      <rPr>
        <sz val="10"/>
        <rFont val="Arial"/>
        <family val="0"/>
        <charset val="1"/>
      </rPr>
      <t xml:space="preserve">2025</t>
    </r>
  </si>
  <si>
    <r>
      <rPr>
        <sz val="10"/>
        <rFont val="Arial"/>
        <family val="0"/>
        <charset val="1"/>
      </rPr>
      <t xml:space="preserve">Zitron </t>
    </r>
    <r>
      <rPr>
        <sz val="10"/>
        <rFont val="Noto Sans CJK SC"/>
        <family val="2"/>
      </rPr>
      <t xml:space="preserve">洩漏文件；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稱「不太正確」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</si>
  <si>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 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IF_GPUsPerGW</t>
    </r>
    <r>
      <rPr>
        <sz val="10"/>
        <rFont val="Noto Sans CJK SC"/>
        <family val="2"/>
      </rPr>
      <t xml:space="preserve">）</t>
    </r>
  </si>
  <si>
    <t xml:space="preserve">顆</t>
  </si>
  <si>
    <t xml:space="preserve">TK Interface C7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</si>
  <si>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 </t>
    </r>
    <r>
      <rPr>
        <sz val="10"/>
        <rFont val="Arial"/>
        <family val="0"/>
        <charset val="1"/>
      </rPr>
      <t xml:space="preserve">GB200</t>
    </r>
  </si>
  <si>
    <t xml:space="preserve">TK Interface F7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</si>
  <si>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機隊 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</si>
  <si>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TK AL_MixGen 2025</t>
    </r>
    <r>
      <rPr>
        <sz val="10"/>
        <rFont val="Noto Sans CJK SC"/>
        <family val="2"/>
      </rPr>
      <t xml:space="preserve">（模型標記沿用）</t>
    </r>
  </si>
  <si>
    <r>
      <rPr>
        <sz val="10"/>
        <rFont val="Noto Sans CJK SC"/>
        <family val="2"/>
      </rPr>
      <t xml:space="preserve">計價倍數（</t>
    </r>
    <r>
      <rPr>
        <sz val="10"/>
        <rFont val="Arial"/>
        <family val="0"/>
        <charset val="1"/>
      </rPr>
      <t xml:space="preserve">AL_SpendBasis</t>
    </r>
    <r>
      <rPr>
        <sz val="10"/>
        <rFont val="Noto Sans CJK SC"/>
        <family val="2"/>
      </rPr>
      <t xml:space="preserve">）現值</t>
    </r>
  </si>
  <si>
    <t xml:space="preserve">倍</t>
  </si>
  <si>
    <r>
      <rPr>
        <sz val="10"/>
        <rFont val="Arial"/>
        <family val="0"/>
        <charset val="1"/>
      </rPr>
      <t xml:space="preserve">TK Alloc_In C23</t>
    </r>
    <r>
      <rPr>
        <sz val="10"/>
        <rFont val="Noto Sans CJK SC"/>
        <family val="2"/>
      </rPr>
      <t xml:space="preserve">：推論支出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持有成本（模型標記沿用）</t>
    </r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</si>
  <si>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平均算力（情境）低</t>
    </r>
  </si>
  <si>
    <r>
      <rPr>
        <sz val="10"/>
        <rFont val="Noto Sans CJK SC"/>
        <family val="2"/>
      </rPr>
      <t xml:space="preserve">已搜尋，未找到占比（</t>
    </r>
    <r>
      <rPr>
        <sz val="10"/>
        <rFont val="Arial"/>
        <family val="0"/>
        <charset val="1"/>
      </rPr>
      <t xml:space="preserve">PR #155 W2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</si>
  <si>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平均算力（情境）中</t>
    </r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</si>
  <si>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平均算力（情境）高</t>
    </r>
  </si>
  <si>
    <t xml:space="preserve">項目</t>
  </si>
  <si>
    <t xml:space="preserve">公式說明</t>
  </si>
  <si>
    <r>
      <rPr>
        <sz val="10"/>
        <rFont val="Noto Sans CJK SC"/>
        <family val="2"/>
      </rPr>
      <t xml:space="preserve">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TK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</si>
  <si>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平均 </t>
    </r>
    <r>
      <rPr>
        <sz val="10"/>
        <rFont val="Arial"/>
        <family val="0"/>
        <charset val="1"/>
      </rPr>
      <t xml:space="preserve">GW × B4_Serve</t>
    </r>
  </si>
  <si>
    <r>
      <rPr>
        <sz val="10"/>
        <rFont val="Noto Sans CJK SC"/>
        <family val="2"/>
      </rPr>
      <t xml:space="preserve">服務算力成本 </t>
    </r>
    <r>
      <rPr>
        <sz val="10"/>
        <rFont val="Arial"/>
        <family val="0"/>
        <charset val="1"/>
      </rPr>
      <t xml:space="preserve">$B</t>
    </r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</si>
  <si>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持有成本</t>
    </r>
  </si>
  <si>
    <r>
      <rPr>
        <sz val="10"/>
        <rFont val="Arial"/>
        <family val="0"/>
        <charset val="1"/>
      </rPr>
      <t xml:space="preserve">9a </t>
    </r>
    <r>
      <rPr>
        <sz val="10"/>
        <rFont val="Noto Sans CJK SC"/>
        <family val="2"/>
      </rPr>
      <t xml:space="preserve">比值（推論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服務成本）</t>
    </r>
  </si>
  <si>
    <r>
      <rPr>
        <sz val="10"/>
        <rFont val="Noto Sans CJK SC"/>
        <family val="2"/>
      </rPr>
      <t xml:space="preserve">現行 </t>
    </r>
    <r>
      <rPr>
        <sz val="10"/>
        <rFont val="Arial"/>
        <family val="0"/>
        <charset val="1"/>
      </rPr>
      <t xml:space="preserve">1.94</t>
    </r>
  </si>
  <si>
    <r>
      <rPr>
        <sz val="10"/>
        <rFont val="Noto Sans CJK SC"/>
        <family val="2"/>
      </rPr>
      <t xml:space="preserve">全部算力 </t>
    </r>
    <r>
      <rPr>
        <sz val="10"/>
        <rFont val="Arial"/>
        <family val="0"/>
        <charset val="1"/>
      </rPr>
      <t xml:space="preserve">204 ÷ </t>
    </r>
    <r>
      <rPr>
        <sz val="10"/>
        <rFont val="Noto Sans CJK SC"/>
        <family val="2"/>
      </rPr>
      <t xml:space="preserve">全機隊持有成本</t>
    </r>
  </si>
  <si>
    <r>
      <rPr>
        <sz val="10"/>
        <rFont val="Noto Sans CJK SC"/>
        <family val="2"/>
      </rPr>
      <t xml:space="preserve">恆等式：與 </t>
    </r>
    <r>
      <rPr>
        <sz val="10"/>
        <rFont val="Arial"/>
        <family val="0"/>
        <charset val="1"/>
      </rPr>
      <t xml:space="preserve">9a </t>
    </r>
    <r>
      <rPr>
        <sz val="10"/>
        <rFont val="Noto Sans CJK SC"/>
        <family val="2"/>
      </rPr>
      <t xml:space="preserve">只差 </t>
    </r>
    <r>
      <rPr>
        <sz val="10"/>
        <rFont val="Arial"/>
        <family val="0"/>
        <charset val="1"/>
      </rPr>
      <t xml:space="preserve">B4_Serve </t>
    </r>
    <r>
      <rPr>
        <sz val="10"/>
        <rFont val="Noto Sans CJK SC"/>
        <family val="2"/>
      </rPr>
      <t xml:space="preserve">四捨五入</t>
    </r>
  </si>
  <si>
    <t xml:space="preserve">兩者比</t>
  </si>
  <si>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(84/204)/0.41</t>
    </r>
  </si>
  <si>
    <r>
      <rPr>
        <sz val="10"/>
        <rFont val="Noto Sans CJK SC"/>
        <family val="2"/>
      </rPr>
      <t xml:space="preserve">查核帳全部算力 低 </t>
    </r>
    <r>
      <rPr>
        <sz val="10"/>
        <rFont val="Arial"/>
        <family val="0"/>
        <charset val="1"/>
      </rPr>
      <t xml:space="preserve">$B</t>
    </r>
  </si>
  <si>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MS </t>
    </r>
    <r>
      <rPr>
        <sz val="10"/>
        <rFont val="Noto Sans CJK SC"/>
        <family val="2"/>
      </rPr>
      <t xml:space="preserve">扣營收分成＋營業成本非 </t>
    </r>
    <r>
      <rPr>
        <sz val="10"/>
        <rFont val="Arial"/>
        <family val="0"/>
        <charset val="1"/>
      </rPr>
      <t xml:space="preserve">MS</t>
    </r>
    <r>
      <rPr>
        <sz val="10"/>
        <rFont val="Noto Sans CJK SC"/>
        <family val="2"/>
      </rPr>
      <t xml:space="preserve">＋研發非 </t>
    </r>
    <r>
      <rPr>
        <sz val="10"/>
        <rFont val="Arial"/>
        <family val="0"/>
        <charset val="1"/>
      </rPr>
      <t xml:space="preserve">MS </t>
    </r>
    <r>
      <rPr>
        <sz val="10"/>
        <rFont val="Noto Sans CJK SC"/>
        <family val="2"/>
      </rPr>
      <t xml:space="preserve">低</t>
    </r>
  </si>
  <si>
    <r>
      <rPr>
        <sz val="10"/>
        <rFont val="Noto Sans CJK SC"/>
        <family val="2"/>
      </rPr>
      <t xml:space="preserve">查核帳全部算力 高 </t>
    </r>
    <r>
      <rPr>
        <sz val="10"/>
        <rFont val="Arial"/>
        <family val="0"/>
        <charset val="1"/>
      </rPr>
      <t xml:space="preserve">$B</t>
    </r>
  </si>
  <si>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MS </t>
    </r>
    <r>
      <rPr>
        <sz val="10"/>
        <rFont val="Noto Sans CJK SC"/>
        <family val="2"/>
      </rPr>
      <t xml:space="preserve">全額＋非 </t>
    </r>
    <r>
      <rPr>
        <sz val="10"/>
        <rFont val="Arial"/>
        <family val="0"/>
        <charset val="1"/>
      </rPr>
      <t xml:space="preserve">MS </t>
    </r>
    <r>
      <rPr>
        <sz val="10"/>
        <rFont val="Noto Sans CJK SC"/>
        <family val="2"/>
      </rPr>
      <t xml:space="preserve">高</t>
    </r>
  </si>
  <si>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低（查核低 </t>
    </r>
    <r>
      <rPr>
        <sz val="10"/>
        <rFont val="Arial"/>
        <family val="0"/>
        <charset val="1"/>
      </rPr>
      <t xml:space="preserve">÷ 204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</si>
  <si>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204 </t>
    </r>
    <r>
      <rPr>
        <sz val="10"/>
        <rFont val="Noto Sans CJK SC"/>
        <family val="2"/>
      </rPr>
      <t xml:space="preserve">中屬當年算力費用比例</t>
    </r>
  </si>
  <si>
    <r>
      <rPr>
        <sz val="10"/>
        <rFont val="Noto Sans CJK SC"/>
        <family val="2"/>
      </rPr>
      <t xml:space="preserve">口徑 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高（上限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</si>
  <si>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因子 低</t>
    </r>
  </si>
  <si>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因子 高</t>
    </r>
  </si>
  <si>
    <r>
      <rPr>
        <sz val="10"/>
        <rFont val="Noto Sans CJK SC"/>
        <family val="2"/>
      </rPr>
      <t xml:space="preserve">所需價格因子 低端（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高、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低）</t>
    </r>
  </si>
  <si>
    <r>
      <rPr>
        <sz val="10"/>
        <rFont val="Noto Sans CJK SC"/>
        <family val="2"/>
      </rPr>
      <t xml:space="preserve">總缺口 </t>
    </r>
    <r>
      <rPr>
        <sz val="10"/>
        <rFont val="Arial"/>
        <family val="0"/>
        <charset val="1"/>
      </rPr>
      <t xml:space="preserve">× s ÷ GW </t>
    </r>
    <r>
      <rPr>
        <sz val="10"/>
        <rFont val="Noto Sans CJK SC"/>
        <family val="2"/>
      </rPr>
      <t xml:space="preserve">因子</t>
    </r>
  </si>
  <si>
    <r>
      <rPr>
        <sz val="10"/>
        <rFont val="Noto Sans CJK SC"/>
        <family val="2"/>
      </rPr>
      <t xml:space="preserve">所需價格因子 高端（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低、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上限）</t>
    </r>
  </si>
  <si>
    <r>
      <rPr>
        <sz val="10"/>
        <rFont val="Noto Sans CJK SC"/>
        <family val="2"/>
      </rPr>
      <t xml:space="preserve">若價格＝持有成本，所需平均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（用查核低）</t>
    </r>
  </si>
  <si>
    <r>
      <rPr>
        <sz val="10"/>
        <rFont val="Noto Sans CJK SC"/>
        <family val="2"/>
      </rPr>
      <t xml:space="preserve">若價格＝持有成本，所需平均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（用查核高）</t>
    </r>
  </si>
  <si>
    <r>
      <rPr>
        <sz val="10"/>
        <rFont val="Noto Sans CJK SC"/>
        <family val="2"/>
      </rPr>
      <t xml:space="preserve">註：所需價格因子上端以 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截在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計；不截為 </t>
    </r>
    <r>
      <rPr>
        <sz val="10"/>
        <rFont val="Arial"/>
        <family val="0"/>
        <charset val="1"/>
      </rPr>
      <t xml:space="preserve">2.32</t>
    </r>
  </si>
  <si>
    <r>
      <rPr>
        <b val="true"/>
        <sz val="10"/>
        <rFont val="Noto Sans CJK SC"/>
        <family val="2"/>
      </rPr>
      <t xml:space="preserve">所需價格因子＝總缺口</t>
    </r>
    <r>
      <rPr>
        <b val="true"/>
        <sz val="10"/>
        <rFont val="Arial"/>
        <family val="0"/>
        <charset val="1"/>
      </rPr>
      <t xml:space="preserve">×s÷GW </t>
    </r>
    <r>
      <rPr>
        <b val="true"/>
        <sz val="10"/>
        <rFont val="Noto Sans CJK SC"/>
        <family val="2"/>
      </rPr>
      <t xml:space="preserve">因子</t>
    </r>
  </si>
  <si>
    <t xml:space="preserve">GW 1.0</t>
  </si>
  <si>
    <t xml:space="preserve">GW 1.128</t>
  </si>
  <si>
    <t xml:space="preserve">GW 1.25</t>
  </si>
  <si>
    <t xml:space="preserve">說明</t>
  </si>
  <si>
    <r>
      <rPr>
        <sz val="10"/>
        <rFont val="Arial"/>
        <family val="0"/>
        <charset val="1"/>
      </rPr>
      <t xml:space="preserve">s 0.78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Epoch 160÷204</t>
    </r>
    <r>
      <rPr>
        <sz val="10"/>
        <rFont val="Noto Sans CJK SC"/>
        <family val="2"/>
      </rPr>
      <t xml:space="preserve">（被查核帳取代，僅對照）</t>
    </r>
  </si>
  <si>
    <r>
      <rPr>
        <b val="true"/>
        <sz val="10"/>
        <rFont val="Noto Sans CJK SC"/>
        <family val="2"/>
      </rPr>
      <t xml:space="preserve">訓練支出敏感度（</t>
    </r>
    <r>
      <rPr>
        <b val="true"/>
        <sz val="10"/>
        <rFont val="Arial"/>
        <family val="0"/>
        <charset val="1"/>
      </rPr>
      <t xml:space="preserve">B4_Serve </t>
    </r>
    <r>
      <rPr>
        <b val="true"/>
        <sz val="10"/>
        <rFont val="Noto Sans CJK SC"/>
        <family val="2"/>
      </rPr>
      <t xml:space="preserve">隨之重算）</t>
    </r>
  </si>
  <si>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$B</t>
    </r>
  </si>
  <si>
    <t xml:space="preserve">B4_Serve</t>
  </si>
  <si>
    <r>
      <rPr>
        <b val="true"/>
        <sz val="10"/>
        <rFont val="Arial"/>
        <family val="0"/>
        <charset val="1"/>
      </rPr>
      <t xml:space="preserve">9a </t>
    </r>
    <r>
      <rPr>
        <b val="true"/>
        <sz val="10"/>
        <rFont val="Noto Sans CJK SC"/>
        <family val="2"/>
      </rPr>
      <t xml:space="preserve">比值（</t>
    </r>
    <r>
      <rPr>
        <b val="true"/>
        <sz val="10"/>
        <rFont val="Arial"/>
        <family val="0"/>
        <charset val="1"/>
      </rPr>
      <t xml:space="preserve">GW 1.128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</si>
  <si>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帳隱含價格（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占比情境）</t>
    </r>
  </si>
  <si>
    <r>
      <rPr>
        <b val="true"/>
        <sz val="10"/>
        <rFont val="Noto Sans CJK SC"/>
        <family val="2"/>
      </rPr>
      <t xml:space="preserve">付 </t>
    </r>
    <r>
      <rPr>
        <b val="true"/>
        <sz val="10"/>
        <rFont val="Arial"/>
        <family val="0"/>
        <charset val="1"/>
      </rPr>
      <t xml:space="preserve">MS </t>
    </r>
    <r>
      <rPr>
        <b val="true"/>
        <sz val="10"/>
        <rFont val="Noto Sans CJK SC"/>
        <family val="2"/>
      </rPr>
      <t xml:space="preserve">扣營收分成</t>
    </r>
  </si>
  <si>
    <r>
      <rPr>
        <b val="true"/>
        <sz val="10"/>
        <rFont val="Noto Sans CJK SC"/>
        <family val="2"/>
      </rPr>
      <t xml:space="preserve">付 </t>
    </r>
    <r>
      <rPr>
        <b val="true"/>
        <sz val="10"/>
        <rFont val="Arial"/>
        <family val="0"/>
        <charset val="1"/>
      </rPr>
      <t xml:space="preserve">MS </t>
    </r>
    <r>
      <rPr>
        <b val="true"/>
        <sz val="10"/>
        <rFont val="Noto Sans CJK SC"/>
        <family val="2"/>
      </rPr>
      <t xml:space="preserve">全額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</si>
  <si>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小時持有成本（</t>
    </r>
    <r>
      <rPr>
        <sz val="10"/>
        <rFont val="Arial"/>
        <family val="0"/>
        <charset val="1"/>
      </rPr>
      <t xml:space="preserve">TK</t>
    </r>
    <r>
      <rPr>
        <sz val="10"/>
        <rFont val="Noto Sans CJK SC"/>
        <family val="2"/>
      </rPr>
      <t xml:space="preserve">，美元）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</si>
  <si>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機隊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加權</t>
    </r>
  </si>
  <si>
    <r>
      <rPr>
        <b val="true"/>
        <sz val="10"/>
        <rFont val="Noto Sans CJK SC"/>
        <family val="2"/>
      </rPr>
      <t xml:space="preserve">計價倍數 </t>
    </r>
    <r>
      <rPr>
        <b val="true"/>
        <sz val="10"/>
        <rFont val="Arial"/>
        <family val="0"/>
        <charset val="1"/>
      </rPr>
      <t xml:space="preserve">AL_SpendBasis</t>
    </r>
  </si>
  <si>
    <r>
      <rPr>
        <b val="true"/>
        <sz val="10"/>
        <rFont val="Noto Sans CJK SC"/>
        <family val="2"/>
      </rPr>
      <t xml:space="preserve">支出路線服務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</si>
  <si>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說明（推論支出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倍數）</t>
    </r>
  </si>
  <si>
    <t xml:space="preserve">現值</t>
  </si>
  <si>
    <t xml:space="preserve">證據低端</t>
  </si>
  <si>
    <t xml:space="preserve">中點</t>
  </si>
  <si>
    <t xml:space="preserve">證據高端</t>
  </si>
  <si>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優先服務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TK L1_ServeGW_GW25</t>
    </r>
    <r>
      <rPr>
        <sz val="10"/>
        <rFont val="Noto Sans CJK SC"/>
        <family val="2"/>
      </rPr>
      <t xml:space="preserve">）</t>
    </r>
  </si>
  <si>
    <t xml:space="preserve">對照</t>
  </si>
  <si>
    <r>
      <rPr>
        <sz val="10"/>
        <rFont val="Noto Sans CJK SC"/>
        <family val="2"/>
      </rPr>
      <t xml:space="preserve">外部服務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10-21 token </t>
    </r>
    <r>
      <rPr>
        <sz val="10"/>
        <rFont val="Noto Sans CJK SC"/>
        <family val="2"/>
      </rPr>
      <t xml:space="preserve">帳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段）</t>
    </r>
  </si>
  <si>
    <t xml:space="preserve">0.5–0.63</t>
  </si>
  <si>
    <r>
      <rPr>
        <sz val="10"/>
        <rFont val="Noto Sans CJK SC"/>
        <family val="2"/>
      </rPr>
      <t xml:space="preserve">官方年底值內插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研發推論各半（</t>
    </r>
    <r>
      <rPr>
        <sz val="10"/>
        <rFont val="Arial"/>
        <family val="0"/>
        <charset val="1"/>
      </rPr>
      <t xml:space="preserve">Epoch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</si>
  <si>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註：</t>
    </r>
    <r>
      <rPr>
        <sz val="10"/>
        <rFont val="Arial"/>
        <family val="0"/>
        <charset val="1"/>
      </rPr>
      <t xml:space="preserve">TK Cap_In C109 </t>
    </r>
    <r>
      <rPr>
        <sz val="10"/>
        <rFont val="Noto Sans CJK SC"/>
        <family val="2"/>
      </rPr>
      <t xml:space="preserve">現值 </t>
    </r>
    <r>
      <rPr>
        <sz val="10"/>
        <rFont val="Arial"/>
        <family val="0"/>
        <charset val="1"/>
      </rPr>
      <t xml:space="preserve">1.0566</t>
    </r>
    <r>
      <rPr>
        <sz val="10"/>
        <rFont val="Noto Sans CJK SC"/>
        <family val="2"/>
      </rPr>
      <t xml:space="preserve">＝本表 </t>
    </r>
    <r>
      <rPr>
        <sz val="10"/>
        <rFont val="Arial"/>
        <family val="0"/>
        <charset val="1"/>
      </rPr>
      <t xml:space="preserve">C2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）；利用率修正在第 </t>
    </r>
    <r>
      <rPr>
        <sz val="10"/>
        <rFont val="Arial"/>
        <family val="0"/>
        <charset val="1"/>
      </rPr>
      <t xml:space="preserve">218 </t>
    </r>
    <r>
      <rPr>
        <sz val="10"/>
        <rFont val="Noto Sans CJK SC"/>
        <family val="2"/>
      </rPr>
      <t xml:space="preserve">列。</t>
    </r>
    <r>
      <rPr>
        <sz val="10"/>
        <rFont val="Arial"/>
        <family val="0"/>
        <charset val="1"/>
      </rPr>
      <t xml:space="preserve">0.50 </t>
    </r>
    <r>
      <rPr>
        <sz val="10"/>
        <rFont val="Noto Sans CJK SC"/>
        <family val="2"/>
      </rPr>
      <t xml:space="preserve">接近 </t>
    </r>
    <r>
      <rPr>
        <sz val="10"/>
        <rFont val="Arial"/>
        <family val="0"/>
        <charset val="1"/>
      </rPr>
      <t xml:space="preserve">0.46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"/>
      </rPr>
      <t xml:space="preserve">1.94 </t>
    </r>
    <r>
      <rPr>
        <sz val="10"/>
        <rFont val="Noto Sans CJK SC"/>
        <family val="2"/>
      </rPr>
      <t xml:space="preserve">倍缺口下的代數結果，非獨立印證。</t>
    </r>
  </si>
  <si>
    <t xml:space="preserve">編號</t>
  </si>
  <si>
    <t xml:space="preserve">主張</t>
  </si>
  <si>
    <t xml:space="preserve">數值</t>
  </si>
  <si>
    <t xml:space="preserve">來源</t>
  </si>
  <si>
    <t xml:space="preserve">對因子的含義</t>
  </si>
  <si>
    <t xml:space="preserve">C1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</si>
  <si>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營業成本 </t>
    </r>
    <r>
      <rPr>
        <sz val="10"/>
        <rFont val="Arial"/>
        <family val="0"/>
        <charset val="1"/>
      </rPr>
      <t xml:space="preserve">7.5</t>
    </r>
    <r>
      <rPr>
        <sz val="10"/>
        <rFont val="Noto Sans CJK SC"/>
        <family val="2"/>
      </rPr>
      <t xml:space="preserve">、研發 </t>
    </r>
    <r>
      <rPr>
        <sz val="10"/>
        <rFont val="Arial"/>
        <family val="0"/>
        <charset val="1"/>
      </rPr>
      <t xml:space="preserve">19.18</t>
    </r>
    <r>
      <rPr>
        <sz val="10"/>
        <rFont val="Noto Sans CJK SC"/>
        <family val="2"/>
      </rPr>
      <t xml:space="preserve">、行銷 </t>
    </r>
    <r>
      <rPr>
        <sz val="10"/>
        <rFont val="Arial"/>
        <family val="0"/>
        <charset val="1"/>
      </rPr>
      <t xml:space="preserve">5.73</t>
    </r>
    <r>
      <rPr>
        <sz val="10"/>
        <rFont val="Noto Sans CJK SC"/>
        <family val="2"/>
      </rPr>
      <t xml:space="preserve">、營收 </t>
    </r>
    <r>
      <rPr>
        <sz val="10"/>
        <rFont val="Arial"/>
        <family val="0"/>
        <charset val="1"/>
      </rPr>
      <t xml:space="preserve">13.07 $B</t>
    </r>
  </si>
  <si>
    <t xml:space="preserve">見主張</t>
  </si>
  <si>
    <r>
      <rPr>
        <sz val="10"/>
        <rFont val="Noto Sans CJK SC"/>
        <family val="2"/>
      </rPr>
      <t xml:space="preserve">外流查核財報，</t>
    </r>
    <r>
      <rPr>
        <sz val="10"/>
        <rFont val="Arial"/>
        <family val="0"/>
        <charset val="1"/>
      </rPr>
      <t xml:space="preserve">FT </t>
    </r>
    <r>
      <rPr>
        <sz val="10"/>
        <rFont val="Noto Sans CJK SC"/>
        <family val="2"/>
      </rPr>
      <t xml:space="preserve">核實（</t>
    </r>
    <r>
      <rPr>
        <sz val="10"/>
        <rFont val="Arial"/>
        <family val="0"/>
        <charset val="1"/>
      </rPr>
      <t xml:space="preserve">techstrong.ai </t>
    </r>
    <r>
      <rPr>
        <sz val="10"/>
        <rFont val="Noto Sans CJK SC"/>
        <family val="2"/>
      </rPr>
      <t xml:space="preserve">等轉述）</t>
    </r>
  </si>
  <si>
    <t xml:space="preserve">口徑：全部算力的上下界</t>
  </si>
  <si>
    <t xml:space="preserve">C2</t>
  </si>
  <si>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Microsoft 17.206 $B</t>
    </r>
    <r>
      <rPr>
        <sz val="10"/>
        <rFont val="Noto Sans CJK SC"/>
        <family val="2"/>
      </rPr>
      <t xml:space="preserve">（營業成本 </t>
    </r>
    <r>
      <rPr>
        <sz val="10"/>
        <rFont val="Arial"/>
        <family val="0"/>
        <charset val="1"/>
      </rPr>
      <t xml:space="preserve">6.047</t>
    </r>
    <r>
      <rPr>
        <sz val="10"/>
        <rFont val="Noto Sans CJK SC"/>
        <family val="2"/>
      </rPr>
      <t xml:space="preserve">、研發 </t>
    </r>
    <r>
      <rPr>
        <sz val="10"/>
        <rFont val="Arial"/>
        <family val="0"/>
        <charset val="1"/>
      </rPr>
      <t xml:space="preserve">10.59</t>
    </r>
    <r>
      <rPr>
        <sz val="10"/>
        <rFont val="Noto Sans CJK SC"/>
        <family val="2"/>
      </rPr>
      <t xml:space="preserve">、行銷 </t>
    </r>
    <r>
      <rPr>
        <sz val="10"/>
        <rFont val="Arial"/>
        <family val="0"/>
        <charset val="1"/>
      </rPr>
      <t xml:space="preserve">0.527</t>
    </r>
    <r>
      <rPr>
        <sz val="10"/>
        <rFont val="Noto Sans CJK SC"/>
        <family val="2"/>
      </rPr>
      <t xml:space="preserve">、管理 </t>
    </r>
    <r>
      <rPr>
        <sz val="10"/>
        <rFont val="Arial"/>
        <family val="0"/>
        <charset val="1"/>
      </rPr>
      <t xml:space="preserve">0.042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</si>
  <si>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TechFlow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Drive 20261017_</t>
    </r>
    <r>
      <rPr>
        <sz val="10"/>
        <rFont val="Noto Sans CJK SC"/>
        <family val="2"/>
      </rPr>
      <t xml:space="preserve">推論支出調和分析 </t>
    </r>
    <r>
      <rPr>
        <sz val="10"/>
        <rFont val="Arial"/>
        <family val="0"/>
        <charset val="1"/>
      </rPr>
      <t xml:space="preserve">F5</t>
    </r>
  </si>
  <si>
    <r>
      <rPr>
        <sz val="10"/>
        <rFont val="Noto Sans CJK SC"/>
        <family val="2"/>
      </rPr>
      <t xml:space="preserve">口徑；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帳價格</t>
    </r>
  </si>
  <si>
    <t xml:space="preserve">C3</t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</si>
  <si>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2025 Q1 2.075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Q2 2.947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Q3 3.648 $B</t>
    </r>
  </si>
  <si>
    <r>
      <rPr>
        <sz val="10"/>
        <rFont val="Arial"/>
        <family val="0"/>
        <charset val="1"/>
      </rPr>
      <t xml:space="preserve">Zitron </t>
    </r>
    <r>
      <rPr>
        <sz val="10"/>
        <rFont val="Noto Sans CJK SC"/>
        <family val="2"/>
      </rPr>
      <t xml:space="preserve">洩漏文件；</t>
    </r>
    <r>
      <rPr>
        <sz val="10"/>
        <rFont val="Arial"/>
        <family val="0"/>
        <charset val="1"/>
      </rPr>
      <t xml:space="preserve">The Register</t>
    </r>
  </si>
  <si>
    <r>
      <rPr>
        <sz val="10"/>
        <rFont val="Noto Sans CJK SC"/>
        <family val="2"/>
      </rPr>
      <t xml:space="preserve">含研究推論（</t>
    </r>
    <r>
      <rPr>
        <sz val="10"/>
        <rFont val="Arial"/>
        <family val="0"/>
        <charset val="1"/>
      </rPr>
      <t xml:space="preserve">10-17 </t>
    </r>
    <r>
      <rPr>
        <sz val="10"/>
        <rFont val="Noto Sans CJK SC"/>
        <family val="2"/>
      </rPr>
      <t xml:space="preserve">分析）</t>
    </r>
  </si>
  <si>
    <t xml:space="preserve">C4</t>
  </si>
  <si>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投資淨損失 </t>
    </r>
    <r>
      <rPr>
        <sz val="10"/>
        <rFont val="Arial"/>
        <family val="0"/>
        <charset val="1"/>
      </rPr>
      <t xml:space="preserve">FY26Q1 4.1 $B</t>
    </r>
    <r>
      <rPr>
        <sz val="10"/>
        <rFont val="Noto Sans CJK SC"/>
        <family val="2"/>
      </rPr>
      <t xml:space="preserve">（前年同期 </t>
    </r>
    <r>
      <rPr>
        <sz val="10"/>
        <rFont val="Arial"/>
        <family val="0"/>
        <charset val="1"/>
      </rPr>
      <t xml:space="preserve">0.688</t>
    </r>
    <r>
      <rPr>
        <sz val="10"/>
        <rFont val="Noto Sans CJK SC"/>
        <family val="2"/>
      </rPr>
      <t xml:space="preserve">）</t>
    </r>
  </si>
  <si>
    <t xml:space="preserve">Verified</t>
  </si>
  <si>
    <r>
      <rPr>
        <sz val="10"/>
        <rFont val="Arial"/>
        <family val="0"/>
        <charset val="1"/>
      </rPr>
      <t xml:space="preserve">Microsoft 10-Q 2025-09-30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sec.gov</t>
    </r>
    <r>
      <rPr>
        <sz val="10"/>
        <rFont val="Noto Sans CJK SC"/>
        <family val="2"/>
      </rPr>
      <t xml:space="preserve">）</t>
    </r>
  </si>
  <si>
    <t xml:space="preserve">總量對照（含非現金）</t>
  </si>
  <si>
    <t xml:space="preserve">C5</t>
  </si>
  <si>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單季淨損約 </t>
    </r>
    <r>
      <rPr>
        <sz val="10"/>
        <rFont val="Arial"/>
        <family val="0"/>
        <charset val="1"/>
      </rPr>
      <t xml:space="preserve">11.5</t>
    </r>
    <r>
      <rPr>
        <sz val="10"/>
        <rFont val="Noto Sans CJK SC"/>
        <family val="2"/>
      </rPr>
      <t xml:space="preserve">（稅後</t>
    </r>
    <r>
      <rPr>
        <sz val="10"/>
        <rFont val="Arial"/>
        <family val="0"/>
        <charset val="1"/>
      </rPr>
      <t xml:space="preserve">÷27%</t>
    </r>
    <r>
      <rPr>
        <sz val="10"/>
        <rFont val="Noto Sans CJK SC"/>
        <family val="2"/>
      </rPr>
      <t xml:space="preserve">）–</t>
    </r>
    <r>
      <rPr>
        <sz val="10"/>
        <rFont val="Arial"/>
        <family val="0"/>
        <charset val="1"/>
      </rPr>
      <t xml:space="preserve">15 $B</t>
    </r>
  </si>
  <si>
    <t xml:space="preserve">11.5–15</t>
  </si>
  <si>
    <r>
      <rPr>
        <sz val="10"/>
        <rFont val="Arial"/>
        <family val="0"/>
        <charset val="1"/>
      </rPr>
      <t xml:space="preserve">heise</t>
    </r>
    <r>
      <rPr>
        <sz val="10"/>
        <rFont val="Noto Sans CJK SC"/>
        <family val="2"/>
      </rPr>
      <t xml:space="preserve">；本檔</t>
    </r>
  </si>
  <si>
    <t xml:space="preserve">總量對照</t>
  </si>
  <si>
    <t xml:space="preserve">C6</t>
  </si>
  <si>
    <r>
      <rPr>
        <sz val="10"/>
        <rFont val="Arial"/>
        <family val="0"/>
        <charset val="1"/>
      </rPr>
      <t xml:space="preserve">2024 OpenAI </t>
    </r>
    <r>
      <rPr>
        <sz val="10"/>
        <rFont val="Noto Sans CJK SC"/>
        <family val="2"/>
      </rPr>
      <t xml:space="preserve">雲端算力約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（研發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、推論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$B</t>
    </r>
  </si>
  <si>
    <t xml:space="preserve">7</t>
  </si>
  <si>
    <r>
      <rPr>
        <sz val="10"/>
        <rFont val="Arial"/>
        <family val="0"/>
        <charset val="1"/>
      </rPr>
      <t xml:space="preserve">Epoch AI</t>
    </r>
    <r>
      <rPr>
        <sz val="10"/>
        <rFont val="Noto Sans CJK SC"/>
        <family val="2"/>
      </rPr>
      <t xml:space="preserve">（投資人文件）</t>
    </r>
  </si>
  <si>
    <t xml:space="preserve">歷史對照</t>
  </si>
  <si>
    <t xml:space="preserve">W2</t>
  </si>
  <si>
    <r>
      <rPr>
        <sz val="10"/>
        <rFont val="Arial"/>
        <family val="0"/>
        <charset val="1"/>
      </rPr>
      <t xml:space="preserve">1.9 GW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年底值；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</rPr>
      <t xml:space="preserve">讀為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電力、含租用雲端（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）</t>
    </r>
  </si>
  <si>
    <t xml:space="preserve">1.9</t>
  </si>
  <si>
    <t xml:space="preserve">官方＋第三方推定</t>
  </si>
  <si>
    <r>
      <rPr>
        <sz val="10"/>
        <rFont val="Arial"/>
        <family val="0"/>
        <charset val="1"/>
      </rPr>
      <t xml:space="preserve">PR #155 W2_</t>
    </r>
    <r>
      <rPr>
        <sz val="10"/>
        <rFont val="Noto Sans CJK SC"/>
        <family val="2"/>
      </rPr>
      <t xml:space="preserve">優先查證 </t>
    </r>
    <r>
      <rPr>
        <sz val="10"/>
        <rFont val="Arial"/>
        <family val="0"/>
        <charset val="1"/>
      </rPr>
      <t xml:space="preserve">W2-01–03</t>
    </r>
  </si>
  <si>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因子不調</t>
    </r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</si>
  <si>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算力比例：已搜尋，未找到</t>
    </r>
  </si>
  <si>
    <t xml:space="preserve">—</t>
  </si>
  <si>
    <r>
      <rPr>
        <sz val="10"/>
        <rFont val="Arial"/>
        <family val="0"/>
        <charset val="1"/>
      </rPr>
      <t xml:space="preserve">PR #155 N </t>
    </r>
    <r>
      <rPr>
        <sz val="10"/>
        <rFont val="Noto Sans CJK SC"/>
        <family val="2"/>
      </rPr>
      <t xml:space="preserve">清單</t>
    </r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</si>
  <si>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占比為情境</t>
    </r>
  </si>
  <si>
    <t xml:space="preserve">W1</t>
  </si>
  <si>
    <r>
      <rPr>
        <sz val="10"/>
        <rFont val="Noto Sans CJK SC"/>
        <family val="2"/>
      </rPr>
      <t xml:space="preserve">訓練 </t>
    </r>
    <r>
      <rPr>
        <sz val="10"/>
        <rFont val="Arial"/>
        <family val="0"/>
        <charset val="1"/>
      </rPr>
      <t xml:space="preserve">120 </t>
    </r>
    <r>
      <rPr>
        <sz val="10"/>
        <rFont val="Noto Sans CJK SC"/>
        <family val="2"/>
      </rPr>
      <t xml:space="preserve">億：外部原文未找到；最近為 </t>
    </r>
    <r>
      <rPr>
        <sz val="10"/>
        <rFont val="Arial"/>
        <family val="0"/>
        <charset val="1"/>
      </rPr>
      <t xml:space="preserve">2025-09 </t>
    </r>
    <r>
      <rPr>
        <sz val="10"/>
        <rFont val="Noto Sans CJK SC"/>
        <family val="2"/>
      </rPr>
      <t xml:space="preserve">預測「逾 </t>
    </r>
    <r>
      <rPr>
        <sz val="10"/>
        <rFont val="Arial"/>
        <family val="0"/>
        <charset val="1"/>
      </rPr>
      <t xml:space="preserve">90 </t>
    </r>
    <r>
      <rPr>
        <sz val="10"/>
        <rFont val="Noto Sans CJK SC"/>
        <family val="2"/>
      </rPr>
      <t xml:space="preserve">億」</t>
    </r>
  </si>
  <si>
    <t xml:space="preserve">≥9</t>
  </si>
  <si>
    <r>
      <rPr>
        <sz val="10"/>
        <rFont val="Arial"/>
        <family val="0"/>
        <charset val="1"/>
      </rPr>
      <t xml:space="preserve">PR #155 W1-05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06</t>
    </r>
    <r>
      <rPr>
        <sz val="10"/>
        <rFont val="Noto Sans CJK SC"/>
        <family val="2"/>
      </rPr>
      <t xml:space="preserve">（抽查：無法核對 </t>
    </r>
    <r>
      <rPr>
        <sz val="10"/>
        <rFont val="Arial"/>
        <family val="0"/>
        <charset val="1"/>
      </rPr>
      <t xml:space="preserve">94 </t>
    </r>
    <r>
      <rPr>
        <sz val="10"/>
        <rFont val="Noto Sans CJK SC"/>
        <family val="2"/>
      </rPr>
      <t xml:space="preserve">億）</t>
    </r>
  </si>
  <si>
    <r>
      <rPr>
        <sz val="10"/>
        <rFont val="Arial"/>
        <family val="0"/>
        <charset val="1"/>
      </rPr>
      <t xml:space="preserve">J1 </t>
    </r>
    <r>
      <rPr>
        <sz val="10"/>
        <rFont val="Noto Sans CJK SC"/>
        <family val="2"/>
      </rPr>
      <t xml:space="preserve">標出處待補</t>
    </r>
  </si>
  <si>
    <r>
      <rPr>
        <sz val="10"/>
        <rFont val="Arial"/>
        <family val="0"/>
        <charset val="1"/>
      </rPr>
      <t xml:space="preserve">84 </t>
    </r>
    <r>
      <rPr>
        <sz val="10"/>
        <rFont val="Noto Sans CJK SC"/>
        <family val="2"/>
      </rPr>
      <t xml:space="preserve">億＝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推論成本（含免費 </t>
    </r>
    <r>
      <rPr>
        <sz val="10"/>
        <rFont val="Arial"/>
        <family val="0"/>
        <charset val="1"/>
      </rPr>
      <t xml:space="preserve">3.9</t>
    </r>
    <r>
      <rPr>
        <sz val="10"/>
        <rFont val="Noto Sans CJK SC"/>
        <family val="2"/>
      </rPr>
      <t xml:space="preserve">、付費 </t>
    </r>
    <r>
      <rPr>
        <sz val="10"/>
        <rFont val="Arial"/>
        <family val="0"/>
        <charset val="1"/>
      </rPr>
      <t xml:space="preserve">4.5</t>
    </r>
    <r>
      <rPr>
        <sz val="10"/>
        <rFont val="Noto Sans CJK SC"/>
        <family val="2"/>
      </rPr>
      <t xml:space="preserve">），調整後毛利 </t>
    </r>
    <r>
      <rPr>
        <sz val="10"/>
        <rFont val="Arial"/>
        <family val="0"/>
        <charset val="1"/>
      </rPr>
      <t xml:space="preserve">33%</t>
    </r>
  </si>
  <si>
    <t xml:space="preserve">8.4</t>
  </si>
  <si>
    <r>
      <rPr>
        <sz val="10"/>
        <rFont val="Arial"/>
        <family val="0"/>
        <charset val="1"/>
      </rPr>
      <t xml:space="preserve">PR #155 W1-01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拆分未核對）</t>
    </r>
  </si>
  <si>
    <t xml:space="preserve">口徑</t>
  </si>
  <si>
    <r>
      <rPr>
        <sz val="10"/>
        <rFont val="Noto Sans CJK SC"/>
        <family val="2"/>
      </rPr>
      <t xml:space="preserve">訓練多以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抵用額度支付</t>
    </r>
  </si>
  <si>
    <t xml:space="preserve">媒體</t>
  </si>
  <si>
    <r>
      <rPr>
        <sz val="10"/>
        <rFont val="Arial"/>
        <family val="0"/>
        <charset val="1"/>
      </rPr>
      <t xml:space="preserve">PR #155 </t>
    </r>
    <r>
      <rPr>
        <sz val="10"/>
        <rFont val="Noto Sans CJK SC"/>
        <family val="2"/>
      </rPr>
      <t xml:space="preserve">抽查 </t>
    </r>
    <r>
      <rPr>
        <sz val="10"/>
        <rFont val="Arial"/>
        <family val="0"/>
        <charset val="1"/>
      </rPr>
      <t xml:space="preserve">W1-11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TechCrunch</t>
    </r>
    <r>
      <rPr>
        <sz val="10"/>
        <rFont val="Noto Sans CJK SC"/>
        <family val="2"/>
      </rPr>
      <t xml:space="preserve">）</t>
    </r>
  </si>
  <si>
    <t xml:space="preserve">價格可能含會計計價</t>
  </si>
  <si>
    <t xml:space="preserve">W3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</si>
  <si>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實付每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小時、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關聯方折扣：已搜尋，未找到</t>
    </r>
  </si>
  <si>
    <t xml:space="preserve">PR #155 N05</t>
  </si>
  <si>
    <t xml:space="preserve">價格因子無直接證據</t>
  </si>
  <si>
    <r>
      <rPr>
        <sz val="10"/>
        <rFont val="Arial"/>
        <family val="0"/>
        <charset val="1"/>
      </rPr>
      <t xml:space="preserve">Azure ND H100 v5 </t>
    </r>
    <r>
      <rPr>
        <sz val="10"/>
        <rFont val="Noto Sans CJK SC"/>
        <family val="2"/>
      </rPr>
      <t xml:space="preserve">牌價：隨需 </t>
    </r>
    <r>
      <rPr>
        <sz val="10"/>
        <rFont val="Arial"/>
        <family val="0"/>
        <charset val="1"/>
      </rPr>
      <t xml:space="preserve">12.29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年預留 </t>
    </r>
    <r>
      <rPr>
        <sz val="10"/>
        <rFont val="Arial"/>
        <family val="0"/>
        <charset val="1"/>
      </rPr>
      <t xml:space="preserve">7.93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年預留 </t>
    </r>
    <r>
      <rPr>
        <sz val="10"/>
        <rFont val="Arial"/>
        <family val="0"/>
        <charset val="1"/>
      </rPr>
      <t xml:space="preserve">5.47 </t>
    </r>
    <r>
      <rPr>
        <sz val="10"/>
        <rFont val="Noto Sans CJK SC"/>
        <family val="2"/>
      </rPr>
      <t xml:space="preserve">美元／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</t>
    </r>
  </si>
  <si>
    <r>
      <rPr>
        <sz val="10"/>
        <rFont val="Arial"/>
        <family val="0"/>
        <charset val="1"/>
      </rPr>
      <t xml:space="preserve">12.29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7.93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5.47</t>
    </r>
  </si>
  <si>
    <r>
      <rPr>
        <sz val="10"/>
        <rFont val="Noto Sans CJK SC"/>
        <family val="2"/>
      </rPr>
      <t xml:space="preserve">二手（</t>
    </r>
    <r>
      <rPr>
        <sz val="10"/>
        <rFont val="Arial"/>
        <family val="0"/>
        <charset val="1"/>
      </rPr>
      <t xml:space="preserve">Spheron 2026-05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</si>
  <si>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PR #155 W3-06</t>
    </r>
    <r>
      <rPr>
        <sz val="10"/>
        <rFont val="Noto Sans CJK SC"/>
        <family val="2"/>
      </rPr>
      <t xml:space="preserve">（抽查更正出處）</t>
    </r>
  </si>
  <si>
    <r>
      <rPr>
        <sz val="10"/>
        <rFont val="Noto Sans CJK SC"/>
        <family val="2"/>
      </rPr>
      <t xml:space="preserve">隱含 </t>
    </r>
    <r>
      <rPr>
        <sz val="10"/>
        <rFont val="Arial"/>
        <family val="0"/>
        <charset val="1"/>
      </rPr>
      <t xml:space="preserve">2.3–3.9 </t>
    </r>
    <r>
      <rPr>
        <sz val="10"/>
        <rFont val="Noto Sans CJK SC"/>
        <family val="2"/>
      </rPr>
      <t xml:space="preserve">約為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年預留牌價 </t>
    </r>
    <r>
      <rPr>
        <sz val="10"/>
        <rFont val="Arial"/>
        <family val="0"/>
        <charset val="1"/>
      </rPr>
      <t xml:space="preserve">4–7 </t>
    </r>
    <r>
      <rPr>
        <sz val="10"/>
        <rFont val="Noto Sans CJK SC"/>
        <family val="2"/>
      </rPr>
      <t xml:space="preserve">折</t>
    </r>
  </si>
  <si>
    <r>
      <rPr>
        <sz val="10"/>
        <rFont val="Noto Sans CJK SC"/>
        <family val="2"/>
      </rPr>
      <t xml:space="preserve">新雲長約 </t>
    </r>
    <r>
      <rPr>
        <sz val="10"/>
        <rFont val="Arial"/>
        <family val="0"/>
        <charset val="1"/>
      </rPr>
      <t xml:space="preserve">÷ TK 0.89–0.93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Oracle 2027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0.71–1.43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全客戶約 </t>
    </r>
    <r>
      <rPr>
        <sz val="10"/>
        <rFont val="Arial"/>
        <family val="0"/>
        <charset val="1"/>
      </rPr>
      <t xml:space="preserve">1.07</t>
    </r>
  </si>
  <si>
    <t xml:space="preserve">PR #155 W3-01–09</t>
  </si>
  <si>
    <r>
      <rPr>
        <sz val="10"/>
        <rFont val="Noto Sans CJK SC"/>
        <family val="2"/>
      </rPr>
      <t xml:space="preserve">新世代／未來價，不作 </t>
    </r>
    <r>
      <rPr>
        <sz val="10"/>
        <rFont val="Arial"/>
        <family val="0"/>
        <charset val="1"/>
      </rPr>
      <t xml:space="preserve">2025 Azure </t>
    </r>
    <r>
      <rPr>
        <sz val="10"/>
        <rFont val="Noto Sans CJK SC"/>
        <family val="2"/>
      </rPr>
      <t xml:space="preserve">反證</t>
    </r>
  </si>
  <si>
    <t xml:space="preserve">W4</t>
  </si>
  <si>
    <r>
      <rPr>
        <sz val="10"/>
        <rFont val="Arial"/>
        <family val="0"/>
        <charset val="1"/>
      </rPr>
      <t xml:space="preserve">Brockman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算力支出 </t>
    </r>
    <r>
      <rPr>
        <sz val="10"/>
        <rFont val="Arial"/>
        <family val="0"/>
        <charset val="1"/>
      </rPr>
      <t xml:space="preserve">500 </t>
    </r>
    <r>
      <rPr>
        <sz val="10"/>
        <rFont val="Noto Sans CJK SC"/>
        <family val="2"/>
      </rPr>
      <t xml:space="preserve">億；</t>
    </r>
    <r>
      <rPr>
        <sz val="10"/>
        <rFont val="Arial"/>
        <family val="0"/>
        <charset val="1"/>
      </rPr>
      <t xml:space="preserve">Epoch</t>
    </r>
    <r>
      <rPr>
        <sz val="10"/>
        <rFont val="Noto Sans CJK SC"/>
        <family val="2"/>
      </rPr>
      <t xml:space="preserve">：為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三倍（同一證詞）</t>
    </r>
  </si>
  <si>
    <t xml:space="preserve">50</t>
  </si>
  <si>
    <r>
      <rPr>
        <sz val="10"/>
        <rFont val="Arial"/>
        <family val="0"/>
        <charset val="1"/>
      </rPr>
      <t xml:space="preserve">PR #155 W4-01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02</t>
    </r>
  </si>
  <si>
    <r>
      <rPr>
        <sz val="10"/>
        <rFont val="Arial"/>
        <family val="0"/>
        <charset val="1"/>
      </rPr>
      <t xml:space="preserve">2026 GW </t>
    </r>
    <r>
      <rPr>
        <sz val="10"/>
        <rFont val="Noto Sans CJK SC"/>
        <family val="2"/>
      </rPr>
      <t xml:space="preserve">無來源，不構成獨立驗證</t>
    </r>
  </si>
  <si>
    <t xml:space="preserve">議題</t>
  </si>
  <si>
    <r>
      <rPr>
        <b val="true"/>
        <sz val="10"/>
        <rFont val="Noto Sans CJK SC"/>
        <family val="2"/>
      </rPr>
      <t xml:space="preserve">說法 </t>
    </r>
    <r>
      <rPr>
        <b val="true"/>
        <sz val="10"/>
        <rFont val="Arial"/>
        <family val="0"/>
        <charset val="1"/>
      </rPr>
      <t xml:space="preserve">A</t>
    </r>
  </si>
  <si>
    <r>
      <rPr>
        <b val="true"/>
        <sz val="10"/>
        <rFont val="Noto Sans CJK SC"/>
        <family val="2"/>
      </rPr>
      <t xml:space="preserve">說法 </t>
    </r>
    <r>
      <rPr>
        <b val="true"/>
        <sz val="10"/>
        <rFont val="Arial"/>
        <family val="0"/>
        <charset val="1"/>
      </rPr>
      <t xml:space="preserve">B</t>
    </r>
  </si>
  <si>
    <t xml:space="preserve">裁定</t>
  </si>
  <si>
    <t xml:space="preserve">口徑因子</t>
  </si>
  <si>
    <r>
      <rPr>
        <sz val="10"/>
        <rFont val="Arial"/>
        <family val="0"/>
        <charset val="1"/>
      </rPr>
      <t xml:space="preserve">PR #155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204 </t>
    </r>
    <r>
      <rPr>
        <sz val="10"/>
        <rFont val="Noto Sans CJK SC"/>
        <family val="2"/>
      </rPr>
      <t xml:space="preserve">比 </t>
    </r>
    <r>
      <rPr>
        <sz val="10"/>
        <rFont val="Arial"/>
        <family val="0"/>
        <charset val="1"/>
      </rPr>
      <t xml:space="preserve">Epoch 160 </t>
    </r>
    <r>
      <rPr>
        <sz val="10"/>
        <rFont val="Noto Sans CJK SC"/>
        <family val="2"/>
      </rPr>
      <t xml:space="preserve">高 </t>
    </r>
    <r>
      <rPr>
        <sz val="10"/>
        <rFont val="Arial"/>
        <family val="0"/>
        <charset val="1"/>
      </rPr>
      <t xml:space="preserve">27% → </t>
    </r>
    <r>
      <rPr>
        <sz val="10"/>
        <rFont val="Noto Sans CJK SC"/>
        <family val="2"/>
      </rPr>
      <t xml:space="preserve">口徑因子 </t>
    </r>
    <r>
      <rPr>
        <sz val="10"/>
        <rFont val="Arial"/>
        <family val="0"/>
        <charset val="1"/>
      </rPr>
      <t xml:space="preserve">1.28</t>
    </r>
  </si>
  <si>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端：查核帳框出全部算力 </t>
    </r>
    <r>
      <rPr>
        <sz val="10"/>
        <rFont val="Arial"/>
        <family val="0"/>
        <charset val="1"/>
      </rPr>
      <t xml:space="preserve">161–217</t>
    </r>
    <r>
      <rPr>
        <sz val="10"/>
        <rFont val="Noto Sans CJK SC"/>
        <family val="2"/>
      </rPr>
      <t xml:space="preserve">（付 </t>
    </r>
    <r>
      <rPr>
        <sz val="10"/>
        <rFont val="Arial"/>
        <family val="0"/>
        <charset val="1"/>
      </rPr>
      <t xml:space="preserve">MS 172.1</t>
    </r>
    <r>
      <rPr>
        <sz val="10"/>
        <rFont val="Noto Sans CJK SC"/>
        <family val="2"/>
      </rPr>
      <t xml:space="preserve">，扣可能的營收分成 </t>
    </r>
    <r>
      <rPr>
        <sz val="10"/>
        <rFont val="Arial"/>
        <family val="0"/>
        <charset val="1"/>
      </rPr>
      <t xml:space="preserve">26 </t>
    </r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146</t>
    </r>
    <r>
      <rPr>
        <sz val="10"/>
        <rFont val="Noto Sans CJK SC"/>
        <family val="2"/>
      </rPr>
      <t xml:space="preserve">；加非 </t>
    </r>
    <r>
      <rPr>
        <sz val="10"/>
        <rFont val="Arial"/>
        <family val="0"/>
        <charset val="1"/>
      </rPr>
      <t xml:space="preserve">MS 14.5–44.5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</si>
  <si>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部分採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160 </t>
    </r>
    <r>
      <rPr>
        <sz val="10"/>
        <rFont val="Noto Sans CJK SC"/>
        <family val="2"/>
      </rPr>
      <t xml:space="preserve">落在查核帳下界（營收分成在帳內、研發無非 </t>
    </r>
    <r>
      <rPr>
        <sz val="10"/>
        <rFont val="Arial"/>
        <family val="0"/>
        <charset val="1"/>
      </rPr>
      <t xml:space="preserve">MS </t>
    </r>
    <r>
      <rPr>
        <sz val="10"/>
        <rFont val="Noto Sans CJK SC"/>
        <family val="2"/>
      </rPr>
      <t xml:space="preserve">算力時），不構成「</t>
    </r>
    <r>
      <rPr>
        <sz val="10"/>
        <rFont val="Arial"/>
        <family val="0"/>
        <charset val="1"/>
      </rPr>
      <t xml:space="preserve">204 </t>
    </r>
    <r>
      <rPr>
        <sz val="10"/>
        <rFont val="Noto Sans CJK SC"/>
        <family val="2"/>
      </rPr>
      <t xml:space="preserve">高估 </t>
    </r>
    <r>
      <rPr>
        <sz val="10"/>
        <rFont val="Arial"/>
        <family val="0"/>
        <charset val="1"/>
      </rPr>
      <t xml:space="preserve">27%</t>
    </r>
    <r>
      <rPr>
        <sz val="10"/>
        <rFont val="Noto Sans CJK SC"/>
        <family val="2"/>
      </rPr>
      <t xml:space="preserve">」的證據；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取 </t>
    </r>
    <r>
      <rPr>
        <sz val="10"/>
        <rFont val="Arial"/>
        <family val="0"/>
        <charset val="1"/>
      </rPr>
      <t xml:space="preserve">0.79–1.0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 </t>
    </r>
    <r>
      <rPr>
        <sz val="10"/>
        <rFont val="Arial"/>
        <family val="0"/>
        <charset val="1"/>
      </rPr>
      <t xml:space="preserve">21:25 </t>
    </r>
    <r>
      <rPr>
        <sz val="10"/>
        <rFont val="Noto Sans CJK SC"/>
        <family val="2"/>
      </rPr>
      <t xml:space="preserve">曾寫「</t>
    </r>
    <r>
      <rPr>
        <sz val="10"/>
        <rFont val="Arial"/>
        <family val="0"/>
        <charset val="1"/>
      </rPr>
      <t xml:space="preserve">172–210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160 </t>
    </r>
    <r>
      <rPr>
        <sz val="10"/>
        <rFont val="Noto Sans CJK SC"/>
        <family val="2"/>
      </rPr>
      <t xml:space="preserve">已被取代」，下界算錯，已更正。</t>
    </r>
  </si>
  <si>
    <t xml:space="preserve">價格因子</t>
  </si>
  <si>
    <r>
      <rPr>
        <sz val="10"/>
        <rFont val="Arial"/>
        <family val="0"/>
        <charset val="1"/>
      </rPr>
      <t xml:space="preserve">PR #155</t>
    </r>
    <r>
      <rPr>
        <sz val="10"/>
        <rFont val="Noto Sans CJK SC"/>
        <family val="2"/>
      </rPr>
      <t xml:space="preserve">：間接 </t>
    </r>
    <r>
      <rPr>
        <sz val="10"/>
        <rFont val="Arial"/>
        <family val="0"/>
        <charset val="1"/>
      </rPr>
      <t xml:space="preserve">0.71–1.43</t>
    </r>
    <r>
      <rPr>
        <sz val="10"/>
        <rFont val="Noto Sans CJK SC"/>
        <family val="2"/>
      </rPr>
      <t xml:space="preserve">（長約、</t>
    </r>
    <r>
      <rPr>
        <sz val="10"/>
        <rFont val="Arial"/>
        <family val="0"/>
        <charset val="1"/>
      </rPr>
      <t xml:space="preserve">Oracle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</si>
  <si>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端：必須為真 </t>
    </r>
    <r>
      <rPr>
        <sz val="10"/>
        <rFont val="Arial"/>
        <family val="0"/>
        <charset val="1"/>
      </rPr>
      <t xml:space="preserve">1.37–2.18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帳另一切法 </t>
    </r>
    <r>
      <rPr>
        <sz val="10"/>
        <rFont val="Arial"/>
        <family val="0"/>
        <charset val="1"/>
      </rPr>
      <t xml:space="preserve">1.38–2.33</t>
    </r>
    <r>
      <rPr>
        <sz val="10"/>
        <rFont val="Noto Sans CJK SC"/>
        <family val="2"/>
      </rPr>
      <t xml:space="preserve">（共用 </t>
    </r>
    <r>
      <rPr>
        <sz val="10"/>
        <rFont val="Arial"/>
        <family val="0"/>
        <charset val="1"/>
      </rPr>
      <t xml:space="preserve">172.1 </t>
    </r>
    <r>
      <rPr>
        <sz val="10"/>
        <rFont val="Noto Sans CJK SC"/>
        <family val="2"/>
      </rPr>
      <t xml:space="preserve">億，非獨立）</t>
    </r>
  </si>
  <si>
    <r>
      <rPr>
        <sz val="10"/>
        <rFont val="Noto Sans CJK SC"/>
        <family val="2"/>
      </rPr>
      <t xml:space="preserve">採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的證據為新世代／未來價或全客戶平均；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為主、可能含隨需與抵用額度計價。保留「無實付價直接證據」為最強反證。</t>
    </r>
  </si>
  <si>
    <r>
      <rPr>
        <sz val="10"/>
        <rFont val="Arial"/>
        <family val="0"/>
        <charset val="1"/>
      </rPr>
      <t xml:space="preserve">B4_Serve </t>
    </r>
    <r>
      <rPr>
        <sz val="10"/>
        <rFont val="Noto Sans CJK SC"/>
        <family val="2"/>
      </rPr>
      <t xml:space="preserve">分母</t>
    </r>
  </si>
  <si>
    <r>
      <rPr>
        <sz val="10"/>
        <rFont val="Arial"/>
        <family val="0"/>
        <charset val="1"/>
      </rPr>
      <t xml:space="preserve">PR #155 J2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204 </t>
    </r>
    <r>
      <rPr>
        <sz val="10"/>
        <rFont val="Noto Sans CJK SC"/>
        <family val="2"/>
      </rPr>
      <t xml:space="preserve">高於 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，是否調整</t>
    </r>
  </si>
  <si>
    <r>
      <rPr>
        <sz val="10"/>
        <rFont val="Arial"/>
        <family val="0"/>
        <charset val="1"/>
      </rPr>
      <t xml:space="preserve">chat </t>
    </r>
    <r>
      <rPr>
        <sz val="10"/>
        <rFont val="Noto Sans CJK SC"/>
        <family val="2"/>
      </rPr>
      <t xml:space="preserve">端：與查核帳相容</t>
    </r>
  </si>
  <si>
    <r>
      <rPr>
        <sz val="10"/>
        <rFont val="Noto Sans CJK SC"/>
        <family val="2"/>
      </rPr>
      <t xml:space="preserve">維持 </t>
    </r>
    <r>
      <rPr>
        <sz val="10"/>
        <rFont val="Arial"/>
        <family val="0"/>
        <charset val="1"/>
      </rPr>
      <t xml:space="preserve">0.41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J2 </t>
    </r>
    <r>
      <rPr>
        <sz val="10"/>
        <rFont val="Noto Sans CJK SC"/>
        <family val="2"/>
      </rPr>
      <t xml:space="preserve">預設）。</t>
    </r>
  </si>
  <si>
    <t xml:space="preserve">事項</t>
  </si>
  <si>
    <t xml:space="preserve">建議預設（未回應即採用，可撤回）</t>
  </si>
  <si>
    <t xml:space="preserve">替代</t>
  </si>
  <si>
    <t xml:space="preserve">J1</t>
  </si>
  <si>
    <r>
      <rPr>
        <sz val="10"/>
        <rFont val="Arial"/>
        <family val="0"/>
        <charset val="1"/>
      </rPr>
      <t xml:space="preserve">SRC_DEM_006 </t>
    </r>
    <r>
      <rPr>
        <sz val="10"/>
        <rFont val="Noto Sans CJK SC"/>
        <family val="2"/>
      </rPr>
      <t xml:space="preserve">訓練 </t>
    </r>
    <r>
      <rPr>
        <sz val="10"/>
        <rFont val="Arial"/>
        <family val="0"/>
        <charset val="1"/>
      </rPr>
      <t xml:space="preserve">120 </t>
    </r>
    <r>
      <rPr>
        <sz val="10"/>
        <rFont val="Noto Sans CJK SC"/>
        <family val="2"/>
      </rPr>
      <t xml:space="preserve">億</t>
    </r>
  </si>
  <si>
    <r>
      <rPr>
        <sz val="10"/>
        <rFont val="Noto Sans CJK SC"/>
        <family val="2"/>
      </rPr>
      <t xml:space="preserve">只標「出處待補；外部最近為 </t>
    </r>
    <r>
      <rPr>
        <sz val="10"/>
        <rFont val="Arial"/>
        <family val="0"/>
        <charset val="1"/>
      </rPr>
      <t xml:space="preserve">2025-09 </t>
    </r>
    <r>
      <rPr>
        <sz val="10"/>
        <rFont val="Noto Sans CJK SC"/>
        <family val="2"/>
      </rPr>
      <t xml:space="preserve">預測逾 </t>
    </r>
    <r>
      <rPr>
        <sz val="10"/>
        <rFont val="Arial"/>
        <family val="0"/>
        <charset val="1"/>
      </rPr>
      <t xml:space="preserve">90 </t>
    </r>
    <r>
      <rPr>
        <sz val="10"/>
        <rFont val="Noto Sans CJK SC"/>
        <family val="2"/>
      </rPr>
      <t xml:space="preserve">億」，數值不改</t>
    </r>
  </si>
  <si>
    <r>
      <rPr>
        <sz val="10"/>
        <rFont val="Noto Sans CJK SC"/>
        <family val="2"/>
      </rPr>
      <t xml:space="preserve">改 </t>
    </r>
    <r>
      <rPr>
        <sz val="10"/>
        <rFont val="Arial"/>
        <family val="0"/>
        <charset val="1"/>
      </rPr>
      <t xml:space="preserve">9–12 </t>
    </r>
    <r>
      <rPr>
        <sz val="10"/>
        <rFont val="Noto Sans CJK SC"/>
        <family val="2"/>
      </rPr>
      <t xml:space="preserve">區間</t>
    </r>
  </si>
  <si>
    <t xml:space="preserve">J2</t>
  </si>
  <si>
    <r>
      <rPr>
        <sz val="10"/>
        <rFont val="Arial"/>
        <family val="0"/>
        <charset val="1"/>
      </rPr>
      <t xml:space="preserve">B4_Serve 0.41 </t>
    </r>
    <r>
      <rPr>
        <sz val="10"/>
        <rFont val="Noto Sans CJK SC"/>
        <family val="2"/>
      </rPr>
      <t xml:space="preserve">是否因 </t>
    </r>
    <r>
      <rPr>
        <sz val="10"/>
        <rFont val="Arial"/>
        <family val="0"/>
        <charset val="1"/>
      </rPr>
      <t xml:space="preserve">160 </t>
    </r>
    <r>
      <rPr>
        <sz val="10"/>
        <rFont val="Noto Sans CJK SC"/>
        <family val="2"/>
      </rPr>
      <t xml:space="preserve">億調整</t>
    </r>
  </si>
  <si>
    <r>
      <rPr>
        <sz val="10"/>
        <rFont val="Noto Sans CJK SC"/>
        <family val="2"/>
      </rPr>
      <t xml:space="preserve">維持；</t>
    </r>
    <r>
      <rPr>
        <sz val="10"/>
        <rFont val="Arial"/>
        <family val="0"/>
        <charset val="1"/>
      </rPr>
      <t xml:space="preserve">204 </t>
    </r>
    <r>
      <rPr>
        <sz val="10"/>
        <rFont val="Noto Sans CJK SC"/>
        <family val="2"/>
      </rPr>
      <t xml:space="preserve">在查核帳區間內</t>
    </r>
  </si>
  <si>
    <r>
      <rPr>
        <sz val="10"/>
        <rFont val="Noto Sans CJK SC"/>
        <family val="2"/>
      </rPr>
      <t xml:space="preserve">改用 </t>
    </r>
    <r>
      <rPr>
        <sz val="10"/>
        <rFont val="Arial"/>
        <family val="0"/>
        <charset val="1"/>
      </rPr>
      <t xml:space="preserve">Epoch 2024 </t>
    </r>
    <r>
      <rPr>
        <sz val="10"/>
        <rFont val="Noto Sans CJK SC"/>
        <family val="2"/>
      </rPr>
      <t xml:space="preserve">比例 </t>
    </r>
    <r>
      <rPr>
        <sz val="10"/>
        <rFont val="Arial"/>
        <family val="0"/>
        <charset val="1"/>
      </rPr>
      <t xml:space="preserve">0.265</t>
    </r>
  </si>
  <si>
    <t xml:space="preserve">J3</t>
  </si>
  <si>
    <r>
      <rPr>
        <sz val="10"/>
        <rFont val="Arial"/>
        <family val="0"/>
        <charset val="1"/>
      </rPr>
      <t xml:space="preserve">9a </t>
    </r>
    <r>
      <rPr>
        <sz val="10"/>
        <rFont val="Noto Sans CJK SC"/>
        <family val="2"/>
      </rPr>
      <t xml:space="preserve">是否構成 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側修正</t>
    </r>
  </si>
  <si>
    <r>
      <rPr>
        <sz val="10"/>
        <rFont val="Noto Sans CJK SC"/>
        <family val="2"/>
      </rPr>
      <t xml:space="preserve">不構成；交接檔 </t>
    </r>
    <r>
      <rPr>
        <sz val="10"/>
        <rFont val="Arial"/>
        <family val="0"/>
        <charset val="1"/>
      </rPr>
      <t xml:space="preserve">9a </t>
    </r>
    <r>
      <rPr>
        <sz val="10"/>
        <rFont val="Noto Sans CJK SC"/>
        <family val="2"/>
      </rPr>
      <t xml:space="preserve">結案為「價格因子」，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側證據優先序回到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／利用率</t>
    </r>
  </si>
  <si>
    <r>
      <rPr>
        <sz val="10"/>
        <rFont val="Noto Sans CJK SC"/>
        <family val="2"/>
      </rPr>
      <t xml:space="preserve">保留 </t>
    </r>
    <r>
      <rPr>
        <sz val="10"/>
        <rFont val="Arial"/>
        <family val="0"/>
        <charset val="1"/>
      </rPr>
      <t xml:space="preserve">9a </t>
    </r>
    <r>
      <rPr>
        <sz val="10"/>
        <rFont val="Noto Sans CJK SC"/>
        <family val="2"/>
      </rPr>
      <t xml:space="preserve">待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實付價出現</t>
    </r>
  </si>
  <si>
    <t xml:space="preserve">J4</t>
  </si>
  <si>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因子</t>
    </r>
  </si>
  <si>
    <r>
      <rPr>
        <sz val="10"/>
        <rFont val="Noto Sans CJK SC"/>
        <family val="2"/>
      </rPr>
      <t xml:space="preserve">維持 </t>
    </r>
    <r>
      <rPr>
        <sz val="10"/>
        <rFont val="Arial"/>
        <family val="0"/>
        <charset val="1"/>
      </rPr>
      <t xml:space="preserve">1.128</t>
    </r>
    <r>
      <rPr>
        <sz val="10"/>
        <rFont val="Noto Sans CJK SC"/>
        <family val="2"/>
      </rPr>
      <t xml:space="preserve">（已定）</t>
    </r>
  </si>
  <si>
    <t xml:space="preserve">J5</t>
  </si>
  <si>
    <r>
      <rPr>
        <sz val="10"/>
        <rFont val="Noto Sans CJK SC"/>
        <family val="2"/>
      </rPr>
      <t xml:space="preserve">計價倍數 </t>
    </r>
    <r>
      <rPr>
        <sz val="10"/>
        <rFont val="Arial"/>
        <family val="0"/>
        <charset val="1"/>
      </rPr>
      <t xml:space="preserve">AL_SpendBasis 0.85</t>
    </r>
  </si>
  <si>
    <r>
      <rPr>
        <sz val="10"/>
        <rFont val="Noto Sans CJK SC"/>
        <family val="2"/>
      </rPr>
      <t xml:space="preserve">下一版（另開，建置前再問）改基準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0.85–2.3</t>
    </r>
    <r>
      <rPr>
        <sz val="10"/>
        <rFont val="Noto Sans CJK SC"/>
        <family val="2"/>
      </rPr>
      <t xml:space="preserve">（證據 </t>
    </r>
    <r>
      <rPr>
        <sz val="10"/>
        <rFont val="Arial"/>
        <family val="0"/>
        <charset val="1"/>
      </rPr>
      <t xml:space="preserve">1.4–2.2</t>
    </r>
    <r>
      <rPr>
        <sz val="10"/>
        <rFont val="Noto Sans CJK SC"/>
        <family val="2"/>
      </rPr>
      <t xml:space="preserve">），標 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（查核帳＋必須為真），只影響支出路線對照列與缺口恆等式</t>
    </r>
  </si>
  <si>
    <r>
      <rPr>
        <sz val="10"/>
        <rFont val="Noto Sans CJK SC"/>
        <family val="2"/>
      </rPr>
      <t xml:space="preserve">維持 </t>
    </r>
    <r>
      <rPr>
        <sz val="10"/>
        <rFont val="Arial"/>
        <family val="0"/>
        <charset val="1"/>
      </rPr>
      <t xml:space="preserve">0.85</t>
    </r>
    <r>
      <rPr>
        <sz val="10"/>
        <rFont val="Noto Sans CJK SC"/>
        <family val="2"/>
      </rPr>
      <t xml:space="preserve">、只加註；或等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實付價</t>
    </r>
  </si>
  <si>
    <r>
      <rPr>
        <sz val="10"/>
        <rFont val="Noto Sans CJK SC"/>
        <family val="2"/>
      </rPr>
      <t xml:space="preserve">方向檢核（第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條）：</t>
    </r>
    <r>
      <rPr>
        <sz val="10"/>
        <rFont val="Arial"/>
        <family val="0"/>
        <charset val="1"/>
      </rPr>
      <t xml:space="preserve">(1) 1.9 GW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Azure——</t>
    </r>
    <r>
      <rPr>
        <sz val="10"/>
        <rFont val="Noto Sans CJK SC"/>
        <family val="2"/>
      </rPr>
      <t xml:space="preserve">採 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</rPr>
      <t xml:space="preserve">讀法，收窄（排除「漏算 </t>
    </r>
    <r>
      <rPr>
        <sz val="10"/>
        <rFont val="Arial"/>
        <family val="0"/>
        <charset val="1"/>
      </rPr>
      <t xml:space="preserve">Azure</t>
    </r>
    <r>
      <rPr>
        <sz val="10"/>
        <rFont val="Noto Sans CJK SC"/>
        <family val="2"/>
      </rPr>
      <t xml:space="preserve">」）；</t>
    </r>
    <r>
      <rPr>
        <sz val="10"/>
        <rFont val="Arial"/>
        <family val="0"/>
        <charset val="1"/>
      </rPr>
      <t xml:space="preserve">(2) 160 vs </t>
    </r>
    <r>
      <rPr>
        <sz val="10"/>
        <rFont val="Noto Sans CJK SC"/>
        <family val="2"/>
      </rPr>
      <t xml:space="preserve">查核帳——保留（</t>
    </r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取 </t>
    </r>
    <r>
      <rPr>
        <sz val="10"/>
        <rFont val="Arial"/>
        <family val="0"/>
        <charset val="1"/>
      </rPr>
      <t xml:space="preserve">0.79–1.0</t>
    </r>
    <r>
      <rPr>
        <sz val="10"/>
        <rFont val="Noto Sans CJK SC"/>
        <family val="2"/>
      </rPr>
      <t xml:space="preserve">，含 </t>
    </r>
    <r>
      <rPr>
        <sz val="10"/>
        <rFont val="Arial"/>
        <family val="0"/>
        <charset val="1"/>
      </rPr>
      <t xml:space="preserve">160 </t>
    </r>
    <r>
      <rPr>
        <sz val="10"/>
        <rFont val="Noto Sans CJK SC"/>
        <family val="2"/>
      </rPr>
      <t xml:space="preserve">對應的下界）；</t>
    </r>
    <r>
      <rPr>
        <sz val="10"/>
        <rFont val="Arial"/>
        <family val="0"/>
        <charset val="1"/>
      </rPr>
      <t xml:space="preserve">(3) Microsoft </t>
    </r>
    <r>
      <rPr>
        <sz val="10"/>
        <rFont val="Noto Sans CJK SC"/>
        <family val="2"/>
      </rPr>
      <t xml:space="preserve">自家產品推論不在 </t>
    </r>
    <r>
      <rPr>
        <sz val="10"/>
        <rFont val="Arial"/>
        <family val="0"/>
        <charset val="1"/>
      </rPr>
      <t xml:space="preserve">84 </t>
    </r>
    <r>
      <rPr>
        <sz val="10"/>
        <rFont val="Noto Sans CJK SC"/>
        <family val="2"/>
      </rPr>
      <t xml:space="preserve">億——收窄；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抵用額度計價——保留兩種讀法；</t>
    </r>
    <r>
      <rPr>
        <sz val="10"/>
        <rFont val="Arial"/>
        <family val="0"/>
        <charset val="1"/>
      </rPr>
      <t xml:space="preserve">(5) Azure </t>
    </r>
    <r>
      <rPr>
        <sz val="10"/>
        <rFont val="Noto Sans CJK SC"/>
        <family val="2"/>
      </rPr>
      <t xml:space="preserve">占比——保留為 </t>
    </r>
    <r>
      <rPr>
        <sz val="10"/>
        <rFont val="Arial"/>
        <family val="0"/>
        <charset val="1"/>
      </rPr>
      <t xml:space="preserve">70–100% </t>
    </r>
    <r>
      <rPr>
        <sz val="10"/>
        <rFont val="Noto Sans CJK SC"/>
        <family val="2"/>
      </rPr>
      <t xml:space="preserve">情境。收窄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、保留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</si>
  <si>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涵蓋檢核（第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條）：</t>
    </r>
    <r>
      <rPr>
        <sz val="10"/>
        <rFont val="Arial"/>
        <family val="0"/>
        <charset val="1"/>
      </rPr>
      <t xml:space="preserve">[A] </t>
    </r>
    <r>
      <rPr>
        <sz val="10"/>
        <rFont val="Noto Sans CJK SC"/>
        <family val="2"/>
      </rPr>
      <t xml:space="preserve">會計恆等式（</t>
    </r>
    <r>
      <rPr>
        <sz val="10"/>
        <rFont val="Arial"/>
        <family val="0"/>
        <charset val="1"/>
      </rPr>
      <t xml:space="preserve">B4_Serve </t>
    </r>
    <r>
      <rPr>
        <sz val="10"/>
        <rFont val="Noto Sans CJK SC"/>
        <family val="2"/>
      </rPr>
      <t xml:space="preserve">代入、查核帳上下界）已做；</t>
    </r>
    <r>
      <rPr>
        <sz val="10"/>
        <rFont val="Arial"/>
        <family val="0"/>
        <charset val="1"/>
      </rPr>
      <t xml:space="preserve">[P] GW </t>
    </r>
    <r>
      <rPr>
        <sz val="10"/>
        <rFont val="Noto Sans CJK SC"/>
        <family val="2"/>
      </rPr>
      <t xml:space="preserve">端點與每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小時換算已做；</t>
    </r>
    <r>
      <rPr>
        <sz val="10"/>
        <rFont val="Arial"/>
        <family val="0"/>
        <charset val="1"/>
      </rPr>
      <t xml:space="preserve">[I] </t>
    </r>
    <r>
      <rPr>
        <sz val="10"/>
        <rFont val="Noto Sans CJK SC"/>
        <family val="2"/>
      </rPr>
      <t xml:space="preserve">關聯方定價、抵用額度、投資人資料誘因已列，實付價未找到。未做：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供應商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實付（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 2025 </t>
    </r>
    <r>
      <rPr>
        <sz val="10"/>
        <rFont val="Noto Sans CJK SC"/>
        <family val="2"/>
      </rPr>
      <t xml:space="preserve">交付量與收入）——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申報未點名到可換算程度，列為下一步。</t>
    </r>
  </si>
  <si>
    <r>
      <rPr>
        <sz val="10"/>
        <rFont val="Noto Sans CJK SC"/>
        <family val="2"/>
      </rPr>
      <t xml:space="preserve">獨立核對：見 </t>
    </r>
    <r>
      <rPr>
        <sz val="10"/>
        <rFont val="Arial"/>
        <family val="0"/>
        <charset val="1"/>
      </rPr>
      <t xml:space="preserve">repo </t>
    </r>
    <r>
      <rPr>
        <sz val="10"/>
        <rFont val="Noto Sans CJK SC"/>
        <family val="2"/>
      </rPr>
      <t xml:space="preserve">同資料夾「獨立核對報告</t>
    </r>
    <r>
      <rPr>
        <sz val="10"/>
        <rFont val="Arial"/>
        <family val="0"/>
        <charset val="1"/>
      </rPr>
      <t xml:space="preserve">.md</t>
    </r>
    <r>
      <rPr>
        <sz val="10"/>
        <rFont val="Noto Sans CJK SC"/>
        <family val="2"/>
      </rPr>
      <t xml:space="preserve">」（未參與代理；數值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不符，文字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項＋說明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項已依建議修正）。未核對：</t>
    </r>
    <r>
      <rPr>
        <sz val="10"/>
        <rFont val="Arial"/>
        <family val="0"/>
        <charset val="1"/>
      </rPr>
      <t xml:space="preserve">Epoch 16</t>
    </r>
    <r>
      <rPr>
        <sz val="10"/>
        <rFont val="Noto Sans CJK SC"/>
        <family val="2"/>
      </rPr>
      <t xml:space="preserve">（頁面拒抓）、</t>
    </r>
    <r>
      <rPr>
        <sz val="10"/>
        <rFont val="Arial"/>
        <family val="0"/>
        <charset val="1"/>
      </rPr>
      <t xml:space="preserve">Azure 8.67 </t>
    </r>
    <r>
      <rPr>
        <sz val="10"/>
        <rFont val="Noto Sans CJK SC"/>
        <family val="2"/>
      </rPr>
      <t xml:space="preserve">原頁（只核算術）。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</si>
</sst>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4" hidden="false" customHeight="false" outlineLevel="0" collapsed="false">
      <c r="A1" s="1" t="s">
        <v>0</v>
      </c>
    </row>
    <row r="2" customFormat="false" ht="29.85" hidden="false" customHeight="false" outlineLevel="0" collapsed="false">
      <c r="A2" s="2" t="s">
        <v>1</v>
      </c>
    </row>
    <row r="3" customFormat="false" ht="29.85" hidden="false" customHeight="false" outlineLevel="0" collapsed="false">
      <c r="A3" s="3" t="s">
        <v>2</v>
      </c>
    </row>
    <row r="4" customFormat="false" ht="29.85" hidden="false" customHeight="false" outlineLevel="0" collapsed="false">
      <c r="A4" s="2" t="s">
        <v>3</v>
      </c>
    </row>
    <row r="5" customFormat="false" ht="44" hidden="false" customHeight="false" outlineLevel="0" collapsed="false">
      <c r="A5" s="2" t="s">
        <v>4</v>
      </c>
    </row>
    <row r="6" customFormat="false" ht="29.85" hidden="false" customHeight="false" outlineLevel="0" collapsed="false">
      <c r="A6" s="2" t="s">
        <v>5</v>
      </c>
    </row>
    <row r="7" customFormat="false" ht="44" hidden="false" customHeight="false" outlineLevel="0" collapsed="false">
      <c r="A7" s="2" t="s">
        <v>6</v>
      </c>
    </row>
    <row r="8" customFormat="false" ht="44" hidden="false" customHeight="false" outlineLevel="0" collapsed="false">
      <c r="A8" s="2" t="s">
        <v>7</v>
      </c>
    </row>
    <row r="9" customFormat="false" ht="29.85" hidden="false" customHeight="false" outlineLevel="0" collapsed="false">
      <c r="A9" s="2" t="s">
        <v>8</v>
      </c>
    </row>
    <row r="10" customFormat="false" ht="29.85" hidden="false" customHeight="false" outlineLevel="0" collapsed="false">
      <c r="A10" s="4" t="s">
        <v>9</v>
      </c>
    </row>
    <row r="11" customFormat="false" ht="29.85" hidden="false" customHeight="false" outlineLevel="0" collapsed="false">
      <c r="A11" s="4" t="s">
        <v>10</v>
      </c>
    </row>
    <row r="12" customFormat="false" ht="29.85" hidden="false" customHeight="false" outlineLevel="0" collapsed="false">
      <c r="A12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customFormat="false" ht="29.85" hidden="false" customHeight="false" outlineLevel="0" collapsed="false">
      <c r="A2" s="4" t="s">
        <v>17</v>
      </c>
      <c r="B2" s="5" t="n">
        <v>1.12780698259266</v>
      </c>
      <c r="C2" s="2" t="s">
        <v>18</v>
      </c>
      <c r="D2" s="2" t="s">
        <v>19</v>
      </c>
      <c r="E2" s="2" t="s">
        <v>20</v>
      </c>
    </row>
    <row r="3" customFormat="false" ht="15" hidden="false" customHeight="false" outlineLevel="0" collapsed="false">
      <c r="A3" s="4" t="s">
        <v>21</v>
      </c>
      <c r="B3" s="5" t="n">
        <v>1</v>
      </c>
      <c r="C3" s="2" t="s">
        <v>18</v>
      </c>
      <c r="D3" s="2" t="s">
        <v>19</v>
      </c>
      <c r="E3" s="2" t="s">
        <v>22</v>
      </c>
    </row>
    <row r="4" customFormat="false" ht="15" hidden="false" customHeight="false" outlineLevel="0" collapsed="false">
      <c r="A4" s="4" t="s">
        <v>23</v>
      </c>
      <c r="B4" s="5" t="n">
        <v>1.25</v>
      </c>
      <c r="C4" s="2" t="s">
        <v>18</v>
      </c>
      <c r="D4" s="2" t="s">
        <v>19</v>
      </c>
      <c r="E4" s="2" t="s">
        <v>24</v>
      </c>
    </row>
    <row r="5" customFormat="false" ht="15" hidden="false" customHeight="false" outlineLevel="0" collapsed="false">
      <c r="A5" s="4" t="s">
        <v>25</v>
      </c>
      <c r="B5" s="5" t="n">
        <v>9.35311859805586</v>
      </c>
      <c r="C5" s="2" t="s">
        <v>26</v>
      </c>
      <c r="D5" s="2" t="s">
        <v>19</v>
      </c>
      <c r="E5" s="2" t="s">
        <v>27</v>
      </c>
    </row>
    <row r="6" customFormat="false" ht="15" hidden="false" customHeight="false" outlineLevel="0" collapsed="false">
      <c r="A6" s="2" t="s">
        <v>28</v>
      </c>
      <c r="B6" s="5" t="n">
        <v>8.4</v>
      </c>
      <c r="C6" s="2" t="s">
        <v>29</v>
      </c>
      <c r="D6" s="2" t="s">
        <v>30</v>
      </c>
      <c r="E6" s="2" t="s">
        <v>31</v>
      </c>
    </row>
    <row r="7" customFormat="false" ht="15" hidden="false" customHeight="false" outlineLevel="0" collapsed="false">
      <c r="A7" s="2" t="s">
        <v>32</v>
      </c>
      <c r="B7" s="5" t="n">
        <v>12</v>
      </c>
      <c r="C7" s="2" t="s">
        <v>29</v>
      </c>
      <c r="D7" s="2" t="s">
        <v>30</v>
      </c>
      <c r="E7" s="4" t="s">
        <v>33</v>
      </c>
    </row>
    <row r="8" customFormat="false" ht="26.85" hidden="false" customHeight="false" outlineLevel="0" collapsed="false">
      <c r="A8" s="4" t="s">
        <v>34</v>
      </c>
      <c r="B8" s="5" t="n">
        <v>0.41</v>
      </c>
      <c r="C8" s="4" t="s">
        <v>35</v>
      </c>
      <c r="D8" s="2" t="s">
        <v>36</v>
      </c>
      <c r="E8" s="4" t="s">
        <v>37</v>
      </c>
    </row>
    <row r="9" customFormat="false" ht="15" hidden="false" customHeight="false" outlineLevel="0" collapsed="false">
      <c r="A9" s="4" t="s">
        <v>38</v>
      </c>
      <c r="B9" s="5" t="n">
        <v>17.206</v>
      </c>
      <c r="C9" s="2" t="s">
        <v>29</v>
      </c>
      <c r="D9" s="2" t="s">
        <v>39</v>
      </c>
      <c r="E9" s="4" t="s">
        <v>40</v>
      </c>
    </row>
    <row r="10" customFormat="false" ht="29.85" hidden="false" customHeight="false" outlineLevel="0" collapsed="false">
      <c r="A10" s="4" t="s">
        <v>41</v>
      </c>
      <c r="B10" s="5" t="n">
        <v>2.6</v>
      </c>
      <c r="C10" s="2" t="s">
        <v>29</v>
      </c>
      <c r="D10" s="2" t="s">
        <v>42</v>
      </c>
      <c r="E10" s="2" t="s">
        <v>43</v>
      </c>
    </row>
    <row r="11" customFormat="false" ht="15" hidden="false" customHeight="false" outlineLevel="0" collapsed="false">
      <c r="A11" s="4" t="s">
        <v>44</v>
      </c>
      <c r="B11" s="5" t="n">
        <v>1.45</v>
      </c>
      <c r="C11" s="2" t="s">
        <v>29</v>
      </c>
      <c r="D11" s="2" t="s">
        <v>19</v>
      </c>
      <c r="E11" s="2" t="s">
        <v>45</v>
      </c>
    </row>
    <row r="12" customFormat="false" ht="15" hidden="false" customHeight="false" outlineLevel="0" collapsed="false">
      <c r="A12" s="4" t="s">
        <v>46</v>
      </c>
      <c r="B12" s="5" t="n">
        <v>0</v>
      </c>
      <c r="C12" s="2" t="s">
        <v>29</v>
      </c>
      <c r="D12" s="2" t="s">
        <v>42</v>
      </c>
      <c r="E12" s="4" t="s">
        <v>47</v>
      </c>
    </row>
    <row r="13" customFormat="false" ht="15" hidden="false" customHeight="false" outlineLevel="0" collapsed="false">
      <c r="A13" s="4" t="s">
        <v>48</v>
      </c>
      <c r="B13" s="5" t="n">
        <v>3</v>
      </c>
      <c r="C13" s="2" t="s">
        <v>29</v>
      </c>
      <c r="D13" s="2" t="s">
        <v>42</v>
      </c>
      <c r="E13" s="4" t="s">
        <v>49</v>
      </c>
    </row>
    <row r="14" customFormat="false" ht="29.85" hidden="false" customHeight="false" outlineLevel="0" collapsed="false">
      <c r="A14" s="2" t="s">
        <v>50</v>
      </c>
      <c r="B14" s="5" t="n">
        <v>16</v>
      </c>
      <c r="C14" s="2" t="s">
        <v>29</v>
      </c>
      <c r="D14" s="2" t="s">
        <v>51</v>
      </c>
      <c r="E14" s="2" t="s">
        <v>52</v>
      </c>
    </row>
    <row r="15" customFormat="false" ht="15" hidden="false" customHeight="false" outlineLevel="0" collapsed="false">
      <c r="A15" s="2" t="s">
        <v>53</v>
      </c>
      <c r="B15" s="5" t="n">
        <v>8.67</v>
      </c>
      <c r="C15" s="2" t="s">
        <v>29</v>
      </c>
      <c r="D15" s="2" t="s">
        <v>30</v>
      </c>
      <c r="E15" s="2" t="s">
        <v>54</v>
      </c>
    </row>
    <row r="16" customFormat="false" ht="15" hidden="false" customHeight="false" outlineLevel="0" collapsed="false">
      <c r="A16" s="4" t="s">
        <v>55</v>
      </c>
      <c r="B16" s="5" t="n">
        <v>718048</v>
      </c>
      <c r="C16" s="4" t="s">
        <v>56</v>
      </c>
      <c r="D16" s="2" t="s">
        <v>19</v>
      </c>
      <c r="E16" s="2" t="s">
        <v>57</v>
      </c>
    </row>
    <row r="17" customFormat="false" ht="15" hidden="false" customHeight="false" outlineLevel="0" collapsed="false">
      <c r="A17" s="4" t="s">
        <v>58</v>
      </c>
      <c r="B17" s="5" t="n">
        <v>501768</v>
      </c>
      <c r="C17" s="4" t="s">
        <v>56</v>
      </c>
      <c r="D17" s="2" t="s">
        <v>19</v>
      </c>
      <c r="E17" s="2" t="s">
        <v>59</v>
      </c>
    </row>
    <row r="18" customFormat="false" ht="15" hidden="false" customHeight="false" outlineLevel="0" collapsed="false">
      <c r="A18" s="2" t="s">
        <v>60</v>
      </c>
      <c r="B18" s="5" t="n">
        <v>0.6</v>
      </c>
      <c r="C18" s="4" t="s">
        <v>35</v>
      </c>
      <c r="D18" s="2" t="s">
        <v>19</v>
      </c>
      <c r="E18" s="2" t="s">
        <v>61</v>
      </c>
    </row>
    <row r="19" customFormat="false" ht="15" hidden="false" customHeight="false" outlineLevel="0" collapsed="false">
      <c r="A19" s="4" t="s">
        <v>62</v>
      </c>
      <c r="B19" s="5" t="n">
        <v>0.85</v>
      </c>
      <c r="C19" s="4" t="s">
        <v>63</v>
      </c>
      <c r="D19" s="2" t="s">
        <v>19</v>
      </c>
      <c r="E19" s="2" t="s">
        <v>64</v>
      </c>
    </row>
    <row r="20" customFormat="false" ht="15" hidden="false" customHeight="false" outlineLevel="0" collapsed="false">
      <c r="A20" s="2" t="s">
        <v>65</v>
      </c>
      <c r="B20" s="5" t="n">
        <v>0.7</v>
      </c>
      <c r="C20" s="4" t="s">
        <v>35</v>
      </c>
      <c r="D20" s="2" t="s">
        <v>42</v>
      </c>
      <c r="E20" s="4" t="s">
        <v>66</v>
      </c>
    </row>
    <row r="21" customFormat="false" ht="15" hidden="false" customHeight="false" outlineLevel="0" collapsed="false">
      <c r="A21" s="2" t="s">
        <v>67</v>
      </c>
      <c r="B21" s="5" t="n">
        <v>0.85</v>
      </c>
      <c r="C21" s="4" t="s">
        <v>35</v>
      </c>
      <c r="D21" s="2" t="s">
        <v>42</v>
      </c>
      <c r="E21" s="4" t="s">
        <v>49</v>
      </c>
    </row>
    <row r="22" customFormat="false" ht="15" hidden="false" customHeight="false" outlineLevel="0" collapsed="false">
      <c r="A22" s="2" t="s">
        <v>68</v>
      </c>
      <c r="B22" s="5" t="n">
        <v>1</v>
      </c>
      <c r="C22" s="4" t="s">
        <v>35</v>
      </c>
      <c r="D22" s="2" t="s">
        <v>42</v>
      </c>
      <c r="E22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69</v>
      </c>
      <c r="B1" s="3" t="s">
        <v>13</v>
      </c>
      <c r="C1" s="3" t="s">
        <v>70</v>
      </c>
    </row>
    <row r="2" customFormat="false" ht="15" hidden="false" customHeight="false" outlineLevel="0" collapsed="false">
      <c r="A2" s="4" t="s">
        <v>71</v>
      </c>
      <c r="B2" s="2" t="n">
        <f aca="false">輸入!B2*輸入!B8</f>
        <v>0.462400862862991</v>
      </c>
      <c r="C2" s="4" t="s">
        <v>72</v>
      </c>
    </row>
    <row r="3" customFormat="false" ht="15" hidden="false" customHeight="false" outlineLevel="0" collapsed="false">
      <c r="A3" s="4" t="s">
        <v>73</v>
      </c>
      <c r="B3" s="2" t="n">
        <f aca="false">B2*輸入!B5</f>
        <v>4.32489011020091</v>
      </c>
      <c r="C3" s="2" t="s">
        <v>74</v>
      </c>
    </row>
    <row r="4" customFormat="false" ht="15" hidden="false" customHeight="false" outlineLevel="0" collapsed="false">
      <c r="A4" s="2" t="s">
        <v>75</v>
      </c>
      <c r="B4" s="2" t="n">
        <f aca="false">輸入!B6/B3</f>
        <v>1.94224588046464</v>
      </c>
      <c r="C4" s="4" t="s">
        <v>76</v>
      </c>
    </row>
    <row r="5" customFormat="false" ht="15" hidden="false" customHeight="false" outlineLevel="0" collapsed="false">
      <c r="A5" s="4" t="s">
        <v>77</v>
      </c>
      <c r="B5" s="2" t="n">
        <f aca="false">(輸入!B6+輸入!B7)/(輸入!B2*輸入!B5)</f>
        <v>1.93392196954837</v>
      </c>
      <c r="C5" s="4" t="s">
        <v>78</v>
      </c>
    </row>
    <row r="6" customFormat="false" ht="15" hidden="false" customHeight="false" outlineLevel="0" collapsed="false">
      <c r="A6" s="4" t="s">
        <v>79</v>
      </c>
      <c r="B6" s="2" t="n">
        <f aca="false">B4/B5</f>
        <v>1.00430416068867</v>
      </c>
      <c r="C6" s="4" t="s">
        <v>80</v>
      </c>
    </row>
    <row r="7" customFormat="false" ht="15" hidden="false" customHeight="false" outlineLevel="0" collapsed="false">
      <c r="A7" s="4" t="s">
        <v>81</v>
      </c>
      <c r="B7" s="2" t="n">
        <f aca="false">輸入!B9-輸入!B10+輸入!B11+輸入!B12</f>
        <v>16.056</v>
      </c>
      <c r="C7" s="4" t="s">
        <v>82</v>
      </c>
    </row>
    <row r="8" customFormat="false" ht="15" hidden="false" customHeight="false" outlineLevel="0" collapsed="false">
      <c r="A8" s="4" t="s">
        <v>83</v>
      </c>
      <c r="B8" s="2" t="n">
        <f aca="false">輸入!B9+輸入!B11+輸入!B13</f>
        <v>21.656</v>
      </c>
      <c r="C8" s="4" t="s">
        <v>84</v>
      </c>
    </row>
    <row r="9" customFormat="false" ht="15" hidden="false" customHeight="false" outlineLevel="0" collapsed="false">
      <c r="A9" s="4" t="s">
        <v>85</v>
      </c>
      <c r="B9" s="2" t="n">
        <f aca="false">B7/(輸入!B6+輸入!B7)</f>
        <v>0.787058823529412</v>
      </c>
      <c r="C9" s="2" t="s">
        <v>86</v>
      </c>
    </row>
    <row r="10" customFormat="false" ht="15" hidden="false" customHeight="false" outlineLevel="0" collapsed="false">
      <c r="A10" s="4" t="s">
        <v>87</v>
      </c>
      <c r="B10" s="2" t="n">
        <f aca="false">MIN(1,B8/(輸入!B6+輸入!B7))</f>
        <v>1</v>
      </c>
      <c r="C10" s="2"/>
    </row>
    <row r="11" customFormat="false" ht="15" hidden="false" customHeight="false" outlineLevel="0" collapsed="false">
      <c r="A11" s="2" t="s">
        <v>88</v>
      </c>
      <c r="B11" s="2" t="n">
        <f aca="false">輸入!B3/輸入!B2</f>
        <v>0.886676546106453</v>
      </c>
      <c r="C11" s="2"/>
    </row>
    <row r="12" customFormat="false" ht="15" hidden="false" customHeight="false" outlineLevel="0" collapsed="false">
      <c r="A12" s="2" t="s">
        <v>89</v>
      </c>
      <c r="B12" s="2" t="n">
        <f aca="false">輸入!B4/輸入!B2</f>
        <v>1.10834568263307</v>
      </c>
      <c r="C12" s="2"/>
    </row>
    <row r="13" customFormat="false" ht="15" hidden="false" customHeight="false" outlineLevel="0" collapsed="false">
      <c r="A13" s="4" t="s">
        <v>90</v>
      </c>
      <c r="B13" s="2" t="n">
        <f aca="false">B5*B9/B12</f>
        <v>1.37331734494096</v>
      </c>
      <c r="C13" s="4" t="s">
        <v>91</v>
      </c>
    </row>
    <row r="14" customFormat="false" ht="15" hidden="false" customHeight="false" outlineLevel="0" collapsed="false">
      <c r="A14" s="4" t="s">
        <v>92</v>
      </c>
      <c r="B14" s="2" t="n">
        <f aca="false">B5*B10/B11</f>
        <v>2.181090701046</v>
      </c>
      <c r="C14" s="2"/>
    </row>
    <row r="15" customFormat="false" ht="15" hidden="false" customHeight="false" outlineLevel="0" collapsed="false">
      <c r="A15" s="4" t="s">
        <v>93</v>
      </c>
      <c r="B15" s="2" t="n">
        <f aca="false">B7/輸入!B5</f>
        <v>1.7166466811762</v>
      </c>
      <c r="C15" s="2"/>
    </row>
    <row r="16" customFormat="false" ht="15" hidden="false" customHeight="false" outlineLevel="0" collapsed="false">
      <c r="A16" s="4" t="s">
        <v>94</v>
      </c>
      <c r="B16" s="2" t="n">
        <f aca="false">B8/輸入!B5</f>
        <v>2.31537746185549</v>
      </c>
      <c r="C16" s="4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3" t="s">
        <v>96</v>
      </c>
      <c r="B1" s="6" t="s">
        <v>97</v>
      </c>
      <c r="C1" s="6" t="s">
        <v>98</v>
      </c>
      <c r="D1" s="6" t="s">
        <v>99</v>
      </c>
      <c r="E1" s="3" t="s">
        <v>100</v>
      </c>
    </row>
    <row r="2" customFormat="false" ht="29.85" hidden="false" customHeight="false" outlineLevel="0" collapsed="false">
      <c r="A2" s="5" t="n">
        <v>0.78</v>
      </c>
      <c r="B2" s="7" t="n">
        <f aca="false">三因子!$B$5*$A2/(輸入!B3/輸入!$B$2)</f>
        <v>1.70125074681588</v>
      </c>
      <c r="C2" s="7" t="n">
        <f aca="false">三因子!$B$5*$A2/(輸入!B2/輸入!$B$2)</f>
        <v>1.50845913624773</v>
      </c>
      <c r="D2" s="7" t="n">
        <f aca="false">三因子!$B$5*$A2/(輸入!B4/輸入!$B$2)</f>
        <v>1.3610005974527</v>
      </c>
      <c r="E2" s="2" t="s">
        <v>101</v>
      </c>
    </row>
    <row r="3" customFormat="false" ht="15" hidden="false" customHeight="false" outlineLevel="0" collapsed="false">
      <c r="A3" s="8" t="n">
        <v>0.85</v>
      </c>
      <c r="B3" s="9" t="n">
        <f aca="false">三因子!$B$5*$A3/(輸入!B3/輸入!$B$2)</f>
        <v>1.8539270958891</v>
      </c>
      <c r="C3" s="9" t="n">
        <f aca="false">三因子!$B$5*$A3/(輸入!B2/輸入!$B$2)</f>
        <v>1.64383367411611</v>
      </c>
      <c r="D3" s="9" t="n">
        <f aca="false">三因子!$B$5*$A3/(輸入!B4/輸入!$B$2)</f>
        <v>1.48314167671128</v>
      </c>
    </row>
    <row r="4" customFormat="false" ht="15" hidden="false" customHeight="false" outlineLevel="0" collapsed="false">
      <c r="A4" s="8" t="n">
        <v>0.92</v>
      </c>
      <c r="B4" s="9" t="n">
        <f aca="false">三因子!$B$5*$A4/(輸入!B3/輸入!$B$2)</f>
        <v>2.00660344496232</v>
      </c>
      <c r="C4" s="9" t="n">
        <f aca="false">三因子!$B$5*$A4/(輸入!B2/輸入!$B$2)</f>
        <v>1.7792082119845</v>
      </c>
      <c r="D4" s="9" t="n">
        <f aca="false">三因子!$B$5*$A4/(輸入!B4/輸入!$B$2)</f>
        <v>1.60528275596985</v>
      </c>
    </row>
    <row r="5" customFormat="false" ht="15" hidden="false" customHeight="false" outlineLevel="0" collapsed="false">
      <c r="A5" s="8" t="n">
        <v>1</v>
      </c>
      <c r="B5" s="9" t="n">
        <f aca="false">三因子!$B$5*$A5/(輸入!B3/輸入!$B$2)</f>
        <v>2.181090701046</v>
      </c>
      <c r="C5" s="9" t="n">
        <f aca="false">三因子!$B$5*$A5/(輸入!B2/輸入!$B$2)</f>
        <v>1.93392196954837</v>
      </c>
      <c r="D5" s="9" t="n">
        <f aca="false">三因子!$B$5*$A5/(輸入!B4/輸入!$B$2)</f>
        <v>1.7448725608368</v>
      </c>
    </row>
    <row r="7" customFormat="false" ht="29.85" hidden="false" customHeight="false" outlineLevel="0" collapsed="false">
      <c r="A7" s="3" t="s">
        <v>102</v>
      </c>
      <c r="B7" s="3" t="s">
        <v>103</v>
      </c>
      <c r="C7" s="6" t="s">
        <v>104</v>
      </c>
      <c r="D7" s="6" t="s">
        <v>105</v>
      </c>
      <c r="E7" s="3"/>
    </row>
    <row r="8" customFormat="false" ht="15" hidden="false" customHeight="false" outlineLevel="0" collapsed="false">
      <c r="B8" s="8" t="n">
        <v>4</v>
      </c>
      <c r="C8" s="10" t="n">
        <f aca="false">輸入!$B$6/(輸入!$B$6+B8)</f>
        <v>0.67741935483871</v>
      </c>
      <c r="D8" s="11" t="n">
        <f aca="false">(輸入!$B$6+B8)/(輸入!$B$2*輸入!$B$5)</f>
        <v>1.17552119717646</v>
      </c>
    </row>
    <row r="9" customFormat="false" ht="15" hidden="false" customHeight="false" outlineLevel="0" collapsed="false">
      <c r="B9" s="8" t="n">
        <v>6</v>
      </c>
      <c r="C9" s="10" t="n">
        <f aca="false">輸入!$B$6/(輸入!$B$6+B9)</f>
        <v>0.583333333333333</v>
      </c>
      <c r="D9" s="11" t="n">
        <f aca="false">(輸入!$B$6+B9)/(輸入!$B$2*輸入!$B$5)</f>
        <v>1.36512139026943</v>
      </c>
    </row>
    <row r="10" customFormat="false" ht="15" hidden="false" customHeight="false" outlineLevel="0" collapsed="false">
      <c r="B10" s="8" t="n">
        <v>8</v>
      </c>
      <c r="C10" s="10" t="n">
        <f aca="false">輸入!$B$6/(輸入!$B$6+B10)</f>
        <v>0.51219512195122</v>
      </c>
      <c r="D10" s="11" t="n">
        <f aca="false">(輸入!$B$6+B10)/(輸入!$B$2*輸入!$B$5)</f>
        <v>1.55472158336241</v>
      </c>
    </row>
    <row r="11" customFormat="false" ht="15" hidden="false" customHeight="false" outlineLevel="0" collapsed="false">
      <c r="B11" s="8" t="n">
        <v>10</v>
      </c>
      <c r="C11" s="10" t="n">
        <f aca="false">輸入!$B$6/(輸入!$B$6+B11)</f>
        <v>0.456521739130435</v>
      </c>
      <c r="D11" s="11" t="n">
        <f aca="false">(輸入!$B$6+B11)/(輸入!$B$2*輸入!$B$5)</f>
        <v>1.74432177645539</v>
      </c>
    </row>
    <row r="12" customFormat="false" ht="15" hidden="false" customHeight="false" outlineLevel="0" collapsed="false">
      <c r="B12" s="8" t="n">
        <v>12</v>
      </c>
      <c r="C12" s="10" t="n">
        <f aca="false">輸入!$B$6/(輸入!$B$6+B12)</f>
        <v>0.411764705882353</v>
      </c>
      <c r="D12" s="11" t="n">
        <f aca="false">(輸入!$B$6+B12)/(輸入!$B$2*輸入!$B$5)</f>
        <v>1.93392196954837</v>
      </c>
    </row>
    <row r="13" customFormat="false" ht="15" hidden="false" customHeight="false" outlineLevel="0" collapsed="false">
      <c r="B13" s="8" t="n">
        <v>14</v>
      </c>
      <c r="C13" s="10" t="n">
        <f aca="false">輸入!$B$6/(輸入!$B$6+B13)</f>
        <v>0.375</v>
      </c>
      <c r="D13" s="11" t="n">
        <f aca="false">(輸入!$B$6+B13)/(輸入!$B$2*輸入!$B$5)</f>
        <v>2.12352216264134</v>
      </c>
    </row>
    <row r="15" customFormat="false" ht="29.85" hidden="false" customHeight="false" outlineLevel="0" collapsed="false">
      <c r="A15" s="6" t="s">
        <v>106</v>
      </c>
      <c r="B15" s="3" t="s">
        <v>107</v>
      </c>
      <c r="C15" s="3" t="s">
        <v>108</v>
      </c>
      <c r="D15" s="3"/>
      <c r="E15" s="3"/>
    </row>
    <row r="16" customFormat="false" ht="15" hidden="false" customHeight="false" outlineLevel="0" collapsed="false">
      <c r="A16" s="4" t="s">
        <v>109</v>
      </c>
      <c r="B16" s="7" t="n">
        <f aca="false">輸入!B5*1000000000/((輸入!B18*輸入!B16+(1-輸入!B18)*輸入!B17)*8760)</f>
        <v>1.69065200165595</v>
      </c>
      <c r="C16" s="2"/>
      <c r="D16" s="2"/>
      <c r="E16" s="2" t="s">
        <v>110</v>
      </c>
    </row>
    <row r="17" customFormat="false" ht="15" hidden="false" customHeight="false" outlineLevel="0" collapsed="false">
      <c r="A17" s="2" t="str">
        <f aca="false">" Azure 占 "&amp;TEXT(輸入!B20,"0%")&amp;"：價格因子"</f>
        <v> Azure 占 70%：價格因子</v>
      </c>
      <c r="B17" s="7" t="n">
        <f aca="false">(輸入!$B$9-輸入!$B$10)/(輸入!$B$2*輸入!B20)/輸入!$B$5</f>
        <v>1.97807172879716</v>
      </c>
      <c r="C17" s="7" t="n">
        <f aca="false">輸入!$B$9/(輸入!$B$2*輸入!B20)/輸入!$B$5</f>
        <v>2.33018637311269</v>
      </c>
      <c r="D17" s="2"/>
      <c r="E17" s="2"/>
    </row>
    <row r="18" customFormat="false" ht="15" hidden="false" customHeight="false" outlineLevel="0" collapsed="false">
      <c r="A18" s="2" t="str">
        <f aca="false">" Azure 占 "&amp;TEXT(輸入!B21,"0%")&amp;"：價格因子"</f>
        <v> Azure 占 85%：價格因子</v>
      </c>
      <c r="B18" s="7" t="n">
        <f aca="false">(輸入!$B$9-輸入!$B$10)/(輸入!$B$2*輸入!B21)/輸入!$B$5</f>
        <v>1.62900024724472</v>
      </c>
      <c r="C18" s="7" t="n">
        <f aca="false">輸入!$B$9/(輸入!$B$2*輸入!B21)/輸入!$B$5</f>
        <v>1.91897701315162</v>
      </c>
      <c r="D18" s="2"/>
      <c r="E18" s="2"/>
    </row>
    <row r="19" customFormat="false" ht="15" hidden="false" customHeight="false" outlineLevel="0" collapsed="false">
      <c r="A19" s="2" t="str">
        <f aca="false">" Azure 占 "&amp;TEXT(輸入!B22,"0%")&amp;"：價格因子"</f>
        <v> Azure 占 100%：價格因子</v>
      </c>
      <c r="B19" s="7" t="n">
        <f aca="false">(輸入!$B$9-輸入!$B$10)/(輸入!$B$2*輸入!B22)/輸入!$B$5</f>
        <v>1.38465021015801</v>
      </c>
      <c r="C19" s="7" t="n">
        <f aca="false">輸入!$B$9/(輸入!$B$2*輸入!B22)/輸入!$B$5</f>
        <v>1.63113046117888</v>
      </c>
      <c r="D19" s="2"/>
      <c r="E19" s="2"/>
    </row>
    <row r="20" customFormat="false" ht="15" hidden="false" customHeight="false" outlineLevel="0" collapsed="false">
      <c r="A20" s="2" t="str">
        <f aca="false">" Azure 占 "&amp;TEXT(輸入!B20,"0%")&amp;"：每 GPU 小時（美元）"</f>
        <v> Azure 占 70%：每 GPU 小時（美元）</v>
      </c>
      <c r="B20" s="7" t="n">
        <f aca="false">B17*$B$16</f>
        <v>3.34423092770996</v>
      </c>
      <c r="C20" s="7" t="n">
        <f aca="false">C17*$B$16</f>
        <v>3.93953425593438</v>
      </c>
      <c r="D20" s="2"/>
      <c r="E20" s="2"/>
    </row>
    <row r="21" customFormat="false" ht="15" hidden="false" customHeight="false" outlineLevel="0" collapsed="false">
      <c r="A21" s="2" t="str">
        <f aca="false">" Azure 占 "&amp;TEXT(輸入!B21,"0%")&amp;"：每 GPU 小時（美元）"</f>
        <v> Azure 占 85%：每 GPU 小時（美元）</v>
      </c>
      <c r="B21" s="7" t="n">
        <f aca="false">B18*$B$16</f>
        <v>2.75407252870232</v>
      </c>
      <c r="C21" s="7" t="n">
        <f aca="false">C18*$B$16</f>
        <v>3.24432232841655</v>
      </c>
      <c r="D21" s="2"/>
      <c r="E21" s="2"/>
    </row>
    <row r="22" customFormat="false" ht="15" hidden="false" customHeight="false" outlineLevel="0" collapsed="false">
      <c r="A22" s="2" t="str">
        <f aca="false">" Azure 占 "&amp;TEXT(輸入!B22,"0%")&amp;"：每 GPU 小時（美元）"</f>
        <v> Azure 占 100%：每 GPU 小時（美元）</v>
      </c>
      <c r="B22" s="7" t="n">
        <f aca="false">B19*$B$16</f>
        <v>2.34096164939697</v>
      </c>
      <c r="C22" s="7" t="n">
        <f aca="false">C19*$B$16</f>
        <v>2.75767397915407</v>
      </c>
      <c r="D22" s="2"/>
      <c r="E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3" t="s">
        <v>111</v>
      </c>
      <c r="B1" s="3" t="s">
        <v>13</v>
      </c>
      <c r="C1" s="3" t="s">
        <v>112</v>
      </c>
      <c r="D1" s="3" t="s">
        <v>113</v>
      </c>
    </row>
    <row r="2" customFormat="false" ht="15" hidden="false" customHeight="false" outlineLevel="0" collapsed="false">
      <c r="A2" s="4" t="s">
        <v>114</v>
      </c>
      <c r="B2" s="2" t="n">
        <f aca="false">輸入!B19</f>
        <v>0.85</v>
      </c>
      <c r="C2" s="12" t="n">
        <f aca="false">輸入!$B$6/輸入!$B$5/B2</f>
        <v>1.05658373061052</v>
      </c>
      <c r="D2" s="2"/>
    </row>
    <row r="3" customFormat="false" ht="15" hidden="false" customHeight="false" outlineLevel="0" collapsed="false">
      <c r="A3" s="4" t="s">
        <v>115</v>
      </c>
      <c r="B3" s="5" t="n">
        <v>1.4</v>
      </c>
      <c r="C3" s="12" t="n">
        <f aca="false">輸入!$B$6/輸入!$B$5/B3</f>
        <v>0.641497265013528</v>
      </c>
      <c r="D3" s="2"/>
    </row>
    <row r="4" customFormat="false" ht="15" hidden="false" customHeight="false" outlineLevel="0" collapsed="false">
      <c r="A4" s="4" t="s">
        <v>116</v>
      </c>
      <c r="B4" s="5" t="n">
        <v>1.8</v>
      </c>
      <c r="C4" s="12" t="n">
        <f aca="false">輸入!$B$6/輸入!$B$5/B4</f>
        <v>0.498942317232744</v>
      </c>
      <c r="D4" s="2"/>
    </row>
    <row r="5" customFormat="false" ht="15" hidden="false" customHeight="false" outlineLevel="0" collapsed="false">
      <c r="A5" s="4" t="s">
        <v>117</v>
      </c>
      <c r="B5" s="5" t="n">
        <v>2.2</v>
      </c>
      <c r="C5" s="12" t="n">
        <f aca="false">輸入!$B$6/輸入!$B$5/B5</f>
        <v>0.408225532281336</v>
      </c>
      <c r="D5" s="2"/>
    </row>
    <row r="6" customFormat="false" ht="15" hidden="false" customHeight="false" outlineLevel="0" collapsed="false">
      <c r="A6" s="2" t="s">
        <v>118</v>
      </c>
      <c r="B6" s="2"/>
      <c r="C6" s="12" t="n">
        <f aca="false">三因子!B2</f>
        <v>0.462400862862991</v>
      </c>
      <c r="D6" s="4" t="s">
        <v>119</v>
      </c>
    </row>
    <row r="7" customFormat="false" ht="15" hidden="false" customHeight="false" outlineLevel="0" collapsed="false">
      <c r="A7" s="4" t="s">
        <v>120</v>
      </c>
      <c r="B7" s="2"/>
      <c r="C7" s="2" t="s">
        <v>121</v>
      </c>
      <c r="D7" s="4" t="s">
        <v>122</v>
      </c>
    </row>
    <row r="8" customFormat="false" ht="44" hidden="false" customHeight="false" outlineLevel="0" collapsed="false">
      <c r="A8" s="4" t="s">
        <v>123</v>
      </c>
      <c r="B8" s="2"/>
      <c r="C8" s="2"/>
      <c r="D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40"/>
  </cols>
  <sheetData>
    <row r="1" customFormat="false" ht="15" hidden="false" customHeight="false" outlineLevel="0" collapsed="false">
      <c r="A1" s="3" t="s">
        <v>124</v>
      </c>
      <c r="B1" s="3" t="s">
        <v>125</v>
      </c>
      <c r="C1" s="3" t="s">
        <v>126</v>
      </c>
      <c r="D1" s="3" t="s">
        <v>15</v>
      </c>
      <c r="E1" s="3" t="s">
        <v>127</v>
      </c>
      <c r="F1" s="3" t="s">
        <v>128</v>
      </c>
    </row>
    <row r="2" customFormat="false" ht="26.85" hidden="false" customHeight="false" outlineLevel="0" collapsed="false">
      <c r="A2" s="2" t="s">
        <v>129</v>
      </c>
      <c r="B2" s="2" t="s">
        <v>130</v>
      </c>
      <c r="C2" s="4" t="s">
        <v>131</v>
      </c>
      <c r="D2" s="2" t="s">
        <v>39</v>
      </c>
      <c r="E2" s="4" t="s">
        <v>132</v>
      </c>
      <c r="F2" s="4" t="s">
        <v>133</v>
      </c>
    </row>
    <row r="3" customFormat="false" ht="29.85" hidden="false" customHeight="false" outlineLevel="0" collapsed="false">
      <c r="A3" s="2" t="s">
        <v>134</v>
      </c>
      <c r="B3" s="4" t="s">
        <v>135</v>
      </c>
      <c r="C3" s="2" t="n">
        <v>17.206</v>
      </c>
      <c r="D3" s="2" t="s">
        <v>39</v>
      </c>
      <c r="E3" s="2" t="s">
        <v>136</v>
      </c>
      <c r="F3" s="4" t="s">
        <v>137</v>
      </c>
    </row>
    <row r="4" customFormat="false" ht="15" hidden="false" customHeight="false" outlineLevel="0" collapsed="false">
      <c r="A4" s="2" t="s">
        <v>138</v>
      </c>
      <c r="B4" s="2" t="s">
        <v>139</v>
      </c>
      <c r="C4" s="2" t="n">
        <v>8.67</v>
      </c>
      <c r="D4" s="2" t="s">
        <v>30</v>
      </c>
      <c r="E4" s="2" t="s">
        <v>140</v>
      </c>
      <c r="F4" s="4" t="s">
        <v>141</v>
      </c>
    </row>
    <row r="5" customFormat="false" ht="29.85" hidden="false" customHeight="false" outlineLevel="0" collapsed="false">
      <c r="A5" s="2" t="s">
        <v>142</v>
      </c>
      <c r="B5" s="2" t="s">
        <v>143</v>
      </c>
      <c r="C5" s="2" t="n">
        <v>4.1</v>
      </c>
      <c r="D5" s="2" t="s">
        <v>144</v>
      </c>
      <c r="E5" s="2" t="s">
        <v>145</v>
      </c>
      <c r="F5" s="4" t="s">
        <v>146</v>
      </c>
    </row>
    <row r="6" customFormat="false" ht="15" hidden="false" customHeight="false" outlineLevel="0" collapsed="false">
      <c r="A6" s="2" t="s">
        <v>147</v>
      </c>
      <c r="B6" s="4" t="s">
        <v>148</v>
      </c>
      <c r="C6" s="2" t="s">
        <v>149</v>
      </c>
      <c r="D6" s="2" t="s">
        <v>19</v>
      </c>
      <c r="E6" s="2" t="s">
        <v>150</v>
      </c>
      <c r="F6" s="4" t="s">
        <v>151</v>
      </c>
    </row>
    <row r="7" customFormat="false" ht="15" hidden="false" customHeight="false" outlineLevel="0" collapsed="false">
      <c r="A7" s="2" t="s">
        <v>152</v>
      </c>
      <c r="B7" s="2" t="s">
        <v>153</v>
      </c>
      <c r="C7" s="2" t="s">
        <v>154</v>
      </c>
      <c r="D7" s="2" t="s">
        <v>30</v>
      </c>
      <c r="E7" s="2" t="s">
        <v>155</v>
      </c>
      <c r="F7" s="4" t="s">
        <v>156</v>
      </c>
    </row>
    <row r="8" customFormat="false" ht="29.85" hidden="false" customHeight="false" outlineLevel="0" collapsed="false">
      <c r="A8" s="2" t="s">
        <v>157</v>
      </c>
      <c r="B8" s="2" t="s">
        <v>158</v>
      </c>
      <c r="C8" s="2" t="s">
        <v>159</v>
      </c>
      <c r="D8" s="4" t="s">
        <v>160</v>
      </c>
      <c r="E8" s="2" t="s">
        <v>161</v>
      </c>
      <c r="F8" s="2" t="s">
        <v>162</v>
      </c>
    </row>
    <row r="9" customFormat="false" ht="15" hidden="false" customHeight="false" outlineLevel="0" collapsed="false">
      <c r="A9" s="2" t="s">
        <v>157</v>
      </c>
      <c r="B9" s="2" t="s">
        <v>163</v>
      </c>
      <c r="C9" s="2" t="s">
        <v>164</v>
      </c>
      <c r="D9" s="2" t="s">
        <v>164</v>
      </c>
      <c r="E9" s="2" t="s">
        <v>165</v>
      </c>
      <c r="F9" s="2" t="s">
        <v>166</v>
      </c>
    </row>
    <row r="10" customFormat="false" ht="29.85" hidden="false" customHeight="false" outlineLevel="0" collapsed="false">
      <c r="A10" s="2" t="s">
        <v>167</v>
      </c>
      <c r="B10" s="4" t="s">
        <v>168</v>
      </c>
      <c r="C10" s="2" t="s">
        <v>169</v>
      </c>
      <c r="D10" s="2" t="s">
        <v>30</v>
      </c>
      <c r="E10" s="2" t="s">
        <v>170</v>
      </c>
      <c r="F10" s="2" t="s">
        <v>171</v>
      </c>
    </row>
    <row r="11" customFormat="false" ht="26.85" hidden="false" customHeight="false" outlineLevel="0" collapsed="false">
      <c r="A11" s="2" t="s">
        <v>167</v>
      </c>
      <c r="B11" s="2" t="s">
        <v>172</v>
      </c>
      <c r="C11" s="2" t="s">
        <v>173</v>
      </c>
      <c r="D11" s="2" t="s">
        <v>30</v>
      </c>
      <c r="E11" s="2" t="s">
        <v>174</v>
      </c>
      <c r="F11" s="4" t="s">
        <v>175</v>
      </c>
    </row>
    <row r="12" customFormat="false" ht="15" hidden="false" customHeight="false" outlineLevel="0" collapsed="false">
      <c r="A12" s="2" t="s">
        <v>167</v>
      </c>
      <c r="B12" s="4" t="s">
        <v>176</v>
      </c>
      <c r="C12" s="2" t="s">
        <v>164</v>
      </c>
      <c r="D12" s="4" t="s">
        <v>177</v>
      </c>
      <c r="E12" s="2" t="s">
        <v>178</v>
      </c>
      <c r="F12" s="4" t="s">
        <v>179</v>
      </c>
    </row>
    <row r="13" customFormat="false" ht="29.85" hidden="false" customHeight="false" outlineLevel="0" collapsed="false">
      <c r="A13" s="2" t="s">
        <v>180</v>
      </c>
      <c r="B13" s="2" t="s">
        <v>181</v>
      </c>
      <c r="C13" s="2" t="s">
        <v>164</v>
      </c>
      <c r="D13" s="2" t="s">
        <v>164</v>
      </c>
      <c r="E13" s="2" t="s">
        <v>182</v>
      </c>
      <c r="F13" s="4" t="s">
        <v>183</v>
      </c>
    </row>
    <row r="14" customFormat="false" ht="29.85" hidden="false" customHeight="false" outlineLevel="0" collapsed="false">
      <c r="A14" s="2" t="s">
        <v>180</v>
      </c>
      <c r="B14" s="2" t="s">
        <v>184</v>
      </c>
      <c r="C14" s="2" t="s">
        <v>185</v>
      </c>
      <c r="D14" s="4" t="s">
        <v>186</v>
      </c>
      <c r="E14" s="2" t="s">
        <v>187</v>
      </c>
      <c r="F14" s="4" t="s">
        <v>188</v>
      </c>
    </row>
    <row r="15" customFormat="false" ht="29.85" hidden="false" customHeight="false" outlineLevel="0" collapsed="false">
      <c r="A15" s="2" t="s">
        <v>180</v>
      </c>
      <c r="B15" s="4" t="s">
        <v>189</v>
      </c>
      <c r="C15" s="4" t="s">
        <v>131</v>
      </c>
      <c r="D15" s="2" t="s">
        <v>19</v>
      </c>
      <c r="E15" s="2" t="s">
        <v>190</v>
      </c>
      <c r="F15" s="4" t="s">
        <v>191</v>
      </c>
    </row>
    <row r="16" customFormat="false" ht="29.85" hidden="false" customHeight="false" outlineLevel="0" collapsed="false">
      <c r="A16" s="2" t="s">
        <v>192</v>
      </c>
      <c r="B16" s="2" t="s">
        <v>193</v>
      </c>
      <c r="C16" s="2" t="s">
        <v>194</v>
      </c>
      <c r="D16" s="2" t="s">
        <v>30</v>
      </c>
      <c r="E16" s="2" t="s">
        <v>195</v>
      </c>
      <c r="F16" s="2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5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3" t="s">
        <v>197</v>
      </c>
      <c r="B1" s="3" t="s">
        <v>198</v>
      </c>
      <c r="C1" s="3" t="s">
        <v>199</v>
      </c>
      <c r="D1" s="3" t="s">
        <v>200</v>
      </c>
    </row>
    <row r="2" customFormat="false" ht="58.2" hidden="false" customHeight="false" outlineLevel="0" collapsed="false">
      <c r="A2" s="4" t="s">
        <v>201</v>
      </c>
      <c r="B2" s="2" t="s">
        <v>202</v>
      </c>
      <c r="C2" s="2" t="s">
        <v>203</v>
      </c>
      <c r="D2" s="4" t="s">
        <v>204</v>
      </c>
    </row>
    <row r="3" customFormat="false" ht="44" hidden="false" customHeight="false" outlineLevel="0" collapsed="false">
      <c r="A3" s="4" t="s">
        <v>205</v>
      </c>
      <c r="B3" s="2" t="s">
        <v>206</v>
      </c>
      <c r="C3" s="2" t="s">
        <v>207</v>
      </c>
      <c r="D3" s="4" t="s">
        <v>208</v>
      </c>
    </row>
    <row r="4" customFormat="false" ht="15" hidden="false" customHeight="false" outlineLevel="0" collapsed="false">
      <c r="A4" s="2" t="s">
        <v>209</v>
      </c>
      <c r="B4" s="2" t="s">
        <v>210</v>
      </c>
      <c r="C4" s="2" t="s">
        <v>211</v>
      </c>
      <c r="D4" s="4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4" min="3" style="0" width="40"/>
  </cols>
  <sheetData>
    <row r="1" customFormat="false" ht="15" hidden="false" customHeight="false" outlineLevel="0" collapsed="false">
      <c r="A1" s="3" t="s">
        <v>124</v>
      </c>
      <c r="B1" s="3" t="s">
        <v>213</v>
      </c>
      <c r="C1" s="3" t="s">
        <v>214</v>
      </c>
      <c r="D1" s="3" t="s">
        <v>215</v>
      </c>
    </row>
    <row r="2" customFormat="false" ht="29.85" hidden="false" customHeight="false" outlineLevel="0" collapsed="false">
      <c r="A2" s="2" t="s">
        <v>216</v>
      </c>
      <c r="B2" s="2" t="s">
        <v>217</v>
      </c>
      <c r="C2" s="13" t="s">
        <v>218</v>
      </c>
      <c r="D2" s="4" t="s">
        <v>219</v>
      </c>
    </row>
    <row r="3" customFormat="false" ht="15" hidden="false" customHeight="false" outlineLevel="0" collapsed="false">
      <c r="A3" s="2" t="s">
        <v>220</v>
      </c>
      <c r="B3" s="2" t="s">
        <v>221</v>
      </c>
      <c r="C3" s="13" t="s">
        <v>222</v>
      </c>
      <c r="D3" s="4" t="s">
        <v>223</v>
      </c>
    </row>
    <row r="4" customFormat="false" ht="29.85" hidden="false" customHeight="false" outlineLevel="0" collapsed="false">
      <c r="A4" s="2" t="s">
        <v>224</v>
      </c>
      <c r="B4" s="2" t="s">
        <v>225</v>
      </c>
      <c r="C4" s="13" t="s">
        <v>226</v>
      </c>
      <c r="D4" s="4" t="s">
        <v>227</v>
      </c>
    </row>
    <row r="5" customFormat="false" ht="15" hidden="false" customHeight="false" outlineLevel="0" collapsed="false">
      <c r="A5" s="2" t="s">
        <v>228</v>
      </c>
      <c r="B5" s="2" t="s">
        <v>229</v>
      </c>
      <c r="C5" s="13" t="s">
        <v>230</v>
      </c>
      <c r="D5" s="2" t="s">
        <v>164</v>
      </c>
    </row>
    <row r="6" customFormat="false" ht="58.2" hidden="false" customHeight="false" outlineLevel="0" collapsed="false">
      <c r="A6" s="2" t="s">
        <v>231</v>
      </c>
      <c r="B6" s="4" t="s">
        <v>232</v>
      </c>
      <c r="C6" s="13" t="s">
        <v>233</v>
      </c>
      <c r="D6" s="4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44" hidden="false" customHeight="false" outlineLevel="0" collapsed="false">
      <c r="A1" s="4" t="s">
        <v>235</v>
      </c>
    </row>
    <row r="2" customFormat="false" ht="44" hidden="false" customHeight="false" outlineLevel="0" collapsed="false">
      <c r="A2" s="4" t="s">
        <v>236</v>
      </c>
    </row>
    <row r="3" customFormat="false" ht="29.85" hidden="false" customHeight="false" outlineLevel="0" collapsed="false">
      <c r="A3" s="4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2026-10-23T13:40:35Z</dcterms:created>
  <dc:creator>openpyxl</dc:creator>
  <dc:description/>
  <dc:language>en-US</dc:language>
  <cp:lastModifiedBy/>
  <dcterms:modified xsi:type="dcterms:W3CDTF">2026-10-23T13:40:35Z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