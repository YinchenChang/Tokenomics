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_說明" sheetId="1" state="visible" r:id="rId3"/>
    <sheet name="1_總覽" sheetId="2" state="visible" r:id="rId4"/>
    <sheet name="1A_需求公式樹" sheetId="3" state="visible" r:id="rId5"/>
    <sheet name="2_輸入" sheetId="4" state="visible" r:id="rId6"/>
    <sheet name="3_m重算" sheetId="5" state="visible" r:id="rId7"/>
    <sheet name="4_持有成本" sheetId="6" state="visible" r:id="rId8"/>
    <sheet name="5_每GW產出" sheetId="7" state="visible" r:id="rId9"/>
    <sheet name="6_敏感度" sheetId="8" state="visible" r:id="rId10"/>
    <sheet name="7_不確定_搜尋" sheetId="9" state="visible" r:id="rId11"/>
    <sheet name="8_不確定_實地調研" sheetId="10" state="visible" r:id="rId12"/>
  </sheets>
  <definedNames>
    <definedName function="false" hidden="false" name="IN_Act_A" vbProcedure="false">2_輸入!$D$79</definedName>
    <definedName function="false" hidden="false" name="IN_Act_L" vbProcedure="false">2_輸入!$D$77</definedName>
    <definedName function="false" hidden="false" name="IN_Act_S" vbProcedure="false">2_輸入!$D$78</definedName>
    <definedName function="false" hidden="false" name="IN_AF_A" vbProcedure="false">2_輸入!$D$100</definedName>
    <definedName function="false" hidden="false" name="IN_AF_L" vbProcedure="false">2_輸入!$D$98</definedName>
    <definedName function="false" hidden="false" name="IN_AF_S" vbProcedure="false">2_輸入!$D$99</definedName>
    <definedName function="false" hidden="false" name="IN_APIratio" vbProcedure="false">2_輸入!$D$29</definedName>
    <definedName function="false" hidden="false" name="IN_APItpm" vbProcedure="false">2_輸入!$D$28</definedName>
    <definedName function="false" hidden="false" name="IN_Bldg" vbProcedure="false">2_輸入!$D$134</definedName>
    <definedName function="false" hidden="false" name="IN_BW_G" vbProcedure="false">2_輸入!$D$59</definedName>
    <definedName function="false" hidden="false" name="IN_BW_H" vbProcedure="false">2_輸入!$D$58</definedName>
    <definedName function="false" hidden="false" name="IN_Chi" vbProcedure="false">2_輸入!$D$34</definedName>
    <definedName function="false" hidden="false" name="IN_Cmp_A" vbProcedure="false">2_輸入!$D$109</definedName>
    <definedName function="false" hidden="false" name="IN_Cmp_L" vbProcedure="false">2_輸入!$D$107</definedName>
    <definedName function="false" hidden="false" name="IN_Cmp_S" vbProcedure="false">2_輸入!$D$108</definedName>
    <definedName function="false" hidden="false" name="IN_Disc" vbProcedure="false">2_輸入!$D$20</definedName>
    <definedName function="false" hidden="false" name="IN_Dm_A" vbProcedure="false">2_輸入!$D$85</definedName>
    <definedName function="false" hidden="false" name="IN_Dm_L" vbProcedure="false">2_輸入!$D$83</definedName>
    <definedName function="false" hidden="false" name="IN_Dm_S" vbProcedure="false">2_輸入!$D$84</definedName>
    <definedName function="false" hidden="false" name="IN_EB_G" vbProcedure="false">2_輸入!$D$65</definedName>
    <definedName function="false" hidden="false" name="IN_EB_H" vbProcedure="false">2_輸入!$D$64</definedName>
    <definedName function="false" hidden="false" name="IN_Ecap" vbProcedure="false">2_輸入!$D$39</definedName>
    <definedName function="false" hidden="false" name="IN_Elec" vbProcedure="false">2_輸入!$D$130</definedName>
    <definedName function="false" hidden="false" name="IN_EPBW_G" vbProcedure="false">2_輸入!$D$61</definedName>
    <definedName function="false" hidden="false" name="IN_EPBW_H" vbProcedure="false">2_輸入!$D$60</definedName>
    <definedName function="false" hidden="false" name="IN_EPbytes" vbProcedure="false">2_輸入!$D$40</definedName>
    <definedName function="false" hidden="false" name="IN_EPeff" vbProcedure="false">2_輸入!$D$42</definedName>
    <definedName function="false" hidden="false" name="IN_EPW_G" vbProcedure="false">2_輸入!$D$63</definedName>
    <definedName function="false" hidden="false" name="IN_EPW_H" vbProcedure="false">2_輸入!$D$62</definedName>
    <definedName function="false" hidden="false" name="IN_EP_A" vbProcedure="false">2_輸入!$D$94</definedName>
    <definedName function="false" hidden="false" name="IN_EP_L" vbProcedure="false">2_輸入!$D$92</definedName>
    <definedName function="false" hidden="false" name="IN_EP_S" vbProcedure="false">2_輸入!$D$93</definedName>
    <definedName function="false" hidden="false" name="IN_EtaD0" vbProcedure="false">2_輸入!$D$44</definedName>
    <definedName function="false" hidden="false" name="IN_EtaDm_G" vbProcedure="false">2_輸入!$D$48</definedName>
    <definedName function="false" hidden="false" name="IN_EtaDm_H" vbProcedure="false">2_輸入!$D$47</definedName>
    <definedName function="false" hidden="false" name="IN_EtaP0" vbProcedure="false">2_輸入!$D$46</definedName>
    <definedName function="false" hidden="false" name="IN_EtaPm_G" vbProcedure="false">2_輸入!$D$52</definedName>
    <definedName function="false" hidden="false" name="IN_EtaPm_H" vbProcedure="false">2_輸入!$D$51</definedName>
    <definedName function="false" hidden="false" name="IN_Exp_A" vbProcedure="false">2_輸入!$D$88</definedName>
    <definedName function="false" hidden="false" name="IN_Exp_L" vbProcedure="false">2_輸入!$D$86</definedName>
    <definedName function="false" hidden="false" name="IN_Exp_S" vbProcedure="false">2_輸入!$D$87</definedName>
    <definedName function="false" hidden="false" name="IN_FA_A" vbProcedure="false">2_輸入!$D$103</definedName>
    <definedName function="false" hidden="false" name="IN_FA_L" vbProcedure="false">2_輸入!$D$101</definedName>
    <definedName function="false" hidden="false" name="IN_FA_S" vbProcedure="false">2_輸入!$D$102</definedName>
    <definedName function="false" hidden="false" name="IN_Fib" vbProcedure="false">2_輸入!$D$137</definedName>
    <definedName function="false" hidden="false" name="IN_Fmaint" vbProcedure="false">2_輸入!$D$146</definedName>
    <definedName function="false" hidden="false" name="IN_FreeShare" vbProcedure="false">2_輸入!$D$32</definedName>
    <definedName function="false" hidden="false" name="IN_GPR_G" vbProcedure="false">2_輸入!$D$71</definedName>
    <definedName function="false" hidden="false" name="IN_GPR_H" vbProcedure="false">2_輸入!$D$70</definedName>
    <definedName function="false" hidden="false" name="IN_HBMres" vbProcedure="false">2_輸入!$D$37</definedName>
    <definedName function="false" hidden="false" name="IN_HBM_G" vbProcedure="false">2_輸入!$D$57</definedName>
    <definedName function="false" hidden="false" name="IN_HBM_H" vbProcedure="false">2_輸入!$D$56</definedName>
    <definedName function="false" hidden="false" name="IN_ISL_A" vbProcedure="false">2_輸入!$D$122</definedName>
    <definedName function="false" hidden="false" name="IN_ISL_L" vbProcedure="false">2_輸入!$D$120</definedName>
    <definedName function="false" hidden="false" name="IN_ISL_S" vbProcedure="false">2_輸入!$D$121</definedName>
    <definedName function="false" hidden="false" name="IN_ITlife" vbProcedure="false">2_輸入!$D$139</definedName>
    <definedName function="false" hidden="false" name="IN_ITmaint" vbProcedure="false">2_輸入!$D$145</definedName>
    <definedName function="false" hidden="false" name="IN_ITout" vbProcedure="false">2_輸入!$D$127</definedName>
    <definedName function="false" hidden="false" name="IN_Kappa" vbProcedure="false">2_輸入!$D$12</definedName>
    <definedName function="false" hidden="false" name="IN_KVeff" vbProcedure="false">2_輸入!$D$41</definedName>
    <definedName function="false" hidden="false" name="IN_KV_A" vbProcedure="false">2_輸入!$D$97</definedName>
    <definedName function="false" hidden="false" name="IN_KV_L" vbProcedure="false">2_輸入!$D$95</definedName>
    <definedName function="false" hidden="false" name="IN_KV_S" vbProcedure="false">2_輸入!$D$96</definedName>
    <definedName function="false" hidden="false" name="IN_Land" vbProcedure="false">2_輸入!$D$133</definedName>
    <definedName function="false" hidden="false" name="IN_Lat0" vbProcedure="false">2_輸入!$D$45</definedName>
    <definedName function="false" hidden="false" name="IN_Latm_G" vbProcedure="false">2_輸入!$D$50</definedName>
    <definedName function="false" hidden="false" name="IN_Latm_H" vbProcedure="false">2_輸入!$D$49</definedName>
    <definedName function="false" hidden="false" name="IN_Lay_A" vbProcedure="false">2_輸入!$D$82</definedName>
    <definedName function="false" hidden="false" name="IN_Lay_L" vbProcedure="false">2_輸入!$D$80</definedName>
    <definedName function="false" hidden="false" name="IN_Lay_S" vbProcedure="false">2_輸入!$D$81</definedName>
    <definedName function="false" hidden="false" name="IN_Load" vbProcedure="false">2_輸入!$D$129</definedName>
    <definedName function="false" hidden="false" name="IN_L_bldg" vbProcedure="false">2_輸入!$D$140</definedName>
    <definedName function="false" hidden="false" name="IN_L_fib" vbProcedure="false">2_輸入!$D$143</definedName>
    <definedName function="false" hidden="false" name="IN_L_mech" vbProcedure="false">2_輸入!$D$142</definedName>
    <definedName function="false" hidden="false" name="IN_L_pwr" vbProcedure="false">2_輸入!$D$141</definedName>
    <definedName function="false" hidden="false" name="IN_Mech" vbProcedure="false">2_輸入!$D$136</definedName>
    <definedName function="false" hidden="false" name="IN_MixF_A" vbProcedure="false">2_輸入!$D$26</definedName>
    <definedName function="false" hidden="false" name="IN_MixF_L" vbProcedure="false">2_輸入!$D$24</definedName>
    <definedName function="false" hidden="false" name="IN_MixF_S" vbProcedure="false">2_輸入!$D$25</definedName>
    <definedName function="false" hidden="false" name="IN_MixP_A" vbProcedure="false">2_輸入!$D$23</definedName>
    <definedName function="false" hidden="false" name="IN_MixP_L" vbProcedure="false">2_輸入!$D$21</definedName>
    <definedName function="false" hidden="false" name="IN_MixP_S" vbProcedure="false">2_輸入!$D$22</definedName>
    <definedName function="false" hidden="false" name="IN_MTP_a" vbProcedure="false">2_輸入!$D$36</definedName>
    <definedName function="false" hidden="false" name="IN_MTP_N" vbProcedure="false">2_輸入!$D$35</definedName>
    <definedName function="false" hidden="false" name="IN_NEB_G" vbProcedure="false">2_輸入!$D$67</definedName>
    <definedName function="false" hidden="false" name="IN_NEB_H" vbProcedure="false">2_輸入!$D$66</definedName>
    <definedName function="false" hidden="false" name="IN_NEcap" vbProcedure="false">2_輸入!$D$38</definedName>
    <definedName function="false" hidden="false" name="IN_NEP_A" vbProcedure="false">2_輸入!$D$91</definedName>
    <definedName function="false" hidden="false" name="IN_NEP_L" vbProcedure="false">2_輸入!$D$89</definedName>
    <definedName function="false" hidden="false" name="IN_NEP_S" vbProcedure="false">2_輸入!$D$90</definedName>
    <definedName function="false" hidden="false" name="IN_Net" vbProcedure="false">2_輸入!$D$131</definedName>
    <definedName function="false" hidden="false" name="IN_OSL_A" vbProcedure="false">2_輸入!$D$125</definedName>
    <definedName function="false" hidden="false" name="IN_OSL_L" vbProcedure="false">2_輸入!$D$123</definedName>
    <definedName function="false" hidden="false" name="IN_OSL_S" vbProcedure="false">2_輸入!$D$124</definedName>
    <definedName function="false" hidden="false" name="IN_Peak_G" vbProcedure="false">2_輸入!$D$55</definedName>
    <definedName function="false" hidden="false" name="IN_Peak_H" vbProcedure="false">2_輸入!$D$54</definedName>
    <definedName function="false" hidden="false" name="IN_PFG_G" vbProcedure="false">2_輸入!$D$69</definedName>
    <definedName function="false" hidden="false" name="IN_PFG_H" vbProcedure="false">2_輸入!$D$68</definedName>
    <definedName function="false" hidden="false" name="IN_ProdDerate" vbProcedure="false">2_輸入!$D$14</definedName>
    <definedName function="false" hidden="false" name="IN_Prompts" vbProcedure="false">2_輸入!$D$30</definedName>
    <definedName function="false" hidden="false" name="IN_PUE" vbProcedure="false">2_輸入!$D$128</definedName>
    <definedName function="false" hidden="false" name="IN_Pwr" vbProcedure="false">2_輸入!$D$135</definedName>
    <definedName function="false" hidden="false" name="IN_Px_A" vbProcedure="false">2_輸入!$D$19</definedName>
    <definedName function="false" hidden="false" name="IN_Px_L" vbProcedure="false">2_輸入!$D$17</definedName>
    <definedName function="false" hidden="false" name="IN_Px_S" vbProcedure="false">2_輸入!$D$18</definedName>
    <definedName function="false" hidden="false" name="IN_RackKW_G" vbProcedure="false">2_輸入!$D$73</definedName>
    <definedName function="false" hidden="false" name="IN_RackKW_H" vbProcedure="false">2_輸入!$D$72</definedName>
    <definedName function="false" hidden="false" name="IN_RackPx_G" vbProcedure="false">2_輸入!$D$75</definedName>
    <definedName function="false" hidden="false" name="IN_RackPx_H" vbProcedure="false">2_輸入!$D$74</definedName>
    <definedName function="false" hidden="false" name="IN_Rev" vbProcedure="false">2_輸入!$D$6</definedName>
    <definedName function="false" hidden="false" name="IN_SeatShare" vbProcedure="false">2_輸入!$D$154</definedName>
    <definedName function="false" hidden="false" name="IN_ShareG" vbProcedure="false">2_輸入!$D$10</definedName>
    <definedName function="false" hidden="false" name="IN_ShareH" vbProcedure="false">2_輸入!$D$9</definedName>
    <definedName function="false" hidden="false" name="IN_SLO_A" vbProcedure="false">2_輸入!$D$116</definedName>
    <definedName function="false" hidden="false" name="IN_SLO_L" vbProcedure="false">2_輸入!$D$114</definedName>
    <definedName function="false" hidden="false" name="IN_SLO_S" vbProcedure="false">2_輸入!$D$115</definedName>
    <definedName function="false" hidden="false" name="IN_Soft" vbProcedure="false">2_輸入!$D$138</definedName>
    <definedName function="false" hidden="false" name="IN_Span_A" vbProcedure="false">2_輸入!$D$106</definedName>
    <definedName function="false" hidden="false" name="IN_Span_L" vbProcedure="false">2_輸入!$D$104</definedName>
    <definedName function="false" hidden="false" name="IN_Span_S" vbProcedure="false">2_輸入!$D$105</definedName>
    <definedName function="false" hidden="false" name="IN_Spend" vbProcedure="false">2_輸入!$D$7</definedName>
    <definedName function="false" hidden="false" name="IN_SpendBasis" vbProcedure="false">2_輸入!$D$11</definedName>
    <definedName function="false" hidden="false" name="IN_Staff" vbProcedure="false">2_輸入!$D$147</definedName>
    <definedName function="false" hidden="false" name="IN_Stor" vbProcedure="false">2_輸入!$D$132</definedName>
    <definedName function="false" hidden="false" name="IN_SubShare" vbProcedure="false">2_輸入!$D$153</definedName>
    <definedName function="false" hidden="false" name="IN_SubTokShare" vbProcedure="false">2_輸入!$D$155</definedName>
    <definedName function="false" hidden="false" name="IN_SW" vbProcedure="false">2_輸入!$D$148</definedName>
    <definedName function="false" hidden="false" name="IN_Tau" vbProcedure="false">2_輸入!$D$31</definedName>
    <definedName function="false" hidden="false" name="IN_Tax" vbProcedure="false">2_輸入!$D$150</definedName>
    <definedName function="false" hidden="false" name="IN_TTFT_A" vbProcedure="false">2_輸入!$D$119</definedName>
    <definedName function="false" hidden="false" name="IN_TTFT_L" vbProcedure="false">2_輸入!$D$117</definedName>
    <definedName function="false" hidden="false" name="IN_TTFT_S" vbProcedure="false">2_輸入!$D$118</definedName>
    <definedName function="false" hidden="false" name="IN_Util" vbProcedure="false">2_輸入!$D$15</definedName>
    <definedName function="false" hidden="false" name="IN_UtilAct" vbProcedure="false">2_輸入!$D$13</definedName>
    <definedName function="false" hidden="false" name="IN_WACC" vbProcedure="false">2_輸入!$D$144</definedName>
    <definedName function="false" hidden="false" name="IN_Water" vbProcedure="false">2_輸入!$D$149</definedName>
    <definedName function="false" hidden="false" name="IN_Win_A" vbProcedure="false">2_輸入!$D$112</definedName>
    <definedName function="false" hidden="false" name="IN_Win_L" vbProcedure="false">2_輸入!$D$110</definedName>
    <definedName function="false" hidden="false" name="IN_Win_S" vbProcedure="false">2_輸入!$D$111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<sst xmlns="http://schemas.openxmlformats.org/spreadsheetml/2006/main" count="2113" uniqueCount="1277">
  <si>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閱讀版（</t>
    </r>
    <r>
      <rPr>
        <b val="true"/>
        <sz val="13"/>
        <rFont val="Arial"/>
        <family val="0"/>
        <charset val="1"/>
      </rPr>
      <t xml:space="preserve">Tokenomics v17.0</t>
    </r>
    <r>
      <rPr>
        <b val="true"/>
        <sz val="13"/>
        <rFont val="Noto Sans CJK SC"/>
        <family val="2"/>
      </rPr>
      <t xml:space="preserve">）</t>
    </r>
  </si>
  <si>
    <t xml:space="preserve">建立：2026-10-18，chat 端（Claude）；2026-10-20 升 v17.0。用途：讓 Andy 讀懂 m 從總覽到最細的推導。本簿每個取自 Tokenomics 的數字都已對 Tokenomics v17.0（master 5ef0f7e）逐格核對。</t>
  </si>
  <si>
    <t xml:space="preserve">分頁</t>
  </si>
  <si>
    <r>
      <rPr>
        <sz val="10"/>
        <color rgb="FF000000"/>
        <rFont val="Arial"/>
        <family val="0"/>
        <charset val="1"/>
      </rPr>
      <t xml:space="preserve">1_</t>
    </r>
    <r>
      <rPr>
        <sz val="10"/>
        <color rgb="FF000000"/>
        <rFont val="Noto Sans CJK SC"/>
        <family val="2"/>
      </rPr>
      <t xml:space="preserve">總覽：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的一句話定義、五層結構、閉式解（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約掉）、彈性、驗證、最不確定的五項。</t>
    </r>
  </si>
  <si>
    <r>
      <rPr>
        <b val="true"/>
        <sz val="11"/>
        <rFont val="Cambria"/>
        <family val="0"/>
        <charset val="1"/>
      </rPr>
      <t xml:space="preserve">1A_</t>
    </r>
    <r>
      <rPr>
        <b val="true"/>
        <sz val="11"/>
        <rFont val="Noto Sans CJK SC"/>
        <family val="2"/>
      </rPr>
      <t xml:space="preserve">需求公式樹：從營收三分、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四分出發，逐層推到 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m_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需求覆蓋率），附「必須為真」。建議先讀本頁，細節再看 </t>
    </r>
    <r>
      <rPr>
        <b val="true"/>
        <sz val="11"/>
        <rFont val="Cambria"/>
        <family val="0"/>
        <charset val="1"/>
      </rPr>
      <t xml:space="preserve">3–5 </t>
    </r>
    <r>
      <rPr>
        <b val="true"/>
        <sz val="11"/>
        <rFont val="Noto Sans CJK SC"/>
        <family val="2"/>
      </rPr>
      <t xml:space="preserve">頁。</t>
    </r>
  </si>
  <si>
    <r>
      <rPr>
        <sz val="10"/>
        <color rgb="FF000000"/>
        <rFont val="Arial"/>
        <family val="0"/>
        <charset val="1"/>
      </rPr>
      <t xml:space="preserve">2_</t>
    </r>
    <r>
      <rPr>
        <sz val="10"/>
        <color rgb="FF000000"/>
        <rFont val="Noto Sans CJK SC"/>
        <family val="2"/>
      </rPr>
      <t xml:space="preserve">輸入：全部輸入（藍字，可改）。黃底＝不確定度「高」。每列附標記（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）、區間、原活頁簿位置與說明。</t>
    </r>
  </si>
  <si>
    <r>
      <rPr>
        <sz val="10"/>
        <color rgb="FF000000"/>
        <rFont val="Arial"/>
        <family val="0"/>
        <charset val="1"/>
      </rPr>
      <t xml:space="preserve">3_m</t>
    </r>
    <r>
      <rPr>
        <sz val="10"/>
        <color rgb="FF000000"/>
        <rFont val="Noto Sans CJK SC"/>
        <family val="2"/>
      </rPr>
      <t xml:space="preserve">重算：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的逐步計算（</t>
    </r>
    <r>
      <rPr>
        <sz val="10"/>
        <color rgb="FF000000"/>
        <rFont val="Arial"/>
        <family val="0"/>
        <charset val="1"/>
      </rPr>
      <t xml:space="preserve">S1–S19 → m</t>
    </r>
    <r>
      <rPr>
        <sz val="10"/>
        <color rgb="FF000000"/>
        <rFont val="Noto Sans CJK SC"/>
        <family val="2"/>
      </rPr>
      <t xml:space="preserve">），每步附白話說明、原活頁簿格與原值、差異。</t>
    </r>
  </si>
  <si>
    <r>
      <rPr>
        <sz val="10"/>
        <color rgb="FF000000"/>
        <rFont val="Arial"/>
        <family val="0"/>
        <charset val="1"/>
      </rPr>
      <t xml:space="preserve">4_</t>
    </r>
    <r>
      <rPr>
        <sz val="10"/>
        <color rgb="FF000000"/>
        <rFont val="Noto Sans CJK SC"/>
        <family val="2"/>
      </rPr>
      <t xml:space="preserve">持有成本：每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），資本回收年金＋營運費用。</t>
    </r>
  </si>
  <si>
    <r>
      <rPr>
        <sz val="10"/>
        <color rgb="FF000000"/>
        <rFont val="Arial"/>
        <family val="0"/>
        <charset val="1"/>
      </rPr>
      <t xml:space="preserve">5_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產出：</t>
    </r>
    <r>
      <rPr>
        <sz val="10"/>
        <color rgb="FF000000"/>
        <rFont val="Arial"/>
        <family val="0"/>
        <charset val="1"/>
      </rPr>
      <t xml:space="preserve">roofline——</t>
    </r>
    <r>
      <rPr>
        <sz val="10"/>
        <color rgb="FF000000"/>
        <rFont val="Noto Sans CJK SC"/>
        <family val="2"/>
      </rPr>
      <t xml:space="preserve">由規格、架構、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與校準係數推出每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個案例）。</t>
    </r>
  </si>
  <si>
    <r>
      <rPr>
        <sz val="10"/>
        <color rgb="FF000000"/>
        <rFont val="Arial"/>
        <family val="0"/>
        <charset val="1"/>
      </rPr>
      <t xml:space="preserve">6_</t>
    </r>
    <r>
      <rPr>
        <sz val="10"/>
        <color rgb="FF000000"/>
        <rFont val="Noto Sans CJK SC"/>
        <family val="2"/>
      </rPr>
      <t xml:space="preserve">敏感度：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個輸入的單變數敏感度（在 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執行；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2,993 </t>
    </r>
    <r>
      <rPr>
        <sz val="10"/>
        <color rgb="FF000000"/>
        <rFont val="Noto Sans CJK SC"/>
        <family val="2"/>
      </rPr>
      <t xml:space="preserve">個前置格 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v17.0 </t>
    </r>
    <r>
      <rPr>
        <sz val="10"/>
        <color rgb="FF000000"/>
        <rFont val="Noto Sans CJK SC"/>
        <family val="2"/>
      </rPr>
      <t xml:space="preserve">逐格相同，所以結果仍適用）。</t>
    </r>
  </si>
  <si>
    <r>
      <rPr>
        <sz val="10"/>
        <color rgb="FF000000"/>
        <rFont val="Arial"/>
        <family val="0"/>
        <charset val="1"/>
      </rPr>
      <t xml:space="preserve">7_</t>
    </r>
    <r>
      <rPr>
        <sz val="10"/>
        <color rgb="FF000000"/>
        <rFont val="Noto Sans CJK SC"/>
        <family val="2"/>
      </rPr>
      <t xml:space="preserve">不確定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搜尋：可以搜尋（公開或付費）解決的最不確定假設，附要找的證據與來源。</t>
    </r>
  </si>
  <si>
    <r>
      <rPr>
        <sz val="10"/>
        <color rgb="FF000000"/>
        <rFont val="Arial"/>
        <family val="0"/>
        <charset val="1"/>
      </rPr>
      <t xml:space="preserve">8_</t>
    </r>
    <r>
      <rPr>
        <sz val="10"/>
        <color rgb="FF000000"/>
        <rFont val="Noto Sans CJK SC"/>
        <family val="2"/>
      </rPr>
      <t xml:space="preserve">不確定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實地調研：需要訪談或供應鏈查核的假設，附可直接使用的訪談問題。</t>
    </r>
  </si>
  <si>
    <t xml:space="preserve">顏色</t>
  </si>
  <si>
    <t xml:space="preserve">藍字＝輸入或外部結果（可改）；黑字＝本簿公式；綠字＝連結到其他分頁；黃底＝最不確定、優先調研；淺綠底＝m。</t>
  </si>
  <si>
    <t xml:space="preserve">範圍與限制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</si>
  <si>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本簿重寫了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的計算鏈到「規格、架構、校準係數、成本輸入」這一層；更底層的校準擬合（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頁以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實測聯立解出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與每層延遲）以擬合結果作為輸入，未重寫。</t>
    </r>
  </si>
  <si>
    <r>
      <rPr>
        <sz val="10"/>
        <color rgb="FF000000"/>
        <rFont val="Arial"/>
        <family val="0"/>
        <charset val="1"/>
      </rPr>
      <t xml:space="preserve">2. 2025 </t>
    </r>
    <r>
      <rPr>
        <sz val="10"/>
        <color rgb="FF000000"/>
        <rFont val="Noto Sans CJK SC"/>
        <family val="2"/>
      </rPr>
      <t xml:space="preserve">服務世代只有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占比為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），所以只列這兩個世代；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的「層級不可達」旗標在基準下全部為可達，本簿未重寫旗標邏輯。</t>
    </r>
  </si>
  <si>
    <r>
      <rPr>
        <sz val="10"/>
        <color rgb="FF000000"/>
        <rFont val="Arial"/>
        <family val="0"/>
        <charset val="1"/>
      </rPr>
      <t xml:space="preserve">3. m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MAX(m, </t>
    </r>
    <r>
      <rPr>
        <sz val="10"/>
        <color rgb="FF000000"/>
        <rFont val="Noto Sans CJK SC"/>
        <family val="2"/>
      </rPr>
      <t xml:space="preserve">物理下限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輸出；基準下 </t>
    </r>
    <r>
      <rPr>
        <sz val="10"/>
        <color rgb="FF000000"/>
        <rFont val="Arial"/>
        <family val="0"/>
        <charset val="1"/>
      </rPr>
      <t xml:space="preserve">m 0.460 </t>
    </r>
    <r>
      <rPr>
        <sz val="10"/>
        <color rgb="FF000000"/>
        <rFont val="Noto Sans CJK SC"/>
        <family val="2"/>
      </rPr>
      <t xml:space="preserve">高於下限 </t>
    </r>
    <r>
      <rPr>
        <sz val="10"/>
        <color rgb="FF000000"/>
        <rFont val="Arial"/>
        <family val="0"/>
        <charset val="1"/>
      </rPr>
      <t xml:space="preserve">0.339</t>
    </r>
    <r>
      <rPr>
        <sz val="10"/>
        <color rgb="FF000000"/>
        <rFont val="Noto Sans CJK SC"/>
        <family val="2"/>
      </rPr>
      <t xml:space="preserve">，下限不綁定。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</si>
  <si>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敏感度為單變數測試，未測交互作用；兩種組合（世代、層級）沒有正式區間，為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端暫設。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</si>
  <si>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回本判讀不在本簿範圍：回本由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（壽命期價格係數）與所需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決定，不經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（見姊妹檔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閱讀版；</t>
    </r>
    <r>
      <rPr>
        <sz val="10"/>
        <color rgb="FF000000"/>
        <rFont val="Arial"/>
        <family val="0"/>
        <charset val="1"/>
      </rPr>
      <t xml:space="preserve">v17.0 </t>
    </r>
    <r>
      <rPr>
        <sz val="10"/>
        <color rgb="FF000000"/>
        <rFont val="Noto Sans CJK SC"/>
        <family val="2"/>
      </rPr>
      <t xml:space="preserve">主口徑 </t>
    </r>
    <r>
      <rPr>
        <sz val="10"/>
        <color rgb="FF000000"/>
        <rFont val="Arial"/>
        <family val="0"/>
        <charset val="1"/>
      </rPr>
      <t xml:space="preserve">L 0.759 </t>
    </r>
    <r>
      <rPr>
        <sz val="10"/>
        <color rgb="FF000000"/>
        <rFont val="Noto Sans CJK SC"/>
        <family val="2"/>
      </rPr>
      <t xml:space="preserve">對所需 </t>
    </r>
    <r>
      <rPr>
        <sz val="10"/>
        <color rgb="FF000000"/>
        <rFont val="Arial"/>
        <family val="0"/>
        <charset val="1"/>
      </rPr>
      <t xml:space="preserve">L 0.756</t>
    </r>
    <r>
      <rPr>
        <sz val="10"/>
        <color rgb="FF000000"/>
        <rFont val="Noto Sans CJK SC"/>
        <family val="2"/>
      </rPr>
      <t xml:space="preserve">，判讀「未定」）。</t>
    </r>
  </si>
  <si>
    <t xml:space="preserve">修訂紀錄</t>
  </si>
  <si>
    <r>
      <rPr>
        <sz val="11"/>
        <color theme="1"/>
        <rFont val="Calibri"/>
        <family val="2"/>
        <charset val="1"/>
      </rPr>
      <t xml:space="preserve">r2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）：新增 </t>
    </r>
    <r>
      <rPr>
        <sz val="11"/>
        <color theme="1"/>
        <rFont val="Calibri"/>
        <family val="2"/>
        <charset val="1"/>
      </rPr>
      <t xml:space="preserve">1A_</t>
    </r>
    <r>
      <rPr>
        <sz val="11"/>
        <color theme="1"/>
        <rFont val="Noto Sans CJK SC"/>
        <family val="2"/>
      </rPr>
      <t xml:space="preserve">需求公式樹；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 新增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群三個輸入（</t>
    </r>
    <r>
      <rPr>
        <sz val="11"/>
        <color theme="1"/>
        <rFont val="Calibri"/>
        <family val="2"/>
        <charset val="1"/>
      </rPr>
      <t xml:space="preserve">IN_SubShare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IN_SeatShare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IN_SubTokShare</t>
    </r>
    <r>
      <rPr>
        <sz val="11"/>
        <color theme="1"/>
        <rFont val="Noto Sans CJK SC"/>
        <family val="2"/>
      </rPr>
      <t xml:space="preserve">，取自 </t>
    </r>
    <r>
      <rPr>
        <sz val="11"/>
        <color theme="1"/>
        <rFont val="Calibri"/>
        <family val="2"/>
        <charset val="1"/>
      </rPr>
      <t xml:space="preserve">Tokenomics v15.3 Cap_In C70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C132</t>
    </r>
    <r>
      <rPr>
        <sz val="11"/>
        <color theme="1"/>
        <rFont val="Noto Sans CJK SC"/>
        <family val="2"/>
      </rPr>
      <t xml:space="preserve">）。其餘頁未改。</t>
    </r>
  </si>
  <si>
    <r>
      <rPr>
        <sz val="11"/>
        <color theme="1"/>
        <rFont val="Calibri"/>
        <family val="2"/>
        <charset val="1"/>
      </rPr>
      <t xml:space="preserve">v17.0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）：改名為「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閱讀版」；數字全部對 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核對（前置格 </t>
    </r>
    <r>
      <rPr>
        <sz val="11"/>
        <color theme="1"/>
        <rFont val="Calibri"/>
        <family val="2"/>
        <charset val="1"/>
      </rPr>
      <t xml:space="preserve">2,993</t>
    </r>
    <r>
      <rPr>
        <sz val="11"/>
        <color theme="1"/>
        <rFont val="Noto Sans CJK SC"/>
        <family val="2"/>
      </rPr>
      <t xml:space="preserve">、輸入 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Gov_Map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、各頁原值、公式樹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個原值，全部相同；重算差異 </t>
    </r>
    <r>
      <rPr>
        <sz val="11"/>
        <color theme="1"/>
        <rFont val="Calibri"/>
        <family val="2"/>
        <charset val="1"/>
      </rPr>
      <t xml:space="preserve">&lt; 10⁻¹⁴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IN_SubShare </t>
    </r>
    <r>
      <rPr>
        <sz val="11"/>
        <color theme="1"/>
        <rFont val="Noto Sans CJK SC"/>
        <family val="2"/>
      </rPr>
      <t xml:space="preserve">低端改為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原值 </t>
    </r>
    <r>
      <rPr>
        <sz val="11"/>
        <color theme="1"/>
        <rFont val="Calibri"/>
        <family val="2"/>
        <charset val="1"/>
      </rPr>
      <t xml:space="preserve">0.612</t>
    </r>
    <r>
      <rPr>
        <sz val="11"/>
        <color theme="1"/>
        <rFont val="Noto Sans CJK SC"/>
        <family val="2"/>
      </rPr>
      <t xml:space="preserve">、標記改為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）；移除 </t>
    </r>
    <r>
      <rPr>
        <sz val="11"/>
        <color theme="1"/>
        <rFont val="Calibri"/>
        <family val="2"/>
        <charset val="1"/>
      </rPr>
      <t xml:space="preserve">9_</t>
    </r>
    <r>
      <rPr>
        <sz val="11"/>
        <color theme="1"/>
        <rFont val="Noto Sans CJK SC"/>
        <family val="2"/>
      </rPr>
      <t xml:space="preserve">前置格清單（閱讀用不到，另存於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供換版核對）。另補推論支出、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三個輸入的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區間（原本空白）。經未參與製作的代理獨立核對，不一致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</si>
  <si>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本簿是 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的版本快照，不會隨基準模型自動同步。姊妹檔：</t>
    </r>
    <r>
      <rPr>
        <sz val="11"/>
        <color theme="1"/>
        <rFont val="Calibri"/>
        <family val="2"/>
        <charset val="1"/>
      </rPr>
      <t xml:space="preserve">20261020_L</t>
    </r>
    <r>
      <rPr>
        <sz val="11"/>
        <color theme="1"/>
        <rFont val="Noto Sans CJK SC"/>
        <family val="2"/>
      </rPr>
      <t xml:space="preserve">閱讀版</t>
    </r>
    <r>
      <rPr>
        <sz val="11"/>
        <color theme="1"/>
        <rFont val="Calibri"/>
        <family val="2"/>
        <charset val="1"/>
      </rPr>
      <t xml:space="preserve">_v17.0.xlsx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</si>
  <si>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5"/>
        <rFont val="Arial"/>
        <family val="0"/>
        <charset val="1"/>
      </rPr>
      <t xml:space="preserve">m</t>
    </r>
    <r>
      <rPr>
        <b val="true"/>
        <sz val="15"/>
        <rFont val="Noto Sans CJK SC"/>
        <family val="2"/>
      </rPr>
      <t xml:space="preserve">（機隊變現率）推導總覽</t>
    </r>
  </si>
  <si>
    <r>
      <rPr>
        <sz val="9"/>
        <color rgb="FF555555"/>
        <rFont val="Arial"/>
        <family val="0"/>
        <charset val="1"/>
      </rPr>
      <t xml:space="preserve">Tokenomics v17.0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master 5ef0f7e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自 </t>
    </r>
    <r>
      <rPr>
        <sz val="9"/>
        <color rgb="FF555555"/>
        <rFont val="Arial"/>
        <family val="0"/>
        <charset val="1"/>
      </rPr>
      <t xml:space="preserve">v15.2 </t>
    </r>
    <r>
      <rPr>
        <sz val="9"/>
        <color rgb="FF555555"/>
        <rFont val="Noto Sans CJK SC"/>
        <family val="2"/>
      </rPr>
      <t xml:space="preserve">起未變）。本頁數字全部連結到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</si>
  <si>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</si>
  <si>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1"/>
        <color theme="1"/>
        <rFont val="Arial"/>
        <family val="0"/>
        <charset val="1"/>
      </rPr>
      <t xml:space="preserve">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Arial"/>
        <family val="0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營收能「買到」的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牌價扣折扣）</t>
    </r>
    <r>
      <rPr>
        <sz val="11"/>
        <color theme="1"/>
        <rFont val="Arial"/>
        <family val="0"/>
        <charset val="1"/>
      </rPr>
      <t xml:space="preserve">÷ OpenAI </t>
    </r>
    <r>
      <rPr>
        <sz val="11"/>
        <color theme="1"/>
        <rFont val="Noto Sans CJK SC"/>
        <family val="2"/>
      </rPr>
      <t xml:space="preserve">機隊實際產出的付費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Arial"/>
        <family val="0"/>
        <charset val="1"/>
      </rPr>
      <t xml:space="preserve">m &lt; 1 </t>
    </r>
    <r>
      <rPr>
        <sz val="11"/>
        <color theme="1"/>
        <rFont val="Noto Sans CJK SC"/>
        <family val="2"/>
      </rPr>
      <t xml:space="preserve">表示機隊產出的付費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比營收按牌價折算的多——每個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實收低於牌價（訂閱、免費額度、折扣），或模型高估了機隊產出。</t>
    </r>
  </si>
  <si>
    <t xml:space="preserve">層級與項目</t>
  </si>
  <si>
    <t xml:space="preserve">值</t>
  </si>
  <si>
    <t xml:space="preserve">單位</t>
  </si>
  <si>
    <t xml:space="preserve">怎麼算（細節頁）</t>
  </si>
  <si>
    <t xml:space="preserve">第 0 層：m</t>
  </si>
  <si>
    <t xml:space="preserve">x</t>
  </si>
  <si>
    <t xml:space="preserve">＝ 營收 ÷（機隊付費 token × 混合有效單價）（3_m重算 步驟 m）</t>
  </si>
  <si>
    <t xml:space="preserve">　營收</t>
  </si>
  <si>
    <t xml:space="preserve">$B</t>
  </si>
  <si>
    <r>
      <rPr>
        <sz val="9"/>
        <color rgb="FF555555"/>
        <rFont val="Arial"/>
        <family val="0"/>
        <charset val="1"/>
      </rPr>
      <t xml:space="preserve">SRC_DEM_007</t>
    </r>
    <r>
      <rPr>
        <sz val="9"/>
        <color rgb="FF555555"/>
        <rFont val="Noto Sans CJK SC"/>
        <family val="2"/>
      </rPr>
      <t xml:space="preserve">，查核財報</t>
    </r>
  </si>
  <si>
    <t xml:space="preserve">　營收折合的 token</t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</si>
  <si>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</si>
  <si>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營收 ÷ 混合有效單價（步驟 S19）</t>
  </si>
  <si>
    <t xml:space="preserve">　機隊付費 token</t>
  </si>
  <si>
    <t xml:space="preserve">有效服務 GW × 利用率修正 ÷（1/付費產能 ＋ r/免費產能）（步驟 S16）</t>
  </si>
  <si>
    <t xml:space="preserve">第 1 層：單價</t>
  </si>
  <si>
    <t xml:space="preserve">$/M tok</t>
  </si>
  <si>
    <t xml:space="preserve">付費層級組合 × 2025 層級單價 ×（1 − 折扣）（步驟 S17–S18）</t>
  </si>
  <si>
    <t xml:space="preserve">第 2 層：有效服務 GW</t>
  </si>
  <si>
    <t xml:space="preserve">GW</t>
  </si>
  <si>
    <t xml:space="preserve">推論支出 ÷ 每 GW 持有成本 ÷ 計價倍數 × κ（步驟 S12–S14；持有成本見 4_持有成本）</t>
  </si>
  <si>
    <t xml:space="preserve">　推論支出</t>
  </si>
  <si>
    <r>
      <rPr>
        <sz val="9"/>
        <color rgb="FF555555"/>
        <rFont val="Arial"/>
        <family val="0"/>
        <charset val="1"/>
      </rPr>
      <t xml:space="preserve">SRC_DEM_004</t>
    </r>
    <r>
      <rPr>
        <sz val="9"/>
        <color rgb="FF555555"/>
        <rFont val="Noto Sans CJK SC"/>
        <family val="2"/>
      </rPr>
      <t xml:space="preserve">（主口徑 </t>
    </r>
    <r>
      <rPr>
        <sz val="9"/>
        <color rgb="FF555555"/>
        <rFont val="Arial"/>
        <family val="0"/>
        <charset val="1"/>
      </rPr>
      <t xml:space="preserve">84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126 </t>
    </r>
    <r>
      <rPr>
        <sz val="9"/>
        <color rgb="FF555555"/>
        <rFont val="Noto Sans CJK SC"/>
        <family val="2"/>
      </rPr>
      <t xml:space="preserve">億為對照）</t>
    </r>
  </si>
  <si>
    <t xml:space="preserve">　機隊每 GW 年持有成本</t>
  </si>
  <si>
    <r>
      <rPr>
        <sz val="10"/>
        <color rgb="FF000000"/>
        <rFont val="Arial"/>
        <family val="0"/>
        <charset val="1"/>
      </rPr>
      <t xml:space="preserve">$B/GW·</t>
    </r>
    <r>
      <rPr>
        <sz val="10"/>
        <color rgb="FF000000"/>
        <rFont val="Noto Sans CJK SC"/>
        <family val="2"/>
      </rPr>
      <t xml:space="preserve">年</t>
    </r>
  </si>
  <si>
    <t xml:space="preserve">資本回收年金＋營運費用（4_持有成本）</t>
  </si>
  <si>
    <t xml:space="preserve">　利用率修正</t>
  </si>
  <si>
    <t xml:space="preserve">實際利用率 × 生產折減 ÷ IF_Util（步驟 S15）</t>
  </si>
  <si>
    <t xml:space="preserve">第 3 層：免費 ÷ 付費 token 比 r</t>
  </si>
  <si>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免費 </t>
    </r>
    <r>
      <rPr>
        <sz val="9"/>
        <color rgb="FF555555"/>
        <rFont val="Arial"/>
        <family val="0"/>
        <charset val="1"/>
      </rPr>
      <t xml:space="preserve">token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付費）（步驟 </t>
    </r>
    <r>
      <rPr>
        <sz val="9"/>
        <color rgb="FF555555"/>
        <rFont val="Arial"/>
        <family val="0"/>
        <charset val="1"/>
      </rPr>
      <t xml:space="preserve">S7–S11</t>
    </r>
    <r>
      <rPr>
        <sz val="9"/>
        <color rgb="FF555555"/>
        <rFont val="Noto Sans CJK SC"/>
        <family val="2"/>
      </rPr>
      <t xml:space="preserve">）</t>
    </r>
  </si>
  <si>
    <t xml:space="preserve">第 4 層：機隊每 GW 年產能（付費）</t>
  </si>
  <si>
    <t xml:space="preserve">世代加權的調和平均（步驟 S1–S6）</t>
  </si>
  <si>
    <t xml:space="preserve">　機隊每 GW 年產能（免費）</t>
  </si>
  <si>
    <t xml:space="preserve">同上</t>
  </si>
  <si>
    <t xml:space="preserve">第 5 層：每 GW 年產出（roofline）</t>
  </si>
  <si>
    <t xml:space="preserve">例：GB200 Sol。每請求 GPU 秒 ← prefill（算力）＋ decode（SLO 下的批次 B*）（5_每GW產出）</t>
  </si>
  <si>
    <t xml:space="preserve">閉式解（IF_Util 會約掉）</t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</si>
  <si>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＝ 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1/C</t>
    </r>
    <r>
      <rPr>
        <sz val="10"/>
        <color rgb="FF000000"/>
        <rFont val="Noto Sans CJK SC"/>
        <family val="2"/>
      </rPr>
      <t xml:space="preserve">付 ＋ </t>
    </r>
    <r>
      <rPr>
        <sz val="10"/>
        <color rgb="FF000000"/>
        <rFont val="Arial"/>
        <family val="0"/>
        <charset val="1"/>
      </rPr>
      <t xml:space="preserve">r/C</t>
    </r>
    <r>
      <rPr>
        <sz val="10"/>
        <color rgb="FF000000"/>
        <rFont val="Noto Sans CJK SC"/>
        <family val="2"/>
      </rPr>
      <t xml:space="preserve">免）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× κ 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</si>
  <si>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付、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免＝</t>
    </r>
    <r>
      <rPr>
        <sz val="9"/>
        <color rgb="FF555555"/>
        <rFont val="Arial"/>
        <family val="0"/>
        <charset val="1"/>
      </rPr>
      <t xml:space="preserve">100% </t>
    </r>
    <r>
      <rPr>
        <sz val="9"/>
        <color rgb="FF555555"/>
        <rFont val="Noto Sans CJK SC"/>
        <family val="2"/>
      </rPr>
      <t xml:space="preserve">利用率下的每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年產能（＝</t>
    </r>
    <r>
      <rPr>
        <sz val="9"/>
        <color rgb="FF555555"/>
        <rFont val="Arial"/>
        <family val="0"/>
        <charset val="1"/>
      </rPr>
      <t xml:space="preserve">S5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S6 ÷ IF_Util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IF_Util </t>
    </r>
    <r>
      <rPr>
        <sz val="9"/>
        <color rgb="FF555555"/>
        <rFont val="Noto Sans CJK SC"/>
        <family val="2"/>
      </rPr>
      <t xml:space="preserve">同時出現在利用率修正的分母與產能的分子，所以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與它無關。</t>
    </r>
  </si>
  <si>
    <t xml:space="preserve">閉式解計算的 m</t>
  </si>
  <si>
    <t xml:space="preserve">應等於第 0 層的 m（單位：營收 $B × 持有成本 $B/GW ÷ 支出 $B → 只剩 $/token 與 token 的比）</t>
  </si>
  <si>
    <t xml:space="preserve">差異</t>
  </si>
  <si>
    <t xml:space="preserve">彈性（m 對各輸入，閉式解直接可讀）</t>
  </si>
  <si>
    <t xml:space="preserve">營收、持有成本、計價倍數</t>
  </si>
  <si>
    <t xml:space="preserve">+1</t>
  </si>
  <si>
    <t xml:space="preserve">推論支出、κ、實際利用率、生產折減、單價</t>
  </si>
  <si>
    <t xml:space="preserve">−1</t>
  </si>
  <si>
    <t xml:space="preserve">每 GW 產能（付費與免費一起放大時）</t>
  </si>
  <si>
    <t xml:space="preserve">IF_Util</t>
  </si>
  <si>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（約掉）</t>
    </r>
  </si>
  <si>
    <t xml:space="preserve">免費 ÷ 付費 token 比 r</t>
  </si>
  <si>
    <t xml:space="preserve">＋（r 越大，留給付費的產能越少，m 越高）</t>
  </si>
  <si>
    <t xml:space="preserve">驗證</t>
  </si>
  <si>
    <r>
      <rPr>
        <sz val="11"/>
        <color theme="1"/>
        <rFont val="Arial"/>
        <family val="0"/>
        <charset val="1"/>
      </rPr>
      <t xml:space="preserve">3_m</t>
    </r>
    <r>
      <rPr>
        <sz val="11"/>
        <color theme="1"/>
        <rFont val="Noto Sans CJK SC"/>
        <family val="2"/>
      </rPr>
      <t xml:space="preserve">重算 的 </t>
    </r>
    <r>
      <rPr>
        <sz val="11"/>
        <color theme="1"/>
        <rFont val="Arial"/>
        <family val="0"/>
        <charset val="1"/>
      </rPr>
      <t xml:space="preserve">m ÷ Tokenomics </t>
    </r>
    <r>
      <rPr>
        <sz val="11"/>
        <color theme="1"/>
        <rFont val="Noto Sans CJK SC"/>
        <family val="2"/>
      </rPr>
      <t xml:space="preserve">原值 − </t>
    </r>
    <r>
      <rPr>
        <sz val="11"/>
        <color theme="1"/>
        <rFont val="Arial"/>
        <family val="0"/>
        <charset val="1"/>
      </rPr>
      <t xml:space="preserve">1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</si>
  <si>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每</t>
    </r>
    <r>
      <rPr>
        <sz val="11"/>
        <color theme="1"/>
        <rFont val="Arial"/>
        <family val="0"/>
        <charset val="1"/>
      </rPr>
      <t xml:space="preserve">GW</t>
    </r>
    <r>
      <rPr>
        <sz val="11"/>
        <color theme="1"/>
        <rFont val="Noto Sans CJK SC"/>
        <family val="2"/>
      </rPr>
      <t xml:space="preserve">產出 六個案例的最大絕對差異</t>
    </r>
  </si>
  <si>
    <r>
      <rPr>
        <sz val="11"/>
        <color theme="1"/>
        <rFont val="Arial"/>
        <family val="0"/>
        <charset val="1"/>
      </rPr>
      <t xml:space="preserve">4_</t>
    </r>
    <r>
      <rPr>
        <sz val="11"/>
        <color theme="1"/>
        <rFont val="Noto Sans CJK SC"/>
        <family val="2"/>
      </rPr>
      <t xml:space="preserve">持有成本 兩個世代的最大絕對差異</t>
    </r>
  </si>
  <si>
    <t xml:space="preserve">最不確定的八項（依 6_敏感度 擺動排序；細節見 7、8 頁）</t>
  </si>
  <si>
    <t xml:space="preserve">輸入</t>
  </si>
  <si>
    <t xml:space="preserve">擺動</t>
  </si>
  <si>
    <t xml:space="preserve">承重度</t>
  </si>
  <si>
    <t xml:space="preserve">去哪裡解決</t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</si>
  <si>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</si>
  <si>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</si>
  <si>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</si>
  <si>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</si>
  <si>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</si>
  <si>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項（流量形狀）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</si>
  <si>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</si>
  <si>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項</t>
    </r>
  </si>
  <si>
    <r>
      <rPr>
        <b val="true"/>
        <sz val="15"/>
        <rFont val="Cambria"/>
        <family val="0"/>
        <charset val="1"/>
      </rPr>
      <t xml:space="preserve">m </t>
    </r>
    <r>
      <rPr>
        <b val="true"/>
        <sz val="15"/>
        <rFont val="Noto Sans CJK SC"/>
        <family val="2"/>
      </rPr>
      <t xml:space="preserve">的需求角度公式樹：從「誰付錢、誰用 </t>
    </r>
    <r>
      <rPr>
        <b val="true"/>
        <sz val="15"/>
        <rFont val="Cambria"/>
        <family val="0"/>
        <charset val="1"/>
      </rPr>
      <t xml:space="preserve">token</t>
    </r>
    <r>
      <rPr>
        <b val="true"/>
        <sz val="15"/>
        <rFont val="Noto Sans CJK SC"/>
        <family val="2"/>
      </rPr>
      <t xml:space="preserve">」推到 </t>
    </r>
    <r>
      <rPr>
        <b val="true"/>
        <sz val="15"/>
        <rFont val="Cambria"/>
        <family val="0"/>
        <charset val="1"/>
      </rPr>
      <t xml:space="preserve">m</t>
    </r>
  </si>
  <si>
    <r>
      <rPr>
        <sz val="11"/>
        <color theme="1"/>
        <rFont val="Noto Sans CJK SC"/>
        <family val="2"/>
      </rPr>
      <t xml:space="preserve">讀法：由上往下，每一層都把上一層的一個量拆開。全部是公式，連到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輸入（藍字）與 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重算；改輸入，本頁一起變。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Tokenomics v17.0 </t>
    </r>
    <r>
      <rPr>
        <sz val="11"/>
        <color theme="1"/>
        <rFont val="Noto Sans CJK SC"/>
        <family val="2"/>
      </rPr>
      <t xml:space="preserve">原值（貼上），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欄＝差異。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</si>
  <si>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單位一律為「兆 </t>
    </r>
    <r>
      <rPr>
        <sz val="11"/>
        <color theme="1"/>
        <rFont val="Calibri"/>
        <family val="2"/>
        <charset val="1"/>
      </rPr>
      <t xml:space="preserve">token/</t>
    </r>
    <r>
      <rPr>
        <sz val="11"/>
        <color theme="1"/>
        <rFont val="Noto Sans CJK SC"/>
        <family val="2"/>
      </rPr>
      <t xml:space="preserve">年」（</t>
    </r>
    <r>
      <rPr>
        <sz val="11"/>
        <color theme="1"/>
        <rFont val="Calibri"/>
        <family val="2"/>
        <charset val="1"/>
      </rPr>
      <t xml:space="preserve">10¹² token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 的 </t>
    </r>
    <r>
      <rPr>
        <sz val="11"/>
        <color theme="1"/>
        <rFont val="Calibri"/>
        <family val="2"/>
        <charset val="1"/>
      </rPr>
      <t xml:space="preserve">M tok ÷ 10⁶</t>
    </r>
    <r>
      <rPr>
        <sz val="11"/>
        <color theme="1"/>
        <rFont val="Noto Sans CJK SC"/>
        <family val="2"/>
      </rPr>
      <t xml:space="preserve">）。單價一律為「</t>
    </r>
    <r>
      <rPr>
        <sz val="11"/>
        <color theme="1"/>
        <rFont val="Calibri"/>
        <family val="2"/>
        <charset val="1"/>
      </rPr>
      <t xml:space="preserve">$/M token</t>
    </r>
    <r>
      <rPr>
        <sz val="11"/>
        <color theme="1"/>
        <rFont val="Noto Sans CJK SC"/>
        <family val="2"/>
      </rPr>
      <t xml:space="preserve">」（每百萬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美元）。</t>
    </r>
  </si>
  <si>
    <t xml:space="preserve">層</t>
  </si>
  <si>
    <t xml:space="preserve">項目</t>
  </si>
  <si>
    <t xml:space="preserve">怎麼算（白話＋公式）</t>
  </si>
  <si>
    <t xml:space="preserve">標記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</si>
  <si>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原值</t>
    </r>
  </si>
  <si>
    <t xml:space="preserve">L0</t>
  </si>
  <si>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是什麼：每個付費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實收多少，除以牌價（扣折扣後）</t>
    </r>
  </si>
  <si>
    <t xml:space="preserve">實際營收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</si>
  <si>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全年營收（毛額）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</si>
  <si>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SRC_DEM_007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</si>
  <si>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機隊產出的付費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</si>
  <si>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token/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</si>
  <si>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推論機隊一年實際產出、屬於付費用戶的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（供給面算出，</t>
    </r>
    <r>
      <rPr>
        <sz val="11"/>
        <color theme="1"/>
        <rFont val="Calibri"/>
        <family val="2"/>
        <charset val="1"/>
      </rPr>
      <t xml:space="preserve">L5–L6 </t>
    </r>
    <r>
      <rPr>
        <sz val="11"/>
        <color theme="1"/>
        <rFont val="Noto Sans CJK SC"/>
        <family val="2"/>
      </rPr>
      <t xml:space="preserve">展開）</t>
    </r>
  </si>
  <si>
    <t xml:space="preserve">Derived</t>
  </si>
  <si>
    <r>
      <rPr>
        <sz val="11"/>
        <color theme="1"/>
        <rFont val="Noto Sans CJK SC"/>
        <family val="2"/>
      </rPr>
      <t xml:space="preserve">每百萬付費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實收</t>
    </r>
  </si>
  <si>
    <t xml:space="preserve">$/M token</t>
  </si>
  <si>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機隊付費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。機隊每產出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萬個付費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實際收到多少錢</t>
    </r>
  </si>
  <si>
    <r>
      <rPr>
        <sz val="11"/>
        <color theme="1"/>
        <rFont val="Noto Sans CJK SC"/>
        <family val="2"/>
      </rPr>
      <t xml:space="preserve">每百萬付費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的牌價（扣折扣）</t>
    </r>
  </si>
  <si>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層級組合（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有效折扣）；細節見 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 </t>
    </r>
    <r>
      <rPr>
        <sz val="11"/>
        <color theme="1"/>
        <rFont val="Calibri"/>
        <family val="2"/>
        <charset val="1"/>
      </rPr>
      <t xml:space="preserve">S17–S18</t>
    </r>
  </si>
  <si>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＝實收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牌價</t>
    </r>
  </si>
  <si>
    <t xml:space="preserve">倍</t>
  </si>
  <si>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：機隊產出的付費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，平均每個收到的錢低於牌價。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只用營收「總額」與機隊「總產出」，需求面只透過免費比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進來（</t>
    </r>
    <r>
      <rPr>
        <sz val="11"/>
        <color theme="1"/>
        <rFont val="Calibri"/>
        <family val="2"/>
        <charset val="1"/>
      </rPr>
      <t xml:space="preserve">L4</t>
    </r>
    <r>
      <rPr>
        <sz val="11"/>
        <color theme="1"/>
        <rFont val="Noto Sans CJK SC"/>
        <family val="2"/>
      </rPr>
      <t xml:space="preserve">）</t>
    </r>
  </si>
  <si>
    <t xml:space="preserve">L1</t>
  </si>
  <si>
    <r>
      <rPr>
        <b val="true"/>
        <sz val="11"/>
        <rFont val="Noto Sans CJK SC"/>
        <family val="2"/>
      </rPr>
      <t xml:space="preserve">把 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拆成兩個因子：需求面變現率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需求覆蓋率</t>
    </r>
  </si>
  <si>
    <r>
      <rPr>
        <sz val="11"/>
        <color theme="1"/>
        <rFont val="Noto Sans CJK SC"/>
        <family val="2"/>
      </rPr>
      <t xml:space="preserve">需求面數到的付費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</si>
  <si>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L3 </t>
    </r>
    <r>
      <rPr>
        <sz val="11"/>
        <color theme="1"/>
        <rFont val="Noto Sans CJK SC"/>
        <family val="2"/>
      </rPr>
      <t xml:space="preserve">加總；由公開的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吞吐與每日訊息數推得）</t>
    </r>
  </si>
  <si>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需求：按需求面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算的變現率</t>
    </r>
  </si>
  <si>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（需求面付費 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牌價）。如果需求面的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數是對的，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就是這個數</t>
    </r>
  </si>
  <si>
    <r>
      <rPr>
        <sz val="11"/>
        <color theme="1"/>
        <rFont val="Noto Sans CJK SC"/>
        <family val="2"/>
      </rPr>
      <t xml:space="preserve">需求覆蓋率：需求面 </t>
    </r>
    <r>
      <rPr>
        <sz val="11"/>
        <color theme="1"/>
        <rFont val="Calibri"/>
        <family val="2"/>
        <charset val="1"/>
      </rPr>
      <t xml:space="preserve">token ÷ </t>
    </r>
    <r>
      <rPr>
        <sz val="11"/>
        <color theme="1"/>
        <rFont val="Noto Sans CJK SC"/>
        <family val="2"/>
      </rPr>
      <t xml:space="preserve">機隊付費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</si>
  <si>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機隊產出的付費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，只有這個比例能在需求面數據裡「看到」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</si>
  <si>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覆蓋率</t>
    </r>
  </si>
  <si>
    <r>
      <rPr>
        <sz val="11"/>
        <color theme="1"/>
        <rFont val="Noto Sans CJK SC"/>
        <family val="2"/>
      </rPr>
      <t xml:space="preserve">應等於 </t>
    </r>
    <r>
      <rPr>
        <sz val="11"/>
        <color theme="1"/>
        <rFont val="Calibri"/>
        <family val="2"/>
        <charset val="1"/>
      </rPr>
      <t xml:space="preserve">L0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（恆等式：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 × P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× 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]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÷ S</t>
    </r>
    <r>
      <rPr>
        <sz val="11"/>
        <color theme="1"/>
        <rFont val="Noto Sans CJK SC"/>
        <family val="2"/>
      </rPr>
      <t xml:space="preserve">））</t>
    </r>
  </si>
  <si>
    <t xml:space="preserve">—</t>
  </si>
  <si>
    <r>
      <rPr>
        <b val="true"/>
        <sz val="11"/>
        <rFont val="Noto Sans CJK SC"/>
        <family val="2"/>
      </rPr>
      <t xml:space="preserve">兩邊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數相差</t>
    </r>
  </si>
  <si>
    <r>
      <rPr>
        <sz val="11"/>
        <color theme="1"/>
        <rFont val="Noto Sans CJK SC"/>
        <family val="2"/>
      </rPr>
      <t xml:space="preserve">機隊付費 </t>
    </r>
    <r>
      <rPr>
        <sz val="11"/>
        <color theme="1"/>
        <rFont val="Calibri"/>
        <family val="2"/>
        <charset val="1"/>
      </rPr>
      <t xml:space="preserve">token ÷ </t>
    </r>
    <r>
      <rPr>
        <sz val="11"/>
        <color theme="1"/>
        <rFont val="Noto Sans CJK SC"/>
        <family val="2"/>
      </rPr>
      <t xml:space="preserve">需求面付費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。這個缺口就是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最大的不確定來源（見 </t>
    </r>
    <r>
      <rPr>
        <sz val="11"/>
        <color theme="1"/>
        <rFont val="Calibri"/>
        <family val="2"/>
        <charset val="1"/>
      </rPr>
      <t xml:space="preserve">L8</t>
    </r>
    <r>
      <rPr>
        <sz val="11"/>
        <color theme="1"/>
        <rFont val="Noto Sans CJK SC"/>
        <family val="2"/>
      </rPr>
      <t xml:space="preserve">）</t>
    </r>
  </si>
  <si>
    <t xml:space="preserve">L2</t>
  </si>
  <si>
    <r>
      <rPr>
        <b val="true"/>
        <sz val="11"/>
        <rFont val="Noto Sans CJK SC"/>
        <family val="2"/>
      </rPr>
      <t xml:space="preserve">營收從哪裡來：營收三分（本層只拆分子，不改變 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總值）</t>
    </r>
  </si>
  <si>
    <t xml:space="preserve">消費訂閱營收</t>
  </si>
  <si>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消費訂閱占比（約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</si>
  <si>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</si>
  <si>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商用席次營收</t>
  </si>
  <si>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商用席次占比（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，假設）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</si>
  <si>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</si>
  <si>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</t>
    </r>
  </si>
  <si>
    <t xml:space="preserve">＝營收 − 消費訂閱 − 商用席次（餘額）。前兩項的誤差全部落在這裡</t>
  </si>
  <si>
    <r>
      <rPr>
        <sz val="11"/>
        <color theme="1"/>
        <rFont val="Noto Sans CJK SC"/>
        <family val="2"/>
      </rPr>
      <t xml:space="preserve">占比：消費訂閱／商用席次／</t>
    </r>
    <r>
      <rPr>
        <sz val="11"/>
        <color theme="1"/>
        <rFont val="Calibri"/>
        <family val="2"/>
        <charset val="1"/>
      </rPr>
      <t xml:space="preserve">API</t>
    </r>
  </si>
  <si>
    <r>
      <rPr>
        <sz val="11"/>
        <color theme="1"/>
        <rFont val="Noto Sans CJK SC"/>
        <family val="2"/>
      </rPr>
      <t xml:space="preserve">約七成營收來自定額訂閱：訂閱收入不隨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用量變動，這是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偏離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的根本原因之一</t>
    </r>
  </si>
  <si>
    <t xml:space="preserve">L3</t>
  </si>
  <si>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由誰使用：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四分（需求面）</t>
    </r>
  </si>
  <si>
    <t xml:space="preserve">API token</t>
  </si>
  <si>
    <r>
      <rPr>
        <sz val="11"/>
        <color theme="1"/>
        <rFont val="Noto Sans CJK SC"/>
        <family val="2"/>
      </rPr>
      <t xml:space="preserve">開發者與企業透過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使用；按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計費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</si>
  <si>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消費訂閱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</si>
  <si>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消費訂閱份額（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，假設）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</si>
  <si>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（份額）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</si>
  <si>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商用席次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</si>
  <si>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消費訂閱份額）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</si>
  <si>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免費 </t>
    </r>
    <r>
      <rPr>
        <sz val="11"/>
        <color theme="1"/>
        <rFont val="Calibri"/>
        <family val="2"/>
        <charset val="1"/>
      </rPr>
      <t xml:space="preserve">token</t>
    </r>
  </si>
  <si>
    <t xml:space="preserve">免費用戶；沒有直接營收，但同樣占用機隊時間</t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</si>
  <si>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</si>
  <si>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四類合計；其中付費＝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＋消費訂閱＋商用席次＝</t>
    </r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的需求面付費 </t>
    </r>
    <r>
      <rPr>
        <sz val="11"/>
        <color theme="1"/>
        <rFont val="Calibri"/>
        <family val="2"/>
        <charset val="1"/>
      </rPr>
      <t xml:space="preserve">token</t>
    </r>
  </si>
  <si>
    <t xml:space="preserve">L3′</t>
  </si>
  <si>
    <r>
      <rPr>
        <b val="true"/>
        <sz val="11"/>
        <rFont val="Noto Sans CJK SC"/>
        <family val="2"/>
      </rPr>
      <t xml:space="preserve">各收費模式「每個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實收多少」：營收（</t>
    </r>
    <r>
      <rPr>
        <b val="true"/>
        <sz val="11"/>
        <rFont val="Cambria"/>
        <family val="0"/>
        <charset val="1"/>
      </rPr>
      <t xml:space="preserve">L2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÷ token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L3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</si>
  <si>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：每百萬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實收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</si>
  <si>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API token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</si>
  <si>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m_API</t>
    </r>
  </si>
  <si>
    <r>
      <rPr>
        <sz val="11"/>
        <color theme="1"/>
        <rFont val="Noto Sans CJK SC"/>
        <family val="2"/>
      </rPr>
      <t xml:space="preserve">按量計費，接近牌價（＜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反映 </t>
    </r>
    <r>
      <rPr>
        <sz val="11"/>
        <color theme="1"/>
        <rFont val="Calibri"/>
        <family val="2"/>
        <charset val="1"/>
      </rPr>
      <t xml:space="preserve">Batch</t>
    </r>
    <r>
      <rPr>
        <sz val="11"/>
        <color theme="1"/>
        <rFont val="Noto Sans CJK SC"/>
        <family val="2"/>
      </rPr>
      <t xml:space="preserve">、企業折扣以外的組合差異）</t>
    </r>
  </si>
  <si>
    <r>
      <rPr>
        <sz val="11"/>
        <color theme="1"/>
        <rFont val="Noto Sans CJK SC"/>
        <family val="2"/>
      </rPr>
      <t xml:space="preserve">消費訂閱：每百萬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實收</t>
    </r>
  </si>
  <si>
    <r>
      <rPr>
        <sz val="11"/>
        <color theme="1"/>
        <rFont val="Noto Sans CJK SC"/>
        <family val="2"/>
      </rPr>
      <t xml:space="preserve">消費訂閱營收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消費訂閱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</si>
  <si>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消費訂閱</t>
    </r>
  </si>
  <si>
    <r>
      <rPr>
        <sz val="11"/>
        <color theme="1"/>
        <rFont val="Noto Sans CJK SC"/>
        <family val="2"/>
      </rPr>
      <t xml:space="preserve">定額月費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實際用量；遠大於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，表示每位訂閱用戶付的錢遠超過他用掉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的牌價等值（或需求面低估了他的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</si>
  <si>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商用席次：每百萬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實收</t>
    </r>
  </si>
  <si>
    <r>
      <rPr>
        <sz val="11"/>
        <color theme="1"/>
        <rFont val="Noto Sans CJK SC"/>
        <family val="2"/>
      </rPr>
      <t xml:space="preserve">商用席次營收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商用席次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</si>
  <si>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商用席次</t>
    </r>
  </si>
  <si>
    <t xml:space="preserve">同上，按席次定額收費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</si>
  <si>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</si>
  <si>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三段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加權＝</t>
    </r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需求。免費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不進這裡，它在 </t>
    </r>
    <r>
      <rPr>
        <sz val="11"/>
        <color theme="1"/>
        <rFont val="Calibri"/>
        <family val="2"/>
        <charset val="1"/>
      </rPr>
      <t xml:space="preserve">L5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壓縮付費產能</t>
    </r>
  </si>
  <si>
    <t xml:space="preserve">L4</t>
  </si>
  <si>
    <r>
      <rPr>
        <b val="true"/>
        <sz val="11"/>
        <rFont val="Noto Sans CJK SC"/>
        <family val="2"/>
      </rPr>
      <t xml:space="preserve">需求面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怎麼推出來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</si>
  <si>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時點）</t>
    </r>
  </si>
  <si>
    <r>
      <rPr>
        <sz val="11"/>
        <color theme="1"/>
        <rFont val="Noto Sans CJK SC"/>
        <family val="2"/>
      </rPr>
      <t xml:space="preserve">十億 </t>
    </r>
    <r>
      <rPr>
        <sz val="11"/>
        <color theme="1"/>
        <rFont val="Calibri"/>
        <family val="2"/>
        <charset val="1"/>
      </rPr>
      <t xml:space="preserve">token/</t>
    </r>
    <r>
      <rPr>
        <sz val="11"/>
        <color theme="1"/>
        <rFont val="Noto Sans CJK SC"/>
        <family val="2"/>
      </rPr>
      <t xml:space="preserve">分鐘</t>
    </r>
  </si>
  <si>
    <r>
      <rPr>
        <sz val="11"/>
        <color theme="1"/>
        <rFont val="Calibri"/>
        <family val="2"/>
        <charset val="1"/>
      </rPr>
      <t xml:space="preserve">OpenAI 2025-10-06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／分鐘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</si>
  <si>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</si>
  <si>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全年平均 </t>
    </r>
    <r>
      <rPr>
        <sz val="11"/>
        <color theme="1"/>
        <rFont val="Calibri"/>
        <family val="2"/>
        <charset val="1"/>
      </rPr>
      <t xml:space="preserve">÷ 10 </t>
    </r>
    <r>
      <rPr>
        <sz val="11"/>
        <color theme="1"/>
        <rFont val="Noto Sans CJK SC"/>
        <family val="2"/>
      </rPr>
      <t xml:space="preserve">月時點</t>
    </r>
  </si>
  <si>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月的時點值換成全年平均（成長中，所以＜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</si>
  <si>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0.6–0.9</t>
    </r>
    <r>
      <rPr>
        <sz val="11"/>
        <color theme="1"/>
        <rFont val="Noto Sans CJK SC"/>
        <family val="2"/>
      </rPr>
      <t xml:space="preserve">）</t>
    </r>
  </si>
  <si>
    <t xml:space="preserve">→ API token</t>
  </si>
  <si>
    <r>
      <rPr>
        <sz val="11"/>
        <color theme="1"/>
        <rFont val="Noto Sans CJK SC"/>
        <family val="2"/>
      </rPr>
      <t xml:space="preserve">＝每分鐘 </t>
    </r>
    <r>
      <rPr>
        <sz val="11"/>
        <color theme="1"/>
        <rFont val="Calibri"/>
        <family val="2"/>
        <charset val="1"/>
      </rPr>
      <t xml:space="preserve">token × 525,600 </t>
    </r>
    <r>
      <rPr>
        <sz val="11"/>
        <color theme="1"/>
        <rFont val="Noto Sans CJK SC"/>
        <family val="2"/>
      </rPr>
      <t xml:space="preserve">分鐘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全年平均比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</si>
  <si>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每日訊息數</t>
    </r>
  </si>
  <si>
    <r>
      <rPr>
        <sz val="11"/>
        <color theme="1"/>
        <rFont val="Noto Sans CJK SC"/>
        <family val="2"/>
      </rPr>
      <t xml:space="preserve">十億則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</si>
  <si>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億則／日</t>
    </r>
  </si>
  <si>
    <r>
      <rPr>
        <sz val="11"/>
        <color theme="1"/>
        <rFont val="Noto Sans CJK SC"/>
        <family val="2"/>
      </rPr>
      <t xml:space="preserve">每則訊息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τ</t>
    </r>
  </si>
  <si>
    <r>
      <rPr>
        <sz val="11"/>
        <color theme="1"/>
        <rFont val="Calibri"/>
        <family val="2"/>
        <charset val="1"/>
      </rPr>
      <t xml:space="preserve">token/</t>
    </r>
    <r>
      <rPr>
        <sz val="11"/>
        <color theme="1"/>
        <rFont val="Noto Sans CJK SC"/>
        <family val="2"/>
      </rPr>
      <t xml:space="preserve">則</t>
    </r>
  </si>
  <si>
    <t xml:space="preserve">含輸入、輸出、思考；無公開數字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</si>
  <si>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2,000–11,000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</si>
  <si>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免費用戶占 </t>
    </r>
    <r>
      <rPr>
        <sz val="11"/>
        <color theme="1"/>
        <rFont val="Calibri"/>
        <family val="2"/>
        <charset val="1"/>
      </rPr>
      <t xml:space="preserve">ChatGPT token </t>
    </r>
    <r>
      <rPr>
        <sz val="11"/>
        <color theme="1"/>
        <rFont val="Noto Sans CJK SC"/>
        <family val="2"/>
      </rPr>
      <t xml:space="preserve">比</t>
    </r>
  </si>
  <si>
    <t xml:space="preserve">%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</si>
  <si>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口徑（不是用戶數口徑，也不是支出口徑）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</si>
  <si>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40%–80%</t>
    </r>
    <r>
      <rPr>
        <sz val="11"/>
        <color theme="1"/>
        <rFont val="Noto Sans CJK SC"/>
        <family val="2"/>
      </rPr>
      <t xml:space="preserve">）</t>
    </r>
  </si>
  <si>
    <t xml:space="preserve">→ ChatGPT token</t>
  </si>
  <si>
    <r>
      <rPr>
        <sz val="11"/>
        <color theme="1"/>
        <rFont val="Noto Sans CJK SC"/>
        <family val="2"/>
      </rPr>
      <t xml:space="preserve">＝每日訊息 </t>
    </r>
    <r>
      <rPr>
        <sz val="11"/>
        <color theme="1"/>
        <rFont val="Calibri"/>
        <family val="2"/>
        <charset val="1"/>
      </rPr>
      <t xml:space="preserve">× τ × 365</t>
    </r>
  </si>
  <si>
    <r>
      <rPr>
        <sz val="11"/>
        <color theme="1"/>
        <rFont val="Noto Sans CJK SC"/>
        <family val="2"/>
      </rPr>
      <t xml:space="preserve">免費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r</t>
    </r>
  </si>
  <si>
    <r>
      <rPr>
        <sz val="11"/>
        <color theme="1"/>
        <rFont val="Noto Sans CJK SC"/>
        <family val="2"/>
      </rPr>
      <t xml:space="preserve">＝免費 </t>
    </r>
    <r>
      <rPr>
        <sz val="11"/>
        <color theme="1"/>
        <rFont val="Calibri"/>
        <family val="2"/>
        <charset val="1"/>
      </rPr>
      <t xml:space="preserve">token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付費）。每產出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，機隊同時要產出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個免費 </t>
    </r>
    <r>
      <rPr>
        <sz val="11"/>
        <color theme="1"/>
        <rFont val="Calibri"/>
        <family val="2"/>
        <charset val="1"/>
      </rPr>
      <t xml:space="preserve">token</t>
    </r>
  </si>
  <si>
    <t xml:space="preserve">L5</t>
  </si>
  <si>
    <r>
      <rPr>
        <b val="true"/>
        <sz val="11"/>
        <rFont val="Noto Sans CJK SC"/>
        <family val="2"/>
      </rPr>
      <t xml:space="preserve">機隊供給：付費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是怎麼從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算出來的（覆蓋率的分母）</t>
    </r>
  </si>
  <si>
    <r>
      <rPr>
        <sz val="11"/>
        <color theme="1"/>
        <rFont val="Noto Sans CJK SC"/>
        <family val="2"/>
      </rPr>
      <t xml:space="preserve">有效服務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</si>
  <si>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L6 </t>
    </r>
    <r>
      <rPr>
        <sz val="11"/>
        <color theme="1"/>
        <rFont val="Noto Sans CJK SC"/>
        <family val="2"/>
      </rPr>
      <t xml:space="preserve">展開：推論支出能買到多少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的服務能力</t>
    </r>
  </si>
  <si>
    <t xml:space="preserve">利用率修正</t>
  </si>
  <si>
    <r>
      <rPr>
        <sz val="11"/>
        <color theme="1"/>
        <rFont val="Noto Sans CJK SC"/>
        <family val="2"/>
      </rPr>
      <t xml:space="preserve">＝實際利用率 </t>
    </r>
    <r>
      <rPr>
        <sz val="11"/>
        <color theme="1"/>
        <rFont val="Calibri"/>
        <family val="2"/>
        <charset val="1"/>
      </rPr>
      <t xml:space="preserve">41% × </t>
    </r>
    <r>
      <rPr>
        <sz val="11"/>
        <color theme="1"/>
        <rFont val="Noto Sans CJK SC"/>
        <family val="2"/>
      </rPr>
      <t xml:space="preserve">生產折減 </t>
    </r>
    <r>
      <rPr>
        <sz val="11"/>
        <color theme="1"/>
        <rFont val="Calibri"/>
        <family val="2"/>
        <charset val="1"/>
      </rPr>
      <t xml:space="preserve">0.85 ÷ </t>
    </r>
    <r>
      <rPr>
        <sz val="11"/>
        <color theme="1"/>
        <rFont val="Noto Sans CJK SC"/>
        <family val="2"/>
      </rPr>
      <t xml:space="preserve">基準利用率 </t>
    </r>
    <r>
      <rPr>
        <sz val="11"/>
        <color theme="1"/>
        <rFont val="Calibri"/>
        <family val="2"/>
        <charset val="1"/>
      </rPr>
      <t xml:space="preserve">IF_Util 60%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</si>
  <si>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年付費產能（基準利用率）</t>
    </r>
  </si>
  <si>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token/(GW·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</si>
  <si>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由硬體、模型架構、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、請求形狀推得（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 </t>
    </r>
    <r>
      <rPr>
        <sz val="11"/>
        <color theme="1"/>
        <rFont val="Calibri"/>
        <family val="2"/>
        <charset val="1"/>
      </rPr>
      <t xml:space="preserve">S1–S6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5_</t>
    </r>
    <r>
      <rPr>
        <sz val="11"/>
        <color theme="1"/>
        <rFont val="Noto Sans CJK SC"/>
        <family val="2"/>
      </rPr>
      <t xml:space="preserve">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產出）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</si>
  <si>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年免費產能（基準利用率）</t>
    </r>
  </si>
  <si>
    <r>
      <rPr>
        <sz val="11"/>
        <color theme="1"/>
        <rFont val="Noto Sans CJK SC"/>
        <family val="2"/>
      </rPr>
      <t xml:space="preserve">免費用戶多用小模型（</t>
    </r>
    <r>
      <rPr>
        <sz val="11"/>
        <color theme="1"/>
        <rFont val="Calibri"/>
        <family val="2"/>
        <charset val="1"/>
      </rPr>
      <t xml:space="preserve">Luna 90%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產出較多</t>
    </r>
  </si>
  <si>
    <r>
      <rPr>
        <sz val="11"/>
        <color theme="1"/>
        <rFont val="Noto Sans CJK SC"/>
        <family val="2"/>
      </rPr>
      <t xml:space="preserve">每個付費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連同其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個免費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占用的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</si>
  <si>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</si>
  <si>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÷ </t>
    </r>
    <r>
      <rPr>
        <sz val="11"/>
        <color theme="1"/>
        <rFont val="Noto Sans CJK SC"/>
        <family val="2"/>
      </rPr>
      <t xml:space="preserve">付費產能 ＋ </t>
    </r>
    <r>
      <rPr>
        <sz val="11"/>
        <color theme="1"/>
        <rFont val="Calibri"/>
        <family val="2"/>
        <charset val="1"/>
      </rPr>
      <t xml:space="preserve">r ÷ </t>
    </r>
    <r>
      <rPr>
        <sz val="11"/>
        <color theme="1"/>
        <rFont val="Noto Sans CJK SC"/>
        <family val="2"/>
      </rPr>
      <t xml:space="preserve">免費產能</t>
    </r>
  </si>
  <si>
    <r>
      <rPr>
        <sz val="11"/>
        <color theme="1"/>
        <rFont val="Noto Sans CJK SC"/>
        <family val="2"/>
      </rPr>
      <t xml:space="preserve">→ 機隊付費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</si>
  <si>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＝有效服務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利用率修正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上一列（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年守恆）</t>
    </r>
  </si>
  <si>
    <t xml:space="preserve">L6</t>
  </si>
  <si>
    <r>
      <rPr>
        <b val="true"/>
        <sz val="11"/>
        <rFont val="Noto Sans CJK SC"/>
        <family val="2"/>
      </rPr>
      <t xml:space="preserve">有效服務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：推論支出能買到多少機隊</t>
    </r>
  </si>
  <si>
    <t xml:space="preserve">推論支出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</si>
  <si>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花在服務用戶推論的錢（所有供應商）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</si>
  <si>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7.5–8.8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</si>
  <si>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年持有成本（世代加權）</t>
    </r>
  </si>
  <si>
    <r>
      <rPr>
        <sz val="11"/>
        <color theme="1"/>
        <rFont val="Calibri"/>
        <family val="2"/>
        <charset val="1"/>
      </rPr>
      <t xml:space="preserve">$B/(GW·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</si>
  <si>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資本回收年金＋營運費用（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</si>
  <si>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計價倍數（支出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</si>
  <si>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：同樣的錢買到比自建更多的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的實際計價未找到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</si>
  <si>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0.73–1.17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</si>
  <si>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請求形狀修正 </t>
    </r>
    <r>
      <rPr>
        <sz val="11"/>
        <color theme="1"/>
        <rFont val="Calibri"/>
        <family val="2"/>
        <charset val="1"/>
      </rPr>
      <t xml:space="preserve">κ</t>
    </r>
  </si>
  <si>
    <r>
      <rPr>
        <sz val="11"/>
        <color theme="1"/>
        <rFont val="Noto Sans CJK SC"/>
        <family val="2"/>
      </rPr>
      <t xml:space="preserve">實際流量每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秒的 </t>
    </r>
    <r>
      <rPr>
        <sz val="11"/>
        <color theme="1"/>
        <rFont val="Calibri"/>
        <family val="2"/>
        <charset val="1"/>
      </rPr>
      <t xml:space="preserve">token ÷ </t>
    </r>
    <r>
      <rPr>
        <sz val="11"/>
        <color theme="1"/>
        <rFont val="Noto Sans CJK SC"/>
        <family val="2"/>
      </rPr>
      <t xml:space="preserve">參考請求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</si>
  <si>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0.65–1.2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</si>
  <si>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→ 有效服務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</si>
  <si>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＝推論支出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× κ</t>
    </r>
  </si>
  <si>
    <t xml:space="preserve">L7</t>
  </si>
  <si>
    <t xml:space="preserve">閉式解（需求角度寫法）</t>
  </si>
  <si>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需求覆蓋率</t>
    </r>
  </si>
  <si>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 ＝ 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（需求面付費 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牌價）</t>
    </r>
  </si>
  <si>
    <r>
      <rPr>
        <sz val="11"/>
        <color theme="1"/>
        <rFont val="Noto Sans CJK SC"/>
        <family val="2"/>
      </rPr>
      <t xml:space="preserve">需求覆蓋率 ＝ 需求面付費 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1/C</t>
    </r>
    <r>
      <rPr>
        <sz val="11"/>
        <color theme="1"/>
        <rFont val="Noto Sans CJK SC"/>
        <family val="2"/>
      </rPr>
      <t xml:space="preserve">付 ＋ </t>
    </r>
    <r>
      <rPr>
        <sz val="11"/>
        <color theme="1"/>
        <rFont val="Calibri"/>
        <family val="2"/>
        <charset val="1"/>
      </rPr>
      <t xml:space="preserve">r/C</t>
    </r>
    <r>
      <rPr>
        <sz val="11"/>
        <color theme="1"/>
        <rFont val="Noto Sans CJK SC"/>
        <family val="2"/>
      </rPr>
      <t xml:space="preserve">免）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（推論支出 </t>
    </r>
    <r>
      <rPr>
        <sz val="11"/>
        <color theme="1"/>
        <rFont val="Calibri"/>
        <family val="2"/>
        <charset val="1"/>
      </rPr>
      <t xml:space="preserve">× κ × </t>
    </r>
    <r>
      <rPr>
        <sz val="11"/>
        <color theme="1"/>
        <rFont val="Noto Sans CJK SC"/>
        <family val="2"/>
      </rPr>
      <t xml:space="preserve">實際利用率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生產折減）</t>
    </r>
  </si>
  <si>
    <r>
      <rPr>
        <sz val="11"/>
        <color theme="1"/>
        <rFont val="Noto Sans CJK SC"/>
        <family val="2"/>
      </rPr>
      <t xml:space="preserve">合起來：需求面付費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約掉，回到 </t>
    </r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總覽 的閉式解：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1/C</t>
    </r>
    <r>
      <rPr>
        <sz val="11"/>
        <color theme="1"/>
        <rFont val="Noto Sans CJK SC"/>
        <family val="2"/>
      </rPr>
      <t xml:space="preserve">付 ＋ </t>
    </r>
    <r>
      <rPr>
        <sz val="11"/>
        <color theme="1"/>
        <rFont val="Calibri"/>
        <family val="2"/>
        <charset val="1"/>
      </rPr>
      <t xml:space="preserve">r/C</t>
    </r>
    <r>
      <rPr>
        <sz val="11"/>
        <color theme="1"/>
        <rFont val="Noto Sans CJK SC"/>
        <family val="2"/>
      </rPr>
      <t xml:space="preserve">免）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（推論支出 </t>
    </r>
    <r>
      <rPr>
        <sz val="11"/>
        <color theme="1"/>
        <rFont val="Calibri"/>
        <family val="2"/>
        <charset val="1"/>
      </rPr>
      <t xml:space="preserve">× κ × </t>
    </r>
    <r>
      <rPr>
        <sz val="11"/>
        <color theme="1"/>
        <rFont val="Noto Sans CJK SC"/>
        <family val="2"/>
      </rPr>
      <t xml:space="preserve">實際利用率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生產折減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牌價）。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付、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免＝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利用率產能；</t>
    </r>
    <r>
      <rPr>
        <sz val="11"/>
        <color theme="1"/>
        <rFont val="Calibri"/>
        <family val="2"/>
        <charset val="1"/>
      </rPr>
      <t xml:space="preserve">IF_Util </t>
    </r>
    <r>
      <rPr>
        <sz val="11"/>
        <color theme="1"/>
        <rFont val="Noto Sans CJK SC"/>
        <family val="2"/>
      </rPr>
      <t xml:space="preserve">在點估計內約掉</t>
    </r>
  </si>
  <si>
    <r>
      <rPr>
        <sz val="11"/>
        <color theme="1"/>
        <rFont val="Noto Sans CJK SC"/>
        <family val="2"/>
      </rPr>
      <t xml:space="preserve">閉式解計算的 </t>
    </r>
    <r>
      <rPr>
        <sz val="11"/>
        <color theme="1"/>
        <rFont val="Calibri"/>
        <family val="2"/>
        <charset val="1"/>
      </rPr>
      <t xml:space="preserve">m</t>
    </r>
  </si>
  <si>
    <r>
      <rPr>
        <sz val="11"/>
        <color theme="1"/>
        <rFont val="Noto Sans CJK SC"/>
        <family val="2"/>
      </rPr>
      <t xml:space="preserve">應等於 </t>
    </r>
    <r>
      <rPr>
        <sz val="11"/>
        <color theme="1"/>
        <rFont val="Calibri"/>
        <family val="2"/>
        <charset val="1"/>
      </rPr>
      <t xml:space="preserve">L0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</t>
    </r>
  </si>
  <si>
    <t xml:space="preserve">適用條件：物理下限未綁定</t>
  </si>
  <si>
    <r>
      <rPr>
        <sz val="11"/>
        <color theme="1"/>
        <rFont val="Noto Sans CJK SC"/>
        <family val="2"/>
      </rPr>
      <t xml:space="preserve">實際利用率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生產折減 </t>
    </r>
    <r>
      <rPr>
        <sz val="11"/>
        <color theme="1"/>
        <rFont val="Calibri"/>
        <family val="2"/>
        <charset val="1"/>
      </rPr>
      <t xml:space="preserve">÷ IF_Util </t>
    </r>
    <r>
      <rPr>
        <sz val="11"/>
        <color theme="1"/>
        <rFont val="Noto Sans CJK SC"/>
        <family val="2"/>
      </rPr>
      <t xml:space="preserve">＞ </t>
    </r>
    <r>
      <rPr>
        <sz val="11"/>
        <color theme="1"/>
        <rFont val="Calibri"/>
        <family val="2"/>
        <charset val="1"/>
      </rPr>
      <t xml:space="preserve">0.788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Cap_In!C115</t>
    </r>
    <r>
      <rPr>
        <sz val="11"/>
        <color theme="1"/>
        <rFont val="Noto Sans CJK SC"/>
        <family val="2"/>
      </rPr>
      <t xml:space="preserve">，付費產能比）時，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輸出改用下限。基準下＝</t>
    </r>
    <r>
      <rPr>
        <sz val="11"/>
        <color theme="1"/>
        <rFont val="Calibri"/>
        <family val="2"/>
        <charset val="1"/>
      </rPr>
      <t xml:space="preserve">0.581</t>
    </r>
    <r>
      <rPr>
        <sz val="11"/>
        <color theme="1"/>
        <rFont val="Noto Sans CJK SC"/>
        <family val="2"/>
      </rPr>
      <t xml:space="preserve">，未綁定；實際利用率＞</t>
    </r>
    <r>
      <rPr>
        <sz val="11"/>
        <color theme="1"/>
        <rFont val="Calibri"/>
        <family val="2"/>
        <charset val="1"/>
      </rPr>
      <t xml:space="preserve">0.556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0.442 </t>
    </r>
    <r>
      <rPr>
        <sz val="11"/>
        <color theme="1"/>
        <rFont val="Noto Sans CJK SC"/>
        <family val="2"/>
      </rPr>
      <t xml:space="preserve">時綁定</t>
    </r>
  </si>
  <si>
    <t xml:space="preserve">L8</t>
  </si>
  <si>
    <r>
      <rPr>
        <b val="true"/>
        <sz val="11"/>
        <rFont val="Noto Sans CJK SC"/>
        <family val="2"/>
      </rPr>
      <t xml:space="preserve">必須為真：兩邊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數要對得上，各需要什麼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</si>
  <si>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比機隊少了</t>
    </r>
  </si>
  <si>
    <t xml:space="preserve">任選一個單一假設來補齊缺口（其他不動）：</t>
  </si>
  <si>
    <r>
      <rPr>
        <sz val="11"/>
        <color theme="1"/>
        <rFont val="Calibri"/>
        <family val="2"/>
        <charset val="1"/>
      </rPr>
      <t xml:space="preserve">(a) τ </t>
    </r>
    <r>
      <rPr>
        <sz val="11"/>
        <color theme="1"/>
        <rFont val="Noto Sans CJK SC"/>
        <family val="2"/>
      </rPr>
      <t xml:space="preserve">要多大，需求才填滿機隊</t>
    </r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</si>
  <si>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2,000–11,000</t>
    </r>
    <r>
      <rPr>
        <sz val="11"/>
        <color theme="1"/>
        <rFont val="Noto Sans CJK SC"/>
        <family val="2"/>
      </rPr>
      <t xml:space="preserve">）；需要的值落在區間外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</si>
  <si>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L1_TokPerPromptClose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</si>
  <si>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　此時的 </t>
    </r>
    <r>
      <rPr>
        <sz val="11"/>
        <color theme="1"/>
        <rFont val="Calibri"/>
        <family val="2"/>
        <charset val="1"/>
      </rPr>
      <t xml:space="preserve">m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</si>
  <si>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多出來，免費比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也跟著上升（訊息數不變、每則變長），所以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0.46 </t>
    </r>
    <r>
      <rPr>
        <sz val="11"/>
        <color theme="1"/>
        <rFont val="Noto Sans CJK SC"/>
        <family val="2"/>
      </rPr>
      <t xml:space="preserve">小幅升到這個值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</si>
  <si>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實際利用率要多低，機隊才只產出需求面的量</t>
    </r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</si>
  <si>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30%–65%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</si>
  <si>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機隊產出縮到等於需求面，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m_</t>
    </r>
    <r>
      <rPr>
        <sz val="11"/>
        <color theme="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</si>
  <si>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推論支出要多少，機隊才只產出需求面的量</t>
    </r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</si>
  <si>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75–88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</si>
  <si>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(b)</t>
    </r>
  </si>
  <si>
    <t xml:space="preserve">讀法</t>
  </si>
  <si>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0.46</t>
    </r>
    <r>
      <rPr>
        <sz val="11"/>
        <color theme="1"/>
        <rFont val="Noto Sans CJK SC"/>
        <family val="2"/>
      </rPr>
      <t xml:space="preserve">（相信機隊面的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數）到 </t>
    </r>
    <r>
      <rPr>
        <sz val="11"/>
        <color theme="1"/>
        <rFont val="Calibri"/>
        <family val="2"/>
        <charset val="1"/>
      </rPr>
      <t xml:space="preserve">2.51</t>
    </r>
    <r>
      <rPr>
        <sz val="11"/>
        <color theme="1"/>
        <rFont val="Noto Sans CJK SC"/>
        <family val="2"/>
      </rPr>
      <t xml:space="preserve">（相信需求面的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數）之間，看缺口由哪一邊吸收。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τ </t>
    </r>
    <r>
      <rPr>
        <sz val="11"/>
        <color theme="1"/>
        <rFont val="Noto Sans CJK SC"/>
        <family val="2"/>
      </rPr>
      <t xml:space="preserve">是現值的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(b)(c) </t>
    </r>
    <r>
      <rPr>
        <sz val="11"/>
        <color theme="1"/>
        <rFont val="Noto Sans CJK SC"/>
        <family val="2"/>
      </rPr>
      <t xml:space="preserve">需要利用率或支出只剩現值的兩成，三者都在各自區間外，所以缺口目前無法由單一假設解釋，很可能是多項同時偏離。</t>
    </r>
  </si>
  <si>
    <t xml:space="preserve">注意</t>
  </si>
  <si>
    <t xml:space="preserve">另一個口徑選擇</t>
  </si>
  <si>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改用支出口徑時的 </t>
    </r>
    <r>
      <rPr>
        <sz val="11"/>
        <color theme="1"/>
        <rFont val="Calibri"/>
        <family val="2"/>
        <charset val="1"/>
      </rPr>
      <t xml:space="preserve">m</t>
    </r>
  </si>
  <si>
    <r>
      <rPr>
        <sz val="11"/>
        <color theme="1"/>
        <rFont val="Noto Sans CJK SC"/>
        <family val="2"/>
      </rPr>
      <t xml:space="preserve">免費占比若是「支出」口徑而非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口徑，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3.03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0.57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Cap_In!C120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Decisions SL46-28</t>
    </r>
    <r>
      <rPr>
        <sz val="11"/>
        <color theme="1"/>
        <rFont val="Noto Sans CJK SC"/>
        <family val="2"/>
      </rPr>
      <t xml:space="preserve">）。這是定義選擇，單變數敏感度測不到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</si>
  <si>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（貼上值）</t>
    </r>
  </si>
  <si>
    <t xml:space="preserve">下鑽</t>
  </si>
  <si>
    <t xml:space="preserve">本頁每一層對應的細節頁</t>
  </si>
  <si>
    <r>
      <rPr>
        <sz val="11"/>
        <color theme="1"/>
        <rFont val="Noto Sans CJK SC"/>
        <family val="2"/>
      </rPr>
      <t xml:space="preserve">牌價（</t>
    </r>
    <r>
      <rPr>
        <sz val="11"/>
        <color theme="1"/>
        <rFont val="Calibri"/>
        <family val="2"/>
        <charset val="1"/>
      </rPr>
      <t xml:space="preserve">L0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 </t>
    </r>
    <r>
      <rPr>
        <sz val="11"/>
        <color theme="1"/>
        <rFont val="Calibri"/>
        <family val="2"/>
        <charset val="1"/>
      </rPr>
      <t xml:space="preserve">S17–S18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</si>
  <si>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L3–L4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 </t>
    </r>
    <r>
      <rPr>
        <sz val="11"/>
        <color theme="1"/>
        <rFont val="Calibri"/>
        <family val="2"/>
        <charset val="1"/>
      </rPr>
      <t xml:space="preserve">S7–S11</t>
    </r>
  </si>
  <si>
    <r>
      <rPr>
        <sz val="11"/>
        <color theme="1"/>
        <rFont val="Noto Sans CJK SC"/>
        <family val="2"/>
      </rPr>
      <t xml:space="preserve">付費與免費產能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付、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免（</t>
    </r>
    <r>
      <rPr>
        <sz val="11"/>
        <color theme="1"/>
        <rFont val="Calibri"/>
        <family val="2"/>
        <charset val="1"/>
      </rPr>
      <t xml:space="preserve">L5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3_m</t>
    </r>
    <r>
      <rPr>
        <sz val="11"/>
        <color theme="1"/>
        <rFont val="Noto Sans CJK SC"/>
        <family val="2"/>
      </rPr>
      <t xml:space="preserve">重算 </t>
    </r>
    <r>
      <rPr>
        <sz val="11"/>
        <color theme="1"/>
        <rFont val="Calibri"/>
        <family val="2"/>
        <charset val="1"/>
      </rPr>
      <t xml:space="preserve">S1–S6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5_</t>
    </r>
    <r>
      <rPr>
        <sz val="11"/>
        <color theme="1"/>
        <rFont val="Noto Sans CJK SC"/>
        <family val="2"/>
      </rPr>
      <t xml:space="preserve">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產出（</t>
    </r>
    <r>
      <rPr>
        <sz val="11"/>
        <color theme="1"/>
        <rFont val="Calibri"/>
        <family val="2"/>
        <charset val="1"/>
      </rPr>
      <t xml:space="preserve">roofline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</si>
  <si>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L6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</si>
  <si>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Noto Sans CJK SC"/>
        <family val="2"/>
      </rPr>
      <t xml:space="preserve">各輸入的區間與擺動 → </t>
    </r>
    <r>
      <rPr>
        <sz val="11"/>
        <color theme="1"/>
        <rFont val="Calibri"/>
        <family val="2"/>
        <charset val="1"/>
      </rPr>
      <t xml:space="preserve">6_</t>
    </r>
    <r>
      <rPr>
        <sz val="11"/>
        <color theme="1"/>
        <rFont val="Noto Sans CJK SC"/>
        <family val="2"/>
      </rPr>
      <t xml:space="preserve">敏感度；要找的證據 →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</si>
  <si>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推導的全部輸入（藍字＝輸入值，可改；改動後 </t>
    </r>
    <r>
      <rPr>
        <b val="true"/>
        <sz val="13"/>
        <rFont val="Arial"/>
        <family val="0"/>
        <charset val="1"/>
      </rPr>
      <t xml:space="preserve">3_m</t>
    </r>
    <r>
      <rPr>
        <b val="true"/>
        <sz val="13"/>
        <rFont val="Noto Sans CJK SC"/>
        <family val="2"/>
      </rPr>
      <t xml:space="preserve">重算、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頁會自動重算）</t>
    </r>
  </si>
  <si>
    <t xml:space="preserve">值取自 Tokenomics v17.0（20261020_Tokenomics_v17.0.xlsx，master 5ef0f7e）。標記與區間取自該簿 Gov_Map；「—」＝Gov_Map 無此格的登錄（多為硬體規格或模型架構的原始數據）。</t>
  </si>
  <si>
    <t xml:space="preserve">ID</t>
  </si>
  <si>
    <t xml:space="preserve">群組</t>
  </si>
  <si>
    <t xml:space="preserve">標記（Gov_Map）</t>
  </si>
  <si>
    <t xml:space="preserve">區間低</t>
  </si>
  <si>
    <t xml:space="preserve">區間高</t>
  </si>
  <si>
    <t xml:space="preserve">原活頁簿位置</t>
  </si>
  <si>
    <t xml:space="preserve">說明與來源</t>
  </si>
  <si>
    <t xml:space="preserve">不確定度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</si>
  <si>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營收與推論支出（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）</t>
    </r>
  </si>
  <si>
    <t xml:space="preserve">IN_Rev</t>
  </si>
  <si>
    <t xml:space="preserve">A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</si>
  <si>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</si>
  <si>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t xml:space="preserve">SRC_Demand!C11</t>
  </si>
  <si>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查核財報營收 </t>
    </r>
    <r>
      <rPr>
        <sz val="10"/>
        <color rgb="FF000000"/>
        <rFont val="Arial"/>
        <family val="0"/>
        <charset val="1"/>
      </rPr>
      <t xml:space="preserve">130.7 </t>
    </r>
    <r>
      <rPr>
        <sz val="10"/>
        <color rgb="FF000000"/>
        <rFont val="Noto Sans CJK SC"/>
        <family val="2"/>
      </rPr>
      <t xml:space="preserve">億美元（外流、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核實）</t>
    </r>
  </si>
  <si>
    <t xml:space="preserve">低</t>
  </si>
  <si>
    <t xml:space="preserve">IN_Spend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</si>
  <si>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推論支出（服務用戶，所有供應商）</t>
    </r>
  </si>
  <si>
    <t xml:space="preserve">SRC_Demand!C8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</si>
  <si>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）；低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＝查核營業成本、高 </t>
    </r>
    <r>
      <rPr>
        <sz val="10"/>
        <color rgb="FF000000"/>
        <rFont val="Arial"/>
        <family val="0"/>
        <charset val="1"/>
      </rPr>
      <t xml:space="preserve">8.8</t>
    </r>
    <r>
      <rPr>
        <sz val="10"/>
        <color rgb="FF000000"/>
        <rFont val="Noto Sans CJK SC"/>
        <family val="2"/>
      </rPr>
      <t xml:space="preserve">＝調整後毛利率 </t>
    </r>
    <r>
      <rPr>
        <sz val="10"/>
        <color rgb="FF000000"/>
        <rFont val="Arial"/>
        <family val="0"/>
        <charset val="1"/>
      </rPr>
      <t xml:space="preserve">33% </t>
    </r>
    <r>
      <rPr>
        <sz val="10"/>
        <color rgb="FF000000"/>
        <rFont val="Noto Sans CJK SC"/>
        <family val="2"/>
      </rPr>
      <t xml:space="preserve">換算。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億為對照（含研究推論），不採（調和分析 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</t>
    </r>
  </si>
  <si>
    <t xml:space="preserve">中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</si>
  <si>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機隊配置與利用率</t>
    </r>
  </si>
  <si>
    <t xml:space="preserve">IN_ShareH</t>
  </si>
  <si>
    <t xml:space="preserve">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</si>
  <si>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</si>
  <si>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t xml:space="preserve">Alloc_In!C9</t>
  </si>
  <si>
    <t xml:space="preserve">無公開數字；chat 端暫設區間 0.5–0.7。Andy 線上／線下調研項</t>
  </si>
  <si>
    <t xml:space="preserve">高</t>
  </si>
  <si>
    <t xml:space="preserve">IN_ShareG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</si>
  <si>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</si>
  <si>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t xml:space="preserve">Alloc_In!C10</t>
  </si>
  <si>
    <t xml:space="preserve">＝1 − Hopper（GB300、VR200 在 2025 為 0）；Tokenomics 獨立區間 0.25–0.4（Alloc_In D10:E10）。6_敏感度 的世代組合測試用 GB200＝1 − Hopper（0.5／0.3），不是這個區間</t>
  </si>
  <si>
    <t xml:space="preserve">IN_SpendBasis</t>
  </si>
  <si>
    <t xml:space="preserve">計價倍數＝推論支出 ÷ 持有成本</t>
  </si>
  <si>
    <t xml:space="preserve">Alloc_In!C23</t>
  </si>
  <si>
    <t xml:space="preserve">經濟口徑：價格 ÷ 會計成本 1.16 × 會計 ÷ 經濟持有成本 0.73；Microsoft 對 OpenAI 的實際計價未找到</t>
  </si>
  <si>
    <t xml:space="preserve">IN_Kappa</t>
  </si>
  <si>
    <t xml:space="preserve">請求形狀修正 κ（實際流量每 GPU 秒 token ÷ 參考請求）</t>
  </si>
  <si>
    <t xml:space="preserve">Alloc_In!C26</t>
  </si>
  <si>
    <t xml:space="preserve">證據範圍 0.67–1.05（2025 流量形狀，A 段第 3 節）；重算值 0.852（Alloc_In 第 41 列）；v15.3 敏感度擺動第一名</t>
  </si>
  <si>
    <t xml:space="preserve">IN_UtilAct</t>
  </si>
  <si>
    <t xml:space="preserve">實際利用率（純；平均 token 吞吐 ÷ 容量）</t>
  </si>
  <si>
    <t xml:space="preserve">Alloc_In!C24</t>
  </si>
  <si>
    <t xml:space="preserve">無實測；上端 DeepSeek 2025-02 單一模型代理值 0.54–0.65</t>
  </si>
  <si>
    <t xml:space="preserve">IN_ProdDerate</t>
  </si>
  <si>
    <t xml:space="preserve">生產折減（SLO 預留、故障、重啟）</t>
  </si>
  <si>
    <t xml:space="preserve">Serving!C28</t>
  </si>
  <si>
    <t xml:space="preserve">情境值，非估計值；只有訓練端公開論文可類比</t>
  </si>
  <si>
    <t xml:space="preserve">IN_Util</t>
  </si>
  <si>
    <t xml:space="preserve">基準利用率 IF_Util（模型內部的每 GW 產能口徑）</t>
  </si>
  <si>
    <t xml:space="preserve">Serving!C17</t>
  </si>
  <si>
    <t xml:space="preserve">在 m 中會約掉（服務 GW 的利用率修正 ÷ IF_Util，產能 × IF_Util）；見 1_總覽</t>
  </si>
  <si>
    <t xml:space="preserve">低（約掉）</t>
  </si>
  <si>
    <r>
      <rPr>
        <b val="true"/>
        <sz val="10"/>
        <rFont val="Arial"/>
        <family val="0"/>
        <charset val="1"/>
      </rPr>
      <t xml:space="preserve">C. 2025 </t>
    </r>
    <r>
      <rPr>
        <b val="true"/>
        <sz val="10"/>
        <rFont val="Noto Sans CJK SC"/>
        <family val="2"/>
      </rPr>
      <t xml:space="preserve">價格與層級組合</t>
    </r>
  </si>
  <si>
    <t xml:space="preserve">IN_Px_L</t>
  </si>
  <si>
    <t xml:space="preserve">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</si>
  <si>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（參考請求混合價，表列）</t>
    </r>
  </si>
  <si>
    <t xml:space="preserve">$/M</t>
  </si>
  <si>
    <t xml:space="preserve">Cap_In!C278</t>
  </si>
  <si>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線在售天數加權；牌價 </t>
    </r>
    <r>
      <rPr>
        <sz val="10"/>
        <color rgb="FF000000"/>
        <rFont val="Arial"/>
        <family val="0"/>
        <charset val="1"/>
      </rPr>
      <t xml:space="preserve">Verified</t>
    </r>
  </si>
  <si>
    <t xml:space="preserve">IN_Px_S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</si>
  <si>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</si>
  <si>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Cap_In!C279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</si>
  <si>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</t>
    </r>
  </si>
  <si>
    <t xml:space="preserve">IN_Px_A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</si>
  <si>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（推理旗艦）</t>
    </r>
  </si>
  <si>
    <t xml:space="preserve">Cap_In!C280</t>
  </si>
  <si>
    <r>
      <rPr>
        <sz val="10"/>
        <color rgb="FF000000"/>
        <rFont val="Arial"/>
        <family val="0"/>
        <charset val="1"/>
      </rPr>
      <t xml:space="preserve">v15.2 B2</t>
    </r>
    <r>
      <rPr>
        <sz val="10"/>
        <color rgb="FF000000"/>
        <rFont val="Noto Sans CJK SC"/>
        <family val="2"/>
      </rPr>
      <t xml:space="preserve">：用量加權 </t>
    </r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季別量指數 </t>
    </r>
    <r>
      <rPr>
        <sz val="10"/>
        <color rgb="FF000000"/>
        <rFont val="Arial"/>
        <family val="0"/>
        <charset val="1"/>
      </rPr>
      <t xml:space="preserve">× GPT-5 </t>
    </r>
    <r>
      <rPr>
        <sz val="10"/>
        <color rgb="FF000000"/>
        <rFont val="Noto Sans CJK SC"/>
        <family val="2"/>
      </rPr>
      <t xml:space="preserve">後推理占比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）；各模型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占比未公開</t>
    </r>
  </si>
  <si>
    <t xml:space="preserve">IN_Disc</t>
  </si>
  <si>
    <t xml:space="preserve">有效折扣（Batch／Flex 半價＋企業議價，加權）</t>
  </si>
  <si>
    <t xml:space="preserve">Cap_In!C12</t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</si>
  <si>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；占比與企業折扣找不到</t>
    </r>
  </si>
  <si>
    <t xml:space="preserve">IN_MixP_L</t>
  </si>
  <si>
    <t xml:space="preserve">付費 token 層級組合：Luna</t>
  </si>
  <si>
    <t xml:space="preserve">Cap_In!C31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</si>
  <si>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 </t>
    </r>
    <r>
      <rPr>
        <sz val="10"/>
        <color rgb="FF000000"/>
        <rFont val="Arial"/>
        <family val="0"/>
        <charset val="1"/>
      </rPr>
      <t xml:space="preserve">1</t>
    </r>
  </si>
  <si>
    <t xml:space="preserve">IN_MixP_S</t>
  </si>
  <si>
    <t xml:space="preserve">付費 token 層級組合：Sol</t>
  </si>
  <si>
    <t xml:space="preserve">Cap_In!D31</t>
  </si>
  <si>
    <t xml:space="preserve">IN_MixP_A</t>
  </si>
  <si>
    <t xml:space="preserve">付費 token 層級組合：Astra</t>
  </si>
  <si>
    <t xml:space="preserve">Cap_In!E31</t>
  </si>
  <si>
    <t xml:space="preserve">同上；v15.2 B6 區間 0.10–0.30</t>
  </si>
  <si>
    <t xml:space="preserve">IN_MixF_L</t>
  </si>
  <si>
    <t xml:space="preserve">免費 token 層級組合：Luna</t>
  </si>
  <si>
    <t xml:space="preserve">Cap_In!C32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</si>
  <si>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免費方案組合（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</si>
  <si>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IN_MixF_S</t>
  </si>
  <si>
    <t xml:space="preserve">免費 token 層級組合：Sol</t>
  </si>
  <si>
    <t xml:space="preserve">Cap_In!D32</t>
  </si>
  <si>
    <t xml:space="preserve">IN_MixF_A</t>
  </si>
  <si>
    <t xml:space="preserve">免費 token 層級組合：Astra</t>
  </si>
  <si>
    <t xml:space="preserve">Cap_In!E32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</si>
  <si>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（決定免費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  <r>
      <rPr>
        <b val="true"/>
        <sz val="10"/>
        <rFont val="Noto Sans CJK SC"/>
        <family val="2"/>
      </rPr>
      <t xml:space="preserve">）</t>
    </r>
  </si>
  <si>
    <t xml:space="preserve">IN_APItpm</t>
  </si>
  <si>
    <t xml:space="preserve">D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</si>
  <si>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吞吐（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時點）</t>
    </r>
  </si>
  <si>
    <r>
      <rPr>
        <sz val="10"/>
        <color rgb="FF000000"/>
        <rFont val="Arial"/>
        <family val="0"/>
        <charset val="1"/>
      </rPr>
      <t xml:space="preserve">B tok/</t>
    </r>
    <r>
      <rPr>
        <sz val="10"/>
        <color rgb="FF000000"/>
        <rFont val="Noto Sans CJK SC"/>
        <family val="2"/>
      </rPr>
      <t xml:space="preserve">分</t>
    </r>
  </si>
  <si>
    <t xml:space="preserve">SRC_Demand!C14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</si>
  <si>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2025-10-06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／分（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</si>
  <si>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t xml:space="preserve">IN_APIratio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</si>
  <si>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</si>
  <si>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t xml:space="preserve">Alloc_In!C14</t>
  </si>
  <si>
    <t xml:space="preserve">IN_Prompts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</si>
  <si>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</si>
  <si>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</si>
  <si>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SRC_Demand!C16</t>
  </si>
  <si>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億則／日</t>
    </r>
  </si>
  <si>
    <t xml:space="preserve">IN_Tau</t>
  </si>
  <si>
    <t xml:space="preserve">每則提示 token 數 τ</t>
  </si>
  <si>
    <t xml:space="preserve">tok</t>
  </si>
  <si>
    <t xml:space="preserve">Alloc_In!C15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</si>
  <si>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；閉合解遠高於區間（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）</t>
    </r>
  </si>
  <si>
    <t xml:space="preserve">IN_FreeShare</t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</si>
  <si>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</si>
  <si>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t xml:space="preserve">Alloc_In!C16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</si>
  <si>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口徑與支出口徑混用（</t>
    </r>
    <r>
      <rPr>
        <sz val="10"/>
        <color rgb="FF000000"/>
        <rFont val="Arial"/>
        <family val="0"/>
        <charset val="1"/>
      </rPr>
      <t xml:space="preserve">Decisions SL46-28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</si>
  <si>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服務與快取參數（全層級共用）</t>
    </r>
  </si>
  <si>
    <t xml:space="preserve">IN_Chi</t>
  </si>
  <si>
    <t xml:space="preserve">E</t>
  </si>
  <si>
    <t xml:space="preserve">參考請求快取命中率 χ</t>
  </si>
  <si>
    <t xml:space="preserve">Cap_In!C13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</si>
  <si>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DeepSeek 2025-03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agent </t>
    </r>
    <r>
      <rPr>
        <sz val="10"/>
        <color rgb="FF000000"/>
        <rFont val="Noto Sans CJK SC"/>
        <family val="2"/>
      </rPr>
      <t xml:space="preserve">流量約 </t>
    </r>
    <r>
      <rPr>
        <sz val="10"/>
        <color rgb="FF000000"/>
        <rFont val="Arial"/>
        <family val="0"/>
        <charset val="1"/>
      </rPr>
      <t xml:space="preserve">88%</t>
    </r>
  </si>
  <si>
    <t xml:space="preserve">IN_MTP_N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</si>
  <si>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</si>
  <si>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t xml:space="preserve">Analogy</t>
  </si>
  <si>
    <t xml:space="preserve">Serving!C6</t>
  </si>
  <si>
    <t xml:space="preserve">原始數據</t>
  </si>
  <si>
    <t xml:space="preserve">IN_MTP_a</t>
  </si>
  <si>
    <t xml:space="preserve">草稿 token 接受率 α</t>
  </si>
  <si>
    <t xml:space="preserve">Serving!C7</t>
  </si>
  <si>
    <t xml:space="preserve">IN_HBMres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</si>
  <si>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</si>
  <si>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t xml:space="preserve">Serving!C9</t>
  </si>
  <si>
    <t xml:space="preserve">IN_NEcap</t>
  </si>
  <si>
    <t xml:space="preserve">非專家權重占可用 HBM 上限</t>
  </si>
  <si>
    <t xml:space="preserve">Serving!C10</t>
  </si>
  <si>
    <t xml:space="preserve">IN_Ecap</t>
  </si>
  <si>
    <t xml:space="preserve">專家權重占可用 HBM 上限</t>
  </si>
  <si>
    <t xml:space="preserve">Serving!C11</t>
  </si>
  <si>
    <t xml:space="preserve">IN_EPbytes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</si>
  <si>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／元素</t>
    </r>
  </si>
  <si>
    <t xml:space="preserve">Serving!C12</t>
  </si>
  <si>
    <t xml:space="preserve">IN_KVeff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</si>
  <si>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</t>
    </r>
  </si>
  <si>
    <t xml:space="preserve">Serving!C13</t>
  </si>
  <si>
    <t xml:space="preserve">IN_EPeff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</si>
  <si>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</si>
  <si>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Serving!C14</t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</si>
  <si>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校準係數（</t>
    </r>
    <r>
      <rPr>
        <b val="true"/>
        <sz val="10"/>
        <rFont val="Arial"/>
        <family val="0"/>
        <charset val="1"/>
      </rPr>
      <t xml:space="preserve">Calib </t>
    </r>
    <r>
      <rPr>
        <b val="true"/>
        <sz val="10"/>
        <rFont val="Noto Sans CJK SC"/>
        <family val="2"/>
      </rPr>
      <t xml:space="preserve">頁以 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實測擬合；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以倍數換算）</t>
    </r>
  </si>
  <si>
    <t xml:space="preserve">IN_EtaD0</t>
  </si>
  <si>
    <t xml:space="preserve">F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</si>
  <si>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每序列算力效率）</t>
    </r>
  </si>
  <si>
    <t xml:space="preserve">Calib!C60</t>
  </si>
  <si>
    <t xml:space="preserve">以 InferenceX GB300 兩個實測點聯立解出（SemiAnalysis，Interested-party）</t>
  </si>
  <si>
    <t xml:space="preserve">IN_Lat0</t>
  </si>
  <si>
    <t xml:space="preserve">每層每次前向固定延遲擬合值（GB300）</t>
  </si>
  <si>
    <t xml:space="preserve">µs</t>
  </si>
  <si>
    <t xml:space="preserve">Calib!C62</t>
  </si>
  <si>
    <t xml:space="preserve">IN_EtaP0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</si>
  <si>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達成峰值比例（基準）</t>
    </r>
  </si>
  <si>
    <t xml:space="preserve">Calib!C5</t>
  </si>
  <si>
    <t xml:space="preserve">IN_EtaDm_H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</si>
  <si>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</si>
  <si>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Calib!C67</t>
  </si>
  <si>
    <t xml:space="preserve">吞吐為保守下界（獨立對照約實測 0.26–0.27 倍）</t>
  </si>
  <si>
    <t xml:space="preserve">IN_EtaDm_G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</si>
  <si>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</si>
  <si>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Calib!D67</t>
  </si>
  <si>
    <r>
      <rPr>
        <sz val="10"/>
        <color rgb="FF000000"/>
        <rFont val="Arial"/>
        <family val="0"/>
        <charset val="1"/>
      </rPr>
      <t xml:space="preserve">v15.2 B3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 </t>
    </r>
    <r>
      <rPr>
        <sz val="10"/>
        <color rgb="FF000000"/>
        <rFont val="Arial"/>
        <family val="0"/>
        <charset val="1"/>
      </rPr>
      <t xml:space="preserve">1.13–1.27</t>
    </r>
  </si>
  <si>
    <t xml:space="preserve">IN_Latm_H</t>
  </si>
  <si>
    <t xml:space="preserve">每層延遲倍數：Hopper</t>
  </si>
  <si>
    <t xml:space="preserve">Calib!C68</t>
  </si>
  <si>
    <t xml:space="preserve">IN_Latm_G</t>
  </si>
  <si>
    <t xml:space="preserve">每層延遲倍數：GB200</t>
  </si>
  <si>
    <t xml:space="preserve">Calib!D68</t>
  </si>
  <si>
    <t xml:space="preserve">沿用 GB300</t>
  </si>
  <si>
    <t xml:space="preserve">IN_EtaPm_H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</si>
  <si>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SRC_HW_019 ÷ SRC_HW_040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</si>
  <si>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</si>
  <si>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Calib!C69</t>
  </si>
  <si>
    <t xml:space="preserve">原為公式（規格比），此處以值輸入</t>
  </si>
  <si>
    <t xml:space="preserve">IN_EtaPm_G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</si>
  <si>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</si>
  <si>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Calib!D69</t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</si>
  <si>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硬體規格（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）</t>
    </r>
  </si>
  <si>
    <t xml:space="preserve">IN_Peak_H</t>
  </si>
  <si>
    <t xml:space="preserve">G</t>
  </si>
  <si>
    <t xml:space="preserve">計算用峰值：Hopper</t>
  </si>
  <si>
    <t xml:space="preserve">PF/GPU</t>
  </si>
  <si>
    <t xml:space="preserve">Spec_Rack!C35</t>
  </si>
  <si>
    <t xml:space="preserve">原始數據（規格表；NVIDIA 為利害關係方）</t>
  </si>
  <si>
    <t xml:space="preserve">IN_Peak_G</t>
  </si>
  <si>
    <t xml:space="preserve">計算用峰值：GB200</t>
  </si>
  <si>
    <t xml:space="preserve">Spec_Rack!D35</t>
  </si>
  <si>
    <t xml:space="preserve">IN_HBM_H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</si>
  <si>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</si>
  <si>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GB/GPU</t>
  </si>
  <si>
    <t xml:space="preserve">Spec_Rack!C25</t>
  </si>
  <si>
    <t xml:space="preserve">IN_HBM_G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</si>
  <si>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容量：</t>
    </r>
    <r>
      <rPr>
        <sz val="10"/>
        <color rgb="FF000000"/>
        <rFont val="Arial"/>
        <family val="0"/>
        <charset val="1"/>
      </rPr>
      <t xml:space="preserve">GB200</t>
    </r>
  </si>
  <si>
    <t xml:space="preserve">原始數據（G0-2 保留）</t>
  </si>
  <si>
    <t xml:space="preserve">Spec_Rack!D25</t>
  </si>
  <si>
    <t xml:space="preserve">IN_BW_H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</si>
  <si>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</si>
  <si>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TB/s/GPU</t>
  </si>
  <si>
    <t xml:space="preserve">Spec_Rack!C26</t>
  </si>
  <si>
    <t xml:space="preserve">IN_BW_G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</si>
  <si>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</si>
  <si>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Spec_Rack!D26</t>
  </si>
  <si>
    <t xml:space="preserve">IN_EPBW_H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</si>
  <si>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</si>
  <si>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Spec_Rack!C27</t>
  </si>
  <si>
    <t xml:space="preserve">IN_EPBW_G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</si>
  <si>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</si>
  <si>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Spec_Rack!D27</t>
  </si>
  <si>
    <t xml:space="preserve">IN_EPW_H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</si>
  <si>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</si>
  <si>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GPU</t>
  </si>
  <si>
    <t xml:space="preserve">Spec_Rack!C29</t>
  </si>
  <si>
    <t xml:space="preserve">IN_EPW_G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</si>
  <si>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</si>
  <si>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Spec_Rack!D29</t>
  </si>
  <si>
    <t xml:space="preserve">IN_EB_H</t>
  </si>
  <si>
    <t xml:space="preserve">專家權重 bytes/param：Hopper</t>
  </si>
  <si>
    <t xml:space="preserve">Spec_Rack!C30</t>
  </si>
  <si>
    <t xml:space="preserve">IN_EB_G</t>
  </si>
  <si>
    <t xml:space="preserve">專家權重 bytes/param：GB200</t>
  </si>
  <si>
    <t xml:space="preserve">Spec_Rack!D30</t>
  </si>
  <si>
    <t xml:space="preserve">IN_NEB_H</t>
  </si>
  <si>
    <t xml:space="preserve">非專家權重 bytes/param：Hopper</t>
  </si>
  <si>
    <t xml:space="preserve">Spec_Rack!C31</t>
  </si>
  <si>
    <t xml:space="preserve">IN_NEB_G</t>
  </si>
  <si>
    <t xml:space="preserve">非專家權重 bytes/param：GB200</t>
  </si>
  <si>
    <t xml:space="preserve">Spec_Rack!D31</t>
  </si>
  <si>
    <t xml:space="preserve">IN_PFG_H</t>
  </si>
  <si>
    <t xml:space="preserve">每 prefill 實例 GPU 數：Hopper</t>
  </si>
  <si>
    <t xml:space="preserve">Spec_Rack!C32</t>
  </si>
  <si>
    <t xml:space="preserve">IN_PFG_G</t>
  </si>
  <si>
    <t xml:space="preserve">每 prefill 實例 GPU 數：GB200</t>
  </si>
  <si>
    <t xml:space="preserve">Spec_Rack!D32</t>
  </si>
  <si>
    <t xml:space="preserve">IN_GPR_H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</si>
  <si>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</si>
  <si>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顆</t>
  </si>
  <si>
    <t xml:space="preserve">Decision</t>
  </si>
  <si>
    <t xml:space="preserve">Spec_Rack!C6</t>
  </si>
  <si>
    <t xml:space="preserve">IN_GPR_G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</si>
  <si>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</si>
  <si>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Spec_Rack!D6</t>
  </si>
  <si>
    <t xml:space="preserve">IN_RackKW_H</t>
  </si>
  <si>
    <t xml:space="preserve">每架配電設計功率（基準）：Hopper</t>
  </si>
  <si>
    <t xml:space="preserve">kW</t>
  </si>
  <si>
    <t xml:space="preserve">Spec_Rack!C9</t>
  </si>
  <si>
    <t xml:space="preserve">IN_RackKW_G</t>
  </si>
  <si>
    <t xml:space="preserve">每架配電設計功率（基準）：GB200</t>
  </si>
  <si>
    <t xml:space="preserve">Spec_Rack!D9</t>
  </si>
  <si>
    <t xml:space="preserve">IN_RackPx_H</t>
  </si>
  <si>
    <t xml:space="preserve">機架價格（基準）：Hopper</t>
  </si>
  <si>
    <t xml:space="preserve">$M</t>
  </si>
  <si>
    <t xml:space="preserve">Spec_Rack!C12</t>
  </si>
  <si>
    <t xml:space="preserve">機架價格：產業報導與 ODM 報價區間（利害關係方）</t>
  </si>
  <si>
    <t xml:space="preserve">IN_RackPx_G</t>
  </si>
  <si>
    <t xml:space="preserve">機架價格（基準）：GB200</t>
  </si>
  <si>
    <t xml:space="preserve">Spec_Rack!D12</t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</si>
  <si>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模型架構（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）——頂層模型參數未揭露</t>
    </r>
  </si>
  <si>
    <t xml:space="preserve">IN_Act_L</t>
  </si>
  <si>
    <t xml:space="preserve">H</t>
  </si>
  <si>
    <t xml:space="preserve">啟用參數：Luna</t>
  </si>
  <si>
    <t xml:space="preserve">Perf!C28</t>
  </si>
  <si>
    <t xml:space="preserve">代表架構（Sol＝DeepSeek V4-Pro 型）；Astra 啟用參數 180B 為 Assumed（60–250B）</t>
  </si>
  <si>
    <t xml:space="preserve">IN_Act_S</t>
  </si>
  <si>
    <t xml:space="preserve">啟用參數：Sol</t>
  </si>
  <si>
    <t xml:space="preserve">Perf!D28</t>
  </si>
  <si>
    <t xml:space="preserve">IN_Act_A</t>
  </si>
  <si>
    <t xml:space="preserve">啟用參數：Astra</t>
  </si>
  <si>
    <t xml:space="preserve">Perf!E28</t>
  </si>
  <si>
    <t xml:space="preserve">IN_Lay_L</t>
  </si>
  <si>
    <t xml:space="preserve">層數：Luna</t>
  </si>
  <si>
    <t xml:space="preserve">Perf!C29</t>
  </si>
  <si>
    <t xml:space="preserve">代表架構參數（Arch 頁）</t>
  </si>
  <si>
    <t xml:space="preserve">IN_Lay_S</t>
  </si>
  <si>
    <t xml:space="preserve">層數：Sol</t>
  </si>
  <si>
    <t xml:space="preserve">Perf!D29</t>
  </si>
  <si>
    <t xml:space="preserve">IN_Lay_A</t>
  </si>
  <si>
    <t xml:space="preserve">層數：Astra</t>
  </si>
  <si>
    <t xml:space="preserve">Perf!E29</t>
  </si>
  <si>
    <t xml:space="preserve">IN_Dm_L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</si>
  <si>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</si>
  <si>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Perf!C30</t>
  </si>
  <si>
    <t xml:space="preserve">IN_Dm_S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</si>
  <si>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</si>
  <si>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Perf!D30</t>
  </si>
  <si>
    <t xml:space="preserve">IN_Dm_A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</si>
  <si>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</si>
  <si>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Perf!E30</t>
  </si>
  <si>
    <t xml:space="preserve">IN_Exp_L</t>
  </si>
  <si>
    <t xml:space="preserve">啟用 routed experts：Luna</t>
  </si>
  <si>
    <t xml:space="preserve">Perf!C31</t>
  </si>
  <si>
    <t xml:space="preserve">IN_Exp_S</t>
  </si>
  <si>
    <t xml:space="preserve">啟用 routed experts：Sol</t>
  </si>
  <si>
    <t xml:space="preserve">Perf!D31</t>
  </si>
  <si>
    <t xml:space="preserve">IN_Exp_A</t>
  </si>
  <si>
    <t xml:space="preserve">啟用 routed experts：Astra</t>
  </si>
  <si>
    <t xml:space="preserve">Perf!E31</t>
  </si>
  <si>
    <t xml:space="preserve">IN_NEP_L</t>
  </si>
  <si>
    <t xml:space="preserve">非專家參數：Luna</t>
  </si>
  <si>
    <t xml:space="preserve">Perf!C32</t>
  </si>
  <si>
    <t xml:space="preserve">IN_NEP_S</t>
  </si>
  <si>
    <t xml:space="preserve">非專家參數：Sol</t>
  </si>
  <si>
    <t xml:space="preserve">Perf!D32</t>
  </si>
  <si>
    <t xml:space="preserve">IN_NEP_A</t>
  </si>
  <si>
    <t xml:space="preserve">非專家參數：Astra</t>
  </si>
  <si>
    <t xml:space="preserve">Perf!E32</t>
  </si>
  <si>
    <t xml:space="preserve">IN_EP_L</t>
  </si>
  <si>
    <t xml:space="preserve">專家參數：Luna</t>
  </si>
  <si>
    <t xml:space="preserve">Perf!C33</t>
  </si>
  <si>
    <t xml:space="preserve">IN_EP_S</t>
  </si>
  <si>
    <t xml:space="preserve">專家參數：Sol</t>
  </si>
  <si>
    <t xml:space="preserve">Perf!D33</t>
  </si>
  <si>
    <t xml:space="preserve">IN_EP_A</t>
  </si>
  <si>
    <t xml:space="preserve">專家參數：Astra</t>
  </si>
  <si>
    <t xml:space="preserve">Perf!E33</t>
  </si>
  <si>
    <t xml:space="preserve">IN_KV_L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</si>
  <si>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</si>
  <si>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Perf!C34</t>
  </si>
  <si>
    <t xml:space="preserve">IN_KV_S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</si>
  <si>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</si>
  <si>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Perf!D34</t>
  </si>
  <si>
    <t xml:space="preserve">IN_KV_A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</si>
  <si>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</si>
  <si>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Perf!E34</t>
  </si>
  <si>
    <t xml:space="preserve">IN_AF_L</t>
  </si>
  <si>
    <t xml:space="preserve">注意力 FLOPs／被注意 token：Luna</t>
  </si>
  <si>
    <t xml:space="preserve">FLOP</t>
  </si>
  <si>
    <t xml:space="preserve">Perf!C35</t>
  </si>
  <si>
    <t xml:space="preserve">IN_AF_S</t>
  </si>
  <si>
    <t xml:space="preserve">注意力 FLOPs／被注意 token：Sol</t>
  </si>
  <si>
    <t xml:space="preserve">Perf!D35</t>
  </si>
  <si>
    <t xml:space="preserve">IN_AF_A</t>
  </si>
  <si>
    <t xml:space="preserve">注意力 FLOPs／被注意 token：Astra</t>
  </si>
  <si>
    <t xml:space="preserve">Perf!E35</t>
  </si>
  <si>
    <t xml:space="preserve">IN_FA_L</t>
  </si>
  <si>
    <t xml:space="preserve">全注意力層比例：Luna</t>
  </si>
  <si>
    <t xml:space="preserve">Perf!C36</t>
  </si>
  <si>
    <t xml:space="preserve">IN_FA_S</t>
  </si>
  <si>
    <t xml:space="preserve">全注意力層比例：Sol</t>
  </si>
  <si>
    <t xml:space="preserve">Perf!D36</t>
  </si>
  <si>
    <t xml:space="preserve">IN_FA_A</t>
  </si>
  <si>
    <t xml:space="preserve">全注意力層比例：Astra</t>
  </si>
  <si>
    <t xml:space="preserve">Perf!E36</t>
  </si>
  <si>
    <t xml:space="preserve">IN_Span_L</t>
  </si>
  <si>
    <t xml:space="preserve">全注意力跨度上限（0＝不設限）：Luna</t>
  </si>
  <si>
    <t xml:space="preserve">Perf!C37</t>
  </si>
  <si>
    <t xml:space="preserve">IN_Span_S</t>
  </si>
  <si>
    <t xml:space="preserve">全注意力跨度上限（0＝不設限）：Sol</t>
  </si>
  <si>
    <t xml:space="preserve">Perf!D37</t>
  </si>
  <si>
    <t xml:space="preserve">IN_Span_A</t>
  </si>
  <si>
    <t xml:space="preserve">全注意力跨度上限（0＝不設限）：Astra</t>
  </si>
  <si>
    <t xml:space="preserve">Perf!E37</t>
  </si>
  <si>
    <t xml:space="preserve">IN_Cmp_L</t>
  </si>
  <si>
    <t xml:space="preserve">其他層壓縮比：Luna</t>
  </si>
  <si>
    <t xml:space="preserve">Perf!C38</t>
  </si>
  <si>
    <t xml:space="preserve">IN_Cmp_S</t>
  </si>
  <si>
    <t xml:space="preserve">其他層壓縮比：Sol</t>
  </si>
  <si>
    <t xml:space="preserve">Perf!D38</t>
  </si>
  <si>
    <t xml:space="preserve">IN_Cmp_A</t>
  </si>
  <si>
    <t xml:space="preserve">其他層壓縮比：Astra</t>
  </si>
  <si>
    <t xml:space="preserve">Perf!E38</t>
  </si>
  <si>
    <t xml:space="preserve">IN_Win_L</t>
  </si>
  <si>
    <t xml:space="preserve">其他層滑動窗：Luna</t>
  </si>
  <si>
    <t xml:space="preserve">Perf!C39</t>
  </si>
  <si>
    <t xml:space="preserve">IN_Win_S</t>
  </si>
  <si>
    <t xml:space="preserve">其他層滑動窗：Sol</t>
  </si>
  <si>
    <t xml:space="preserve">Perf!D39</t>
  </si>
  <si>
    <t xml:space="preserve">IN_Win_A</t>
  </si>
  <si>
    <t xml:space="preserve">其他層滑動窗：Astra</t>
  </si>
  <si>
    <t xml:space="preserve">Perf!E39</t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</si>
  <si>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服務等級（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）與參考請求（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；各層級）</t>
    </r>
  </si>
  <si>
    <t xml:space="preserve">IN_SLO_L</t>
  </si>
  <si>
    <t xml:space="preserve">I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</si>
  <si>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Luna</t>
    </r>
  </si>
  <si>
    <t xml:space="preserve">tok/s</t>
  </si>
  <si>
    <t xml:space="preserve">Perf!C41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</si>
  <si>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＝兩個第三方量測商中位數的幾何平均</t>
    </r>
  </si>
  <si>
    <t xml:space="preserve">IN_SLO_S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</si>
  <si>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</si>
  <si>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Perf!D41</t>
  </si>
  <si>
    <t xml:space="preserve">IN_SLO_A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</si>
  <si>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</si>
  <si>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Perf!E41</t>
  </si>
  <si>
    <t xml:space="preserve">IN_TTFT_L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</si>
  <si>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Luna</t>
    </r>
  </si>
  <si>
    <t xml:space="preserve">s</t>
  </si>
  <si>
    <t xml:space="preserve">Perf!C42</t>
  </si>
  <si>
    <t xml:space="preserve">IN_TTFT_S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</si>
  <si>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</si>
  <si>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Perf!D42</t>
  </si>
  <si>
    <t xml:space="preserve">IN_TTFT_A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</si>
  <si>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</si>
  <si>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Perf!E42</t>
  </si>
  <si>
    <t xml:space="preserve">IN_ISL_L</t>
  </si>
  <si>
    <t xml:space="preserve">參考 ISL（每次請求輸入）：Luna</t>
  </si>
  <si>
    <t xml:space="preserve">Perf!C43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</si>
  <si>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）</t>
    </r>
  </si>
  <si>
    <t xml:space="preserve">IN_ISL_S</t>
  </si>
  <si>
    <t xml:space="preserve">參考 ISL（每次請求輸入）：Sol</t>
  </si>
  <si>
    <t xml:space="preserve">Perf!D43</t>
  </si>
  <si>
    <t xml:space="preserve">IN_ISL_A</t>
  </si>
  <si>
    <t xml:space="preserve">參考 ISL（每次請求輸入）：Astra</t>
  </si>
  <si>
    <t xml:space="preserve">Perf!E43</t>
  </si>
  <si>
    <t xml:space="preserve">IN_OSL_L</t>
  </si>
  <si>
    <t xml:space="preserve">參考 OSL（含思考）：Luna</t>
  </si>
  <si>
    <t xml:space="preserve">Perf!C44</t>
  </si>
  <si>
    <t xml:space="preserve">IN_OSL_S</t>
  </si>
  <si>
    <t xml:space="preserve">參考 OSL（含思考）：Sol</t>
  </si>
  <si>
    <t xml:space="preserve">Perf!D44</t>
  </si>
  <si>
    <t xml:space="preserve">IN_OSL_A</t>
  </si>
  <si>
    <t xml:space="preserve">參考 OSL（含思考）：Astra</t>
  </si>
  <si>
    <t xml:space="preserve">Perf!E44</t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</si>
  <si>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資料中心成本（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，基準欄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</t>
    </r>
  </si>
  <si>
    <t xml:space="preserve">IN_ITout</t>
  </si>
  <si>
    <t xml:space="preserve">J</t>
  </si>
  <si>
    <t xml:space="preserve">機架外 IT 電力占比</t>
  </si>
  <si>
    <t xml:space="preserve">Inputs!E8</t>
  </si>
  <si>
    <t xml:space="preserve">IN_PUE</t>
  </si>
  <si>
    <t xml:space="preserve">PUE</t>
  </si>
  <si>
    <t xml:space="preserve">Inputs!E9</t>
  </si>
  <si>
    <t xml:space="preserve">IN_Load</t>
  </si>
  <si>
    <t xml:space="preserve">平均用電 ÷ 配電設計功率</t>
  </si>
  <si>
    <t xml:space="preserve">Inputs!E10</t>
  </si>
  <si>
    <t xml:space="preserve">IN_Elec</t>
  </si>
  <si>
    <t xml:space="preserve">電價</t>
  </si>
  <si>
    <t xml:space="preserve">$/kWh</t>
  </si>
  <si>
    <t xml:space="preserve">Inputs!E11</t>
  </si>
  <si>
    <t xml:space="preserve">IN_Net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</si>
  <si>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</si>
  <si>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t xml:space="preserve">Inputs!E13</t>
  </si>
  <si>
    <t xml:space="preserve">IN_Stor</t>
  </si>
  <si>
    <t xml:space="preserve">儲存與管理設備</t>
  </si>
  <si>
    <t xml:space="preserve">$/GPU</t>
  </si>
  <si>
    <t xml:space="preserve">Inputs!E14</t>
  </si>
  <si>
    <t xml:space="preserve">IN_Land</t>
  </si>
  <si>
    <t xml:space="preserve">土地</t>
  </si>
  <si>
    <t xml:space="preserve">$M/MW</t>
  </si>
  <si>
    <t xml:space="preserve">Inputs!E16</t>
  </si>
  <si>
    <t xml:space="preserve">IN_Bldg</t>
  </si>
  <si>
    <t xml:space="preserve">建物與基地工程</t>
  </si>
  <si>
    <t xml:space="preserve">Inputs!E17</t>
  </si>
  <si>
    <t xml:space="preserve">IN_Pwr</t>
  </si>
  <si>
    <t xml:space="preserve">電力設施</t>
  </si>
  <si>
    <t xml:space="preserve">Inputs!E18</t>
  </si>
  <si>
    <t xml:space="preserve">IN_Mech</t>
  </si>
  <si>
    <t xml:space="preserve">機械與散熱</t>
  </si>
  <si>
    <t xml:space="preserve">Inputs!E19</t>
  </si>
  <si>
    <t xml:space="preserve">IN_Fib</t>
  </si>
  <si>
    <t xml:space="preserve">光纖、佈線、保全</t>
  </si>
  <si>
    <t xml:space="preserve">Inputs!E20</t>
  </si>
  <si>
    <t xml:space="preserve">IN_Soft</t>
  </si>
  <si>
    <t xml:space="preserve">設計、管理與預備費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</si>
  <si>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廠房</t>
    </r>
  </si>
  <si>
    <t xml:space="preserve">Inputs!E21</t>
  </si>
  <si>
    <t xml:space="preserve">IN_ITlife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</si>
  <si>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</si>
  <si>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</si>
  <si>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Inputs!E23</t>
  </si>
  <si>
    <t xml:space="preserve">IN_L_bldg</t>
  </si>
  <si>
    <t xml:space="preserve">建物年限</t>
  </si>
  <si>
    <t xml:space="preserve">Inputs!E24</t>
  </si>
  <si>
    <t xml:space="preserve">IN_L_pwr</t>
  </si>
  <si>
    <t xml:space="preserve">電力設施年限</t>
  </si>
  <si>
    <t xml:space="preserve">Inputs!E25</t>
  </si>
  <si>
    <t xml:space="preserve">IN_L_mech</t>
  </si>
  <si>
    <t xml:space="preserve">機械與散熱年限</t>
  </si>
  <si>
    <t xml:space="preserve">Inputs!E26</t>
  </si>
  <si>
    <t xml:space="preserve">IN_L_fib</t>
  </si>
  <si>
    <t xml:space="preserve">光纖與保全年限</t>
  </si>
  <si>
    <t xml:space="preserve">Inputs!E27</t>
  </si>
  <si>
    <t xml:space="preserve">IN_WACC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</si>
  <si>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</si>
  <si>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Inputs!E28</t>
  </si>
  <si>
    <t xml:space="preserve">IN_ITmaint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</si>
  <si>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</si>
  <si>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000000"/>
        <rFont val="Arial"/>
        <family val="0"/>
        <charset val="1"/>
      </rPr>
      <t xml:space="preserve">% IT </t>
    </r>
    <r>
      <rPr>
        <sz val="10"/>
        <color rgb="FF000000"/>
        <rFont val="Noto Sans CJK SC"/>
        <family val="2"/>
      </rPr>
      <t xml:space="preserve">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</si>
  <si>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Inputs!E30</t>
  </si>
  <si>
    <t xml:space="preserve">IN_Fmaint</t>
  </si>
  <si>
    <t xml:space="preserve">廠房維護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</si>
  <si>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廠房資本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</si>
  <si>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Inputs!E31</t>
  </si>
  <si>
    <t xml:space="preserve">IN_Staff</t>
  </si>
  <si>
    <t xml:space="preserve">人員</t>
  </si>
  <si>
    <r>
      <rPr>
        <sz val="10"/>
        <color rgb="FF000000"/>
        <rFont val="Arial"/>
        <family val="0"/>
        <charset val="1"/>
      </rPr>
      <t xml:space="preserve">$M/GW/</t>
    </r>
    <r>
      <rPr>
        <sz val="10"/>
        <color rgb="FF000000"/>
        <rFont val="Noto Sans CJK SC"/>
        <family val="2"/>
      </rPr>
      <t xml:space="preserve">年</t>
    </r>
  </si>
  <si>
    <t xml:space="preserve">Inputs!E32</t>
  </si>
  <si>
    <t xml:space="preserve">IN_SW</t>
  </si>
  <si>
    <t xml:space="preserve">軟體授權與連線</t>
  </si>
  <si>
    <t xml:space="preserve">Inputs!E33</t>
  </si>
  <si>
    <t xml:space="preserve">IN_Water</t>
  </si>
  <si>
    <t xml:space="preserve">水與耗材</t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</si>
  <si>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</si>
  <si>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t xml:space="preserve">Inputs!E34</t>
  </si>
  <si>
    <t xml:space="preserve">IN_Tax</t>
  </si>
  <si>
    <t xml:space="preserve">財產稅與保險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</si>
  <si>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總資本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</si>
  <si>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Inputs!E35</t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</si>
  <si>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營收與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拆分（只供 </t>
    </r>
    <r>
      <rPr>
        <b val="true"/>
        <sz val="10"/>
        <rFont val="Arial"/>
        <family val="0"/>
        <charset val="1"/>
      </rPr>
      <t xml:space="preserve">1A_</t>
    </r>
    <r>
      <rPr>
        <b val="true"/>
        <sz val="10"/>
        <rFont val="Noto Sans CJK SC"/>
        <family val="2"/>
      </rPr>
      <t xml:space="preserve">需求公式樹使用；不影響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的點估計）</t>
    </r>
  </si>
  <si>
    <t xml:space="preserve">IN_SubShare</t>
  </si>
  <si>
    <t xml:space="preserve">K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</si>
  <si>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營收中消費訂閱占比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</si>
  <si>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）</t>
    </r>
  </si>
  <si>
    <t xml:space="preserve">Cap_In!C70</t>
  </si>
  <si>
    <r>
      <rPr>
        <sz val="11"/>
        <color theme="1"/>
        <rFont val="Calibri"/>
        <family val="2"/>
        <charset val="1"/>
      </rPr>
      <t xml:space="preserve">SRC_DEM_039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），約值；區間 </t>
    </r>
    <r>
      <rPr>
        <sz val="11"/>
        <color theme="1"/>
        <rFont val="Calibri"/>
        <family val="2"/>
        <charset val="1"/>
      </rPr>
      <t xml:space="preserve">0.612–0.82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Cap_In D70:E70</t>
    </r>
    <r>
      <rPr>
        <sz val="11"/>
        <color theme="1"/>
        <rFont val="Noto Sans CJK SC"/>
        <family val="2"/>
      </rPr>
      <t xml:space="preserve">） 取自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（低端＝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營收預期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130.7 </t>
    </r>
    <r>
      <rPr>
        <sz val="11"/>
        <color theme="1"/>
        <rFont val="Noto Sans CJK SC"/>
        <family val="2"/>
      </rPr>
      <t xml:space="preserve">億）</t>
    </r>
  </si>
  <si>
    <t xml:space="preserve">IN_SeatShare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</si>
  <si>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營收中商用席次占比</t>
    </r>
  </si>
  <si>
    <t xml:space="preserve">Cap_In!C131</t>
  </si>
  <si>
    <r>
      <rPr>
        <sz val="11"/>
        <color theme="1"/>
        <rFont val="Calibri"/>
        <family val="2"/>
        <charset val="1"/>
      </rPr>
      <t xml:space="preserve">J18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營收＝餘額，所以這格的誤差全部落到 </t>
    </r>
    <r>
      <rPr>
        <sz val="11"/>
        <color theme="1"/>
        <rFont val="Calibri"/>
        <family val="2"/>
        <charset val="1"/>
      </rPr>
      <t xml:space="preserve">API</t>
    </r>
  </si>
  <si>
    <t xml:space="preserve">IN_SubTokShare</t>
  </si>
  <si>
    <r>
      <rPr>
        <sz val="11"/>
        <color theme="1"/>
        <rFont val="Noto Sans CJK SC"/>
        <family val="2"/>
      </rPr>
      <t xml:space="preserve">消費訂閱占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份額</t>
    </r>
  </si>
  <si>
    <t xml:space="preserve">Cap_In!C132</t>
  </si>
  <si>
    <r>
      <rPr>
        <sz val="11"/>
        <color theme="1"/>
        <rFont val="Calibri"/>
        <family val="2"/>
        <charset val="1"/>
      </rPr>
      <t xml:space="preserve">J19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未揭露消費與商用的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拆分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</si>
  <si>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的逐步重算（全部為公式；改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的藍字即可看到每一步怎麼變）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</si>
  <si>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L1_MFleet</t>
    </r>
    <r>
      <rPr>
        <sz val="9"/>
        <color rgb="FF555555"/>
        <rFont val="Noto Sans CJK SC"/>
        <family val="2"/>
      </rPr>
      <t xml:space="preserve">，機隊變現率）＝ </t>
    </r>
    <r>
      <rPr>
        <sz val="9"/>
        <color rgb="FF555555"/>
        <rFont val="Arial"/>
        <family val="0"/>
        <charset val="1"/>
      </rPr>
      <t xml:space="preserve">OpenAI 2025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2025 </t>
    </r>
    <r>
      <rPr>
        <sz val="9"/>
        <color rgb="FF555555"/>
        <rFont val="Noto Sans CJK SC"/>
        <family val="2"/>
      </rPr>
      <t xml:space="preserve">機隊口徑單價）。每一步列出對應的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格與原值，最後一欄為差異。</t>
    </r>
  </si>
  <si>
    <t xml:space="preserve">步驟</t>
  </si>
  <si>
    <t xml:space="preserve">白話說明與公式</t>
  </si>
  <si>
    <t xml:space="preserve">原活頁簿值</t>
  </si>
  <si>
    <t xml:space="preserve">第 4 層：每 GW 產能（由 5_每GW產出 的 roofline 結果組合）</t>
  </si>
  <si>
    <t xml:space="preserve">S1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</si>
  <si>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年產能（付費，基準利用率）</t>
    </r>
  </si>
  <si>
    <t xml:space="preserve">＝IF_Util ÷ Σ（付費層級組合 ÷ 該層級每 GW 產出）。調和平均：每 GW 時間按層級組合分給 Luna／Sol／Astra，大模型每 token 耗時多。</t>
  </si>
  <si>
    <t xml:space="preserve">Alloc!C29</t>
  </si>
  <si>
    <t xml:space="preserve">S2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</si>
  <si>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</si>
  <si>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t xml:space="preserve">同上，GB200 欄</t>
  </si>
  <si>
    <t xml:space="preserve">Alloc!D29</t>
  </si>
  <si>
    <t xml:space="preserve">S3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</si>
  <si>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</si>
  <si>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同上，用免費層級組合（Luna 0.9、Sol 0.1）</t>
  </si>
  <si>
    <t xml:space="preserve">Alloc!C30</t>
  </si>
  <si>
    <t xml:space="preserve">S4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</si>
  <si>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</si>
  <si>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Alloc!D30</t>
  </si>
  <si>
    <t xml:space="preserve">S5</t>
  </si>
  <si>
    <t xml:space="preserve">機隊每 GW 年產能（付費）</t>
  </si>
  <si>
    <t xml:space="preserve">＝Σ 世代 GW 占比 × 各世代產能（Hopper 0.6、GB200 0.4）</t>
  </si>
  <si>
    <t xml:space="preserve">Alloc!C33</t>
  </si>
  <si>
    <t xml:space="preserve">S6</t>
  </si>
  <si>
    <t xml:space="preserve">機隊每 GW 年產能（免費）</t>
  </si>
  <si>
    <t xml:space="preserve">Alloc!C34</t>
  </si>
  <si>
    <t xml:space="preserve">第 3 層：免費 ÷ 付費 token 比 r（需求面）</t>
  </si>
  <si>
    <t xml:space="preserve">S7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</si>
  <si>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（全年）</t>
    </r>
  </si>
  <si>
    <t xml:space="preserve">＝API 每分鐘 token × 525,600 分鐘 × 全年平均比</t>
  </si>
  <si>
    <t xml:space="preserve">Alloc!C5</t>
  </si>
  <si>
    <t xml:space="preserve">S8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</si>
  <si>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（全年）</t>
    </r>
  </si>
  <si>
    <t xml:space="preserve">＝每日訊息數 × 每則 token τ × 365</t>
  </si>
  <si>
    <t xml:space="preserve">Alloc!C6</t>
  </si>
  <si>
    <t xml:space="preserve">S9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</si>
  <si>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</si>
  <si>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＝ChatGPT token × 免費占比</t>
  </si>
  <si>
    <t xml:space="preserve">Alloc!C7</t>
  </si>
  <si>
    <t xml:space="preserve">S10</t>
  </si>
  <si>
    <t xml:space="preserve">付費 token（API＋ChatGPT 付費）</t>
  </si>
  <si>
    <t xml:space="preserve">＝API ＋ ChatGPT − 免費</t>
  </si>
  <si>
    <t xml:space="preserve">Alloc!C9</t>
  </si>
  <si>
    <t xml:space="preserve">S11</t>
  </si>
  <si>
    <t xml:space="preserve">機隊產能要先扣掉服務免費用戶的部分；r 越大，留給付費 token 的產能越少</t>
  </si>
  <si>
    <t xml:space="preserve">Cap_In!C112</t>
  </si>
  <si>
    <t xml:space="preserve">第 2 層：服務 GW（支出路線）與利用率</t>
  </si>
  <si>
    <t xml:space="preserve">S12</t>
  </si>
  <si>
    <t xml:space="preserve">機隊每 GW 年持有成本（世代加權）</t>
  </si>
  <si>
    <t xml:space="preserve">＝Σ 世代占比 × 各世代每 GW 年經濟持有成本（4_持有成本）</t>
  </si>
  <si>
    <t xml:space="preserve">S13</t>
  </si>
  <si>
    <t xml:space="preserve">支出路線服務 GW</t>
  </si>
  <si>
    <t xml:space="preserve">＝推論支出 ÷ 每 GW 年持有成本：OpenAI 花在服務推論的錢，等於擁有多少 GW 的持有成本</t>
  </si>
  <si>
    <t xml:space="preserve">Alloc!C70</t>
  </si>
  <si>
    <t xml:space="preserve">S14</t>
  </si>
  <si>
    <t xml:space="preserve">有效服務 GW（經計價倍數與 κ）</t>
  </si>
  <si>
    <t xml:space="preserve">＝服務 GW ÷ 計價倍數 × κ。計價倍數 &lt;1 表示 Azure 計價低於經濟持有成本，所以同樣的錢買到更多 GW</t>
  </si>
  <si>
    <t xml:space="preserve">Cap_In!C109</t>
  </si>
  <si>
    <t xml:space="preserve">S15</t>
  </si>
  <si>
    <t xml:space="preserve">＝實際利用率 × 生產折減 ÷ IF_Util（把每 GW 產能的「基準利用率」口徑換成實際）</t>
  </si>
  <si>
    <t xml:space="preserve">Cap_In!C114</t>
  </si>
  <si>
    <t xml:space="preserve">S16</t>
  </si>
  <si>
    <t xml:space="preserve">機隊付費 token</t>
  </si>
  <si>
    <t xml:space="preserve">＝有效服務 GW × 利用率修正 ÷（1 ÷ 付費產能 ＋ r ÷ 免費產能）。分母：每產出 1 個付費 token，同時要產出 r 個免費 token，各自耗用 GW 年</t>
  </si>
  <si>
    <t xml:space="preserve">Cap_In!C116</t>
  </si>
  <si>
    <t xml:space="preserve">第 1 層：單價、token 與 m</t>
  </si>
  <si>
    <t xml:space="preserve">S17</t>
  </si>
  <si>
    <t xml:space="preserve">各世代付費 token 2025 混合有效單價</t>
  </si>
  <si>
    <t xml:space="preserve">＝Σ 付費層級組合 × 2025 層級單價 ×（1 − 有效折扣）</t>
  </si>
  <si>
    <t xml:space="preserve">Alloc!C148</t>
  </si>
  <si>
    <t xml:space="preserve">S18</t>
  </si>
  <si>
    <t xml:space="preserve">機隊口徑 2025 混合有效單價</t>
  </si>
  <si>
    <t xml:space="preserve">＝以各世代付費產能加權的 S17（所有層級皆可達時，各世代同值）</t>
  </si>
  <si>
    <t xml:space="preserve">Alloc!C151</t>
  </si>
  <si>
    <t xml:space="preserve">S19</t>
  </si>
  <si>
    <t xml:space="preserve">營收折合的 token（按 2025 牌價扣折扣）</t>
  </si>
  <si>
    <t xml:space="preserve">＝營收 ÷ 混合有效單價：如果每個 token 都照牌價收費，營收只買得到這麼多 token</t>
  </si>
  <si>
    <t xml:space="preserve">m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</si>
  <si>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（機隊變現率）</t>
    </r>
  </si>
  <si>
    <t xml:space="preserve">＝營收 ÷（機隊付費 token × 混合有效單價）＝ S19 ÷ S16</t>
  </si>
  <si>
    <t xml:space="preserve">Cap_In!C119</t>
  </si>
  <si>
    <t xml:space="preserve">floor</t>
  </si>
  <si>
    <t xml:space="preserve">對照：m 的物理下限（機隊付費 token 上限讀法）</t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</si>
  <si>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以 </t>
    </r>
    <r>
      <rPr>
        <sz val="9"/>
        <color rgb="FF555555"/>
        <rFont val="Arial"/>
        <family val="0"/>
        <charset val="1"/>
      </rPr>
      <t xml:space="preserve">MAX(m, </t>
    </r>
    <r>
      <rPr>
        <sz val="9"/>
        <color rgb="FF555555"/>
        <rFont val="Noto Sans CJK SC"/>
        <family val="2"/>
      </rPr>
      <t xml:space="preserve">下限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輸出；基準下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高於下限，所以下限不綁定</t>
    </r>
  </si>
  <si>
    <t xml:space="preserve">Cap_In!C121</t>
  </si>
  <si>
    <t xml:space="preserve">對照：L1 頁 L1_MFleet</t>
  </si>
  <si>
    <t xml:space="preserve">L1!D78</t>
  </si>
  <si>
    <t xml:space="preserve">每 GW 年經濟持有成本（資本回收年金＋營運費用）</t>
  </si>
  <si>
    <t xml:space="preserve">公式與 Tokenomics DC_Cost 頁（基準成本欄）相同；1 GW IT 電力。</t>
  </si>
  <si>
    <t xml:space="preserve">列</t>
  </si>
  <si>
    <t xml:space="preserve">Hopper H100</t>
  </si>
  <si>
    <t xml:space="preserve">GB200 NVL72</t>
  </si>
  <si>
    <t xml:space="preserve">公式說明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</si>
  <si>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規模</t>
    </r>
  </si>
  <si>
    <t xml:space="preserve">mw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</si>
  <si>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</si>
  <si>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</si>
  <si>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1 GW</t>
  </si>
  <si>
    <t xml:space="preserve">rmw</t>
  </si>
  <si>
    <t xml:space="preserve">機架可用 IT 電力</t>
  </si>
  <si>
    <t xml:space="preserve">扣除機架外 IT 電力</t>
  </si>
  <si>
    <t xml:space="preserve">racks</t>
  </si>
  <si>
    <t xml:space="preserve">機架數</t>
  </si>
  <si>
    <t xml:space="preserve">架</t>
  </si>
  <si>
    <t xml:space="preserve">可用 IT 電力 ÷ 每架功率，取整</t>
  </si>
  <si>
    <t xml:space="preserve">gpus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</si>
  <si>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</si>
  <si>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資本支出</t>
    </r>
  </si>
  <si>
    <t xml:space="preserve">rack</t>
  </si>
  <si>
    <t xml:space="preserve">機架</t>
  </si>
  <si>
    <t xml:space="preserve">機架數 × 機架單價</t>
  </si>
  <si>
    <t xml:space="preserve">net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</si>
  <si>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</si>
  <si>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stor</t>
  </si>
  <si>
    <t xml:space="preserve">儲存與管理</t>
  </si>
  <si>
    <t xml:space="preserve">it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</si>
  <si>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</si>
  <si>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land</t>
  </si>
  <si>
    <t xml:space="preserve">bldg</t>
  </si>
  <si>
    <t xml:space="preserve">建物與基地</t>
  </si>
  <si>
    <t xml:space="preserve">pwr</t>
  </si>
  <si>
    <t xml:space="preserve">mech</t>
  </si>
  <si>
    <t xml:space="preserve">fib</t>
  </si>
  <si>
    <t xml:space="preserve">光纖與保全</t>
  </si>
  <si>
    <t xml:space="preserve">soft</t>
  </si>
  <si>
    <t xml:space="preserve">fac</t>
  </si>
  <si>
    <t xml:space="preserve">廠房小計</t>
  </si>
  <si>
    <t xml:space="preserve">capex</t>
  </si>
  <si>
    <t xml:space="preserve">總資本支出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</si>
  <si>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營運費用（年）</t>
    </r>
  </si>
  <si>
    <t xml:space="preserve">elec</t>
  </si>
  <si>
    <t xml:space="preserve">電費</t>
  </si>
  <si>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平均負載 </t>
    </r>
    <r>
      <rPr>
        <sz val="9"/>
        <color rgb="FF555555"/>
        <rFont val="Arial"/>
        <family val="0"/>
        <charset val="1"/>
      </rPr>
      <t xml:space="preserve">× PUE × 8760 × </t>
    </r>
    <r>
      <rPr>
        <sz val="9"/>
        <color rgb="FF555555"/>
        <rFont val="Noto Sans CJK SC"/>
        <family val="2"/>
      </rPr>
      <t xml:space="preserve">電價</t>
    </r>
  </si>
  <si>
    <t xml:space="preserve">itm</t>
  </si>
  <si>
    <t xml:space="preserve">fm</t>
  </si>
  <si>
    <t xml:space="preserve">ops</t>
  </si>
  <si>
    <t xml:space="preserve">人員、軟體、水與耗材</t>
  </si>
  <si>
    <t xml:space="preserve">tax</t>
  </si>
  <si>
    <t xml:space="preserve">opex</t>
  </si>
  <si>
    <t xml:space="preserve">營運費用小計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</si>
  <si>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經濟口徑年持有成本</t>
    </r>
  </si>
  <si>
    <t xml:space="preserve">crf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</si>
  <si>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</si>
  <si>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9"/>
        <color rgb="FF555555"/>
        <rFont val="Arial"/>
        <family val="0"/>
        <charset val="1"/>
      </rPr>
      <t xml:space="preserve">WACC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^−</t>
    </r>
    <r>
      <rPr>
        <sz val="9"/>
        <color rgb="FF555555"/>
        <rFont val="Noto Sans CJK SC"/>
        <family val="2"/>
      </rPr>
      <t xml:space="preserve">年限）：把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資本攤成等額年金</t>
    </r>
  </si>
  <si>
    <t xml:space="preserve">itrec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</si>
  <si>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</si>
  <si>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facrec</t>
  </si>
  <si>
    <t xml:space="preserve">廠房資本回收（土地按 WACC 計機會成本）</t>
  </si>
  <si>
    <t xml:space="preserve">hold</t>
  </si>
  <si>
    <t xml:space="preserve">每 GW 年經濟持有成本</t>
  </si>
  <si>
    <t xml:space="preserve">＝ Tokenomics 的 IF_HoldEcon（AL_HoldGen）</t>
  </si>
  <si>
    <t xml:space="preserve">對照：Tokenomics v17.0 原值（Alloc 第 39 列）</t>
  </si>
  <si>
    <t xml:space="preserve">差異（本頁 ÷ 原值 − 1）</t>
  </si>
  <si>
    <t xml:space="preserve">每 GW 年產出（roofline）：每請求 GPU 秒 → 每架 tok/s → 每 GW M tok/年（100% 利用率）</t>
  </si>
  <si>
    <t xml:space="preserve">六個案例＝Hopper／GB200 × Luna／Sol／Astra。公式與 Tokenomics Perf 頁逐列相同；最後兩列與原活頁簿比對。綠字＝連結 2_輸入；黑字＝本頁公式。</t>
  </si>
  <si>
    <t xml:space="preserve">Hopper Luna</t>
  </si>
  <si>
    <t xml:space="preserve">Hopper Sol</t>
  </si>
  <si>
    <t xml:space="preserve">Hopper Astra</t>
  </si>
  <si>
    <t xml:space="preserve">GB200 Luna</t>
  </si>
  <si>
    <t xml:space="preserve">GB200 Sol</t>
  </si>
  <si>
    <t xml:space="preserve">GB200 Astra</t>
  </si>
  <si>
    <t xml:space="preserve">公式說明（物理意義）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</si>
  <si>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</si>
  <si>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t xml:space="preserve">peak</t>
  </si>
  <si>
    <t xml:space="preserve">計算用峰值</t>
  </si>
  <si>
    <t xml:space="preserve">hbm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</si>
  <si>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</si>
  <si>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</si>
  <si>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t xml:space="preserve">bw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</si>
  <si>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</si>
  <si>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</si>
  <si>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t xml:space="preserve">epbw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</si>
  <si>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</si>
  <si>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t xml:space="preserve">epw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</si>
  <si>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</si>
  <si>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t xml:space="preserve">eb</t>
  </si>
  <si>
    <t xml:space="preserve">專家權重 bytes/param</t>
  </si>
  <si>
    <t xml:space="preserve">neb</t>
  </si>
  <si>
    <t xml:space="preserve">非專家權重 bytes/param</t>
  </si>
  <si>
    <t xml:space="preserve">pfg</t>
  </si>
  <si>
    <t xml:space="preserve">每 prefill 實例 GPU 數</t>
  </si>
  <si>
    <t xml:space="preserve">gpr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</si>
  <si>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</si>
  <si>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rpg</t>
  </si>
  <si>
    <t xml:space="preserve">每 GW 機架數</t>
  </si>
  <si>
    <t xml:space="preserve">來自 4_持有成本（機架可用 IT 電力 ÷ 每架功率，取整）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</si>
  <si>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</t>
    </r>
  </si>
  <si>
    <t xml:space="preserve">act</t>
  </si>
  <si>
    <t xml:space="preserve">啟用參數</t>
  </si>
  <si>
    <t xml:space="preserve">lay</t>
  </si>
  <si>
    <t xml:space="preserve">層數</t>
  </si>
  <si>
    <t xml:space="preserve">dm</t>
  </si>
  <si>
    <t xml:space="preserve">d_model</t>
  </si>
  <si>
    <t xml:space="preserve">exp</t>
  </si>
  <si>
    <t xml:space="preserve">啟用 routed experts</t>
  </si>
  <si>
    <t xml:space="preserve">nep</t>
  </si>
  <si>
    <t xml:space="preserve">非專家參數</t>
  </si>
  <si>
    <t xml:space="preserve">ep</t>
  </si>
  <si>
    <t xml:space="preserve">專家參數</t>
  </si>
  <si>
    <t xml:space="preserve">kv</t>
  </si>
  <si>
    <t xml:space="preserve">KV bytes/token</t>
  </si>
  <si>
    <t xml:space="preserve">af</t>
  </si>
  <si>
    <t xml:space="preserve">注意力 FLOPs／被注意 token</t>
  </si>
  <si>
    <t xml:space="preserve">fa</t>
  </si>
  <si>
    <t xml:space="preserve">全注意力層比例</t>
  </si>
  <si>
    <t xml:space="preserve">span</t>
  </si>
  <si>
    <t xml:space="preserve">全注意力跨度上限</t>
  </si>
  <si>
    <t xml:space="preserve">cmp</t>
  </si>
  <si>
    <t xml:space="preserve">其他層壓縮比</t>
  </si>
  <si>
    <t xml:space="preserve">win</t>
  </si>
  <si>
    <t xml:space="preserve">其他層滑動窗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</si>
  <si>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服務等級、參考請求、校準</t>
    </r>
  </si>
  <si>
    <t xml:space="preserve">slo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</si>
  <si>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</si>
  <si>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ttft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</si>
  <si>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</si>
  <si>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t xml:space="preserve">isl</t>
  </si>
  <si>
    <t xml:space="preserve">參考 ISL</t>
  </si>
  <si>
    <t xml:space="preserve">osl</t>
  </si>
  <si>
    <t xml:space="preserve">參考 OSL（含思考）</t>
  </si>
  <si>
    <t xml:space="preserve">ctx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</si>
  <si>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</si>
  <si>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 ÷ 2</t>
    </r>
    <r>
      <rPr>
        <sz val="9"/>
        <color rgb="FF555555"/>
        <rFont val="Noto Sans CJK SC"/>
        <family val="2"/>
      </rPr>
      <t xml:space="preserve">（輸出過程中上下文由 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長到 </t>
    </r>
    <r>
      <rPr>
        <sz val="9"/>
        <color rgb="FF555555"/>
        <rFont val="Arial"/>
        <family val="0"/>
        <charset val="1"/>
      </rPr>
      <t xml:space="preserve">ISL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</si>
  <si>
    <t xml:space="preserve">ppos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</si>
  <si>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</si>
  <si>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t xml:space="preserve">ISL ÷ 2</t>
  </si>
  <si>
    <t xml:space="preserve">acc</t>
  </si>
  <si>
    <t xml:space="preserve">每步期望接受 token a</t>
  </si>
  <si>
    <r>
      <rPr>
        <sz val="9"/>
        <color rgb="FF555555"/>
        <rFont val="Arial"/>
        <family val="0"/>
        <charset val="1"/>
      </rPr>
      <t xml:space="preserve">MTP </t>
    </r>
    <r>
      <rPr>
        <sz val="9"/>
        <color rgb="FF555555"/>
        <rFont val="Noto Sans CJK SC"/>
        <family val="2"/>
      </rPr>
      <t xml:space="preserve">推測解碼：</t>
    </r>
    <r>
      <rPr>
        <sz val="9"/>
        <color rgb="FF555555"/>
        <rFont val="Arial"/>
        <family val="0"/>
        <charset val="1"/>
      </rPr>
      <t xml:space="preserve">(1 − α^(N+1)) ÷ (1 − α)</t>
    </r>
  </si>
  <si>
    <t xml:space="preserve">etap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</si>
  <si>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占峰值）</t>
    </r>
  </si>
  <si>
    <r>
      <rPr>
        <sz val="9"/>
        <color rgb="FF555555"/>
        <rFont val="Arial"/>
        <family val="0"/>
        <charset val="1"/>
      </rPr>
      <t xml:space="preserve">η_p </t>
    </r>
    <r>
      <rPr>
        <sz val="9"/>
        <color rgb="FF555555"/>
        <rFont val="Noto Sans CJK SC"/>
        <family val="2"/>
      </rPr>
      <t xml:space="preserve">基準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世代倍數（生產折減在本頁＝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，另於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重算乘入）</t>
    </r>
  </si>
  <si>
    <t xml:space="preserve">etad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</si>
  <si>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每序列算力效率）</t>
    </r>
  </si>
  <si>
    <r>
      <rPr>
        <sz val="9"/>
        <color rgb="FF555555"/>
        <rFont val="Arial"/>
        <family val="0"/>
        <charset val="1"/>
      </rPr>
      <t xml:space="preserve">GB300 </t>
    </r>
    <r>
      <rPr>
        <sz val="9"/>
        <color rgb="FF555555"/>
        <rFont val="Noto Sans CJK SC"/>
        <family val="2"/>
      </rPr>
      <t xml:space="preserve">擬合值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世代倍數（</t>
    </r>
    <r>
      <rPr>
        <sz val="9"/>
        <color rgb="FF555555"/>
        <rFont val="Arial"/>
        <family val="0"/>
        <charset val="1"/>
      </rPr>
      <t xml:space="preserve">GB200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Calib D67</t>
    </r>
    <r>
      <rPr>
        <sz val="9"/>
        <color rgb="FF555555"/>
        <rFont val="Noto Sans CJK SC"/>
        <family val="2"/>
      </rPr>
      <t xml:space="preserve">）</t>
    </r>
  </si>
  <si>
    <t xml:space="preserve">lat</t>
  </si>
  <si>
    <t xml:space="preserve">每層每次前向固定延遲</t>
  </si>
  <si>
    <r>
      <rPr>
        <sz val="9"/>
        <color rgb="FF555555"/>
        <rFont val="Arial"/>
        <family val="0"/>
        <charset val="1"/>
      </rPr>
      <t xml:space="preserve">GB300 </t>
    </r>
    <r>
      <rPr>
        <sz val="9"/>
        <color rgb="FF555555"/>
        <rFont val="Noto Sans CJK SC"/>
        <family val="2"/>
      </rPr>
      <t xml:space="preserve">擬合值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</si>
  <si>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</si>
  <si>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t xml:space="preserve">dat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</si>
  <si>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</si>
  <si>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t xml:space="preserve">全注意力層看 min(上下文, 跨度上限)；其他層看 上下文 ÷ 壓縮比 ＋ 滑動窗</t>
  </si>
  <si>
    <t xml:space="preserve">dfl</t>
  </si>
  <si>
    <t xml:space="preserve">decode FLOPs/token</t>
  </si>
  <si>
    <t xml:space="preserve">GFLOP</t>
  </si>
  <si>
    <r>
      <rPr>
        <sz val="9"/>
        <color rgb="FF555555"/>
        <rFont val="Arial"/>
        <family val="0"/>
        <charset val="1"/>
      </rPr>
      <t xml:space="preserve">2 × </t>
    </r>
    <r>
      <rPr>
        <sz val="9"/>
        <color rgb="FF555555"/>
        <rFont val="Noto Sans CJK SC"/>
        <family val="2"/>
      </rPr>
      <t xml:space="preserve">啟用參數（矩陣乘）＋ 注意力 </t>
    </r>
    <r>
      <rPr>
        <sz val="9"/>
        <color rgb="FF555555"/>
        <rFont val="Arial"/>
        <family val="0"/>
        <charset val="1"/>
      </rPr>
      <t xml:space="preserve">FLOPs × </t>
    </r>
    <r>
      <rPr>
        <sz val="9"/>
        <color rgb="FF555555"/>
        <rFont val="Noto Sans CJK SC"/>
        <family val="2"/>
      </rPr>
      <t xml:space="preserve">被注意 </t>
    </r>
    <r>
      <rPr>
        <sz val="9"/>
        <color rgb="FF555555"/>
        <rFont val="Arial"/>
        <family val="0"/>
        <charset val="1"/>
      </rPr>
      <t xml:space="preserve">token</t>
    </r>
  </si>
  <si>
    <t xml:space="preserve">pat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</si>
  <si>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</si>
  <si>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t xml:space="preserve">同上，以 prefill 平均位置計</t>
  </si>
  <si>
    <t xml:space="preserve">pfl</t>
  </si>
  <si>
    <t xml:space="preserve">prefill FLOPs/token</t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</si>
  <si>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</si>
  <si>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t xml:space="preserve">hbmu</t>
  </si>
  <si>
    <t xml:space="preserve">可用 HBM</t>
  </si>
  <si>
    <r>
      <rPr>
        <sz val="9"/>
        <color rgb="FF555555"/>
        <rFont val="Arial"/>
        <family val="0"/>
        <charset val="1"/>
      </rPr>
      <t xml:space="preserve">HBM </t>
    </r>
    <r>
      <rPr>
        <sz val="9"/>
        <color rgb="FF555555"/>
        <rFont val="Noto Sans CJK SC"/>
        <family val="2"/>
      </rPr>
      <t xml:space="preserve">容量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保留比例）</t>
    </r>
  </si>
  <si>
    <t xml:space="preserve">tp</t>
  </si>
  <si>
    <t xml:space="preserve">注意力 TP 度</t>
  </si>
  <si>
    <t xml:space="preserve">非專家權重放得下所需的最小切分數</t>
  </si>
  <si>
    <t xml:space="preserve">epx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</si>
  <si>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</si>
  <si>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專家權重放得下所需的最小 EP 寬度，不低於基準寬度</t>
  </si>
  <si>
    <t xml:space="preserve">wpg</t>
  </si>
  <si>
    <t xml:space="preserve">每 GPU 權重</t>
  </si>
  <si>
    <t xml:space="preserve">F. Prefill</t>
  </si>
  <si>
    <t xml:space="preserve">ptok</t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</si>
  <si>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</si>
  <si>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η_p × </t>
    </r>
    <r>
      <rPr>
        <sz val="9"/>
        <color rgb="FF555555"/>
        <rFont val="Noto Sans CJK SC"/>
        <family val="2"/>
      </rPr>
      <t xml:space="preserve">峰值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token FLOPs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prefill </t>
    </r>
    <r>
      <rPr>
        <sz val="9"/>
        <color rgb="FF555555"/>
        <rFont val="Noto Sans CJK SC"/>
        <family val="2"/>
      </rPr>
      <t xml:space="preserve">為算力受限）</t>
    </r>
  </si>
  <si>
    <t xml:space="preserve">ttftv</t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</si>
  <si>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（只計新鮮輸入）</t>
    </r>
  </si>
  <si>
    <r>
      <rPr>
        <sz val="9"/>
        <color rgb="FF555555"/>
        <rFont val="Arial"/>
        <family val="0"/>
        <charset val="1"/>
      </rPr>
      <t xml:space="preserve">ISL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FLOPs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η_p × </t>
    </r>
    <r>
      <rPr>
        <sz val="9"/>
        <color rgb="FF555555"/>
        <rFont val="Noto Sans CJK SC"/>
        <family val="2"/>
      </rPr>
      <t xml:space="preserve">峰值 </t>
    </r>
    <r>
      <rPr>
        <sz val="9"/>
        <color rgb="FF555555"/>
        <rFont val="Arial"/>
        <family val="0"/>
        <charset val="1"/>
      </rPr>
      <t xml:space="preserve">× prefill </t>
    </r>
    <r>
      <rPr>
        <sz val="9"/>
        <color rgb="FF555555"/>
        <rFont val="Noto Sans CJK SC"/>
        <family val="2"/>
      </rPr>
      <t xml:space="preserve">實例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數）</t>
    </r>
  </si>
  <si>
    <t xml:space="preserve">ttok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</si>
  <si>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</si>
  <si>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 ＋ </t>
    </r>
    <r>
      <rPr>
        <b val="true"/>
        <sz val="10"/>
        <rFont val="Arial"/>
        <family val="0"/>
        <charset val="1"/>
      </rPr>
      <t xml:space="preserve">B ×</t>
    </r>
    <r>
      <rPr>
        <b val="true"/>
        <sz val="10"/>
        <rFont val="Noto Sans CJK SC"/>
        <family val="2"/>
      </rPr>
      <t xml:space="preserve">每序列時間；在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下解出批次 </t>
    </r>
    <r>
      <rPr>
        <b val="true"/>
        <sz val="10"/>
        <rFont val="Arial"/>
        <family val="0"/>
        <charset val="1"/>
      </rPr>
      <t xml:space="preserve">B*</t>
    </r>
  </si>
  <si>
    <t xml:space="preserve">fix</t>
  </si>
  <si>
    <t xml:space="preserve">每步固定延遲（權重讀取＋逐層延遲）</t>
  </si>
  <si>
    <t xml:space="preserve">ms</t>
  </si>
  <si>
    <t xml:space="preserve">每 GPU 權重 ÷ HBM 頻寬 ＋（層數 ＋ 草稿數）× 每層延遲</t>
  </si>
  <si>
    <t xml:space="preserve">sc</t>
  </si>
  <si>
    <t xml:space="preserve">每序列每步：算力項</t>
  </si>
  <si>
    <t xml:space="preserve">（N＋1）× decode FLOPs ÷（峰值 × η_d）——η_d 在這裡起作用</t>
  </si>
  <si>
    <t xml:space="preserve">skv</t>
  </si>
  <si>
    <t xml:space="preserve">每序列每步：KV 讀取項</t>
  </si>
  <si>
    <r>
      <rPr>
        <sz val="9"/>
        <color rgb="FF555555"/>
        <rFont val="Arial"/>
        <family val="0"/>
        <charset val="1"/>
      </rPr>
      <t xml:space="preserve">KV bytes × </t>
    </r>
    <r>
      <rPr>
        <sz val="9"/>
        <color rgb="FF555555"/>
        <rFont val="Noto Sans CJK SC"/>
        <family val="2"/>
      </rPr>
      <t xml:space="preserve">上下文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（頻寬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效率）</t>
    </r>
  </si>
  <si>
    <t xml:space="preserve">sep</t>
  </si>
  <si>
    <t xml:space="preserve">每序列每步：EP 通訊項</t>
  </si>
  <si>
    <t xml:space="preserve">sq</t>
  </si>
  <si>
    <t xml:space="preserve">每序列每步（三者取最大，假設可重疊）</t>
  </si>
  <si>
    <t xml:space="preserve">bslo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</si>
  <si>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</si>
  <si>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t xml:space="preserve">序列/GPU</t>
  </si>
  <si>
    <t xml:space="preserve">每用戶速度 ≥ SLO：a ÷（固定＋B×每序列）≥ SLO → B ≤（1000a/SLO − 固定）÷ 每序列</t>
  </si>
  <si>
    <t xml:space="preserve">bhbm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</si>
  <si>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</si>
  <si>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t xml:space="preserve">（可用 HBM − 權重）÷ 每序列 KV</t>
  </si>
  <si>
    <t xml:space="preserve">bst</t>
  </si>
  <si>
    <t xml:space="preserve">採用批次 B*</t>
  </si>
  <si>
    <t xml:space="preserve">dtok</t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</si>
  <si>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</si>
  <si>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B* × a ÷ </t>
    </r>
    <r>
      <rPr>
        <sz val="9"/>
        <color rgb="FF555555"/>
        <rFont val="Noto Sans CJK SC"/>
        <family val="2"/>
      </rPr>
      <t xml:space="preserve">每步時間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</si>
  <si>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</si>
  <si>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t xml:space="preserve">gps</t>
  </si>
  <si>
    <t xml:space="preserve">每請求 GPU 秒</t>
  </si>
  <si>
    <t xml:space="preserve">GPU-s</t>
  </si>
  <si>
    <t xml:space="preserve">新鮮輸入 ÷ prefill 速度 ＋ 輸出 ÷ decode 速度（快取命中的輸入不計 prefill）</t>
  </si>
  <si>
    <t xml:space="preserve">每架總 tok/s（輸入＋輸出）</t>
  </si>
  <si>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數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每請求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</t>
    </r>
  </si>
  <si>
    <t xml:space="preserve">tokgw</t>
  </si>
  <si>
    <t xml:space="preserve">每 GW 年總產出（100% 利用率）</t>
  </si>
  <si>
    <t xml:space="preserve">每架 tok/s × 每 GW 機架數 × 一年秒數 ÷ 10^6　→ 即 Tokenomics 的 IF_TokGW_*</t>
  </si>
  <si>
    <t xml:space="preserve">對照：Tokenomics v17.0 原值（Perf 第 98 列）</t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</si>
  <si>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的單變數敏感度（在 </t>
    </r>
    <r>
      <rPr>
        <b val="true"/>
        <sz val="13"/>
        <rFont val="Arial"/>
        <family val="0"/>
        <charset val="1"/>
      </rPr>
      <t xml:space="preserve">v15.3 </t>
    </r>
    <r>
      <rPr>
        <b val="true"/>
        <sz val="13"/>
        <rFont val="Noto Sans CJK SC"/>
        <family val="2"/>
      </rPr>
      <t xml:space="preserve">執行；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2,993 </t>
    </r>
    <r>
      <rPr>
        <b val="true"/>
        <sz val="13"/>
        <rFont val="Noto Sans CJK SC"/>
        <family val="2"/>
      </rPr>
      <t xml:space="preserve">個前置格 </t>
    </r>
    <r>
      <rPr>
        <b val="true"/>
        <sz val="13"/>
        <rFont val="Arial"/>
        <family val="0"/>
        <charset val="1"/>
      </rPr>
      <t xml:space="preserve">v17.0 </t>
    </r>
    <r>
      <rPr>
        <b val="true"/>
        <sz val="13"/>
        <rFont val="Noto Sans CJK SC"/>
        <family val="2"/>
      </rPr>
      <t xml:space="preserve">與 </t>
    </r>
    <r>
      <rPr>
        <b val="true"/>
        <sz val="13"/>
        <rFont val="Arial"/>
        <family val="0"/>
        <charset val="1"/>
      </rPr>
      <t xml:space="preserve">v15.3 </t>
    </r>
    <r>
      <rPr>
        <b val="true"/>
        <sz val="13"/>
        <rFont val="Noto Sans CJK SC"/>
        <family val="2"/>
      </rPr>
      <t xml:space="preserve">逐格相同，結果仍適用。每個輸入改到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低端與高端，各以 </t>
    </r>
    <r>
      <rPr>
        <b val="true"/>
        <sz val="13"/>
        <rFont val="Arial"/>
        <family val="0"/>
        <charset val="1"/>
      </rPr>
      <t xml:space="preserve">LibreOffice </t>
    </r>
    <r>
      <rPr>
        <b val="true"/>
        <sz val="13"/>
        <rFont val="Noto Sans CJK SC"/>
        <family val="2"/>
      </rPr>
      <t xml:space="preserve">重算整本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一次）</t>
    </r>
  </si>
  <si>
    <t xml:space="preserve">藍字＝重算結果（數值）；承重度＝弧彈性 ln(m高/m低) ÷ ln(輸入高/輸入低)；擺動＝|m高 − m低| ÷ m 基準。只測單一變數，未測交互作用。</t>
  </si>
  <si>
    <t xml:space="preserve">#</t>
  </si>
  <si>
    <t xml:space="preserve">活頁簿位置</t>
  </si>
  <si>
    <t xml:space="preserve">低值</t>
  </si>
  <si>
    <t xml:space="preserve">高值</t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</si>
  <si>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（低值）</t>
    </r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</si>
  <si>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（高值）</t>
    </r>
  </si>
  <si>
    <t xml:space="preserve">排名</t>
  </si>
  <si>
    <t xml:space="preserve">說明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</si>
  <si>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基準（</t>
    </r>
    <r>
      <rPr>
        <b val="true"/>
        <sz val="10"/>
        <rFont val="Arial"/>
        <family val="0"/>
        <charset val="1"/>
      </rPr>
      <t xml:space="preserve">v15.3 </t>
    </r>
    <r>
      <rPr>
        <b val="true"/>
        <sz val="10"/>
        <rFont val="Noto Sans CJK SC"/>
        <family val="2"/>
      </rPr>
      <t xml:space="preserve">重算重現；＝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值）</t>
    </r>
  </si>
  <si>
    <r>
      <rPr>
        <sz val="11"/>
        <color theme="1"/>
        <rFont val="Arial"/>
        <family val="0"/>
        <charset val="1"/>
      </rPr>
      <t xml:space="preserve">Astra 2025 </t>
    </r>
    <r>
      <rPr>
        <sz val="11"/>
        <color theme="1"/>
        <rFont val="Noto Sans CJK SC"/>
        <family val="2"/>
      </rPr>
      <t xml:space="preserve">單價</t>
    </r>
  </si>
  <si>
    <t xml:space="preserve">用量加權（B2）；推理占比曲線為 Assumed</t>
  </si>
  <si>
    <r>
      <rPr>
        <sz val="11"/>
        <color theme="1"/>
        <rFont val="Arial"/>
        <family val="0"/>
        <charset val="1"/>
      </rPr>
      <t xml:space="preserve">GB200 η_d </t>
    </r>
    <r>
      <rPr>
        <sz val="11"/>
        <color theme="1"/>
        <rFont val="Noto Sans CJK SC"/>
        <family val="2"/>
      </rPr>
      <t xml:space="preserve">倍數</t>
    </r>
  </si>
  <si>
    <r>
      <rPr>
        <sz val="9"/>
        <color rgb="FF555555"/>
        <rFont val="Arial"/>
        <family val="0"/>
        <charset val="1"/>
      </rPr>
      <t xml:space="preserve">MLPerf v6.0 </t>
    </r>
    <r>
      <rPr>
        <sz val="9"/>
        <color rgb="FF555555"/>
        <rFont val="Noto Sans CJK SC"/>
        <family val="2"/>
      </rPr>
      <t xml:space="preserve">同軟體配對（</t>
    </r>
    <r>
      <rPr>
        <sz val="9"/>
        <color rgb="FF555555"/>
        <rFont val="Arial"/>
        <family val="0"/>
        <charset val="1"/>
      </rPr>
      <t xml:space="preserve">B3</t>
    </r>
    <r>
      <rPr>
        <sz val="9"/>
        <color rgb="FF555555"/>
        <rFont val="Noto Sans CJK SC"/>
        <family val="2"/>
      </rPr>
      <t xml:space="preserve">）</t>
    </r>
  </si>
  <si>
    <t xml:space="preserve">請求形狀 κ</t>
  </si>
  <si>
    <t xml:space="preserve">證據範圍 0.67–1.05</t>
  </si>
  <si>
    <t xml:space="preserve">實際利用率</t>
  </si>
  <si>
    <t xml:space="preserve">無實測</t>
  </si>
  <si>
    <t xml:space="preserve">計價倍數</t>
  </si>
  <si>
    <r>
      <rPr>
        <sz val="9"/>
        <color rgb="FF555555"/>
        <rFont val="Arial"/>
        <family val="0"/>
        <charset val="1"/>
      </rPr>
      <t xml:space="preserve">Microsoft </t>
    </r>
    <r>
      <rPr>
        <sz val="9"/>
        <color rgb="FF555555"/>
        <rFont val="Noto Sans CJK SC"/>
        <family val="2"/>
      </rPr>
      <t xml:space="preserve">對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計價未找到</t>
    </r>
  </si>
  <si>
    <r>
      <rPr>
        <sz val="11"/>
        <color theme="1"/>
        <rFont val="Arial"/>
        <family val="0"/>
        <charset val="1"/>
      </rPr>
      <t xml:space="preserve">Astra </t>
    </r>
    <r>
      <rPr>
        <sz val="11"/>
        <color theme="1"/>
        <rFont val="Noto Sans CJK SC"/>
        <family val="2"/>
      </rPr>
      <t xml:space="preserve">啟用參數</t>
    </r>
  </si>
  <si>
    <t xml:space="preserve">Arch!E7</t>
  </si>
  <si>
    <t xml:space="preserve">頂層模型參數未揭露</t>
  </si>
  <si>
    <t xml:space="preserve">有效折扣</t>
  </si>
  <si>
    <r>
      <rPr>
        <sz val="9"/>
        <color rgb="FF555555"/>
        <rFont val="Arial"/>
        <family val="0"/>
        <charset val="1"/>
      </rPr>
      <t xml:space="preserve">Batch </t>
    </r>
    <r>
      <rPr>
        <sz val="9"/>
        <color rgb="FF555555"/>
        <rFont val="Noto Sans CJK SC"/>
        <family val="2"/>
      </rPr>
      <t xml:space="preserve">半價為牌價；占比與企業折扣找不到</t>
    </r>
  </si>
  <si>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Arial"/>
        <family val="0"/>
        <charset val="1"/>
      </rPr>
      <t xml:space="preserve">ISL</t>
    </r>
  </si>
  <si>
    <t xml:space="preserve">Serving!D23</t>
  </si>
  <si>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參考請求輸入長度；與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同屬流量形狀（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項）</t>
    </r>
  </si>
  <si>
    <t xml:space="preserve">生產折減</t>
  </si>
  <si>
    <t xml:space="preserve">情境值，非估計值</t>
  </si>
  <si>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Arial"/>
        <family val="0"/>
        <charset val="1"/>
      </rPr>
      <t xml:space="preserve">OSL</t>
    </r>
  </si>
  <si>
    <t xml:space="preserve">Serving!D24</t>
  </si>
  <si>
    <t xml:space="preserve">同上（輸出長度）</t>
  </si>
  <si>
    <t xml:space="preserve">服務世代組合 Hopper</t>
  </si>
  <si>
    <r>
      <rPr>
        <sz val="11"/>
        <color theme="1"/>
        <rFont val="Arial"/>
        <family val="0"/>
        <charset val="1"/>
      </rPr>
      <t xml:space="preserve">Alloc_In!C9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Alloc_In!C10</t>
    </r>
  </si>
  <si>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0.5</t>
    </r>
  </si>
  <si>
    <r>
      <rPr>
        <sz val="11"/>
        <color theme="1"/>
        <rFont val="Arial"/>
        <family val="0"/>
        <charset val="1"/>
      </rPr>
      <t xml:space="preserve">0.7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0.3</t>
    </r>
  </si>
  <si>
    <t xml:space="preserve">無區間；chat 端暫設 0.5–0.7，不算彈性</t>
  </si>
  <si>
    <t xml:space="preserve">推論支出 SRC_DEM_004</t>
  </si>
  <si>
    <t xml:space="preserve">查核營業成本 7.5～投資人文件 8.8</t>
  </si>
  <si>
    <t xml:space="preserve">快取命中 χ</t>
  </si>
  <si>
    <r>
      <rPr>
        <sz val="11"/>
        <color theme="1"/>
        <rFont val="Arial"/>
        <family val="0"/>
        <charset val="1"/>
      </rPr>
      <t xml:space="preserve">Sol 2025 </t>
    </r>
    <r>
      <rPr>
        <sz val="11"/>
        <color theme="1"/>
        <rFont val="Noto Sans CJK SC"/>
        <family val="2"/>
      </rPr>
      <t xml:space="preserve">單價</t>
    </r>
  </si>
  <si>
    <t xml:space="preserve">免費占 ChatGPT token</t>
  </si>
  <si>
    <t xml:space="preserve">WACC</t>
  </si>
  <si>
    <t xml:space="preserve">η_p</t>
  </si>
  <si>
    <t xml:space="preserve">每則提示 token τ</t>
  </si>
  <si>
    <r>
      <rPr>
        <sz val="11"/>
        <color theme="1"/>
        <rFont val="Arial"/>
        <family val="0"/>
        <charset val="1"/>
      </rPr>
      <t xml:space="preserve">Hopper η_d </t>
    </r>
    <r>
      <rPr>
        <sz val="11"/>
        <color theme="1"/>
        <rFont val="Noto Sans CJK SC"/>
        <family val="2"/>
      </rPr>
      <t xml:space="preserve">倍數</t>
    </r>
  </si>
  <si>
    <t xml:space="preserve">基準利用率 IF_Util</t>
  </si>
  <si>
    <t xml:space="preserve">點估計不變（IF_Util 約掉）；低端 0.4 時 Tokenomics 的物理下限（上限讀法）0.509 高於點估計而綁定（m＝MAX(點估計, 下限)）</t>
  </si>
  <si>
    <t xml:space="preserve">付費層級組合</t>
  </si>
  <si>
    <r>
      <rPr>
        <sz val="11"/>
        <color theme="1"/>
        <rFont val="Arial"/>
        <family val="0"/>
        <charset val="1"/>
      </rPr>
      <t xml:space="preserve">Cap_In!C31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Cap_In!D31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Cap_In!E31</t>
    </r>
  </si>
  <si>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0.1</t>
    </r>
  </si>
  <si>
    <r>
      <rPr>
        <sz val="11"/>
        <color theme="1"/>
        <rFont val="Arial"/>
        <family val="0"/>
        <charset val="1"/>
      </rPr>
      <t xml:space="preserve">0.3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0.2</t>
    </r>
  </si>
  <si>
    <t xml:space="preserve">無正式區間；暫設，不算彈性</t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</si>
  <si>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每層延遲倍數</t>
    </r>
  </si>
  <si>
    <r>
      <rPr>
        <sz val="11"/>
        <color theme="1"/>
        <rFont val="Arial"/>
        <family val="0"/>
        <charset val="1"/>
      </rPr>
      <t xml:space="preserve">Luna 2025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</si>
  <si>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機架單價</t>
    </r>
  </si>
  <si>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機架單價</t>
    </r>
  </si>
  <si>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全年平均比</t>
    </r>
  </si>
  <si>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批次 </t>
    </r>
    <r>
      <rPr>
        <sz val="11"/>
        <color theme="1"/>
        <rFont val="Arial"/>
        <family val="0"/>
        <charset val="1"/>
      </rPr>
      <t xml:space="preserve">η_d</t>
    </r>
    <r>
      <rPr>
        <sz val="11"/>
        <color theme="1"/>
        <rFont val="Noto Sans CJK SC"/>
        <family val="2"/>
      </rPr>
      <t xml:space="preserve">（不進機隊）</t>
    </r>
  </si>
  <si>
    <t xml:space="preserve">Calib!D156</t>
  </si>
  <si>
    <t xml:space="preserve">批次口徑不進機隊產能</t>
  </si>
  <si>
    <t xml:space="preserve">最不確定、可以「搜尋」解決的假設（公開資料或付費報導）</t>
  </si>
  <si>
    <t xml:space="preserve">排序依據：對 m 的擺動 × 證據強度。分工：C＝chat 端可在公開網路找到；A線上＝Andy 在付費牆或需登入的來源找。擺動與承重度連結 6_敏感度。</t>
  </si>
  <si>
    <t xml:space="preserve">優先</t>
  </si>
  <si>
    <t xml:space="preserve">假設</t>
  </si>
  <si>
    <t xml:space="preserve">現值（區間）</t>
  </si>
  <si>
    <t xml:space="preserve">為什麼不確定</t>
  </si>
  <si>
    <t xml:space="preserve">要找的證據（找到就能定案的口徑）</t>
  </si>
  <si>
    <t xml:space="preserve">可能來源與管道</t>
  </si>
  <si>
    <t xml:space="preserve">本串已做過的搜尋</t>
  </si>
  <si>
    <t xml:space="preserve">找到後要改的格</t>
  </si>
  <si>
    <t xml:space="preserve">分工</t>
  </si>
  <si>
    <t xml:space="preserve">請求形狀 κ 與實際流量形狀（含參考 ISL／OSL、快取命中）</t>
  </si>
  <si>
    <r>
      <rPr>
        <sz val="10"/>
        <color rgb="FF000000"/>
        <rFont val="Arial"/>
        <family val="0"/>
        <charset val="1"/>
      </rPr>
      <t xml:space="preserve">κ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Sol ISL 16,384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2,048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χ 0.55</t>
    </r>
  </si>
  <si>
    <t xml:space="preserve">擺動前五中的第一名。κ 由各類流量的 ISL／OSL／快取命中與 token 占比決定；API 與 ChatGPT 的 token 占比、agent 型流量比重都沒有一手數字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</si>
  <si>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占比；各類請求平均輸入／輸出長度與快取命中率</t>
    </r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</si>
  <si>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》與週報（代理值）；</t>
    </r>
    <r>
      <rPr>
        <sz val="10"/>
        <color rgb="FF000000"/>
        <rFont val="Arial"/>
        <family val="0"/>
        <charset val="1"/>
      </rPr>
      <t xml:space="preserve">OpenAI DevDay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Economic Index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NBER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</t>
    </r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</si>
  <si>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prompt 1.5K→6K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completion 150→400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快取約 </t>
    </r>
    <r>
      <rPr>
        <sz val="10"/>
        <color rgb="FF000000"/>
        <rFont val="Arial"/>
        <family val="0"/>
        <charset val="1"/>
      </rPr>
      <t xml:space="preserve">88%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長度：已搜尋，未找到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</si>
  <si>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（另有結構題：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與單價須同一流量形狀）</t>
    </r>
  </si>
  <si>
    <t xml:space="preserve">計價倍數（推論支出 ÷ 持有成本）</t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</si>
  <si>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</si>
  <si>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的實際計價（牌價、折扣或成本加成）未公開；現值由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出租毛利 </t>
    </r>
    <r>
      <rPr>
        <sz val="10"/>
        <color rgb="FF000000"/>
        <rFont val="Arial"/>
        <family val="0"/>
        <charset val="1"/>
      </rPr>
      <t xml:space="preserve">14% </t>
    </r>
    <r>
      <rPr>
        <sz val="10"/>
        <color rgb="FF000000"/>
        <rFont val="Noto Sans CJK SC"/>
        <family val="2"/>
      </rPr>
      <t xml:space="preserve">與經濟／會計成本比推得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</si>
  <si>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時價或折扣、</t>
    </r>
    <r>
      <rPr>
        <sz val="10"/>
        <color rgb="FF000000"/>
        <rFont val="Arial"/>
        <family val="0"/>
        <charset val="1"/>
      </rPr>
      <t xml:space="preserve">Azure AI </t>
    </r>
    <r>
      <rPr>
        <sz val="10"/>
        <color rgb="FF000000"/>
        <rFont val="Noto Sans CJK SC"/>
        <family val="2"/>
      </rPr>
      <t xml:space="preserve">毛利；</t>
    </r>
    <r>
      <rPr>
        <sz val="10"/>
        <color rgb="FF000000"/>
        <rFont val="Arial"/>
        <family val="0"/>
        <charset val="1"/>
      </rPr>
      <t xml:space="preserve">OpenAI–Oracle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OpenAI–CoreWeave </t>
    </r>
    <r>
      <rPr>
        <sz val="10"/>
        <color rgb="FF000000"/>
        <rFont val="Noto Sans CJK SC"/>
        <family val="2"/>
      </rPr>
      <t xml:space="preserve">合約的每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年單價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</si>
  <si>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（付費）；</t>
    </r>
    <r>
      <rPr>
        <sz val="10"/>
        <color rgb="FF000000"/>
        <rFont val="Arial"/>
        <family val="0"/>
        <charset val="1"/>
      </rPr>
      <t xml:space="preserve">Microsoft 10-K</t>
    </r>
    <r>
      <rPr>
        <sz val="10"/>
        <color rgb="FF000000"/>
        <rFont val="Noto Sans CJK SC"/>
        <family val="2"/>
      </rPr>
      <t xml:space="preserve">／法說會（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毛利）；</t>
    </r>
    <r>
      <rPr>
        <sz val="10"/>
        <color rgb="FF000000"/>
        <rFont val="Arial"/>
        <family val="0"/>
        <charset val="1"/>
      </rPr>
      <t xml:space="preserve">Oracle RPO </t>
    </r>
    <r>
      <rPr>
        <sz val="10"/>
        <color rgb="FF000000"/>
        <rFont val="Noto Sans CJK SC"/>
        <family val="2"/>
      </rPr>
      <t xml:space="preserve">揭露；</t>
    </r>
    <r>
      <rPr>
        <sz val="10"/>
        <color rgb="FF000000"/>
        <rFont val="Arial"/>
        <family val="0"/>
        <charset val="1"/>
      </rPr>
      <t xml:space="preserve">CoreWeave 10-K</t>
    </r>
  </si>
  <si>
    <t xml:space="preserve">只找到 Zitron 文件與 The Register 轉述；計價條款在付費報導</t>
  </si>
  <si>
    <t xml:space="preserve">Alloc_In C23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</si>
  <si>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</si>
  <si>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</si>
  <si>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）</t>
    </r>
  </si>
  <si>
    <t xml:space="preserve">頂層模型參數從未揭露</t>
  </si>
  <si>
    <t xml:space="preserve">第三方對 GPT-5／GPT-6 級頂層模型啟用參數的估計，或延遲／價格反推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</si>
  <si>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；學術估計；推理速度反推</t>
    </r>
  </si>
  <si>
    <r>
      <rPr>
        <sz val="10"/>
        <color rgb="FF000000"/>
        <rFont val="Arial"/>
        <family val="0"/>
        <charset val="1"/>
      </rPr>
      <t xml:space="preserve">Epoch 1.0e27 FLOP</t>
    </r>
    <r>
      <rPr>
        <sz val="10"/>
        <color rgb="FF000000"/>
        <rFont val="Noto Sans CJK SC"/>
        <family val="2"/>
      </rPr>
      <t xml:space="preserve">（叢集總算力上限）；啟用參數：只有第三方估計</t>
    </r>
  </si>
  <si>
    <r>
      <rPr>
        <sz val="10"/>
        <color rgb="FF000000"/>
        <rFont val="Arial"/>
        <family val="0"/>
        <charset val="1"/>
      </rPr>
      <t xml:space="preserve">Arch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Astra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</si>
  <si>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（專家意見）</t>
    </r>
  </si>
  <si>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單價（用量加權）</t>
    </r>
  </si>
  <si>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3.3–5.9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</si>
  <si>
    <t xml:space="preserve">各模型 token 占比完全未公開；目前以 Azure 季別支出當量指數、再假設 GPT-5 後推理占比 ×2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</si>
  <si>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GPT-5 thinking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4o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或訊息占比，按月或按季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</si>
  <si>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（付費；後者不可單獨使用）；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模型排行歷史（代理值）；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官方部落格與 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數字</t>
    </r>
  </si>
  <si>
    <r>
      <rPr>
        <sz val="10"/>
        <color rgb="FF000000"/>
        <rFont val="Arial"/>
        <family val="0"/>
        <charset val="1"/>
      </rPr>
      <t xml:space="preserve">Altman 2025-08 </t>
    </r>
    <r>
      <rPr>
        <sz val="10"/>
        <color rgb="FF000000"/>
        <rFont val="Noto Sans CJK SC"/>
        <family val="2"/>
      </rPr>
      <t xml:space="preserve">推理模型日用比例（用戶比例，非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推理模型占比年初≈</t>
    </r>
    <r>
      <rPr>
        <sz val="10"/>
        <color rgb="FF000000"/>
        <rFont val="Arial"/>
        <family val="0"/>
        <charset val="1"/>
      </rPr>
      <t xml:space="preserve">0→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&gt;50%</t>
    </r>
    <r>
      <rPr>
        <sz val="10"/>
        <color rgb="FF000000"/>
        <rFont val="Noto Sans CJK SC"/>
        <family val="2"/>
      </rPr>
      <t xml:space="preserve">；各模型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占比：已搜尋，未找到</t>
    </r>
  </si>
  <si>
    <r>
      <rPr>
        <sz val="10"/>
        <color rgb="FF000000"/>
        <rFont val="Arial"/>
        <family val="0"/>
        <charset val="1"/>
      </rPr>
      <t xml:space="preserve">Cap_In C280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E280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</si>
  <si>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線上＋</t>
    </r>
    <r>
      <rPr>
        <sz val="10"/>
        <color rgb="FF000000"/>
        <rFont val="Arial"/>
        <family val="0"/>
        <charset val="1"/>
      </rPr>
      <t xml:space="preserve">C</t>
    </r>
  </si>
  <si>
    <r>
      <rPr>
        <sz val="10"/>
        <color rgb="FF000000"/>
        <rFont val="Arial"/>
        <family val="0"/>
        <charset val="1"/>
      </rPr>
      <t xml:space="preserve">Sol 2025 </t>
    </r>
    <r>
      <rPr>
        <sz val="10"/>
        <color rgb="FF000000"/>
        <rFont val="Noto Sans CJK SC"/>
        <family val="2"/>
      </rPr>
      <t xml:space="preserve">單價的加權</t>
    </r>
  </si>
  <si>
    <r>
      <rPr>
        <sz val="10"/>
        <color rgb="FF000000"/>
        <rFont val="Arial"/>
        <family val="0"/>
        <charset val="1"/>
      </rPr>
      <t xml:space="preserve">2.184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1.672–2.338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</si>
  <si>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1,460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</si>
  <si>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的比例</t>
    </r>
  </si>
  <si>
    <t xml:space="preserve">同第 1、3 項</t>
  </si>
  <si>
    <t xml:space="preserve">同第 1 項</t>
  </si>
  <si>
    <t xml:space="preserve">Cap_In C279</t>
  </si>
  <si>
    <t xml:space="preserve">推論支出的記帳口徑</t>
  </si>
  <si>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$B</t>
    </r>
  </si>
  <si>
    <t xml:space="preserve">營收分成記在營業成本或營收減項不明；免費推論是否在營業成本外不明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</si>
  <si>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營收分成的會計處理；營業成本組成；免費用戶推論的科目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</si>
  <si>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的招股文件；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對查核財報的後續報導；</t>
    </r>
    <r>
      <rPr>
        <sz val="10"/>
        <color rgb="FF000000"/>
        <rFont val="Arial"/>
        <family val="0"/>
        <charset val="1"/>
      </rPr>
      <t xml:space="preserve">Microsoft 10-K </t>
    </r>
    <r>
      <rPr>
        <sz val="10"/>
        <color rgb="FF000000"/>
        <rFont val="Noto Sans CJK SC"/>
        <family val="2"/>
      </rPr>
      <t xml:space="preserve">附註</t>
    </r>
  </si>
  <si>
    <t xml:space="preserve">查核財報分項（付 Microsoft 172 億）已取得；營收分成記帳位置：已搜尋，未找到</t>
  </si>
  <si>
    <r>
      <rPr>
        <sz val="10"/>
        <color rgb="FF000000"/>
        <rFont val="Arial"/>
        <family val="0"/>
        <charset val="1"/>
      </rPr>
      <t xml:space="preserve">SRC_Demand 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</si>
  <si>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</si>
  <si>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</si>
  <si>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吞吐被判為保守下界（獨立對照約實測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MLPerf closed </t>
    </r>
    <r>
      <rPr>
        <sz val="10"/>
        <color rgb="FF000000"/>
        <rFont val="Noto Sans CJK SC"/>
        <family val="2"/>
      </rPr>
      <t xml:space="preserve">組沒有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提交</t>
    </r>
  </si>
  <si>
    <t xml:space="preserve">同模型、同軟體的 H100／H200 對 GB200 decode 實測（中段互動性）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</si>
  <si>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下一輪；</t>
    </r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部落格；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（不可單獨使用）</t>
    </r>
  </si>
  <si>
    <r>
      <rPr>
        <sz val="10"/>
        <color rgb="FF000000"/>
        <rFont val="Arial"/>
        <family val="0"/>
        <charset val="1"/>
      </rPr>
      <t xml:space="preserve">MLPerf closed </t>
    </r>
    <r>
      <rPr>
        <sz val="10"/>
        <color rgb="FF000000"/>
        <rFont val="Noto Sans CJK SC"/>
        <family val="2"/>
      </rPr>
      <t xml:space="preserve">組確認無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DSR1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跨精度推算 </t>
    </r>
    <r>
      <rPr>
        <sz val="10"/>
        <color rgb="FF000000"/>
        <rFont val="Arial"/>
        <family val="0"/>
        <charset val="1"/>
      </rPr>
      <t xml:space="preserve">1.3–1.8</t>
    </r>
  </si>
  <si>
    <t xml:space="preserve">Calib C67</t>
  </si>
  <si>
    <t xml:space="preserve">每則提示 token τ 與免費占比</t>
  </si>
  <si>
    <r>
      <rPr>
        <sz val="10"/>
        <color rgb="FF000000"/>
        <rFont val="Arial"/>
        <family val="0"/>
        <charset val="1"/>
      </rPr>
      <t xml:space="preserve">τ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</si>
  <si>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口徑的免費占比與支出口徑 </t>
    </r>
    <r>
      <rPr>
        <sz val="10"/>
        <color rgb="FF000000"/>
        <rFont val="Arial"/>
        <family val="0"/>
        <charset val="1"/>
      </rPr>
      <t xml:space="preserve">46% </t>
    </r>
    <r>
      <rPr>
        <sz val="10"/>
        <color rgb="FF000000"/>
        <rFont val="Noto Sans CJK SC"/>
        <family val="2"/>
      </rPr>
      <t xml:space="preserve">混用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</si>
  <si>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每則對話的平均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（含推理）；免費用戶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</si>
  <si>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NBER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》（訊息數，無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官方；</t>
    </r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類比</t>
    </r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</si>
  <si>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每回合約 </t>
    </r>
    <r>
      <rPr>
        <sz val="10"/>
        <color rgb="FF000000"/>
        <rFont val="Arial"/>
        <family val="0"/>
        <charset val="1"/>
      </rPr>
      <t xml:space="preserve">296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441 </t>
    </r>
    <r>
      <rPr>
        <sz val="10"/>
        <color rgb="FF000000"/>
        <rFont val="Noto Sans CJK SC"/>
        <family val="2"/>
      </rPr>
      <t xml:space="preserve">出（類比）；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長度：已搜尋，未找到</t>
    </r>
  </si>
  <si>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</t>
    </r>
  </si>
  <si>
    <t xml:space="preserve">最不確定、需要「實地調研」的假設（業者訪談、供應鏈查核；公開資料找不到）</t>
  </si>
  <si>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線下調研。資料放 </t>
    </r>
    <r>
      <rPr>
        <sz val="9"/>
        <color rgb="FF555555"/>
        <rFont val="Arial"/>
        <family val="0"/>
        <charset val="1"/>
      </rPr>
      <t xml:space="preserve">Drive 02-</t>
    </r>
    <r>
      <rPr>
        <sz val="9"/>
        <color rgb="FF555555"/>
        <rFont val="Noto Sans CJK SC"/>
        <family val="2"/>
      </rPr>
      <t xml:space="preserve">算力收支</t>
    </r>
    <r>
      <rPr>
        <sz val="9"/>
        <color rgb="FF555555"/>
        <rFont val="Arial"/>
        <family val="0"/>
        <charset val="1"/>
      </rPr>
      <t xml:space="preserve">/Tokenomics/inbox/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端直接讀。</t>
    </r>
  </si>
  <si>
    <t xml:space="preserve">要問的問題（可直接用於訪談）</t>
  </si>
  <si>
    <t xml:space="preserve">訪談或查核對象</t>
  </si>
  <si>
    <t xml:space="preserve">實際利用率（純）</t>
  </si>
  <si>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0.30–0.65</t>
    </r>
    <r>
      <rPr>
        <sz val="10"/>
        <color rgb="FF000000"/>
        <rFont val="Noto Sans CJK SC"/>
        <family val="2"/>
      </rPr>
      <t xml:space="preserve">）</t>
    </r>
  </si>
  <si>
    <t xml:space="preserve">沒有任何實驗室公開「token 吞吐 ÷ 容量」實測；上端只有 DeepSeek 2025-02 單一模型代理值</t>
  </si>
  <si>
    <t xml:space="preserve">大型推論叢集的平均 GPU 利用率（以 token 吞吐 ÷ 理論容量計，不是 GPU busy%）？日夜與尖離峰差多少？多模型部署時下降多少？</t>
  </si>
  <si>
    <t xml:space="preserve">雲端或 neocloud 營運人員（CoreWeave、Nebius、Azure、Oracle）；推論平台（Fireworks、Together、Baseten）；台灣雲端業者</t>
  </si>
  <si>
    <t xml:space="preserve">Alloc_In C24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</si>
  <si>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線下</t>
    </r>
  </si>
  <si>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占比與企業折扣</t>
    </r>
  </si>
  <si>
    <t xml:space="preserve">有效折扣 0.2（0.1–0.4）</t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</si>
  <si>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半價是公開牌價，但占比與企業議價找不到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</si>
  <si>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用量中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的占比？大型企業合約相對牌價的平均折扣？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</si>
  <si>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大客戶（企業、新創）；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業務；雲端市集</t>
    </r>
  </si>
  <si>
    <t xml:space="preserve">Cap_In C12</t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</si>
  <si>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0.70–1.00</t>
    </r>
    <r>
      <rPr>
        <sz val="10"/>
        <color rgb="FF000000"/>
        <rFont val="Noto Sans CJK SC"/>
        <family val="2"/>
      </rPr>
      <t xml:space="preserve">）</t>
    </r>
  </si>
  <si>
    <t xml:space="preserve">情境值，非估計值；只有訓練端的公開可靠度論文可類比</t>
  </si>
  <si>
    <t xml:space="preserve">推論叢集為了守住 SLO 預留多少容量？節點故障、重啟、升級造成的產能損失約多少？</t>
  </si>
  <si>
    <t xml:space="preserve">雲端 SRE／推論平台營運；GPU 雲業者</t>
  </si>
  <si>
    <t xml:space="preserve">Serving C28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</si>
  <si>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</si>
  <si>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（暫設 </t>
    </r>
    <r>
      <rPr>
        <sz val="10"/>
        <color rgb="FF000000"/>
        <rFont val="Arial"/>
        <family val="0"/>
        <charset val="1"/>
      </rPr>
      <t xml:space="preserve">0.5–0.7</t>
    </r>
    <r>
      <rPr>
        <sz val="10"/>
        <color rgb="FF000000"/>
        <rFont val="Noto Sans CJK SC"/>
        <family val="2"/>
      </rPr>
      <t xml:space="preserve">）</t>
    </r>
  </si>
  <si>
    <t xml:space="preserve">無公開數字；GB200 在 2025 年各季的上線量與 OpenAI 分到的比例都不明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</si>
  <si>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Oracle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部署的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機櫃在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年各季的出貨與上線數？同期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機隊規模？</t>
    </r>
  </si>
  <si>
    <t xml:space="preserve">台灣 ODM／機櫃供應鏈（廣達、緯穎、鴻海）；機房業者；SemiAnalysis 付費報告（不可單獨使用）</t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</si>
  <si>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</si>
  <si>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線下＋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</t>
    </r>
  </si>
  <si>
    <t xml:space="preserve">機架價格（GB200 NVL72、H100）</t>
  </si>
  <si>
    <r>
      <rPr>
        <sz val="10"/>
        <color rgb="FF000000"/>
        <rFont val="Arial"/>
        <family val="0"/>
        <charset val="1"/>
      </rPr>
      <t xml:space="preserve">H100 1.1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0.9–1.3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2.8–3.4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（擺動欄為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</si>
  <si>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t xml:space="preserve">產業報導與 ODM 報價差異大；直接決定每 GW 持有成本（m 對持有成本彈性 +1）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</si>
  <si>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整櫃成交價（含 </t>
    </r>
    <r>
      <rPr>
        <sz val="10"/>
        <color rgb="FF000000"/>
        <rFont val="Arial"/>
        <family val="0"/>
        <charset val="1"/>
      </rPr>
      <t xml:space="preserve">NVLink</t>
    </r>
    <r>
      <rPr>
        <sz val="10"/>
        <color rgb="FF000000"/>
        <rFont val="Noto Sans CJK SC"/>
        <family val="2"/>
      </rPr>
      <t xml:space="preserve">、液冷）？大客戶折扣？</t>
    </r>
  </si>
  <si>
    <r>
      <rPr>
        <sz val="10"/>
        <color rgb="FF000000"/>
        <rFont val="Arial"/>
        <family val="0"/>
        <charset val="1"/>
      </rPr>
      <t xml:space="preserve">ODM</t>
    </r>
    <r>
      <rPr>
        <sz val="10"/>
        <color rgb="FF000000"/>
        <rFont val="Noto Sans CJK SC"/>
        <family val="2"/>
      </rPr>
      <t xml:space="preserve">、通路與系統整合商；伺服器採購人員</t>
    </r>
  </si>
  <si>
    <r>
      <rPr>
        <sz val="10"/>
        <color rgb="FF000000"/>
        <rFont val="Arial"/>
        <family val="0"/>
        <charset val="1"/>
      </rPr>
      <t xml:space="preserve">Spec_Rack C12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</si>
  <si>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效率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</si>
  <si>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）</t>
    </r>
  </si>
  <si>
    <t xml:space="preserve">模型 Hopper 吞吐約為獨立實測的 0.26–0.27 倍（保守下界）</t>
  </si>
  <si>
    <t xml:space="preserve">同一模型在 H100／H200 與 GB200 上，生產環境的 decode tok/s/GPU 比？</t>
  </si>
  <si>
    <t xml:space="preserve">推論平台工程師；雲端效能團隊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</si>
</sst>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#,##0.00"/>
    <numFmt numFmtId="167" formatCode="#,##0"/>
    <numFmt numFmtId="168" formatCode="0.000"/>
    <numFmt numFmtId="169" formatCode="0.0000%"/>
    <numFmt numFmtId="170" formatCode="0%"/>
    <numFmt numFmtId="171" formatCode="0.00"/>
    <numFmt numFmtId="172" formatCode="0.000%"/>
    <numFmt numFmtId="173" formatCode="#,##0.000"/>
    <numFmt numFmtId="174" formatCode="0.000E+00"/>
    <numFmt numFmtId="175" formatCode="0.0%"/>
    <numFmt numFmtId="176" formatCode="#,##0.0000"/>
    <numFmt numFmtId="177" formatCode="#,##0.000###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  <charset val="1"/>
    </font>
    <font>
      <sz val="10"/>
      <color rgb="FF000000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color rgb="FF000000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0"/>
      <color rgb="FF00000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sz val="9"/>
      <color rgb="FF555555"/>
      <name val="Arial"/>
      <family val="0"/>
      <charset val="1"/>
    </font>
    <font>
      <sz val="9"/>
      <color rgb="FF555555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  <charset val="1"/>
    </font>
    <font>
      <b val="true"/>
      <sz val="15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3"/>
      <name val="Noto Sans CJK SC"/>
      <family val="2"/>
      <charset val="1"/>
    </font>
    <font>
      <b val="true"/>
      <sz val="10"/>
      <color rgb="FFFFFF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70AD4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/>
      <c r="B1" s="3" t="s">
        <v>0</v>
      </c>
    </row>
    <row r="2" customFormat="false" ht="15" hidden="false" customHeight="true" outlineLevel="0" collapsed="false">
      <c r="A2" s="2"/>
      <c r="B2" s="4" t="s">
        <v>1</v>
      </c>
    </row>
    <row r="3" customFormat="false" ht="15" hidden="false" customHeight="true" outlineLevel="0" collapsed="false">
      <c r="A3" s="2"/>
      <c r="B3" s="5"/>
    </row>
    <row r="4" customFormat="false" ht="15" hidden="false" customHeight="true" outlineLevel="0" collapsed="false">
      <c r="A4" s="2"/>
      <c r="B4" s="6" t="s">
        <v>2</v>
      </c>
    </row>
    <row r="5" customFormat="false" ht="15" hidden="false" customHeight="true" outlineLevel="0" collapsed="false">
      <c r="A5" s="2"/>
      <c r="B5" s="5" t="s">
        <v>3</v>
      </c>
    </row>
    <row r="6" customFormat="false" ht="15" hidden="false" customHeight="true" outlineLevel="0" collapsed="false">
      <c r="B6" s="7" t="s">
        <v>4</v>
      </c>
    </row>
    <row r="7" customFormat="false" ht="15" hidden="false" customHeight="true" outlineLevel="0" collapsed="false">
      <c r="A7" s="2"/>
      <c r="B7" s="5" t="s">
        <v>5</v>
      </c>
    </row>
    <row r="8" customFormat="false" ht="15" hidden="false" customHeight="true" outlineLevel="0" collapsed="false">
      <c r="A8" s="2"/>
      <c r="B8" s="5" t="s">
        <v>6</v>
      </c>
    </row>
    <row r="9" customFormat="false" ht="15" hidden="false" customHeight="true" outlineLevel="0" collapsed="false">
      <c r="A9" s="2"/>
      <c r="B9" s="5" t="s">
        <v>7</v>
      </c>
    </row>
    <row r="10" customFormat="false" ht="15" hidden="false" customHeight="true" outlineLevel="0" collapsed="false">
      <c r="A10" s="2"/>
      <c r="B10" s="5" t="s">
        <v>8</v>
      </c>
    </row>
    <row r="11" customFormat="false" ht="15" hidden="false" customHeight="true" outlineLevel="0" collapsed="false">
      <c r="A11" s="2"/>
      <c r="B11" s="5" t="s">
        <v>9</v>
      </c>
    </row>
    <row r="12" customFormat="false" ht="15" hidden="false" customHeight="true" outlineLevel="0" collapsed="false">
      <c r="A12" s="2"/>
      <c r="B12" s="5" t="s">
        <v>10</v>
      </c>
    </row>
    <row r="13" customFormat="false" ht="15" hidden="false" customHeight="true" outlineLevel="0" collapsed="false">
      <c r="A13" s="2"/>
      <c r="B13" s="5" t="s">
        <v>11</v>
      </c>
    </row>
    <row r="14" customFormat="false" ht="15" hidden="false" customHeight="true" outlineLevel="0" collapsed="false">
      <c r="A14" s="2"/>
      <c r="B14" s="5"/>
    </row>
    <row r="15" customFormat="false" ht="15" hidden="false" customHeight="true" outlineLevel="0" collapsed="false">
      <c r="A15" s="2"/>
      <c r="B15" s="6" t="s">
        <v>12</v>
      </c>
    </row>
    <row r="16" customFormat="false" ht="15" hidden="false" customHeight="true" outlineLevel="0" collapsed="false">
      <c r="A16" s="2"/>
      <c r="B16" s="8" t="s">
        <v>13</v>
      </c>
    </row>
    <row r="17" customFormat="false" ht="15" hidden="false" customHeight="true" outlineLevel="0" collapsed="false">
      <c r="A17" s="2"/>
      <c r="B17" s="5"/>
    </row>
    <row r="18" customFormat="false" ht="15" hidden="false" customHeight="true" outlineLevel="0" collapsed="false">
      <c r="A18" s="2"/>
      <c r="B18" s="6" t="s">
        <v>14</v>
      </c>
    </row>
    <row r="19" customFormat="false" ht="29.25" hidden="false" customHeight="true" outlineLevel="0" collapsed="false">
      <c r="A19" s="2"/>
      <c r="B19" s="5" t="s">
        <v>15</v>
      </c>
    </row>
    <row r="20" customFormat="false" ht="29.25" hidden="false" customHeight="true" outlineLevel="0" collapsed="false">
      <c r="A20" s="2"/>
      <c r="B20" s="5" t="s">
        <v>16</v>
      </c>
    </row>
    <row r="21" customFormat="false" ht="15" hidden="false" customHeight="true" outlineLevel="0" collapsed="false">
      <c r="A21" s="2"/>
      <c r="B21" s="5" t="s">
        <v>17</v>
      </c>
    </row>
    <row r="22" customFormat="false" ht="15" hidden="false" customHeight="true" outlineLevel="0" collapsed="false">
      <c r="A22" s="2"/>
      <c r="B22" s="5" t="s">
        <v>18</v>
      </c>
    </row>
    <row r="23" customFormat="false" ht="15" hidden="false" customHeight="true" outlineLevel="0" collapsed="false">
      <c r="A23" s="2"/>
      <c r="B23" s="5" t="s">
        <v>19</v>
      </c>
    </row>
    <row r="25" customFormat="false" ht="15" hidden="false" customHeight="false" outlineLevel="0" collapsed="false">
      <c r="B25" s="9" t="s">
        <v>20</v>
      </c>
    </row>
    <row r="26" customFormat="false" ht="17.15" hidden="false" customHeight="false" outlineLevel="0" collapsed="false">
      <c r="B26" s="1" t="s">
        <v>21</v>
      </c>
    </row>
    <row r="27" customFormat="false" ht="17.15" hidden="false" customHeight="false" outlineLevel="0" collapsed="false">
      <c r="B27" s="1" t="s">
        <v>22</v>
      </c>
    </row>
    <row r="28" customFormat="false" ht="17.15" hidden="false" customHeight="false" outlineLevel="0" collapsed="false">
      <c r="B28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70"/>
  </cols>
  <sheetData>
    <row r="1" customFormat="false" ht="22.5" hidden="false" customHeight="true" outlineLevel="0" collapsed="false">
      <c r="A1" s="2"/>
      <c r="B1" s="11" t="s">
        <v>24</v>
      </c>
      <c r="C1" s="2"/>
      <c r="D1" s="2"/>
      <c r="E1" s="2"/>
    </row>
    <row r="2" customFormat="false" ht="15" hidden="false" customHeight="true" outlineLevel="0" collapsed="false">
      <c r="A2" s="2"/>
      <c r="B2" s="12" t="s">
        <v>25</v>
      </c>
      <c r="C2" s="2"/>
      <c r="D2" s="2"/>
      <c r="E2" s="2"/>
    </row>
    <row r="3" customFormat="false" ht="15" hidden="false" customHeight="true" outlineLevel="0" collapsed="false">
      <c r="A3" s="2"/>
      <c r="B3" s="2"/>
      <c r="C3" s="2"/>
      <c r="D3" s="2"/>
      <c r="E3" s="2"/>
    </row>
    <row r="4" customFormat="false" ht="15" hidden="false" customHeight="true" outlineLevel="0" collapsed="false">
      <c r="A4" s="2"/>
      <c r="B4" s="13" t="s">
        <v>26</v>
      </c>
      <c r="C4" s="2"/>
      <c r="D4" s="2"/>
      <c r="E4" s="2"/>
    </row>
    <row r="5" customFormat="false" ht="48" hidden="false" customHeight="true" outlineLevel="0" collapsed="false">
      <c r="A5" s="2"/>
      <c r="B5" s="14" t="s">
        <v>27</v>
      </c>
      <c r="C5" s="14"/>
      <c r="D5" s="14"/>
      <c r="E5" s="14"/>
    </row>
    <row r="6" customFormat="false" ht="15" hidden="false" customHeight="true" outlineLevel="0" collapsed="false">
      <c r="A6" s="2"/>
      <c r="B6" s="2"/>
      <c r="C6" s="2"/>
      <c r="D6" s="2"/>
      <c r="E6" s="2"/>
    </row>
    <row r="7" customFormat="false" ht="15" hidden="false" customHeight="true" outlineLevel="0" collapsed="false">
      <c r="A7" s="15"/>
      <c r="B7" s="16" t="s">
        <v>28</v>
      </c>
      <c r="C7" s="16" t="s">
        <v>29</v>
      </c>
      <c r="D7" s="16" t="s">
        <v>30</v>
      </c>
      <c r="E7" s="16" t="s">
        <v>31</v>
      </c>
    </row>
    <row r="8" customFormat="false" ht="15" hidden="false" customHeight="true" outlineLevel="0" collapsed="false">
      <c r="A8" s="2"/>
      <c r="B8" s="17" t="s">
        <v>32</v>
      </c>
      <c r="C8" s="18" t="n">
        <f aca="false">3_m重算!D28</f>
        <v>0.460003106109943</v>
      </c>
      <c r="D8" s="19" t="s">
        <v>33</v>
      </c>
      <c r="E8" s="20" t="s">
        <v>34</v>
      </c>
    </row>
    <row r="9" customFormat="false" ht="15" hidden="false" customHeight="true" outlineLevel="0" collapsed="false">
      <c r="A9" s="2"/>
      <c r="B9" s="21" t="s">
        <v>35</v>
      </c>
      <c r="C9" s="22" t="n">
        <f aca="false">IN_Rev</f>
        <v>13.07</v>
      </c>
      <c r="D9" s="23" t="s">
        <v>36</v>
      </c>
      <c r="E9" s="24" t="s">
        <v>37</v>
      </c>
    </row>
    <row r="10" customFormat="false" ht="15" hidden="false" customHeight="true" outlineLevel="0" collapsed="false">
      <c r="A10" s="2"/>
      <c r="B10" s="21" t="s">
        <v>38</v>
      </c>
      <c r="C10" s="25" t="n">
        <f aca="false">3_m重算!D27</f>
        <v>9614818738.22975</v>
      </c>
      <c r="D10" s="23" t="s">
        <v>39</v>
      </c>
      <c r="E10" s="4" t="s">
        <v>40</v>
      </c>
    </row>
    <row r="11" customFormat="false" ht="15" hidden="false" customHeight="true" outlineLevel="0" collapsed="false">
      <c r="A11" s="2"/>
      <c r="B11" s="21" t="s">
        <v>41</v>
      </c>
      <c r="C11" s="25" t="n">
        <f aca="false">3_m重算!D23</f>
        <v>20901638729.2214</v>
      </c>
      <c r="D11" s="23" t="s">
        <v>39</v>
      </c>
      <c r="E11" s="4" t="s">
        <v>42</v>
      </c>
    </row>
    <row r="12" customFormat="false" ht="15" hidden="false" customHeight="true" outlineLevel="0" collapsed="false">
      <c r="A12" s="2"/>
      <c r="B12" s="17" t="s">
        <v>43</v>
      </c>
      <c r="C12" s="18" t="n">
        <f aca="false">3_m重算!D26</f>
        <v>1.35936</v>
      </c>
      <c r="D12" s="19" t="s">
        <v>44</v>
      </c>
      <c r="E12" s="20" t="s">
        <v>45</v>
      </c>
    </row>
    <row r="13" customFormat="false" ht="15" hidden="false" customHeight="true" outlineLevel="0" collapsed="false">
      <c r="A13" s="2"/>
      <c r="B13" s="17" t="s">
        <v>46</v>
      </c>
      <c r="C13" s="18" t="n">
        <f aca="false">3_m重算!D21</f>
        <v>1.05658373061052</v>
      </c>
      <c r="D13" s="19" t="s">
        <v>47</v>
      </c>
      <c r="E13" s="20" t="s">
        <v>48</v>
      </c>
    </row>
    <row r="14" customFormat="false" ht="15" hidden="false" customHeight="true" outlineLevel="0" collapsed="false">
      <c r="A14" s="2"/>
      <c r="B14" s="21" t="s">
        <v>49</v>
      </c>
      <c r="C14" s="22" t="n">
        <f aca="false">IN_Spend</f>
        <v>8.4</v>
      </c>
      <c r="D14" s="23" t="s">
        <v>36</v>
      </c>
      <c r="E14" s="24" t="s">
        <v>50</v>
      </c>
    </row>
    <row r="15" customFormat="false" ht="15" hidden="false" customHeight="true" outlineLevel="0" collapsed="false">
      <c r="A15" s="2"/>
      <c r="B15" s="21" t="s">
        <v>51</v>
      </c>
      <c r="C15" s="26" t="n">
        <f aca="false">3_m重算!D19</f>
        <v>9.35311859805586</v>
      </c>
      <c r="D15" s="23" t="s">
        <v>52</v>
      </c>
      <c r="E15" s="4" t="s">
        <v>53</v>
      </c>
    </row>
    <row r="16" customFormat="false" ht="15" hidden="false" customHeight="true" outlineLevel="0" collapsed="false">
      <c r="A16" s="2"/>
      <c r="B16" s="21" t="s">
        <v>54</v>
      </c>
      <c r="C16" s="27" t="n">
        <f aca="false">3_m重算!D22</f>
        <v>0.580833333333333</v>
      </c>
      <c r="D16" s="23" t="s">
        <v>33</v>
      </c>
      <c r="E16" s="4" t="s">
        <v>55</v>
      </c>
    </row>
    <row r="17" customFormat="false" ht="15" hidden="false" customHeight="true" outlineLevel="0" collapsed="false">
      <c r="A17" s="2"/>
      <c r="B17" s="17" t="s">
        <v>56</v>
      </c>
      <c r="C17" s="18" t="n">
        <f aca="false">3_m重算!D17</f>
        <v>0.572519083969466</v>
      </c>
      <c r="D17" s="19" t="s">
        <v>33</v>
      </c>
      <c r="E17" s="28" t="s">
        <v>57</v>
      </c>
    </row>
    <row r="18" customFormat="false" ht="15" hidden="false" customHeight="true" outlineLevel="0" collapsed="false">
      <c r="A18" s="2"/>
      <c r="B18" s="17" t="s">
        <v>58</v>
      </c>
      <c r="C18" s="29" t="n">
        <f aca="false">3_m重算!D10</f>
        <v>39539922186.4258</v>
      </c>
      <c r="D18" s="19" t="s">
        <v>39</v>
      </c>
      <c r="E18" s="20" t="s">
        <v>59</v>
      </c>
    </row>
    <row r="19" customFormat="false" ht="15" hidden="false" customHeight="true" outlineLevel="0" collapsed="false">
      <c r="A19" s="2"/>
      <c r="B19" s="21" t="s">
        <v>60</v>
      </c>
      <c r="C19" s="25" t="n">
        <f aca="false">3_m重算!D11</f>
        <v>140654454096.474</v>
      </c>
      <c r="D19" s="23" t="s">
        <v>39</v>
      </c>
      <c r="E19" s="4" t="s">
        <v>61</v>
      </c>
    </row>
    <row r="20" customFormat="false" ht="26.25" hidden="false" customHeight="true" outlineLevel="0" collapsed="false">
      <c r="A20" s="2"/>
      <c r="B20" s="17" t="s">
        <v>62</v>
      </c>
      <c r="C20" s="29" t="n">
        <f aca="false">5_每GW產出!H67</f>
        <v>163715850475.953</v>
      </c>
      <c r="D20" s="19" t="s">
        <v>39</v>
      </c>
      <c r="E20" s="20" t="s">
        <v>63</v>
      </c>
    </row>
    <row r="21" customFormat="false" ht="15" hidden="false" customHeight="true" outlineLevel="0" collapsed="false">
      <c r="A21" s="2"/>
      <c r="B21" s="2"/>
      <c r="C21" s="2"/>
      <c r="D21" s="2"/>
      <c r="E21" s="2"/>
    </row>
    <row r="22" customFormat="false" ht="15" hidden="false" customHeight="true" outlineLevel="0" collapsed="false">
      <c r="A22" s="2"/>
      <c r="B22" s="13" t="s">
        <v>64</v>
      </c>
      <c r="C22" s="2"/>
      <c r="D22" s="2"/>
      <c r="E22" s="2"/>
    </row>
    <row r="23" customFormat="false" ht="15" hidden="false" customHeight="true" outlineLevel="0" collapsed="false">
      <c r="A23" s="2"/>
      <c r="B23" s="30" t="s">
        <v>65</v>
      </c>
      <c r="C23" s="30"/>
      <c r="D23" s="30"/>
      <c r="E23" s="30"/>
    </row>
    <row r="24" customFormat="false" ht="15" hidden="false" customHeight="true" outlineLevel="0" collapsed="false">
      <c r="A24" s="2"/>
      <c r="B24" s="31" t="s">
        <v>66</v>
      </c>
      <c r="C24" s="31"/>
      <c r="D24" s="31"/>
      <c r="E24" s="31"/>
    </row>
    <row r="25" customFormat="false" ht="16.5" hidden="false" customHeight="true" outlineLevel="0" collapsed="false">
      <c r="A25" s="2"/>
      <c r="B25" s="32" t="s">
        <v>67</v>
      </c>
      <c r="C25" s="33" t="n">
        <f aca="false">IN_Rev*3_m重算!D19*IN_SpendBasis*(1/(3_m重算!D10/IN_Util)+3_m重算!D17/(3_m重算!D11/IN_Util))/(IN_Spend*IN_Kappa*IN_UtilAct*IN_ProdDerate*3_m重算!D26)*1000000000</f>
        <v>0.460003106109943</v>
      </c>
      <c r="D25" s="2"/>
      <c r="E25" s="34" t="s">
        <v>68</v>
      </c>
    </row>
    <row r="26" customFormat="false" ht="15" hidden="false" customHeight="true" outlineLevel="0" collapsed="false">
      <c r="A26" s="2"/>
      <c r="B26" s="32" t="s">
        <v>69</v>
      </c>
      <c r="C26" s="35" t="n">
        <f aca="false">C25/C8-1</f>
        <v>0</v>
      </c>
      <c r="D26" s="2"/>
      <c r="E26" s="2"/>
    </row>
    <row r="27" customFormat="false" ht="15" hidden="false" customHeight="true" outlineLevel="0" collapsed="false">
      <c r="A27" s="2"/>
      <c r="B27" s="2"/>
      <c r="C27" s="2"/>
      <c r="D27" s="2"/>
      <c r="E27" s="2"/>
    </row>
    <row r="28" customFormat="false" ht="15" hidden="false" customHeight="true" outlineLevel="0" collapsed="false">
      <c r="A28" s="2"/>
      <c r="B28" s="13" t="s">
        <v>70</v>
      </c>
      <c r="C28" s="2"/>
      <c r="D28" s="2"/>
      <c r="E28" s="2"/>
    </row>
    <row r="29" customFormat="false" ht="15" hidden="false" customHeight="true" outlineLevel="0" collapsed="false">
      <c r="A29" s="2"/>
      <c r="B29" s="32" t="s">
        <v>71</v>
      </c>
      <c r="C29" s="2" t="s">
        <v>72</v>
      </c>
      <c r="D29" s="2"/>
      <c r="E29" s="2"/>
    </row>
    <row r="30" customFormat="false" ht="16.5" hidden="false" customHeight="true" outlineLevel="0" collapsed="false">
      <c r="A30" s="2"/>
      <c r="B30" s="32" t="s">
        <v>73</v>
      </c>
      <c r="C30" s="2" t="s">
        <v>74</v>
      </c>
      <c r="D30" s="2"/>
      <c r="E30" s="2"/>
    </row>
    <row r="31" customFormat="false" ht="16.5" hidden="false" customHeight="true" outlineLevel="0" collapsed="false">
      <c r="A31" s="2"/>
      <c r="B31" s="32" t="s">
        <v>75</v>
      </c>
      <c r="C31" s="2" t="s">
        <v>74</v>
      </c>
      <c r="D31" s="2"/>
      <c r="E31" s="2"/>
    </row>
    <row r="32" customFormat="false" ht="16.5" hidden="false" customHeight="true" outlineLevel="0" collapsed="false">
      <c r="A32" s="2"/>
      <c r="B32" s="2" t="s">
        <v>76</v>
      </c>
      <c r="C32" s="2" t="s">
        <v>77</v>
      </c>
      <c r="D32" s="2"/>
      <c r="E32" s="2"/>
    </row>
    <row r="33" customFormat="false" ht="16.5" hidden="false" customHeight="true" outlineLevel="0" collapsed="false">
      <c r="A33" s="2"/>
      <c r="B33" s="32" t="s">
        <v>78</v>
      </c>
      <c r="C33" s="32" t="s">
        <v>79</v>
      </c>
      <c r="D33" s="2"/>
      <c r="E33" s="2"/>
    </row>
    <row r="34" customFormat="false" ht="15" hidden="false" customHeight="true" outlineLevel="0" collapsed="false">
      <c r="A34" s="2"/>
      <c r="B34" s="2"/>
      <c r="C34" s="2"/>
      <c r="D34" s="2"/>
      <c r="E34" s="2"/>
    </row>
    <row r="35" customFormat="false" ht="15" hidden="false" customHeight="true" outlineLevel="0" collapsed="false">
      <c r="A35" s="2"/>
      <c r="B35" s="13" t="s">
        <v>80</v>
      </c>
      <c r="C35" s="2"/>
      <c r="D35" s="2"/>
      <c r="E35" s="2"/>
    </row>
    <row r="36" customFormat="false" ht="16.5" hidden="false" customHeight="true" outlineLevel="0" collapsed="false">
      <c r="A36" s="2"/>
      <c r="B36" s="2" t="s">
        <v>81</v>
      </c>
      <c r="C36" s="35" t="n">
        <f aca="false">3_m重算!H28</f>
        <v>0</v>
      </c>
      <c r="D36" s="2"/>
      <c r="E36" s="2"/>
    </row>
    <row r="37" customFormat="false" ht="16.5" hidden="false" customHeight="true" outlineLevel="0" collapsed="false">
      <c r="A37" s="2"/>
      <c r="B37" s="2" t="s">
        <v>82</v>
      </c>
      <c r="C37" s="35" t="n">
        <f aca="false">MAX(ABS(5_每GW產出!D69),ABS(5_每GW產出!E69),ABS(5_每GW產出!F69),ABS(5_每GW產出!G69),ABS(5_每GW產出!H69),ABS(5_每GW產出!I69))</f>
        <v>5.99520433297585E-015</v>
      </c>
      <c r="D37" s="2"/>
      <c r="E37" s="2"/>
    </row>
    <row r="38" customFormat="false" ht="16.5" hidden="false" customHeight="true" outlineLevel="0" collapsed="false">
      <c r="A38" s="2"/>
      <c r="B38" s="2" t="s">
        <v>83</v>
      </c>
      <c r="C38" s="35" t="n">
        <f aca="false">MAX(ABS(4_持有成本!D36),ABS(4_持有成本!E36))</f>
        <v>0</v>
      </c>
      <c r="D38" s="2"/>
      <c r="E38" s="2"/>
    </row>
    <row r="39" customFormat="false" ht="15" hidden="false" customHeight="true" outlineLevel="0" collapsed="false">
      <c r="A39" s="2"/>
      <c r="B39" s="2"/>
      <c r="C39" s="2"/>
      <c r="D39" s="2"/>
      <c r="E39" s="2"/>
    </row>
    <row r="40" customFormat="false" ht="15" hidden="false" customHeight="true" outlineLevel="0" collapsed="false">
      <c r="A40" s="2"/>
      <c r="B40" s="13" t="s">
        <v>84</v>
      </c>
      <c r="C40" s="2"/>
      <c r="D40" s="2"/>
      <c r="E40" s="2"/>
    </row>
    <row r="41" customFormat="false" ht="15" hidden="false" customHeight="true" outlineLevel="0" collapsed="false">
      <c r="A41" s="15"/>
      <c r="B41" s="16" t="s">
        <v>85</v>
      </c>
      <c r="C41" s="16" t="s">
        <v>86</v>
      </c>
      <c r="D41" s="16" t="s">
        <v>87</v>
      </c>
      <c r="E41" s="16" t="s">
        <v>88</v>
      </c>
    </row>
    <row r="42" customFormat="false" ht="16.5" hidden="false" customHeight="true" outlineLevel="0" collapsed="false">
      <c r="A42" s="2"/>
      <c r="B42" s="2" t="str">
        <f aca="false">6_敏感度!B8</f>
        <v>請求形狀 κ</v>
      </c>
      <c r="C42" s="36" t="n">
        <f aca="false">6_敏感度!I8</f>
        <v>0.705128205128204</v>
      </c>
      <c r="D42" s="37" t="n">
        <f aca="false">6_敏感度!H8</f>
        <v>-0.999999999999999</v>
      </c>
      <c r="E42" s="12" t="s">
        <v>89</v>
      </c>
    </row>
    <row r="43" customFormat="false" ht="15" hidden="false" customHeight="true" outlineLevel="0" collapsed="false">
      <c r="A43" s="2"/>
      <c r="B43" s="2" t="str">
        <f aca="false">6_敏感度!B9</f>
        <v>實際利用率</v>
      </c>
      <c r="C43" s="36" t="n">
        <f aca="false">6_敏感度!I9</f>
        <v>0.62939363522649</v>
      </c>
      <c r="D43" s="37" t="n">
        <f aca="false">6_敏感度!H9</f>
        <v>-0.798214884270891</v>
      </c>
      <c r="E43" s="12" t="s">
        <v>90</v>
      </c>
    </row>
    <row r="44" customFormat="false" ht="15" hidden="false" customHeight="true" outlineLevel="0" collapsed="false">
      <c r="A44" s="2"/>
      <c r="B44" s="2" t="str">
        <f aca="false">6_敏感度!B10</f>
        <v>計價倍數</v>
      </c>
      <c r="C44" s="36" t="n">
        <f aca="false">6_敏感度!I10</f>
        <v>0.517647058823527</v>
      </c>
      <c r="D44" s="37" t="n">
        <f aca="false">6_敏感度!H10</f>
        <v>0.999999999999996</v>
      </c>
      <c r="E44" s="12" t="s">
        <v>91</v>
      </c>
    </row>
    <row r="45" customFormat="false" ht="15" hidden="false" customHeight="true" outlineLevel="0" collapsed="false">
      <c r="A45" s="2"/>
      <c r="B45" s="2" t="str">
        <f aca="false">6_敏感度!B12</f>
        <v>有效折扣</v>
      </c>
      <c r="C45" s="36" t="n">
        <f aca="false">6_敏感度!I12</f>
        <v>0.444444444444443</v>
      </c>
      <c r="D45" s="37" t="n">
        <f aca="false">6_敏感度!H12</f>
        <v>0.292481250360578</v>
      </c>
      <c r="E45" s="12" t="s">
        <v>92</v>
      </c>
    </row>
    <row r="46" customFormat="false" ht="16.5" hidden="false" customHeight="true" outlineLevel="0" collapsed="false">
      <c r="A46" s="2"/>
      <c r="B46" s="2" t="str">
        <f aca="false">6_敏感度!B11</f>
        <v>Astra 啟用參數</v>
      </c>
      <c r="C46" s="36" t="n">
        <f aca="false">6_敏感度!I11</f>
        <v>0.443456920317768</v>
      </c>
      <c r="D46" s="37" t="n">
        <f aca="false">6_敏感度!H11</f>
        <v>0.343851240661688</v>
      </c>
      <c r="E46" s="12" t="s">
        <v>93</v>
      </c>
    </row>
    <row r="47" customFormat="false" ht="16.5" hidden="false" customHeight="true" outlineLevel="0" collapsed="false">
      <c r="A47" s="2"/>
      <c r="B47" s="2" t="str">
        <f aca="false">6_敏感度!B13</f>
        <v>Sol 參考 ISL</v>
      </c>
      <c r="C47" s="36" t="n">
        <f aca="false">6_敏感度!I13</f>
        <v>0.393896137169745</v>
      </c>
      <c r="D47" s="37" t="n">
        <f aca="false">6_敏感度!H13</f>
        <v>-0.187017619540166</v>
      </c>
      <c r="E47" s="12" t="s">
        <v>94</v>
      </c>
    </row>
    <row r="48" customFormat="false" ht="15" hidden="false" customHeight="true" outlineLevel="0" collapsed="false">
      <c r="A48" s="2"/>
      <c r="B48" s="2" t="str">
        <f aca="false">6_敏感度!B14</f>
        <v>生產折減</v>
      </c>
      <c r="C48" s="36" t="n">
        <f aca="false">6_敏感度!I14</f>
        <v>0.364285714285715</v>
      </c>
      <c r="D48" s="37" t="n">
        <f aca="false">6_敏感度!H14</f>
        <v>-1</v>
      </c>
      <c r="E48" s="12" t="s">
        <v>95</v>
      </c>
    </row>
    <row r="49" customFormat="false" ht="16.5" hidden="false" customHeight="true" outlineLevel="0" collapsed="false">
      <c r="A49" s="2"/>
      <c r="B49" s="2" t="str">
        <f aca="false">6_敏感度!B16</f>
        <v>服務世代組合 Hopper</v>
      </c>
      <c r="C49" s="36" t="n">
        <f aca="false">6_敏感度!I16</f>
        <v>0.33185559184186</v>
      </c>
      <c r="D49" s="37" t="str">
        <f aca="false">6_敏感度!H16</f>
        <v>—</v>
      </c>
      <c r="E49" s="12" t="s">
        <v>96</v>
      </c>
    </row>
  </sheetData>
  <mergeCells count="3">
    <mergeCell ref="B5:E5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6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3.1" hidden="false" customHeight="false" outlineLevel="0" collapsed="false">
      <c r="A1" s="38" t="s">
        <v>97</v>
      </c>
    </row>
    <row r="2" customFormat="false" ht="17.15" hidden="false" customHeight="false" outlineLevel="0" collapsed="false">
      <c r="A2" s="10" t="s">
        <v>98</v>
      </c>
    </row>
    <row r="3" customFormat="false" ht="17.15" hidden="false" customHeight="false" outlineLevel="0" collapsed="false">
      <c r="A3" s="1" t="s">
        <v>99</v>
      </c>
    </row>
    <row r="5" customFormat="false" ht="17.15" hidden="false" customHeight="false" outlineLevel="0" collapsed="false">
      <c r="A5" s="39" t="s">
        <v>100</v>
      </c>
      <c r="B5" s="40" t="s">
        <v>101</v>
      </c>
      <c r="C5" s="39" t="s">
        <v>29</v>
      </c>
      <c r="D5" s="39" t="s">
        <v>30</v>
      </c>
      <c r="E5" s="40" t="s">
        <v>102</v>
      </c>
      <c r="F5" s="39" t="s">
        <v>103</v>
      </c>
      <c r="G5" s="41" t="s">
        <v>104</v>
      </c>
      <c r="H5" s="42" t="s">
        <v>69</v>
      </c>
    </row>
    <row r="6" customFormat="false" ht="32.8" hidden="false" customHeight="false" outlineLevel="0" collapsed="false">
      <c r="A6" s="43" t="s">
        <v>105</v>
      </c>
      <c r="B6" s="44" t="s">
        <v>106</v>
      </c>
      <c r="C6" s="43"/>
      <c r="D6" s="43"/>
      <c r="E6" s="44"/>
      <c r="F6" s="43"/>
      <c r="G6" s="43"/>
      <c r="H6" s="43"/>
    </row>
    <row r="7" customFormat="false" ht="17.15" hidden="false" customHeight="false" outlineLevel="0" collapsed="false">
      <c r="A7" s="1"/>
      <c r="B7" s="45" t="s">
        <v>107</v>
      </c>
      <c r="C7" s="46" t="n">
        <f aca="false">IN_Rev</f>
        <v>13.07</v>
      </c>
      <c r="D7" s="1" t="s">
        <v>36</v>
      </c>
      <c r="E7" s="47" t="s">
        <v>108</v>
      </c>
      <c r="F7" s="1" t="s">
        <v>109</v>
      </c>
      <c r="G7" s="48" t="n">
        <v>13.07</v>
      </c>
      <c r="H7" s="49" t="n">
        <f aca="false">IF(G7=0,C7-G7,C7/G7-1)</f>
        <v>0</v>
      </c>
    </row>
    <row r="8" customFormat="false" ht="32.8" hidden="false" customHeight="false" outlineLevel="0" collapsed="false">
      <c r="A8" s="1"/>
      <c r="B8" s="45" t="s">
        <v>110</v>
      </c>
      <c r="C8" s="50" t="n">
        <f aca="false">3_m重算!D23/1000000</f>
        <v>20901.6387292214</v>
      </c>
      <c r="D8" s="10" t="s">
        <v>111</v>
      </c>
      <c r="E8" s="47" t="s">
        <v>112</v>
      </c>
      <c r="F8" s="1" t="s">
        <v>113</v>
      </c>
      <c r="G8" s="51" t="n">
        <v>20901.6387292215</v>
      </c>
      <c r="H8" s="49" t="n">
        <f aca="false">IF(G8=0,C8-G8,C8/G8-1)</f>
        <v>0</v>
      </c>
    </row>
    <row r="9" customFormat="false" ht="32.8" hidden="false" customHeight="false" outlineLevel="0" collapsed="false">
      <c r="A9" s="1"/>
      <c r="B9" s="45" t="s">
        <v>114</v>
      </c>
      <c r="C9" s="48" t="n">
        <f aca="false">C7*1000/C8</f>
        <v>0.625309822321613</v>
      </c>
      <c r="D9" s="1" t="s">
        <v>115</v>
      </c>
      <c r="E9" s="45" t="s">
        <v>116</v>
      </c>
      <c r="F9" s="1" t="s">
        <v>113</v>
      </c>
    </row>
    <row r="10" customFormat="false" ht="32.8" hidden="false" customHeight="false" outlineLevel="0" collapsed="false">
      <c r="A10" s="1"/>
      <c r="B10" s="45" t="s">
        <v>117</v>
      </c>
      <c r="C10" s="46" t="n">
        <f aca="false">3_m重算!D26</f>
        <v>1.35936</v>
      </c>
      <c r="D10" s="1" t="s">
        <v>115</v>
      </c>
      <c r="E10" s="45" t="s">
        <v>118</v>
      </c>
      <c r="F10" s="1" t="s">
        <v>113</v>
      </c>
      <c r="G10" s="48" t="n">
        <v>1.35936</v>
      </c>
      <c r="H10" s="49" t="n">
        <f aca="false">IF(G10=0,C10-G10,C10/G10-1)</f>
        <v>0</v>
      </c>
    </row>
    <row r="11" customFormat="false" ht="48.5" hidden="false" customHeight="false" outlineLevel="0" collapsed="false">
      <c r="A11" s="52"/>
      <c r="B11" s="53" t="s">
        <v>119</v>
      </c>
      <c r="C11" s="54" t="n">
        <f aca="false">C9/C10</f>
        <v>0.460003106109944</v>
      </c>
      <c r="D11" s="55" t="s">
        <v>120</v>
      </c>
      <c r="E11" s="56" t="s">
        <v>121</v>
      </c>
      <c r="F11" s="52" t="s">
        <v>113</v>
      </c>
      <c r="G11" s="57" t="n">
        <v>0.460003106109943</v>
      </c>
      <c r="H11" s="58" t="n">
        <f aca="false">IF(G11=0,C11-G11,C11/G11-1)</f>
        <v>0</v>
      </c>
    </row>
    <row r="13" customFormat="false" ht="32.8" hidden="false" customHeight="false" outlineLevel="0" collapsed="false">
      <c r="A13" s="43" t="s">
        <v>122</v>
      </c>
      <c r="B13" s="59" t="s">
        <v>123</v>
      </c>
      <c r="C13" s="43"/>
      <c r="D13" s="43"/>
      <c r="E13" s="44"/>
      <c r="F13" s="43"/>
      <c r="G13" s="43"/>
      <c r="H13" s="43"/>
    </row>
    <row r="14" customFormat="false" ht="32.8" hidden="false" customHeight="false" outlineLevel="0" collapsed="false">
      <c r="A14" s="1"/>
      <c r="B14" s="45" t="s">
        <v>124</v>
      </c>
      <c r="C14" s="50" t="n">
        <f aca="false">3_m重算!D16/1000000</f>
        <v>3825.2</v>
      </c>
      <c r="D14" s="10" t="s">
        <v>111</v>
      </c>
      <c r="E14" s="47" t="s">
        <v>125</v>
      </c>
      <c r="F14" s="1" t="s">
        <v>113</v>
      </c>
      <c r="G14" s="51" t="n">
        <v>3825.2</v>
      </c>
      <c r="H14" s="49" t="n">
        <f aca="false">IF(G14=0,C14-G14,C14/G14-1)</f>
        <v>0</v>
      </c>
    </row>
    <row r="15" customFormat="false" ht="32.8" hidden="false" customHeight="false" outlineLevel="0" collapsed="false">
      <c r="A15" s="1"/>
      <c r="B15" s="47" t="s">
        <v>126</v>
      </c>
      <c r="C15" s="60" t="n">
        <f aca="false">C7*1000/(C14*C10)</f>
        <v>2.51354667422089</v>
      </c>
      <c r="D15" s="10" t="s">
        <v>120</v>
      </c>
      <c r="E15" s="45" t="s">
        <v>127</v>
      </c>
      <c r="F15" s="1" t="s">
        <v>113</v>
      </c>
      <c r="G15" s="60" t="n">
        <v>2.51354667422089</v>
      </c>
      <c r="H15" s="49" t="n">
        <f aca="false">IF(G15=0,C15-G15,C15/G15-1)</f>
        <v>0</v>
      </c>
    </row>
    <row r="16" customFormat="false" ht="30.55" hidden="false" customHeight="false" outlineLevel="0" collapsed="false">
      <c r="A16" s="1"/>
      <c r="B16" s="45" t="s">
        <v>128</v>
      </c>
      <c r="C16" s="60" t="n">
        <f aca="false">C14/C8</f>
        <v>0.183009574012596</v>
      </c>
      <c r="D16" s="10" t="s">
        <v>120</v>
      </c>
      <c r="E16" s="45" t="s">
        <v>129</v>
      </c>
      <c r="F16" s="1" t="s">
        <v>113</v>
      </c>
      <c r="G16" s="60" t="n">
        <v>0.183009574012596</v>
      </c>
      <c r="H16" s="49" t="n">
        <f aca="false">IF(G16=0,C16-G16,C16/G16-1)</f>
        <v>0</v>
      </c>
    </row>
    <row r="17" customFormat="false" ht="32.8" hidden="false" customHeight="false" outlineLevel="0" collapsed="false">
      <c r="A17" s="1"/>
      <c r="B17" s="45" t="s">
        <v>130</v>
      </c>
      <c r="C17" s="60" t="n">
        <f aca="false">C15*C16</f>
        <v>0.460003106109944</v>
      </c>
      <c r="D17" s="10" t="s">
        <v>120</v>
      </c>
      <c r="E17" s="45" t="s">
        <v>131</v>
      </c>
      <c r="F17" s="1" t="s">
        <v>132</v>
      </c>
      <c r="G17" s="60" t="n">
        <v>0.460003106109943</v>
      </c>
      <c r="H17" s="49" t="n">
        <f aca="false">IF(G17=0,C17-G17,C17/G17-1)</f>
        <v>0</v>
      </c>
    </row>
    <row r="18" customFormat="false" ht="32.8" hidden="false" customHeight="false" outlineLevel="0" collapsed="false">
      <c r="A18" s="61"/>
      <c r="B18" s="62" t="s">
        <v>133</v>
      </c>
      <c r="C18" s="63" t="n">
        <f aca="false">1/C16</f>
        <v>5.46419500397925</v>
      </c>
      <c r="D18" s="64" t="s">
        <v>120</v>
      </c>
      <c r="E18" s="65" t="s">
        <v>134</v>
      </c>
      <c r="F18" s="61" t="s">
        <v>113</v>
      </c>
      <c r="G18" s="61"/>
      <c r="H18" s="61"/>
    </row>
    <row r="20" customFormat="false" ht="32.8" hidden="false" customHeight="false" outlineLevel="0" collapsed="false">
      <c r="A20" s="43" t="s">
        <v>135</v>
      </c>
      <c r="B20" s="59" t="s">
        <v>136</v>
      </c>
      <c r="C20" s="43"/>
      <c r="D20" s="43"/>
      <c r="E20" s="44"/>
      <c r="F20" s="43"/>
      <c r="G20" s="43"/>
      <c r="H20" s="43"/>
    </row>
    <row r="21" customFormat="false" ht="17.15" hidden="false" customHeight="false" outlineLevel="0" collapsed="false">
      <c r="A21" s="1"/>
      <c r="B21" s="45" t="s">
        <v>137</v>
      </c>
      <c r="C21" s="48" t="n">
        <f aca="false">IN_Rev*IN_SubShare</f>
        <v>9.149</v>
      </c>
      <c r="D21" s="1" t="s">
        <v>36</v>
      </c>
      <c r="E21" s="45" t="s">
        <v>138</v>
      </c>
      <c r="F21" s="1" t="s">
        <v>139</v>
      </c>
      <c r="G21" s="48" t="n">
        <v>9.149</v>
      </c>
      <c r="H21" s="49" t="n">
        <f aca="false">IF(G21=0,C21-G21,C21/G21-1)</f>
        <v>0</v>
      </c>
    </row>
    <row r="22" customFormat="false" ht="17.15" hidden="false" customHeight="false" outlineLevel="0" collapsed="false">
      <c r="A22" s="1"/>
      <c r="B22" s="45" t="s">
        <v>140</v>
      </c>
      <c r="C22" s="48" t="n">
        <f aca="false">IN_Rev*IN_SeatShare</f>
        <v>1.307</v>
      </c>
      <c r="D22" s="1" t="s">
        <v>36</v>
      </c>
      <c r="E22" s="45" t="s">
        <v>141</v>
      </c>
      <c r="F22" s="1" t="s">
        <v>142</v>
      </c>
      <c r="G22" s="48" t="n">
        <v>1.307</v>
      </c>
      <c r="H22" s="49" t="n">
        <f aca="false">IF(G22=0,C22-G22,C22/G22-1)</f>
        <v>0</v>
      </c>
    </row>
    <row r="23" customFormat="false" ht="32.8" hidden="false" customHeight="false" outlineLevel="0" collapsed="false">
      <c r="A23" s="1"/>
      <c r="B23" s="47" t="s">
        <v>143</v>
      </c>
      <c r="C23" s="48" t="n">
        <f aca="false">C7-C21-C22</f>
        <v>2.614</v>
      </c>
      <c r="D23" s="1" t="s">
        <v>36</v>
      </c>
      <c r="E23" s="45" t="s">
        <v>144</v>
      </c>
      <c r="F23" s="1" t="s">
        <v>113</v>
      </c>
      <c r="G23" s="48" t="n">
        <v>2.614</v>
      </c>
      <c r="H23" s="49" t="n">
        <f aca="false">IF(G23=0,C23-G23,C23/G23-1)</f>
        <v>0</v>
      </c>
    </row>
    <row r="24" customFormat="false" ht="32.8" hidden="false" customHeight="false" outlineLevel="0" collapsed="false">
      <c r="A24" s="1"/>
      <c r="B24" s="45" t="s">
        <v>145</v>
      </c>
      <c r="C24" s="1" t="str">
        <f aca="false">TEXT(C21/C7,"0%")&amp;"／"&amp;TEXT(C22/C7,"0%")&amp;"／"&amp;TEXT(C23/C7,"0%")</f>
        <v>70%／10%／20%</v>
      </c>
      <c r="D24" s="1"/>
      <c r="E24" s="45" t="s">
        <v>146</v>
      </c>
      <c r="F24" s="1" t="s">
        <v>132</v>
      </c>
    </row>
    <row r="26" customFormat="false" ht="17.15" hidden="false" customHeight="false" outlineLevel="0" collapsed="false">
      <c r="A26" s="43" t="s">
        <v>147</v>
      </c>
      <c r="B26" s="44" t="s">
        <v>148</v>
      </c>
      <c r="C26" s="43"/>
      <c r="D26" s="43"/>
      <c r="E26" s="44"/>
      <c r="F26" s="43"/>
      <c r="G26" s="43"/>
      <c r="H26" s="43"/>
    </row>
    <row r="27" customFormat="false" ht="17.15" hidden="false" customHeight="false" outlineLevel="0" collapsed="false">
      <c r="A27" s="1"/>
      <c r="B27" s="47" t="s">
        <v>149</v>
      </c>
      <c r="C27" s="50" t="n">
        <f aca="false">3_m重算!D13/1000000</f>
        <v>2365.2</v>
      </c>
      <c r="D27" s="10" t="s">
        <v>111</v>
      </c>
      <c r="E27" s="45" t="s">
        <v>150</v>
      </c>
      <c r="F27" s="1" t="s">
        <v>113</v>
      </c>
      <c r="G27" s="51" t="n">
        <v>2365.2</v>
      </c>
      <c r="H27" s="49" t="n">
        <f aca="false">IF(G27=0,C27-G27,C27/G27-1)</f>
        <v>0</v>
      </c>
    </row>
    <row r="28" customFormat="false" ht="17.15" hidden="false" customHeight="false" outlineLevel="0" collapsed="false">
      <c r="A28" s="1"/>
      <c r="B28" s="47" t="s">
        <v>151</v>
      </c>
      <c r="C28" s="51" t="n">
        <f aca="false">(3_m重算!D14-3_m重算!D15)*IN_SubTokShare/1000000</f>
        <v>1095</v>
      </c>
      <c r="D28" s="10" t="s">
        <v>111</v>
      </c>
      <c r="E28" s="45" t="s">
        <v>152</v>
      </c>
      <c r="F28" s="1" t="s">
        <v>153</v>
      </c>
      <c r="G28" s="51" t="n">
        <v>1095</v>
      </c>
      <c r="H28" s="49" t="n">
        <f aca="false">IF(G28=0,C28-G28,C28/G28-1)</f>
        <v>0</v>
      </c>
    </row>
    <row r="29" customFormat="false" ht="17.15" hidden="false" customHeight="false" outlineLevel="0" collapsed="false">
      <c r="A29" s="1"/>
      <c r="B29" s="47" t="s">
        <v>154</v>
      </c>
      <c r="C29" s="51" t="n">
        <f aca="false">(3_m重算!D14-3_m重算!D15)*(1-IN_SubTokShare)/1000000</f>
        <v>365</v>
      </c>
      <c r="D29" s="10" t="s">
        <v>111</v>
      </c>
      <c r="E29" s="45" t="s">
        <v>155</v>
      </c>
      <c r="F29" s="1" t="s">
        <v>153</v>
      </c>
      <c r="G29" s="51" t="n">
        <v>365</v>
      </c>
      <c r="H29" s="49" t="n">
        <f aca="false">IF(G29=0,C29-G29,C29/G29-1)</f>
        <v>0</v>
      </c>
    </row>
    <row r="30" customFormat="false" ht="17.15" hidden="false" customHeight="false" outlineLevel="0" collapsed="false">
      <c r="A30" s="1"/>
      <c r="B30" s="47" t="s">
        <v>156</v>
      </c>
      <c r="C30" s="50" t="n">
        <f aca="false">3_m重算!D15/1000000</f>
        <v>2190</v>
      </c>
      <c r="D30" s="10" t="s">
        <v>111</v>
      </c>
      <c r="E30" s="45" t="s">
        <v>157</v>
      </c>
      <c r="F30" s="1" t="s">
        <v>113</v>
      </c>
      <c r="G30" s="51" t="n">
        <v>2190</v>
      </c>
      <c r="H30" s="49" t="n">
        <f aca="false">IF(G30=0,C30-G30,C30/G30-1)</f>
        <v>0</v>
      </c>
    </row>
    <row r="31" customFormat="false" ht="32.8" hidden="false" customHeight="false" outlineLevel="0" collapsed="false">
      <c r="A31" s="1"/>
      <c r="B31" s="45" t="s">
        <v>158</v>
      </c>
      <c r="C31" s="51" t="n">
        <f aca="false">C27+C28+C29+C30</f>
        <v>6015.2</v>
      </c>
      <c r="D31" s="10" t="s">
        <v>111</v>
      </c>
      <c r="E31" s="45" t="s">
        <v>159</v>
      </c>
      <c r="F31" s="1" t="s">
        <v>113</v>
      </c>
      <c r="G31" s="51" t="n">
        <v>6015.2</v>
      </c>
      <c r="H31" s="49" t="n">
        <f aca="false">IF(G31=0,C31-G31,C31/G31-1)</f>
        <v>0</v>
      </c>
    </row>
    <row r="33" customFormat="false" ht="32.8" hidden="false" customHeight="false" outlineLevel="0" collapsed="false">
      <c r="A33" s="43" t="s">
        <v>160</v>
      </c>
      <c r="B33" s="59" t="s">
        <v>161</v>
      </c>
      <c r="C33" s="43"/>
      <c r="D33" s="43"/>
      <c r="E33" s="44"/>
      <c r="F33" s="43"/>
      <c r="G33" s="43"/>
      <c r="H33" s="43"/>
    </row>
    <row r="34" customFormat="false" ht="17.15" hidden="false" customHeight="false" outlineLevel="0" collapsed="false">
      <c r="A34" s="1"/>
      <c r="B34" s="47" t="s">
        <v>162</v>
      </c>
      <c r="C34" s="48" t="n">
        <f aca="false">C23*1000/C27</f>
        <v>1.10519194994081</v>
      </c>
      <c r="D34" s="1" t="s">
        <v>115</v>
      </c>
      <c r="E34" s="47" t="s">
        <v>163</v>
      </c>
      <c r="F34" s="1" t="s">
        <v>113</v>
      </c>
    </row>
    <row r="35" customFormat="false" ht="17.15" hidden="false" customHeight="false" outlineLevel="0" collapsed="false">
      <c r="A35" s="1"/>
      <c r="B35" s="45" t="s">
        <v>164</v>
      </c>
      <c r="C35" s="66" t="n">
        <f aca="false">C34/C10</f>
        <v>0.81302373906898</v>
      </c>
      <c r="D35" s="10" t="s">
        <v>120</v>
      </c>
      <c r="E35" s="45" t="s">
        <v>165</v>
      </c>
      <c r="F35" s="1" t="s">
        <v>113</v>
      </c>
      <c r="G35" s="66" t="n">
        <v>0.81302373906898</v>
      </c>
      <c r="H35" s="49" t="n">
        <f aca="false">IF(G35=0,C35-G35,C35/G35-1)</f>
        <v>0</v>
      </c>
    </row>
    <row r="36" customFormat="false" ht="17.15" hidden="false" customHeight="false" outlineLevel="0" collapsed="false">
      <c r="A36" s="1"/>
      <c r="B36" s="45" t="s">
        <v>166</v>
      </c>
      <c r="C36" s="48" t="n">
        <f aca="false">C21*1000/C28</f>
        <v>8.35525114155251</v>
      </c>
      <c r="D36" s="1" t="s">
        <v>115</v>
      </c>
      <c r="E36" s="45" t="s">
        <v>167</v>
      </c>
      <c r="F36" s="1" t="s">
        <v>113</v>
      </c>
    </row>
    <row r="37" customFormat="false" ht="32.8" hidden="false" customHeight="false" outlineLevel="0" collapsed="false">
      <c r="A37" s="1"/>
      <c r="B37" s="45" t="s">
        <v>168</v>
      </c>
      <c r="C37" s="66" t="n">
        <f aca="false">C36/C10</f>
        <v>6.14645946736149</v>
      </c>
      <c r="D37" s="10" t="s">
        <v>120</v>
      </c>
      <c r="E37" s="45" t="s">
        <v>169</v>
      </c>
      <c r="F37" s="1" t="s">
        <v>113</v>
      </c>
      <c r="G37" s="66" t="n">
        <v>6.14645946736149</v>
      </c>
      <c r="H37" s="49" t="n">
        <f aca="false">IF(G37=0,C37-G37,C37/G37-1)</f>
        <v>0</v>
      </c>
    </row>
    <row r="38" customFormat="false" ht="17.15" hidden="false" customHeight="false" outlineLevel="0" collapsed="false">
      <c r="A38" s="1"/>
      <c r="B38" s="45" t="s">
        <v>170</v>
      </c>
      <c r="C38" s="48" t="n">
        <f aca="false">C22*1000/C29</f>
        <v>3.58082191780822</v>
      </c>
      <c r="D38" s="1" t="s">
        <v>115</v>
      </c>
      <c r="E38" s="45" t="s">
        <v>171</v>
      </c>
      <c r="F38" s="1" t="s">
        <v>113</v>
      </c>
    </row>
    <row r="39" customFormat="false" ht="17.15" hidden="false" customHeight="false" outlineLevel="0" collapsed="false">
      <c r="A39" s="1"/>
      <c r="B39" s="45" t="s">
        <v>172</v>
      </c>
      <c r="C39" s="66" t="n">
        <f aca="false">C38/C10</f>
        <v>2.6341969145835</v>
      </c>
      <c r="D39" s="10" t="s">
        <v>120</v>
      </c>
      <c r="E39" s="45" t="s">
        <v>173</v>
      </c>
      <c r="F39" s="1" t="s">
        <v>113</v>
      </c>
      <c r="G39" s="66" t="n">
        <v>2.6341969145835</v>
      </c>
      <c r="H39" s="49" t="n">
        <f aca="false">IF(G39=0,C39-G39,C39/G39-1)</f>
        <v>0</v>
      </c>
    </row>
    <row r="40" customFormat="false" ht="32.8" hidden="false" customHeight="false" outlineLevel="0" collapsed="false">
      <c r="A40" s="1"/>
      <c r="B40" s="45" t="s">
        <v>174</v>
      </c>
      <c r="C40" s="60" t="n">
        <f aca="false">(C35*C27+C37*C28+C39*C29)/(C27+C28+C29)</f>
        <v>2.51354667422089</v>
      </c>
      <c r="D40" s="10" t="s">
        <v>120</v>
      </c>
      <c r="E40" s="45" t="s">
        <v>175</v>
      </c>
      <c r="F40" s="1" t="s">
        <v>113</v>
      </c>
      <c r="G40" s="60" t="n">
        <v>2.51354667422089</v>
      </c>
      <c r="H40" s="49" t="n">
        <f aca="false">IF(G40=0,C40-G40,C40/G40-1)</f>
        <v>0</v>
      </c>
    </row>
    <row r="42" customFormat="false" ht="17.15" hidden="false" customHeight="false" outlineLevel="0" collapsed="false">
      <c r="A42" s="43" t="s">
        <v>176</v>
      </c>
      <c r="B42" s="59" t="s">
        <v>177</v>
      </c>
      <c r="C42" s="43"/>
      <c r="D42" s="43"/>
      <c r="E42" s="44"/>
      <c r="F42" s="43"/>
      <c r="G42" s="43"/>
      <c r="H42" s="43"/>
    </row>
    <row r="43" customFormat="false" ht="17.15" hidden="false" customHeight="false" outlineLevel="0" collapsed="false">
      <c r="A43" s="1"/>
      <c r="B43" s="47" t="s">
        <v>178</v>
      </c>
      <c r="C43" s="67" t="n">
        <f aca="false">IN_APItpm</f>
        <v>6</v>
      </c>
      <c r="D43" s="10" t="s">
        <v>179</v>
      </c>
      <c r="E43" s="47" t="s">
        <v>180</v>
      </c>
      <c r="F43" s="1" t="s">
        <v>181</v>
      </c>
      <c r="G43" s="68" t="n">
        <v>6</v>
      </c>
      <c r="H43" s="49" t="n">
        <f aca="false">IF(G43=0,C43-G43,C43/G43-1)</f>
        <v>0</v>
      </c>
    </row>
    <row r="44" customFormat="false" ht="17.15" hidden="false" customHeight="false" outlineLevel="0" collapsed="false">
      <c r="A44" s="1"/>
      <c r="B44" s="47" t="s">
        <v>182</v>
      </c>
      <c r="C44" s="67" t="n">
        <f aca="false">IN_APIratio</f>
        <v>0.75</v>
      </c>
      <c r="D44" s="10" t="s">
        <v>120</v>
      </c>
      <c r="E44" s="45" t="s">
        <v>183</v>
      </c>
      <c r="F44" s="1" t="s">
        <v>184</v>
      </c>
      <c r="G44" s="68" t="n">
        <v>0.75</v>
      </c>
      <c r="H44" s="49" t="n">
        <f aca="false">IF(G44=0,C44-G44,C44/G44-1)</f>
        <v>0</v>
      </c>
    </row>
    <row r="45" customFormat="false" ht="17.15" hidden="false" customHeight="false" outlineLevel="0" collapsed="false">
      <c r="A45" s="1"/>
      <c r="B45" s="47" t="s">
        <v>185</v>
      </c>
      <c r="C45" s="51" t="n">
        <f aca="false">C27</f>
        <v>2365.2</v>
      </c>
      <c r="D45" s="10" t="s">
        <v>111</v>
      </c>
      <c r="E45" s="45" t="s">
        <v>186</v>
      </c>
      <c r="F45" s="1" t="s">
        <v>113</v>
      </c>
      <c r="G45" s="51" t="n">
        <v>2365.2</v>
      </c>
      <c r="H45" s="49" t="n">
        <f aca="false">IF(G45=0,C45-G45,C45/G45-1)</f>
        <v>0</v>
      </c>
    </row>
    <row r="46" customFormat="false" ht="17.15" hidden="false" customHeight="false" outlineLevel="0" collapsed="false">
      <c r="A46" s="1"/>
      <c r="B46" s="47" t="s">
        <v>187</v>
      </c>
      <c r="C46" s="67" t="n">
        <f aca="false">IN_Prompts</f>
        <v>2.5</v>
      </c>
      <c r="D46" s="10" t="s">
        <v>188</v>
      </c>
      <c r="E46" s="47" t="s">
        <v>189</v>
      </c>
      <c r="F46" s="1" t="s">
        <v>181</v>
      </c>
      <c r="G46" s="68" t="n">
        <v>2.5</v>
      </c>
      <c r="H46" s="49" t="n">
        <f aca="false">IF(G46=0,C46-G46,C46/G46-1)</f>
        <v>0</v>
      </c>
    </row>
    <row r="47" customFormat="false" ht="17.15" hidden="false" customHeight="false" outlineLevel="0" collapsed="false">
      <c r="A47" s="1"/>
      <c r="B47" s="45" t="s">
        <v>190</v>
      </c>
      <c r="C47" s="50" t="n">
        <f aca="false">IN_Tau</f>
        <v>4000</v>
      </c>
      <c r="D47" s="1" t="s">
        <v>191</v>
      </c>
      <c r="E47" s="45" t="s">
        <v>192</v>
      </c>
      <c r="F47" s="1" t="s">
        <v>193</v>
      </c>
      <c r="G47" s="51" t="n">
        <v>4000</v>
      </c>
      <c r="H47" s="49" t="n">
        <f aca="false">IF(G47=0,C47-G47,C47/G47-1)</f>
        <v>0</v>
      </c>
    </row>
    <row r="48" customFormat="false" ht="17.15" hidden="false" customHeight="false" outlineLevel="0" collapsed="false">
      <c r="A48" s="1"/>
      <c r="B48" s="45" t="s">
        <v>194</v>
      </c>
      <c r="C48" s="69" t="n">
        <f aca="false">IN_FreeShare</f>
        <v>0.6</v>
      </c>
      <c r="D48" s="1" t="s">
        <v>195</v>
      </c>
      <c r="E48" s="47" t="s">
        <v>196</v>
      </c>
      <c r="F48" s="1" t="s">
        <v>197</v>
      </c>
      <c r="G48" s="70" t="n">
        <v>0.6</v>
      </c>
      <c r="H48" s="49" t="n">
        <f aca="false">IF(G48=0,C48-G48,C48/G48-1)</f>
        <v>0</v>
      </c>
    </row>
    <row r="49" customFormat="false" ht="17.15" hidden="false" customHeight="false" outlineLevel="0" collapsed="false">
      <c r="A49" s="1"/>
      <c r="B49" s="47" t="s">
        <v>198</v>
      </c>
      <c r="C49" s="51" t="n">
        <f aca="false">C28+C29+C30</f>
        <v>3650</v>
      </c>
      <c r="D49" s="10" t="s">
        <v>111</v>
      </c>
      <c r="E49" s="45" t="s">
        <v>199</v>
      </c>
      <c r="F49" s="1" t="s">
        <v>113</v>
      </c>
      <c r="G49" s="51" t="n">
        <v>3650</v>
      </c>
      <c r="H49" s="49" t="n">
        <f aca="false">IF(G49=0,C49-G49,C49/G49-1)</f>
        <v>0</v>
      </c>
    </row>
    <row r="50" customFormat="false" ht="32.8" hidden="false" customHeight="false" outlineLevel="0" collapsed="false">
      <c r="A50" s="1"/>
      <c r="B50" s="45" t="s">
        <v>200</v>
      </c>
      <c r="C50" s="71" t="n">
        <f aca="false">3_m重算!D17</f>
        <v>0.572519083969466</v>
      </c>
      <c r="D50" s="10" t="s">
        <v>120</v>
      </c>
      <c r="E50" s="45" t="s">
        <v>201</v>
      </c>
      <c r="F50" s="1" t="s">
        <v>113</v>
      </c>
      <c r="G50" s="60" t="n">
        <v>0.572519083969466</v>
      </c>
      <c r="H50" s="49" t="n">
        <f aca="false">IF(G50=0,C50-G50,C50/G50-1)</f>
        <v>0</v>
      </c>
    </row>
    <row r="52" customFormat="false" ht="32.8" hidden="false" customHeight="false" outlineLevel="0" collapsed="false">
      <c r="A52" s="43" t="s">
        <v>202</v>
      </c>
      <c r="B52" s="59" t="s">
        <v>203</v>
      </c>
      <c r="C52" s="43"/>
      <c r="D52" s="43"/>
      <c r="E52" s="44"/>
      <c r="F52" s="43"/>
      <c r="G52" s="43"/>
      <c r="H52" s="43"/>
    </row>
    <row r="53" customFormat="false" ht="17.15" hidden="false" customHeight="false" outlineLevel="0" collapsed="false">
      <c r="A53" s="1"/>
      <c r="B53" s="45" t="s">
        <v>204</v>
      </c>
      <c r="C53" s="72" t="n">
        <f aca="false">3_m重算!D21</f>
        <v>1.05658373061052</v>
      </c>
      <c r="D53" s="1" t="s">
        <v>47</v>
      </c>
      <c r="E53" s="47" t="s">
        <v>205</v>
      </c>
      <c r="F53" s="1" t="s">
        <v>113</v>
      </c>
      <c r="G53" s="66" t="n">
        <v>1.05658373061052</v>
      </c>
      <c r="H53" s="49" t="n">
        <f aca="false">IF(G53=0,C53-G53,C53/G53-1)</f>
        <v>0</v>
      </c>
    </row>
    <row r="54" customFormat="false" ht="17.15" hidden="false" customHeight="false" outlineLevel="0" collapsed="false">
      <c r="A54" s="1"/>
      <c r="B54" s="45" t="s">
        <v>206</v>
      </c>
      <c r="C54" s="71" t="n">
        <f aca="false">3_m重算!D22</f>
        <v>0.580833333333333</v>
      </c>
      <c r="D54" s="10" t="s">
        <v>120</v>
      </c>
      <c r="E54" s="45" t="s">
        <v>207</v>
      </c>
      <c r="F54" s="1" t="s">
        <v>113</v>
      </c>
      <c r="G54" s="60" t="n">
        <v>0.580833333333333</v>
      </c>
      <c r="H54" s="49" t="n">
        <f aca="false">IF(G54=0,C54-G54,C54/G54-1)</f>
        <v>0</v>
      </c>
    </row>
    <row r="55" customFormat="false" ht="32.8" hidden="false" customHeight="false" outlineLevel="0" collapsed="false">
      <c r="A55" s="1"/>
      <c r="B55" s="45" t="s">
        <v>208</v>
      </c>
      <c r="C55" s="50" t="n">
        <f aca="false">3_m重算!D10/1000000</f>
        <v>39539.9221864258</v>
      </c>
      <c r="D55" s="10" t="s">
        <v>209</v>
      </c>
      <c r="E55" s="45" t="s">
        <v>210</v>
      </c>
      <c r="F55" s="1" t="s">
        <v>113</v>
      </c>
      <c r="G55" s="51" t="n">
        <v>39539.9221864258</v>
      </c>
      <c r="H55" s="49" t="n">
        <f aca="false">IF(G55=0,C55-G55,C55/G55-1)</f>
        <v>0</v>
      </c>
    </row>
    <row r="56" customFormat="false" ht="17.15" hidden="false" customHeight="false" outlineLevel="0" collapsed="false">
      <c r="A56" s="1"/>
      <c r="B56" s="45" t="s">
        <v>211</v>
      </c>
      <c r="C56" s="50" t="n">
        <f aca="false">3_m重算!D11/1000000</f>
        <v>140654.454096474</v>
      </c>
      <c r="D56" s="10" t="s">
        <v>209</v>
      </c>
      <c r="E56" s="45" t="s">
        <v>212</v>
      </c>
      <c r="F56" s="1" t="s">
        <v>113</v>
      </c>
      <c r="G56" s="51" t="n">
        <v>140654.454096474</v>
      </c>
      <c r="H56" s="49" t="n">
        <f aca="false">IF(G56=0,C56-G56,C56/G56-1)</f>
        <v>0</v>
      </c>
    </row>
    <row r="57" customFormat="false" ht="32.8" hidden="false" customHeight="false" outlineLevel="0" collapsed="false">
      <c r="A57" s="1"/>
      <c r="B57" s="45" t="s">
        <v>213</v>
      </c>
      <c r="C57" s="73" t="n">
        <f aca="false">1/C55+C50/C56</f>
        <v>2.93612887557135E-005</v>
      </c>
      <c r="D57" s="1" t="s">
        <v>214</v>
      </c>
      <c r="E57" s="45" t="s">
        <v>215</v>
      </c>
      <c r="F57" s="1" t="s">
        <v>113</v>
      </c>
    </row>
    <row r="58" customFormat="false" ht="17.15" hidden="false" customHeight="false" outlineLevel="0" collapsed="false">
      <c r="A58" s="1"/>
      <c r="B58" s="45" t="s">
        <v>216</v>
      </c>
      <c r="C58" s="51" t="n">
        <f aca="false">C53*C54/(1/C55+C50/C56)</f>
        <v>20901.6387292214</v>
      </c>
      <c r="D58" s="10" t="s">
        <v>111</v>
      </c>
      <c r="E58" s="45" t="s">
        <v>217</v>
      </c>
      <c r="F58" s="1" t="s">
        <v>113</v>
      </c>
      <c r="G58" s="51" t="n">
        <v>20901.6387292215</v>
      </c>
      <c r="H58" s="49" t="n">
        <f aca="false">IF(G58=0,C58-G58,C58/G58-1)</f>
        <v>0</v>
      </c>
    </row>
    <row r="60" customFormat="false" ht="17.15" hidden="false" customHeight="false" outlineLevel="0" collapsed="false">
      <c r="A60" s="43" t="s">
        <v>218</v>
      </c>
      <c r="B60" s="59" t="s">
        <v>219</v>
      </c>
      <c r="C60" s="43"/>
      <c r="D60" s="43"/>
      <c r="E60" s="44"/>
      <c r="F60" s="43"/>
      <c r="G60" s="43"/>
      <c r="H60" s="43"/>
    </row>
    <row r="61" customFormat="false" ht="17.15" hidden="false" customHeight="false" outlineLevel="0" collapsed="false">
      <c r="A61" s="1"/>
      <c r="B61" s="45" t="s">
        <v>220</v>
      </c>
      <c r="C61" s="74" t="n">
        <f aca="false">IN_Spend</f>
        <v>8.4</v>
      </c>
      <c r="D61" s="1" t="s">
        <v>36</v>
      </c>
      <c r="E61" s="47" t="s">
        <v>221</v>
      </c>
      <c r="F61" s="1" t="s">
        <v>222</v>
      </c>
      <c r="G61" s="75" t="n">
        <v>8.4</v>
      </c>
      <c r="H61" s="49" t="n">
        <f aca="false">IF(G61=0,C61-G61,C61/G61-1)</f>
        <v>0</v>
      </c>
    </row>
    <row r="62" customFormat="false" ht="17.15" hidden="false" customHeight="false" outlineLevel="0" collapsed="false">
      <c r="A62" s="1"/>
      <c r="B62" s="45" t="s">
        <v>223</v>
      </c>
      <c r="C62" s="46" t="n">
        <f aca="false">3_m重算!D19</f>
        <v>9.35311859805586</v>
      </c>
      <c r="D62" s="1" t="s">
        <v>224</v>
      </c>
      <c r="E62" s="45" t="s">
        <v>225</v>
      </c>
      <c r="F62" s="1" t="s">
        <v>113</v>
      </c>
    </row>
    <row r="63" customFormat="false" ht="32.8" hidden="false" customHeight="false" outlineLevel="0" collapsed="false">
      <c r="A63" s="1"/>
      <c r="B63" s="45" t="s">
        <v>226</v>
      </c>
      <c r="C63" s="67" t="n">
        <f aca="false">IN_SpendBasis</f>
        <v>0.85</v>
      </c>
      <c r="D63" s="10" t="s">
        <v>120</v>
      </c>
      <c r="E63" s="45" t="s">
        <v>227</v>
      </c>
      <c r="F63" s="1" t="s">
        <v>228</v>
      </c>
      <c r="G63" s="68" t="n">
        <v>0.85</v>
      </c>
      <c r="H63" s="49" t="n">
        <f aca="false">IF(G63=0,C63-G63,C63/G63-1)</f>
        <v>0</v>
      </c>
    </row>
    <row r="64" customFormat="false" ht="17.15" hidden="false" customHeight="false" outlineLevel="0" collapsed="false">
      <c r="A64" s="1"/>
      <c r="B64" s="45" t="s">
        <v>229</v>
      </c>
      <c r="C64" s="67" t="n">
        <f aca="false">IN_Kappa</f>
        <v>1</v>
      </c>
      <c r="D64" s="10" t="s">
        <v>120</v>
      </c>
      <c r="E64" s="45" t="s">
        <v>230</v>
      </c>
      <c r="F64" s="1" t="s">
        <v>231</v>
      </c>
      <c r="G64" s="68" t="n">
        <v>1</v>
      </c>
      <c r="H64" s="49" t="n">
        <f aca="false">IF(G64=0,C64-G64,C64/G64-1)</f>
        <v>0</v>
      </c>
    </row>
    <row r="65" customFormat="false" ht="17.15" hidden="false" customHeight="false" outlineLevel="0" collapsed="false">
      <c r="A65" s="1"/>
      <c r="B65" s="45" t="s">
        <v>232</v>
      </c>
      <c r="C65" s="66" t="n">
        <f aca="false">IN_Spend/3_m重算!D19/IN_SpendBasis*IN_Kappa</f>
        <v>1.05658373061052</v>
      </c>
      <c r="D65" s="1" t="s">
        <v>47</v>
      </c>
      <c r="E65" s="45" t="s">
        <v>233</v>
      </c>
      <c r="F65" s="1" t="s">
        <v>113</v>
      </c>
      <c r="G65" s="66" t="n">
        <v>1.05658373061052</v>
      </c>
      <c r="H65" s="49" t="n">
        <f aca="false">IF(G65=0,C65-G65,C65/G65-1)</f>
        <v>0</v>
      </c>
    </row>
    <row r="67" customFormat="false" ht="17.15" hidden="false" customHeight="false" outlineLevel="0" collapsed="false">
      <c r="A67" s="43" t="s">
        <v>234</v>
      </c>
      <c r="B67" s="59" t="s">
        <v>235</v>
      </c>
      <c r="C67" s="43"/>
      <c r="D67" s="43"/>
      <c r="E67" s="44"/>
      <c r="F67" s="43"/>
      <c r="G67" s="43"/>
      <c r="H67" s="43"/>
    </row>
    <row r="68" customFormat="false" ht="17.15" hidden="false" customHeight="false" outlineLevel="0" collapsed="false">
      <c r="A68" s="1"/>
      <c r="B68" s="47" t="s">
        <v>236</v>
      </c>
      <c r="E68" s="47"/>
    </row>
    <row r="69" customFormat="false" ht="32.8" hidden="false" customHeight="false" outlineLevel="0" collapsed="false">
      <c r="A69" s="1"/>
      <c r="B69" s="47" t="s">
        <v>237</v>
      </c>
      <c r="E69" s="47"/>
    </row>
    <row r="70" customFormat="false" ht="48.5" hidden="false" customHeight="false" outlineLevel="0" collapsed="false">
      <c r="A70" s="1"/>
      <c r="B70" s="45" t="s">
        <v>238</v>
      </c>
      <c r="E70" s="47"/>
    </row>
    <row r="71" customFormat="false" ht="95.5" hidden="false" customHeight="false" outlineLevel="0" collapsed="false">
      <c r="A71" s="1"/>
      <c r="B71" s="45" t="s">
        <v>239</v>
      </c>
      <c r="E71" s="47"/>
    </row>
    <row r="72" customFormat="false" ht="17.15" hidden="false" customHeight="false" outlineLevel="0" collapsed="false">
      <c r="A72" s="1"/>
      <c r="B72" s="45" t="s">
        <v>240</v>
      </c>
      <c r="C72" s="60" t="n">
        <f aca="false">IN_Rev*3_m重算!D19*IN_SpendBasis*(1/(3_m重算!D10/IN_Util)+3_m重算!D17/(3_m重算!D11/IN_Util))/(IN_Spend*IN_Kappa*IN_UtilAct*IN_ProdDerate*3_m重算!D26)*1000000000</f>
        <v>0.460003106109943</v>
      </c>
      <c r="D72" s="10" t="s">
        <v>120</v>
      </c>
      <c r="E72" s="45" t="s">
        <v>241</v>
      </c>
      <c r="F72" s="1" t="s">
        <v>113</v>
      </c>
      <c r="G72" s="60" t="n">
        <v>0.460003106109943</v>
      </c>
      <c r="H72" s="49" t="n">
        <f aca="false">IF(G72=0,C72-G72,C72/G72-1)</f>
        <v>0</v>
      </c>
    </row>
    <row r="73" customFormat="false" ht="48.5" hidden="false" customHeight="false" outlineLevel="0" collapsed="false">
      <c r="A73" s="1"/>
      <c r="B73" s="45" t="s">
        <v>242</v>
      </c>
      <c r="C73" s="1" t="str">
        <f aca="false">IF(IN_UtilAct*IN_ProdDerate/IN_Util&gt;0.787813074077515,"下限綁定：m＝下限 0.339，閉式解不適用","未綁定：閉式解適用")</f>
        <v>未綁定：閉式解適用</v>
      </c>
      <c r="D73" s="1"/>
      <c r="E73" s="45" t="s">
        <v>243</v>
      </c>
      <c r="F73" s="1" t="s">
        <v>132</v>
      </c>
    </row>
    <row r="75" customFormat="false" ht="32.8" hidden="false" customHeight="false" outlineLevel="0" collapsed="false">
      <c r="A75" s="61" t="s">
        <v>244</v>
      </c>
      <c r="B75" s="62" t="s">
        <v>245</v>
      </c>
      <c r="C75" s="76"/>
      <c r="D75" s="61"/>
      <c r="E75" s="65"/>
      <c r="F75" s="61"/>
      <c r="G75" s="61"/>
      <c r="H75" s="61"/>
    </row>
    <row r="76" customFormat="false" ht="17.15" hidden="false" customHeight="false" outlineLevel="0" collapsed="false">
      <c r="A76" s="1"/>
      <c r="B76" s="45" t="s">
        <v>246</v>
      </c>
      <c r="C76" s="68" t="n">
        <f aca="false">C18</f>
        <v>5.46419500397925</v>
      </c>
      <c r="D76" s="10" t="s">
        <v>120</v>
      </c>
      <c r="E76" s="45" t="s">
        <v>247</v>
      </c>
      <c r="F76" s="1" t="s">
        <v>132</v>
      </c>
    </row>
    <row r="77" customFormat="false" ht="17.15" hidden="false" customHeight="false" outlineLevel="0" collapsed="false">
      <c r="A77" s="1"/>
      <c r="B77" s="47" t="s">
        <v>248</v>
      </c>
      <c r="C77" s="51" t="n">
        <f aca="false">(3_m重算!D21*3_m重算!D22-3_m重算!D13/3_m重算!D10)/((1-IN_FreeShare)/3_m重算!D10+IN_FreeShare/3_m重算!D11)*1000000/(IN_Prompts*1000000000*365)</f>
        <v>42204.6570343251</v>
      </c>
      <c r="D77" s="1" t="s">
        <v>191</v>
      </c>
      <c r="E77" s="45" t="s">
        <v>249</v>
      </c>
      <c r="F77" s="1" t="s">
        <v>250</v>
      </c>
      <c r="G77" s="51" t="n">
        <v>42204.6570343252</v>
      </c>
      <c r="H77" s="49" t="n">
        <f aca="false">IF(G77=0,C77-G77,C77/G77-1)</f>
        <v>0</v>
      </c>
    </row>
    <row r="78" customFormat="false" ht="32.8" hidden="false" customHeight="false" outlineLevel="0" collapsed="false">
      <c r="A78" s="1"/>
      <c r="B78" s="45" t="s">
        <v>251</v>
      </c>
      <c r="C78" s="66" t="n">
        <f aca="false">IN_Rev*1000000000/((3_m重算!D13+(1-IN_FreeShare)*C77*IN_Prompts*1000000000*365/1000000)*3_m重算!D26)</f>
        <v>0.541073322695126</v>
      </c>
      <c r="D78" s="10" t="s">
        <v>120</v>
      </c>
      <c r="E78" s="45" t="s">
        <v>252</v>
      </c>
      <c r="F78" s="1" t="s">
        <v>113</v>
      </c>
    </row>
    <row r="79" customFormat="false" ht="32.8" hidden="false" customHeight="false" outlineLevel="0" collapsed="false">
      <c r="A79" s="1"/>
      <c r="B79" s="47" t="s">
        <v>253</v>
      </c>
      <c r="C79" s="77" t="n">
        <f aca="false">IN_UtilAct*C16</f>
        <v>0.0750339253451645</v>
      </c>
      <c r="D79" s="1" t="s">
        <v>195</v>
      </c>
      <c r="E79" s="45" t="s">
        <v>254</v>
      </c>
      <c r="F79" s="1" t="s">
        <v>113</v>
      </c>
    </row>
    <row r="80" customFormat="false" ht="17.15" hidden="false" customHeight="false" outlineLevel="0" collapsed="false">
      <c r="A80" s="1"/>
      <c r="B80" s="45" t="s">
        <v>251</v>
      </c>
      <c r="C80" s="66" t="n">
        <f aca="false">C15</f>
        <v>2.51354667422089</v>
      </c>
      <c r="D80" s="10" t="s">
        <v>120</v>
      </c>
      <c r="E80" s="45" t="s">
        <v>255</v>
      </c>
      <c r="F80" s="1" t="s">
        <v>113</v>
      </c>
      <c r="G80" s="66" t="n">
        <v>2.51354667422089</v>
      </c>
      <c r="H80" s="49" t="n">
        <f aca="false">IF(G80=0,C80-G80,C80/G80-1)</f>
        <v>0</v>
      </c>
    </row>
    <row r="81" customFormat="false" ht="32.8" hidden="false" customHeight="false" outlineLevel="0" collapsed="false">
      <c r="A81" s="1"/>
      <c r="B81" s="47" t="s">
        <v>256</v>
      </c>
      <c r="C81" s="75" t="n">
        <f aca="false">IN_Spend*C16</f>
        <v>1.53728042170581</v>
      </c>
      <c r="D81" s="1" t="s">
        <v>36</v>
      </c>
      <c r="E81" s="45" t="s">
        <v>257</v>
      </c>
      <c r="F81" s="1" t="s">
        <v>113</v>
      </c>
    </row>
    <row r="82" customFormat="false" ht="17.15" hidden="false" customHeight="false" outlineLevel="0" collapsed="false">
      <c r="A82" s="1"/>
      <c r="B82" s="45" t="s">
        <v>251</v>
      </c>
      <c r="C82" s="66" t="n">
        <f aca="false">C15</f>
        <v>2.51354667422089</v>
      </c>
      <c r="D82" s="10" t="s">
        <v>120</v>
      </c>
      <c r="E82" s="45" t="s">
        <v>258</v>
      </c>
      <c r="F82" s="1" t="s">
        <v>113</v>
      </c>
      <c r="G82" s="66" t="n">
        <v>2.51354667422089</v>
      </c>
      <c r="H82" s="49" t="n">
        <f aca="false">IF(G82=0,C82-G82,C82/G82-1)</f>
        <v>0</v>
      </c>
    </row>
    <row r="83" customFormat="false" ht="64.15" hidden="false" customHeight="false" outlineLevel="0" collapsed="false">
      <c r="A83" s="1"/>
      <c r="B83" s="45" t="s">
        <v>259</v>
      </c>
      <c r="C83" s="1"/>
      <c r="D83" s="1"/>
      <c r="E83" s="47" t="s">
        <v>260</v>
      </c>
      <c r="F83" s="1" t="s">
        <v>132</v>
      </c>
    </row>
    <row r="85" customFormat="false" ht="17.15" hidden="false" customHeight="false" outlineLevel="0" collapsed="false">
      <c r="A85" s="78" t="s">
        <v>261</v>
      </c>
      <c r="B85" s="59" t="s">
        <v>262</v>
      </c>
      <c r="C85" s="43"/>
      <c r="D85" s="43"/>
      <c r="E85" s="44"/>
      <c r="F85" s="43"/>
      <c r="G85" s="43"/>
      <c r="H85" s="43"/>
    </row>
    <row r="86" customFormat="false" ht="48.5" hidden="false" customHeight="false" outlineLevel="0" collapsed="false">
      <c r="A86" s="1"/>
      <c r="B86" s="47" t="s">
        <v>263</v>
      </c>
      <c r="C86" s="66" t="n">
        <v>0.733763458298155</v>
      </c>
      <c r="D86" s="10" t="s">
        <v>120</v>
      </c>
      <c r="E86" s="45" t="s">
        <v>264</v>
      </c>
      <c r="F86" s="1" t="s">
        <v>265</v>
      </c>
      <c r="G86" s="66" t="n">
        <v>0.733763458298155</v>
      </c>
      <c r="H86" s="49" t="n">
        <f aca="false">IF(G86=0,C86-G86,C86/G86-1)</f>
        <v>0</v>
      </c>
    </row>
    <row r="88" customFormat="false" ht="17.15" hidden="false" customHeight="false" outlineLevel="0" collapsed="false">
      <c r="A88" s="78" t="s">
        <v>266</v>
      </c>
      <c r="B88" s="59" t="s">
        <v>267</v>
      </c>
      <c r="C88" s="43"/>
      <c r="D88" s="43"/>
      <c r="E88" s="44"/>
      <c r="F88" s="43"/>
      <c r="G88" s="43"/>
      <c r="H88" s="43"/>
    </row>
    <row r="89" customFormat="false" ht="17.15" hidden="false" customHeight="false" outlineLevel="0" collapsed="false">
      <c r="A89" s="1"/>
      <c r="B89" s="45" t="s">
        <v>268</v>
      </c>
      <c r="E89" s="47"/>
    </row>
    <row r="90" customFormat="false" ht="17.15" hidden="false" customHeight="false" outlineLevel="0" collapsed="false">
      <c r="A90" s="1"/>
      <c r="B90" s="45" t="s">
        <v>269</v>
      </c>
      <c r="E90" s="47"/>
    </row>
    <row r="91" customFormat="false" ht="32.8" hidden="false" customHeight="false" outlineLevel="0" collapsed="false">
      <c r="A91" s="1"/>
      <c r="B91" s="45" t="s">
        <v>270</v>
      </c>
      <c r="E91" s="47"/>
    </row>
    <row r="92" customFormat="false" ht="17.15" hidden="false" customHeight="false" outlineLevel="0" collapsed="false">
      <c r="A92" s="1"/>
      <c r="B92" s="45" t="s">
        <v>271</v>
      </c>
      <c r="E92" s="47"/>
    </row>
    <row r="93" customFormat="false" ht="32.8" hidden="false" customHeight="false" outlineLevel="0" collapsed="false">
      <c r="A93" s="1"/>
      <c r="B93" s="45" t="s">
        <v>272</v>
      </c>
      <c r="E93" s="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8" min="7" style="1" width="11"/>
    <col collapsed="false" customWidth="true" hidden="false" outlineLevel="0" max="9" min="9" style="1" width="22"/>
    <col collapsed="false" customWidth="true" hidden="false" outlineLevel="0" max="10" min="10" style="1" width="70"/>
    <col collapsed="false" customWidth="true" hidden="false" outlineLevel="0" max="11" min="11" style="1" width="10"/>
  </cols>
  <sheetData>
    <row r="1" customFormat="false" ht="19.5" hidden="false" customHeight="true" outlineLevel="0" collapsed="false">
      <c r="A1" s="79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4" t="s">
        <v>274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15" t="s">
        <v>275</v>
      </c>
      <c r="B4" s="16" t="s">
        <v>276</v>
      </c>
      <c r="C4" s="16" t="s">
        <v>101</v>
      </c>
      <c r="D4" s="16" t="s">
        <v>29</v>
      </c>
      <c r="E4" s="16" t="s">
        <v>30</v>
      </c>
      <c r="F4" s="16" t="s">
        <v>277</v>
      </c>
      <c r="G4" s="16" t="s">
        <v>278</v>
      </c>
      <c r="H4" s="16" t="s">
        <v>279</v>
      </c>
      <c r="I4" s="16" t="s">
        <v>280</v>
      </c>
      <c r="J4" s="16" t="s">
        <v>281</v>
      </c>
      <c r="K4" s="16" t="s">
        <v>282</v>
      </c>
    </row>
    <row r="5" customFormat="false" ht="15" hidden="false" customHeight="true" outlineLevel="0" collapsed="false">
      <c r="A5" s="80" t="s">
        <v>283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customFormat="false" ht="15" hidden="false" customHeight="true" outlineLevel="0" collapsed="false">
      <c r="A6" s="5" t="s">
        <v>284</v>
      </c>
      <c r="B6" s="5" t="s">
        <v>285</v>
      </c>
      <c r="C6" s="5" t="s">
        <v>286</v>
      </c>
      <c r="D6" s="82" t="n">
        <v>13.07</v>
      </c>
      <c r="E6" s="5" t="s">
        <v>36</v>
      </c>
      <c r="F6" s="5" t="s">
        <v>132</v>
      </c>
      <c r="G6" s="5"/>
      <c r="H6" s="5"/>
      <c r="I6" s="5" t="s">
        <v>287</v>
      </c>
      <c r="J6" s="5" t="s">
        <v>288</v>
      </c>
      <c r="K6" s="8" t="s">
        <v>289</v>
      </c>
    </row>
    <row r="7" customFormat="false" ht="43.5" hidden="false" customHeight="true" outlineLevel="0" collapsed="false">
      <c r="A7" s="5" t="s">
        <v>290</v>
      </c>
      <c r="B7" s="5" t="s">
        <v>285</v>
      </c>
      <c r="C7" s="5" t="s">
        <v>291</v>
      </c>
      <c r="D7" s="82" t="n">
        <v>8.4</v>
      </c>
      <c r="E7" s="5" t="s">
        <v>36</v>
      </c>
      <c r="F7" s="5" t="s">
        <v>132</v>
      </c>
      <c r="G7" s="5" t="n">
        <v>7.5</v>
      </c>
      <c r="H7" s="5" t="n">
        <v>8.8</v>
      </c>
      <c r="I7" s="5" t="s">
        <v>292</v>
      </c>
      <c r="J7" s="5" t="s">
        <v>293</v>
      </c>
      <c r="K7" s="8" t="s">
        <v>294</v>
      </c>
    </row>
    <row r="8" customFormat="false" ht="15" hidden="false" customHeight="true" outlineLevel="0" collapsed="false">
      <c r="A8" s="80" t="s">
        <v>295</v>
      </c>
      <c r="B8" s="81"/>
      <c r="C8" s="81"/>
      <c r="D8" s="81"/>
      <c r="E8" s="81"/>
      <c r="F8" s="81"/>
      <c r="G8" s="81"/>
      <c r="H8" s="81"/>
      <c r="I8" s="81"/>
      <c r="J8" s="81"/>
      <c r="K8" s="81"/>
    </row>
    <row r="9" customFormat="false" ht="23.25" hidden="false" customHeight="true" outlineLevel="0" collapsed="false">
      <c r="A9" s="83" t="s">
        <v>296</v>
      </c>
      <c r="B9" s="83" t="s">
        <v>297</v>
      </c>
      <c r="C9" s="83" t="s">
        <v>298</v>
      </c>
      <c r="D9" s="84" t="n">
        <v>0.6</v>
      </c>
      <c r="E9" s="83" t="s">
        <v>195</v>
      </c>
      <c r="F9" s="83" t="s">
        <v>132</v>
      </c>
      <c r="G9" s="83" t="n">
        <v>0.5</v>
      </c>
      <c r="H9" s="83" t="n">
        <v>0.7</v>
      </c>
      <c r="I9" s="83" t="s">
        <v>299</v>
      </c>
      <c r="J9" s="85" t="s">
        <v>300</v>
      </c>
      <c r="K9" s="85" t="s">
        <v>301</v>
      </c>
    </row>
    <row r="10" customFormat="false" ht="23.25" hidden="false" customHeight="true" outlineLevel="0" collapsed="false">
      <c r="A10" s="83" t="s">
        <v>302</v>
      </c>
      <c r="B10" s="83" t="s">
        <v>297</v>
      </c>
      <c r="C10" s="83" t="s">
        <v>303</v>
      </c>
      <c r="D10" s="84" t="n">
        <v>0.4</v>
      </c>
      <c r="E10" s="83" t="s">
        <v>195</v>
      </c>
      <c r="F10" s="83" t="s">
        <v>132</v>
      </c>
      <c r="G10" s="83" t="n">
        <v>0.25</v>
      </c>
      <c r="H10" s="83" t="n">
        <v>0.4</v>
      </c>
      <c r="I10" s="83" t="s">
        <v>304</v>
      </c>
      <c r="J10" s="85" t="s">
        <v>305</v>
      </c>
      <c r="K10" s="85" t="s">
        <v>301</v>
      </c>
    </row>
    <row r="11" customFormat="false" ht="29.25" hidden="false" customHeight="true" outlineLevel="0" collapsed="false">
      <c r="A11" s="83" t="s">
        <v>306</v>
      </c>
      <c r="B11" s="83" t="s">
        <v>297</v>
      </c>
      <c r="C11" s="85" t="s">
        <v>307</v>
      </c>
      <c r="D11" s="84" t="n">
        <v>0.85</v>
      </c>
      <c r="E11" s="83" t="s">
        <v>33</v>
      </c>
      <c r="F11" s="83" t="s">
        <v>113</v>
      </c>
      <c r="G11" s="83" t="n">
        <v>0.73</v>
      </c>
      <c r="H11" s="83" t="n">
        <v>1.17</v>
      </c>
      <c r="I11" s="83" t="s">
        <v>308</v>
      </c>
      <c r="J11" s="85" t="s">
        <v>309</v>
      </c>
      <c r="K11" s="85" t="s">
        <v>301</v>
      </c>
    </row>
    <row r="12" customFormat="false" ht="29.25" hidden="false" customHeight="true" outlineLevel="0" collapsed="false">
      <c r="A12" s="83" t="s">
        <v>310</v>
      </c>
      <c r="B12" s="83" t="s">
        <v>297</v>
      </c>
      <c r="C12" s="85" t="s">
        <v>311</v>
      </c>
      <c r="D12" s="84" t="n">
        <v>1</v>
      </c>
      <c r="E12" s="83" t="s">
        <v>33</v>
      </c>
      <c r="F12" s="83" t="s">
        <v>113</v>
      </c>
      <c r="G12" s="83" t="n">
        <v>0.65</v>
      </c>
      <c r="H12" s="83" t="n">
        <v>1.2</v>
      </c>
      <c r="I12" s="83" t="s">
        <v>312</v>
      </c>
      <c r="J12" s="85" t="s">
        <v>313</v>
      </c>
      <c r="K12" s="85" t="s">
        <v>301</v>
      </c>
    </row>
    <row r="13" customFormat="false" ht="23.25" hidden="false" customHeight="true" outlineLevel="0" collapsed="false">
      <c r="A13" s="83" t="s">
        <v>314</v>
      </c>
      <c r="B13" s="83" t="s">
        <v>297</v>
      </c>
      <c r="C13" s="85" t="s">
        <v>315</v>
      </c>
      <c r="D13" s="84" t="n">
        <v>0.41</v>
      </c>
      <c r="E13" s="83" t="s">
        <v>195</v>
      </c>
      <c r="F13" s="83" t="s">
        <v>142</v>
      </c>
      <c r="G13" s="83" t="n">
        <v>0.3</v>
      </c>
      <c r="H13" s="83" t="n">
        <v>0.65</v>
      </c>
      <c r="I13" s="83" t="s">
        <v>316</v>
      </c>
      <c r="J13" s="85" t="s">
        <v>317</v>
      </c>
      <c r="K13" s="85" t="s">
        <v>301</v>
      </c>
    </row>
    <row r="14" customFormat="false" ht="23.25" hidden="false" customHeight="true" outlineLevel="0" collapsed="false">
      <c r="A14" s="83" t="s">
        <v>318</v>
      </c>
      <c r="B14" s="83" t="s">
        <v>297</v>
      </c>
      <c r="C14" s="85" t="s">
        <v>319</v>
      </c>
      <c r="D14" s="84" t="n">
        <v>0.85</v>
      </c>
      <c r="E14" s="83" t="s">
        <v>33</v>
      </c>
      <c r="F14" s="83" t="s">
        <v>142</v>
      </c>
      <c r="G14" s="83" t="n">
        <v>0.7</v>
      </c>
      <c r="H14" s="83" t="n">
        <v>1</v>
      </c>
      <c r="I14" s="83" t="s">
        <v>320</v>
      </c>
      <c r="J14" s="85" t="s">
        <v>321</v>
      </c>
      <c r="K14" s="85" t="s">
        <v>301</v>
      </c>
    </row>
    <row r="15" customFormat="false" ht="15" hidden="false" customHeight="true" outlineLevel="0" collapsed="false">
      <c r="A15" s="5" t="s">
        <v>322</v>
      </c>
      <c r="B15" s="5" t="s">
        <v>297</v>
      </c>
      <c r="C15" s="8" t="s">
        <v>323</v>
      </c>
      <c r="D15" s="82" t="n">
        <v>0.6</v>
      </c>
      <c r="E15" s="5" t="s">
        <v>195</v>
      </c>
      <c r="F15" s="5" t="s">
        <v>142</v>
      </c>
      <c r="G15" s="5" t="n">
        <v>0.4</v>
      </c>
      <c r="H15" s="5" t="n">
        <v>0.8</v>
      </c>
      <c r="I15" s="5" t="s">
        <v>324</v>
      </c>
      <c r="J15" s="8" t="s">
        <v>325</v>
      </c>
      <c r="K15" s="8" t="s">
        <v>326</v>
      </c>
    </row>
    <row r="16" customFormat="false" ht="15" hidden="false" customHeight="true" outlineLevel="0" collapsed="false">
      <c r="A16" s="80" t="s">
        <v>327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</row>
    <row r="17" customFormat="false" ht="15" hidden="false" customHeight="true" outlineLevel="0" collapsed="false">
      <c r="A17" s="5" t="s">
        <v>328</v>
      </c>
      <c r="B17" s="5" t="s">
        <v>329</v>
      </c>
      <c r="C17" s="5" t="s">
        <v>330</v>
      </c>
      <c r="D17" s="82" t="n">
        <v>0.1035</v>
      </c>
      <c r="E17" s="5" t="s">
        <v>331</v>
      </c>
      <c r="F17" s="5" t="s">
        <v>113</v>
      </c>
      <c r="G17" s="5" t="n">
        <v>0.0669</v>
      </c>
      <c r="H17" s="5" t="n">
        <v>0.3026</v>
      </c>
      <c r="I17" s="5" t="s">
        <v>332</v>
      </c>
      <c r="J17" s="5" t="s">
        <v>333</v>
      </c>
      <c r="K17" s="8" t="s">
        <v>289</v>
      </c>
    </row>
    <row r="18" customFormat="false" ht="15" hidden="false" customHeight="true" outlineLevel="0" collapsed="false">
      <c r="A18" s="5" t="s">
        <v>334</v>
      </c>
      <c r="B18" s="5" t="s">
        <v>329</v>
      </c>
      <c r="C18" s="5" t="s">
        <v>335</v>
      </c>
      <c r="D18" s="82" t="n">
        <v>2.184</v>
      </c>
      <c r="E18" s="5" t="s">
        <v>331</v>
      </c>
      <c r="F18" s="5" t="s">
        <v>113</v>
      </c>
      <c r="G18" s="5" t="n">
        <v>1.672</v>
      </c>
      <c r="H18" s="5" t="n">
        <v>2.338</v>
      </c>
      <c r="I18" s="5" t="s">
        <v>336</v>
      </c>
      <c r="J18" s="5" t="s">
        <v>337</v>
      </c>
      <c r="K18" s="8" t="s">
        <v>294</v>
      </c>
    </row>
    <row r="19" customFormat="false" ht="29.25" hidden="false" customHeight="true" outlineLevel="0" collapsed="false">
      <c r="A19" s="83" t="s">
        <v>338</v>
      </c>
      <c r="B19" s="83" t="s">
        <v>329</v>
      </c>
      <c r="C19" s="83" t="s">
        <v>339</v>
      </c>
      <c r="D19" s="84" t="n">
        <v>4.5</v>
      </c>
      <c r="E19" s="83" t="s">
        <v>331</v>
      </c>
      <c r="F19" s="83" t="s">
        <v>113</v>
      </c>
      <c r="G19" s="83" t="n">
        <v>3.3</v>
      </c>
      <c r="H19" s="83" t="n">
        <v>5.9</v>
      </c>
      <c r="I19" s="83" t="s">
        <v>340</v>
      </c>
      <c r="J19" s="83" t="s">
        <v>341</v>
      </c>
      <c r="K19" s="85" t="s">
        <v>301</v>
      </c>
    </row>
    <row r="20" customFormat="false" ht="15" hidden="false" customHeight="true" outlineLevel="0" collapsed="false">
      <c r="A20" s="83" t="s">
        <v>342</v>
      </c>
      <c r="B20" s="83" t="s">
        <v>329</v>
      </c>
      <c r="C20" s="85" t="s">
        <v>343</v>
      </c>
      <c r="D20" s="84" t="n">
        <v>0.2</v>
      </c>
      <c r="E20" s="83" t="s">
        <v>195</v>
      </c>
      <c r="F20" s="83" t="s">
        <v>142</v>
      </c>
      <c r="G20" s="83" t="n">
        <v>0.1</v>
      </c>
      <c r="H20" s="83" t="n">
        <v>0.4</v>
      </c>
      <c r="I20" s="83" t="s">
        <v>344</v>
      </c>
      <c r="J20" s="83" t="s">
        <v>345</v>
      </c>
      <c r="K20" s="85" t="s">
        <v>301</v>
      </c>
    </row>
    <row r="21" customFormat="false" ht="23.25" hidden="false" customHeight="true" outlineLevel="0" collapsed="false">
      <c r="A21" s="5" t="s">
        <v>346</v>
      </c>
      <c r="B21" s="5" t="s">
        <v>329</v>
      </c>
      <c r="C21" s="8" t="s">
        <v>347</v>
      </c>
      <c r="D21" s="82" t="n">
        <v>0.4</v>
      </c>
      <c r="E21" s="5" t="s">
        <v>195</v>
      </c>
      <c r="F21" s="5" t="s">
        <v>132</v>
      </c>
      <c r="G21" s="5"/>
      <c r="H21" s="5"/>
      <c r="I21" s="5" t="s">
        <v>348</v>
      </c>
      <c r="J21" s="5" t="s">
        <v>349</v>
      </c>
      <c r="K21" s="8" t="s">
        <v>294</v>
      </c>
    </row>
    <row r="22" customFormat="false" ht="23.25" hidden="false" customHeight="true" outlineLevel="0" collapsed="false">
      <c r="A22" s="5" t="s">
        <v>350</v>
      </c>
      <c r="B22" s="5" t="s">
        <v>329</v>
      </c>
      <c r="C22" s="8" t="s">
        <v>351</v>
      </c>
      <c r="D22" s="82" t="n">
        <v>0.45</v>
      </c>
      <c r="E22" s="5" t="s">
        <v>195</v>
      </c>
      <c r="F22" s="5" t="s">
        <v>132</v>
      </c>
      <c r="G22" s="5"/>
      <c r="H22" s="5"/>
      <c r="I22" s="5" t="s">
        <v>352</v>
      </c>
      <c r="J22" s="8" t="s">
        <v>61</v>
      </c>
      <c r="K22" s="8" t="s">
        <v>294</v>
      </c>
    </row>
    <row r="23" customFormat="false" ht="23.25" hidden="false" customHeight="true" outlineLevel="0" collapsed="false">
      <c r="A23" s="5" t="s">
        <v>353</v>
      </c>
      <c r="B23" s="5" t="s">
        <v>329</v>
      </c>
      <c r="C23" s="8" t="s">
        <v>354</v>
      </c>
      <c r="D23" s="82" t="n">
        <v>0.15</v>
      </c>
      <c r="E23" s="5" t="s">
        <v>195</v>
      </c>
      <c r="F23" s="5" t="s">
        <v>132</v>
      </c>
      <c r="G23" s="5"/>
      <c r="H23" s="5"/>
      <c r="I23" s="5" t="s">
        <v>355</v>
      </c>
      <c r="J23" s="8" t="s">
        <v>356</v>
      </c>
      <c r="K23" s="8" t="s">
        <v>294</v>
      </c>
    </row>
    <row r="24" customFormat="false" ht="23.25" hidden="false" customHeight="true" outlineLevel="0" collapsed="false">
      <c r="A24" s="5" t="s">
        <v>357</v>
      </c>
      <c r="B24" s="5" t="s">
        <v>329</v>
      </c>
      <c r="C24" s="8" t="s">
        <v>358</v>
      </c>
      <c r="D24" s="82" t="n">
        <v>0.9</v>
      </c>
      <c r="E24" s="5" t="s">
        <v>195</v>
      </c>
      <c r="F24" s="5" t="s">
        <v>132</v>
      </c>
      <c r="G24" s="5"/>
      <c r="H24" s="5"/>
      <c r="I24" s="5" t="s">
        <v>359</v>
      </c>
      <c r="J24" s="5" t="s">
        <v>360</v>
      </c>
      <c r="K24" s="8" t="s">
        <v>294</v>
      </c>
    </row>
    <row r="25" customFormat="false" ht="23.25" hidden="false" customHeight="true" outlineLevel="0" collapsed="false">
      <c r="A25" s="5" t="s">
        <v>361</v>
      </c>
      <c r="B25" s="5" t="s">
        <v>329</v>
      </c>
      <c r="C25" s="8" t="s">
        <v>362</v>
      </c>
      <c r="D25" s="82" t="n">
        <v>0.1</v>
      </c>
      <c r="E25" s="5" t="s">
        <v>195</v>
      </c>
      <c r="F25" s="5" t="s">
        <v>132</v>
      </c>
      <c r="G25" s="5"/>
      <c r="H25" s="5"/>
      <c r="I25" s="5" t="s">
        <v>363</v>
      </c>
      <c r="J25" s="8" t="s">
        <v>61</v>
      </c>
      <c r="K25" s="8" t="s">
        <v>294</v>
      </c>
    </row>
    <row r="26" customFormat="false" ht="23.25" hidden="false" customHeight="true" outlineLevel="0" collapsed="false">
      <c r="A26" s="5" t="s">
        <v>364</v>
      </c>
      <c r="B26" s="5" t="s">
        <v>329</v>
      </c>
      <c r="C26" s="8" t="s">
        <v>365</v>
      </c>
      <c r="D26" s="82" t="n">
        <v>0</v>
      </c>
      <c r="E26" s="5" t="s">
        <v>195</v>
      </c>
      <c r="F26" s="5" t="s">
        <v>132</v>
      </c>
      <c r="G26" s="5"/>
      <c r="H26" s="5"/>
      <c r="I26" s="5" t="s">
        <v>366</v>
      </c>
      <c r="J26" s="8" t="s">
        <v>61</v>
      </c>
      <c r="K26" s="8" t="s">
        <v>289</v>
      </c>
    </row>
    <row r="27" customFormat="false" ht="15" hidden="false" customHeight="true" outlineLevel="0" collapsed="false">
      <c r="A27" s="80" t="s">
        <v>367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customFormat="false" ht="23.25" hidden="false" customHeight="true" outlineLevel="0" collapsed="false">
      <c r="A28" s="5" t="s">
        <v>368</v>
      </c>
      <c r="B28" s="5" t="s">
        <v>369</v>
      </c>
      <c r="C28" s="5" t="s">
        <v>370</v>
      </c>
      <c r="D28" s="82" t="n">
        <v>6</v>
      </c>
      <c r="E28" s="5" t="s">
        <v>371</v>
      </c>
      <c r="F28" s="5" t="s">
        <v>132</v>
      </c>
      <c r="G28" s="5"/>
      <c r="H28" s="5"/>
      <c r="I28" s="5" t="s">
        <v>372</v>
      </c>
      <c r="J28" s="5" t="s">
        <v>373</v>
      </c>
      <c r="K28" s="8" t="s">
        <v>289</v>
      </c>
    </row>
    <row r="29" customFormat="false" ht="23.25" hidden="false" customHeight="true" outlineLevel="0" collapsed="false">
      <c r="A29" s="5" t="s">
        <v>374</v>
      </c>
      <c r="B29" s="5" t="s">
        <v>369</v>
      </c>
      <c r="C29" s="5" t="s">
        <v>375</v>
      </c>
      <c r="D29" s="82" t="n">
        <v>0.75</v>
      </c>
      <c r="E29" s="5" t="s">
        <v>33</v>
      </c>
      <c r="F29" s="5" t="s">
        <v>142</v>
      </c>
      <c r="G29" s="5" t="n">
        <v>0.6</v>
      </c>
      <c r="H29" s="5" t="n">
        <v>0.9</v>
      </c>
      <c r="I29" s="5" t="s">
        <v>376</v>
      </c>
      <c r="J29" s="5" t="s">
        <v>142</v>
      </c>
      <c r="K29" s="8" t="s">
        <v>294</v>
      </c>
    </row>
    <row r="30" customFormat="false" ht="23.25" hidden="false" customHeight="true" outlineLevel="0" collapsed="false">
      <c r="A30" s="5" t="s">
        <v>377</v>
      </c>
      <c r="B30" s="5" t="s">
        <v>369</v>
      </c>
      <c r="C30" s="5" t="s">
        <v>378</v>
      </c>
      <c r="D30" s="82" t="n">
        <v>2.5</v>
      </c>
      <c r="E30" s="5" t="s">
        <v>379</v>
      </c>
      <c r="F30" s="5" t="s">
        <v>132</v>
      </c>
      <c r="G30" s="5"/>
      <c r="H30" s="5"/>
      <c r="I30" s="5" t="s">
        <v>380</v>
      </c>
      <c r="J30" s="5" t="s">
        <v>381</v>
      </c>
      <c r="K30" s="8" t="s">
        <v>289</v>
      </c>
    </row>
    <row r="31" customFormat="false" ht="15" hidden="false" customHeight="true" outlineLevel="0" collapsed="false">
      <c r="A31" s="5" t="s">
        <v>382</v>
      </c>
      <c r="B31" s="5" t="s">
        <v>369</v>
      </c>
      <c r="C31" s="8" t="s">
        <v>383</v>
      </c>
      <c r="D31" s="82" t="n">
        <v>4000</v>
      </c>
      <c r="E31" s="5" t="s">
        <v>384</v>
      </c>
      <c r="F31" s="5" t="s">
        <v>142</v>
      </c>
      <c r="G31" s="5" t="n">
        <v>2000</v>
      </c>
      <c r="H31" s="5" t="n">
        <v>11000</v>
      </c>
      <c r="I31" s="5" t="s">
        <v>385</v>
      </c>
      <c r="J31" s="5" t="s">
        <v>386</v>
      </c>
      <c r="K31" s="8" t="s">
        <v>294</v>
      </c>
    </row>
    <row r="32" customFormat="false" ht="23.25" hidden="false" customHeight="true" outlineLevel="0" collapsed="false">
      <c r="A32" s="5" t="s">
        <v>387</v>
      </c>
      <c r="B32" s="5" t="s">
        <v>369</v>
      </c>
      <c r="C32" s="5" t="s">
        <v>388</v>
      </c>
      <c r="D32" s="82" t="n">
        <v>0.6</v>
      </c>
      <c r="E32" s="5" t="s">
        <v>195</v>
      </c>
      <c r="F32" s="5" t="s">
        <v>142</v>
      </c>
      <c r="G32" s="5" t="n">
        <v>0.4</v>
      </c>
      <c r="H32" s="5" t="n">
        <v>0.8</v>
      </c>
      <c r="I32" s="5" t="s">
        <v>389</v>
      </c>
      <c r="J32" s="5" t="s">
        <v>390</v>
      </c>
      <c r="K32" s="8" t="s">
        <v>294</v>
      </c>
    </row>
    <row r="33" customFormat="false" ht="15" hidden="false" customHeight="true" outlineLevel="0" collapsed="false">
      <c r="A33" s="80" t="s">
        <v>391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customFormat="false" ht="15" hidden="false" customHeight="true" outlineLevel="0" collapsed="false">
      <c r="A34" s="5" t="s">
        <v>392</v>
      </c>
      <c r="B34" s="5" t="s">
        <v>393</v>
      </c>
      <c r="C34" s="8" t="s">
        <v>394</v>
      </c>
      <c r="D34" s="82" t="n">
        <v>0.55</v>
      </c>
      <c r="E34" s="5" t="s">
        <v>195</v>
      </c>
      <c r="F34" s="5" t="s">
        <v>142</v>
      </c>
      <c r="G34" s="5" t="n">
        <v>0.3</v>
      </c>
      <c r="H34" s="5" t="n">
        <v>0.75</v>
      </c>
      <c r="I34" s="5" t="s">
        <v>395</v>
      </c>
      <c r="J34" s="5" t="s">
        <v>396</v>
      </c>
      <c r="K34" s="8" t="s">
        <v>294</v>
      </c>
    </row>
    <row r="35" customFormat="false" ht="23.25" hidden="false" customHeight="true" outlineLevel="0" collapsed="false">
      <c r="A35" s="5" t="s">
        <v>397</v>
      </c>
      <c r="B35" s="5" t="s">
        <v>393</v>
      </c>
      <c r="C35" s="5" t="s">
        <v>398</v>
      </c>
      <c r="D35" s="82" t="n">
        <v>3</v>
      </c>
      <c r="E35" s="5" t="s">
        <v>384</v>
      </c>
      <c r="F35" s="5" t="s">
        <v>399</v>
      </c>
      <c r="G35" s="5" t="n">
        <v>1</v>
      </c>
      <c r="H35" s="5" t="n">
        <v>5</v>
      </c>
      <c r="I35" s="5" t="s">
        <v>400</v>
      </c>
      <c r="J35" s="8" t="s">
        <v>401</v>
      </c>
      <c r="K35" s="8" t="s">
        <v>289</v>
      </c>
    </row>
    <row r="36" customFormat="false" ht="23.25" hidden="false" customHeight="true" outlineLevel="0" collapsed="false">
      <c r="A36" s="5" t="s">
        <v>402</v>
      </c>
      <c r="B36" s="5" t="s">
        <v>393</v>
      </c>
      <c r="C36" s="8" t="s">
        <v>403</v>
      </c>
      <c r="D36" s="82" t="n">
        <v>0.7</v>
      </c>
      <c r="E36" s="5" t="s">
        <v>195</v>
      </c>
      <c r="F36" s="8" t="s">
        <v>401</v>
      </c>
      <c r="G36" s="5"/>
      <c r="H36" s="5"/>
      <c r="I36" s="5" t="s">
        <v>404</v>
      </c>
      <c r="J36" s="8" t="s">
        <v>401</v>
      </c>
      <c r="K36" s="8" t="s">
        <v>289</v>
      </c>
    </row>
    <row r="37" customFormat="false" ht="23.25" hidden="false" customHeight="true" outlineLevel="0" collapsed="false">
      <c r="A37" s="5" t="s">
        <v>405</v>
      </c>
      <c r="B37" s="5" t="s">
        <v>393</v>
      </c>
      <c r="C37" s="5" t="s">
        <v>406</v>
      </c>
      <c r="D37" s="82" t="n">
        <v>0.1</v>
      </c>
      <c r="E37" s="5" t="s">
        <v>195</v>
      </c>
      <c r="F37" s="5" t="s">
        <v>142</v>
      </c>
      <c r="G37" s="5" t="n">
        <v>0.05</v>
      </c>
      <c r="H37" s="5" t="n">
        <v>0.2</v>
      </c>
      <c r="I37" s="5" t="s">
        <v>407</v>
      </c>
      <c r="J37" s="5"/>
      <c r="K37" s="8" t="s">
        <v>289</v>
      </c>
    </row>
    <row r="38" customFormat="false" ht="23.25" hidden="false" customHeight="true" outlineLevel="0" collapsed="false">
      <c r="A38" s="5" t="s">
        <v>408</v>
      </c>
      <c r="B38" s="5" t="s">
        <v>393</v>
      </c>
      <c r="C38" s="8" t="s">
        <v>409</v>
      </c>
      <c r="D38" s="82" t="n">
        <v>0.2</v>
      </c>
      <c r="E38" s="5" t="s">
        <v>195</v>
      </c>
      <c r="F38" s="5" t="s">
        <v>142</v>
      </c>
      <c r="G38" s="5" t="n">
        <v>0.1</v>
      </c>
      <c r="H38" s="5" t="n">
        <v>0.3</v>
      </c>
      <c r="I38" s="5" t="s">
        <v>410</v>
      </c>
      <c r="J38" s="5"/>
      <c r="K38" s="8" t="s">
        <v>289</v>
      </c>
    </row>
    <row r="39" customFormat="false" ht="15" hidden="false" customHeight="true" outlineLevel="0" collapsed="false">
      <c r="A39" s="5" t="s">
        <v>411</v>
      </c>
      <c r="B39" s="5" t="s">
        <v>393</v>
      </c>
      <c r="C39" s="8" t="s">
        <v>412</v>
      </c>
      <c r="D39" s="82" t="n">
        <v>0.4</v>
      </c>
      <c r="E39" s="5" t="s">
        <v>195</v>
      </c>
      <c r="F39" s="5" t="s">
        <v>142</v>
      </c>
      <c r="G39" s="5" t="n">
        <v>0.3</v>
      </c>
      <c r="H39" s="5" t="n">
        <v>0.5</v>
      </c>
      <c r="I39" s="5" t="s">
        <v>413</v>
      </c>
      <c r="J39" s="5"/>
      <c r="K39" s="8" t="s">
        <v>289</v>
      </c>
    </row>
    <row r="40" customFormat="false" ht="23.25" hidden="false" customHeight="true" outlineLevel="0" collapsed="false">
      <c r="A40" s="5" t="s">
        <v>414</v>
      </c>
      <c r="B40" s="5" t="s">
        <v>393</v>
      </c>
      <c r="C40" s="5" t="s">
        <v>415</v>
      </c>
      <c r="D40" s="82" t="n">
        <v>3</v>
      </c>
      <c r="E40" s="5" t="s">
        <v>297</v>
      </c>
      <c r="F40" s="5" t="s">
        <v>142</v>
      </c>
      <c r="G40" s="5" t="n">
        <v>2</v>
      </c>
      <c r="H40" s="5" t="n">
        <v>4</v>
      </c>
      <c r="I40" s="5" t="s">
        <v>416</v>
      </c>
      <c r="J40" s="5"/>
      <c r="K40" s="8" t="s">
        <v>289</v>
      </c>
    </row>
    <row r="41" customFormat="false" ht="15" hidden="false" customHeight="true" outlineLevel="0" collapsed="false">
      <c r="A41" s="5" t="s">
        <v>417</v>
      </c>
      <c r="B41" s="5" t="s">
        <v>393</v>
      </c>
      <c r="C41" s="5" t="s">
        <v>418</v>
      </c>
      <c r="D41" s="82" t="n">
        <v>0.7</v>
      </c>
      <c r="E41" s="5" t="s">
        <v>195</v>
      </c>
      <c r="F41" s="5" t="s">
        <v>142</v>
      </c>
      <c r="G41" s="5" t="n">
        <v>0.5</v>
      </c>
      <c r="H41" s="5" t="n">
        <v>0.85</v>
      </c>
      <c r="I41" s="5" t="s">
        <v>419</v>
      </c>
      <c r="J41" s="5"/>
      <c r="K41" s="8" t="s">
        <v>289</v>
      </c>
    </row>
    <row r="42" customFormat="false" ht="15" hidden="false" customHeight="true" outlineLevel="0" collapsed="false">
      <c r="A42" s="5" t="s">
        <v>420</v>
      </c>
      <c r="B42" s="5" t="s">
        <v>393</v>
      </c>
      <c r="C42" s="5" t="s">
        <v>421</v>
      </c>
      <c r="D42" s="82" t="n">
        <v>0.7</v>
      </c>
      <c r="E42" s="5" t="s">
        <v>195</v>
      </c>
      <c r="F42" s="5" t="s">
        <v>142</v>
      </c>
      <c r="G42" s="5" t="n">
        <v>0.5</v>
      </c>
      <c r="H42" s="5" t="n">
        <v>0.85</v>
      </c>
      <c r="I42" s="5" t="s">
        <v>422</v>
      </c>
      <c r="J42" s="5"/>
      <c r="K42" s="8" t="s">
        <v>289</v>
      </c>
    </row>
    <row r="43" customFormat="false" ht="15" hidden="false" customHeight="true" outlineLevel="0" collapsed="false">
      <c r="A43" s="80" t="s">
        <v>423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</row>
    <row r="44" customFormat="false" ht="23.25" hidden="false" customHeight="true" outlineLevel="0" collapsed="false">
      <c r="A44" s="5" t="s">
        <v>424</v>
      </c>
      <c r="B44" s="5" t="s">
        <v>425</v>
      </c>
      <c r="C44" s="5" t="s">
        <v>426</v>
      </c>
      <c r="D44" s="82" t="n">
        <v>0.0357550334998836</v>
      </c>
      <c r="E44" s="5" t="s">
        <v>195</v>
      </c>
      <c r="F44" s="5" t="s">
        <v>132</v>
      </c>
      <c r="G44" s="5"/>
      <c r="H44" s="5"/>
      <c r="I44" s="5" t="s">
        <v>427</v>
      </c>
      <c r="J44" s="8" t="s">
        <v>428</v>
      </c>
      <c r="K44" s="8" t="s">
        <v>294</v>
      </c>
    </row>
    <row r="45" customFormat="false" ht="15" hidden="false" customHeight="true" outlineLevel="0" collapsed="false">
      <c r="A45" s="5" t="s">
        <v>429</v>
      </c>
      <c r="B45" s="5" t="s">
        <v>425</v>
      </c>
      <c r="C45" s="8" t="s">
        <v>430</v>
      </c>
      <c r="D45" s="82" t="n">
        <v>161.185338133698</v>
      </c>
      <c r="E45" s="5" t="s">
        <v>431</v>
      </c>
      <c r="F45" s="5" t="s">
        <v>132</v>
      </c>
      <c r="G45" s="5"/>
      <c r="H45" s="5"/>
      <c r="I45" s="5" t="s">
        <v>432</v>
      </c>
      <c r="J45" s="8" t="s">
        <v>61</v>
      </c>
      <c r="K45" s="8" t="s">
        <v>294</v>
      </c>
    </row>
    <row r="46" customFormat="false" ht="23.25" hidden="false" customHeight="true" outlineLevel="0" collapsed="false">
      <c r="A46" s="5" t="s">
        <v>433</v>
      </c>
      <c r="B46" s="5" t="s">
        <v>425</v>
      </c>
      <c r="C46" s="5" t="s">
        <v>434</v>
      </c>
      <c r="D46" s="82" t="n">
        <v>0.3</v>
      </c>
      <c r="E46" s="5" t="s">
        <v>195</v>
      </c>
      <c r="F46" s="5" t="s">
        <v>399</v>
      </c>
      <c r="G46" s="5" t="n">
        <v>0.15</v>
      </c>
      <c r="H46" s="5" t="n">
        <v>0.45</v>
      </c>
      <c r="I46" s="5" t="s">
        <v>435</v>
      </c>
      <c r="J46" s="5" t="s">
        <v>399</v>
      </c>
      <c r="K46" s="8" t="s">
        <v>294</v>
      </c>
    </row>
    <row r="47" customFormat="false" ht="23.25" hidden="false" customHeight="true" outlineLevel="0" collapsed="false">
      <c r="A47" s="83" t="s">
        <v>436</v>
      </c>
      <c r="B47" s="83" t="s">
        <v>425</v>
      </c>
      <c r="C47" s="83" t="s">
        <v>437</v>
      </c>
      <c r="D47" s="84" t="n">
        <v>1.2</v>
      </c>
      <c r="E47" s="83" t="s">
        <v>33</v>
      </c>
      <c r="F47" s="83" t="s">
        <v>113</v>
      </c>
      <c r="G47" s="83" t="n">
        <v>0.8</v>
      </c>
      <c r="H47" s="83" t="n">
        <v>1.6</v>
      </c>
      <c r="I47" s="83" t="s">
        <v>438</v>
      </c>
      <c r="J47" s="85" t="s">
        <v>439</v>
      </c>
      <c r="K47" s="85" t="s">
        <v>301</v>
      </c>
    </row>
    <row r="48" customFormat="false" ht="23.25" hidden="false" customHeight="true" outlineLevel="0" collapsed="false">
      <c r="A48" s="5" t="s">
        <v>440</v>
      </c>
      <c r="B48" s="5" t="s">
        <v>425</v>
      </c>
      <c r="C48" s="5" t="s">
        <v>441</v>
      </c>
      <c r="D48" s="82" t="n">
        <v>1.15</v>
      </c>
      <c r="E48" s="5" t="s">
        <v>33</v>
      </c>
      <c r="F48" s="5" t="s">
        <v>113</v>
      </c>
      <c r="G48" s="5" t="n">
        <v>0.9</v>
      </c>
      <c r="H48" s="5" t="n">
        <v>1.45</v>
      </c>
      <c r="I48" s="5" t="s">
        <v>442</v>
      </c>
      <c r="J48" s="5" t="s">
        <v>443</v>
      </c>
      <c r="K48" s="8" t="s">
        <v>294</v>
      </c>
    </row>
    <row r="49" customFormat="false" ht="23.25" hidden="false" customHeight="true" outlineLevel="0" collapsed="false">
      <c r="A49" s="5" t="s">
        <v>444</v>
      </c>
      <c r="B49" s="5" t="s">
        <v>425</v>
      </c>
      <c r="C49" s="8" t="s">
        <v>445</v>
      </c>
      <c r="D49" s="82" t="n">
        <v>1.5</v>
      </c>
      <c r="E49" s="5" t="s">
        <v>33</v>
      </c>
      <c r="F49" s="5" t="s">
        <v>142</v>
      </c>
      <c r="G49" s="5" t="n">
        <v>1</v>
      </c>
      <c r="H49" s="5" t="n">
        <v>1.5</v>
      </c>
      <c r="I49" s="5" t="s">
        <v>446</v>
      </c>
      <c r="J49" s="5" t="s">
        <v>142</v>
      </c>
      <c r="K49" s="8" t="s">
        <v>294</v>
      </c>
    </row>
    <row r="50" customFormat="false" ht="23.25" hidden="false" customHeight="true" outlineLevel="0" collapsed="false">
      <c r="A50" s="5" t="s">
        <v>447</v>
      </c>
      <c r="B50" s="5" t="s">
        <v>425</v>
      </c>
      <c r="C50" s="8" t="s">
        <v>448</v>
      </c>
      <c r="D50" s="82" t="n">
        <v>1</v>
      </c>
      <c r="E50" s="5" t="s">
        <v>33</v>
      </c>
      <c r="F50" s="5" t="s">
        <v>142</v>
      </c>
      <c r="G50" s="5" t="n">
        <v>1</v>
      </c>
      <c r="H50" s="5" t="n">
        <v>1.5</v>
      </c>
      <c r="I50" s="5" t="s">
        <v>449</v>
      </c>
      <c r="J50" s="8" t="s">
        <v>450</v>
      </c>
      <c r="K50" s="8" t="s">
        <v>294</v>
      </c>
    </row>
    <row r="51" customFormat="false" ht="29.25" hidden="false" customHeight="true" outlineLevel="0" collapsed="false">
      <c r="A51" s="5" t="s">
        <v>451</v>
      </c>
      <c r="B51" s="5" t="s">
        <v>425</v>
      </c>
      <c r="C51" s="5" t="s">
        <v>452</v>
      </c>
      <c r="D51" s="82" t="n">
        <v>0.499747347145023</v>
      </c>
      <c r="E51" s="5" t="s">
        <v>33</v>
      </c>
      <c r="F51" s="5" t="s">
        <v>453</v>
      </c>
      <c r="G51" s="5"/>
      <c r="H51" s="5"/>
      <c r="I51" s="5" t="s">
        <v>454</v>
      </c>
      <c r="J51" s="8" t="s">
        <v>455</v>
      </c>
      <c r="K51" s="8" t="s">
        <v>289</v>
      </c>
    </row>
    <row r="52" customFormat="false" ht="23.25" hidden="false" customHeight="true" outlineLevel="0" collapsed="false">
      <c r="A52" s="5" t="s">
        <v>456</v>
      </c>
      <c r="B52" s="5" t="s">
        <v>425</v>
      </c>
      <c r="C52" s="5" t="s">
        <v>457</v>
      </c>
      <c r="D52" s="82" t="n">
        <v>1</v>
      </c>
      <c r="E52" s="5" t="s">
        <v>33</v>
      </c>
      <c r="F52" s="5" t="s">
        <v>142</v>
      </c>
      <c r="G52" s="5" t="n">
        <v>0.5</v>
      </c>
      <c r="H52" s="5" t="n">
        <v>1.5</v>
      </c>
      <c r="I52" s="5" t="s">
        <v>458</v>
      </c>
      <c r="J52" s="5"/>
      <c r="K52" s="8" t="s">
        <v>289</v>
      </c>
    </row>
    <row r="53" customFormat="false" ht="15" hidden="false" customHeight="true" outlineLevel="0" collapsed="false">
      <c r="A53" s="80" t="s">
        <v>459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</row>
    <row r="54" customFormat="false" ht="23.25" hidden="false" customHeight="true" outlineLevel="0" collapsed="false">
      <c r="A54" s="5" t="s">
        <v>460</v>
      </c>
      <c r="B54" s="5" t="s">
        <v>461</v>
      </c>
      <c r="C54" s="8" t="s">
        <v>462</v>
      </c>
      <c r="D54" s="82" t="n">
        <v>1.979</v>
      </c>
      <c r="E54" s="5" t="s">
        <v>463</v>
      </c>
      <c r="F54" s="5" t="s">
        <v>132</v>
      </c>
      <c r="G54" s="5"/>
      <c r="H54" s="5"/>
      <c r="I54" s="5" t="s">
        <v>464</v>
      </c>
      <c r="J54" s="8" t="s">
        <v>465</v>
      </c>
      <c r="K54" s="8" t="s">
        <v>289</v>
      </c>
    </row>
    <row r="55" customFormat="false" ht="23.25" hidden="false" customHeight="true" outlineLevel="0" collapsed="false">
      <c r="A55" s="5" t="s">
        <v>466</v>
      </c>
      <c r="B55" s="5" t="s">
        <v>461</v>
      </c>
      <c r="C55" s="8" t="s">
        <v>467</v>
      </c>
      <c r="D55" s="82" t="n">
        <v>10</v>
      </c>
      <c r="E55" s="5" t="s">
        <v>463</v>
      </c>
      <c r="F55" s="5" t="s">
        <v>132</v>
      </c>
      <c r="G55" s="5"/>
      <c r="H55" s="5"/>
      <c r="I55" s="5" t="s">
        <v>468</v>
      </c>
      <c r="J55" s="8" t="s">
        <v>465</v>
      </c>
      <c r="K55" s="8" t="s">
        <v>289</v>
      </c>
    </row>
    <row r="56" customFormat="false" ht="23.25" hidden="false" customHeight="true" outlineLevel="0" collapsed="false">
      <c r="A56" s="5" t="s">
        <v>469</v>
      </c>
      <c r="B56" s="5" t="s">
        <v>461</v>
      </c>
      <c r="C56" s="5" t="s">
        <v>470</v>
      </c>
      <c r="D56" s="82" t="n">
        <v>80</v>
      </c>
      <c r="E56" s="5" t="s">
        <v>471</v>
      </c>
      <c r="F56" s="8" t="s">
        <v>401</v>
      </c>
      <c r="G56" s="5"/>
      <c r="H56" s="5"/>
      <c r="I56" s="5" t="s">
        <v>472</v>
      </c>
      <c r="J56" s="8" t="s">
        <v>465</v>
      </c>
      <c r="K56" s="8" t="s">
        <v>289</v>
      </c>
    </row>
    <row r="57" customFormat="false" ht="29.25" hidden="false" customHeight="true" outlineLevel="0" collapsed="false">
      <c r="A57" s="5" t="s">
        <v>473</v>
      </c>
      <c r="B57" s="5" t="s">
        <v>461</v>
      </c>
      <c r="C57" s="5" t="s">
        <v>474</v>
      </c>
      <c r="D57" s="82" t="n">
        <v>186</v>
      </c>
      <c r="E57" s="5" t="s">
        <v>471</v>
      </c>
      <c r="F57" s="8" t="s">
        <v>475</v>
      </c>
      <c r="G57" s="5"/>
      <c r="H57" s="5"/>
      <c r="I57" s="5" t="s">
        <v>476</v>
      </c>
      <c r="J57" s="8" t="s">
        <v>465</v>
      </c>
      <c r="K57" s="8" t="s">
        <v>289</v>
      </c>
    </row>
    <row r="58" customFormat="false" ht="23.25" hidden="false" customHeight="true" outlineLevel="0" collapsed="false">
      <c r="A58" s="5" t="s">
        <v>477</v>
      </c>
      <c r="B58" s="5" t="s">
        <v>461</v>
      </c>
      <c r="C58" s="5" t="s">
        <v>478</v>
      </c>
      <c r="D58" s="82" t="n">
        <v>3.35</v>
      </c>
      <c r="E58" s="5" t="s">
        <v>479</v>
      </c>
      <c r="F58" s="8" t="s">
        <v>401</v>
      </c>
      <c r="G58" s="5"/>
      <c r="H58" s="5"/>
      <c r="I58" s="5" t="s">
        <v>480</v>
      </c>
      <c r="J58" s="8" t="s">
        <v>465</v>
      </c>
      <c r="K58" s="8" t="s">
        <v>289</v>
      </c>
    </row>
    <row r="59" customFormat="false" ht="23.25" hidden="false" customHeight="true" outlineLevel="0" collapsed="false">
      <c r="A59" s="5" t="s">
        <v>481</v>
      </c>
      <c r="B59" s="5" t="s">
        <v>461</v>
      </c>
      <c r="C59" s="5" t="s">
        <v>482</v>
      </c>
      <c r="D59" s="82" t="n">
        <v>8</v>
      </c>
      <c r="E59" s="5" t="s">
        <v>479</v>
      </c>
      <c r="F59" s="8" t="s">
        <v>401</v>
      </c>
      <c r="G59" s="5"/>
      <c r="H59" s="5"/>
      <c r="I59" s="5" t="s">
        <v>483</v>
      </c>
      <c r="J59" s="8" t="s">
        <v>465</v>
      </c>
      <c r="K59" s="8" t="s">
        <v>289</v>
      </c>
    </row>
    <row r="60" customFormat="false" ht="23.25" hidden="false" customHeight="true" outlineLevel="0" collapsed="false">
      <c r="A60" s="5" t="s">
        <v>484</v>
      </c>
      <c r="B60" s="5" t="s">
        <v>461</v>
      </c>
      <c r="C60" s="5" t="s">
        <v>485</v>
      </c>
      <c r="D60" s="82" t="n">
        <v>0.05</v>
      </c>
      <c r="E60" s="5" t="s">
        <v>479</v>
      </c>
      <c r="F60" s="8" t="s">
        <v>401</v>
      </c>
      <c r="G60" s="5"/>
      <c r="H60" s="5"/>
      <c r="I60" s="5" t="s">
        <v>486</v>
      </c>
      <c r="J60" s="8" t="s">
        <v>465</v>
      </c>
      <c r="K60" s="8" t="s">
        <v>289</v>
      </c>
    </row>
    <row r="61" customFormat="false" ht="23.25" hidden="false" customHeight="true" outlineLevel="0" collapsed="false">
      <c r="A61" s="5" t="s">
        <v>487</v>
      </c>
      <c r="B61" s="5" t="s">
        <v>461</v>
      </c>
      <c r="C61" s="5" t="s">
        <v>488</v>
      </c>
      <c r="D61" s="82" t="n">
        <v>0.9</v>
      </c>
      <c r="E61" s="5" t="s">
        <v>479</v>
      </c>
      <c r="F61" s="8" t="s">
        <v>401</v>
      </c>
      <c r="G61" s="5"/>
      <c r="H61" s="5"/>
      <c r="I61" s="5" t="s">
        <v>489</v>
      </c>
      <c r="J61" s="8" t="s">
        <v>465</v>
      </c>
      <c r="K61" s="8" t="s">
        <v>289</v>
      </c>
    </row>
    <row r="62" customFormat="false" ht="23.25" hidden="false" customHeight="true" outlineLevel="0" collapsed="false">
      <c r="A62" s="5" t="s">
        <v>490</v>
      </c>
      <c r="B62" s="5" t="s">
        <v>461</v>
      </c>
      <c r="C62" s="5" t="s">
        <v>491</v>
      </c>
      <c r="D62" s="82" t="n">
        <v>64</v>
      </c>
      <c r="E62" s="5" t="s">
        <v>492</v>
      </c>
      <c r="F62" s="5" t="s">
        <v>399</v>
      </c>
      <c r="G62" s="5" t="n">
        <v>32</v>
      </c>
      <c r="H62" s="5" t="n">
        <v>144</v>
      </c>
      <c r="I62" s="5" t="s">
        <v>493</v>
      </c>
      <c r="J62" s="8" t="s">
        <v>465</v>
      </c>
      <c r="K62" s="8" t="s">
        <v>289</v>
      </c>
    </row>
    <row r="63" customFormat="false" ht="23.25" hidden="false" customHeight="true" outlineLevel="0" collapsed="false">
      <c r="A63" s="5" t="s">
        <v>494</v>
      </c>
      <c r="B63" s="5" t="s">
        <v>461</v>
      </c>
      <c r="C63" s="5" t="s">
        <v>495</v>
      </c>
      <c r="D63" s="82" t="n">
        <v>32</v>
      </c>
      <c r="E63" s="5" t="s">
        <v>492</v>
      </c>
      <c r="F63" s="5" t="s">
        <v>399</v>
      </c>
      <c r="G63" s="5" t="n">
        <v>16</v>
      </c>
      <c r="H63" s="5" t="n">
        <v>72</v>
      </c>
      <c r="I63" s="5" t="s">
        <v>496</v>
      </c>
      <c r="J63" s="8" t="s">
        <v>465</v>
      </c>
      <c r="K63" s="8" t="s">
        <v>289</v>
      </c>
    </row>
    <row r="64" customFormat="false" ht="23.25" hidden="false" customHeight="true" outlineLevel="0" collapsed="false">
      <c r="A64" s="5" t="s">
        <v>497</v>
      </c>
      <c r="B64" s="5" t="s">
        <v>461</v>
      </c>
      <c r="C64" s="8" t="s">
        <v>498</v>
      </c>
      <c r="D64" s="82" t="n">
        <v>1</v>
      </c>
      <c r="E64" s="5" t="s">
        <v>297</v>
      </c>
      <c r="F64" s="8" t="s">
        <v>401</v>
      </c>
      <c r="G64" s="5"/>
      <c r="H64" s="5"/>
      <c r="I64" s="5" t="s">
        <v>499</v>
      </c>
      <c r="J64" s="8" t="s">
        <v>465</v>
      </c>
      <c r="K64" s="8" t="s">
        <v>289</v>
      </c>
    </row>
    <row r="65" customFormat="false" ht="23.25" hidden="false" customHeight="true" outlineLevel="0" collapsed="false">
      <c r="A65" s="5" t="s">
        <v>500</v>
      </c>
      <c r="B65" s="5" t="s">
        <v>461</v>
      </c>
      <c r="C65" s="8" t="s">
        <v>501</v>
      </c>
      <c r="D65" s="82" t="n">
        <v>0.5625</v>
      </c>
      <c r="E65" s="5" t="s">
        <v>297</v>
      </c>
      <c r="F65" s="8" t="s">
        <v>401</v>
      </c>
      <c r="G65" s="5"/>
      <c r="H65" s="5"/>
      <c r="I65" s="5" t="s">
        <v>502</v>
      </c>
      <c r="J65" s="8" t="s">
        <v>465</v>
      </c>
      <c r="K65" s="8" t="s">
        <v>289</v>
      </c>
    </row>
    <row r="66" customFormat="false" ht="23.25" hidden="false" customHeight="true" outlineLevel="0" collapsed="false">
      <c r="A66" s="5" t="s">
        <v>503</v>
      </c>
      <c r="B66" s="5" t="s">
        <v>461</v>
      </c>
      <c r="C66" s="8" t="s">
        <v>504</v>
      </c>
      <c r="D66" s="82" t="n">
        <v>1</v>
      </c>
      <c r="E66" s="5" t="s">
        <v>297</v>
      </c>
      <c r="F66" s="5" t="s">
        <v>142</v>
      </c>
      <c r="G66" s="5" t="n">
        <v>1</v>
      </c>
      <c r="H66" s="5" t="n">
        <v>2</v>
      </c>
      <c r="I66" s="5" t="s">
        <v>505</v>
      </c>
      <c r="J66" s="8" t="s">
        <v>465</v>
      </c>
      <c r="K66" s="8" t="s">
        <v>289</v>
      </c>
    </row>
    <row r="67" customFormat="false" ht="23.25" hidden="false" customHeight="true" outlineLevel="0" collapsed="false">
      <c r="A67" s="5" t="s">
        <v>506</v>
      </c>
      <c r="B67" s="5" t="s">
        <v>461</v>
      </c>
      <c r="C67" s="8" t="s">
        <v>507</v>
      </c>
      <c r="D67" s="82" t="n">
        <v>1</v>
      </c>
      <c r="E67" s="5" t="s">
        <v>297</v>
      </c>
      <c r="F67" s="5" t="s">
        <v>142</v>
      </c>
      <c r="G67" s="5" t="n">
        <v>1</v>
      </c>
      <c r="H67" s="5" t="n">
        <v>2</v>
      </c>
      <c r="I67" s="5" t="s">
        <v>508</v>
      </c>
      <c r="J67" s="8" t="s">
        <v>465</v>
      </c>
      <c r="K67" s="8" t="s">
        <v>289</v>
      </c>
    </row>
    <row r="68" customFormat="false" ht="23.25" hidden="false" customHeight="true" outlineLevel="0" collapsed="false">
      <c r="A68" s="5" t="s">
        <v>509</v>
      </c>
      <c r="B68" s="5" t="s">
        <v>461</v>
      </c>
      <c r="C68" s="8" t="s">
        <v>510</v>
      </c>
      <c r="D68" s="82" t="n">
        <v>8</v>
      </c>
      <c r="E68" s="5" t="s">
        <v>492</v>
      </c>
      <c r="F68" s="5" t="s">
        <v>142</v>
      </c>
      <c r="G68" s="5" t="n">
        <v>4</v>
      </c>
      <c r="H68" s="5" t="n">
        <v>16</v>
      </c>
      <c r="I68" s="5" t="s">
        <v>511</v>
      </c>
      <c r="J68" s="8" t="s">
        <v>465</v>
      </c>
      <c r="K68" s="8" t="s">
        <v>289</v>
      </c>
    </row>
    <row r="69" customFormat="false" ht="23.25" hidden="false" customHeight="true" outlineLevel="0" collapsed="false">
      <c r="A69" s="5" t="s">
        <v>512</v>
      </c>
      <c r="B69" s="5" t="s">
        <v>461</v>
      </c>
      <c r="C69" s="8" t="s">
        <v>513</v>
      </c>
      <c r="D69" s="82" t="n">
        <v>4</v>
      </c>
      <c r="E69" s="5" t="s">
        <v>492</v>
      </c>
      <c r="F69" s="5" t="s">
        <v>399</v>
      </c>
      <c r="G69" s="5" t="n">
        <v>2</v>
      </c>
      <c r="H69" s="5" t="n">
        <v>8</v>
      </c>
      <c r="I69" s="5" t="s">
        <v>514</v>
      </c>
      <c r="J69" s="8" t="s">
        <v>465</v>
      </c>
      <c r="K69" s="8" t="s">
        <v>289</v>
      </c>
    </row>
    <row r="70" customFormat="false" ht="23.25" hidden="false" customHeight="true" outlineLevel="0" collapsed="false">
      <c r="A70" s="5" t="s">
        <v>515</v>
      </c>
      <c r="B70" s="5" t="s">
        <v>461</v>
      </c>
      <c r="C70" s="5" t="s">
        <v>516</v>
      </c>
      <c r="D70" s="82" t="n">
        <v>32</v>
      </c>
      <c r="E70" s="8" t="s">
        <v>517</v>
      </c>
      <c r="F70" s="5" t="s">
        <v>518</v>
      </c>
      <c r="G70" s="5"/>
      <c r="H70" s="5"/>
      <c r="I70" s="5" t="s">
        <v>519</v>
      </c>
      <c r="J70" s="8" t="s">
        <v>465</v>
      </c>
      <c r="K70" s="8" t="s">
        <v>289</v>
      </c>
    </row>
    <row r="71" customFormat="false" ht="23.25" hidden="false" customHeight="true" outlineLevel="0" collapsed="false">
      <c r="A71" s="5" t="s">
        <v>520</v>
      </c>
      <c r="B71" s="5" t="s">
        <v>461</v>
      </c>
      <c r="C71" s="5" t="s">
        <v>521</v>
      </c>
      <c r="D71" s="82" t="n">
        <v>72</v>
      </c>
      <c r="E71" s="8" t="s">
        <v>517</v>
      </c>
      <c r="F71" s="8" t="s">
        <v>401</v>
      </c>
      <c r="G71" s="5"/>
      <c r="H71" s="5"/>
      <c r="I71" s="5" t="s">
        <v>522</v>
      </c>
      <c r="J71" s="8" t="s">
        <v>465</v>
      </c>
      <c r="K71" s="8" t="s">
        <v>289</v>
      </c>
    </row>
    <row r="72" customFormat="false" ht="29.25" hidden="false" customHeight="true" outlineLevel="0" collapsed="false">
      <c r="A72" s="5" t="s">
        <v>523</v>
      </c>
      <c r="B72" s="5" t="s">
        <v>461</v>
      </c>
      <c r="C72" s="8" t="s">
        <v>524</v>
      </c>
      <c r="D72" s="82" t="n">
        <v>41</v>
      </c>
      <c r="E72" s="5" t="s">
        <v>525</v>
      </c>
      <c r="F72" s="8" t="s">
        <v>475</v>
      </c>
      <c r="G72" s="5" t="n">
        <v>38</v>
      </c>
      <c r="H72" s="5" t="n">
        <v>44</v>
      </c>
      <c r="I72" s="5" t="s">
        <v>526</v>
      </c>
      <c r="J72" s="8" t="s">
        <v>465</v>
      </c>
      <c r="K72" s="8" t="s">
        <v>289</v>
      </c>
    </row>
    <row r="73" customFormat="false" ht="23.25" hidden="false" customHeight="true" outlineLevel="0" collapsed="false">
      <c r="A73" s="5" t="s">
        <v>527</v>
      </c>
      <c r="B73" s="5" t="s">
        <v>461</v>
      </c>
      <c r="C73" s="8" t="s">
        <v>528</v>
      </c>
      <c r="D73" s="82" t="n">
        <v>132</v>
      </c>
      <c r="E73" s="5" t="s">
        <v>525</v>
      </c>
      <c r="F73" s="8" t="s">
        <v>401</v>
      </c>
      <c r="G73" s="5" t="n">
        <v>120</v>
      </c>
      <c r="H73" s="5" t="n">
        <v>140</v>
      </c>
      <c r="I73" s="5" t="s">
        <v>529</v>
      </c>
      <c r="J73" s="8" t="s">
        <v>465</v>
      </c>
      <c r="K73" s="8" t="s">
        <v>289</v>
      </c>
    </row>
    <row r="74" customFormat="false" ht="29.25" hidden="false" customHeight="true" outlineLevel="0" collapsed="false">
      <c r="A74" s="83" t="s">
        <v>530</v>
      </c>
      <c r="B74" s="83" t="s">
        <v>461</v>
      </c>
      <c r="C74" s="85" t="s">
        <v>531</v>
      </c>
      <c r="D74" s="84" t="n">
        <v>1.1</v>
      </c>
      <c r="E74" s="83" t="s">
        <v>532</v>
      </c>
      <c r="F74" s="85" t="s">
        <v>475</v>
      </c>
      <c r="G74" s="83" t="n">
        <v>0.9</v>
      </c>
      <c r="H74" s="83" t="n">
        <v>1.3</v>
      </c>
      <c r="I74" s="83" t="s">
        <v>533</v>
      </c>
      <c r="J74" s="85" t="s">
        <v>534</v>
      </c>
      <c r="K74" s="85" t="s">
        <v>301</v>
      </c>
    </row>
    <row r="75" customFormat="false" ht="29.25" hidden="false" customHeight="true" outlineLevel="0" collapsed="false">
      <c r="A75" s="83" t="s">
        <v>535</v>
      </c>
      <c r="B75" s="83" t="s">
        <v>461</v>
      </c>
      <c r="C75" s="85" t="s">
        <v>536</v>
      </c>
      <c r="D75" s="84" t="n">
        <v>3.1</v>
      </c>
      <c r="E75" s="83" t="s">
        <v>532</v>
      </c>
      <c r="F75" s="85" t="s">
        <v>475</v>
      </c>
      <c r="G75" s="83" t="n">
        <v>2.8</v>
      </c>
      <c r="H75" s="83" t="n">
        <v>3.4</v>
      </c>
      <c r="I75" s="83" t="s">
        <v>537</v>
      </c>
      <c r="J75" s="85" t="s">
        <v>534</v>
      </c>
      <c r="K75" s="85" t="s">
        <v>301</v>
      </c>
    </row>
    <row r="76" customFormat="false" ht="15" hidden="false" customHeight="true" outlineLevel="0" collapsed="false">
      <c r="A76" s="80" t="s">
        <v>538</v>
      </c>
      <c r="B76" s="81"/>
      <c r="C76" s="81"/>
      <c r="D76" s="81"/>
      <c r="E76" s="81"/>
      <c r="F76" s="81"/>
      <c r="G76" s="81"/>
      <c r="H76" s="81"/>
      <c r="I76" s="81"/>
      <c r="J76" s="81"/>
      <c r="K76" s="81"/>
    </row>
    <row r="77" customFormat="false" ht="29.25" hidden="false" customHeight="true" outlineLevel="0" collapsed="false">
      <c r="A77" s="5" t="s">
        <v>539</v>
      </c>
      <c r="B77" s="5" t="s">
        <v>540</v>
      </c>
      <c r="C77" s="8" t="s">
        <v>541</v>
      </c>
      <c r="D77" s="82" t="n">
        <v>13</v>
      </c>
      <c r="E77" s="5" t="s">
        <v>297</v>
      </c>
      <c r="F77" s="5" t="s">
        <v>132</v>
      </c>
      <c r="G77" s="5"/>
      <c r="H77" s="5"/>
      <c r="I77" s="5" t="s">
        <v>542</v>
      </c>
      <c r="J77" s="8" t="s">
        <v>543</v>
      </c>
      <c r="K77" s="8" t="s">
        <v>294</v>
      </c>
    </row>
    <row r="78" customFormat="false" ht="29.25" hidden="false" customHeight="true" outlineLevel="0" collapsed="false">
      <c r="A78" s="5" t="s">
        <v>544</v>
      </c>
      <c r="B78" s="5" t="s">
        <v>540</v>
      </c>
      <c r="C78" s="8" t="s">
        <v>545</v>
      </c>
      <c r="D78" s="82" t="n">
        <v>49</v>
      </c>
      <c r="E78" s="5" t="s">
        <v>297</v>
      </c>
      <c r="F78" s="5" t="s">
        <v>132</v>
      </c>
      <c r="G78" s="5"/>
      <c r="H78" s="5"/>
      <c r="I78" s="5" t="s">
        <v>546</v>
      </c>
      <c r="J78" s="8" t="s">
        <v>543</v>
      </c>
      <c r="K78" s="8" t="s">
        <v>294</v>
      </c>
    </row>
    <row r="79" customFormat="false" ht="29.25" hidden="false" customHeight="true" outlineLevel="0" collapsed="false">
      <c r="A79" s="83" t="s">
        <v>547</v>
      </c>
      <c r="B79" s="83" t="s">
        <v>540</v>
      </c>
      <c r="C79" s="85" t="s">
        <v>548</v>
      </c>
      <c r="D79" s="84" t="n">
        <v>180</v>
      </c>
      <c r="E79" s="83" t="s">
        <v>297</v>
      </c>
      <c r="F79" s="83" t="s">
        <v>132</v>
      </c>
      <c r="G79" s="83"/>
      <c r="H79" s="83"/>
      <c r="I79" s="83" t="s">
        <v>549</v>
      </c>
      <c r="J79" s="85" t="s">
        <v>543</v>
      </c>
      <c r="K79" s="85" t="s">
        <v>301</v>
      </c>
    </row>
    <row r="80" customFormat="false" ht="23.25" hidden="false" customHeight="true" outlineLevel="0" collapsed="false">
      <c r="A80" s="5" t="s">
        <v>550</v>
      </c>
      <c r="B80" s="5" t="s">
        <v>540</v>
      </c>
      <c r="C80" s="8" t="s">
        <v>551</v>
      </c>
      <c r="D80" s="82" t="n">
        <v>43</v>
      </c>
      <c r="E80" s="8" t="s">
        <v>100</v>
      </c>
      <c r="F80" s="5" t="s">
        <v>132</v>
      </c>
      <c r="G80" s="5"/>
      <c r="H80" s="5"/>
      <c r="I80" s="5" t="s">
        <v>552</v>
      </c>
      <c r="J80" s="8" t="s">
        <v>553</v>
      </c>
      <c r="K80" s="8" t="s">
        <v>294</v>
      </c>
    </row>
    <row r="81" customFormat="false" ht="23.25" hidden="false" customHeight="true" outlineLevel="0" collapsed="false">
      <c r="A81" s="5" t="s">
        <v>554</v>
      </c>
      <c r="B81" s="5" t="s">
        <v>540</v>
      </c>
      <c r="C81" s="8" t="s">
        <v>555</v>
      </c>
      <c r="D81" s="82" t="n">
        <v>61</v>
      </c>
      <c r="E81" s="8" t="s">
        <v>100</v>
      </c>
      <c r="F81" s="5" t="s">
        <v>132</v>
      </c>
      <c r="G81" s="5"/>
      <c r="H81" s="5"/>
      <c r="I81" s="5" t="s">
        <v>556</v>
      </c>
      <c r="J81" s="8" t="s">
        <v>553</v>
      </c>
      <c r="K81" s="8" t="s">
        <v>294</v>
      </c>
    </row>
    <row r="82" customFormat="false" ht="23.25" hidden="false" customHeight="true" outlineLevel="0" collapsed="false">
      <c r="A82" s="5" t="s">
        <v>557</v>
      </c>
      <c r="B82" s="5" t="s">
        <v>540</v>
      </c>
      <c r="C82" s="8" t="s">
        <v>558</v>
      </c>
      <c r="D82" s="82" t="n">
        <v>100</v>
      </c>
      <c r="E82" s="8" t="s">
        <v>100</v>
      </c>
      <c r="F82" s="5" t="s">
        <v>132</v>
      </c>
      <c r="G82" s="5"/>
      <c r="H82" s="5"/>
      <c r="I82" s="5" t="s">
        <v>559</v>
      </c>
      <c r="J82" s="8" t="s">
        <v>553</v>
      </c>
      <c r="K82" s="8" t="s">
        <v>294</v>
      </c>
    </row>
    <row r="83" customFormat="false" ht="23.25" hidden="false" customHeight="true" outlineLevel="0" collapsed="false">
      <c r="A83" s="5" t="s">
        <v>560</v>
      </c>
      <c r="B83" s="5" t="s">
        <v>540</v>
      </c>
      <c r="C83" s="5" t="s">
        <v>561</v>
      </c>
      <c r="D83" s="82" t="n">
        <v>4096</v>
      </c>
      <c r="E83" s="5"/>
      <c r="F83" s="5" t="s">
        <v>132</v>
      </c>
      <c r="G83" s="5"/>
      <c r="H83" s="5"/>
      <c r="I83" s="5" t="s">
        <v>562</v>
      </c>
      <c r="J83" s="8" t="s">
        <v>553</v>
      </c>
      <c r="K83" s="8" t="s">
        <v>294</v>
      </c>
    </row>
    <row r="84" customFormat="false" ht="23.25" hidden="false" customHeight="true" outlineLevel="0" collapsed="false">
      <c r="A84" s="5" t="s">
        <v>563</v>
      </c>
      <c r="B84" s="5" t="s">
        <v>540</v>
      </c>
      <c r="C84" s="5" t="s">
        <v>564</v>
      </c>
      <c r="D84" s="82" t="n">
        <v>7168</v>
      </c>
      <c r="E84" s="5"/>
      <c r="F84" s="5" t="s">
        <v>132</v>
      </c>
      <c r="G84" s="5"/>
      <c r="H84" s="5"/>
      <c r="I84" s="5" t="s">
        <v>565</v>
      </c>
      <c r="J84" s="8" t="s">
        <v>553</v>
      </c>
      <c r="K84" s="8" t="s">
        <v>294</v>
      </c>
    </row>
    <row r="85" customFormat="false" ht="23.25" hidden="false" customHeight="true" outlineLevel="0" collapsed="false">
      <c r="A85" s="5" t="s">
        <v>566</v>
      </c>
      <c r="B85" s="5" t="s">
        <v>540</v>
      </c>
      <c r="C85" s="5" t="s">
        <v>567</v>
      </c>
      <c r="D85" s="82" t="n">
        <v>12288</v>
      </c>
      <c r="E85" s="5"/>
      <c r="F85" s="5" t="s">
        <v>132</v>
      </c>
      <c r="G85" s="5"/>
      <c r="H85" s="5"/>
      <c r="I85" s="5" t="s">
        <v>568</v>
      </c>
      <c r="J85" s="8" t="s">
        <v>553</v>
      </c>
      <c r="K85" s="8" t="s">
        <v>294</v>
      </c>
    </row>
    <row r="86" customFormat="false" ht="23.25" hidden="false" customHeight="true" outlineLevel="0" collapsed="false">
      <c r="A86" s="5" t="s">
        <v>569</v>
      </c>
      <c r="B86" s="5" t="s">
        <v>540</v>
      </c>
      <c r="C86" s="8" t="s">
        <v>570</v>
      </c>
      <c r="D86" s="82" t="n">
        <v>6</v>
      </c>
      <c r="E86" s="5"/>
      <c r="F86" s="5" t="s">
        <v>132</v>
      </c>
      <c r="G86" s="5"/>
      <c r="H86" s="5"/>
      <c r="I86" s="5" t="s">
        <v>571</v>
      </c>
      <c r="J86" s="8" t="s">
        <v>553</v>
      </c>
      <c r="K86" s="8" t="s">
        <v>294</v>
      </c>
    </row>
    <row r="87" customFormat="false" ht="23.25" hidden="false" customHeight="true" outlineLevel="0" collapsed="false">
      <c r="A87" s="5" t="s">
        <v>572</v>
      </c>
      <c r="B87" s="5" t="s">
        <v>540</v>
      </c>
      <c r="C87" s="8" t="s">
        <v>573</v>
      </c>
      <c r="D87" s="82" t="n">
        <v>6</v>
      </c>
      <c r="E87" s="5"/>
      <c r="F87" s="5" t="s">
        <v>132</v>
      </c>
      <c r="G87" s="5"/>
      <c r="H87" s="5"/>
      <c r="I87" s="5" t="s">
        <v>574</v>
      </c>
      <c r="J87" s="8" t="s">
        <v>553</v>
      </c>
      <c r="K87" s="8" t="s">
        <v>294</v>
      </c>
    </row>
    <row r="88" customFormat="false" ht="23.25" hidden="false" customHeight="true" outlineLevel="0" collapsed="false">
      <c r="A88" s="5" t="s">
        <v>575</v>
      </c>
      <c r="B88" s="5" t="s">
        <v>540</v>
      </c>
      <c r="C88" s="8" t="s">
        <v>576</v>
      </c>
      <c r="D88" s="82" t="n">
        <v>16</v>
      </c>
      <c r="E88" s="5"/>
      <c r="F88" s="5" t="s">
        <v>132</v>
      </c>
      <c r="G88" s="5"/>
      <c r="H88" s="5"/>
      <c r="I88" s="5" t="s">
        <v>577</v>
      </c>
      <c r="J88" s="8" t="s">
        <v>553</v>
      </c>
      <c r="K88" s="8" t="s">
        <v>294</v>
      </c>
    </row>
    <row r="89" customFormat="false" ht="23.25" hidden="false" customHeight="true" outlineLevel="0" collapsed="false">
      <c r="A89" s="5" t="s">
        <v>578</v>
      </c>
      <c r="B89" s="5" t="s">
        <v>540</v>
      </c>
      <c r="C89" s="8" t="s">
        <v>579</v>
      </c>
      <c r="D89" s="82" t="n">
        <v>5.412</v>
      </c>
      <c r="E89" s="5" t="s">
        <v>297</v>
      </c>
      <c r="F89" s="5" t="s">
        <v>132</v>
      </c>
      <c r="G89" s="5"/>
      <c r="H89" s="5"/>
      <c r="I89" s="5" t="s">
        <v>580</v>
      </c>
      <c r="J89" s="8" t="s">
        <v>553</v>
      </c>
      <c r="K89" s="8" t="s">
        <v>294</v>
      </c>
    </row>
    <row r="90" customFormat="false" ht="23.25" hidden="false" customHeight="true" outlineLevel="0" collapsed="false">
      <c r="A90" s="5" t="s">
        <v>581</v>
      </c>
      <c r="B90" s="5" t="s">
        <v>540</v>
      </c>
      <c r="C90" s="8" t="s">
        <v>582</v>
      </c>
      <c r="D90" s="82" t="n">
        <v>20.2777777777778</v>
      </c>
      <c r="E90" s="5" t="s">
        <v>297</v>
      </c>
      <c r="F90" s="5" t="s">
        <v>132</v>
      </c>
      <c r="G90" s="5"/>
      <c r="H90" s="5"/>
      <c r="I90" s="5" t="s">
        <v>583</v>
      </c>
      <c r="J90" s="8" t="s">
        <v>553</v>
      </c>
      <c r="K90" s="8" t="s">
        <v>294</v>
      </c>
    </row>
    <row r="91" customFormat="false" ht="23.25" hidden="false" customHeight="true" outlineLevel="0" collapsed="false">
      <c r="A91" s="83" t="s">
        <v>584</v>
      </c>
      <c r="B91" s="83" t="s">
        <v>540</v>
      </c>
      <c r="C91" s="85" t="s">
        <v>585</v>
      </c>
      <c r="D91" s="84" t="n">
        <v>49.0725806451613</v>
      </c>
      <c r="E91" s="83" t="s">
        <v>297</v>
      </c>
      <c r="F91" s="83" t="s">
        <v>132</v>
      </c>
      <c r="G91" s="83"/>
      <c r="H91" s="83"/>
      <c r="I91" s="83" t="s">
        <v>586</v>
      </c>
      <c r="J91" s="85" t="s">
        <v>553</v>
      </c>
      <c r="K91" s="85" t="s">
        <v>301</v>
      </c>
    </row>
    <row r="92" customFormat="false" ht="15" hidden="false" customHeight="true" outlineLevel="0" collapsed="false">
      <c r="A92" s="5" t="s">
        <v>587</v>
      </c>
      <c r="B92" s="5" t="s">
        <v>540</v>
      </c>
      <c r="C92" s="8" t="s">
        <v>588</v>
      </c>
      <c r="D92" s="82" t="n">
        <v>278.588</v>
      </c>
      <c r="E92" s="5" t="s">
        <v>297</v>
      </c>
      <c r="F92" s="5" t="s">
        <v>132</v>
      </c>
      <c r="G92" s="5"/>
      <c r="H92" s="5"/>
      <c r="I92" s="5" t="s">
        <v>589</v>
      </c>
      <c r="J92" s="8" t="s">
        <v>553</v>
      </c>
      <c r="K92" s="8" t="s">
        <v>294</v>
      </c>
    </row>
    <row r="93" customFormat="false" ht="15" hidden="false" customHeight="true" outlineLevel="0" collapsed="false">
      <c r="A93" s="5" t="s">
        <v>590</v>
      </c>
      <c r="B93" s="5" t="s">
        <v>540</v>
      </c>
      <c r="C93" s="8" t="s">
        <v>591</v>
      </c>
      <c r="D93" s="82" t="n">
        <v>1579.72222222222</v>
      </c>
      <c r="E93" s="5" t="s">
        <v>297</v>
      </c>
      <c r="F93" s="5" t="s">
        <v>132</v>
      </c>
      <c r="G93" s="5"/>
      <c r="H93" s="5"/>
      <c r="I93" s="5" t="s">
        <v>592</v>
      </c>
      <c r="J93" s="8" t="s">
        <v>553</v>
      </c>
      <c r="K93" s="8" t="s">
        <v>294</v>
      </c>
    </row>
    <row r="94" customFormat="false" ht="15" hidden="false" customHeight="true" outlineLevel="0" collapsed="false">
      <c r="A94" s="83" t="s">
        <v>593</v>
      </c>
      <c r="B94" s="83" t="s">
        <v>540</v>
      </c>
      <c r="C94" s="85" t="s">
        <v>594</v>
      </c>
      <c r="D94" s="84" t="n">
        <v>3950.92741935484</v>
      </c>
      <c r="E94" s="83" t="s">
        <v>297</v>
      </c>
      <c r="F94" s="83" t="s">
        <v>132</v>
      </c>
      <c r="G94" s="83"/>
      <c r="H94" s="83"/>
      <c r="I94" s="83" t="s">
        <v>595</v>
      </c>
      <c r="J94" s="85" t="s">
        <v>553</v>
      </c>
      <c r="K94" s="85" t="s">
        <v>301</v>
      </c>
    </row>
    <row r="95" customFormat="false" ht="15" hidden="false" customHeight="true" outlineLevel="0" collapsed="false">
      <c r="A95" s="5" t="s">
        <v>596</v>
      </c>
      <c r="B95" s="5" t="s">
        <v>540</v>
      </c>
      <c r="C95" s="5" t="s">
        <v>597</v>
      </c>
      <c r="D95" s="82" t="n">
        <v>2795</v>
      </c>
      <c r="E95" s="5" t="s">
        <v>297</v>
      </c>
      <c r="F95" s="5" t="s">
        <v>132</v>
      </c>
      <c r="G95" s="5"/>
      <c r="H95" s="5"/>
      <c r="I95" s="5" t="s">
        <v>598</v>
      </c>
      <c r="J95" s="8" t="s">
        <v>553</v>
      </c>
      <c r="K95" s="8" t="s">
        <v>294</v>
      </c>
    </row>
    <row r="96" customFormat="false" ht="15" hidden="false" customHeight="true" outlineLevel="0" collapsed="false">
      <c r="A96" s="5" t="s">
        <v>599</v>
      </c>
      <c r="B96" s="5" t="s">
        <v>540</v>
      </c>
      <c r="C96" s="5" t="s">
        <v>600</v>
      </c>
      <c r="D96" s="82" t="n">
        <v>3965</v>
      </c>
      <c r="E96" s="5" t="s">
        <v>297</v>
      </c>
      <c r="F96" s="5" t="s">
        <v>132</v>
      </c>
      <c r="G96" s="5"/>
      <c r="H96" s="5"/>
      <c r="I96" s="5" t="s">
        <v>601</v>
      </c>
      <c r="J96" s="8" t="s">
        <v>553</v>
      </c>
      <c r="K96" s="8" t="s">
        <v>294</v>
      </c>
    </row>
    <row r="97" customFormat="false" ht="15" hidden="false" customHeight="true" outlineLevel="0" collapsed="false">
      <c r="A97" s="5" t="s">
        <v>602</v>
      </c>
      <c r="B97" s="5" t="s">
        <v>540</v>
      </c>
      <c r="C97" s="5" t="s">
        <v>603</v>
      </c>
      <c r="D97" s="82" t="n">
        <v>57600</v>
      </c>
      <c r="E97" s="5" t="s">
        <v>297</v>
      </c>
      <c r="F97" s="5" t="s">
        <v>132</v>
      </c>
      <c r="G97" s="5"/>
      <c r="H97" s="5"/>
      <c r="I97" s="5" t="s">
        <v>604</v>
      </c>
      <c r="J97" s="8" t="s">
        <v>553</v>
      </c>
      <c r="K97" s="8" t="s">
        <v>294</v>
      </c>
    </row>
    <row r="98" customFormat="false" ht="15" hidden="false" customHeight="true" outlineLevel="0" collapsed="false">
      <c r="A98" s="5" t="s">
        <v>605</v>
      </c>
      <c r="B98" s="5" t="s">
        <v>540</v>
      </c>
      <c r="C98" s="8" t="s">
        <v>606</v>
      </c>
      <c r="D98" s="82" t="n">
        <v>5636096</v>
      </c>
      <c r="E98" s="5" t="s">
        <v>607</v>
      </c>
      <c r="F98" s="5" t="s">
        <v>132</v>
      </c>
      <c r="G98" s="5"/>
      <c r="H98" s="5"/>
      <c r="I98" s="5" t="s">
        <v>608</v>
      </c>
      <c r="J98" s="8" t="s">
        <v>553</v>
      </c>
      <c r="K98" s="8" t="s">
        <v>294</v>
      </c>
    </row>
    <row r="99" customFormat="false" ht="15" hidden="false" customHeight="true" outlineLevel="0" collapsed="false">
      <c r="A99" s="5" t="s">
        <v>609</v>
      </c>
      <c r="B99" s="5" t="s">
        <v>540</v>
      </c>
      <c r="C99" s="8" t="s">
        <v>610</v>
      </c>
      <c r="D99" s="82" t="n">
        <v>15990784</v>
      </c>
      <c r="E99" s="5" t="s">
        <v>607</v>
      </c>
      <c r="F99" s="5" t="s">
        <v>132</v>
      </c>
      <c r="G99" s="5"/>
      <c r="H99" s="5"/>
      <c r="I99" s="5" t="s">
        <v>611</v>
      </c>
      <c r="J99" s="8" t="s">
        <v>553</v>
      </c>
      <c r="K99" s="8" t="s">
        <v>294</v>
      </c>
    </row>
    <row r="100" customFormat="false" ht="15" hidden="false" customHeight="true" outlineLevel="0" collapsed="false">
      <c r="A100" s="5" t="s">
        <v>612</v>
      </c>
      <c r="B100" s="5" t="s">
        <v>540</v>
      </c>
      <c r="C100" s="8" t="s">
        <v>613</v>
      </c>
      <c r="D100" s="82" t="n">
        <v>4915200</v>
      </c>
      <c r="E100" s="5" t="s">
        <v>607</v>
      </c>
      <c r="F100" s="5" t="s">
        <v>132</v>
      </c>
      <c r="G100" s="5"/>
      <c r="H100" s="5"/>
      <c r="I100" s="5" t="s">
        <v>614</v>
      </c>
      <c r="J100" s="8" t="s">
        <v>553</v>
      </c>
      <c r="K100" s="8" t="s">
        <v>294</v>
      </c>
    </row>
    <row r="101" customFormat="false" ht="15" hidden="false" customHeight="true" outlineLevel="0" collapsed="false">
      <c r="A101" s="5" t="s">
        <v>615</v>
      </c>
      <c r="B101" s="5" t="s">
        <v>540</v>
      </c>
      <c r="C101" s="8" t="s">
        <v>616</v>
      </c>
      <c r="D101" s="82" t="n">
        <v>0.512</v>
      </c>
      <c r="E101" s="5" t="s">
        <v>195</v>
      </c>
      <c r="F101" s="5" t="s">
        <v>132</v>
      </c>
      <c r="G101" s="5"/>
      <c r="H101" s="5"/>
      <c r="I101" s="5" t="s">
        <v>617</v>
      </c>
      <c r="J101" s="8" t="s">
        <v>553</v>
      </c>
      <c r="K101" s="8" t="s">
        <v>294</v>
      </c>
    </row>
    <row r="102" customFormat="false" ht="15" hidden="false" customHeight="true" outlineLevel="0" collapsed="false">
      <c r="A102" s="5" t="s">
        <v>618</v>
      </c>
      <c r="B102" s="5" t="s">
        <v>540</v>
      </c>
      <c r="C102" s="8" t="s">
        <v>619</v>
      </c>
      <c r="D102" s="82" t="n">
        <v>0.492</v>
      </c>
      <c r="E102" s="5" t="s">
        <v>195</v>
      </c>
      <c r="F102" s="5" t="s">
        <v>132</v>
      </c>
      <c r="G102" s="5"/>
      <c r="H102" s="5"/>
      <c r="I102" s="5" t="s">
        <v>620</v>
      </c>
      <c r="J102" s="8" t="s">
        <v>553</v>
      </c>
      <c r="K102" s="8" t="s">
        <v>294</v>
      </c>
    </row>
    <row r="103" customFormat="false" ht="15" hidden="false" customHeight="true" outlineLevel="0" collapsed="false">
      <c r="A103" s="5" t="s">
        <v>621</v>
      </c>
      <c r="B103" s="5" t="s">
        <v>540</v>
      </c>
      <c r="C103" s="8" t="s">
        <v>622</v>
      </c>
      <c r="D103" s="82" t="n">
        <v>1</v>
      </c>
      <c r="E103" s="5" t="s">
        <v>195</v>
      </c>
      <c r="F103" s="5" t="s">
        <v>132</v>
      </c>
      <c r="G103" s="5"/>
      <c r="H103" s="5"/>
      <c r="I103" s="5" t="s">
        <v>623</v>
      </c>
      <c r="J103" s="8" t="s">
        <v>553</v>
      </c>
      <c r="K103" s="8" t="s">
        <v>294</v>
      </c>
    </row>
    <row r="104" customFormat="false" ht="23.25" hidden="false" customHeight="true" outlineLevel="0" collapsed="false">
      <c r="A104" s="5" t="s">
        <v>624</v>
      </c>
      <c r="B104" s="5" t="s">
        <v>540</v>
      </c>
      <c r="C104" s="8" t="s">
        <v>625</v>
      </c>
      <c r="D104" s="82" t="n">
        <v>4224</v>
      </c>
      <c r="E104" s="5" t="s">
        <v>384</v>
      </c>
      <c r="F104" s="5" t="s">
        <v>132</v>
      </c>
      <c r="G104" s="5"/>
      <c r="H104" s="5"/>
      <c r="I104" s="5" t="s">
        <v>626</v>
      </c>
      <c r="J104" s="8" t="s">
        <v>553</v>
      </c>
      <c r="K104" s="8" t="s">
        <v>294</v>
      </c>
    </row>
    <row r="105" customFormat="false" ht="23.25" hidden="false" customHeight="true" outlineLevel="0" collapsed="false">
      <c r="A105" s="5" t="s">
        <v>627</v>
      </c>
      <c r="B105" s="5" t="s">
        <v>540</v>
      </c>
      <c r="C105" s="8" t="s">
        <v>628</v>
      </c>
      <c r="D105" s="82" t="n">
        <v>4224</v>
      </c>
      <c r="E105" s="5" t="s">
        <v>384</v>
      </c>
      <c r="F105" s="5" t="s">
        <v>132</v>
      </c>
      <c r="G105" s="5"/>
      <c r="H105" s="5"/>
      <c r="I105" s="5" t="s">
        <v>629</v>
      </c>
      <c r="J105" s="8" t="s">
        <v>553</v>
      </c>
      <c r="K105" s="8" t="s">
        <v>294</v>
      </c>
    </row>
    <row r="106" customFormat="false" ht="23.25" hidden="false" customHeight="true" outlineLevel="0" collapsed="false">
      <c r="A106" s="5" t="s">
        <v>630</v>
      </c>
      <c r="B106" s="5" t="s">
        <v>540</v>
      </c>
      <c r="C106" s="8" t="s">
        <v>631</v>
      </c>
      <c r="D106" s="82" t="n">
        <v>0</v>
      </c>
      <c r="E106" s="5" t="s">
        <v>384</v>
      </c>
      <c r="F106" s="5" t="s">
        <v>132</v>
      </c>
      <c r="G106" s="5"/>
      <c r="H106" s="5"/>
      <c r="I106" s="5" t="s">
        <v>632</v>
      </c>
      <c r="J106" s="8" t="s">
        <v>553</v>
      </c>
      <c r="K106" s="8" t="s">
        <v>294</v>
      </c>
    </row>
    <row r="107" customFormat="false" ht="23.25" hidden="false" customHeight="true" outlineLevel="0" collapsed="false">
      <c r="A107" s="5" t="s">
        <v>633</v>
      </c>
      <c r="B107" s="5" t="s">
        <v>540</v>
      </c>
      <c r="C107" s="8" t="s">
        <v>634</v>
      </c>
      <c r="D107" s="82" t="n">
        <v>128</v>
      </c>
      <c r="E107" s="5" t="s">
        <v>33</v>
      </c>
      <c r="F107" s="5" t="s">
        <v>132</v>
      </c>
      <c r="G107" s="5"/>
      <c r="H107" s="5"/>
      <c r="I107" s="5" t="s">
        <v>635</v>
      </c>
      <c r="J107" s="8" t="s">
        <v>553</v>
      </c>
      <c r="K107" s="8" t="s">
        <v>294</v>
      </c>
    </row>
    <row r="108" customFormat="false" ht="23.25" hidden="false" customHeight="true" outlineLevel="0" collapsed="false">
      <c r="A108" s="5" t="s">
        <v>636</v>
      </c>
      <c r="B108" s="5" t="s">
        <v>540</v>
      </c>
      <c r="C108" s="8" t="s">
        <v>637</v>
      </c>
      <c r="D108" s="82" t="n">
        <v>128</v>
      </c>
      <c r="E108" s="5" t="s">
        <v>33</v>
      </c>
      <c r="F108" s="5" t="s">
        <v>132</v>
      </c>
      <c r="G108" s="5"/>
      <c r="H108" s="5"/>
      <c r="I108" s="5" t="s">
        <v>638</v>
      </c>
      <c r="J108" s="8" t="s">
        <v>553</v>
      </c>
      <c r="K108" s="8" t="s">
        <v>294</v>
      </c>
    </row>
    <row r="109" customFormat="false" ht="23.25" hidden="false" customHeight="true" outlineLevel="0" collapsed="false">
      <c r="A109" s="5" t="s">
        <v>639</v>
      </c>
      <c r="B109" s="5" t="s">
        <v>540</v>
      </c>
      <c r="C109" s="8" t="s">
        <v>640</v>
      </c>
      <c r="D109" s="82" t="n">
        <v>1</v>
      </c>
      <c r="E109" s="5" t="s">
        <v>33</v>
      </c>
      <c r="F109" s="5" t="s">
        <v>132</v>
      </c>
      <c r="G109" s="5"/>
      <c r="H109" s="5"/>
      <c r="I109" s="5" t="s">
        <v>641</v>
      </c>
      <c r="J109" s="8" t="s">
        <v>553</v>
      </c>
      <c r="K109" s="8" t="s">
        <v>294</v>
      </c>
    </row>
    <row r="110" customFormat="false" ht="23.25" hidden="false" customHeight="true" outlineLevel="0" collapsed="false">
      <c r="A110" s="5" t="s">
        <v>642</v>
      </c>
      <c r="B110" s="5" t="s">
        <v>540</v>
      </c>
      <c r="C110" s="8" t="s">
        <v>643</v>
      </c>
      <c r="D110" s="82" t="n">
        <v>128</v>
      </c>
      <c r="E110" s="5" t="s">
        <v>384</v>
      </c>
      <c r="F110" s="5" t="s">
        <v>132</v>
      </c>
      <c r="G110" s="5"/>
      <c r="H110" s="5"/>
      <c r="I110" s="5" t="s">
        <v>644</v>
      </c>
      <c r="J110" s="8" t="s">
        <v>553</v>
      </c>
      <c r="K110" s="8" t="s">
        <v>294</v>
      </c>
    </row>
    <row r="111" customFormat="false" ht="23.25" hidden="false" customHeight="true" outlineLevel="0" collapsed="false">
      <c r="A111" s="5" t="s">
        <v>645</v>
      </c>
      <c r="B111" s="5" t="s">
        <v>540</v>
      </c>
      <c r="C111" s="8" t="s">
        <v>646</v>
      </c>
      <c r="D111" s="82" t="n">
        <v>128</v>
      </c>
      <c r="E111" s="5" t="s">
        <v>384</v>
      </c>
      <c r="F111" s="5" t="s">
        <v>132</v>
      </c>
      <c r="G111" s="5"/>
      <c r="H111" s="5"/>
      <c r="I111" s="5" t="s">
        <v>647</v>
      </c>
      <c r="J111" s="8" t="s">
        <v>553</v>
      </c>
      <c r="K111" s="8" t="s">
        <v>294</v>
      </c>
    </row>
    <row r="112" customFormat="false" ht="23.25" hidden="false" customHeight="true" outlineLevel="0" collapsed="false">
      <c r="A112" s="5" t="s">
        <v>648</v>
      </c>
      <c r="B112" s="5" t="s">
        <v>540</v>
      </c>
      <c r="C112" s="8" t="s">
        <v>649</v>
      </c>
      <c r="D112" s="82" t="n">
        <v>0</v>
      </c>
      <c r="E112" s="5" t="s">
        <v>384</v>
      </c>
      <c r="F112" s="5" t="s">
        <v>132</v>
      </c>
      <c r="G112" s="5"/>
      <c r="H112" s="5"/>
      <c r="I112" s="5" t="s">
        <v>650</v>
      </c>
      <c r="J112" s="8" t="s">
        <v>553</v>
      </c>
      <c r="K112" s="8" t="s">
        <v>294</v>
      </c>
    </row>
    <row r="113" customFormat="false" ht="15" hidden="false" customHeight="true" outlineLevel="0" collapsed="false">
      <c r="A113" s="80" t="s">
        <v>651</v>
      </c>
      <c r="B113" s="81"/>
      <c r="C113" s="81"/>
      <c r="D113" s="81"/>
      <c r="E113" s="81"/>
      <c r="F113" s="81"/>
      <c r="G113" s="81"/>
      <c r="H113" s="81"/>
      <c r="I113" s="81"/>
      <c r="J113" s="81"/>
      <c r="K113" s="81"/>
    </row>
    <row r="114" customFormat="false" ht="23.25" hidden="false" customHeight="true" outlineLevel="0" collapsed="false">
      <c r="A114" s="5" t="s">
        <v>652</v>
      </c>
      <c r="B114" s="5" t="s">
        <v>653</v>
      </c>
      <c r="C114" s="5" t="s">
        <v>654</v>
      </c>
      <c r="D114" s="82" t="n">
        <v>84.3000593119602</v>
      </c>
      <c r="E114" s="5" t="s">
        <v>655</v>
      </c>
      <c r="F114" s="5" t="s">
        <v>132</v>
      </c>
      <c r="G114" s="5"/>
      <c r="H114" s="5"/>
      <c r="I114" s="5" t="s">
        <v>656</v>
      </c>
      <c r="J114" s="5" t="s">
        <v>657</v>
      </c>
      <c r="K114" s="8" t="s">
        <v>289</v>
      </c>
    </row>
    <row r="115" customFormat="false" ht="23.25" hidden="false" customHeight="true" outlineLevel="0" collapsed="false">
      <c r="A115" s="5" t="s">
        <v>658</v>
      </c>
      <c r="B115" s="5" t="s">
        <v>653</v>
      </c>
      <c r="C115" s="5" t="s">
        <v>659</v>
      </c>
      <c r="D115" s="82" t="n">
        <v>43.31166124729</v>
      </c>
      <c r="E115" s="5" t="s">
        <v>655</v>
      </c>
      <c r="F115" s="5" t="s">
        <v>132</v>
      </c>
      <c r="G115" s="5"/>
      <c r="H115" s="5"/>
      <c r="I115" s="5" t="s">
        <v>660</v>
      </c>
      <c r="J115" s="5" t="s">
        <v>657</v>
      </c>
      <c r="K115" s="8" t="s">
        <v>289</v>
      </c>
    </row>
    <row r="116" customFormat="false" ht="23.25" hidden="false" customHeight="true" outlineLevel="0" collapsed="false">
      <c r="A116" s="5" t="s">
        <v>661</v>
      </c>
      <c r="B116" s="5" t="s">
        <v>653</v>
      </c>
      <c r="C116" s="5" t="s">
        <v>662</v>
      </c>
      <c r="D116" s="82" t="n">
        <v>40.8313604965595</v>
      </c>
      <c r="E116" s="5" t="s">
        <v>655</v>
      </c>
      <c r="F116" s="5" t="s">
        <v>132</v>
      </c>
      <c r="G116" s="5"/>
      <c r="H116" s="5"/>
      <c r="I116" s="5" t="s">
        <v>663</v>
      </c>
      <c r="J116" s="5" t="s">
        <v>657</v>
      </c>
      <c r="K116" s="8" t="s">
        <v>289</v>
      </c>
    </row>
    <row r="117" customFormat="false" ht="23.25" hidden="false" customHeight="true" outlineLevel="0" collapsed="false">
      <c r="A117" s="5" t="s">
        <v>664</v>
      </c>
      <c r="B117" s="5" t="s">
        <v>653</v>
      </c>
      <c r="C117" s="5" t="s">
        <v>665</v>
      </c>
      <c r="D117" s="82" t="n">
        <v>2</v>
      </c>
      <c r="E117" s="5" t="s">
        <v>666</v>
      </c>
      <c r="F117" s="5" t="s">
        <v>132</v>
      </c>
      <c r="G117" s="5"/>
      <c r="H117" s="5"/>
      <c r="I117" s="5" t="s">
        <v>667</v>
      </c>
      <c r="J117" s="5"/>
      <c r="K117" s="8" t="s">
        <v>289</v>
      </c>
    </row>
    <row r="118" customFormat="false" ht="23.25" hidden="false" customHeight="true" outlineLevel="0" collapsed="false">
      <c r="A118" s="5" t="s">
        <v>668</v>
      </c>
      <c r="B118" s="5" t="s">
        <v>653</v>
      </c>
      <c r="C118" s="5" t="s">
        <v>669</v>
      </c>
      <c r="D118" s="82" t="n">
        <v>3</v>
      </c>
      <c r="E118" s="5" t="s">
        <v>666</v>
      </c>
      <c r="F118" s="5" t="s">
        <v>132</v>
      </c>
      <c r="G118" s="5"/>
      <c r="H118" s="5"/>
      <c r="I118" s="5" t="s">
        <v>670</v>
      </c>
      <c r="J118" s="5"/>
      <c r="K118" s="8" t="s">
        <v>289</v>
      </c>
    </row>
    <row r="119" customFormat="false" ht="23.25" hidden="false" customHeight="true" outlineLevel="0" collapsed="false">
      <c r="A119" s="5" t="s">
        <v>671</v>
      </c>
      <c r="B119" s="5" t="s">
        <v>653</v>
      </c>
      <c r="C119" s="5" t="s">
        <v>672</v>
      </c>
      <c r="D119" s="82" t="n">
        <v>5</v>
      </c>
      <c r="E119" s="5" t="s">
        <v>666</v>
      </c>
      <c r="F119" s="5" t="s">
        <v>132</v>
      </c>
      <c r="G119" s="5"/>
      <c r="H119" s="5"/>
      <c r="I119" s="5" t="s">
        <v>673</v>
      </c>
      <c r="J119" s="5"/>
      <c r="K119" s="8" t="s">
        <v>289</v>
      </c>
    </row>
    <row r="120" customFormat="false" ht="23.25" hidden="false" customHeight="true" outlineLevel="0" collapsed="false">
      <c r="A120" s="5" t="s">
        <v>674</v>
      </c>
      <c r="B120" s="5" t="s">
        <v>653</v>
      </c>
      <c r="C120" s="8" t="s">
        <v>675</v>
      </c>
      <c r="D120" s="82" t="n">
        <v>8192</v>
      </c>
      <c r="E120" s="5" t="s">
        <v>384</v>
      </c>
      <c r="F120" s="5" t="s">
        <v>132</v>
      </c>
      <c r="G120" s="5"/>
      <c r="H120" s="5"/>
      <c r="I120" s="5" t="s">
        <v>676</v>
      </c>
      <c r="J120" s="5" t="s">
        <v>677</v>
      </c>
      <c r="K120" s="8" t="s">
        <v>294</v>
      </c>
    </row>
    <row r="121" customFormat="false" ht="23.25" hidden="false" customHeight="true" outlineLevel="0" collapsed="false">
      <c r="A121" s="5" t="s">
        <v>678</v>
      </c>
      <c r="B121" s="5" t="s">
        <v>653</v>
      </c>
      <c r="C121" s="8" t="s">
        <v>679</v>
      </c>
      <c r="D121" s="82" t="n">
        <v>16384</v>
      </c>
      <c r="E121" s="5" t="s">
        <v>384</v>
      </c>
      <c r="F121" s="5" t="s">
        <v>132</v>
      </c>
      <c r="G121" s="5"/>
      <c r="H121" s="5"/>
      <c r="I121" s="5" t="s">
        <v>680</v>
      </c>
      <c r="J121" s="5" t="s">
        <v>677</v>
      </c>
      <c r="K121" s="8" t="s">
        <v>294</v>
      </c>
    </row>
    <row r="122" customFormat="false" ht="23.25" hidden="false" customHeight="true" outlineLevel="0" collapsed="false">
      <c r="A122" s="5" t="s">
        <v>681</v>
      </c>
      <c r="B122" s="5" t="s">
        <v>653</v>
      </c>
      <c r="C122" s="8" t="s">
        <v>682</v>
      </c>
      <c r="D122" s="82" t="n">
        <v>32768</v>
      </c>
      <c r="E122" s="5" t="s">
        <v>384</v>
      </c>
      <c r="F122" s="5" t="s">
        <v>132</v>
      </c>
      <c r="G122" s="5"/>
      <c r="H122" s="5"/>
      <c r="I122" s="5" t="s">
        <v>683</v>
      </c>
      <c r="J122" s="5" t="s">
        <v>677</v>
      </c>
      <c r="K122" s="8" t="s">
        <v>294</v>
      </c>
    </row>
    <row r="123" customFormat="false" ht="23.25" hidden="false" customHeight="true" outlineLevel="0" collapsed="false">
      <c r="A123" s="5" t="s">
        <v>684</v>
      </c>
      <c r="B123" s="5" t="s">
        <v>653</v>
      </c>
      <c r="C123" s="8" t="s">
        <v>685</v>
      </c>
      <c r="D123" s="82" t="n">
        <v>1024</v>
      </c>
      <c r="E123" s="5" t="s">
        <v>384</v>
      </c>
      <c r="F123" s="5" t="s">
        <v>132</v>
      </c>
      <c r="G123" s="5"/>
      <c r="H123" s="5"/>
      <c r="I123" s="5" t="s">
        <v>686</v>
      </c>
      <c r="J123" s="5" t="s">
        <v>677</v>
      </c>
      <c r="K123" s="8" t="s">
        <v>294</v>
      </c>
    </row>
    <row r="124" customFormat="false" ht="23.25" hidden="false" customHeight="true" outlineLevel="0" collapsed="false">
      <c r="A124" s="5" t="s">
        <v>687</v>
      </c>
      <c r="B124" s="5" t="s">
        <v>653</v>
      </c>
      <c r="C124" s="8" t="s">
        <v>688</v>
      </c>
      <c r="D124" s="82" t="n">
        <v>2048</v>
      </c>
      <c r="E124" s="5" t="s">
        <v>384</v>
      </c>
      <c r="F124" s="5" t="s">
        <v>132</v>
      </c>
      <c r="G124" s="5"/>
      <c r="H124" s="5"/>
      <c r="I124" s="5" t="s">
        <v>689</v>
      </c>
      <c r="J124" s="5" t="s">
        <v>677</v>
      </c>
      <c r="K124" s="8" t="s">
        <v>294</v>
      </c>
    </row>
    <row r="125" customFormat="false" ht="23.25" hidden="false" customHeight="true" outlineLevel="0" collapsed="false">
      <c r="A125" s="5" t="s">
        <v>690</v>
      </c>
      <c r="B125" s="5" t="s">
        <v>653</v>
      </c>
      <c r="C125" s="8" t="s">
        <v>691</v>
      </c>
      <c r="D125" s="82" t="n">
        <v>4096</v>
      </c>
      <c r="E125" s="5" t="s">
        <v>384</v>
      </c>
      <c r="F125" s="5" t="s">
        <v>132</v>
      </c>
      <c r="G125" s="5"/>
      <c r="H125" s="5"/>
      <c r="I125" s="5" t="s">
        <v>692</v>
      </c>
      <c r="J125" s="5" t="s">
        <v>677</v>
      </c>
      <c r="K125" s="8" t="s">
        <v>294</v>
      </c>
    </row>
    <row r="126" customFormat="false" ht="15" hidden="false" customHeight="true" outlineLevel="0" collapsed="false">
      <c r="A126" s="80" t="s">
        <v>693</v>
      </c>
      <c r="B126" s="81"/>
      <c r="C126" s="81"/>
      <c r="D126" s="81"/>
      <c r="E126" s="81"/>
      <c r="F126" s="81"/>
      <c r="G126" s="81"/>
      <c r="H126" s="81"/>
      <c r="I126" s="81"/>
      <c r="J126" s="81"/>
      <c r="K126" s="81"/>
    </row>
    <row r="127" customFormat="false" ht="15" hidden="false" customHeight="true" outlineLevel="0" collapsed="false">
      <c r="A127" s="5" t="s">
        <v>694</v>
      </c>
      <c r="B127" s="5" t="s">
        <v>695</v>
      </c>
      <c r="C127" s="8" t="s">
        <v>696</v>
      </c>
      <c r="D127" s="82" t="n">
        <v>0.08</v>
      </c>
      <c r="E127" s="5" t="s">
        <v>195</v>
      </c>
      <c r="F127" s="5" t="s">
        <v>142</v>
      </c>
      <c r="G127" s="5" t="n">
        <v>0.05</v>
      </c>
      <c r="H127" s="5" t="n">
        <v>0.12</v>
      </c>
      <c r="I127" s="5" t="s">
        <v>697</v>
      </c>
      <c r="J127" s="5"/>
      <c r="K127" s="8" t="s">
        <v>289</v>
      </c>
    </row>
    <row r="128" customFormat="false" ht="15" hidden="false" customHeight="true" outlineLevel="0" collapsed="false">
      <c r="A128" s="5" t="s">
        <v>698</v>
      </c>
      <c r="B128" s="5" t="s">
        <v>695</v>
      </c>
      <c r="C128" s="5" t="s">
        <v>699</v>
      </c>
      <c r="D128" s="82" t="n">
        <v>1.2</v>
      </c>
      <c r="E128" s="5" t="s">
        <v>33</v>
      </c>
      <c r="F128" s="5" t="s">
        <v>142</v>
      </c>
      <c r="G128" s="5" t="n">
        <v>1.1</v>
      </c>
      <c r="H128" s="5" t="n">
        <v>1.3</v>
      </c>
      <c r="I128" s="5" t="s">
        <v>700</v>
      </c>
      <c r="J128" s="5"/>
      <c r="K128" s="8" t="s">
        <v>289</v>
      </c>
    </row>
    <row r="129" customFormat="false" ht="15" hidden="false" customHeight="true" outlineLevel="0" collapsed="false">
      <c r="A129" s="5" t="s">
        <v>701</v>
      </c>
      <c r="B129" s="5" t="s">
        <v>695</v>
      </c>
      <c r="C129" s="8" t="s">
        <v>702</v>
      </c>
      <c r="D129" s="82" t="n">
        <v>0.8</v>
      </c>
      <c r="E129" s="5" t="s">
        <v>195</v>
      </c>
      <c r="F129" s="5" t="s">
        <v>142</v>
      </c>
      <c r="G129" s="5" t="n">
        <v>0.7</v>
      </c>
      <c r="H129" s="5" t="n">
        <v>0.9</v>
      </c>
      <c r="I129" s="5" t="s">
        <v>703</v>
      </c>
      <c r="J129" s="5"/>
      <c r="K129" s="8" t="s">
        <v>289</v>
      </c>
    </row>
    <row r="130" customFormat="false" ht="15" hidden="false" customHeight="true" outlineLevel="0" collapsed="false">
      <c r="A130" s="5" t="s">
        <v>704</v>
      </c>
      <c r="B130" s="5" t="s">
        <v>695</v>
      </c>
      <c r="C130" s="8" t="s">
        <v>705</v>
      </c>
      <c r="D130" s="82" t="n">
        <v>0.08</v>
      </c>
      <c r="E130" s="5" t="s">
        <v>706</v>
      </c>
      <c r="F130" s="5" t="s">
        <v>399</v>
      </c>
      <c r="G130" s="5" t="n">
        <v>0.06</v>
      </c>
      <c r="H130" s="5" t="n">
        <v>0.1</v>
      </c>
      <c r="I130" s="5" t="s">
        <v>707</v>
      </c>
      <c r="J130" s="5"/>
      <c r="K130" s="8" t="s">
        <v>289</v>
      </c>
    </row>
    <row r="131" customFormat="false" ht="15" hidden="false" customHeight="true" outlineLevel="0" collapsed="false">
      <c r="A131" s="5" t="s">
        <v>708</v>
      </c>
      <c r="B131" s="5" t="s">
        <v>695</v>
      </c>
      <c r="C131" s="5" t="s">
        <v>709</v>
      </c>
      <c r="D131" s="82" t="n">
        <v>0.1</v>
      </c>
      <c r="E131" s="5" t="s">
        <v>195</v>
      </c>
      <c r="F131" s="5" t="s">
        <v>399</v>
      </c>
      <c r="G131" s="5" t="n">
        <v>0.05</v>
      </c>
      <c r="H131" s="5" t="n">
        <v>0.15</v>
      </c>
      <c r="I131" s="5" t="s">
        <v>710</v>
      </c>
      <c r="J131" s="5"/>
      <c r="K131" s="8" t="s">
        <v>289</v>
      </c>
    </row>
    <row r="132" customFormat="false" ht="15" hidden="false" customHeight="true" outlineLevel="0" collapsed="false">
      <c r="A132" s="5" t="s">
        <v>711</v>
      </c>
      <c r="B132" s="5" t="s">
        <v>695</v>
      </c>
      <c r="C132" s="8" t="s">
        <v>712</v>
      </c>
      <c r="D132" s="82" t="n">
        <v>500</v>
      </c>
      <c r="E132" s="5" t="s">
        <v>713</v>
      </c>
      <c r="F132" s="5" t="s">
        <v>142</v>
      </c>
      <c r="G132" s="5" t="n">
        <v>300</v>
      </c>
      <c r="H132" s="5" t="n">
        <v>800</v>
      </c>
      <c r="I132" s="5" t="s">
        <v>714</v>
      </c>
      <c r="J132" s="5"/>
      <c r="K132" s="8" t="s">
        <v>289</v>
      </c>
    </row>
    <row r="133" customFormat="false" ht="15" hidden="false" customHeight="true" outlineLevel="0" collapsed="false">
      <c r="A133" s="5" t="s">
        <v>715</v>
      </c>
      <c r="B133" s="5" t="s">
        <v>695</v>
      </c>
      <c r="C133" s="8" t="s">
        <v>716</v>
      </c>
      <c r="D133" s="82" t="n">
        <v>0.02</v>
      </c>
      <c r="E133" s="5" t="s">
        <v>717</v>
      </c>
      <c r="F133" s="5" t="s">
        <v>142</v>
      </c>
      <c r="G133" s="5" t="n">
        <v>0.02</v>
      </c>
      <c r="H133" s="5" t="n">
        <v>0.02</v>
      </c>
      <c r="I133" s="5" t="s">
        <v>718</v>
      </c>
      <c r="J133" s="5"/>
      <c r="K133" s="8" t="s">
        <v>289</v>
      </c>
    </row>
    <row r="134" customFormat="false" ht="15" hidden="false" customHeight="true" outlineLevel="0" collapsed="false">
      <c r="A134" s="5" t="s">
        <v>719</v>
      </c>
      <c r="B134" s="5" t="s">
        <v>695</v>
      </c>
      <c r="C134" s="8" t="s">
        <v>720</v>
      </c>
      <c r="D134" s="82" t="n">
        <v>3.6</v>
      </c>
      <c r="E134" s="5" t="s">
        <v>717</v>
      </c>
      <c r="F134" s="5" t="s">
        <v>142</v>
      </c>
      <c r="G134" s="5" t="n">
        <v>3</v>
      </c>
      <c r="H134" s="5" t="n">
        <v>4.5</v>
      </c>
      <c r="I134" s="5" t="s">
        <v>721</v>
      </c>
      <c r="J134" s="5"/>
      <c r="K134" s="8" t="s">
        <v>289</v>
      </c>
    </row>
    <row r="135" customFormat="false" ht="15" hidden="false" customHeight="true" outlineLevel="0" collapsed="false">
      <c r="A135" s="5" t="s">
        <v>722</v>
      </c>
      <c r="B135" s="5" t="s">
        <v>695</v>
      </c>
      <c r="C135" s="8" t="s">
        <v>723</v>
      </c>
      <c r="D135" s="82" t="n">
        <v>4.5</v>
      </c>
      <c r="E135" s="5" t="s">
        <v>717</v>
      </c>
      <c r="F135" s="5" t="s">
        <v>142</v>
      </c>
      <c r="G135" s="5" t="n">
        <v>3.8</v>
      </c>
      <c r="H135" s="5" t="n">
        <v>5.5</v>
      </c>
      <c r="I135" s="5" t="s">
        <v>724</v>
      </c>
      <c r="J135" s="5"/>
      <c r="K135" s="8" t="s">
        <v>289</v>
      </c>
    </row>
    <row r="136" customFormat="false" ht="15" hidden="false" customHeight="true" outlineLevel="0" collapsed="false">
      <c r="A136" s="5" t="s">
        <v>725</v>
      </c>
      <c r="B136" s="5" t="s">
        <v>695</v>
      </c>
      <c r="C136" s="8" t="s">
        <v>726</v>
      </c>
      <c r="D136" s="82" t="n">
        <v>2.5</v>
      </c>
      <c r="E136" s="5" t="s">
        <v>717</v>
      </c>
      <c r="F136" s="5" t="s">
        <v>142</v>
      </c>
      <c r="G136" s="5" t="n">
        <v>2</v>
      </c>
      <c r="H136" s="5" t="n">
        <v>3.2</v>
      </c>
      <c r="I136" s="5" t="s">
        <v>727</v>
      </c>
      <c r="J136" s="5"/>
      <c r="K136" s="8" t="s">
        <v>289</v>
      </c>
    </row>
    <row r="137" customFormat="false" ht="15" hidden="false" customHeight="true" outlineLevel="0" collapsed="false">
      <c r="A137" s="5" t="s">
        <v>728</v>
      </c>
      <c r="B137" s="5" t="s">
        <v>695</v>
      </c>
      <c r="C137" s="8" t="s">
        <v>729</v>
      </c>
      <c r="D137" s="82" t="n">
        <v>0.4</v>
      </c>
      <c r="E137" s="5" t="s">
        <v>717</v>
      </c>
      <c r="F137" s="5" t="s">
        <v>142</v>
      </c>
      <c r="G137" s="5" t="n">
        <v>0.3</v>
      </c>
      <c r="H137" s="5" t="n">
        <v>0.5</v>
      </c>
      <c r="I137" s="5" t="s">
        <v>730</v>
      </c>
      <c r="J137" s="5"/>
      <c r="K137" s="8" t="s">
        <v>289</v>
      </c>
    </row>
    <row r="138" customFormat="false" ht="15" hidden="false" customHeight="true" outlineLevel="0" collapsed="false">
      <c r="A138" s="5" t="s">
        <v>731</v>
      </c>
      <c r="B138" s="5" t="s">
        <v>695</v>
      </c>
      <c r="C138" s="8" t="s">
        <v>732</v>
      </c>
      <c r="D138" s="82" t="n">
        <v>0.15</v>
      </c>
      <c r="E138" s="5" t="s">
        <v>733</v>
      </c>
      <c r="F138" s="5" t="s">
        <v>142</v>
      </c>
      <c r="G138" s="5" t="n">
        <v>0.12</v>
      </c>
      <c r="H138" s="5" t="n">
        <v>0.18</v>
      </c>
      <c r="I138" s="5" t="s">
        <v>734</v>
      </c>
      <c r="J138" s="5"/>
      <c r="K138" s="8" t="s">
        <v>289</v>
      </c>
    </row>
    <row r="139" customFormat="false" ht="15" hidden="false" customHeight="true" outlineLevel="0" collapsed="false">
      <c r="A139" s="5" t="s">
        <v>735</v>
      </c>
      <c r="B139" s="5" t="s">
        <v>695</v>
      </c>
      <c r="C139" s="5" t="s">
        <v>736</v>
      </c>
      <c r="D139" s="82" t="n">
        <v>6</v>
      </c>
      <c r="E139" s="8" t="s">
        <v>737</v>
      </c>
      <c r="F139" s="8" t="s">
        <v>401</v>
      </c>
      <c r="G139" s="5"/>
      <c r="H139" s="5"/>
      <c r="I139" s="5" t="s">
        <v>738</v>
      </c>
      <c r="J139" s="5"/>
      <c r="K139" s="8" t="s">
        <v>294</v>
      </c>
    </row>
    <row r="140" customFormat="false" ht="23.25" hidden="false" customHeight="true" outlineLevel="0" collapsed="false">
      <c r="A140" s="5" t="s">
        <v>739</v>
      </c>
      <c r="B140" s="5" t="s">
        <v>695</v>
      </c>
      <c r="C140" s="8" t="s">
        <v>740</v>
      </c>
      <c r="D140" s="82" t="n">
        <v>30</v>
      </c>
      <c r="E140" s="8" t="s">
        <v>737</v>
      </c>
      <c r="F140" s="5" t="s">
        <v>142</v>
      </c>
      <c r="G140" s="5" t="n">
        <v>25</v>
      </c>
      <c r="H140" s="5" t="n">
        <v>40</v>
      </c>
      <c r="I140" s="5" t="s">
        <v>741</v>
      </c>
      <c r="J140" s="5"/>
      <c r="K140" s="8" t="s">
        <v>289</v>
      </c>
    </row>
    <row r="141" customFormat="false" ht="23.25" hidden="false" customHeight="true" outlineLevel="0" collapsed="false">
      <c r="A141" s="5" t="s">
        <v>742</v>
      </c>
      <c r="B141" s="5" t="s">
        <v>695</v>
      </c>
      <c r="C141" s="8" t="s">
        <v>743</v>
      </c>
      <c r="D141" s="82" t="n">
        <v>20</v>
      </c>
      <c r="E141" s="8" t="s">
        <v>737</v>
      </c>
      <c r="F141" s="5" t="s">
        <v>142</v>
      </c>
      <c r="G141" s="5" t="n">
        <v>15</v>
      </c>
      <c r="H141" s="5" t="n">
        <v>25</v>
      </c>
      <c r="I141" s="5" t="s">
        <v>744</v>
      </c>
      <c r="J141" s="5"/>
      <c r="K141" s="8" t="s">
        <v>289</v>
      </c>
    </row>
    <row r="142" customFormat="false" ht="23.25" hidden="false" customHeight="true" outlineLevel="0" collapsed="false">
      <c r="A142" s="5" t="s">
        <v>745</v>
      </c>
      <c r="B142" s="5" t="s">
        <v>695</v>
      </c>
      <c r="C142" s="8" t="s">
        <v>746</v>
      </c>
      <c r="D142" s="82" t="n">
        <v>15</v>
      </c>
      <c r="E142" s="8" t="s">
        <v>737</v>
      </c>
      <c r="F142" s="5" t="s">
        <v>142</v>
      </c>
      <c r="G142" s="5" t="n">
        <v>10</v>
      </c>
      <c r="H142" s="5" t="n">
        <v>20</v>
      </c>
      <c r="I142" s="5" t="s">
        <v>747</v>
      </c>
      <c r="J142" s="5"/>
      <c r="K142" s="8" t="s">
        <v>289</v>
      </c>
    </row>
    <row r="143" customFormat="false" ht="15" hidden="false" customHeight="true" outlineLevel="0" collapsed="false">
      <c r="A143" s="5" t="s">
        <v>748</v>
      </c>
      <c r="B143" s="5" t="s">
        <v>695</v>
      </c>
      <c r="C143" s="8" t="s">
        <v>749</v>
      </c>
      <c r="D143" s="82" t="n">
        <v>10</v>
      </c>
      <c r="E143" s="8" t="s">
        <v>737</v>
      </c>
      <c r="F143" s="5" t="s">
        <v>142</v>
      </c>
      <c r="G143" s="5" t="n">
        <v>7</v>
      </c>
      <c r="H143" s="5" t="n">
        <v>15</v>
      </c>
      <c r="I143" s="5" t="s">
        <v>750</v>
      </c>
      <c r="J143" s="5"/>
      <c r="K143" s="8" t="s">
        <v>289</v>
      </c>
    </row>
    <row r="144" customFormat="false" ht="23.25" hidden="false" customHeight="true" outlineLevel="0" collapsed="false">
      <c r="A144" s="5" t="s">
        <v>751</v>
      </c>
      <c r="B144" s="5" t="s">
        <v>695</v>
      </c>
      <c r="C144" s="5" t="s">
        <v>752</v>
      </c>
      <c r="D144" s="82" t="n">
        <v>0.1</v>
      </c>
      <c r="E144" s="5" t="s">
        <v>195</v>
      </c>
      <c r="F144" s="5" t="s">
        <v>142</v>
      </c>
      <c r="G144" s="5" t="n">
        <v>0.08</v>
      </c>
      <c r="H144" s="5" t="n">
        <v>0.13</v>
      </c>
      <c r="I144" s="5" t="s">
        <v>753</v>
      </c>
      <c r="J144" s="5"/>
      <c r="K144" s="8" t="s">
        <v>294</v>
      </c>
    </row>
    <row r="145" customFormat="false" ht="23.25" hidden="false" customHeight="true" outlineLevel="0" collapsed="false">
      <c r="A145" s="5" t="s">
        <v>754</v>
      </c>
      <c r="B145" s="5" t="s">
        <v>695</v>
      </c>
      <c r="C145" s="5" t="s">
        <v>755</v>
      </c>
      <c r="D145" s="82" t="n">
        <v>0.0157250107250107</v>
      </c>
      <c r="E145" s="5" t="s">
        <v>756</v>
      </c>
      <c r="F145" s="5" t="s">
        <v>453</v>
      </c>
      <c r="G145" s="5" t="n">
        <v>0.0102443497224425</v>
      </c>
      <c r="H145" s="5" t="n">
        <v>0.0182477678962645</v>
      </c>
      <c r="I145" s="5" t="s">
        <v>757</v>
      </c>
      <c r="J145" s="5"/>
      <c r="K145" s="8" t="s">
        <v>289</v>
      </c>
    </row>
    <row r="146" customFormat="false" ht="29.25" hidden="false" customHeight="true" outlineLevel="0" collapsed="false">
      <c r="A146" s="5" t="s">
        <v>758</v>
      </c>
      <c r="B146" s="5" t="s">
        <v>695</v>
      </c>
      <c r="C146" s="8" t="s">
        <v>759</v>
      </c>
      <c r="D146" s="82" t="n">
        <v>0.02</v>
      </c>
      <c r="E146" s="5" t="s">
        <v>760</v>
      </c>
      <c r="F146" s="5" t="s">
        <v>142</v>
      </c>
      <c r="G146" s="5" t="n">
        <v>0.015</v>
      </c>
      <c r="H146" s="5" t="n">
        <v>0.025</v>
      </c>
      <c r="I146" s="5" t="s">
        <v>761</v>
      </c>
      <c r="J146" s="5"/>
      <c r="K146" s="8" t="s">
        <v>289</v>
      </c>
    </row>
    <row r="147" customFormat="false" ht="15" hidden="false" customHeight="true" outlineLevel="0" collapsed="false">
      <c r="A147" s="5" t="s">
        <v>762</v>
      </c>
      <c r="B147" s="5" t="s">
        <v>695</v>
      </c>
      <c r="C147" s="8" t="s">
        <v>763</v>
      </c>
      <c r="D147" s="82" t="n">
        <v>75</v>
      </c>
      <c r="E147" s="5" t="s">
        <v>764</v>
      </c>
      <c r="F147" s="5" t="s">
        <v>142</v>
      </c>
      <c r="G147" s="5" t="n">
        <v>50</v>
      </c>
      <c r="H147" s="5" t="n">
        <v>100</v>
      </c>
      <c r="I147" s="5" t="s">
        <v>765</v>
      </c>
      <c r="J147" s="5"/>
      <c r="K147" s="8" t="s">
        <v>289</v>
      </c>
    </row>
    <row r="148" customFormat="false" ht="15" hidden="false" customHeight="true" outlineLevel="0" collapsed="false">
      <c r="A148" s="5" t="s">
        <v>766</v>
      </c>
      <c r="B148" s="5" t="s">
        <v>695</v>
      </c>
      <c r="C148" s="8" t="s">
        <v>767</v>
      </c>
      <c r="D148" s="82" t="n">
        <v>200</v>
      </c>
      <c r="E148" s="5" t="s">
        <v>764</v>
      </c>
      <c r="F148" s="5" t="s">
        <v>142</v>
      </c>
      <c r="G148" s="5" t="n">
        <v>150</v>
      </c>
      <c r="H148" s="5" t="n">
        <v>250</v>
      </c>
      <c r="I148" s="5" t="s">
        <v>768</v>
      </c>
      <c r="J148" s="5"/>
      <c r="K148" s="8" t="s">
        <v>289</v>
      </c>
    </row>
    <row r="149" customFormat="false" ht="23.25" hidden="false" customHeight="true" outlineLevel="0" collapsed="false">
      <c r="A149" s="5" t="s">
        <v>769</v>
      </c>
      <c r="B149" s="5" t="s">
        <v>695</v>
      </c>
      <c r="C149" s="8" t="s">
        <v>770</v>
      </c>
      <c r="D149" s="82" t="n">
        <v>0.05</v>
      </c>
      <c r="E149" s="5" t="s">
        <v>771</v>
      </c>
      <c r="F149" s="5" t="s">
        <v>142</v>
      </c>
      <c r="G149" s="5" t="n">
        <v>0.04</v>
      </c>
      <c r="H149" s="5" t="n">
        <v>0.06</v>
      </c>
      <c r="I149" s="5" t="s">
        <v>772</v>
      </c>
      <c r="J149" s="5"/>
      <c r="K149" s="8" t="s">
        <v>289</v>
      </c>
    </row>
    <row r="150" customFormat="false" ht="15" hidden="false" customHeight="true" outlineLevel="0" collapsed="false">
      <c r="A150" s="5" t="s">
        <v>773</v>
      </c>
      <c r="B150" s="5" t="s">
        <v>695</v>
      </c>
      <c r="C150" s="8" t="s">
        <v>774</v>
      </c>
      <c r="D150" s="82" t="n">
        <v>0.005</v>
      </c>
      <c r="E150" s="5" t="s">
        <v>775</v>
      </c>
      <c r="F150" s="5" t="s">
        <v>142</v>
      </c>
      <c r="G150" s="5" t="n">
        <v>0.003</v>
      </c>
      <c r="H150" s="5" t="n">
        <v>0.008</v>
      </c>
      <c r="I150" s="5" t="s">
        <v>776</v>
      </c>
      <c r="J150" s="5"/>
      <c r="K150" s="8" t="s">
        <v>289</v>
      </c>
    </row>
    <row r="152" customFormat="false" ht="15" hidden="false" customHeight="false" outlineLevel="0" collapsed="false">
      <c r="A152" s="86" t="s">
        <v>777</v>
      </c>
      <c r="B152" s="86"/>
      <c r="C152" s="86"/>
      <c r="D152" s="86"/>
      <c r="E152" s="86"/>
      <c r="F152" s="86"/>
      <c r="G152" s="86"/>
      <c r="H152" s="86"/>
      <c r="I152" s="86"/>
      <c r="J152" s="86"/>
      <c r="K152" s="86"/>
    </row>
    <row r="153" customFormat="false" ht="48.5" hidden="false" customHeight="false" outlineLevel="0" collapsed="false">
      <c r="A153" s="1" t="s">
        <v>778</v>
      </c>
      <c r="B153" s="1" t="s">
        <v>779</v>
      </c>
      <c r="C153" s="1" t="s">
        <v>780</v>
      </c>
      <c r="D153" s="87" t="n">
        <v>0.7</v>
      </c>
      <c r="E153" s="1" t="s">
        <v>195</v>
      </c>
      <c r="F153" s="1" t="s">
        <v>781</v>
      </c>
      <c r="G153" s="70" t="n">
        <v>0.612088752869166</v>
      </c>
      <c r="H153" s="70" t="n">
        <v>0.82</v>
      </c>
      <c r="I153" s="1" t="s">
        <v>782</v>
      </c>
      <c r="J153" s="47" t="s">
        <v>783</v>
      </c>
      <c r="K153" s="10" t="s">
        <v>294</v>
      </c>
    </row>
    <row r="154" customFormat="false" ht="17.15" hidden="false" customHeight="false" outlineLevel="0" collapsed="false">
      <c r="A154" s="1" t="s">
        <v>784</v>
      </c>
      <c r="B154" s="1" t="s">
        <v>779</v>
      </c>
      <c r="C154" s="1" t="s">
        <v>785</v>
      </c>
      <c r="D154" s="87" t="n">
        <v>0.1</v>
      </c>
      <c r="E154" s="1" t="s">
        <v>195</v>
      </c>
      <c r="F154" s="1" t="s">
        <v>142</v>
      </c>
      <c r="G154" s="70" t="n">
        <v>0.05</v>
      </c>
      <c r="H154" s="70" t="n">
        <v>0.15</v>
      </c>
      <c r="I154" s="1" t="s">
        <v>786</v>
      </c>
      <c r="J154" s="47" t="s">
        <v>787</v>
      </c>
      <c r="K154" s="10" t="s">
        <v>301</v>
      </c>
    </row>
    <row r="155" customFormat="false" ht="17.15" hidden="false" customHeight="false" outlineLevel="0" collapsed="false">
      <c r="A155" s="1" t="s">
        <v>788</v>
      </c>
      <c r="B155" s="1" t="s">
        <v>779</v>
      </c>
      <c r="C155" s="10" t="s">
        <v>789</v>
      </c>
      <c r="D155" s="87" t="n">
        <v>0.75</v>
      </c>
      <c r="E155" s="1" t="s">
        <v>195</v>
      </c>
      <c r="F155" s="1" t="s">
        <v>142</v>
      </c>
      <c r="G155" s="70" t="n">
        <v>0.6</v>
      </c>
      <c r="H155" s="70" t="n">
        <v>0.9</v>
      </c>
      <c r="I155" s="1" t="s">
        <v>790</v>
      </c>
      <c r="J155" s="47" t="s">
        <v>791</v>
      </c>
      <c r="K155" s="10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0"/>
    <col collapsed="false" customWidth="true" hidden="false" outlineLevel="0" max="3" min="3" style="1" width="62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79" t="s">
        <v>792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2" t="s">
        <v>793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16" t="s">
        <v>794</v>
      </c>
      <c r="B4" s="16" t="s">
        <v>101</v>
      </c>
      <c r="C4" s="16" t="s">
        <v>795</v>
      </c>
      <c r="D4" s="16" t="s">
        <v>29</v>
      </c>
      <c r="E4" s="16" t="s">
        <v>30</v>
      </c>
      <c r="F4" s="16" t="s">
        <v>280</v>
      </c>
      <c r="G4" s="16" t="s">
        <v>796</v>
      </c>
      <c r="H4" s="16" t="s">
        <v>69</v>
      </c>
    </row>
    <row r="5" customFormat="false" ht="15" hidden="false" customHeight="true" outlineLevel="0" collapsed="false">
      <c r="A5" s="17" t="s">
        <v>797</v>
      </c>
      <c r="B5" s="81"/>
      <c r="C5" s="81"/>
      <c r="D5" s="81"/>
      <c r="E5" s="81"/>
      <c r="F5" s="81"/>
      <c r="G5" s="81"/>
      <c r="H5" s="81"/>
    </row>
    <row r="6" customFormat="false" ht="26.25" hidden="false" customHeight="true" outlineLevel="0" collapsed="false">
      <c r="A6" s="12" t="s">
        <v>798</v>
      </c>
      <c r="B6" s="5" t="s">
        <v>799</v>
      </c>
      <c r="C6" s="4" t="s">
        <v>800</v>
      </c>
      <c r="D6" s="88" t="n">
        <f aca="false">IN_Util/(IN_MixP_L/5_每GW產出!D$67+IN_MixP_S/5_每GW產出!E$67+IN_MixP_A/5_每GW產出!F$67)</f>
        <v>15395391054.8974</v>
      </c>
      <c r="E6" s="23" t="s">
        <v>39</v>
      </c>
      <c r="F6" s="12" t="s">
        <v>801</v>
      </c>
      <c r="G6" s="89" t="n">
        <v>15395391054.8974</v>
      </c>
      <c r="H6" s="90" t="n">
        <f aca="false">IF(G6=0,D6-G6,D6/G6-1)</f>
        <v>0</v>
      </c>
    </row>
    <row r="7" customFormat="false" ht="15" hidden="false" customHeight="true" outlineLevel="0" collapsed="false">
      <c r="A7" s="12" t="s">
        <v>802</v>
      </c>
      <c r="B7" s="5" t="s">
        <v>803</v>
      </c>
      <c r="C7" s="4" t="s">
        <v>804</v>
      </c>
      <c r="D7" s="88" t="n">
        <f aca="false">IN_Util/(IN_MixP_L/5_每GW產出!G$67+IN_MixP_S/5_每GW產出!H$67+IN_MixP_A/5_每GW產出!I$67)</f>
        <v>75756718883.7184</v>
      </c>
      <c r="E7" s="23" t="s">
        <v>39</v>
      </c>
      <c r="F7" s="12" t="s">
        <v>805</v>
      </c>
      <c r="G7" s="89" t="n">
        <v>75756718883.7184</v>
      </c>
      <c r="H7" s="90" t="n">
        <f aca="false">IF(G7=0,D7-G7,D7/G7-1)</f>
        <v>0</v>
      </c>
    </row>
    <row r="8" customFormat="false" ht="15" hidden="false" customHeight="true" outlineLevel="0" collapsed="false">
      <c r="A8" s="12" t="s">
        <v>806</v>
      </c>
      <c r="B8" s="5" t="s">
        <v>807</v>
      </c>
      <c r="C8" s="4" t="s">
        <v>808</v>
      </c>
      <c r="D8" s="88" t="n">
        <f aca="false">IN_Util/(IN_MixF_L/5_每GW產出!D$67+IN_MixF_S/5_每GW產出!E$67+IN_MixF_A/5_每GW產出!F$67)</f>
        <v>54582804988.7846</v>
      </c>
      <c r="E8" s="23" t="s">
        <v>39</v>
      </c>
      <c r="F8" s="12" t="s">
        <v>809</v>
      </c>
      <c r="G8" s="89" t="n">
        <v>54582804988.7847</v>
      </c>
      <c r="H8" s="90" t="n">
        <f aca="false">IF(G8=0,D8-G8,D8/G8-1)</f>
        <v>0</v>
      </c>
    </row>
    <row r="9" customFormat="false" ht="15" hidden="false" customHeight="true" outlineLevel="0" collapsed="false">
      <c r="A9" s="12" t="s">
        <v>810</v>
      </c>
      <c r="B9" s="5" t="s">
        <v>811</v>
      </c>
      <c r="C9" s="4" t="s">
        <v>61</v>
      </c>
      <c r="D9" s="88" t="n">
        <f aca="false">IN_Util/(IN_MixF_L/5_每GW產出!G$67+IN_MixF_S/5_每GW產出!H$67+IN_MixF_A/5_每GW產出!I$67)</f>
        <v>269761927758.008</v>
      </c>
      <c r="E9" s="23" t="s">
        <v>39</v>
      </c>
      <c r="F9" s="12" t="s">
        <v>812</v>
      </c>
      <c r="G9" s="89" t="n">
        <v>269761927758.009</v>
      </c>
      <c r="H9" s="90" t="n">
        <f aca="false">IF(G9=0,D9-G9,D9/G9-1)</f>
        <v>0</v>
      </c>
    </row>
    <row r="10" customFormat="false" ht="15" hidden="false" customHeight="true" outlineLevel="0" collapsed="false">
      <c r="A10" s="12" t="s">
        <v>813</v>
      </c>
      <c r="B10" s="8" t="s">
        <v>814</v>
      </c>
      <c r="C10" s="4" t="s">
        <v>815</v>
      </c>
      <c r="D10" s="88" t="n">
        <f aca="false">(IN_ShareH*D6+IN_ShareG*D7)/(IN_ShareH+IN_ShareG)</f>
        <v>39539922186.4258</v>
      </c>
      <c r="E10" s="23" t="s">
        <v>39</v>
      </c>
      <c r="F10" s="12" t="s">
        <v>816</v>
      </c>
      <c r="G10" s="89" t="n">
        <v>39539922186.4258</v>
      </c>
      <c r="H10" s="90" t="n">
        <f aca="false">IF(G10=0,D10-G10,D10/G10-1)</f>
        <v>0</v>
      </c>
    </row>
    <row r="11" customFormat="false" ht="15" hidden="false" customHeight="true" outlineLevel="0" collapsed="false">
      <c r="A11" s="12" t="s">
        <v>817</v>
      </c>
      <c r="B11" s="8" t="s">
        <v>818</v>
      </c>
      <c r="C11" s="4" t="s">
        <v>61</v>
      </c>
      <c r="D11" s="88" t="n">
        <f aca="false">(IN_ShareH*D8+IN_ShareG*D9)/(IN_ShareH+IN_ShareG)</f>
        <v>140654454096.474</v>
      </c>
      <c r="E11" s="23" t="s">
        <v>39</v>
      </c>
      <c r="F11" s="12" t="s">
        <v>819</v>
      </c>
      <c r="G11" s="89" t="n">
        <v>140654454096.474</v>
      </c>
      <c r="H11" s="90" t="n">
        <f aca="false">IF(G11=0,D11-G11,D11/G11-1)</f>
        <v>0</v>
      </c>
    </row>
    <row r="12" customFormat="false" ht="15" hidden="false" customHeight="true" outlineLevel="0" collapsed="false">
      <c r="A12" s="17" t="s">
        <v>820</v>
      </c>
      <c r="B12" s="81"/>
      <c r="C12" s="81"/>
      <c r="D12" s="81"/>
      <c r="E12" s="81"/>
      <c r="F12" s="81"/>
      <c r="G12" s="81"/>
      <c r="H12" s="81"/>
    </row>
    <row r="13" customFormat="false" ht="15" hidden="false" customHeight="true" outlineLevel="0" collapsed="false">
      <c r="A13" s="12" t="s">
        <v>821</v>
      </c>
      <c r="B13" s="5" t="s">
        <v>822</v>
      </c>
      <c r="C13" s="4" t="s">
        <v>823</v>
      </c>
      <c r="D13" s="88" t="n">
        <f aca="false">IN_APItpm*1000000000*525600*IN_APIratio/1000000</f>
        <v>2365200000</v>
      </c>
      <c r="E13" s="23" t="s">
        <v>39</v>
      </c>
      <c r="F13" s="12" t="s">
        <v>824</v>
      </c>
      <c r="G13" s="89" t="n">
        <v>2365200000</v>
      </c>
      <c r="H13" s="90" t="n">
        <f aca="false">IF(G13=0,D13-G13,D13/G13-1)</f>
        <v>0</v>
      </c>
    </row>
    <row r="14" customFormat="false" ht="15" hidden="false" customHeight="true" outlineLevel="0" collapsed="false">
      <c r="A14" s="12" t="s">
        <v>825</v>
      </c>
      <c r="B14" s="5" t="s">
        <v>826</v>
      </c>
      <c r="C14" s="4" t="s">
        <v>827</v>
      </c>
      <c r="D14" s="88" t="n">
        <f aca="false">IN_Prompts*1000000000*IN_Tau*365/1000000</f>
        <v>3650000000</v>
      </c>
      <c r="E14" s="23" t="s">
        <v>39</v>
      </c>
      <c r="F14" s="12" t="s">
        <v>828</v>
      </c>
      <c r="G14" s="89" t="n">
        <v>3650000000</v>
      </c>
      <c r="H14" s="90" t="n">
        <f aca="false">IF(G14=0,D14-G14,D14/G14-1)</f>
        <v>0</v>
      </c>
    </row>
    <row r="15" customFormat="false" ht="15" hidden="false" customHeight="true" outlineLevel="0" collapsed="false">
      <c r="A15" s="12" t="s">
        <v>829</v>
      </c>
      <c r="B15" s="5" t="s">
        <v>830</v>
      </c>
      <c r="C15" s="4" t="s">
        <v>831</v>
      </c>
      <c r="D15" s="88" t="n">
        <f aca="false">D14*IN_FreeShare</f>
        <v>2190000000</v>
      </c>
      <c r="E15" s="23" t="s">
        <v>39</v>
      </c>
      <c r="F15" s="12" t="s">
        <v>832</v>
      </c>
      <c r="G15" s="89" t="n">
        <v>2190000000</v>
      </c>
      <c r="H15" s="90" t="n">
        <f aca="false">IF(G15=0,D15-G15,D15/G15-1)</f>
        <v>0</v>
      </c>
    </row>
    <row r="16" customFormat="false" ht="15" hidden="false" customHeight="true" outlineLevel="0" collapsed="false">
      <c r="A16" s="12" t="s">
        <v>833</v>
      </c>
      <c r="B16" s="8" t="s">
        <v>834</v>
      </c>
      <c r="C16" s="4" t="s">
        <v>835</v>
      </c>
      <c r="D16" s="88" t="n">
        <f aca="false">D13+D14-D15</f>
        <v>3825200000</v>
      </c>
      <c r="E16" s="23" t="s">
        <v>39</v>
      </c>
      <c r="F16" s="12" t="s">
        <v>836</v>
      </c>
      <c r="G16" s="89" t="n">
        <v>3825200000</v>
      </c>
      <c r="H16" s="90" t="n">
        <f aca="false">IF(G16=0,D16-G16,D16/G16-1)</f>
        <v>0</v>
      </c>
    </row>
    <row r="17" customFormat="false" ht="15" hidden="false" customHeight="true" outlineLevel="0" collapsed="false">
      <c r="A17" s="12" t="s">
        <v>837</v>
      </c>
      <c r="B17" s="8" t="s">
        <v>78</v>
      </c>
      <c r="C17" s="4" t="s">
        <v>838</v>
      </c>
      <c r="D17" s="91" t="n">
        <f aca="false">D15/D16</f>
        <v>0.572519083969466</v>
      </c>
      <c r="E17" s="23" t="s">
        <v>33</v>
      </c>
      <c r="F17" s="12" t="s">
        <v>839</v>
      </c>
      <c r="G17" s="92" t="n">
        <v>0.572519083969466</v>
      </c>
      <c r="H17" s="90" t="n">
        <f aca="false">IF(G17=0,D17-G17,D17/G17-1)</f>
        <v>0</v>
      </c>
    </row>
    <row r="18" customFormat="false" ht="15" hidden="false" customHeight="true" outlineLevel="0" collapsed="false">
      <c r="A18" s="17" t="s">
        <v>840</v>
      </c>
      <c r="B18" s="81"/>
      <c r="C18" s="81"/>
      <c r="D18" s="81"/>
      <c r="E18" s="81"/>
      <c r="F18" s="81"/>
      <c r="G18" s="81"/>
      <c r="H18" s="81"/>
    </row>
    <row r="19" customFormat="false" ht="15" hidden="false" customHeight="true" outlineLevel="0" collapsed="false">
      <c r="A19" s="12" t="s">
        <v>841</v>
      </c>
      <c r="B19" s="8" t="s">
        <v>842</v>
      </c>
      <c r="C19" s="4" t="s">
        <v>843</v>
      </c>
      <c r="D19" s="91" t="n">
        <f aca="false">(IN_ShareH*4_持有成本!D$34+IN_ShareG*4_持有成本!E$34)/(IN_ShareH+IN_ShareG)</f>
        <v>9.35311859805586</v>
      </c>
      <c r="E19" s="23" t="s">
        <v>52</v>
      </c>
      <c r="F19" s="2"/>
      <c r="G19" s="2"/>
      <c r="H19" s="2"/>
    </row>
    <row r="20" customFormat="false" ht="26.25" hidden="false" customHeight="true" outlineLevel="0" collapsed="false">
      <c r="A20" s="12" t="s">
        <v>844</v>
      </c>
      <c r="B20" s="8" t="s">
        <v>845</v>
      </c>
      <c r="C20" s="4" t="s">
        <v>846</v>
      </c>
      <c r="D20" s="91" t="n">
        <f aca="false">IN_Spend/D19</f>
        <v>0.89809617101894</v>
      </c>
      <c r="E20" s="23" t="s">
        <v>47</v>
      </c>
      <c r="F20" s="12" t="s">
        <v>847</v>
      </c>
      <c r="G20" s="92" t="n">
        <v>0.89809617101894</v>
      </c>
      <c r="H20" s="90" t="n">
        <f aca="false">IF(G20=0,D20-G20,D20/G20-1)</f>
        <v>0</v>
      </c>
    </row>
    <row r="21" customFormat="false" ht="26.25" hidden="false" customHeight="true" outlineLevel="0" collapsed="false">
      <c r="A21" s="12" t="s">
        <v>848</v>
      </c>
      <c r="B21" s="8" t="s">
        <v>849</v>
      </c>
      <c r="C21" s="4" t="s">
        <v>850</v>
      </c>
      <c r="D21" s="91" t="n">
        <f aca="false">D20/IN_SpendBasis*IN_Kappa</f>
        <v>1.05658373061052</v>
      </c>
      <c r="E21" s="23" t="s">
        <v>47</v>
      </c>
      <c r="F21" s="12" t="s">
        <v>851</v>
      </c>
      <c r="G21" s="92" t="n">
        <v>1.05658373061052</v>
      </c>
      <c r="H21" s="90" t="n">
        <f aca="false">IF(G21=0,D21-G21,D21/G21-1)</f>
        <v>0</v>
      </c>
    </row>
    <row r="22" customFormat="false" ht="26.25" hidden="false" customHeight="true" outlineLevel="0" collapsed="false">
      <c r="A22" s="12" t="s">
        <v>852</v>
      </c>
      <c r="B22" s="8" t="s">
        <v>206</v>
      </c>
      <c r="C22" s="4" t="s">
        <v>853</v>
      </c>
      <c r="D22" s="91" t="n">
        <f aca="false">IN_UtilAct*IN_ProdDerate/IN_Util</f>
        <v>0.580833333333333</v>
      </c>
      <c r="E22" s="23" t="s">
        <v>33</v>
      </c>
      <c r="F22" s="12" t="s">
        <v>854</v>
      </c>
      <c r="G22" s="92" t="n">
        <v>0.580833333333333</v>
      </c>
      <c r="H22" s="90" t="n">
        <f aca="false">IF(G22=0,D22-G22,D22/G22-1)</f>
        <v>0</v>
      </c>
    </row>
    <row r="23" customFormat="false" ht="26.25" hidden="false" customHeight="true" outlineLevel="0" collapsed="false">
      <c r="A23" s="12" t="s">
        <v>855</v>
      </c>
      <c r="B23" s="8" t="s">
        <v>856</v>
      </c>
      <c r="C23" s="4" t="s">
        <v>857</v>
      </c>
      <c r="D23" s="88" t="n">
        <f aca="false">D21*D22/(1/D10+D17/D11)</f>
        <v>20901638729.2214</v>
      </c>
      <c r="E23" s="23" t="s">
        <v>39</v>
      </c>
      <c r="F23" s="12" t="s">
        <v>858</v>
      </c>
      <c r="G23" s="89" t="n">
        <v>20901638729.2215</v>
      </c>
      <c r="H23" s="90" t="n">
        <f aca="false">IF(G23=0,D23-G23,D23/G23-1)</f>
        <v>0</v>
      </c>
    </row>
    <row r="24" customFormat="false" ht="15" hidden="false" customHeight="true" outlineLevel="0" collapsed="false">
      <c r="A24" s="17" t="s">
        <v>859</v>
      </c>
      <c r="B24" s="81"/>
      <c r="C24" s="81"/>
      <c r="D24" s="81"/>
      <c r="E24" s="81"/>
      <c r="F24" s="81"/>
      <c r="G24" s="81"/>
      <c r="H24" s="81"/>
    </row>
    <row r="25" customFormat="false" ht="15" hidden="false" customHeight="true" outlineLevel="0" collapsed="false">
      <c r="A25" s="12" t="s">
        <v>860</v>
      </c>
      <c r="B25" s="8" t="s">
        <v>861</v>
      </c>
      <c r="C25" s="4" t="s">
        <v>862</v>
      </c>
      <c r="D25" s="91" t="n">
        <f aca="false">(IN_MixP_L*IN_Px_L+IN_MixP_S*IN_Px_S+IN_MixP_A*IN_Px_A)*(1-IN_Disc)</f>
        <v>1.35936</v>
      </c>
      <c r="E25" s="23" t="s">
        <v>44</v>
      </c>
      <c r="F25" s="12" t="s">
        <v>863</v>
      </c>
      <c r="G25" s="92" t="n">
        <v>1.35936</v>
      </c>
      <c r="H25" s="90" t="n">
        <f aca="false">IF(G25=0,D25-G25,D25/G25-1)</f>
        <v>0</v>
      </c>
    </row>
    <row r="26" customFormat="false" ht="15" hidden="false" customHeight="true" outlineLevel="0" collapsed="false">
      <c r="A26" s="12" t="s">
        <v>864</v>
      </c>
      <c r="B26" s="8" t="s">
        <v>865</v>
      </c>
      <c r="C26" s="4" t="s">
        <v>866</v>
      </c>
      <c r="D26" s="91" t="n">
        <f aca="false">(IN_ShareH*D6*D25+IN_ShareG*D7*D25)/(IN_ShareH*D6+IN_ShareG*D7)</f>
        <v>1.35936</v>
      </c>
      <c r="E26" s="23" t="s">
        <v>44</v>
      </c>
      <c r="F26" s="12" t="s">
        <v>867</v>
      </c>
      <c r="G26" s="92" t="n">
        <v>1.35936</v>
      </c>
      <c r="H26" s="90" t="n">
        <f aca="false">IF(G26=0,D26-G26,D26/G26-1)</f>
        <v>0</v>
      </c>
    </row>
    <row r="27" customFormat="false" ht="15" hidden="false" customHeight="true" outlineLevel="0" collapsed="false">
      <c r="A27" s="12" t="s">
        <v>868</v>
      </c>
      <c r="B27" s="8" t="s">
        <v>869</v>
      </c>
      <c r="C27" s="4" t="s">
        <v>870</v>
      </c>
      <c r="D27" s="88" t="n">
        <f aca="false">IN_Rev*1000000000/D26</f>
        <v>9614818738.22975</v>
      </c>
      <c r="E27" s="23" t="s">
        <v>39</v>
      </c>
      <c r="F27" s="2"/>
      <c r="G27" s="2"/>
      <c r="H27" s="2"/>
    </row>
    <row r="28" customFormat="false" ht="15" hidden="false" customHeight="true" outlineLevel="0" collapsed="false">
      <c r="A28" s="93" t="s">
        <v>871</v>
      </c>
      <c r="B28" s="94" t="s">
        <v>872</v>
      </c>
      <c r="C28" s="95" t="s">
        <v>873</v>
      </c>
      <c r="D28" s="96" t="n">
        <f aca="false">IN_Rev*1000000000/(D23*D26)</f>
        <v>0.460003106109943</v>
      </c>
      <c r="E28" s="97" t="s">
        <v>33</v>
      </c>
      <c r="F28" s="93" t="s">
        <v>874</v>
      </c>
      <c r="G28" s="98" t="n">
        <v>0.460003106109943</v>
      </c>
      <c r="H28" s="99" t="n">
        <f aca="false">IF(G28=0,D28-G28,D28/G28-1)</f>
        <v>0</v>
      </c>
    </row>
    <row r="29" customFormat="false" ht="29.25" hidden="false" customHeight="true" outlineLevel="0" collapsed="false">
      <c r="A29" s="12" t="s">
        <v>875</v>
      </c>
      <c r="B29" s="8" t="s">
        <v>876</v>
      </c>
      <c r="C29" s="24" t="s">
        <v>877</v>
      </c>
      <c r="D29" s="91" t="n">
        <f aca="false">G29</f>
        <v>0.339147884513574</v>
      </c>
      <c r="E29" s="23" t="s">
        <v>33</v>
      </c>
      <c r="F29" s="12" t="s">
        <v>878</v>
      </c>
      <c r="G29" s="92" t="n">
        <v>0.339147884513574</v>
      </c>
      <c r="H29" s="90" t="n">
        <f aca="false">IF(G29=0,D29-G29,D29/G29-1)</f>
        <v>0</v>
      </c>
    </row>
    <row r="30" customFormat="false" ht="15" hidden="false" customHeight="true" outlineLevel="0" collapsed="false">
      <c r="A30" s="12" t="s">
        <v>122</v>
      </c>
      <c r="B30" s="8" t="s">
        <v>879</v>
      </c>
      <c r="C30" s="4"/>
      <c r="D30" s="91" t="n">
        <f aca="false">D28</f>
        <v>0.460003106109943</v>
      </c>
      <c r="E30" s="23" t="s">
        <v>33</v>
      </c>
      <c r="F30" s="12" t="s">
        <v>880</v>
      </c>
      <c r="G30" s="92" t="n">
        <v>0.460003106109943</v>
      </c>
      <c r="H30" s="90" t="n">
        <f aca="false">IF(G30=0,D30-G30,D30/G30-1)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6" min="6" style="1" width="70"/>
  </cols>
  <sheetData>
    <row r="1" customFormat="false" ht="19.5" hidden="false" customHeight="true" outlineLevel="0" collapsed="false">
      <c r="A1" s="100" t="s">
        <v>881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4" t="s">
        <v>882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15" hidden="false" customHeight="true" outlineLevel="0" collapsed="false">
      <c r="A4" s="16" t="s">
        <v>883</v>
      </c>
      <c r="B4" s="16" t="s">
        <v>101</v>
      </c>
      <c r="C4" s="16" t="s">
        <v>30</v>
      </c>
      <c r="D4" s="15" t="s">
        <v>884</v>
      </c>
      <c r="E4" s="15" t="s">
        <v>885</v>
      </c>
      <c r="F4" s="16" t="s">
        <v>886</v>
      </c>
    </row>
    <row r="5" customFormat="false" ht="15" hidden="false" customHeight="true" outlineLevel="0" collapsed="false">
      <c r="A5" s="80" t="s">
        <v>887</v>
      </c>
      <c r="B5" s="81"/>
      <c r="C5" s="81"/>
      <c r="D5" s="81"/>
      <c r="E5" s="81"/>
      <c r="F5" s="81"/>
    </row>
    <row r="6" customFormat="false" ht="15" hidden="false" customHeight="true" outlineLevel="0" collapsed="false">
      <c r="A6" s="12" t="s">
        <v>888</v>
      </c>
      <c r="B6" s="23" t="s">
        <v>889</v>
      </c>
      <c r="C6" s="23" t="s">
        <v>890</v>
      </c>
      <c r="D6" s="101" t="n">
        <f aca="false">1000</f>
        <v>1000</v>
      </c>
      <c r="E6" s="101" t="n">
        <f aca="false">1000</f>
        <v>1000</v>
      </c>
      <c r="F6" s="24" t="s">
        <v>891</v>
      </c>
    </row>
    <row r="7" customFormat="false" ht="15" hidden="false" customHeight="true" outlineLevel="0" collapsed="false">
      <c r="A7" s="12" t="s">
        <v>892</v>
      </c>
      <c r="B7" s="21" t="s">
        <v>893</v>
      </c>
      <c r="C7" s="23" t="s">
        <v>890</v>
      </c>
      <c r="D7" s="101" t="n">
        <f aca="false">D6*(1-IN_ITout)</f>
        <v>920</v>
      </c>
      <c r="E7" s="101" t="n">
        <f aca="false">E6*(1-IN_ITout)</f>
        <v>920</v>
      </c>
      <c r="F7" s="4" t="s">
        <v>894</v>
      </c>
    </row>
    <row r="8" customFormat="false" ht="15" hidden="false" customHeight="true" outlineLevel="0" collapsed="false">
      <c r="A8" s="12" t="s">
        <v>895</v>
      </c>
      <c r="B8" s="21" t="s">
        <v>896</v>
      </c>
      <c r="C8" s="21" t="s">
        <v>897</v>
      </c>
      <c r="D8" s="101" t="n">
        <f aca="false">FLOOR(D7*1000/IN_RackKW_H,1)</f>
        <v>22439</v>
      </c>
      <c r="E8" s="101" t="n">
        <f aca="false">FLOOR(E7*1000/IN_RackKW_G,1)</f>
        <v>6969</v>
      </c>
      <c r="F8" s="4" t="s">
        <v>898</v>
      </c>
    </row>
    <row r="9" customFormat="false" ht="15" hidden="false" customHeight="true" outlineLevel="0" collapsed="false">
      <c r="A9" s="12" t="s">
        <v>899</v>
      </c>
      <c r="B9" s="23" t="s">
        <v>900</v>
      </c>
      <c r="C9" s="21" t="s">
        <v>517</v>
      </c>
      <c r="D9" s="101" t="n">
        <f aca="false">D8*IN_GPR_H</f>
        <v>718048</v>
      </c>
      <c r="E9" s="101" t="n">
        <f aca="false">E8*IN_GPR_G</f>
        <v>501768</v>
      </c>
      <c r="F9" s="4"/>
    </row>
    <row r="10" customFormat="false" ht="15" hidden="false" customHeight="true" outlineLevel="0" collapsed="false">
      <c r="A10" s="80" t="s">
        <v>901</v>
      </c>
      <c r="B10" s="81"/>
      <c r="C10" s="81"/>
      <c r="D10" s="81"/>
      <c r="E10" s="81"/>
      <c r="F10" s="81"/>
    </row>
    <row r="11" customFormat="false" ht="15" hidden="false" customHeight="true" outlineLevel="0" collapsed="false">
      <c r="A11" s="12" t="s">
        <v>902</v>
      </c>
      <c r="B11" s="21" t="s">
        <v>903</v>
      </c>
      <c r="C11" s="23" t="s">
        <v>36</v>
      </c>
      <c r="D11" s="101" t="n">
        <f aca="false">D8*IN_RackPx_H/1000</f>
        <v>24.6829</v>
      </c>
      <c r="E11" s="101" t="n">
        <f aca="false">E8*IN_RackPx_G/1000</f>
        <v>21.6039</v>
      </c>
      <c r="F11" s="4" t="s">
        <v>904</v>
      </c>
    </row>
    <row r="12" customFormat="false" ht="15" hidden="false" customHeight="true" outlineLevel="0" collapsed="false">
      <c r="A12" s="12" t="s">
        <v>905</v>
      </c>
      <c r="B12" s="23" t="s">
        <v>906</v>
      </c>
      <c r="C12" s="23" t="s">
        <v>36</v>
      </c>
      <c r="D12" s="101" t="n">
        <f aca="false">D11*IN_Net</f>
        <v>2.46829</v>
      </c>
      <c r="E12" s="101" t="n">
        <f aca="false">E11*IN_Net</f>
        <v>2.16039</v>
      </c>
      <c r="F12" s="4"/>
    </row>
    <row r="13" customFormat="false" ht="15" hidden="false" customHeight="true" outlineLevel="0" collapsed="false">
      <c r="A13" s="12" t="s">
        <v>907</v>
      </c>
      <c r="B13" s="21" t="s">
        <v>908</v>
      </c>
      <c r="C13" s="23" t="s">
        <v>36</v>
      </c>
      <c r="D13" s="101" t="n">
        <f aca="false">D9*IN_Stor/1000000000</f>
        <v>0.359024</v>
      </c>
      <c r="E13" s="101" t="n">
        <f aca="false">E9*IN_Stor/1000000000</f>
        <v>0.250884</v>
      </c>
      <c r="F13" s="4"/>
    </row>
    <row r="14" customFormat="false" ht="15" hidden="false" customHeight="true" outlineLevel="0" collapsed="false">
      <c r="A14" s="12" t="s">
        <v>909</v>
      </c>
      <c r="B14" s="23" t="s">
        <v>910</v>
      </c>
      <c r="C14" s="23" t="s">
        <v>36</v>
      </c>
      <c r="D14" s="101" t="n">
        <f aca="false">D11+D12+D13</f>
        <v>27.510214</v>
      </c>
      <c r="E14" s="101" t="n">
        <f aca="false">E11+E12+E13</f>
        <v>24.015174</v>
      </c>
      <c r="F14" s="4"/>
    </row>
    <row r="15" customFormat="false" ht="15" hidden="false" customHeight="true" outlineLevel="0" collapsed="false">
      <c r="A15" s="12" t="s">
        <v>911</v>
      </c>
      <c r="B15" s="21" t="s">
        <v>716</v>
      </c>
      <c r="C15" s="23" t="s">
        <v>36</v>
      </c>
      <c r="D15" s="101" t="n">
        <f aca="false">D6*IN_Land/1000</f>
        <v>0.02</v>
      </c>
      <c r="E15" s="101" t="n">
        <f aca="false">E6*IN_Land/1000</f>
        <v>0.02</v>
      </c>
      <c r="F15" s="4"/>
    </row>
    <row r="16" customFormat="false" ht="15" hidden="false" customHeight="true" outlineLevel="0" collapsed="false">
      <c r="A16" s="12" t="s">
        <v>912</v>
      </c>
      <c r="B16" s="21" t="s">
        <v>913</v>
      </c>
      <c r="C16" s="23" t="s">
        <v>36</v>
      </c>
      <c r="D16" s="101" t="n">
        <f aca="false">D6*IN_Bldg/1000</f>
        <v>3.6</v>
      </c>
      <c r="E16" s="101" t="n">
        <f aca="false">E6*IN_Bldg/1000</f>
        <v>3.6</v>
      </c>
      <c r="F16" s="4"/>
    </row>
    <row r="17" customFormat="false" ht="15" hidden="false" customHeight="true" outlineLevel="0" collapsed="false">
      <c r="A17" s="12" t="s">
        <v>914</v>
      </c>
      <c r="B17" s="21" t="s">
        <v>723</v>
      </c>
      <c r="C17" s="23" t="s">
        <v>36</v>
      </c>
      <c r="D17" s="101" t="n">
        <f aca="false">D6*IN_Pwr/1000</f>
        <v>4.5</v>
      </c>
      <c r="E17" s="101" t="n">
        <f aca="false">E6*IN_Pwr/1000</f>
        <v>4.5</v>
      </c>
      <c r="F17" s="4"/>
    </row>
    <row r="18" customFormat="false" ht="15" hidden="false" customHeight="true" outlineLevel="0" collapsed="false">
      <c r="A18" s="12" t="s">
        <v>915</v>
      </c>
      <c r="B18" s="21" t="s">
        <v>726</v>
      </c>
      <c r="C18" s="23" t="s">
        <v>36</v>
      </c>
      <c r="D18" s="101" t="n">
        <f aca="false">D6*IN_Mech/1000</f>
        <v>2.5</v>
      </c>
      <c r="E18" s="101" t="n">
        <f aca="false">E6*IN_Mech/1000</f>
        <v>2.5</v>
      </c>
      <c r="F18" s="4"/>
    </row>
    <row r="19" customFormat="false" ht="15" hidden="false" customHeight="true" outlineLevel="0" collapsed="false">
      <c r="A19" s="12" t="s">
        <v>916</v>
      </c>
      <c r="B19" s="21" t="s">
        <v>917</v>
      </c>
      <c r="C19" s="23" t="s">
        <v>36</v>
      </c>
      <c r="D19" s="101" t="n">
        <f aca="false">D6*IN_Fib/1000</f>
        <v>0.4</v>
      </c>
      <c r="E19" s="101" t="n">
        <f aca="false">E6*IN_Fib/1000</f>
        <v>0.4</v>
      </c>
      <c r="F19" s="4"/>
    </row>
    <row r="20" customFormat="false" ht="15" hidden="false" customHeight="true" outlineLevel="0" collapsed="false">
      <c r="A20" s="12" t="s">
        <v>918</v>
      </c>
      <c r="B20" s="21" t="s">
        <v>732</v>
      </c>
      <c r="C20" s="23" t="s">
        <v>36</v>
      </c>
      <c r="D20" s="101" t="n">
        <f aca="false">(D16+D17+D18+D19)*IN_Soft</f>
        <v>1.65</v>
      </c>
      <c r="E20" s="101" t="n">
        <f aca="false">(E16+E17+E18+E19)*IN_Soft</f>
        <v>1.65</v>
      </c>
      <c r="F20" s="4"/>
    </row>
    <row r="21" customFormat="false" ht="15" hidden="false" customHeight="true" outlineLevel="0" collapsed="false">
      <c r="A21" s="12" t="s">
        <v>919</v>
      </c>
      <c r="B21" s="21" t="s">
        <v>920</v>
      </c>
      <c r="C21" s="23" t="s">
        <v>36</v>
      </c>
      <c r="D21" s="101" t="n">
        <f aca="false">D15+D16+D17+D18+D19+D20</f>
        <v>12.67</v>
      </c>
      <c r="E21" s="101" t="n">
        <f aca="false">E15+E16+E17+E18+E19+E20</f>
        <v>12.67</v>
      </c>
      <c r="F21" s="4"/>
    </row>
    <row r="22" customFormat="false" ht="15" hidden="false" customHeight="true" outlineLevel="0" collapsed="false">
      <c r="A22" s="12" t="s">
        <v>921</v>
      </c>
      <c r="B22" s="21" t="s">
        <v>922</v>
      </c>
      <c r="C22" s="23" t="s">
        <v>36</v>
      </c>
      <c r="D22" s="101" t="n">
        <f aca="false">D14+D21</f>
        <v>40.180214</v>
      </c>
      <c r="E22" s="101" t="n">
        <f aca="false">E14+E21</f>
        <v>36.685174</v>
      </c>
      <c r="F22" s="4"/>
    </row>
    <row r="23" customFormat="false" ht="15" hidden="false" customHeight="true" outlineLevel="0" collapsed="false">
      <c r="A23" s="80" t="s">
        <v>923</v>
      </c>
      <c r="B23" s="81"/>
      <c r="C23" s="81"/>
      <c r="D23" s="81"/>
      <c r="E23" s="81"/>
      <c r="F23" s="81"/>
    </row>
    <row r="24" customFormat="false" ht="15" hidden="false" customHeight="true" outlineLevel="0" collapsed="false">
      <c r="A24" s="12" t="s">
        <v>924</v>
      </c>
      <c r="B24" s="21" t="s">
        <v>925</v>
      </c>
      <c r="C24" s="23" t="s">
        <v>36</v>
      </c>
      <c r="D24" s="101" t="n">
        <f aca="false">D6*1000*IN_Load*IN_PUE*8760*IN_Elec/1000000000</f>
        <v>0.672768</v>
      </c>
      <c r="E24" s="101" t="n">
        <f aca="false">E6*1000*IN_Load*IN_PUE*8760*IN_Elec/1000000000</f>
        <v>0.672768</v>
      </c>
      <c r="F24" s="24" t="s">
        <v>926</v>
      </c>
    </row>
    <row r="25" customFormat="false" ht="15" hidden="false" customHeight="true" outlineLevel="0" collapsed="false">
      <c r="A25" s="12" t="s">
        <v>927</v>
      </c>
      <c r="B25" s="23" t="s">
        <v>755</v>
      </c>
      <c r="C25" s="23" t="s">
        <v>36</v>
      </c>
      <c r="D25" s="101" t="n">
        <f aca="false">D14*IN_ITmaint</f>
        <v>0.432598410197339</v>
      </c>
      <c r="E25" s="101" t="n">
        <f aca="false">E14*IN_ITmaint</f>
        <v>0.377638868712998</v>
      </c>
      <c r="F25" s="4"/>
    </row>
    <row r="26" customFormat="false" ht="15" hidden="false" customHeight="true" outlineLevel="0" collapsed="false">
      <c r="A26" s="12" t="s">
        <v>928</v>
      </c>
      <c r="B26" s="21" t="s">
        <v>759</v>
      </c>
      <c r="C26" s="23" t="s">
        <v>36</v>
      </c>
      <c r="D26" s="101" t="n">
        <f aca="false">D21*IN_Fmaint</f>
        <v>0.2534</v>
      </c>
      <c r="E26" s="101" t="n">
        <f aca="false">E21*IN_Fmaint</f>
        <v>0.2534</v>
      </c>
      <c r="F26" s="4"/>
    </row>
    <row r="27" customFormat="false" ht="15" hidden="false" customHeight="true" outlineLevel="0" collapsed="false">
      <c r="A27" s="12" t="s">
        <v>929</v>
      </c>
      <c r="B27" s="21" t="s">
        <v>930</v>
      </c>
      <c r="C27" s="23" t="s">
        <v>36</v>
      </c>
      <c r="D27" s="101" t="n">
        <f aca="false">(IN_Staff*D6/1000+IN_SW*D6/1000+IN_Water*D6)/1000</f>
        <v>0.325</v>
      </c>
      <c r="E27" s="101" t="n">
        <f aca="false">(IN_Staff*E6/1000+IN_SW*E6/1000+IN_Water*E6)/1000</f>
        <v>0.325</v>
      </c>
      <c r="F27" s="4"/>
    </row>
    <row r="28" customFormat="false" ht="15" hidden="false" customHeight="true" outlineLevel="0" collapsed="false">
      <c r="A28" s="12" t="s">
        <v>931</v>
      </c>
      <c r="B28" s="21" t="s">
        <v>774</v>
      </c>
      <c r="C28" s="23" t="s">
        <v>36</v>
      </c>
      <c r="D28" s="101" t="n">
        <f aca="false">D22*IN_Tax</f>
        <v>0.20090107</v>
      </c>
      <c r="E28" s="101" t="n">
        <f aca="false">E22*IN_Tax</f>
        <v>0.18342587</v>
      </c>
      <c r="F28" s="4"/>
    </row>
    <row r="29" customFormat="false" ht="15" hidden="false" customHeight="true" outlineLevel="0" collapsed="false">
      <c r="A29" s="12" t="s">
        <v>932</v>
      </c>
      <c r="B29" s="21" t="s">
        <v>933</v>
      </c>
      <c r="C29" s="23" t="s">
        <v>36</v>
      </c>
      <c r="D29" s="101" t="n">
        <f aca="false">D24+D25+D26+D27+D28</f>
        <v>1.88466748019734</v>
      </c>
      <c r="E29" s="101" t="n">
        <f aca="false">E24+E25+E26+E27+E28</f>
        <v>1.812232738713</v>
      </c>
      <c r="F29" s="4"/>
    </row>
    <row r="30" customFormat="false" ht="15" hidden="false" customHeight="true" outlineLevel="0" collapsed="false">
      <c r="A30" s="80" t="s">
        <v>934</v>
      </c>
      <c r="B30" s="81"/>
      <c r="C30" s="81"/>
      <c r="D30" s="81"/>
      <c r="E30" s="81"/>
      <c r="F30" s="81"/>
    </row>
    <row r="31" customFormat="false" ht="15" hidden="false" customHeight="true" outlineLevel="0" collapsed="false">
      <c r="A31" s="12" t="s">
        <v>935</v>
      </c>
      <c r="B31" s="23" t="s">
        <v>936</v>
      </c>
      <c r="C31" s="23" t="s">
        <v>33</v>
      </c>
      <c r="D31" s="101" t="n">
        <f aca="false">IN_WACC/(1-(1+IN_WACC)^(-IN_ITlife))</f>
        <v>0.229607380362667</v>
      </c>
      <c r="E31" s="101" t="n">
        <f aca="false">IN_WACC/(1-(1+IN_WACC)^(-IN_ITlife))</f>
        <v>0.229607380362667</v>
      </c>
      <c r="F31" s="24" t="s">
        <v>937</v>
      </c>
    </row>
    <row r="32" customFormat="false" ht="15" hidden="false" customHeight="true" outlineLevel="0" collapsed="false">
      <c r="A32" s="12" t="s">
        <v>938</v>
      </c>
      <c r="B32" s="23" t="s">
        <v>939</v>
      </c>
      <c r="C32" s="23" t="s">
        <v>36</v>
      </c>
      <c r="D32" s="101" t="n">
        <f aca="false">D14*D31</f>
        <v>6.31654816975637</v>
      </c>
      <c r="E32" s="101" t="n">
        <f aca="false">E14*E31</f>
        <v>5.51406119109364</v>
      </c>
      <c r="F32" s="4"/>
    </row>
    <row r="33" customFormat="false" ht="15" hidden="false" customHeight="true" outlineLevel="0" collapsed="false">
      <c r="A33" s="12" t="s">
        <v>940</v>
      </c>
      <c r="B33" s="21" t="s">
        <v>941</v>
      </c>
      <c r="C33" s="23" t="s">
        <v>36</v>
      </c>
      <c r="D33" s="101" t="n">
        <f aca="false">(D16*IN_WACC/(1-(1+IN_WACC)^(-IN_L_bldg))+D17*IN_WACC/(1-(1+IN_WACC)^(-IN_L_pwr))+D18*IN_WACC/(1-(1+IN_WACC)^(-IN_L_mech))+D19*IN_WACC/(1-(1+IN_WACC)^(-IN_L_fib)))*(1+IN_Soft)+D15*IN_WACC</f>
        <v>1.50187163616098</v>
      </c>
      <c r="E33" s="101" t="n">
        <f aca="false">(E16*IN_WACC/(1-(1+IN_WACC)^(-IN_L_bldg))+E17*IN_WACC/(1-(1+IN_WACC)^(-IN_L_pwr))+E18*IN_WACC/(1-(1+IN_WACC)^(-IN_L_mech))+E19*IN_WACC/(1-(1+IN_WACC)^(-IN_L_fib)))*(1+IN_Soft)+E15*IN_WACC</f>
        <v>1.50187163616098</v>
      </c>
      <c r="F33" s="4"/>
    </row>
    <row r="34" customFormat="false" ht="15" hidden="false" customHeight="true" outlineLevel="0" collapsed="false">
      <c r="A34" s="12" t="s">
        <v>942</v>
      </c>
      <c r="B34" s="13" t="s">
        <v>943</v>
      </c>
      <c r="C34" s="23" t="s">
        <v>52</v>
      </c>
      <c r="D34" s="101" t="n">
        <f aca="false">D32+D33+D29</f>
        <v>9.70308728611469</v>
      </c>
      <c r="E34" s="101" t="n">
        <f aca="false">E32+E33+E29</f>
        <v>8.82816556596761</v>
      </c>
      <c r="F34" s="4" t="s">
        <v>944</v>
      </c>
    </row>
    <row r="35" customFormat="false" ht="15" hidden="false" customHeight="true" outlineLevel="0" collapsed="false">
      <c r="A35" s="2"/>
      <c r="B35" s="34" t="s">
        <v>945</v>
      </c>
      <c r="C35" s="2"/>
      <c r="D35" s="102" t="n">
        <v>9.70308728611469</v>
      </c>
      <c r="E35" s="102" t="n">
        <v>8.82816556596761</v>
      </c>
      <c r="F35" s="2"/>
    </row>
    <row r="36" customFormat="false" ht="15" hidden="false" customHeight="true" outlineLevel="0" collapsed="false">
      <c r="A36" s="2"/>
      <c r="B36" s="13" t="s">
        <v>946</v>
      </c>
      <c r="C36" s="2"/>
      <c r="D36" s="35" t="n">
        <f aca="false">D34/D35-1</f>
        <v>0</v>
      </c>
      <c r="E36" s="35" t="n">
        <f aca="false">E34/E35-1</f>
        <v>0</v>
      </c>
      <c r="F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11"/>
    <col collapsed="false" customWidth="true" hidden="false" outlineLevel="0" max="9" min="4" style="1" width="15"/>
    <col collapsed="false" customWidth="true" hidden="false" outlineLevel="0" max="10" min="10" style="1" width="70"/>
  </cols>
  <sheetData>
    <row r="1" customFormat="false" ht="19.5" hidden="false" customHeight="true" outlineLevel="0" collapsed="false">
      <c r="A1" s="100" t="s">
        <v>947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4" t="s">
        <v>948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16" t="s">
        <v>883</v>
      </c>
      <c r="B4" s="16" t="s">
        <v>101</v>
      </c>
      <c r="C4" s="16" t="s">
        <v>30</v>
      </c>
      <c r="D4" s="15" t="s">
        <v>949</v>
      </c>
      <c r="E4" s="15" t="s">
        <v>950</v>
      </c>
      <c r="F4" s="15" t="s">
        <v>951</v>
      </c>
      <c r="G4" s="15" t="s">
        <v>952</v>
      </c>
      <c r="H4" s="15" t="s">
        <v>953</v>
      </c>
      <c r="I4" s="15" t="s">
        <v>954</v>
      </c>
      <c r="J4" s="16" t="s">
        <v>955</v>
      </c>
    </row>
    <row r="5" customFormat="false" ht="15" hidden="false" customHeight="true" outlineLevel="0" collapsed="false">
      <c r="A5" s="80" t="s">
        <v>956</v>
      </c>
      <c r="B5" s="81"/>
      <c r="C5" s="81"/>
      <c r="D5" s="81"/>
      <c r="E5" s="81"/>
      <c r="F5" s="81"/>
      <c r="G5" s="81"/>
      <c r="H5" s="81"/>
      <c r="I5" s="81"/>
      <c r="J5" s="81"/>
    </row>
    <row r="6" customFormat="false" ht="15" hidden="false" customHeight="true" outlineLevel="0" collapsed="false">
      <c r="A6" s="12" t="s">
        <v>957</v>
      </c>
      <c r="B6" s="8" t="s">
        <v>958</v>
      </c>
      <c r="C6" s="23" t="s">
        <v>463</v>
      </c>
      <c r="D6" s="103" t="n">
        <f aca="false">IN_Peak_H</f>
        <v>1.979</v>
      </c>
      <c r="E6" s="103" t="n">
        <f aca="false">IN_Peak_H</f>
        <v>1.979</v>
      </c>
      <c r="F6" s="103" t="n">
        <f aca="false">IN_Peak_H</f>
        <v>1.979</v>
      </c>
      <c r="G6" s="103" t="n">
        <f aca="false">IN_Peak_G</f>
        <v>10</v>
      </c>
      <c r="H6" s="103" t="n">
        <f aca="false">IN_Peak_G</f>
        <v>10</v>
      </c>
      <c r="I6" s="103" t="n">
        <f aca="false">IN_Peak_G</f>
        <v>10</v>
      </c>
      <c r="J6" s="4"/>
    </row>
    <row r="7" customFormat="false" ht="15" hidden="false" customHeight="true" outlineLevel="0" collapsed="false">
      <c r="A7" s="12" t="s">
        <v>959</v>
      </c>
      <c r="B7" s="5" t="s">
        <v>960</v>
      </c>
      <c r="C7" s="23" t="s">
        <v>961</v>
      </c>
      <c r="D7" s="103" t="n">
        <f aca="false">IN_HBM_H</f>
        <v>80</v>
      </c>
      <c r="E7" s="103" t="n">
        <f aca="false">IN_HBM_H</f>
        <v>80</v>
      </c>
      <c r="F7" s="103" t="n">
        <f aca="false">IN_HBM_H</f>
        <v>80</v>
      </c>
      <c r="G7" s="103" t="n">
        <f aca="false">IN_HBM_G</f>
        <v>186</v>
      </c>
      <c r="H7" s="103" t="n">
        <f aca="false">IN_HBM_G</f>
        <v>186</v>
      </c>
      <c r="I7" s="103" t="n">
        <f aca="false">IN_HBM_G</f>
        <v>186</v>
      </c>
      <c r="J7" s="4"/>
    </row>
    <row r="8" customFormat="false" ht="15" hidden="false" customHeight="true" outlineLevel="0" collapsed="false">
      <c r="A8" s="12" t="s">
        <v>962</v>
      </c>
      <c r="B8" s="5" t="s">
        <v>963</v>
      </c>
      <c r="C8" s="23" t="s">
        <v>964</v>
      </c>
      <c r="D8" s="103" t="n">
        <f aca="false">IN_BW_H</f>
        <v>3.35</v>
      </c>
      <c r="E8" s="103" t="n">
        <f aca="false">IN_BW_H</f>
        <v>3.35</v>
      </c>
      <c r="F8" s="103" t="n">
        <f aca="false">IN_BW_H</f>
        <v>3.35</v>
      </c>
      <c r="G8" s="103" t="n">
        <f aca="false">IN_BW_G</f>
        <v>8</v>
      </c>
      <c r="H8" s="103" t="n">
        <f aca="false">IN_BW_G</f>
        <v>8</v>
      </c>
      <c r="I8" s="103" t="n">
        <f aca="false">IN_BW_G</f>
        <v>8</v>
      </c>
      <c r="J8" s="4"/>
    </row>
    <row r="9" customFormat="false" ht="15" hidden="false" customHeight="true" outlineLevel="0" collapsed="false">
      <c r="A9" s="12" t="s">
        <v>965</v>
      </c>
      <c r="B9" s="5" t="s">
        <v>966</v>
      </c>
      <c r="C9" s="23" t="s">
        <v>964</v>
      </c>
      <c r="D9" s="103" t="n">
        <f aca="false">IN_EPBW_H</f>
        <v>0.05</v>
      </c>
      <c r="E9" s="103" t="n">
        <f aca="false">IN_EPBW_H</f>
        <v>0.05</v>
      </c>
      <c r="F9" s="103" t="n">
        <f aca="false">IN_EPBW_H</f>
        <v>0.05</v>
      </c>
      <c r="G9" s="103" t="n">
        <f aca="false">IN_EPBW_G</f>
        <v>0.9</v>
      </c>
      <c r="H9" s="103" t="n">
        <f aca="false">IN_EPBW_G</f>
        <v>0.9</v>
      </c>
      <c r="I9" s="103" t="n">
        <f aca="false">IN_EPBW_G</f>
        <v>0.9</v>
      </c>
      <c r="J9" s="4"/>
    </row>
    <row r="10" customFormat="false" ht="15" hidden="false" customHeight="true" outlineLevel="0" collapsed="false">
      <c r="A10" s="12" t="s">
        <v>967</v>
      </c>
      <c r="B10" s="5" t="s">
        <v>968</v>
      </c>
      <c r="C10" s="23" t="s">
        <v>492</v>
      </c>
      <c r="D10" s="103" t="n">
        <f aca="false">IN_EPW_H</f>
        <v>64</v>
      </c>
      <c r="E10" s="103" t="n">
        <f aca="false">IN_EPW_H</f>
        <v>64</v>
      </c>
      <c r="F10" s="103" t="n">
        <f aca="false">IN_EPW_H</f>
        <v>64</v>
      </c>
      <c r="G10" s="103" t="n">
        <f aca="false">IN_EPW_G</f>
        <v>32</v>
      </c>
      <c r="H10" s="103" t="n">
        <f aca="false">IN_EPW_G</f>
        <v>32</v>
      </c>
      <c r="I10" s="103" t="n">
        <f aca="false">IN_EPW_G</f>
        <v>32</v>
      </c>
      <c r="J10" s="4"/>
    </row>
    <row r="11" customFormat="false" ht="15" hidden="false" customHeight="true" outlineLevel="0" collapsed="false">
      <c r="A11" s="12" t="s">
        <v>969</v>
      </c>
      <c r="B11" s="8" t="s">
        <v>970</v>
      </c>
      <c r="C11" s="23" t="s">
        <v>297</v>
      </c>
      <c r="D11" s="103" t="n">
        <f aca="false">IN_EB_H</f>
        <v>1</v>
      </c>
      <c r="E11" s="103" t="n">
        <f aca="false">IN_EB_H</f>
        <v>1</v>
      </c>
      <c r="F11" s="103" t="n">
        <f aca="false">IN_EB_H</f>
        <v>1</v>
      </c>
      <c r="G11" s="103" t="n">
        <f aca="false">IN_EB_G</f>
        <v>0.5625</v>
      </c>
      <c r="H11" s="103" t="n">
        <f aca="false">IN_EB_G</f>
        <v>0.5625</v>
      </c>
      <c r="I11" s="103" t="n">
        <f aca="false">IN_EB_G</f>
        <v>0.5625</v>
      </c>
      <c r="J11" s="4"/>
    </row>
    <row r="12" customFormat="false" ht="15" hidden="false" customHeight="true" outlineLevel="0" collapsed="false">
      <c r="A12" s="12" t="s">
        <v>971</v>
      </c>
      <c r="B12" s="8" t="s">
        <v>972</v>
      </c>
      <c r="C12" s="23" t="s">
        <v>297</v>
      </c>
      <c r="D12" s="103" t="n">
        <f aca="false">IN_NEB_H</f>
        <v>1</v>
      </c>
      <c r="E12" s="103" t="n">
        <f aca="false">IN_NEB_H</f>
        <v>1</v>
      </c>
      <c r="F12" s="103" t="n">
        <f aca="false">IN_NEB_H</f>
        <v>1</v>
      </c>
      <c r="G12" s="103" t="n">
        <f aca="false">IN_NEB_G</f>
        <v>1</v>
      </c>
      <c r="H12" s="103" t="n">
        <f aca="false">IN_NEB_G</f>
        <v>1</v>
      </c>
      <c r="I12" s="103" t="n">
        <f aca="false">IN_NEB_G</f>
        <v>1</v>
      </c>
      <c r="J12" s="4"/>
    </row>
    <row r="13" customFormat="false" ht="15" hidden="false" customHeight="true" outlineLevel="0" collapsed="false">
      <c r="A13" s="12" t="s">
        <v>973</v>
      </c>
      <c r="B13" s="8" t="s">
        <v>974</v>
      </c>
      <c r="C13" s="23" t="s">
        <v>492</v>
      </c>
      <c r="D13" s="103" t="n">
        <f aca="false">IN_PFG_H</f>
        <v>8</v>
      </c>
      <c r="E13" s="103" t="n">
        <f aca="false">IN_PFG_H</f>
        <v>8</v>
      </c>
      <c r="F13" s="103" t="n">
        <f aca="false">IN_PFG_H</f>
        <v>8</v>
      </c>
      <c r="G13" s="103" t="n">
        <f aca="false">IN_PFG_G</f>
        <v>4</v>
      </c>
      <c r="H13" s="103" t="n">
        <f aca="false">IN_PFG_G</f>
        <v>4</v>
      </c>
      <c r="I13" s="103" t="n">
        <f aca="false">IN_PFG_G</f>
        <v>4</v>
      </c>
      <c r="J13" s="4"/>
    </row>
    <row r="14" customFormat="false" ht="15" hidden="false" customHeight="true" outlineLevel="0" collapsed="false">
      <c r="A14" s="12" t="s">
        <v>975</v>
      </c>
      <c r="B14" s="5" t="s">
        <v>976</v>
      </c>
      <c r="C14" s="21" t="s">
        <v>517</v>
      </c>
      <c r="D14" s="103" t="n">
        <f aca="false">IN_GPR_H</f>
        <v>32</v>
      </c>
      <c r="E14" s="103" t="n">
        <f aca="false">IN_GPR_H</f>
        <v>32</v>
      </c>
      <c r="F14" s="103" t="n">
        <f aca="false">IN_GPR_H</f>
        <v>32</v>
      </c>
      <c r="G14" s="103" t="n">
        <f aca="false">IN_GPR_G</f>
        <v>72</v>
      </c>
      <c r="H14" s="103" t="n">
        <f aca="false">IN_GPR_G</f>
        <v>72</v>
      </c>
      <c r="I14" s="103" t="n">
        <f aca="false">IN_GPR_G</f>
        <v>72</v>
      </c>
      <c r="J14" s="4"/>
    </row>
    <row r="15" customFormat="false" ht="15" hidden="false" customHeight="true" outlineLevel="0" collapsed="false">
      <c r="A15" s="12" t="s">
        <v>977</v>
      </c>
      <c r="B15" s="8" t="s">
        <v>978</v>
      </c>
      <c r="C15" s="21" t="s">
        <v>897</v>
      </c>
      <c r="D15" s="103" t="n">
        <f aca="false">4_持有成本!D$8</f>
        <v>22439</v>
      </c>
      <c r="E15" s="103" t="n">
        <f aca="false">4_持有成本!D$8</f>
        <v>22439</v>
      </c>
      <c r="F15" s="103" t="n">
        <f aca="false">4_持有成本!D$8</f>
        <v>22439</v>
      </c>
      <c r="G15" s="103" t="n">
        <f aca="false">4_持有成本!E$8</f>
        <v>6969</v>
      </c>
      <c r="H15" s="103" t="n">
        <f aca="false">4_持有成本!E$8</f>
        <v>6969</v>
      </c>
      <c r="I15" s="103" t="n">
        <f aca="false">4_持有成本!E$8</f>
        <v>6969</v>
      </c>
      <c r="J15" s="4" t="s">
        <v>979</v>
      </c>
    </row>
    <row r="16" customFormat="false" ht="15" hidden="false" customHeight="true" outlineLevel="0" collapsed="false">
      <c r="A16" s="80" t="s">
        <v>980</v>
      </c>
      <c r="B16" s="81"/>
      <c r="C16" s="81"/>
      <c r="D16" s="81"/>
      <c r="E16" s="81"/>
      <c r="F16" s="81"/>
      <c r="G16" s="81"/>
      <c r="H16" s="81"/>
      <c r="I16" s="81"/>
      <c r="J16" s="81"/>
    </row>
    <row r="17" customFormat="false" ht="15" hidden="false" customHeight="true" outlineLevel="0" collapsed="false">
      <c r="A17" s="12" t="s">
        <v>981</v>
      </c>
      <c r="B17" s="8" t="s">
        <v>982</v>
      </c>
      <c r="C17" s="23" t="s">
        <v>297</v>
      </c>
      <c r="D17" s="103" t="n">
        <f aca="false">IN_Act_L</f>
        <v>13</v>
      </c>
      <c r="E17" s="103" t="n">
        <f aca="false">IN_Act_S</f>
        <v>49</v>
      </c>
      <c r="F17" s="103" t="n">
        <f aca="false">IN_Act_A</f>
        <v>180</v>
      </c>
      <c r="G17" s="103" t="n">
        <f aca="false">IN_Act_L</f>
        <v>13</v>
      </c>
      <c r="H17" s="103" t="n">
        <f aca="false">IN_Act_S</f>
        <v>49</v>
      </c>
      <c r="I17" s="103" t="n">
        <f aca="false">IN_Act_A</f>
        <v>180</v>
      </c>
      <c r="J17" s="4"/>
    </row>
    <row r="18" customFormat="false" ht="15" hidden="false" customHeight="true" outlineLevel="0" collapsed="false">
      <c r="A18" s="12" t="s">
        <v>983</v>
      </c>
      <c r="B18" s="8" t="s">
        <v>984</v>
      </c>
      <c r="C18" s="21" t="s">
        <v>100</v>
      </c>
      <c r="D18" s="103" t="n">
        <f aca="false">IN_Lay_L</f>
        <v>43</v>
      </c>
      <c r="E18" s="103" t="n">
        <f aca="false">IN_Lay_S</f>
        <v>61</v>
      </c>
      <c r="F18" s="103" t="n">
        <f aca="false">IN_Lay_A</f>
        <v>100</v>
      </c>
      <c r="G18" s="103" t="n">
        <f aca="false">IN_Lay_L</f>
        <v>43</v>
      </c>
      <c r="H18" s="103" t="n">
        <f aca="false">IN_Lay_S</f>
        <v>61</v>
      </c>
      <c r="I18" s="103" t="n">
        <f aca="false">IN_Lay_A</f>
        <v>100</v>
      </c>
      <c r="J18" s="4"/>
    </row>
    <row r="19" customFormat="false" ht="15" hidden="false" customHeight="true" outlineLevel="0" collapsed="false">
      <c r="A19" s="12" t="s">
        <v>985</v>
      </c>
      <c r="B19" s="5" t="s">
        <v>986</v>
      </c>
      <c r="C19" s="23"/>
      <c r="D19" s="103" t="n">
        <f aca="false">IN_Dm_L</f>
        <v>4096</v>
      </c>
      <c r="E19" s="103" t="n">
        <f aca="false">IN_Dm_S</f>
        <v>7168</v>
      </c>
      <c r="F19" s="103" t="n">
        <f aca="false">IN_Dm_A</f>
        <v>12288</v>
      </c>
      <c r="G19" s="103" t="n">
        <f aca="false">IN_Dm_L</f>
        <v>4096</v>
      </c>
      <c r="H19" s="103" t="n">
        <f aca="false">IN_Dm_S</f>
        <v>7168</v>
      </c>
      <c r="I19" s="103" t="n">
        <f aca="false">IN_Dm_A</f>
        <v>12288</v>
      </c>
      <c r="J19" s="4"/>
    </row>
    <row r="20" customFormat="false" ht="15" hidden="false" customHeight="true" outlineLevel="0" collapsed="false">
      <c r="A20" s="12" t="s">
        <v>987</v>
      </c>
      <c r="B20" s="8" t="s">
        <v>988</v>
      </c>
      <c r="C20" s="23"/>
      <c r="D20" s="103" t="n">
        <f aca="false">IN_Exp_L</f>
        <v>6</v>
      </c>
      <c r="E20" s="103" t="n">
        <f aca="false">IN_Exp_S</f>
        <v>6</v>
      </c>
      <c r="F20" s="103" t="n">
        <f aca="false">IN_Exp_A</f>
        <v>16</v>
      </c>
      <c r="G20" s="103" t="n">
        <f aca="false">IN_Exp_L</f>
        <v>6</v>
      </c>
      <c r="H20" s="103" t="n">
        <f aca="false">IN_Exp_S</f>
        <v>6</v>
      </c>
      <c r="I20" s="103" t="n">
        <f aca="false">IN_Exp_A</f>
        <v>16</v>
      </c>
      <c r="J20" s="4"/>
    </row>
    <row r="21" customFormat="false" ht="15" hidden="false" customHeight="true" outlineLevel="0" collapsed="false">
      <c r="A21" s="12" t="s">
        <v>989</v>
      </c>
      <c r="B21" s="8" t="s">
        <v>990</v>
      </c>
      <c r="C21" s="23" t="s">
        <v>297</v>
      </c>
      <c r="D21" s="103" t="n">
        <f aca="false">IN_NEP_L</f>
        <v>5.412</v>
      </c>
      <c r="E21" s="103" t="n">
        <f aca="false">IN_NEP_S</f>
        <v>20.2777777777778</v>
      </c>
      <c r="F21" s="103" t="n">
        <f aca="false">IN_NEP_A</f>
        <v>49.0725806451613</v>
      </c>
      <c r="G21" s="103" t="n">
        <f aca="false">IN_NEP_L</f>
        <v>5.412</v>
      </c>
      <c r="H21" s="103" t="n">
        <f aca="false">IN_NEP_S</f>
        <v>20.2777777777778</v>
      </c>
      <c r="I21" s="103" t="n">
        <f aca="false">IN_NEP_A</f>
        <v>49.0725806451613</v>
      </c>
      <c r="J21" s="4"/>
    </row>
    <row r="22" customFormat="false" ht="15" hidden="false" customHeight="true" outlineLevel="0" collapsed="false">
      <c r="A22" s="12" t="s">
        <v>991</v>
      </c>
      <c r="B22" s="8" t="s">
        <v>992</v>
      </c>
      <c r="C22" s="23" t="s">
        <v>297</v>
      </c>
      <c r="D22" s="103" t="n">
        <f aca="false">IN_EP_L</f>
        <v>278.588</v>
      </c>
      <c r="E22" s="103" t="n">
        <f aca="false">IN_EP_S</f>
        <v>1579.72222222222</v>
      </c>
      <c r="F22" s="103" t="n">
        <f aca="false">IN_EP_A</f>
        <v>3950.92741935484</v>
      </c>
      <c r="G22" s="103" t="n">
        <f aca="false">IN_EP_L</f>
        <v>278.588</v>
      </c>
      <c r="H22" s="103" t="n">
        <f aca="false">IN_EP_S</f>
        <v>1579.72222222222</v>
      </c>
      <c r="I22" s="103" t="n">
        <f aca="false">IN_EP_A</f>
        <v>3950.92741935484</v>
      </c>
      <c r="J22" s="4"/>
    </row>
    <row r="23" customFormat="false" ht="15" hidden="false" customHeight="true" outlineLevel="0" collapsed="false">
      <c r="A23" s="12" t="s">
        <v>993</v>
      </c>
      <c r="B23" s="5" t="s">
        <v>994</v>
      </c>
      <c r="C23" s="23" t="s">
        <v>297</v>
      </c>
      <c r="D23" s="103" t="n">
        <f aca="false">IN_KV_L</f>
        <v>2795</v>
      </c>
      <c r="E23" s="103" t="n">
        <f aca="false">IN_KV_S</f>
        <v>3965</v>
      </c>
      <c r="F23" s="103" t="n">
        <f aca="false">IN_KV_A</f>
        <v>57600</v>
      </c>
      <c r="G23" s="103" t="n">
        <f aca="false">IN_KV_L</f>
        <v>2795</v>
      </c>
      <c r="H23" s="103" t="n">
        <f aca="false">IN_KV_S</f>
        <v>3965</v>
      </c>
      <c r="I23" s="103" t="n">
        <f aca="false">IN_KV_A</f>
        <v>57600</v>
      </c>
      <c r="J23" s="4"/>
    </row>
    <row r="24" customFormat="false" ht="15" hidden="false" customHeight="true" outlineLevel="0" collapsed="false">
      <c r="A24" s="12" t="s">
        <v>995</v>
      </c>
      <c r="B24" s="8" t="s">
        <v>996</v>
      </c>
      <c r="C24" s="23" t="s">
        <v>607</v>
      </c>
      <c r="D24" s="103" t="n">
        <f aca="false">IN_AF_L</f>
        <v>5636096</v>
      </c>
      <c r="E24" s="103" t="n">
        <f aca="false">IN_AF_S</f>
        <v>15990784</v>
      </c>
      <c r="F24" s="103" t="n">
        <f aca="false">IN_AF_A</f>
        <v>4915200</v>
      </c>
      <c r="G24" s="103" t="n">
        <f aca="false">IN_AF_L</f>
        <v>5636096</v>
      </c>
      <c r="H24" s="103" t="n">
        <f aca="false">IN_AF_S</f>
        <v>15990784</v>
      </c>
      <c r="I24" s="103" t="n">
        <f aca="false">IN_AF_A</f>
        <v>4915200</v>
      </c>
      <c r="J24" s="4"/>
    </row>
    <row r="25" customFormat="false" ht="15" hidden="false" customHeight="true" outlineLevel="0" collapsed="false">
      <c r="A25" s="12" t="s">
        <v>997</v>
      </c>
      <c r="B25" s="8" t="s">
        <v>998</v>
      </c>
      <c r="C25" s="23" t="s">
        <v>195</v>
      </c>
      <c r="D25" s="103" t="n">
        <f aca="false">IN_FA_L</f>
        <v>0.512</v>
      </c>
      <c r="E25" s="103" t="n">
        <f aca="false">IN_FA_S</f>
        <v>0.492</v>
      </c>
      <c r="F25" s="103" t="n">
        <f aca="false">IN_FA_A</f>
        <v>1</v>
      </c>
      <c r="G25" s="103" t="n">
        <f aca="false">IN_FA_L</f>
        <v>0.512</v>
      </c>
      <c r="H25" s="103" t="n">
        <f aca="false">IN_FA_S</f>
        <v>0.492</v>
      </c>
      <c r="I25" s="103" t="n">
        <f aca="false">IN_FA_A</f>
        <v>1</v>
      </c>
      <c r="J25" s="4"/>
    </row>
    <row r="26" customFormat="false" ht="15" hidden="false" customHeight="true" outlineLevel="0" collapsed="false">
      <c r="A26" s="12" t="s">
        <v>999</v>
      </c>
      <c r="B26" s="8" t="s">
        <v>1000</v>
      </c>
      <c r="C26" s="23" t="s">
        <v>384</v>
      </c>
      <c r="D26" s="103" t="n">
        <f aca="false">IN_Span_L</f>
        <v>4224</v>
      </c>
      <c r="E26" s="103" t="n">
        <f aca="false">IN_Span_S</f>
        <v>4224</v>
      </c>
      <c r="F26" s="103" t="n">
        <f aca="false">IN_Span_A</f>
        <v>0</v>
      </c>
      <c r="G26" s="103" t="n">
        <f aca="false">IN_Span_L</f>
        <v>4224</v>
      </c>
      <c r="H26" s="103" t="n">
        <f aca="false">IN_Span_S</f>
        <v>4224</v>
      </c>
      <c r="I26" s="103" t="n">
        <f aca="false">IN_Span_A</f>
        <v>0</v>
      </c>
      <c r="J26" s="4"/>
    </row>
    <row r="27" customFormat="false" ht="15" hidden="false" customHeight="true" outlineLevel="0" collapsed="false">
      <c r="A27" s="12" t="s">
        <v>1001</v>
      </c>
      <c r="B27" s="8" t="s">
        <v>1002</v>
      </c>
      <c r="C27" s="23" t="s">
        <v>33</v>
      </c>
      <c r="D27" s="103" t="n">
        <f aca="false">IN_Cmp_L</f>
        <v>128</v>
      </c>
      <c r="E27" s="103" t="n">
        <f aca="false">IN_Cmp_S</f>
        <v>128</v>
      </c>
      <c r="F27" s="103" t="n">
        <f aca="false">IN_Cmp_A</f>
        <v>1</v>
      </c>
      <c r="G27" s="103" t="n">
        <f aca="false">IN_Cmp_L</f>
        <v>128</v>
      </c>
      <c r="H27" s="103" t="n">
        <f aca="false">IN_Cmp_S</f>
        <v>128</v>
      </c>
      <c r="I27" s="103" t="n">
        <f aca="false">IN_Cmp_A</f>
        <v>1</v>
      </c>
      <c r="J27" s="4"/>
    </row>
    <row r="28" customFormat="false" ht="15" hidden="false" customHeight="true" outlineLevel="0" collapsed="false">
      <c r="A28" s="12" t="s">
        <v>1003</v>
      </c>
      <c r="B28" s="8" t="s">
        <v>1004</v>
      </c>
      <c r="C28" s="23" t="s">
        <v>384</v>
      </c>
      <c r="D28" s="103" t="n">
        <f aca="false">IN_Win_L</f>
        <v>128</v>
      </c>
      <c r="E28" s="103" t="n">
        <f aca="false">IN_Win_S</f>
        <v>128</v>
      </c>
      <c r="F28" s="103" t="n">
        <f aca="false">IN_Win_A</f>
        <v>0</v>
      </c>
      <c r="G28" s="103" t="n">
        <f aca="false">IN_Win_L</f>
        <v>128</v>
      </c>
      <c r="H28" s="103" t="n">
        <f aca="false">IN_Win_S</f>
        <v>128</v>
      </c>
      <c r="I28" s="103" t="n">
        <f aca="false">IN_Win_A</f>
        <v>0</v>
      </c>
      <c r="J28" s="4"/>
    </row>
    <row r="29" customFormat="false" ht="15" hidden="false" customHeight="true" outlineLevel="0" collapsed="false">
      <c r="A29" s="80" t="s">
        <v>1005</v>
      </c>
      <c r="B29" s="81"/>
      <c r="C29" s="81"/>
      <c r="D29" s="81"/>
      <c r="E29" s="81"/>
      <c r="F29" s="81"/>
      <c r="G29" s="81"/>
      <c r="H29" s="81"/>
      <c r="I29" s="81"/>
      <c r="J29" s="81"/>
    </row>
    <row r="30" customFormat="false" ht="15" hidden="false" customHeight="true" outlineLevel="0" collapsed="false">
      <c r="A30" s="12" t="s">
        <v>1006</v>
      </c>
      <c r="B30" s="5" t="s">
        <v>1007</v>
      </c>
      <c r="C30" s="23" t="s">
        <v>655</v>
      </c>
      <c r="D30" s="103" t="n">
        <f aca="false">IN_SLO_L</f>
        <v>84.3000593119602</v>
      </c>
      <c r="E30" s="103" t="n">
        <f aca="false">IN_SLO_S</f>
        <v>43.31166124729</v>
      </c>
      <c r="F30" s="103" t="n">
        <f aca="false">IN_SLO_A</f>
        <v>40.8313604965595</v>
      </c>
      <c r="G30" s="103" t="n">
        <f aca="false">IN_SLO_L</f>
        <v>84.3000593119602</v>
      </c>
      <c r="H30" s="103" t="n">
        <f aca="false">IN_SLO_S</f>
        <v>43.31166124729</v>
      </c>
      <c r="I30" s="103" t="n">
        <f aca="false">IN_SLO_A</f>
        <v>40.8313604965595</v>
      </c>
      <c r="J30" s="4"/>
    </row>
    <row r="31" customFormat="false" ht="15" hidden="false" customHeight="true" outlineLevel="0" collapsed="false">
      <c r="A31" s="12" t="s">
        <v>1008</v>
      </c>
      <c r="B31" s="5" t="s">
        <v>1009</v>
      </c>
      <c r="C31" s="23" t="s">
        <v>666</v>
      </c>
      <c r="D31" s="103" t="n">
        <f aca="false">IN_TTFT_L</f>
        <v>2</v>
      </c>
      <c r="E31" s="103" t="n">
        <f aca="false">IN_TTFT_S</f>
        <v>3</v>
      </c>
      <c r="F31" s="103" t="n">
        <f aca="false">IN_TTFT_A</f>
        <v>5</v>
      </c>
      <c r="G31" s="103" t="n">
        <f aca="false">IN_TTFT_L</f>
        <v>2</v>
      </c>
      <c r="H31" s="103" t="n">
        <f aca="false">IN_TTFT_S</f>
        <v>3</v>
      </c>
      <c r="I31" s="103" t="n">
        <f aca="false">IN_TTFT_A</f>
        <v>5</v>
      </c>
      <c r="J31" s="4"/>
    </row>
    <row r="32" customFormat="false" ht="15" hidden="false" customHeight="true" outlineLevel="0" collapsed="false">
      <c r="A32" s="12" t="s">
        <v>1010</v>
      </c>
      <c r="B32" s="8" t="s">
        <v>1011</v>
      </c>
      <c r="C32" s="23" t="s">
        <v>384</v>
      </c>
      <c r="D32" s="103" t="n">
        <f aca="false">IN_ISL_L</f>
        <v>8192</v>
      </c>
      <c r="E32" s="103" t="n">
        <f aca="false">IN_ISL_S</f>
        <v>16384</v>
      </c>
      <c r="F32" s="103" t="n">
        <f aca="false">IN_ISL_A</f>
        <v>32768</v>
      </c>
      <c r="G32" s="103" t="n">
        <f aca="false">IN_ISL_L</f>
        <v>8192</v>
      </c>
      <c r="H32" s="103" t="n">
        <f aca="false">IN_ISL_S</f>
        <v>16384</v>
      </c>
      <c r="I32" s="103" t="n">
        <f aca="false">IN_ISL_A</f>
        <v>32768</v>
      </c>
      <c r="J32" s="4"/>
    </row>
    <row r="33" customFormat="false" ht="15" hidden="false" customHeight="true" outlineLevel="0" collapsed="false">
      <c r="A33" s="12" t="s">
        <v>1012</v>
      </c>
      <c r="B33" s="8" t="s">
        <v>1013</v>
      </c>
      <c r="C33" s="23" t="s">
        <v>384</v>
      </c>
      <c r="D33" s="103" t="n">
        <f aca="false">IN_OSL_L</f>
        <v>1024</v>
      </c>
      <c r="E33" s="103" t="n">
        <f aca="false">IN_OSL_S</f>
        <v>2048</v>
      </c>
      <c r="F33" s="103" t="n">
        <f aca="false">IN_OSL_A</f>
        <v>4096</v>
      </c>
      <c r="G33" s="103" t="n">
        <f aca="false">IN_OSL_L</f>
        <v>1024</v>
      </c>
      <c r="H33" s="103" t="n">
        <f aca="false">IN_OSL_S</f>
        <v>2048</v>
      </c>
      <c r="I33" s="103" t="n">
        <f aca="false">IN_OSL_A</f>
        <v>4096</v>
      </c>
      <c r="J33" s="4"/>
    </row>
    <row r="34" customFormat="false" ht="15" hidden="false" customHeight="true" outlineLevel="0" collapsed="false">
      <c r="A34" s="12" t="s">
        <v>1014</v>
      </c>
      <c r="B34" s="5" t="s">
        <v>1015</v>
      </c>
      <c r="C34" s="23" t="s">
        <v>384</v>
      </c>
      <c r="D34" s="101" t="n">
        <f aca="false">D32+D33/2</f>
        <v>8704</v>
      </c>
      <c r="E34" s="101" t="n">
        <f aca="false">E32+E33/2</f>
        <v>17408</v>
      </c>
      <c r="F34" s="101" t="n">
        <f aca="false">F32+F33/2</f>
        <v>34816</v>
      </c>
      <c r="G34" s="101" t="n">
        <f aca="false">G32+G33/2</f>
        <v>8704</v>
      </c>
      <c r="H34" s="101" t="n">
        <f aca="false">H32+H33/2</f>
        <v>17408</v>
      </c>
      <c r="I34" s="101" t="n">
        <f aca="false">I32+I33/2</f>
        <v>34816</v>
      </c>
      <c r="J34" s="24" t="s">
        <v>1016</v>
      </c>
    </row>
    <row r="35" customFormat="false" ht="15" hidden="false" customHeight="true" outlineLevel="0" collapsed="false">
      <c r="A35" s="12" t="s">
        <v>1017</v>
      </c>
      <c r="B35" s="5" t="s">
        <v>1018</v>
      </c>
      <c r="C35" s="23" t="s">
        <v>384</v>
      </c>
      <c r="D35" s="101" t="n">
        <f aca="false">D32/2</f>
        <v>4096</v>
      </c>
      <c r="E35" s="101" t="n">
        <f aca="false">E32/2</f>
        <v>8192</v>
      </c>
      <c r="F35" s="101" t="n">
        <f aca="false">F32/2</f>
        <v>16384</v>
      </c>
      <c r="G35" s="101" t="n">
        <f aca="false">G32/2</f>
        <v>4096</v>
      </c>
      <c r="H35" s="101" t="n">
        <f aca="false">H32/2</f>
        <v>8192</v>
      </c>
      <c r="I35" s="101" t="n">
        <f aca="false">I32/2</f>
        <v>16384</v>
      </c>
      <c r="J35" s="24" t="s">
        <v>1019</v>
      </c>
    </row>
    <row r="36" customFormat="false" ht="15" hidden="false" customHeight="true" outlineLevel="0" collapsed="false">
      <c r="A36" s="12" t="s">
        <v>1020</v>
      </c>
      <c r="B36" s="8" t="s">
        <v>1021</v>
      </c>
      <c r="C36" s="23" t="s">
        <v>384</v>
      </c>
      <c r="D36" s="101" t="n">
        <f aca="false">(1-IN_MTP_a^(IN_MTP_N+1))/(1-IN_MTP_a)</f>
        <v>2.533</v>
      </c>
      <c r="E36" s="101" t="n">
        <f aca="false">(1-IN_MTP_a^(IN_MTP_N+1))/(1-IN_MTP_a)</f>
        <v>2.533</v>
      </c>
      <c r="F36" s="101" t="n">
        <f aca="false">(1-IN_MTP_a^(IN_MTP_N+1))/(1-IN_MTP_a)</f>
        <v>2.533</v>
      </c>
      <c r="G36" s="101" t="n">
        <f aca="false">(1-IN_MTP_a^(IN_MTP_N+1))/(1-IN_MTP_a)</f>
        <v>2.533</v>
      </c>
      <c r="H36" s="101" t="n">
        <f aca="false">(1-IN_MTP_a^(IN_MTP_N+1))/(1-IN_MTP_a)</f>
        <v>2.533</v>
      </c>
      <c r="I36" s="101" t="n">
        <f aca="false">(1-IN_MTP_a^(IN_MTP_N+1))/(1-IN_MTP_a)</f>
        <v>2.533</v>
      </c>
      <c r="J36" s="24" t="s">
        <v>1022</v>
      </c>
    </row>
    <row r="37" customFormat="false" ht="15" hidden="false" customHeight="true" outlineLevel="0" collapsed="false">
      <c r="A37" s="12" t="s">
        <v>1023</v>
      </c>
      <c r="B37" s="5" t="s">
        <v>1024</v>
      </c>
      <c r="C37" s="23" t="s">
        <v>195</v>
      </c>
      <c r="D37" s="101" t="n">
        <f aca="false">IN_EtaP0*IN_EtaPm_H</f>
        <v>0.149924204143507</v>
      </c>
      <c r="E37" s="101" t="n">
        <f aca="false">IN_EtaP0*IN_EtaPm_H</f>
        <v>0.149924204143507</v>
      </c>
      <c r="F37" s="101" t="n">
        <f aca="false">IN_EtaP0*IN_EtaPm_H</f>
        <v>0.149924204143507</v>
      </c>
      <c r="G37" s="101" t="n">
        <f aca="false">IN_EtaP0*IN_EtaPm_G</f>
        <v>0.3</v>
      </c>
      <c r="H37" s="101" t="n">
        <f aca="false">IN_EtaP0*IN_EtaPm_G</f>
        <v>0.3</v>
      </c>
      <c r="I37" s="101" t="n">
        <f aca="false">IN_EtaP0*IN_EtaPm_G</f>
        <v>0.3</v>
      </c>
      <c r="J37" s="24" t="s">
        <v>1025</v>
      </c>
    </row>
    <row r="38" customFormat="false" ht="15" hidden="false" customHeight="true" outlineLevel="0" collapsed="false">
      <c r="A38" s="12" t="s">
        <v>1026</v>
      </c>
      <c r="B38" s="5" t="s">
        <v>1027</v>
      </c>
      <c r="C38" s="23" t="s">
        <v>195</v>
      </c>
      <c r="D38" s="101" t="n">
        <f aca="false">IN_EtaD0*IN_EtaDm_H</f>
        <v>0.0429060401998603</v>
      </c>
      <c r="E38" s="101" t="n">
        <f aca="false">IN_EtaD0*IN_EtaDm_H</f>
        <v>0.0429060401998603</v>
      </c>
      <c r="F38" s="101" t="n">
        <f aca="false">IN_EtaD0*IN_EtaDm_H</f>
        <v>0.0429060401998603</v>
      </c>
      <c r="G38" s="101" t="n">
        <f aca="false">IN_EtaD0*IN_EtaDm_G</f>
        <v>0.0411182885248661</v>
      </c>
      <c r="H38" s="101" t="n">
        <f aca="false">IN_EtaD0*IN_EtaDm_G</f>
        <v>0.0411182885248661</v>
      </c>
      <c r="I38" s="101" t="n">
        <f aca="false">IN_EtaD0*IN_EtaDm_G</f>
        <v>0.0411182885248661</v>
      </c>
      <c r="J38" s="24" t="s">
        <v>1028</v>
      </c>
    </row>
    <row r="39" customFormat="false" ht="15" hidden="false" customHeight="true" outlineLevel="0" collapsed="false">
      <c r="A39" s="12" t="s">
        <v>1029</v>
      </c>
      <c r="B39" s="8" t="s">
        <v>1030</v>
      </c>
      <c r="C39" s="23" t="s">
        <v>431</v>
      </c>
      <c r="D39" s="101" t="n">
        <f aca="false">IN_Lat0*IN_Latm_H</f>
        <v>241.778007200547</v>
      </c>
      <c r="E39" s="101" t="n">
        <f aca="false">IN_Lat0*IN_Latm_H</f>
        <v>241.778007200547</v>
      </c>
      <c r="F39" s="101" t="n">
        <f aca="false">IN_Lat0*IN_Latm_H</f>
        <v>241.778007200547</v>
      </c>
      <c r="G39" s="101" t="n">
        <f aca="false">IN_Lat0*IN_Latm_G</f>
        <v>161.185338133698</v>
      </c>
      <c r="H39" s="101" t="n">
        <f aca="false">IN_Lat0*IN_Latm_G</f>
        <v>161.185338133698</v>
      </c>
      <c r="I39" s="101" t="n">
        <f aca="false">IN_Lat0*IN_Latm_G</f>
        <v>161.185338133698</v>
      </c>
      <c r="J39" s="24" t="s">
        <v>1031</v>
      </c>
    </row>
    <row r="40" customFormat="false" ht="15" hidden="false" customHeight="true" outlineLevel="0" collapsed="false">
      <c r="A40" s="80" t="s">
        <v>1032</v>
      </c>
      <c r="B40" s="81"/>
      <c r="C40" s="81"/>
      <c r="D40" s="81"/>
      <c r="E40" s="81"/>
      <c r="F40" s="81"/>
      <c r="G40" s="81"/>
      <c r="H40" s="81"/>
      <c r="I40" s="81"/>
      <c r="J40" s="81"/>
    </row>
    <row r="41" customFormat="false" ht="15" hidden="false" customHeight="true" outlineLevel="0" collapsed="false">
      <c r="A41" s="12" t="s">
        <v>1033</v>
      </c>
      <c r="B41" s="5" t="s">
        <v>1034</v>
      </c>
      <c r="C41" s="23" t="s">
        <v>384</v>
      </c>
      <c r="D41" s="101" t="n">
        <f aca="false">D25*IF(D26=0,D34,MIN(D34,D26))+(1-D25)*(D34/D27+D28)</f>
        <v>2258.336</v>
      </c>
      <c r="E41" s="101" t="n">
        <f aca="false">E25*IF(E26=0,E34,MIN(E34,E26))+(1-E25)*(E34/E27+E28)</f>
        <v>2212.32</v>
      </c>
      <c r="F41" s="101" t="n">
        <f aca="false">F25*IF(F26=0,F34,MIN(F34,F26))+(1-F25)*(F34/F27+F28)</f>
        <v>34816</v>
      </c>
      <c r="G41" s="101" t="n">
        <f aca="false">G25*IF(G26=0,G34,MIN(G34,G26))+(1-G25)*(G34/G27+G28)</f>
        <v>2258.336</v>
      </c>
      <c r="H41" s="101" t="n">
        <f aca="false">H25*IF(H26=0,H34,MIN(H34,H26))+(1-H25)*(H34/H27+H28)</f>
        <v>2212.32</v>
      </c>
      <c r="I41" s="101" t="n">
        <f aca="false">I25*IF(I26=0,I34,MIN(I34,I26))+(1-I25)*(I34/I27+I28)</f>
        <v>34816</v>
      </c>
      <c r="J41" s="4" t="s">
        <v>1035</v>
      </c>
    </row>
    <row r="42" customFormat="false" ht="15" hidden="false" customHeight="true" outlineLevel="0" collapsed="false">
      <c r="A42" s="12" t="s">
        <v>1036</v>
      </c>
      <c r="B42" s="5" t="s">
        <v>1037</v>
      </c>
      <c r="C42" s="23" t="s">
        <v>1038</v>
      </c>
      <c r="D42" s="101" t="n">
        <f aca="false">(2*D17*1000000000+D24*D41)/1000000000</f>
        <v>38.728198496256</v>
      </c>
      <c r="E42" s="101" t="n">
        <f aca="false">(2*E17*1000000000+E24*E41)/1000000000</f>
        <v>133.37673125888</v>
      </c>
      <c r="F42" s="101" t="n">
        <f aca="false">(2*F17*1000000000+F24*F41)/1000000000</f>
        <v>531.1276032</v>
      </c>
      <c r="G42" s="101" t="n">
        <f aca="false">(2*G17*1000000000+G24*G41)/1000000000</f>
        <v>38.728198496256</v>
      </c>
      <c r="H42" s="101" t="n">
        <f aca="false">(2*H17*1000000000+H24*H41)/1000000000</f>
        <v>133.37673125888</v>
      </c>
      <c r="I42" s="101" t="n">
        <f aca="false">(2*I17*1000000000+I24*I41)/1000000000</f>
        <v>531.1276032</v>
      </c>
      <c r="J42" s="24" t="s">
        <v>1039</v>
      </c>
    </row>
    <row r="43" customFormat="false" ht="15" hidden="false" customHeight="true" outlineLevel="0" collapsed="false">
      <c r="A43" s="12" t="s">
        <v>1040</v>
      </c>
      <c r="B43" s="5" t="s">
        <v>1041</v>
      </c>
      <c r="C43" s="23" t="s">
        <v>384</v>
      </c>
      <c r="D43" s="101" t="n">
        <f aca="false">D25*IF(D26=0,D35,MIN(D35,D26))+(1-D25)*(D35/D27+D28)</f>
        <v>2175.232</v>
      </c>
      <c r="E43" s="101" t="n">
        <f aca="false">E25*IF(E26=0,E35,MIN(E35,E26))+(1-E25)*(E35/E27+E28)</f>
        <v>2175.744</v>
      </c>
      <c r="F43" s="101" t="n">
        <f aca="false">F25*IF(F26=0,F35,MIN(F35,F26))+(1-F25)*(F35/F27+F28)</f>
        <v>16384</v>
      </c>
      <c r="G43" s="101" t="n">
        <f aca="false">G25*IF(G26=0,G35,MIN(G35,G26))+(1-G25)*(G35/G27+G28)</f>
        <v>2175.232</v>
      </c>
      <c r="H43" s="101" t="n">
        <f aca="false">H25*IF(H26=0,H35,MIN(H35,H26))+(1-H25)*(H35/H27+H28)</f>
        <v>2175.744</v>
      </c>
      <c r="I43" s="101" t="n">
        <f aca="false">I25*IF(I26=0,I35,MIN(I35,I26))+(1-I25)*(I35/I27+I28)</f>
        <v>16384</v>
      </c>
      <c r="J43" s="4" t="s">
        <v>1042</v>
      </c>
    </row>
    <row r="44" customFormat="false" ht="15" hidden="false" customHeight="true" outlineLevel="0" collapsed="false">
      <c r="A44" s="12" t="s">
        <v>1043</v>
      </c>
      <c r="B44" s="5" t="s">
        <v>1044</v>
      </c>
      <c r="C44" s="23" t="s">
        <v>1038</v>
      </c>
      <c r="D44" s="101" t="n">
        <f aca="false">(2*D17*1000000000+D24*D43)/1000000000</f>
        <v>38.259816374272</v>
      </c>
      <c r="E44" s="101" t="n">
        <f aca="false">(2*E17*1000000000+E24*E43)/1000000000</f>
        <v>132.791852343296</v>
      </c>
      <c r="F44" s="101" t="n">
        <f aca="false">(2*F17*1000000000+F24*F43)/1000000000</f>
        <v>440.5306368</v>
      </c>
      <c r="G44" s="101" t="n">
        <f aca="false">(2*G17*1000000000+G24*G43)/1000000000</f>
        <v>38.259816374272</v>
      </c>
      <c r="H44" s="101" t="n">
        <f aca="false">(2*H17*1000000000+H24*H43)/1000000000</f>
        <v>132.791852343296</v>
      </c>
      <c r="I44" s="101" t="n">
        <f aca="false">(2*I17*1000000000+I24*I43)/1000000000</f>
        <v>440.5306368</v>
      </c>
      <c r="J44" s="4"/>
    </row>
    <row r="45" customFormat="false" ht="15" hidden="false" customHeight="true" outlineLevel="0" collapsed="false">
      <c r="A45" s="80" t="s">
        <v>1045</v>
      </c>
      <c r="B45" s="81"/>
      <c r="C45" s="81"/>
      <c r="D45" s="81"/>
      <c r="E45" s="81"/>
      <c r="F45" s="81"/>
      <c r="G45" s="81"/>
      <c r="H45" s="81"/>
      <c r="I45" s="81"/>
      <c r="J45" s="81"/>
    </row>
    <row r="46" customFormat="false" ht="15" hidden="false" customHeight="true" outlineLevel="0" collapsed="false">
      <c r="A46" s="12" t="s">
        <v>1046</v>
      </c>
      <c r="B46" s="8" t="s">
        <v>1047</v>
      </c>
      <c r="C46" s="23" t="s">
        <v>961</v>
      </c>
      <c r="D46" s="101" t="n">
        <f aca="false">D7*(1-IN_HBMres)</f>
        <v>72</v>
      </c>
      <c r="E46" s="101" t="n">
        <f aca="false">E7*(1-IN_HBMres)</f>
        <v>72</v>
      </c>
      <c r="F46" s="101" t="n">
        <f aca="false">F7*(1-IN_HBMres)</f>
        <v>72</v>
      </c>
      <c r="G46" s="101" t="n">
        <f aca="false">G7*(1-IN_HBMres)</f>
        <v>167.4</v>
      </c>
      <c r="H46" s="101" t="n">
        <f aca="false">H7*(1-IN_HBMres)</f>
        <v>167.4</v>
      </c>
      <c r="I46" s="101" t="n">
        <f aca="false">I7*(1-IN_HBMres)</f>
        <v>167.4</v>
      </c>
      <c r="J46" s="24" t="s">
        <v>1048</v>
      </c>
    </row>
    <row r="47" customFormat="false" ht="15" hidden="false" customHeight="true" outlineLevel="0" collapsed="false">
      <c r="A47" s="12" t="s">
        <v>1049</v>
      </c>
      <c r="B47" s="8" t="s">
        <v>1050</v>
      </c>
      <c r="C47" s="23"/>
      <c r="D47" s="101" t="n">
        <f aca="false">MAX(1,CEILING(D21*D12/(IN_NEcap*D46),1))</f>
        <v>1</v>
      </c>
      <c r="E47" s="101" t="n">
        <f aca="false">MAX(1,CEILING(E21*E12/(IN_NEcap*E46),1))</f>
        <v>2</v>
      </c>
      <c r="F47" s="101" t="n">
        <f aca="false">MAX(1,CEILING(F21*F12/(IN_NEcap*F46),1))</f>
        <v>4</v>
      </c>
      <c r="G47" s="101" t="n">
        <f aca="false">MAX(1,CEILING(G21*G12/(IN_NEcap*G46),1))</f>
        <v>1</v>
      </c>
      <c r="H47" s="101" t="n">
        <f aca="false">MAX(1,CEILING(H21*H12/(IN_NEcap*H46),1))</f>
        <v>1</v>
      </c>
      <c r="I47" s="101" t="n">
        <f aca="false">MAX(1,CEILING(I21*I12/(IN_NEcap*I46),1))</f>
        <v>2</v>
      </c>
      <c r="J47" s="4" t="s">
        <v>1051</v>
      </c>
    </row>
    <row r="48" customFormat="false" ht="15" hidden="false" customHeight="true" outlineLevel="0" collapsed="false">
      <c r="A48" s="12" t="s">
        <v>1052</v>
      </c>
      <c r="B48" s="5" t="s">
        <v>1053</v>
      </c>
      <c r="C48" s="23" t="s">
        <v>492</v>
      </c>
      <c r="D48" s="101" t="n">
        <f aca="false">MAX(D10,CEILING(D22*D11/(IN_Ecap*D46),1))</f>
        <v>64</v>
      </c>
      <c r="E48" s="101" t="n">
        <f aca="false">MAX(E10,CEILING(E22*E11/(IN_Ecap*E46),1))</f>
        <v>64</v>
      </c>
      <c r="F48" s="101" t="n">
        <f aca="false">MAX(F10,CEILING(F22*F11/(IN_Ecap*F46),1))</f>
        <v>138</v>
      </c>
      <c r="G48" s="101" t="n">
        <f aca="false">MAX(G10,CEILING(G22*G11/(IN_Ecap*G46),1))</f>
        <v>32</v>
      </c>
      <c r="H48" s="101" t="n">
        <f aca="false">MAX(H10,CEILING(H22*H11/(IN_Ecap*H46),1))</f>
        <v>32</v>
      </c>
      <c r="I48" s="101" t="n">
        <f aca="false">MAX(I10,CEILING(I22*I11/(IN_Ecap*I46),1))</f>
        <v>34</v>
      </c>
      <c r="J48" s="4" t="s">
        <v>1054</v>
      </c>
    </row>
    <row r="49" customFormat="false" ht="15" hidden="false" customHeight="true" outlineLevel="0" collapsed="false">
      <c r="A49" s="12" t="s">
        <v>1055</v>
      </c>
      <c r="B49" s="8" t="s">
        <v>1056</v>
      </c>
      <c r="C49" s="23" t="s">
        <v>961</v>
      </c>
      <c r="D49" s="101" t="n">
        <f aca="false">D21*D12/D47+D22*D11/D48</f>
        <v>9.7649375</v>
      </c>
      <c r="E49" s="101" t="n">
        <f aca="false">E21*E12/E47+E22*E11/E48</f>
        <v>34.8220486111111</v>
      </c>
      <c r="F49" s="101" t="n">
        <f aca="false">F21*F12/F47+F22*F11/F48</f>
        <v>40.898053997195</v>
      </c>
      <c r="G49" s="101" t="n">
        <f aca="false">G21*G12/G47+G22*G11/G48</f>
        <v>10.3090546875</v>
      </c>
      <c r="H49" s="101" t="n">
        <f aca="false">H21*H12/H47+H22*H11/H48</f>
        <v>48.0463324652778</v>
      </c>
      <c r="I49" s="101" t="n">
        <f aca="false">I21*I12/I47+I22*I11/I48</f>
        <v>89.9008983633776</v>
      </c>
      <c r="J49" s="4"/>
    </row>
    <row r="50" customFormat="false" ht="15" hidden="false" customHeight="true" outlineLevel="0" collapsed="false">
      <c r="A50" s="80" t="s">
        <v>1057</v>
      </c>
      <c r="B50" s="81"/>
      <c r="C50" s="81"/>
      <c r="D50" s="81"/>
      <c r="E50" s="81"/>
      <c r="F50" s="81"/>
      <c r="G50" s="81"/>
      <c r="H50" s="81"/>
      <c r="I50" s="81"/>
      <c r="J50" s="81"/>
    </row>
    <row r="51" customFormat="false" ht="15" hidden="false" customHeight="true" outlineLevel="0" collapsed="false">
      <c r="A51" s="12" t="s">
        <v>1058</v>
      </c>
      <c r="B51" s="5" t="s">
        <v>1059</v>
      </c>
      <c r="C51" s="23" t="s">
        <v>655</v>
      </c>
      <c r="D51" s="101" t="n">
        <f aca="false">D37*D6*1000000000000000/(D44*1000000000)</f>
        <v>7754.87255604074</v>
      </c>
      <c r="E51" s="101" t="n">
        <f aca="false">E37*E6*1000000000000000/(E44*1000000000)</f>
        <v>2234.32382909281</v>
      </c>
      <c r="F51" s="101" t="n">
        <f aca="false">F37*F6*1000000000000000/(F44*1000000000)</f>
        <v>673.505938554511</v>
      </c>
      <c r="G51" s="101" t="n">
        <f aca="false">G37*G6*1000000000000000/(G44*1000000000)</f>
        <v>78411.2493027375</v>
      </c>
      <c r="H51" s="101" t="n">
        <f aca="false">H37*H6*1000000000000000/(H44*1000000000)</f>
        <v>22591.7475135774</v>
      </c>
      <c r="I51" s="101" t="n">
        <f aca="false">I37*I6*1000000000000000/(I44*1000000000)</f>
        <v>6809.96904504055</v>
      </c>
      <c r="J51" s="24" t="s">
        <v>1060</v>
      </c>
    </row>
    <row r="52" customFormat="false" ht="15" hidden="false" customHeight="true" outlineLevel="0" collapsed="false">
      <c r="A52" s="12" t="s">
        <v>1061</v>
      </c>
      <c r="B52" s="5" t="s">
        <v>1062</v>
      </c>
      <c r="C52" s="23" t="s">
        <v>666</v>
      </c>
      <c r="D52" s="101" t="n">
        <f aca="false">(D32*(1-IN_Chi))*D44*1000000000/(D37*D6*1000000000000000*D13)</f>
        <v>0.0594207057137328</v>
      </c>
      <c r="E52" s="101" t="n">
        <f aca="false">(E32*(1-IN_Chi))*E44*1000000000/(E37*E6*1000000000000000*E13)</f>
        <v>0.412473782000612</v>
      </c>
      <c r="F52" s="101" t="n">
        <f aca="false">(F32*(1-IN_Chi))*F44*1000000000/(F37*F6*1000000000000000*F13)</f>
        <v>2.73672419868473</v>
      </c>
      <c r="G52" s="101" t="n">
        <f aca="false">(G32*(1-IN_Chi))*G44*1000000000/(G37*G6*1000000000000000*G13)</f>
        <v>0.0117534155901764</v>
      </c>
      <c r="H52" s="101" t="n">
        <f aca="false">(H32*(1-IN_Chi))*H44*1000000000/(H37*H6*1000000000000000*H13)</f>
        <v>0.0815873140797211</v>
      </c>
      <c r="I52" s="101" t="n">
        <f aca="false">(I32*(1-IN_Chi))*I44*1000000000/(I37*I6*1000000000000000*I13)</f>
        <v>0.54132404649984</v>
      </c>
      <c r="J52" s="24" t="s">
        <v>1063</v>
      </c>
    </row>
    <row r="53" customFormat="false" ht="15" hidden="false" customHeight="true" outlineLevel="0" collapsed="false">
      <c r="A53" s="12" t="s">
        <v>1064</v>
      </c>
      <c r="B53" s="5" t="s">
        <v>1065</v>
      </c>
      <c r="C53" s="23"/>
      <c r="D53" s="101" t="str">
        <f aca="false">IF(D52&lt;=D31,"是","否")</f>
        <v>是</v>
      </c>
      <c r="E53" s="101" t="str">
        <f aca="false">IF(E52&lt;=E31,"是","否")</f>
        <v>是</v>
      </c>
      <c r="F53" s="101" t="str">
        <f aca="false">IF(F52&lt;=F31,"是","否")</f>
        <v>是</v>
      </c>
      <c r="G53" s="101" t="str">
        <f aca="false">IF(G52&lt;=G31,"是","否")</f>
        <v>是</v>
      </c>
      <c r="H53" s="101" t="str">
        <f aca="false">IF(H52&lt;=H31,"是","否")</f>
        <v>是</v>
      </c>
      <c r="I53" s="101" t="str">
        <f aca="false">IF(I52&lt;=I31,"是","否")</f>
        <v>是</v>
      </c>
      <c r="J53" s="4"/>
    </row>
    <row r="54" customFormat="false" ht="15" hidden="false" customHeight="true" outlineLevel="0" collapsed="false">
      <c r="A54" s="80" t="s">
        <v>1066</v>
      </c>
      <c r="B54" s="81"/>
      <c r="C54" s="81"/>
      <c r="D54" s="81"/>
      <c r="E54" s="81"/>
      <c r="F54" s="81"/>
      <c r="G54" s="81"/>
      <c r="H54" s="81"/>
      <c r="I54" s="81"/>
      <c r="J54" s="81"/>
    </row>
    <row r="55" customFormat="false" ht="15" hidden="false" customHeight="true" outlineLevel="0" collapsed="false">
      <c r="A55" s="12" t="s">
        <v>1067</v>
      </c>
      <c r="B55" s="8" t="s">
        <v>1068</v>
      </c>
      <c r="C55" s="23" t="s">
        <v>1069</v>
      </c>
      <c r="D55" s="101" t="n">
        <f aca="false">D49/D8+(D18+IN_MTP_N)*D39/1000</f>
        <v>14.0366950476431</v>
      </c>
      <c r="E55" s="101" t="n">
        <f aca="false">E49/E8+(E18+IN_MTP_N)*E39/1000</f>
        <v>25.8684338372861</v>
      </c>
      <c r="F55" s="101" t="n">
        <f aca="false">F49/F8+(F18+IN_MTP_N)*F39/1000</f>
        <v>37.1115090691772</v>
      </c>
      <c r="G55" s="101" t="n">
        <f aca="false">G49/G8+(G18+IN_MTP_N)*G39/1000</f>
        <v>8.70315739008761</v>
      </c>
      <c r="H55" s="101" t="n">
        <f aca="false">H49/H8+(H18+IN_MTP_N)*H39/1000</f>
        <v>16.3216531987164</v>
      </c>
      <c r="I55" s="101" t="n">
        <f aca="false">I49/I8+(I18+IN_MTP_N)*I39/1000</f>
        <v>27.8397021231931</v>
      </c>
      <c r="J55" s="4" t="s">
        <v>1070</v>
      </c>
    </row>
    <row r="56" customFormat="false" ht="15" hidden="false" customHeight="true" outlineLevel="0" collapsed="false">
      <c r="A56" s="12" t="s">
        <v>1071</v>
      </c>
      <c r="B56" s="8" t="s">
        <v>1072</v>
      </c>
      <c r="C56" s="23" t="s">
        <v>1069</v>
      </c>
      <c r="D56" s="101" t="n">
        <f aca="false">(IN_MTP_N+1)*D42/(D6*D38)/1000</f>
        <v>1.82441257643478</v>
      </c>
      <c r="E56" s="101" t="n">
        <f aca="false">(IN_MTP_N+1)*E42/(E6*E38)/1000</f>
        <v>6.28312690392728</v>
      </c>
      <c r="F56" s="101" t="n">
        <f aca="false">(IN_MTP_N+1)*F42/(F6*F38)/1000</f>
        <v>25.0204222399711</v>
      </c>
      <c r="G56" s="101" t="n">
        <f aca="false">(IN_MTP_N+1)*G42/(G6*G38)/1000</f>
        <v>0.376749129262374</v>
      </c>
      <c r="H56" s="101" t="n">
        <f aca="false">(IN_MTP_N+1)*H42/(H6*H38)/1000</f>
        <v>1.29749302360404</v>
      </c>
      <c r="I56" s="101" t="n">
        <f aca="false">(IN_MTP_N+1)*I42/(I6*I38)/1000</f>
        <v>5.16682597699856</v>
      </c>
      <c r="J56" s="4" t="s">
        <v>1073</v>
      </c>
    </row>
    <row r="57" customFormat="false" ht="15" hidden="false" customHeight="true" outlineLevel="0" collapsed="false">
      <c r="A57" s="12" t="s">
        <v>1074</v>
      </c>
      <c r="B57" s="8" t="s">
        <v>1075</v>
      </c>
      <c r="C57" s="23" t="s">
        <v>1069</v>
      </c>
      <c r="D57" s="101" t="n">
        <f aca="false">D23*D34/(D8*IN_KVeff)/1000000000</f>
        <v>0.0103742771855011</v>
      </c>
      <c r="E57" s="101" t="n">
        <f aca="false">E23*E34/(E8*IN_KVeff)/1000000000</f>
        <v>0.0294339957356077</v>
      </c>
      <c r="F57" s="101" t="n">
        <f aca="false">F23*F34/(F8*IN_KVeff)/1000000000</f>
        <v>0.855181918976546</v>
      </c>
      <c r="G57" s="101" t="n">
        <f aca="false">G23*G34/(G8*IN_KVeff)/1000000000</f>
        <v>0.00434422857142857</v>
      </c>
      <c r="H57" s="101" t="n">
        <f aca="false">H23*H34/(H8*IN_KVeff)/1000000000</f>
        <v>0.0123254857142857</v>
      </c>
      <c r="I57" s="101" t="n">
        <f aca="false">I23*I34/(I8*IN_KVeff)/1000000000</f>
        <v>0.358107428571429</v>
      </c>
      <c r="J57" s="24" t="s">
        <v>1076</v>
      </c>
    </row>
    <row r="58" customFormat="false" ht="15" hidden="false" customHeight="true" outlineLevel="0" collapsed="false">
      <c r="A58" s="12" t="s">
        <v>1077</v>
      </c>
      <c r="B58" s="8" t="s">
        <v>1078</v>
      </c>
      <c r="C58" s="23" t="s">
        <v>1069</v>
      </c>
      <c r="D58" s="101" t="n">
        <f aca="false">(IN_MTP_N+1)*D18*D20*D19*IN_EPbytes*(D48-1)/D48/(D9*IN_EPeff)/1000000000</f>
        <v>0.3566592</v>
      </c>
      <c r="E58" s="101" t="n">
        <f aca="false">(IN_MTP_N+1)*E18*E20*E19*IN_EPbytes*(E48-1)/E48/(E9*IN_EPeff)/1000000000</f>
        <v>0.8854272</v>
      </c>
      <c r="F58" s="101" t="n">
        <f aca="false">(IN_MTP_N+1)*F18*F20*F19*IN_EPbytes*(F48-1)/F48/(F9*IN_EPeff)/1000000000</f>
        <v>6.69199900621118</v>
      </c>
      <c r="G58" s="101" t="n">
        <f aca="false">(IN_MTP_N+1)*G18*G20*G19*IN_EPbytes*(G48-1)/G48/(G9*IN_EPeff)/1000000000</f>
        <v>0.0194998857142857</v>
      </c>
      <c r="H58" s="101" t="n">
        <f aca="false">(IN_MTP_N+1)*H18*H20*H19*IN_EPbytes*(H48-1)/H48/(H9*IN_EPeff)/1000000000</f>
        <v>0.0484096</v>
      </c>
      <c r="I58" s="101" t="n">
        <f aca="false">(IN_MTP_N+1)*I18*I20*I19*IN_EPbytes*(I48-1)/I48/(I9*IN_EPeff)/1000000000</f>
        <v>0.363476974789916</v>
      </c>
      <c r="J58" s="4"/>
    </row>
    <row r="59" customFormat="false" ht="15" hidden="false" customHeight="true" outlineLevel="0" collapsed="false">
      <c r="A59" s="12" t="s">
        <v>1079</v>
      </c>
      <c r="B59" s="8" t="s">
        <v>1080</v>
      </c>
      <c r="C59" s="23" t="s">
        <v>1069</v>
      </c>
      <c r="D59" s="101" t="n">
        <f aca="false">MAX(D56,D57,D58)</f>
        <v>1.82441257643478</v>
      </c>
      <c r="E59" s="101" t="n">
        <f aca="false">MAX(E56,E57,E58)</f>
        <v>6.28312690392728</v>
      </c>
      <c r="F59" s="101" t="n">
        <f aca="false">MAX(F56,F57,F58)</f>
        <v>25.0204222399711</v>
      </c>
      <c r="G59" s="101" t="n">
        <f aca="false">MAX(G56,G57,G58)</f>
        <v>0.376749129262374</v>
      </c>
      <c r="H59" s="101" t="n">
        <f aca="false">MAX(H56,H57,H58)</f>
        <v>1.29749302360404</v>
      </c>
      <c r="I59" s="101" t="n">
        <f aca="false">MAX(I56,I57,I58)</f>
        <v>5.16682597699856</v>
      </c>
      <c r="J59" s="4"/>
    </row>
    <row r="60" customFormat="false" ht="15" hidden="false" customHeight="true" outlineLevel="0" collapsed="false">
      <c r="A60" s="12" t="s">
        <v>1081</v>
      </c>
      <c r="B60" s="5" t="s">
        <v>1082</v>
      </c>
      <c r="C60" s="21" t="s">
        <v>1083</v>
      </c>
      <c r="D60" s="101" t="n">
        <f aca="false">(1000*D36/D30-D55)/D59</f>
        <v>8.77582932892948</v>
      </c>
      <c r="E60" s="101" t="n">
        <f aca="false">(1000*E36/E30-E55)/E59</f>
        <v>5.19083279341792</v>
      </c>
      <c r="F60" s="101" t="n">
        <f aca="false">(1000*F36/F30-F55)/F59</f>
        <v>0.996151902088557</v>
      </c>
      <c r="G60" s="101" t="n">
        <f aca="false">(1000*G36/G30-G55)/G59</f>
        <v>56.6538032767026</v>
      </c>
      <c r="H60" s="101" t="n">
        <f aca="false">(1000*H36/H30-H55)/H59</f>
        <v>32.4945422053754</v>
      </c>
      <c r="I60" s="101" t="n">
        <f aca="false">(1000*I36/I30-I55)/I59</f>
        <v>6.61836653752655</v>
      </c>
      <c r="J60" s="4" t="s">
        <v>1084</v>
      </c>
    </row>
    <row r="61" customFormat="false" ht="15" hidden="false" customHeight="true" outlineLevel="0" collapsed="false">
      <c r="A61" s="12" t="s">
        <v>1085</v>
      </c>
      <c r="B61" s="5" t="s">
        <v>1086</v>
      </c>
      <c r="C61" s="21" t="s">
        <v>1083</v>
      </c>
      <c r="D61" s="101" t="n">
        <f aca="false">(D46-D49)*1000000000/(D23*D34)</f>
        <v>2558.19965159029</v>
      </c>
      <c r="E61" s="101" t="n">
        <f aca="false">(E46-E49)*1000000000/(E23*E34)</f>
        <v>538.633530942984</v>
      </c>
      <c r="F61" s="101" t="n">
        <f aca="false">(F46-F49)*1000000000/(F23*F34)</f>
        <v>15.5090860617669</v>
      </c>
      <c r="G61" s="101" t="n">
        <f aca="false">(G46-G49)*1000000000/(G23*G34)</f>
        <v>6457.29248791911</v>
      </c>
      <c r="H61" s="101" t="n">
        <f aca="false">(H46-H49)*1000000000/(H23*H34)</f>
        <v>1729.19391665125</v>
      </c>
      <c r="I61" s="101" t="n">
        <f aca="false">(I46-I49)*1000000000/(I23*I34)</f>
        <v>38.64517792178</v>
      </c>
      <c r="J61" s="4" t="s">
        <v>1087</v>
      </c>
    </row>
    <row r="62" customFormat="false" ht="15" hidden="false" customHeight="true" outlineLevel="0" collapsed="false">
      <c r="A62" s="12" t="s">
        <v>1088</v>
      </c>
      <c r="B62" s="8" t="s">
        <v>1089</v>
      </c>
      <c r="C62" s="21" t="s">
        <v>1083</v>
      </c>
      <c r="D62" s="101" t="n">
        <f aca="false">MAX(0,MIN(D60,D61))</f>
        <v>8.77582932892948</v>
      </c>
      <c r="E62" s="101" t="n">
        <f aca="false">MAX(0,MIN(E60,E61))</f>
        <v>5.19083279341792</v>
      </c>
      <c r="F62" s="101" t="n">
        <f aca="false">MAX(0,MIN(F60,F61))</f>
        <v>0.996151902088557</v>
      </c>
      <c r="G62" s="101" t="n">
        <f aca="false">MAX(0,MIN(G60,G61))</f>
        <v>56.6538032767026</v>
      </c>
      <c r="H62" s="101" t="n">
        <f aca="false">MAX(0,MIN(H60,H61))</f>
        <v>32.4945422053754</v>
      </c>
      <c r="I62" s="101" t="n">
        <f aca="false">MAX(0,MIN(I60,I61))</f>
        <v>6.61836653752655</v>
      </c>
      <c r="J62" s="4"/>
    </row>
    <row r="63" customFormat="false" ht="15" hidden="false" customHeight="true" outlineLevel="0" collapsed="false">
      <c r="A63" s="12" t="s">
        <v>1090</v>
      </c>
      <c r="B63" s="5" t="s">
        <v>1091</v>
      </c>
      <c r="C63" s="23" t="s">
        <v>655</v>
      </c>
      <c r="D63" s="101" t="n">
        <f aca="false">IF(D62&gt;0,D62*D36/((D55+D62*D59)/1000),0)</f>
        <v>739.802932940395</v>
      </c>
      <c r="E63" s="101" t="n">
        <f aca="false">IF(E62&gt;0,E62*E36/((E55+E62*E59)/1000),0)</f>
        <v>224.823591539841</v>
      </c>
      <c r="F63" s="101" t="n">
        <f aca="false">IF(F62&gt;0,F62*F36/((F55+F62*F59)/1000),0)</f>
        <v>40.6742374235113</v>
      </c>
      <c r="G63" s="101" t="n">
        <f aca="false">IF(G62&gt;0,G62*G36/((G55+G62*G59)/1000),0)</f>
        <v>4775.91897647416</v>
      </c>
      <c r="H63" s="101" t="n">
        <f aca="false">IF(H62&gt;0,H62*H36/((H55+H62*H59)/1000),0)</f>
        <v>1407.39260438499</v>
      </c>
      <c r="I63" s="101" t="n">
        <f aca="false">IF(I62&gt;0,I62*I36/((I55+I62*I59)/1000),0)</f>
        <v>270.236909992113</v>
      </c>
      <c r="J63" s="24" t="s">
        <v>1092</v>
      </c>
    </row>
    <row r="64" customFormat="false" ht="15" hidden="false" customHeight="true" outlineLevel="0" collapsed="false">
      <c r="A64" s="80" t="s">
        <v>1093</v>
      </c>
      <c r="B64" s="81"/>
      <c r="C64" s="81"/>
      <c r="D64" s="81"/>
      <c r="E64" s="81"/>
      <c r="F64" s="81"/>
      <c r="G64" s="81"/>
      <c r="H64" s="81"/>
      <c r="I64" s="81"/>
      <c r="J64" s="81"/>
    </row>
    <row r="65" customFormat="false" ht="15" hidden="false" customHeight="true" outlineLevel="0" collapsed="false">
      <c r="A65" s="12" t="s">
        <v>1094</v>
      </c>
      <c r="B65" s="8" t="s">
        <v>1095</v>
      </c>
      <c r="C65" s="23" t="s">
        <v>1096</v>
      </c>
      <c r="D65" s="101" t="n">
        <f aca="false">(D32*(1-IN_Chi))/D51+D33/D63</f>
        <v>1.85951803873978</v>
      </c>
      <c r="E65" s="101" t="n">
        <f aca="false">(E32*(1-IN_Chi))/E51+E33/E63</f>
        <v>12.4091545623618</v>
      </c>
      <c r="F65" s="101" t="n">
        <f aca="false">(F32*(1-IN_Chi))/F51+F33/F63</f>
        <v>122.596357656047</v>
      </c>
      <c r="G65" s="101" t="n">
        <f aca="false">(G32*(1-IN_Chi))/G51+G33/G63</f>
        <v>0.261422659884355</v>
      </c>
      <c r="H65" s="101" t="n">
        <f aca="false">(H32*(1-IN_Chi))/H51+H33/H63</f>
        <v>1.78152245647574</v>
      </c>
      <c r="I65" s="101" t="n">
        <f aca="false">(I32*(1-IN_Chi))/I51+I33/I63</f>
        <v>17.322367069172</v>
      </c>
      <c r="J65" s="4" t="s">
        <v>1097</v>
      </c>
    </row>
    <row r="66" customFormat="false" ht="15" hidden="false" customHeight="true" outlineLevel="0" collapsed="false">
      <c r="A66" s="12" t="s">
        <v>902</v>
      </c>
      <c r="B66" s="8" t="s">
        <v>1098</v>
      </c>
      <c r="C66" s="23" t="s">
        <v>655</v>
      </c>
      <c r="D66" s="101" t="n">
        <f aca="false">D14*(D32+D33)/D65</f>
        <v>158595.933922677</v>
      </c>
      <c r="E66" s="101" t="n">
        <f aca="false">E14*(E32+E33)/E65</f>
        <v>47531.3605802762</v>
      </c>
      <c r="F66" s="101" t="n">
        <f aca="false">F14*(F32+F33)/F65</f>
        <v>9622.21082709151</v>
      </c>
      <c r="G66" s="101" t="n">
        <f aca="false">G14*(G32+G33)/G65</f>
        <v>2538234.44491588</v>
      </c>
      <c r="H66" s="101" t="n">
        <f aca="false">H14*(H32+H33)/H65</f>
        <v>744926.899560567</v>
      </c>
      <c r="I66" s="101" t="n">
        <f aca="false">I14*(I32+I33)/I65</f>
        <v>153224.324909013</v>
      </c>
      <c r="J66" s="24" t="s">
        <v>1099</v>
      </c>
    </row>
    <row r="67" customFormat="false" ht="15" hidden="false" customHeight="true" outlineLevel="0" collapsed="false">
      <c r="A67" s="12" t="s">
        <v>1100</v>
      </c>
      <c r="B67" s="6" t="s">
        <v>1101</v>
      </c>
      <c r="C67" s="23" t="s">
        <v>39</v>
      </c>
      <c r="D67" s="101" t="n">
        <f aca="false">D66*D15*8760*3600/1000000</f>
        <v>112228240510.471</v>
      </c>
      <c r="E67" s="101" t="n">
        <f aca="false">E66*E15*8760*3600/1000000</f>
        <v>33634916325.1179</v>
      </c>
      <c r="F67" s="101" t="n">
        <f aca="false">F66*F15*8760*3600/1000000</f>
        <v>6809025705.99182</v>
      </c>
      <c r="G67" s="101" t="n">
        <f aca="false">G66*G15*8760*3600/1000000</f>
        <v>557838911578.97</v>
      </c>
      <c r="H67" s="101" t="n">
        <f aca="false">H66*H15*8760*3600/1000000</f>
        <v>163715850475.953</v>
      </c>
      <c r="I67" s="101" t="n">
        <f aca="false">I66*I15*8760*3600/1000000</f>
        <v>33674781620.6942</v>
      </c>
      <c r="J67" s="4" t="s">
        <v>1102</v>
      </c>
    </row>
    <row r="68" customFormat="false" ht="15" hidden="false" customHeight="true" outlineLevel="0" collapsed="false">
      <c r="A68" s="2"/>
      <c r="B68" s="34" t="s">
        <v>1103</v>
      </c>
      <c r="C68" s="2"/>
      <c r="D68" s="89" t="n">
        <v>112228240510.472</v>
      </c>
      <c r="E68" s="89" t="n">
        <v>33634916325.118</v>
      </c>
      <c r="F68" s="89" t="n">
        <v>6809025705.99183</v>
      </c>
      <c r="G68" s="89" t="n">
        <v>557838911578.971</v>
      </c>
      <c r="H68" s="89" t="n">
        <v>163715850475.954</v>
      </c>
      <c r="I68" s="89" t="n">
        <v>33674781620.6943</v>
      </c>
      <c r="J68" s="2"/>
    </row>
    <row r="69" customFormat="false" ht="15" hidden="false" customHeight="true" outlineLevel="0" collapsed="false">
      <c r="A69" s="2"/>
      <c r="B69" s="13" t="s">
        <v>946</v>
      </c>
      <c r="C69" s="2"/>
      <c r="D69" s="104" t="n">
        <f aca="false">D67/D68-1</f>
        <v>-5.99520433297585E-015</v>
      </c>
      <c r="E69" s="104" t="n">
        <f aca="false">E67/E68-1</f>
        <v>0</v>
      </c>
      <c r="F69" s="104" t="n">
        <f aca="false">F67/F68-1</f>
        <v>0</v>
      </c>
      <c r="G69" s="104" t="n">
        <f aca="false">G67/G68-1</f>
        <v>0</v>
      </c>
      <c r="H69" s="104" t="n">
        <f aca="false">H67/H68-1</f>
        <v>-3.77475828372553E-015</v>
      </c>
      <c r="I69" s="104" t="n">
        <f aca="false">I67/I68-1</f>
        <v>0</v>
      </c>
      <c r="J6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9" min="4" style="1" width="12"/>
    <col collapsed="false" customWidth="true" hidden="false" outlineLevel="0" max="10" min="10" style="1" width="10"/>
    <col collapsed="false" customWidth="true" hidden="false" outlineLevel="0" max="11" min="11" style="1" width="50"/>
  </cols>
  <sheetData>
    <row r="1" customFormat="false" ht="19.5" hidden="false" customHeight="true" outlineLevel="0" collapsed="false">
      <c r="A1" s="79" t="s">
        <v>1104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4" t="s">
        <v>1105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15" t="s">
        <v>1106</v>
      </c>
      <c r="B4" s="16" t="s">
        <v>85</v>
      </c>
      <c r="C4" s="16" t="s">
        <v>1107</v>
      </c>
      <c r="D4" s="16" t="s">
        <v>1108</v>
      </c>
      <c r="E4" s="16" t="s">
        <v>1109</v>
      </c>
      <c r="F4" s="15" t="s">
        <v>1110</v>
      </c>
      <c r="G4" s="15" t="s">
        <v>1111</v>
      </c>
      <c r="H4" s="16" t="s">
        <v>87</v>
      </c>
      <c r="I4" s="16" t="s">
        <v>86</v>
      </c>
      <c r="J4" s="16" t="s">
        <v>1112</v>
      </c>
      <c r="K4" s="16" t="s">
        <v>1113</v>
      </c>
    </row>
    <row r="5" customFormat="false" ht="15" hidden="false" customHeight="true" outlineLevel="0" collapsed="false">
      <c r="A5" s="2"/>
      <c r="B5" s="105" t="s">
        <v>1114</v>
      </c>
      <c r="C5" s="2"/>
      <c r="D5" s="2"/>
      <c r="E5" s="2"/>
      <c r="F5" s="102" t="n">
        <v>0.460003106109943</v>
      </c>
      <c r="G5" s="2"/>
      <c r="H5" s="2"/>
      <c r="I5" s="2"/>
      <c r="J5" s="2"/>
      <c r="K5" s="2"/>
    </row>
    <row r="6" customFormat="false" ht="16.5" hidden="false" customHeight="true" outlineLevel="0" collapsed="false">
      <c r="A6" s="2" t="n">
        <v>1</v>
      </c>
      <c r="B6" s="106" t="s">
        <v>1115</v>
      </c>
      <c r="C6" s="106" t="s">
        <v>340</v>
      </c>
      <c r="D6" s="2" t="n">
        <v>3.3</v>
      </c>
      <c r="E6" s="2" t="n">
        <v>5.9</v>
      </c>
      <c r="F6" s="107" t="n">
        <v>0.514505843800694</v>
      </c>
      <c r="G6" s="107" t="n">
        <v>0.409405655720729</v>
      </c>
      <c r="H6" s="37" t="n">
        <f aca="false">IF(OR(D6&lt;=0,E6&lt;=0,F6&lt;=0,G6&lt;=0),"—",LN(G6/F6)/LN(E6/D6))</f>
        <v>-0.393267941184692</v>
      </c>
      <c r="I6" s="36" t="n">
        <f aca="false">ABS(G6-F6)/$F$5</f>
        <v>0.22847712696715</v>
      </c>
      <c r="J6" s="2" t="n">
        <f aca="false">RANK(I6,$I$6:$I$32)</f>
        <v>11</v>
      </c>
      <c r="K6" s="4" t="s">
        <v>1116</v>
      </c>
    </row>
    <row r="7" customFormat="false" ht="16.5" hidden="false" customHeight="true" outlineLevel="0" collapsed="false">
      <c r="A7" s="2" t="n">
        <v>2</v>
      </c>
      <c r="B7" s="106" t="s">
        <v>1117</v>
      </c>
      <c r="C7" s="106" t="s">
        <v>442</v>
      </c>
      <c r="D7" s="2" t="n">
        <v>0.9</v>
      </c>
      <c r="E7" s="2" t="n">
        <v>1.45</v>
      </c>
      <c r="F7" s="107" t="n">
        <v>0.538514703178552</v>
      </c>
      <c r="G7" s="107" t="n">
        <v>0.395689638202499</v>
      </c>
      <c r="H7" s="37" t="n">
        <f aca="false">IF(OR(D7&lt;=0,E7&lt;=0,F7&lt;=0,G7&lt;=0),"—",LN(G7/F7)/LN(E7/D7))</f>
        <v>-0.646192247689151</v>
      </c>
      <c r="I7" s="36" t="n">
        <f aca="false">ABS(G7-F7)/$F$5</f>
        <v>0.310487175149459</v>
      </c>
      <c r="J7" s="2" t="n">
        <f aca="false">RANK(I7,$I$6:$I$32)</f>
        <v>10</v>
      </c>
      <c r="K7" s="24" t="s">
        <v>1118</v>
      </c>
    </row>
    <row r="8" customFormat="false" ht="16.5" hidden="false" customHeight="true" outlineLevel="0" collapsed="false">
      <c r="A8" s="2" t="n">
        <v>3</v>
      </c>
      <c r="B8" s="108" t="s">
        <v>1119</v>
      </c>
      <c r="C8" s="106" t="s">
        <v>312</v>
      </c>
      <c r="D8" s="2" t="n">
        <v>0.65</v>
      </c>
      <c r="E8" s="2" t="n">
        <v>1.2</v>
      </c>
      <c r="F8" s="107" t="n">
        <v>0.707697086322989</v>
      </c>
      <c r="G8" s="107" t="n">
        <v>0.383335921758286</v>
      </c>
      <c r="H8" s="37" t="n">
        <f aca="false">IF(OR(D8&lt;=0,E8&lt;=0,F8&lt;=0,G8&lt;=0),"—",LN(G8/F8)/LN(E8/D8))</f>
        <v>-0.999999999999999</v>
      </c>
      <c r="I8" s="36" t="n">
        <f aca="false">ABS(G8-F8)/$F$5</f>
        <v>0.705128205128204</v>
      </c>
      <c r="J8" s="2" t="n">
        <f aca="false">RANK(I8,$I$6:$I$32)</f>
        <v>1</v>
      </c>
      <c r="K8" s="4" t="s">
        <v>1120</v>
      </c>
    </row>
    <row r="9" customFormat="false" ht="16.5" hidden="false" customHeight="true" outlineLevel="0" collapsed="false">
      <c r="A9" s="2" t="n">
        <v>4</v>
      </c>
      <c r="B9" s="108" t="s">
        <v>1121</v>
      </c>
      <c r="C9" s="106" t="s">
        <v>316</v>
      </c>
      <c r="D9" s="2" t="n">
        <v>0.3</v>
      </c>
      <c r="E9" s="2" t="n">
        <v>0.65</v>
      </c>
      <c r="F9" s="107" t="n">
        <v>0.628670911683588</v>
      </c>
      <c r="G9" s="107" t="n">
        <v>0.339147884513574</v>
      </c>
      <c r="H9" s="37" t="n">
        <f aca="false">IF(OR(D9&lt;=0,E9&lt;=0,F9&lt;=0,G9&lt;=0),"—",LN(G9/F9)/LN(E9/D9))</f>
        <v>-0.798214884270891</v>
      </c>
      <c r="I9" s="36" t="n">
        <f aca="false">ABS(G9-F9)/$F$5</f>
        <v>0.62939363522649</v>
      </c>
      <c r="J9" s="2" t="n">
        <f aca="false">RANK(I9,$I$6:$I$32)</f>
        <v>2</v>
      </c>
      <c r="K9" s="4" t="s">
        <v>1122</v>
      </c>
    </row>
    <row r="10" customFormat="false" ht="16.5" hidden="false" customHeight="true" outlineLevel="0" collapsed="false">
      <c r="A10" s="2" t="n">
        <v>5</v>
      </c>
      <c r="B10" s="108" t="s">
        <v>1123</v>
      </c>
      <c r="C10" s="106" t="s">
        <v>308</v>
      </c>
      <c r="D10" s="2" t="n">
        <v>0.73</v>
      </c>
      <c r="E10" s="2" t="n">
        <v>1.17</v>
      </c>
      <c r="F10" s="107" t="n">
        <v>0.395061491129716</v>
      </c>
      <c r="G10" s="107" t="n">
        <v>0.633180746057215</v>
      </c>
      <c r="H10" s="37" t="n">
        <f aca="false">IF(OR(D10&lt;=0,E10&lt;=0,F10&lt;=0,G10&lt;=0),"—",LN(G10/F10)/LN(E10/D10))</f>
        <v>0.999999999999996</v>
      </c>
      <c r="I10" s="36" t="n">
        <f aca="false">ABS(G10-F10)/$F$5</f>
        <v>0.517647058823527</v>
      </c>
      <c r="J10" s="2" t="n">
        <f aca="false">RANK(I10,$I$6:$I$32)</f>
        <v>3</v>
      </c>
      <c r="K10" s="24" t="s">
        <v>1124</v>
      </c>
    </row>
    <row r="11" customFormat="false" ht="16.5" hidden="false" customHeight="true" outlineLevel="0" collapsed="false">
      <c r="A11" s="2" t="n">
        <v>6</v>
      </c>
      <c r="B11" s="106" t="s">
        <v>1125</v>
      </c>
      <c r="C11" s="106" t="s">
        <v>1126</v>
      </c>
      <c r="D11" s="2" t="n">
        <v>60</v>
      </c>
      <c r="E11" s="2" t="n">
        <v>250</v>
      </c>
      <c r="F11" s="107" t="n">
        <v>0.322014857053106</v>
      </c>
      <c r="G11" s="107" t="n">
        <v>0.526006417825229</v>
      </c>
      <c r="H11" s="37" t="n">
        <f aca="false">IF(OR(D11&lt;=0,E11&lt;=0,F11&lt;=0,G11&lt;=0),"—",LN(G11/F11)/LN(E11/D11))</f>
        <v>0.343851240661688</v>
      </c>
      <c r="I11" s="36" t="n">
        <f aca="false">ABS(G11-F11)/$F$5</f>
        <v>0.443456920317768</v>
      </c>
      <c r="J11" s="2" t="n">
        <f aca="false">RANK(I11,$I$6:$I$32)</f>
        <v>5</v>
      </c>
      <c r="K11" s="4" t="s">
        <v>1127</v>
      </c>
    </row>
    <row r="12" customFormat="false" ht="16.5" hidden="false" customHeight="true" outlineLevel="0" collapsed="false">
      <c r="A12" s="2" t="n">
        <v>7</v>
      </c>
      <c r="B12" s="108" t="s">
        <v>1128</v>
      </c>
      <c r="C12" s="106" t="s">
        <v>344</v>
      </c>
      <c r="D12" s="2" t="n">
        <v>0.1</v>
      </c>
      <c r="E12" s="2" t="n">
        <v>0.4</v>
      </c>
      <c r="F12" s="107" t="n">
        <v>0.408891649875505</v>
      </c>
      <c r="G12" s="107" t="n">
        <v>0.613337474813257</v>
      </c>
      <c r="H12" s="37" t="n">
        <f aca="false">IF(OR(D12&lt;=0,E12&lt;=0,F12&lt;=0,G12&lt;=0),"—",LN(G12/F12)/LN(E12/D12))</f>
        <v>0.292481250360578</v>
      </c>
      <c r="I12" s="36" t="n">
        <f aca="false">ABS(G12-F12)/$F$5</f>
        <v>0.444444444444443</v>
      </c>
      <c r="J12" s="2" t="n">
        <f aca="false">RANK(I12,$I$6:$I$32)</f>
        <v>4</v>
      </c>
      <c r="K12" s="24" t="s">
        <v>1129</v>
      </c>
    </row>
    <row r="13" customFormat="false" ht="16.5" hidden="false" customHeight="true" outlineLevel="0" collapsed="false">
      <c r="A13" s="2" t="n">
        <v>8</v>
      </c>
      <c r="B13" s="106" t="s">
        <v>1130</v>
      </c>
      <c r="C13" s="106" t="s">
        <v>1131</v>
      </c>
      <c r="D13" s="2" t="n">
        <v>8192</v>
      </c>
      <c r="E13" s="2" t="n">
        <v>68000</v>
      </c>
      <c r="F13" s="107" t="n">
        <v>0.55435404052786</v>
      </c>
      <c r="G13" s="107" t="n">
        <v>0.373160593945069</v>
      </c>
      <c r="H13" s="37" t="n">
        <f aca="false">IF(OR(D13&lt;=0,E13&lt;=0,F13&lt;=0,G13&lt;=0),"—",LN(G13/F13)/LN(E13/D13))</f>
        <v>-0.187017619540166</v>
      </c>
      <c r="I13" s="36" t="n">
        <f aca="false">ABS(G13-F13)/$F$5</f>
        <v>0.393896137169745</v>
      </c>
      <c r="J13" s="2" t="n">
        <f aca="false">RANK(I13,$I$6:$I$32)</f>
        <v>6</v>
      </c>
      <c r="K13" s="24" t="s">
        <v>1132</v>
      </c>
    </row>
    <row r="14" customFormat="false" ht="16.5" hidden="false" customHeight="true" outlineLevel="0" collapsed="false">
      <c r="A14" s="2" t="n">
        <v>9</v>
      </c>
      <c r="B14" s="108" t="s">
        <v>1133</v>
      </c>
      <c r="C14" s="106" t="s">
        <v>320</v>
      </c>
      <c r="D14" s="2" t="n">
        <v>0.7</v>
      </c>
      <c r="E14" s="2" t="n">
        <v>1</v>
      </c>
      <c r="F14" s="107" t="n">
        <v>0.558575200276359</v>
      </c>
      <c r="G14" s="107" t="n">
        <v>0.391002640193451</v>
      </c>
      <c r="H14" s="37" t="n">
        <f aca="false">IF(OR(D14&lt;=0,E14&lt;=0,F14&lt;=0,G14&lt;=0),"—",LN(G14/F14)/LN(E14/D14))</f>
        <v>-1</v>
      </c>
      <c r="I14" s="36" t="n">
        <f aca="false">ABS(G14-F14)/$F$5</f>
        <v>0.364285714285715</v>
      </c>
      <c r="J14" s="2" t="n">
        <f aca="false">RANK(I14,$I$6:$I$32)</f>
        <v>7</v>
      </c>
      <c r="K14" s="4" t="s">
        <v>1134</v>
      </c>
    </row>
    <row r="15" customFormat="false" ht="16.5" hidden="false" customHeight="true" outlineLevel="0" collapsed="false">
      <c r="A15" s="2" t="n">
        <v>10</v>
      </c>
      <c r="B15" s="106" t="s">
        <v>1135</v>
      </c>
      <c r="C15" s="106" t="s">
        <v>1136</v>
      </c>
      <c r="D15" s="2" t="n">
        <v>1024</v>
      </c>
      <c r="E15" s="2" t="n">
        <v>4096</v>
      </c>
      <c r="F15" s="107" t="n">
        <v>0.403765342348117</v>
      </c>
      <c r="G15" s="107" t="n">
        <v>0.55559624379835</v>
      </c>
      <c r="H15" s="37" t="n">
        <f aca="false">IF(OR(D15&lt;=0,E15&lt;=0,F15&lt;=0,G15&lt;=0),"—",LN(G15/F15)/LN(E15/D15))</f>
        <v>0.230259882568253</v>
      </c>
      <c r="I15" s="36" t="n">
        <f aca="false">ABS(G15-F15)/$F$5</f>
        <v>0.330064948330903</v>
      </c>
      <c r="J15" s="2" t="n">
        <f aca="false">RANK(I15,$I$6:$I$32)</f>
        <v>9</v>
      </c>
      <c r="K15" s="4" t="s">
        <v>1137</v>
      </c>
    </row>
    <row r="16" customFormat="false" ht="16.5" hidden="false" customHeight="true" outlineLevel="0" collapsed="false">
      <c r="A16" s="2" t="n">
        <v>11</v>
      </c>
      <c r="B16" s="108" t="s">
        <v>1138</v>
      </c>
      <c r="C16" s="106" t="s">
        <v>1139</v>
      </c>
      <c r="D16" s="2" t="s">
        <v>1140</v>
      </c>
      <c r="E16" s="2" t="s">
        <v>1141</v>
      </c>
      <c r="F16" s="107" t="n">
        <v>0.395331314626801</v>
      </c>
      <c r="G16" s="107" t="n">
        <v>0.54798591765401</v>
      </c>
      <c r="H16" s="2" t="s">
        <v>132</v>
      </c>
      <c r="I16" s="36" t="n">
        <f aca="false">ABS(G16-F16)/$F$5</f>
        <v>0.33185559184186</v>
      </c>
      <c r="J16" s="2" t="n">
        <f aca="false">RANK(I16,$I$6:$I$32)</f>
        <v>8</v>
      </c>
      <c r="K16" s="4" t="s">
        <v>1142</v>
      </c>
    </row>
    <row r="17" customFormat="false" ht="16.5" hidden="false" customHeight="true" outlineLevel="0" collapsed="false">
      <c r="A17" s="2" t="n">
        <v>12</v>
      </c>
      <c r="B17" s="108" t="s">
        <v>1143</v>
      </c>
      <c r="C17" s="106" t="s">
        <v>292</v>
      </c>
      <c r="D17" s="2" t="n">
        <v>7.5</v>
      </c>
      <c r="E17" s="2" t="n">
        <v>8.8</v>
      </c>
      <c r="F17" s="107" t="n">
        <v>0.515203478843136</v>
      </c>
      <c r="G17" s="107" t="n">
        <v>0.439093874014036</v>
      </c>
      <c r="H17" s="37" t="n">
        <f aca="false">IF(OR(D17&lt;=0,E17&lt;=0,F17&lt;=0,G17&lt;=0),"—",LN(G17/F17)/LN(E17/D17))</f>
        <v>-1.00000000000001</v>
      </c>
      <c r="I17" s="36" t="n">
        <f aca="false">ABS(G17-F17)/$F$5</f>
        <v>0.165454545454546</v>
      </c>
      <c r="J17" s="2" t="n">
        <f aca="false">RANK(I17,$I$6:$I$32)</f>
        <v>15</v>
      </c>
      <c r="K17" s="4" t="s">
        <v>1144</v>
      </c>
    </row>
    <row r="18" customFormat="false" ht="16.5" hidden="false" customHeight="true" outlineLevel="0" collapsed="false">
      <c r="A18" s="2" t="n">
        <v>13</v>
      </c>
      <c r="B18" s="108" t="s">
        <v>1145</v>
      </c>
      <c r="C18" s="106" t="s">
        <v>395</v>
      </c>
      <c r="D18" s="2" t="n">
        <v>0.3</v>
      </c>
      <c r="E18" s="2" t="n">
        <v>0.75</v>
      </c>
      <c r="F18" s="107" t="n">
        <v>0.503364689337418</v>
      </c>
      <c r="G18" s="107" t="n">
        <v>0.425150251229192</v>
      </c>
      <c r="H18" s="37" t="n">
        <f aca="false">IF(OR(D18&lt;=0,E18&lt;=0,F18&lt;=0,G18&lt;=0),"—",LN(G18/F18)/LN(E18/D18))</f>
        <v>-0.184299907521027</v>
      </c>
      <c r="I18" s="36" t="n">
        <f aca="false">ABS(G18-F18)/$F$5</f>
        <v>0.170030239077413</v>
      </c>
      <c r="J18" s="2" t="n">
        <f aca="false">RANK(I18,$I$6:$I$32)</f>
        <v>14</v>
      </c>
      <c r="K18" s="4"/>
    </row>
    <row r="19" customFormat="false" ht="16.5" hidden="false" customHeight="true" outlineLevel="0" collapsed="false">
      <c r="A19" s="2" t="n">
        <v>14</v>
      </c>
      <c r="B19" s="106" t="s">
        <v>1146</v>
      </c>
      <c r="C19" s="106" t="s">
        <v>336</v>
      </c>
      <c r="D19" s="2" t="n">
        <v>1.672</v>
      </c>
      <c r="E19" s="2" t="n">
        <v>2.338</v>
      </c>
      <c r="F19" s="107" t="n">
        <v>0.532160456087973</v>
      </c>
      <c r="G19" s="107" t="n">
        <v>0.441977539102072</v>
      </c>
      <c r="H19" s="37" t="n">
        <f aca="false">IF(OR(D19&lt;=0,E19&lt;=0,F19&lt;=0,G19&lt;=0),"—",LN(G19/F19)/LN(E19/D19))</f>
        <v>-0.553831320055103</v>
      </c>
      <c r="I19" s="36" t="n">
        <f aca="false">ABS(G19-F19)/$F$5</f>
        <v>0.196048495734172</v>
      </c>
      <c r="J19" s="2" t="n">
        <f aca="false">RANK(I19,$I$6:$I$32)</f>
        <v>12</v>
      </c>
      <c r="K19" s="4"/>
    </row>
    <row r="20" customFormat="false" ht="16.5" hidden="false" customHeight="true" outlineLevel="0" collapsed="false">
      <c r="A20" s="2" t="n">
        <v>15</v>
      </c>
      <c r="B20" s="108" t="s">
        <v>1147</v>
      </c>
      <c r="C20" s="106" t="s">
        <v>389</v>
      </c>
      <c r="D20" s="2" t="n">
        <v>0.4</v>
      </c>
      <c r="E20" s="2" t="n">
        <v>0.8</v>
      </c>
      <c r="F20" s="107" t="n">
        <v>0.431933036115153</v>
      </c>
      <c r="G20" s="107" t="n">
        <v>0.501313775158878</v>
      </c>
      <c r="H20" s="37" t="n">
        <f aca="false">IF(OR(D20&lt;=0,E20&lt;=0,F20&lt;=0,G20&lt;=0),"—",LN(G20/F20)/LN(E20/D20))</f>
        <v>0.214906212859437</v>
      </c>
      <c r="I20" s="36" t="n">
        <f aca="false">ABS(G20-F20)/$F$5</f>
        <v>0.150826675129325</v>
      </c>
      <c r="J20" s="2" t="n">
        <f aca="false">RANK(I20,$I$6:$I$32)</f>
        <v>17</v>
      </c>
      <c r="K20" s="4"/>
    </row>
    <row r="21" customFormat="false" ht="15" hidden="false" customHeight="true" outlineLevel="0" collapsed="false">
      <c r="A21" s="2" t="n">
        <v>16</v>
      </c>
      <c r="B21" s="106" t="s">
        <v>1148</v>
      </c>
      <c r="C21" s="106" t="s">
        <v>753</v>
      </c>
      <c r="D21" s="2" t="n">
        <v>0.08</v>
      </c>
      <c r="E21" s="2" t="n">
        <v>0.13</v>
      </c>
      <c r="F21" s="107" t="n">
        <v>0.433481796884031</v>
      </c>
      <c r="G21" s="107" t="n">
        <v>0.501466039819862</v>
      </c>
      <c r="H21" s="37" t="n">
        <f aca="false">IF(OR(D21&lt;=0,E21&lt;=0,F21&lt;=0,G21&lt;=0),"—",LN(G21/F21)/LN(E21/D21))</f>
        <v>0.300069491913764</v>
      </c>
      <c r="I21" s="36" t="n">
        <f aca="false">ABS(G21-F21)/$F$5</f>
        <v>0.147790834524458</v>
      </c>
      <c r="J21" s="2" t="n">
        <f aca="false">RANK(I21,$I$6:$I$32)</f>
        <v>18</v>
      </c>
      <c r="K21" s="4"/>
    </row>
    <row r="22" customFormat="false" ht="15" hidden="false" customHeight="true" outlineLevel="0" collapsed="false">
      <c r="A22" s="2" t="n">
        <v>17</v>
      </c>
      <c r="B22" s="106" t="s">
        <v>1149</v>
      </c>
      <c r="C22" s="106" t="s">
        <v>435</v>
      </c>
      <c r="D22" s="2" t="n">
        <v>0.15</v>
      </c>
      <c r="E22" s="2" t="n">
        <v>0.45</v>
      </c>
      <c r="F22" s="107" t="n">
        <v>0.397000836821871</v>
      </c>
      <c r="G22" s="107" t="n">
        <v>0.475460995042285</v>
      </c>
      <c r="H22" s="37" t="n">
        <f aca="false">IF(OR(D22&lt;=0,E22&lt;=0,F22&lt;=0,G22&lt;=0),"—",LN(G22/F22)/LN(E22/D22))</f>
        <v>0.164158422929263</v>
      </c>
      <c r="I22" s="36" t="n">
        <f aca="false">ABS(G22-F22)/$F$5</f>
        <v>0.170564409627403</v>
      </c>
      <c r="J22" s="2" t="n">
        <f aca="false">RANK(I22,$I$6:$I$32)</f>
        <v>13</v>
      </c>
      <c r="K22" s="4"/>
    </row>
    <row r="23" customFormat="false" ht="16.5" hidden="false" customHeight="true" outlineLevel="0" collapsed="false">
      <c r="A23" s="2" t="n">
        <v>18</v>
      </c>
      <c r="B23" s="108" t="s">
        <v>1150</v>
      </c>
      <c r="C23" s="106" t="s">
        <v>385</v>
      </c>
      <c r="D23" s="2" t="n">
        <v>2000</v>
      </c>
      <c r="E23" s="2" t="n">
        <v>11000</v>
      </c>
      <c r="F23" s="107" t="n">
        <v>0.435637832860207</v>
      </c>
      <c r="G23" s="107" t="n">
        <v>0.50137389043787</v>
      </c>
      <c r="H23" s="37" t="n">
        <f aca="false">IF(OR(D23&lt;=0,E23&lt;=0,F23&lt;=0,G23&lt;=0),"—",LN(G23/F23)/LN(E23/D23))</f>
        <v>0.0824408439614697</v>
      </c>
      <c r="I23" s="36" t="n">
        <f aca="false">ABS(G23-F23)/$F$5</f>
        <v>0.142903508051425</v>
      </c>
      <c r="J23" s="2" t="n">
        <f aca="false">RANK(I23,$I$6:$I$32)</f>
        <v>19</v>
      </c>
      <c r="K23" s="4"/>
    </row>
    <row r="24" customFormat="false" ht="16.5" hidden="false" customHeight="true" outlineLevel="0" collapsed="false">
      <c r="A24" s="2" t="n">
        <v>19</v>
      </c>
      <c r="B24" s="106" t="s">
        <v>1151</v>
      </c>
      <c r="C24" s="106" t="s">
        <v>438</v>
      </c>
      <c r="D24" s="2" t="n">
        <v>0.8</v>
      </c>
      <c r="E24" s="2" t="n">
        <v>1.6</v>
      </c>
      <c r="F24" s="107" t="n">
        <v>0.492203514473823</v>
      </c>
      <c r="G24" s="107" t="n">
        <v>0.435431254797352</v>
      </c>
      <c r="H24" s="37" t="n">
        <f aca="false">IF(OR(D24&lt;=0,E24&lt;=0,F24&lt;=0,G24&lt;=0),"—",LN(G24/F24)/LN(E24/D24))</f>
        <v>-0.176809992712922</v>
      </c>
      <c r="I24" s="36" t="n">
        <f aca="false">ABS(G24-F24)/$F$5</f>
        <v>0.123417122455043</v>
      </c>
      <c r="J24" s="2" t="n">
        <f aca="false">RANK(I24,$I$6:$I$32)</f>
        <v>20</v>
      </c>
      <c r="K24" s="4"/>
    </row>
    <row r="25" customFormat="false" ht="26.25" hidden="false" customHeight="true" outlineLevel="0" collapsed="false">
      <c r="A25" s="2" t="n">
        <v>20</v>
      </c>
      <c r="B25" s="108" t="s">
        <v>1152</v>
      </c>
      <c r="C25" s="106" t="s">
        <v>324</v>
      </c>
      <c r="D25" s="2" t="n">
        <v>0.4</v>
      </c>
      <c r="E25" s="2" t="n">
        <v>0.8</v>
      </c>
      <c r="F25" s="107" t="n">
        <v>0.508721826770362</v>
      </c>
      <c r="G25" s="107" t="n">
        <v>0.460003106109943</v>
      </c>
      <c r="H25" s="37" t="n">
        <f aca="false">IF(OR(D25&lt;=0,E25&lt;=0,F25&lt;=0,G25&lt;=0),"—",LN(G25/F25)/LN(E25/D25))</f>
        <v>-0.145233391721053</v>
      </c>
      <c r="I25" s="36" t="n">
        <f aca="false">ABS(G25-F25)/$F$5</f>
        <v>0.105909547160264</v>
      </c>
      <c r="J25" s="2" t="n">
        <f aca="false">RANK(I25,$I$6:$I$32)</f>
        <v>21</v>
      </c>
      <c r="K25" s="4" t="s">
        <v>1153</v>
      </c>
    </row>
    <row r="26" customFormat="false" ht="16.5" hidden="false" customHeight="true" outlineLevel="0" collapsed="false">
      <c r="A26" s="2" t="n">
        <v>21</v>
      </c>
      <c r="B26" s="108" t="s">
        <v>1154</v>
      </c>
      <c r="C26" s="106" t="s">
        <v>1155</v>
      </c>
      <c r="D26" s="2" t="s">
        <v>1156</v>
      </c>
      <c r="E26" s="2" t="s">
        <v>1157</v>
      </c>
      <c r="F26" s="107" t="n">
        <v>0.468714334948541</v>
      </c>
      <c r="G26" s="107" t="n">
        <v>0.454080854409836</v>
      </c>
      <c r="H26" s="2" t="s">
        <v>132</v>
      </c>
      <c r="I26" s="36" t="n">
        <f aca="false">ABS(G26-F26)/$F$5</f>
        <v>0.031811699408846</v>
      </c>
      <c r="J26" s="2" t="n">
        <f aca="false">RANK(I26,$I$6:$I$32)</f>
        <v>26</v>
      </c>
      <c r="K26" s="4" t="s">
        <v>1158</v>
      </c>
    </row>
    <row r="27" customFormat="false" ht="16.5" hidden="false" customHeight="true" outlineLevel="0" collapsed="false">
      <c r="A27" s="2" t="n">
        <v>22</v>
      </c>
      <c r="B27" s="106" t="s">
        <v>1159</v>
      </c>
      <c r="C27" s="106" t="s">
        <v>446</v>
      </c>
      <c r="D27" s="2" t="n">
        <v>1</v>
      </c>
      <c r="E27" s="2" t="n">
        <v>1.5</v>
      </c>
      <c r="F27" s="107" t="n">
        <v>0.440605146073898</v>
      </c>
      <c r="G27" s="107" t="n">
        <v>0.460003106109943</v>
      </c>
      <c r="H27" s="37" t="n">
        <f aca="false">IF(OR(D27&lt;=0,E27&lt;=0,F27&lt;=0,G27&lt;=0),"—",LN(G27/F27)/LN(E27/D27))</f>
        <v>0.106258533757968</v>
      </c>
      <c r="I27" s="36" t="n">
        <f aca="false">ABS(G27-F27)/$F$5</f>
        <v>0.0421691935954206</v>
      </c>
      <c r="J27" s="2" t="n">
        <f aca="false">RANK(I27,$I$6:$I$32)</f>
        <v>24</v>
      </c>
      <c r="K27" s="4"/>
    </row>
    <row r="28" customFormat="false" ht="16.5" hidden="false" customHeight="true" outlineLevel="0" collapsed="false">
      <c r="A28" s="2" t="n">
        <v>23</v>
      </c>
      <c r="B28" s="106" t="s">
        <v>1160</v>
      </c>
      <c r="C28" s="106" t="s">
        <v>332</v>
      </c>
      <c r="D28" s="2" t="n">
        <v>0.0669</v>
      </c>
      <c r="E28" s="2" t="n">
        <v>0.3026</v>
      </c>
      <c r="F28" s="107" t="n">
        <v>0.464000853577204</v>
      </c>
      <c r="G28" s="107" t="n">
        <v>0.439408422287567</v>
      </c>
      <c r="H28" s="37" t="n">
        <f aca="false">IF(OR(D28&lt;=0,E28&lt;=0,F28&lt;=0,G28&lt;=0),"—",LN(G28/F28)/LN(E28/D28))</f>
        <v>-0.0360830912172246</v>
      </c>
      <c r="I28" s="36" t="n">
        <f aca="false">ABS(G28-F28)/$F$5</f>
        <v>0.0534614461576251</v>
      </c>
      <c r="J28" s="2" t="n">
        <f aca="false">RANK(I28,$I$6:$I$32)</f>
        <v>22</v>
      </c>
      <c r="K28" s="4"/>
    </row>
    <row r="29" customFormat="false" ht="16.5" hidden="false" customHeight="true" outlineLevel="0" collapsed="false">
      <c r="A29" s="2" t="n">
        <v>24</v>
      </c>
      <c r="B29" s="106" t="s">
        <v>1161</v>
      </c>
      <c r="C29" s="106" t="s">
        <v>533</v>
      </c>
      <c r="D29" s="2" t="n">
        <v>0.9</v>
      </c>
      <c r="E29" s="2" t="n">
        <v>1.3</v>
      </c>
      <c r="F29" s="107" t="n">
        <v>0.42353620995437</v>
      </c>
      <c r="G29" s="107" t="n">
        <v>0.496470002265516</v>
      </c>
      <c r="H29" s="37" t="n">
        <f aca="false">IF(OR(D29&lt;=0,E29&lt;=0,F29&lt;=0,G29&lt;=0),"—",LN(G29/F29)/LN(E29/D29))</f>
        <v>0.432073278030929</v>
      </c>
      <c r="I29" s="36" t="n">
        <f aca="false">ABS(G29-F29)/$F$5</f>
        <v>0.158550651816065</v>
      </c>
      <c r="J29" s="2" t="n">
        <f aca="false">RANK(I29,$I$6:$I$32)</f>
        <v>16</v>
      </c>
      <c r="K29" s="4"/>
    </row>
    <row r="30" customFormat="false" ht="16.5" hidden="false" customHeight="true" outlineLevel="0" collapsed="false">
      <c r="A30" s="2" t="n">
        <v>25</v>
      </c>
      <c r="B30" s="106" t="s">
        <v>1162</v>
      </c>
      <c r="C30" s="106" t="s">
        <v>537</v>
      </c>
      <c r="D30" s="2" t="n">
        <v>2.8</v>
      </c>
      <c r="E30" s="2" t="n">
        <v>3.4</v>
      </c>
      <c r="F30" s="107" t="n">
        <v>0.448677387525862</v>
      </c>
      <c r="G30" s="107" t="n">
        <v>0.471328824694023</v>
      </c>
      <c r="H30" s="37" t="n">
        <f aca="false">IF(OR(D30&lt;=0,E30&lt;=0,F30&lt;=0,G30&lt;=0),"—",LN(G30/F30)/LN(E30/D30))</f>
        <v>0.253671646429402</v>
      </c>
      <c r="I30" s="36" t="n">
        <f aca="false">ABS(G30-F30)/$F$5</f>
        <v>0.0492419222116017</v>
      </c>
      <c r="J30" s="2" t="n">
        <f aca="false">RANK(I30,$I$6:$I$32)</f>
        <v>23</v>
      </c>
      <c r="K30" s="4"/>
    </row>
    <row r="31" customFormat="false" ht="16.5" hidden="false" customHeight="true" outlineLevel="0" collapsed="false">
      <c r="A31" s="2" t="n">
        <v>26</v>
      </c>
      <c r="B31" s="106" t="s">
        <v>1163</v>
      </c>
      <c r="C31" s="106" t="s">
        <v>376</v>
      </c>
      <c r="D31" s="2" t="n">
        <v>0.6</v>
      </c>
      <c r="E31" s="2" t="n">
        <v>0.9</v>
      </c>
      <c r="F31" s="107" t="n">
        <v>0.469002126892075</v>
      </c>
      <c r="G31" s="107" t="n">
        <v>0.452984848054312</v>
      </c>
      <c r="H31" s="37" t="n">
        <f aca="false">IF(OR(D31&lt;=0,E31&lt;=0,F31&lt;=0,G31&lt;=0),"—",LN(G31/F31)/LN(E31/D31))</f>
        <v>-0.0857006577688933</v>
      </c>
      <c r="I31" s="36" t="n">
        <f aca="false">ABS(G31-F31)/$F$5</f>
        <v>0.0348199362678538</v>
      </c>
      <c r="J31" s="2" t="n">
        <f aca="false">RANK(I31,$I$6:$I$32)</f>
        <v>25</v>
      </c>
      <c r="K31" s="4"/>
    </row>
    <row r="32" customFormat="false" ht="16.5" hidden="false" customHeight="true" outlineLevel="0" collapsed="false">
      <c r="A32" s="2" t="n">
        <v>27</v>
      </c>
      <c r="B32" s="106" t="s">
        <v>1164</v>
      </c>
      <c r="C32" s="106" t="s">
        <v>1165</v>
      </c>
      <c r="D32" s="2" t="n">
        <v>1.59</v>
      </c>
      <c r="E32" s="2" t="n">
        <v>2.64</v>
      </c>
      <c r="F32" s="107" t="n">
        <v>0.460003106109943</v>
      </c>
      <c r="G32" s="107" t="n">
        <v>0.460003106109943</v>
      </c>
      <c r="H32" s="37" t="n">
        <f aca="false">IF(OR(D32&lt;=0,E32&lt;=0,F32&lt;=0,G32&lt;=0),"—",LN(G32/F32)/LN(E32/D32))</f>
        <v>0</v>
      </c>
      <c r="I32" s="36" t="n">
        <f aca="false">ABS(G32-F32)/$F$5</f>
        <v>0</v>
      </c>
      <c r="J32" s="2" t="n">
        <f aca="false">RANK(I32,$I$6:$I$32)</f>
        <v>27</v>
      </c>
      <c r="K32" s="4" t="s">
        <v>1166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0"/>
    <col collapsed="false" customWidth="true" hidden="false" outlineLevel="0" max="6" min="6" style="1" width="40"/>
    <col collapsed="false" customWidth="true" hidden="false" outlineLevel="0" max="7" min="7" style="1" width="46"/>
    <col collapsed="false" customWidth="true" hidden="false" outlineLevel="0" max="9" min="8" style="1" width="40"/>
    <col collapsed="false" customWidth="true" hidden="false" outlineLevel="0" max="10" min="10" style="1" width="30"/>
    <col collapsed="false" customWidth="true" hidden="false" outlineLevel="0" max="11" min="11" style="1" width="14"/>
  </cols>
  <sheetData>
    <row r="1" customFormat="false" ht="15.75" hidden="false" customHeight="true" outlineLevel="0" collapsed="false">
      <c r="A1" s="100" t="s">
        <v>1167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4" t="s">
        <v>1168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16" t="s">
        <v>1169</v>
      </c>
      <c r="B4" s="16" t="s">
        <v>1170</v>
      </c>
      <c r="C4" s="16" t="s">
        <v>1171</v>
      </c>
      <c r="D4" s="16" t="s">
        <v>86</v>
      </c>
      <c r="E4" s="16" t="s">
        <v>87</v>
      </c>
      <c r="F4" s="16" t="s">
        <v>1172</v>
      </c>
      <c r="G4" s="16" t="s">
        <v>1173</v>
      </c>
      <c r="H4" s="16" t="s">
        <v>1174</v>
      </c>
      <c r="I4" s="16" t="s">
        <v>1175</v>
      </c>
      <c r="J4" s="16" t="s">
        <v>1176</v>
      </c>
      <c r="K4" s="16" t="s">
        <v>1177</v>
      </c>
    </row>
    <row r="5" customFormat="false" ht="43.5" hidden="false" customHeight="true" outlineLevel="0" collapsed="false">
      <c r="A5" s="83" t="n">
        <v>1</v>
      </c>
      <c r="B5" s="85" t="s">
        <v>1178</v>
      </c>
      <c r="C5" s="83" t="s">
        <v>1179</v>
      </c>
      <c r="D5" s="109" t="n">
        <f aca="false">6_敏感度!I8</f>
        <v>0.705128205128204</v>
      </c>
      <c r="E5" s="110" t="n">
        <f aca="false">6_敏感度!H8</f>
        <v>-0.999999999999999</v>
      </c>
      <c r="F5" s="85" t="s">
        <v>1180</v>
      </c>
      <c r="G5" s="83" t="s">
        <v>1181</v>
      </c>
      <c r="H5" s="83" t="s">
        <v>1182</v>
      </c>
      <c r="I5" s="83" t="s">
        <v>1183</v>
      </c>
      <c r="J5" s="83" t="s">
        <v>1184</v>
      </c>
      <c r="K5" s="83" t="s">
        <v>329</v>
      </c>
    </row>
    <row r="6" customFormat="false" ht="43.5" hidden="false" customHeight="true" outlineLevel="0" collapsed="false">
      <c r="A6" s="83" t="n">
        <v>2</v>
      </c>
      <c r="B6" s="85" t="s">
        <v>1185</v>
      </c>
      <c r="C6" s="83" t="s">
        <v>1186</v>
      </c>
      <c r="D6" s="109" t="n">
        <f aca="false">6_敏感度!I10</f>
        <v>0.517647058823527</v>
      </c>
      <c r="E6" s="110" t="n">
        <f aca="false">6_敏感度!H10</f>
        <v>0.999999999999996</v>
      </c>
      <c r="F6" s="83" t="s">
        <v>1187</v>
      </c>
      <c r="G6" s="83" t="s">
        <v>1188</v>
      </c>
      <c r="H6" s="83" t="s">
        <v>1189</v>
      </c>
      <c r="I6" s="85" t="s">
        <v>1190</v>
      </c>
      <c r="J6" s="83" t="s">
        <v>1191</v>
      </c>
      <c r="K6" s="83" t="s">
        <v>1192</v>
      </c>
    </row>
    <row r="7" customFormat="false" ht="29.25" hidden="false" customHeight="true" outlineLevel="0" collapsed="false">
      <c r="A7" s="83" t="n">
        <v>3</v>
      </c>
      <c r="B7" s="83" t="s">
        <v>1193</v>
      </c>
      <c r="C7" s="83" t="s">
        <v>1194</v>
      </c>
      <c r="D7" s="109" t="n">
        <f aca="false">6_敏感度!I11</f>
        <v>0.443456920317768</v>
      </c>
      <c r="E7" s="110" t="n">
        <f aca="false">6_敏感度!H11</f>
        <v>0.343851240661688</v>
      </c>
      <c r="F7" s="85" t="s">
        <v>1195</v>
      </c>
      <c r="G7" s="85" t="s">
        <v>1196</v>
      </c>
      <c r="H7" s="83" t="s">
        <v>1197</v>
      </c>
      <c r="I7" s="83" t="s">
        <v>1198</v>
      </c>
      <c r="J7" s="83" t="s">
        <v>1199</v>
      </c>
      <c r="K7" s="83" t="s">
        <v>1200</v>
      </c>
    </row>
    <row r="8" customFormat="false" ht="43.5" hidden="false" customHeight="true" outlineLevel="0" collapsed="false">
      <c r="A8" s="5" t="n">
        <v>4</v>
      </c>
      <c r="B8" s="5" t="s">
        <v>1201</v>
      </c>
      <c r="C8" s="5" t="s">
        <v>1202</v>
      </c>
      <c r="D8" s="111" t="n">
        <f aca="false">6_敏感度!I6</f>
        <v>0.22847712696715</v>
      </c>
      <c r="E8" s="112" t="n">
        <f aca="false">6_敏感度!H6</f>
        <v>-0.393267941184692</v>
      </c>
      <c r="F8" s="8" t="s">
        <v>1203</v>
      </c>
      <c r="G8" s="5" t="s">
        <v>1204</v>
      </c>
      <c r="H8" s="5" t="s">
        <v>1205</v>
      </c>
      <c r="I8" s="5" t="s">
        <v>1206</v>
      </c>
      <c r="J8" s="5" t="s">
        <v>1207</v>
      </c>
      <c r="K8" s="5" t="s">
        <v>1208</v>
      </c>
    </row>
    <row r="9" customFormat="false" ht="29.25" hidden="false" customHeight="true" outlineLevel="0" collapsed="false">
      <c r="A9" s="5" t="n">
        <v>5</v>
      </c>
      <c r="B9" s="5" t="s">
        <v>1209</v>
      </c>
      <c r="C9" s="5" t="s">
        <v>1210</v>
      </c>
      <c r="D9" s="111" t="n">
        <f aca="false">6_敏感度!I19</f>
        <v>0.196048495734172</v>
      </c>
      <c r="E9" s="112" t="n">
        <f aca="false">6_敏感度!H19</f>
        <v>-0.553831320055103</v>
      </c>
      <c r="F9" s="5" t="s">
        <v>1211</v>
      </c>
      <c r="G9" s="5" t="s">
        <v>1212</v>
      </c>
      <c r="H9" s="8" t="s">
        <v>1213</v>
      </c>
      <c r="I9" s="8" t="s">
        <v>1214</v>
      </c>
      <c r="J9" s="5" t="s">
        <v>1215</v>
      </c>
      <c r="K9" s="5" t="s">
        <v>329</v>
      </c>
    </row>
    <row r="10" customFormat="false" ht="43.5" hidden="false" customHeight="true" outlineLevel="0" collapsed="false">
      <c r="A10" s="5" t="n">
        <v>6</v>
      </c>
      <c r="B10" s="8" t="s">
        <v>1216</v>
      </c>
      <c r="C10" s="5" t="s">
        <v>1217</v>
      </c>
      <c r="D10" s="111" t="n">
        <f aca="false">6_敏感度!I17</f>
        <v>0.165454545454546</v>
      </c>
      <c r="E10" s="112" t="n">
        <f aca="false">6_敏感度!H17</f>
        <v>-1.00000000000001</v>
      </c>
      <c r="F10" s="8" t="s">
        <v>1218</v>
      </c>
      <c r="G10" s="5" t="s">
        <v>1219</v>
      </c>
      <c r="H10" s="5" t="s">
        <v>1220</v>
      </c>
      <c r="I10" s="8" t="s">
        <v>1221</v>
      </c>
      <c r="J10" s="5" t="s">
        <v>1222</v>
      </c>
      <c r="K10" s="5" t="s">
        <v>1192</v>
      </c>
    </row>
    <row r="11" customFormat="false" ht="43.5" hidden="false" customHeight="true" outlineLevel="0" collapsed="false">
      <c r="A11" s="5" t="n">
        <v>7</v>
      </c>
      <c r="B11" s="5" t="s">
        <v>1223</v>
      </c>
      <c r="C11" s="5" t="s">
        <v>1224</v>
      </c>
      <c r="D11" s="111" t="n">
        <f aca="false">6_敏感度!I24</f>
        <v>0.123417122455043</v>
      </c>
      <c r="E11" s="112" t="n">
        <f aca="false">6_敏感度!H24</f>
        <v>-0.176809992712922</v>
      </c>
      <c r="F11" s="5" t="s">
        <v>1225</v>
      </c>
      <c r="G11" s="8" t="s">
        <v>1226</v>
      </c>
      <c r="H11" s="5" t="s">
        <v>1227</v>
      </c>
      <c r="I11" s="5" t="s">
        <v>1228</v>
      </c>
      <c r="J11" s="5" t="s">
        <v>1229</v>
      </c>
      <c r="K11" s="5" t="s">
        <v>329</v>
      </c>
    </row>
    <row r="12" customFormat="false" ht="43.5" hidden="false" customHeight="true" outlineLevel="0" collapsed="false">
      <c r="A12" s="5" t="n">
        <v>8</v>
      </c>
      <c r="B12" s="8" t="s">
        <v>1230</v>
      </c>
      <c r="C12" s="5" t="s">
        <v>1231</v>
      </c>
      <c r="D12" s="111" t="n">
        <f aca="false">6_敏感度!I23</f>
        <v>0.142903508051425</v>
      </c>
      <c r="E12" s="112" t="n">
        <f aca="false">6_敏感度!H23</f>
        <v>0.0824408439614697</v>
      </c>
      <c r="F12" s="5" t="s">
        <v>1232</v>
      </c>
      <c r="G12" s="5" t="s">
        <v>1233</v>
      </c>
      <c r="H12" s="5" t="s">
        <v>1234</v>
      </c>
      <c r="I12" s="5" t="s">
        <v>1235</v>
      </c>
      <c r="J12" s="5" t="s">
        <v>1236</v>
      </c>
      <c r="K12" s="5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0"/>
    <col collapsed="false" customWidth="true" hidden="false" outlineLevel="0" max="6" min="6" style="1" width="40"/>
    <col collapsed="false" customWidth="true" hidden="false" outlineLevel="0" max="7" min="7" style="1" width="46"/>
    <col collapsed="false" customWidth="true" hidden="false" outlineLevel="0" max="8" min="8" style="1" width="44"/>
    <col collapsed="false" customWidth="true" hidden="false" outlineLevel="0" max="9" min="9" style="1" width="30"/>
    <col collapsed="false" customWidth="true" hidden="false" outlineLevel="0" max="10" min="10" style="1" width="14"/>
  </cols>
  <sheetData>
    <row r="1" customFormat="false" ht="15.75" hidden="false" customHeight="true" outlineLevel="0" collapsed="false">
      <c r="A1" s="100" t="s">
        <v>1237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12" t="s">
        <v>1238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16" t="s">
        <v>1169</v>
      </c>
      <c r="B4" s="16" t="s">
        <v>1170</v>
      </c>
      <c r="C4" s="16" t="s">
        <v>1171</v>
      </c>
      <c r="D4" s="16" t="s">
        <v>86</v>
      </c>
      <c r="E4" s="16" t="s">
        <v>87</v>
      </c>
      <c r="F4" s="16" t="s">
        <v>1172</v>
      </c>
      <c r="G4" s="16" t="s">
        <v>1239</v>
      </c>
      <c r="H4" s="16" t="s">
        <v>1240</v>
      </c>
      <c r="I4" s="16" t="s">
        <v>1176</v>
      </c>
      <c r="J4" s="16" t="s">
        <v>1177</v>
      </c>
    </row>
    <row r="5" customFormat="false" ht="43.5" hidden="false" customHeight="true" outlineLevel="0" collapsed="false">
      <c r="A5" s="83" t="n">
        <v>1</v>
      </c>
      <c r="B5" s="85" t="s">
        <v>1241</v>
      </c>
      <c r="C5" s="83" t="s">
        <v>1242</v>
      </c>
      <c r="D5" s="109" t="n">
        <f aca="false">6_敏感度!I9</f>
        <v>0.62939363522649</v>
      </c>
      <c r="E5" s="110" t="n">
        <f aca="false">6_敏感度!H9</f>
        <v>-0.798214884270891</v>
      </c>
      <c r="F5" s="85" t="s">
        <v>1243</v>
      </c>
      <c r="G5" s="85" t="s">
        <v>1244</v>
      </c>
      <c r="H5" s="85" t="s">
        <v>1245</v>
      </c>
      <c r="I5" s="83" t="s">
        <v>1246</v>
      </c>
      <c r="J5" s="83" t="s">
        <v>1247</v>
      </c>
    </row>
    <row r="6" customFormat="false" ht="29.25" hidden="false" customHeight="true" outlineLevel="0" collapsed="false">
      <c r="A6" s="83" t="n">
        <v>2</v>
      </c>
      <c r="B6" s="83" t="s">
        <v>1248</v>
      </c>
      <c r="C6" s="85" t="s">
        <v>1249</v>
      </c>
      <c r="D6" s="109" t="n">
        <f aca="false">6_敏感度!I12</f>
        <v>0.444444444444443</v>
      </c>
      <c r="E6" s="110" t="n">
        <f aca="false">6_敏感度!H12</f>
        <v>0.292481250360578</v>
      </c>
      <c r="F6" s="83" t="s">
        <v>1250</v>
      </c>
      <c r="G6" s="83" t="s">
        <v>1251</v>
      </c>
      <c r="H6" s="83" t="s">
        <v>1252</v>
      </c>
      <c r="I6" s="83" t="s">
        <v>1253</v>
      </c>
      <c r="J6" s="83" t="s">
        <v>1247</v>
      </c>
    </row>
    <row r="7" customFormat="false" ht="29.25" hidden="false" customHeight="true" outlineLevel="0" collapsed="false">
      <c r="A7" s="83" t="n">
        <v>3</v>
      </c>
      <c r="B7" s="85" t="s">
        <v>319</v>
      </c>
      <c r="C7" s="83" t="s">
        <v>1254</v>
      </c>
      <c r="D7" s="109" t="n">
        <f aca="false">6_敏感度!I14</f>
        <v>0.364285714285715</v>
      </c>
      <c r="E7" s="110" t="n">
        <f aca="false">6_敏感度!H14</f>
        <v>-1</v>
      </c>
      <c r="F7" s="85" t="s">
        <v>1255</v>
      </c>
      <c r="G7" s="85" t="s">
        <v>1256</v>
      </c>
      <c r="H7" s="85" t="s">
        <v>1257</v>
      </c>
      <c r="I7" s="83" t="s">
        <v>1258</v>
      </c>
      <c r="J7" s="83" t="s">
        <v>1247</v>
      </c>
    </row>
    <row r="8" customFormat="false" ht="43.5" hidden="false" customHeight="true" outlineLevel="0" collapsed="false">
      <c r="A8" s="5" t="n">
        <v>4</v>
      </c>
      <c r="B8" s="5" t="s">
        <v>1259</v>
      </c>
      <c r="C8" s="5" t="s">
        <v>1260</v>
      </c>
      <c r="D8" s="111" t="n">
        <f aca="false">6_敏感度!I16</f>
        <v>0.33185559184186</v>
      </c>
      <c r="E8" s="112" t="str">
        <f aca="false">6_敏感度!H16</f>
        <v>—</v>
      </c>
      <c r="F8" s="8" t="s">
        <v>1261</v>
      </c>
      <c r="G8" s="5" t="s">
        <v>1262</v>
      </c>
      <c r="H8" s="8" t="s">
        <v>1263</v>
      </c>
      <c r="I8" s="5" t="s">
        <v>1264</v>
      </c>
      <c r="J8" s="5" t="s">
        <v>1265</v>
      </c>
    </row>
    <row r="9" customFormat="false" ht="57.75" hidden="false" customHeight="true" outlineLevel="0" collapsed="false">
      <c r="A9" s="5" t="n">
        <v>5</v>
      </c>
      <c r="B9" s="8" t="s">
        <v>1266</v>
      </c>
      <c r="C9" s="5" t="s">
        <v>1267</v>
      </c>
      <c r="D9" s="111" t="n">
        <f aca="false">6_敏感度!I29</f>
        <v>0.158550651816065</v>
      </c>
      <c r="E9" s="112" t="n">
        <f aca="false">6_敏感度!H29</f>
        <v>0.432073278030929</v>
      </c>
      <c r="F9" s="8" t="s">
        <v>1268</v>
      </c>
      <c r="G9" s="5" t="s">
        <v>1269</v>
      </c>
      <c r="H9" s="5" t="s">
        <v>1270</v>
      </c>
      <c r="I9" s="5" t="s">
        <v>1271</v>
      </c>
      <c r="J9" s="5" t="s">
        <v>1247</v>
      </c>
    </row>
    <row r="10" customFormat="false" ht="29.25" hidden="false" customHeight="true" outlineLevel="0" collapsed="false">
      <c r="A10" s="5" t="n">
        <v>6</v>
      </c>
      <c r="B10" s="5" t="s">
        <v>1272</v>
      </c>
      <c r="C10" s="5" t="s">
        <v>1273</v>
      </c>
      <c r="D10" s="111" t="n">
        <f aca="false">6_敏感度!I24</f>
        <v>0.123417122455043</v>
      </c>
      <c r="E10" s="112" t="n">
        <f aca="false">6_敏感度!H24</f>
        <v>-0.176809992712922</v>
      </c>
      <c r="F10" s="8" t="s">
        <v>1274</v>
      </c>
      <c r="G10" s="8" t="s">
        <v>1275</v>
      </c>
      <c r="H10" s="8" t="s">
        <v>1276</v>
      </c>
      <c r="I10" s="5" t="s">
        <v>1229</v>
      </c>
      <c r="J10" s="5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2026-10-18T01:47:51Z</dcterms:created>
  <dc:creator>openpyxl</dc:creator>
  <dc:description/>
  <dc:language>en-US</dc:language>
  <cp:lastModifiedBy/>
  <dcterms:modified xsi:type="dcterms:W3CDTF">2026-10-20T07:42:30Z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