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Interface" sheetId="17" state="visible" r:id="rId19"/>
    <sheet name="Energy" sheetId="18" state="visible" r:id="rId20"/>
    <sheet name="NonNV" sheetId="19" state="visible" r:id="rId21"/>
    <sheet name="Sensitivity" sheetId="20" state="visible" r:id="rId22"/>
    <sheet name="Checks" sheetId="21" state="visible" r:id="rId23"/>
    <sheet name="Sources" sheetId="22" state="visible" r:id="rId24"/>
    <sheet name="DB_Evidence" sheetId="23" state="visible" r:id="rId25"/>
  </sheets>
  <definedNames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FacilityGW" vbProcedure="false">Interface!$C$8:$Q$8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<sst xmlns="http://schemas.openxmlformats.org/spreadsheetml/2006/main" count="3440" uniqueCount="1611">
  <si>
    <r>
      <rPr>
        <b val="true"/>
        <sz val="13"/>
        <rFont val="Arial"/>
        <family val="0"/>
        <charset val="1"/>
      </rPr>
      <t xml:space="preserve">Tokenomics v5.7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</si>
  <si>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層規格來源。能力與理論營收於 </t>
    </r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加入。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</si>
  <si>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</si>
  <si>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）。不含營收（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</si>
  <si>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</si>
  <si>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20261001_Tokenomics_v5.7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</si>
  <si>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</si>
  <si>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</si>
  <si>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</si>
  <si>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</si>
  <si>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</si>
  <si>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</si>
  <si>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</si>
  <si>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</si>
  <si>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</si>
  <si>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</si>
  <si>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</si>
  <si>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</si>
  <si>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</si>
  <si>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</si>
  <si>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</si>
  <si>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</si>
  <si>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</si>
  <si>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</si>
  <si>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</si>
  <si>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</si>
  <si>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</si>
  <si>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</si>
  <si>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</si>
  <si>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</si>
  <si>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</si>
  <si>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</si>
  <si>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</si>
  <si>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＝網站顯示推導鏈與驗證表用，下游不得連結。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</si>
  <si>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</si>
  <si>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</si>
  <si>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</si>
  <si>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快取命中只計載入時間，未計儲存成本。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</si>
  <si>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</si>
  <si>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</si>
  <si>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</si>
  <si>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</si>
  <si>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</si>
  <si>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</si>
  <si>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</si>
  <si>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</si>
  <si>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</si>
  <si>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</si>
  <si>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</si>
  <si>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</si>
  <si>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</si>
  <si>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</si>
  <si>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</si>
  <si>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</si>
  <si>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</si>
  <si>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</si>
  <si>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</si>
  <si>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</si>
  <si>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</si>
  <si>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</si>
  <si>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</si>
  <si>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</si>
  <si>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</si>
  <si>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</si>
  <si>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</si>
  <si>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</si>
  <si>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</si>
  <si>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</si>
  <si>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</si>
  <si>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</si>
  <si>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</si>
  <si>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</si>
  <si>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</si>
  <si>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</si>
  <si>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</si>
  <si>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</si>
  <si>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</si>
  <si>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</si>
  <si>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</si>
  <si>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</si>
  <si>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</si>
  <si>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</si>
  <si>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</si>
  <si>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</si>
  <si>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</si>
  <si>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</si>
  <si>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</si>
  <si>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</si>
  <si>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</si>
  <si>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</si>
  <si>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</si>
  <si>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</si>
  <si>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</si>
  <si>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</si>
  <si>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</si>
  <si>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</si>
  <si>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</si>
  <si>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</si>
  <si>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</si>
  <si>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</si>
  <si>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</si>
  <si>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</si>
  <si>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</si>
  <si>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</si>
  <si>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</si>
  <si>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</si>
  <si>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</si>
  <si>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</si>
  <si>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</si>
  <si>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</si>
  <si>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</si>
  <si>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</si>
  <si>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</si>
  <si>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</si>
  <si>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</si>
  <si>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</si>
  <si>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</si>
  <si>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</si>
  <si>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</si>
  <si>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</si>
  <si>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</si>
  <si>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</si>
  <si>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</si>
  <si>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</si>
  <si>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</si>
  <si>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</si>
  <si>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</si>
  <si>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</si>
  <si>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</si>
  <si>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</si>
  <si>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</si>
  <si>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</si>
  <si>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</si>
  <si>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</si>
  <si>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</si>
  <si>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</si>
  <si>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</si>
  <si>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</si>
  <si>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</si>
  <si>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</si>
  <si>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</si>
  <si>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</si>
  <si>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</si>
  <si>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</si>
  <si>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</si>
  <si>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</si>
  <si>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</si>
  <si>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</si>
  <si>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</si>
  <si>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</si>
  <si>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</si>
  <si>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</si>
  <si>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</si>
  <si>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</si>
  <si>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</si>
  <si>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</si>
  <si>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</si>
  <si>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</si>
  <si>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</si>
  <si>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</si>
  <si>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</si>
  <si>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</si>
  <si>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</si>
  <si>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</si>
  <si>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</si>
  <si>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</si>
  <si>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</si>
  <si>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</si>
  <si>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</si>
  <si>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</si>
  <si>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</si>
  <si>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</si>
  <si>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</si>
  <si>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</si>
  <si>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</si>
  <si>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</si>
  <si>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</si>
  <si>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</si>
  <si>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</si>
  <si>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</si>
  <si>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</si>
  <si>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</si>
  <si>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</si>
  <si>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</si>
  <si>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</si>
  <si>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</si>
  <si>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</si>
  <si>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</si>
  <si>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</si>
  <si>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</si>
  <si>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</si>
  <si>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</si>
  <si>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</si>
  <si>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</si>
  <si>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</si>
  <si>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</si>
  <si>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</si>
  <si>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</si>
  <si>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</si>
  <si>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</si>
  <si>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</si>
  <si>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</si>
  <si>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</si>
  <si>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</si>
  <si>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</si>
  <si>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</si>
  <si>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</si>
  <si>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</si>
  <si>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</si>
  <si>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</si>
  <si>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</si>
  <si>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</si>
  <si>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</si>
  <si>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</si>
  <si>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</si>
  <si>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</si>
  <si>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</si>
  <si>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</si>
  <si>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</si>
  <si>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</si>
  <si>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</si>
  <si>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</si>
  <si>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</si>
  <si>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</si>
  <si>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</si>
  <si>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</si>
  <si>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</si>
  <si>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</si>
  <si>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</si>
  <si>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</si>
  <si>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</si>
  <si>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</si>
  <si>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</si>
  <si>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</si>
  <si>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</si>
  <si>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</si>
  <si>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</si>
  <si>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</si>
  <si>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</si>
  <si>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</si>
  <si>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</si>
  <si>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</si>
  <si>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</si>
  <si>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</si>
  <si>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</si>
  <si>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</si>
  <si>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</si>
  <si>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</si>
  <si>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</si>
  <si>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</si>
  <si>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</si>
  <si>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</si>
  <si>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</si>
  <si>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</si>
  <si>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</si>
  <si>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</si>
  <si>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</si>
  <si>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</si>
  <si>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</si>
  <si>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</si>
  <si>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</si>
  <si>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</si>
  <si>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</si>
  <si>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</si>
  <si>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</si>
  <si>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</si>
  <si>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</si>
  <si>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</si>
  <si>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</si>
  <si>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</si>
  <si>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</si>
  <si>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</si>
  <si>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</si>
  <si>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</si>
  <si>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</si>
  <si>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</si>
  <si>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</si>
  <si>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</si>
  <si>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</si>
  <si>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</si>
  <si>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</si>
  <si>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</si>
  <si>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</si>
  <si>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</si>
  <si>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</si>
  <si>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</si>
  <si>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</si>
  <si>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</si>
  <si>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</si>
  <si>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</si>
  <si>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</si>
  <si>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</si>
  <si>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</si>
  <si>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</si>
  <si>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</si>
  <si>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</si>
  <si>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</si>
  <si>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</si>
  <si>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</si>
  <si>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</si>
  <si>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</si>
  <si>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</si>
  <si>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</si>
  <si>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</si>
  <si>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</si>
  <si>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</si>
  <si>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</si>
  <si>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</si>
  <si>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</si>
  <si>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</si>
  <si>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</t>
    </r>
    <r>
      <rPr>
        <sz val="9"/>
        <color rgb="FF595959"/>
        <rFont val="Arial"/>
        <family val="0"/>
        <charset val="1"/>
      </rPr>
      <t xml:space="preserve">harness token </t>
    </r>
    <r>
      <rPr>
        <sz val="9"/>
        <color rgb="FF595959"/>
        <rFont val="Noto Sans CJK SC"/>
        <family val="2"/>
      </rPr>
      <t xml:space="preserve">倍數預設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接手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</si>
  <si>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</si>
  <si>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</si>
  <si>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</si>
  <si>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</si>
  <si>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</si>
  <si>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</si>
  <si>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</si>
  <si>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</si>
  <si>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</si>
  <si>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</si>
  <si>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</si>
  <si>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</si>
  <si>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</si>
  <si>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</si>
  <si>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</si>
  <si>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</si>
  <si>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</si>
  <si>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</si>
  <si>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</si>
  <si>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</si>
  <si>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）</t>
    </r>
  </si>
  <si>
    <t xml:space="preserve">導出（每任務）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</si>
  <si>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</si>
  <si>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</si>
  <si>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</si>
  <si>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</si>
  <si>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</si>
  <si>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</si>
  <si>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</si>
  <si>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</si>
  <si>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</si>
  <si>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</si>
  <si>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</si>
  <si>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</si>
  <si>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</si>
  <si>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</si>
  <si>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</si>
  <si>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</si>
  <si>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</si>
  <si>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</si>
  <si>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</si>
  <si>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</si>
  <si>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</si>
  <si>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</si>
  <si>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</si>
  <si>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</si>
  <si>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</si>
  <si>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</si>
  <si>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</si>
  <si>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</si>
  <si>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</si>
  <si>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</si>
  <si>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</si>
  <si>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</si>
  <si>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</si>
  <si>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</si>
  <si>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</si>
  <si>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</si>
  <si>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</si>
  <si>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</si>
  <si>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</si>
  <si>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</si>
  <si>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</si>
  <si>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</si>
  <si>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</si>
  <si>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</si>
  <si>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</si>
  <si>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</si>
  <si>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</si>
  <si>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</si>
  <si>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</si>
  <si>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</si>
  <si>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</si>
  <si>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</si>
  <si>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</si>
  <si>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</si>
  <si>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</si>
  <si>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</si>
  <si>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</si>
  <si>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</si>
  <si>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</si>
  <si>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</si>
  <si>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</si>
  <si>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</si>
  <si>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</si>
  <si>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</si>
  <si>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</si>
  <si>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</si>
  <si>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</si>
  <si>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</si>
  <si>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</si>
  <si>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</si>
  <si>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</si>
  <si>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</si>
  <si>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</si>
  <si>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</si>
  <si>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</si>
  <si>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</si>
  <si>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</si>
  <si>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</si>
  <si>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</si>
  <si>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</si>
  <si>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</si>
  <si>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</si>
  <si>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</si>
  <si>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</si>
  <si>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</si>
  <si>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</si>
  <si>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</si>
  <si>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</si>
  <si>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</si>
  <si>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</si>
  <si>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</si>
  <si>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</si>
  <si>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</si>
  <si>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</si>
  <si>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</si>
  <si>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</si>
  <si>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</si>
  <si>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</si>
  <si>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</si>
  <si>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</si>
  <si>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</si>
  <si>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</si>
  <si>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</si>
  <si>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</si>
  <si>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</si>
  <si>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</si>
  <si>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</si>
  <si>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</si>
  <si>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</si>
  <si>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</si>
  <si>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</si>
  <si>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</si>
  <si>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</si>
  <si>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</si>
  <si>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</si>
  <si>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</si>
  <si>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</si>
  <si>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</si>
  <si>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</si>
  <si>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</si>
  <si>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</si>
  <si>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</si>
  <si>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</si>
  <si>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</si>
  <si>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</si>
  <si>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</si>
  <si>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</si>
  <si>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</si>
  <si>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</si>
  <si>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</si>
  <si>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</si>
  <si>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</si>
  <si>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</si>
  <si>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</si>
  <si>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</si>
  <si>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</si>
  <si>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</si>
  <si>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</si>
  <si>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</si>
  <si>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</si>
  <si>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</si>
  <si>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</si>
  <si>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</si>
  <si>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</si>
  <si>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</si>
  <si>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</si>
  <si>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</si>
  <si>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</si>
  <si>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</si>
  <si>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</si>
  <si>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</si>
  <si>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</si>
  <si>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</si>
  <si>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</si>
  <si>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</si>
  <si>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</si>
  <si>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</si>
  <si>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</si>
  <si>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</si>
  <si>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</si>
  <si>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</si>
  <si>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</si>
  <si>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</si>
  <si>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</si>
  <si>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</si>
  <si>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</si>
  <si>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</si>
  <si>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</si>
  <si>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</si>
  <si>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</si>
  <si>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</si>
  <si>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</si>
  <si>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</si>
  <si>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</si>
  <si>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</si>
  <si>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</si>
  <si>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</si>
  <si>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</si>
  <si>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</si>
  <si>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</si>
  <si>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</si>
  <si>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</si>
  <si>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</si>
  <si>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</si>
  <si>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</si>
  <si>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</si>
  <si>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</si>
  <si>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</si>
  <si>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</si>
  <si>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</si>
  <si>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</si>
  <si>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</si>
  <si>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</si>
  <si>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</si>
  <si>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</si>
  <si>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</si>
  <si>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</si>
  <si>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</si>
  <si>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</si>
  <si>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</si>
  <si>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</si>
  <si>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</si>
  <si>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</si>
  <si>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</si>
  <si>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</si>
  <si>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</si>
  <si>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</si>
  <si>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</si>
  <si>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</si>
  <si>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</si>
  <si>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</si>
  <si>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</si>
  <si>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</si>
  <si>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</si>
  <si>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</si>
  <si>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</si>
  <si>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</si>
  <si>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</si>
  <si>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</si>
  <si>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</si>
  <si>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</si>
  <si>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</si>
  <si>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</si>
  <si>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</si>
  <si>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</si>
  <si>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</si>
  <si>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</si>
  <si>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</si>
  <si>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</si>
  <si>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</si>
  <si>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</si>
  <si>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</si>
  <si>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</si>
  <si>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</si>
  <si>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</si>
  <si>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</si>
  <si>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</si>
  <si>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</si>
  <si>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</si>
  <si>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</si>
  <si>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</si>
  <si>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</si>
  <si>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</si>
  <si>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</si>
  <si>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</si>
  <si>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</si>
  <si>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</si>
  <si>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</si>
  <si>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</si>
  <si>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</si>
  <si>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</si>
  <si>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</si>
  <si>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</si>
  <si>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</si>
  <si>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</si>
  <si>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</si>
  <si>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</si>
  <si>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</si>
  <si>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</si>
  <si>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</si>
  <si>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Block 5 </t>
    </r>
    <r>
      <rPr>
        <sz val="10"/>
        <color rgb="FF000000"/>
        <rFont val="Noto Sans CJK SC"/>
        <family val="2"/>
      </rPr>
      <t xml:space="preserve">占位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</si>
  <si>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</si>
  <si>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62.7% → Provider Adapter 99.9%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Opus 5 30.2% → Strands 99.95%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參數化</t>
    </r>
  </si>
  <si>
    <t xml:space="preserve">Block 5</t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</si>
  <si>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</si>
  <si>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</si>
  <si>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</si>
  <si>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</si>
  <si>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</si>
  <si>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</si>
  <si>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</si>
  <si>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</si>
  <si>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</si>
  <si>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</si>
  <si>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</si>
  <si>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</si>
  <si>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</si>
  <si>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</si>
  <si>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</si>
  <si>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</si>
  <si>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</si>
  <si>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</si>
  <si>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</si>
  <si>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</si>
  <si>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</si>
  <si>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</si>
  <si>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</si>
  <si>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</si>
  <si>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</si>
  <si>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</si>
  <si>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</si>
  <si>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</si>
  <si>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5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</si>
  <si>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</si>
  <si>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</si>
  <si>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</si>
  <si>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</si>
  <si>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</si>
  <si>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</si>
  <si>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</si>
  <si>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</si>
  <si>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</si>
  <si>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</si>
  <si>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</si>
  <si>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</si>
  <si>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</si>
  <si>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</si>
  <si>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</si>
  <si>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</si>
  <si>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</si>
  <si>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</si>
  <si>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</si>
  <si>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</si>
  <si>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</si>
  <si>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</si>
  <si>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</si>
  <si>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</si>
  <si>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</si>
  <si>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</si>
  <si>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</si>
  <si>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</si>
  <si>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</si>
  <si>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</si>
  <si>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</si>
  <si>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</si>
  <si>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</si>
  <si>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</si>
  <si>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</si>
  <si>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</si>
  <si>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</si>
  <si>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</si>
  <si>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</si>
  <si>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</si>
  <si>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</si>
  <si>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</si>
  <si>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</si>
  <si>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</si>
  <si>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</si>
  <si>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</si>
  <si>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</si>
  <si>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</si>
  <si>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</si>
  <si>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</si>
  <si>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</si>
  <si>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</si>
  <si>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</si>
  <si>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</si>
  <si>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</si>
  <si>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</si>
  <si>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</si>
  <si>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</si>
  <si>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</si>
  <si>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</si>
  <si>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</si>
  <si>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</si>
  <si>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</si>
  <si>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</si>
  <si>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</si>
  <si>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</si>
  <si>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</si>
  <si>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</si>
  <si>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</si>
  <si>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</si>
  <si>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</si>
  <si>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</si>
  <si>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</si>
  <si>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</si>
  <si>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</si>
  <si>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</si>
  <si>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</si>
  <si>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</si>
  <si>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</si>
  <si>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</si>
  <si>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</si>
  <si>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</si>
  <si>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</si>
  <si>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</si>
  <si>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</si>
  <si>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</si>
  <si>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</si>
  <si>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</si>
  <si>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</si>
  <si>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</si>
  <si>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</si>
  <si>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</si>
  <si>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</si>
  <si>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</si>
  <si>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</si>
  <si>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</si>
  <si>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</si>
  <si>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</si>
  <si>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</si>
  <si>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</si>
  <si>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</si>
  <si>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</si>
  <si>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</si>
  <si>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</si>
  <si>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</si>
  <si>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</si>
  <si>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</si>
  <si>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</si>
  <si>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</si>
  <si>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</si>
  <si>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</si>
  <si>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</si>
  <si>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</si>
  <si>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</si>
  <si>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</si>
  <si>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</si>
  <si>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</si>
  <si>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</si>
  <si>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</si>
  <si>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</si>
  <si>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</si>
  <si>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</si>
  <si>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</si>
  <si>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</si>
  <si>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</si>
  <si>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</si>
  <si>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</si>
  <si>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</si>
  <si>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</si>
  <si>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</si>
  <si>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</si>
  <si>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</si>
  <si>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</si>
  <si>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</si>
  <si>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</si>
  <si>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</si>
  <si>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</si>
  <si>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</si>
  <si>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</si>
  <si>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</si>
  <si>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</si>
  <si>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</si>
  <si>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</si>
  <si>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</si>
  <si>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</si>
  <si>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</si>
  <si>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</si>
  <si>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</si>
  <si>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</si>
  <si>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</si>
  <si>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</si>
  <si>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</si>
  <si>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</si>
  <si>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</si>
  <si>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</si>
  <si>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</si>
  <si>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</si>
  <si>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</si>
  <si>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</si>
  <si>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</si>
  <si>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</si>
  <si>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</si>
  <si>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</si>
  <si>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</si>
  <si>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</si>
  <si>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</si>
  <si>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</si>
  <si>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</si>
  <si>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</si>
  <si>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</si>
  <si>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</si>
  <si>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</si>
  <si>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</si>
  <si>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</si>
  <si>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</si>
  <si>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</si>
  <si>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</si>
  <si>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</si>
  <si>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</si>
  <si>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</si>
  <si>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</si>
  <si>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</si>
  <si>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</si>
  <si>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</si>
  <si>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</si>
  <si>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</si>
  <si>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</si>
  <si>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</si>
  <si>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</si>
  <si>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</si>
  <si>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</si>
  <si>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</si>
  <si>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</si>
  <si>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</si>
  <si>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</si>
  <si>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</si>
  <si>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</si>
  <si>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</si>
  <si>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</si>
  <si>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</si>
  <si>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</si>
  <si>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</si>
  <si>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</si>
  <si>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</si>
  <si>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</si>
  <si>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</si>
  <si>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</si>
  <si>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</si>
  <si>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</si>
  <si>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</si>
  <si>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</si>
  <si>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</si>
  <si>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</si>
  <si>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</si>
  <si>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</si>
  <si>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</si>
  <si>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</si>
  <si>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</si>
  <si>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</si>
  <si>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</si>
  <si>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</si>
  <si>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</si>
  <si>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</si>
  <si>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</si>
  <si>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</si>
  <si>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</si>
  <si>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</si>
  <si>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</si>
  <si>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</si>
  <si>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</si>
  <si>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</si>
  <si>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</si>
  <si>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</si>
  <si>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</si>
  <si>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</si>
  <si>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</si>
  <si>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</si>
  <si>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</si>
  <si>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</si>
  <si>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</si>
  <si>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</si>
  <si>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</si>
  <si>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</si>
  <si>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</si>
  <si>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</si>
  <si>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</si>
  <si>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</si>
  <si>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</si>
  <si>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</si>
  <si>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</si>
  <si>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</si>
  <si>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</si>
  <si>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</si>
  <si>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</si>
  <si>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</si>
  <si>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</si>
  <si>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</si>
  <si>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</si>
  <si>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</si>
  <si>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</si>
  <si>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</si>
  <si>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</si>
  <si>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</si>
  <si>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</si>
  <si>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</si>
  <si>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</si>
  <si>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</si>
  <si>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</si>
  <si>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</si>
  <si>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</si>
  <si>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</si>
  <si>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</si>
  <si>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</si>
  <si>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</si>
  <si>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</si>
  <si>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</si>
  <si>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</si>
  <si>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</si>
  <si>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</si>
  <si>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</si>
  <si>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</si>
  <si>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</si>
  <si>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</si>
  <si>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</si>
  <si>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</si>
  <si>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</si>
  <si>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</si>
  <si>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</si>
  <si>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</si>
  <si>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</si>
  <si>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</si>
  <si>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</si>
  <si>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</si>
  <si>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</si>
  <si>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</si>
  <si>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</si>
  <si>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</si>
  <si>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</si>
  <si>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</si>
  <si>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</si>
  <si>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</si>
  <si>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</si>
  <si>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</si>
  <si>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</si>
  <si>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</si>
  <si>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</si>
  <si>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</si>
  <si>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</si>
  <si>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</si>
  <si>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</si>
  <si>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</si>
  <si>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</si>
  <si>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</si>
  <si>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</si>
  <si>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</si>
  <si>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</si>
  <si>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</si>
  <si>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</si>
  <si>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</si>
  <si>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</si>
  <si>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</si>
  <si>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</si>
  <si>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</si>
  <si>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</si>
  <si>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</si>
  <si>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</si>
  <si>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</si>
  <si>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</si>
  <si>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</si>
  <si>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</si>
  <si>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</si>
  <si>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</si>
  <si>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</si>
  <si>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</si>
  <si>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</si>
  <si>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</si>
  <si>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</si>
  <si>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</si>
  <si>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</si>
  <si>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</si>
  <si>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</si>
  <si>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</si>
  <si>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</si>
  <si>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</si>
  <si>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</si>
  <si>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</si>
  <si>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</si>
  <si>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</si>
  <si>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</si>
  <si>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</si>
  <si>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</si>
  <si>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</si>
  <si>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</si>
  <si>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</si>
  <si>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</si>
  <si>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</si>
  <si>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</si>
  <si>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</si>
  <si>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</si>
  <si>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</si>
  <si>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</si>
  <si>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</si>
  <si>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</si>
  <si>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</si>
  <si>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</si>
  <si>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</si>
  <si>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</si>
  <si>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</si>
  <si>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</si>
  <si>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</si>
  <si>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</si>
  <si>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</si>
  <si>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</si>
  <si>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</si>
  <si>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</si>
  <si>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</si>
  <si>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</si>
  <si>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</si>
  <si>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</si>
  <si>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</si>
  <si>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</si>
  <si>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</si>
  <si>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</si>
  <si>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</si>
  <si>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</si>
  <si>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</si>
  <si>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</si>
  <si>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</si>
  <si>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</si>
  <si>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</si>
  <si>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</si>
  <si>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</si>
  <si>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</si>
  <si>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</si>
  <si>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</si>
  <si>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</si>
  <si>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</si>
  <si>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</si>
  <si>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</si>
  <si>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</si>
  <si>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</si>
  <si>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</si>
  <si>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</si>
  <si>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</si>
  <si>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</si>
  <si>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</si>
  <si>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</si>
  <si>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</si>
  <si>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</si>
  <si>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</si>
  <si>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</si>
  <si>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</si>
  <si>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</si>
  <si>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</si>
  <si>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</si>
  <si>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</si>
  <si>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</si>
  <si>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</si>
  <si>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</si>
  <si>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</si>
  <si>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</si>
  <si>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</si>
  <si>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</si>
  <si>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</si>
  <si>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</si>
  <si>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</si>
  <si>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</si>
  <si>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</si>
  <si>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</si>
  <si>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</si>
  <si>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</si>
  <si>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</si>
  <si>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</si>
  <si>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</si>
  <si>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</si>
  <si>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</si>
  <si>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</si>
  <si>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</si>
  <si>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</si>
  <si>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</si>
  <si>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</si>
  <si>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</si>
  <si>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</si>
  <si>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</si>
  <si>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</si>
  <si>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</si>
  <si>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</si>
  <si>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</si>
  <si>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</si>
  <si>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</si>
  <si>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</si>
  <si>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</si>
  <si>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</si>
  <si>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</si>
  <si>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</si>
  <si>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</si>
  <si>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</si>
  <si>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Capability</t>
    </r>
    <r>
      <rPr>
        <sz val="9"/>
        <color rgb="FF595959"/>
        <rFont val="Noto Sans CJK SC"/>
        <family val="2"/>
      </rPr>
      <t xml:space="preserve">、單價前緣）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</si>
  <si>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</si>
  <si>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</si>
  <si>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</si>
  <si>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</si>
  <si>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</si>
  <si>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</si>
  <si>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</si>
  <si>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</si>
  <si>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</si>
  <si>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</si>
  <si>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</si>
  <si>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</si>
  <si>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</si>
  <si>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</si>
  <si>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</si>
  <si>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</si>
  <si>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</si>
  <si>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</si>
  <si>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</si>
  <si>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</si>
  <si>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</si>
  <si>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</si>
  <si>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</si>
  <si>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</si>
  <si>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</si>
  <si>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</si>
  <si>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</si>
  <si>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</si>
  <si>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</si>
  <si>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</si>
  <si>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</si>
  <si>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</si>
  <si>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</si>
  <si>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</si>
  <si>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</si>
  <si>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</si>
  <si>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</si>
  <si>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</si>
  <si>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</si>
  <si>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</si>
  <si>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</si>
  <si>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</si>
  <si>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</si>
  <si>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</si>
  <si>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</si>
  <si>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</si>
  <si>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</si>
  <si>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</si>
  <si>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</si>
  <si>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</si>
  <si>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</si>
  <si>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</si>
  <si>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</si>
  <si>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</si>
  <si>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</si>
  <si>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</si>
  <si>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</si>
  <si>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</si>
  <si>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</si>
  <si>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</si>
  <si>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</si>
  <si>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</si>
  <si>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</si>
  <si>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</si>
  <si>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</si>
  <si>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</si>
  <si>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</si>
  <si>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</si>
  <si>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</si>
  <si>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</si>
  <si>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</si>
  <si>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</si>
  <si>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</si>
  <si>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</si>
  <si>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</si>
  <si>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</si>
  <si>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</si>
  <si>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</si>
  <si>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</si>
  <si>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</si>
  <si>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</si>
  <si>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</si>
  <si>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</si>
  <si>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</si>
  <si>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</si>
  <si>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</si>
  <si>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</si>
  <si>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</si>
  <si>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</si>
  <si>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</si>
  <si>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</si>
  <si>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</si>
  <si>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</si>
  <si>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</si>
  <si>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</si>
  <si>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</si>
  <si>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</si>
  <si>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</si>
  <si>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</si>
  <si>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</si>
  <si>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</si>
  <si>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</si>
  <si>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</si>
  <si>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</si>
  <si>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</si>
  <si>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</si>
  <si>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</si>
  <si>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</si>
  <si>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</si>
  <si>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</si>
  <si>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</si>
  <si>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</si>
  <si>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</si>
  <si>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</si>
  <si>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</si>
  <si>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</si>
  <si>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</si>
  <si>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</si>
  <si>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</si>
  <si>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</si>
  <si>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</si>
  <si>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</si>
  <si>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</si>
  <si>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</si>
  <si>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</si>
  <si>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</si>
  <si>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</si>
  <si>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</si>
  <si>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</si>
  <si>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</si>
  <si>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</si>
  <si>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</si>
  <si>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</si>
  <si>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</si>
  <si>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</si>
  <si>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</si>
  <si>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</si>
  <si>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</si>
  <si>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</si>
  <si>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</si>
  <si>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</si>
  <si>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</si>
  <si>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</si>
  <si>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</si>
  <si>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</si>
  <si>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</si>
  <si>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</si>
  <si>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</si>
  <si>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</si>
  <si>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</si>
  <si>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</si>
  <si>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</si>
  <si>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</si>
  <si>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</si>
  <si>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</si>
  <si>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</si>
  <si>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</si>
  <si>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</si>
  <si>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</si>
  <si>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</si>
  <si>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</si>
  <si>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</si>
  <si>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</si>
  <si>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</si>
  <si>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</si>
  <si>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</si>
  <si>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</si>
  <si>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</si>
  <si>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</si>
  <si>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</si>
  <si>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</si>
  <si>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</si>
  <si>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</si>
  <si>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</si>
  <si>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</si>
  <si>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</si>
  <si>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</si>
  <si>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</si>
  <si>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</si>
  <si>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</si>
  <si>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t xml:space="preserve">S40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</si>
  <si>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</si>
  <si>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</si>
  <si>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</si>
  <si>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</si>
  <si>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</si>
  <si>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</si>
  <si>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</si>
  <si>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</si>
  <si>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</si>
  <si>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t xml:space="preserve">9.6%–22.6%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</si>
  <si>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</si>
  <si>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t xml:space="preserve">S38</t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</si>
  <si>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</si>
  <si>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</si>
  <si>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</si>
  <si>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</si>
  <si>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</si>
  <si>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</si>
  <si>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</si>
  <si>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</si>
  <si>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</si>
  <si>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</si>
  <si>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</si>
  <si>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</si>
  <si>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</si>
  <si>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</si>
  <si>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</si>
  <si>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</si>
  <si>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</si>
  <si>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</si>
  <si>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</si>
  <si>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</si>
  <si>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</si>
  <si>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</si>
  <si>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</si>
  <si>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</si>
  <si>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</si>
  <si>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</si>
  <si>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</si>
  <si>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</si>
  <si>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</si>
  <si>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</si>
  <si>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</si>
  <si>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</si>
  <si>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</si>
  <si>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</si>
  <si>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t xml:space="preserve">2026-08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</si>
  <si>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</si>
  <si>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</si>
  <si>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</si>
  <si>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</si>
  <si>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</si>
  <si>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</si>
  <si>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</si>
  <si>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</si>
  <si>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</si>
  <si>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</si>
  <si>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</si>
  <si>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</si>
  <si>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</si>
  <si>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</si>
  <si>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</si>
  <si>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</si>
  <si>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</si>
  <si>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</si>
  <si>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</si>
  <si>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</si>
  <si>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</si>
  <si>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</si>
  <si>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</si>
  <si>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</si>
  <si>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</si>
  <si>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</si>
  <si>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</si>
  <si>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</si>
  <si>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</si>
  <si>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</si>
  <si>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</si>
  <si>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</si>
  <si>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</si>
  <si>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</si>
  <si>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</si>
  <si>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</si>
  <si>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</si>
  <si>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</si>
  <si>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</si>
  <si>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</si>
  <si>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</si>
  <si>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</si>
  <si>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</si>
  <si>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</si>
  <si>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</si>
  <si>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</si>
  <si>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</si>
  <si>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</si>
  <si>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</si>
  <si>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</si>
  <si>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</si>
  <si>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</si>
  <si>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</si>
  <si>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</si>
  <si>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</si>
  <si>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</si>
  <si>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</si>
  <si>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</si>
  <si>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</si>
  <si>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</si>
  <si>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</si>
  <si>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</si>
  <si>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</si>
  <si>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</si>
  <si>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</si>
  <si>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</si>
  <si>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</si>
  <si>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</si>
  <si>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</si>
  <si>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</si>
  <si>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</si>
  <si>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</si>
  <si>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</si>
  <si>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</si>
  <si>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</si>
  <si>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</si>
  <si>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</si>
  <si>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</si>
  <si>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</si>
  <si>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</si>
  <si>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</si>
  <si>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</si>
  <si>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</si>
  <si>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</si>
  <si>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</si>
  <si>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</si>
  <si>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</si>
  <si>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</si>
  <si>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</si>
  <si>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</si>
  <si>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</si>
  <si>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</si>
  <si>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</si>
  <si>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</si>
  <si>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</si>
  <si>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</si>
  <si>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</si>
  <si>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</si>
  <si>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</si>
  <si>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</si>
  <si>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</si>
  <si>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</si>
  <si>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</si>
  <si>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</si>
  <si>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</si>
  <si>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</si>
  <si>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</si>
  <si>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</si>
  <si>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</si>
  <si>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</si>
  <si>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</si>
  <si>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</si>
  <si>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</si>
  <si>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</si>
  <si>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</si>
  <si>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</si>
  <si>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</si>
  <si>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</si>
  <si>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</si>
  <si>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</si>
  <si>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</si>
  <si>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</si>
  <si>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</si>
  <si>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</si>
  <si>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</si>
  <si>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</si>
  <si>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</si>
  <si>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</si>
  <si>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</si>
  <si>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</si>
  <si>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</si>
  <si>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</si>
  <si>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</si>
  <si>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</si>
  <si>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</si>
  <si>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</si>
  <si>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</si>
  <si>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</si>
  <si>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</si>
  <si>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</si>
  <si>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</si>
  <si>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</si>
  <si>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</si>
  <si>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</si>
  <si>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</si>
  <si>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S35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</si>
  <si>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</si>
  <si>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</si>
  <si>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</si>
  <si>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arxiv.org/abs/2606.19348</t>
  </si>
  <si>
    <t xml:space="preserve">已核對原文摘錄</t>
  </si>
  <si>
    <t xml:space="preserve">S36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</si>
  <si>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</si>
  <si>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</si>
  <si>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</si>
  <si>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t xml:space="preserve">已核對兩處轉載</t>
  </si>
  <si>
    <t xml:space="preserve">S37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</si>
  <si>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</si>
  <si>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</si>
  <si>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</si>
  <si>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</si>
  <si>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</si>
  <si>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</si>
  <si>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</si>
  <si>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</si>
  <si>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</si>
  <si>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</si>
  <si>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</si>
  <si>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</si>
  <si>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</si>
  <si>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</si>
  <si>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</si>
  <si>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</si>
  <si>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</si>
  <si>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arxiv.org/pdf/2504.12501</t>
  </si>
  <si>
    <t xml:space="preserve">已核對轉述</t>
  </si>
  <si>
    <t xml:space="preserve">S41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</si>
  <si>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</si>
  <si>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</si>
  <si>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</si>
  <si>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</si>
  <si>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</si>
  <si>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</si>
  <si>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</si>
  <si>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</si>
  <si>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2025-07</t>
  </si>
  <si>
    <t xml:space="preserve">x.ai/news/grok-4</t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</si>
  <si>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</si>
  <si>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</si>
  <si>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</si>
  <si>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</si>
  <si>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</si>
  <si>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</si>
  <si>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</si>
  <si>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</si>
  <si>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</si>
  <si>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</si>
  <si>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</si>
  <si>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</si>
  <si>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</si>
  <si>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</si>
  <si>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</si>
  <si>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t xml:space="preserve">arxiv.org/pdf/2609.19969</t>
  </si>
  <si>
    <t xml:space="preserve">S46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</si>
  <si>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</si>
  <si>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</si>
  <si>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</si>
  <si>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t xml:space="preserve">2026-02</t>
  </si>
  <si>
    <t xml:space="preserve">arxiv.org/abs/2602.15763</t>
  </si>
  <si>
    <t xml:space="preserve">S47</t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</si>
  <si>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</si>
  <si>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</si>
  <si>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</si>
  <si>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t xml:space="preserve">2025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</si>
  <si>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</si>
  <si>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t xml:space="preserve">S48</t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</si>
  <si>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</si>
  <si>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</si>
  <si>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t xml:space="preserve">arxiv.org/pdf/2505.24034</t>
  </si>
  <si>
    <t xml:space="preserve">S49</t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</si>
  <si>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</si>
  <si>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</si>
  <si>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</si>
  <si>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</si>
  <si>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</si>
  <si>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</si>
  <si>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</si>
  <si>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</si>
  <si>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</si>
  <si>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</si>
  <si>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</si>
  <si>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</si>
  <si>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r>
      <rPr>
        <sz val="9"/>
        <color rgb="FF595959"/>
        <rFont val="Noto Sans CJK SC"/>
        <family val="2"/>
      </rPr>
      <t xml:space="preserve">每一筆新發現先與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現值比對，再判定採納／部分採納／不採納／待查。本頁由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Claude </t>
    </r>
    <r>
      <rPr>
        <sz val="9"/>
        <color rgb="FF595959"/>
        <rFont val="Noto Sans CJK SC"/>
        <family val="2"/>
      </rPr>
      <t xml:space="preserve">直接在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維護；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只在本頁不存在時建立，之後不再覆寫</t>
    </r>
  </si>
  <si>
    <t xml:space="preserve">主張（摘要）</t>
  </si>
  <si>
    <r>
      <rPr>
        <b val="true"/>
        <sz val="10"/>
        <rFont val="Noto Sans CJK SC"/>
        <family val="2"/>
      </rPr>
      <t xml:space="preserve">來源（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編號或出處）</t>
    </r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</si>
  <si>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</si>
  <si>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</si>
  <si>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</si>
  <si>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</si>
  <si>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</si>
  <si>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備註</t>
  </si>
  <si>
    <t xml:space="preserve">E001</t>
  </si>
  <si>
    <t xml:space="preserve">2026-09-30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</si>
  <si>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</si>
  <si>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</si>
  <si>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</si>
  <si>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</si>
  <si>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</si>
  <si>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</si>
  <si>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</si>
  <si>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</si>
  <si>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</si>
  <si>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</si>
  <si>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</si>
  <si>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</si>
  <si>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</si>
  <si>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</si>
  <si>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</si>
  <si>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</si>
  <si>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</si>
  <si>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t xml:space="preserve">E004</t>
  </si>
  <si>
    <r>
      <rPr>
        <sz val="10"/>
        <color rgb="FF0000FF"/>
        <rFont val="Noto Sans CJK SC"/>
        <family val="2"/>
      </rPr>
      <t xml:space="preserve">最終訓練占研發算力支出 </t>
    </r>
    <r>
      <rPr>
        <sz val="10"/>
        <color rgb="FF0000FF"/>
        <rFont val="Arial"/>
        <family val="0"/>
        <charset val="1"/>
      </rPr>
      <t xml:space="preserve">9.6–22.6%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</si>
  <si>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</si>
  <si>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</si>
  <si>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Noto Sans CJK SC"/>
        <family val="2"/>
      </rPr>
      <t xml:space="preserve">採納（取 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</si>
  <si>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支出口徑，乘在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小時上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</si>
  <si>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</si>
  <si>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</si>
  <si>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</si>
  <si>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</si>
  <si>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</si>
  <si>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r>
      <rPr>
        <sz val="10"/>
        <color rgb="FF0000FF"/>
        <rFont val="Noto Sans CJK SC"/>
        <family val="2"/>
      </rPr>
      <t xml:space="preserve">口徑不明，只作 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錨點上緣參考</t>
    </r>
  </si>
  <si>
    <t xml:space="preserve">E006</t>
  </si>
  <si>
    <r>
      <rPr>
        <sz val="10"/>
        <color rgb="FF0000FF"/>
        <rFont val="Noto Sans CJK SC"/>
        <family val="2"/>
      </rPr>
      <t xml:space="preserve">前沿預訓練算力約 </t>
    </r>
    <r>
      <rPr>
        <sz val="10"/>
        <color rgb="FF0000FF"/>
        <rFont val="Arial"/>
        <family val="0"/>
        <charset val="1"/>
      </rPr>
      <t xml:space="preserve">2e26–2e27 FLOP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</si>
  <si>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</si>
  <si>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</si>
  <si>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需約 </t>
    </r>
    <r>
      <rPr>
        <sz val="10"/>
        <color rgb="FF0000FF"/>
        <rFont val="Arial"/>
        <family val="0"/>
        <charset val="1"/>
      </rPr>
      <t xml:space="preserve">438T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5e26</t>
    </r>
    <r>
      <rPr>
        <sz val="10"/>
        <color rgb="FF0000FF"/>
        <rFont val="Noto Sans CJK SC"/>
        <family val="2"/>
      </rPr>
      <t xml:space="preserve">）</t>
    </r>
  </si>
  <si>
    <t xml:space="preserve">待查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</si>
  <si>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</si>
  <si>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E007</t>
  </si>
  <si>
    <t xml:space="preserve">2026-10-01</t>
  </si>
  <si>
    <r>
      <rPr>
        <sz val="10"/>
        <color rgb="FF0000FF"/>
        <rFont val="Noto Sans CJK SC"/>
        <family val="2"/>
      </rPr>
      <t xml:space="preserve">非同步 </t>
    </r>
    <r>
      <rPr>
        <sz val="10"/>
        <color rgb="FF0000FF"/>
        <rFont val="Arial"/>
        <family val="0"/>
        <charset val="1"/>
      </rPr>
      <t xml:space="preserve">RL </t>
    </r>
    <r>
      <rPr>
        <sz val="10"/>
        <color rgb="FF0000FF"/>
        <rFont val="Noto Sans CJK SC"/>
        <family val="2"/>
      </rPr>
      <t xml:space="preserve">已用於 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Zhipu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Moonshot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Meta </t>
    </r>
    <r>
      <rPr>
        <sz val="10"/>
        <color rgb="FF0000FF"/>
        <rFont val="Noto Sans CJK SC"/>
        <family val="2"/>
      </rPr>
      <t xml:space="preserve">旗艦模型</t>
    </r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</si>
  <si>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</si>
  <si>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</si>
  <si>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</si>
  <si>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</si>
  <si>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</si>
  <si>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</si>
  <si>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t xml:space="preserve">E008</t>
  </si>
  <si>
    <r>
      <rPr>
        <sz val="10"/>
        <color rgb="FF0000FF"/>
        <rFont val="Noto Sans CJK SC"/>
        <family val="2"/>
      </rPr>
      <t xml:space="preserve">開源 </t>
    </r>
    <r>
      <rPr>
        <sz val="10"/>
        <color rgb="FF0000FF"/>
        <rFont val="Arial"/>
        <family val="0"/>
        <charset val="1"/>
      </rPr>
      <t xml:space="preserve">RL </t>
    </r>
    <r>
      <rPr>
        <sz val="10"/>
        <color rgb="FF0000FF"/>
        <rFont val="Noto Sans CJK SC"/>
        <family val="2"/>
      </rPr>
      <t xml:space="preserve">框架（</t>
    </r>
    <r>
      <rPr>
        <sz val="10"/>
        <color rgb="FF0000FF"/>
        <rFont val="Arial"/>
        <family val="0"/>
        <charset val="1"/>
      </rPr>
      <t xml:space="preserve">verl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配方以 </t>
    </r>
    <r>
      <rPr>
        <sz val="10"/>
        <color rgb="FF0000FF"/>
        <rFont val="Arial"/>
        <family val="0"/>
        <charset val="1"/>
      </rPr>
      <t xml:space="preserve">FP8 rollout</t>
    </r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</si>
  <si>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</si>
  <si>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</si>
  <si>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</si>
  <si>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r>
      <rPr>
        <sz val="10"/>
        <color rgb="FF0000FF"/>
        <rFont val="Noto Sans CJK SC"/>
        <family val="2"/>
      </rPr>
      <t xml:space="preserve">列為 </t>
    </r>
    <r>
      <rPr>
        <sz val="10"/>
        <color rgb="FF0000FF"/>
        <rFont val="Arial"/>
        <family val="0"/>
        <charset val="1"/>
      </rPr>
      <t xml:space="preserve">J12 </t>
    </r>
    <r>
      <rPr>
        <sz val="10"/>
        <color rgb="FF0000FF"/>
        <rFont val="Noto Sans CJK SC"/>
        <family val="2"/>
      </rPr>
      <t xml:space="preserve">替代情境</t>
    </r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</si>
  <si>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</si>
  <si>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</si>
  <si>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</si>
  <si>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r>
      <rPr>
        <sz val="10"/>
        <color rgb="FF0000FF"/>
        <rFont val="Noto Sans CJK SC"/>
        <family val="2"/>
      </rPr>
      <t xml:space="preserve">增益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</si>
  <si>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Noto Sans CJK SC"/>
        <family val="2"/>
      </rPr>
      <t xml:space="preserve">僅框架，不計入 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採用數；只用於區間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</si>
</sst>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5" t="s">
        <v>11</v>
      </c>
    </row>
    <row r="9" customFormat="false" ht="15" hidden="false" customHeight="true" outlineLevel="0" collapsed="false">
      <c r="A9" s="7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5" t="s">
        <v>19</v>
      </c>
    </row>
    <row r="13" customFormat="false" ht="29.25" hidden="false" customHeight="true" outlineLevel="0" collapsed="false">
      <c r="A13" s="7" t="s">
        <v>20</v>
      </c>
      <c r="B13" s="6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8" t="s">
        <v>26</v>
      </c>
      <c r="B16" s="5" t="s">
        <v>27</v>
      </c>
    </row>
    <row r="17" customFormat="false" ht="15" hidden="false" customHeight="true" outlineLevel="0" collapsed="false">
      <c r="A17" s="8" t="s">
        <v>28</v>
      </c>
      <c r="B17" s="6" t="s">
        <v>29</v>
      </c>
    </row>
    <row r="18" customFormat="false" ht="29.25" hidden="false" customHeight="true" outlineLevel="0" collapsed="false">
      <c r="A18" s="8" t="s">
        <v>30</v>
      </c>
      <c r="B18" s="5" t="s">
        <v>31</v>
      </c>
    </row>
    <row r="19" customFormat="false" ht="72" hidden="false" customHeight="true" outlineLevel="0" collapsed="false">
      <c r="A19" s="8" t="s">
        <v>32</v>
      </c>
      <c r="B19" s="6" t="s">
        <v>33</v>
      </c>
    </row>
    <row r="20" customFormat="false" ht="29.85" hidden="false" customHeight="false" outlineLevel="0" collapsed="false">
      <c r="A20" s="9" t="s">
        <v>34</v>
      </c>
      <c r="B20" s="6" t="s">
        <v>35</v>
      </c>
    </row>
    <row r="21" customFormat="false" ht="72.35" hidden="false" customHeight="false" outlineLevel="0" collapsed="false">
      <c r="A21" s="9" t="s">
        <v>36</v>
      </c>
      <c r="B21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38</v>
      </c>
    </row>
    <row r="2" customFormat="false" ht="15" hidden="false" customHeight="true" outlineLevel="0" collapsed="false">
      <c r="A2" s="10" t="s">
        <v>39</v>
      </c>
    </row>
    <row r="3" customFormat="false" ht="15" hidden="false" customHeight="true" outlineLevel="0" collapsed="false">
      <c r="A3" s="11" t="s">
        <v>40</v>
      </c>
      <c r="B3" s="11" t="s">
        <v>41</v>
      </c>
      <c r="C3" s="11"/>
      <c r="D3" s="11" t="s">
        <v>42</v>
      </c>
      <c r="E3" s="11" t="s">
        <v>43</v>
      </c>
      <c r="F3" s="11" t="s">
        <v>44</v>
      </c>
      <c r="G3" s="11" t="s">
        <v>45</v>
      </c>
      <c r="H3" s="11" t="s">
        <v>46</v>
      </c>
    </row>
    <row r="4" customFormat="false" ht="15" hidden="false" customHeight="true" outlineLevel="0" collapsed="false">
      <c r="A4" s="12" t="s">
        <v>47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48</v>
      </c>
      <c r="B5" s="15" t="s">
        <v>49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50</v>
      </c>
      <c r="H5" s="18" t="s">
        <v>51</v>
      </c>
    </row>
    <row r="6" customFormat="false" ht="15" hidden="false" customHeight="true" outlineLevel="0" collapsed="false">
      <c r="A6" s="19" t="s">
        <v>52</v>
      </c>
      <c r="B6" s="20" t="s">
        <v>53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50</v>
      </c>
      <c r="H6" s="18" t="s">
        <v>54</v>
      </c>
    </row>
    <row r="7" customFormat="false" ht="15" hidden="false" customHeight="true" outlineLevel="0" collapsed="false">
      <c r="A7" s="12" t="s">
        <v>55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56</v>
      </c>
      <c r="B8" s="15" t="s">
        <v>57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58</v>
      </c>
      <c r="H8" s="18" t="s">
        <v>59</v>
      </c>
    </row>
    <row r="9" customFormat="false" ht="15" hidden="false" customHeight="true" outlineLevel="0" collapsed="false">
      <c r="A9" s="14" t="s">
        <v>60</v>
      </c>
      <c r="B9" s="15" t="s">
        <v>61</v>
      </c>
      <c r="D9" s="23" t="n">
        <v>1.1</v>
      </c>
      <c r="E9" s="23" t="n">
        <v>1.2</v>
      </c>
      <c r="F9" s="23" t="n">
        <v>1.3</v>
      </c>
      <c r="G9" s="15" t="s">
        <v>62</v>
      </c>
      <c r="H9" s="18" t="s">
        <v>63</v>
      </c>
    </row>
    <row r="10" customFormat="false" ht="15" hidden="false" customHeight="true" outlineLevel="0" collapsed="false">
      <c r="A10" s="19" t="s">
        <v>64</v>
      </c>
      <c r="B10" s="15" t="s">
        <v>57</v>
      </c>
      <c r="D10" s="22" t="n">
        <v>0.7</v>
      </c>
      <c r="E10" s="22" t="n">
        <v>0.8</v>
      </c>
      <c r="F10" s="22" t="n">
        <v>0.9</v>
      </c>
      <c r="G10" s="15" t="s">
        <v>58</v>
      </c>
      <c r="H10" s="6" t="s">
        <v>65</v>
      </c>
    </row>
    <row r="11" customFormat="false" ht="15" hidden="false" customHeight="true" outlineLevel="0" collapsed="false">
      <c r="A11" s="19" t="s">
        <v>66</v>
      </c>
      <c r="B11" s="15" t="s">
        <v>67</v>
      </c>
      <c r="D11" s="23" t="n">
        <v>0.06</v>
      </c>
      <c r="E11" s="23" t="n">
        <v>0.08</v>
      </c>
      <c r="F11" s="23" t="n">
        <v>0.1</v>
      </c>
      <c r="G11" s="15" t="s">
        <v>68</v>
      </c>
      <c r="H11" s="6" t="s">
        <v>69</v>
      </c>
    </row>
    <row r="12" customFormat="false" ht="15" hidden="false" customHeight="true" outlineLevel="0" collapsed="false">
      <c r="A12" s="24" t="s">
        <v>70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71</v>
      </c>
      <c r="B13" s="15" t="s">
        <v>57</v>
      </c>
      <c r="D13" s="22" t="n">
        <v>0.05</v>
      </c>
      <c r="E13" s="22" t="n">
        <v>0.1</v>
      </c>
      <c r="F13" s="22" t="n">
        <v>0.15</v>
      </c>
      <c r="G13" s="15" t="s">
        <v>62</v>
      </c>
      <c r="H13" s="6" t="s">
        <v>72</v>
      </c>
    </row>
    <row r="14" customFormat="false" ht="15" hidden="false" customHeight="true" outlineLevel="0" collapsed="false">
      <c r="A14" s="19" t="s">
        <v>73</v>
      </c>
      <c r="B14" s="15" t="s">
        <v>74</v>
      </c>
      <c r="D14" s="17" t="n">
        <v>300</v>
      </c>
      <c r="E14" s="17" t="n">
        <v>500</v>
      </c>
      <c r="F14" s="17" t="n">
        <v>800</v>
      </c>
      <c r="G14" s="15" t="s">
        <v>58</v>
      </c>
      <c r="H14" s="6" t="s">
        <v>75</v>
      </c>
    </row>
    <row r="15" customFormat="false" ht="15" hidden="false" customHeight="true" outlineLevel="0" collapsed="false">
      <c r="A15" s="12" t="s">
        <v>76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77</v>
      </c>
      <c r="B16" s="15" t="s">
        <v>78</v>
      </c>
      <c r="D16" s="23" t="n">
        <v>0.02</v>
      </c>
      <c r="E16" s="23" t="n">
        <v>0.02</v>
      </c>
      <c r="F16" s="23" t="n">
        <v>0.02</v>
      </c>
      <c r="G16" s="15" t="s">
        <v>58</v>
      </c>
      <c r="H16" s="6" t="s">
        <v>79</v>
      </c>
    </row>
    <row r="17" customFormat="false" ht="15" hidden="false" customHeight="true" outlineLevel="0" collapsed="false">
      <c r="A17" s="19" t="s">
        <v>80</v>
      </c>
      <c r="B17" s="15" t="s">
        <v>78</v>
      </c>
      <c r="D17" s="23" t="n">
        <v>3</v>
      </c>
      <c r="E17" s="23" t="n">
        <v>3.6</v>
      </c>
      <c r="F17" s="23" t="n">
        <v>4.5</v>
      </c>
      <c r="G17" s="15" t="s">
        <v>58</v>
      </c>
      <c r="H17" s="18" t="s">
        <v>81</v>
      </c>
    </row>
    <row r="18" customFormat="false" ht="15" hidden="false" customHeight="true" outlineLevel="0" collapsed="false">
      <c r="A18" s="19" t="s">
        <v>82</v>
      </c>
      <c r="B18" s="15" t="s">
        <v>78</v>
      </c>
      <c r="D18" s="23" t="n">
        <v>3.8</v>
      </c>
      <c r="E18" s="23" t="n">
        <v>4.5</v>
      </c>
      <c r="F18" s="23" t="n">
        <v>5.5</v>
      </c>
      <c r="G18" s="15" t="s">
        <v>58</v>
      </c>
      <c r="H18" s="18" t="s">
        <v>83</v>
      </c>
    </row>
    <row r="19" customFormat="false" ht="15" hidden="false" customHeight="true" outlineLevel="0" collapsed="false">
      <c r="A19" s="19" t="s">
        <v>84</v>
      </c>
      <c r="B19" s="15" t="s">
        <v>78</v>
      </c>
      <c r="D19" s="23" t="n">
        <v>2</v>
      </c>
      <c r="E19" s="23" t="n">
        <v>2.5</v>
      </c>
      <c r="F19" s="23" t="n">
        <v>3.2</v>
      </c>
      <c r="G19" s="15" t="s">
        <v>58</v>
      </c>
      <c r="H19" s="18" t="s">
        <v>85</v>
      </c>
    </row>
    <row r="20" customFormat="false" ht="15" hidden="false" customHeight="true" outlineLevel="0" collapsed="false">
      <c r="A20" s="19" t="s">
        <v>86</v>
      </c>
      <c r="B20" s="15" t="s">
        <v>78</v>
      </c>
      <c r="D20" s="23" t="n">
        <v>0.3</v>
      </c>
      <c r="E20" s="23" t="n">
        <v>0.4</v>
      </c>
      <c r="F20" s="23" t="n">
        <v>0.5</v>
      </c>
      <c r="G20" s="15" t="s">
        <v>58</v>
      </c>
      <c r="H20" s="18" t="s">
        <v>83</v>
      </c>
    </row>
    <row r="21" customFormat="false" ht="15" hidden="false" customHeight="true" outlineLevel="0" collapsed="false">
      <c r="A21" s="19" t="s">
        <v>87</v>
      </c>
      <c r="B21" s="15" t="s">
        <v>88</v>
      </c>
      <c r="D21" s="22" t="n">
        <v>0.12</v>
      </c>
      <c r="E21" s="22" t="n">
        <v>0.15</v>
      </c>
      <c r="F21" s="22" t="n">
        <v>0.18</v>
      </c>
      <c r="G21" s="15" t="s">
        <v>58</v>
      </c>
      <c r="H21" s="6" t="s">
        <v>89</v>
      </c>
    </row>
    <row r="22" customFormat="false" ht="15" hidden="false" customHeight="true" outlineLevel="0" collapsed="false">
      <c r="A22" s="12" t="s">
        <v>90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91</v>
      </c>
      <c r="B23" s="20" t="s">
        <v>92</v>
      </c>
      <c r="D23" s="17" t="n">
        <v>6</v>
      </c>
      <c r="E23" s="17" t="n">
        <v>6</v>
      </c>
      <c r="F23" s="17" t="n">
        <v>4</v>
      </c>
      <c r="G23" s="15" t="s">
        <v>93</v>
      </c>
      <c r="H23" s="6" t="s">
        <v>94</v>
      </c>
    </row>
    <row r="24" customFormat="false" ht="15" hidden="false" customHeight="true" outlineLevel="0" collapsed="false">
      <c r="A24" s="19" t="s">
        <v>95</v>
      </c>
      <c r="B24" s="20" t="s">
        <v>92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62</v>
      </c>
      <c r="H24" s="6" t="s">
        <v>96</v>
      </c>
    </row>
    <row r="25" customFormat="false" ht="15" hidden="false" customHeight="true" outlineLevel="0" collapsed="false">
      <c r="A25" s="19" t="s">
        <v>97</v>
      </c>
      <c r="B25" s="20" t="s">
        <v>92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62</v>
      </c>
      <c r="H25" s="6" t="s">
        <v>96</v>
      </c>
    </row>
    <row r="26" customFormat="false" ht="15" hidden="false" customHeight="true" outlineLevel="0" collapsed="false">
      <c r="A26" s="19" t="s">
        <v>98</v>
      </c>
      <c r="B26" s="20" t="s">
        <v>92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62</v>
      </c>
      <c r="H26" s="6" t="s">
        <v>96</v>
      </c>
    </row>
    <row r="27" customFormat="false" ht="15" hidden="false" customHeight="true" outlineLevel="0" collapsed="false">
      <c r="A27" s="19" t="s">
        <v>99</v>
      </c>
      <c r="B27" s="20" t="s">
        <v>92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62</v>
      </c>
      <c r="H27" s="6" t="s">
        <v>96</v>
      </c>
    </row>
    <row r="28" customFormat="false" ht="15" hidden="false" customHeight="true" outlineLevel="0" collapsed="false">
      <c r="A28" s="14" t="s">
        <v>100</v>
      </c>
      <c r="B28" s="15" t="s">
        <v>57</v>
      </c>
      <c r="D28" s="22" t="n">
        <v>0.08</v>
      </c>
      <c r="E28" s="22" t="n">
        <v>0.1</v>
      </c>
      <c r="F28" s="22" t="n">
        <v>0.13</v>
      </c>
      <c r="G28" s="15" t="s">
        <v>58</v>
      </c>
      <c r="H28" s="18" t="s">
        <v>101</v>
      </c>
    </row>
    <row r="29" customFormat="false" ht="15" hidden="false" customHeight="true" outlineLevel="0" collapsed="false">
      <c r="A29" s="12" t="s">
        <v>102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103</v>
      </c>
      <c r="B30" s="15" t="s">
        <v>104</v>
      </c>
      <c r="D30" s="22" t="n">
        <v>0.02</v>
      </c>
      <c r="E30" s="22" t="n">
        <v>0.03</v>
      </c>
      <c r="F30" s="22" t="n">
        <v>0.04</v>
      </c>
      <c r="G30" s="15" t="s">
        <v>62</v>
      </c>
      <c r="H30" s="6" t="s">
        <v>105</v>
      </c>
    </row>
    <row r="31" customFormat="false" ht="15" hidden="false" customHeight="true" outlineLevel="0" collapsed="false">
      <c r="A31" s="19" t="s">
        <v>106</v>
      </c>
      <c r="B31" s="15" t="s">
        <v>107</v>
      </c>
      <c r="D31" s="22" t="n">
        <v>0.015</v>
      </c>
      <c r="E31" s="22" t="n">
        <v>0.02</v>
      </c>
      <c r="F31" s="22" t="n">
        <v>0.025</v>
      </c>
      <c r="G31" s="15" t="s">
        <v>62</v>
      </c>
      <c r="H31" s="6" t="s">
        <v>108</v>
      </c>
    </row>
    <row r="32" customFormat="false" ht="15" hidden="false" customHeight="true" outlineLevel="0" collapsed="false">
      <c r="A32" s="19" t="s">
        <v>109</v>
      </c>
      <c r="B32" s="15" t="s">
        <v>110</v>
      </c>
      <c r="D32" s="17" t="n">
        <v>50</v>
      </c>
      <c r="E32" s="17" t="n">
        <v>75</v>
      </c>
      <c r="F32" s="17" t="n">
        <v>100</v>
      </c>
      <c r="G32" s="15" t="s">
        <v>58</v>
      </c>
      <c r="H32" s="6" t="s">
        <v>111</v>
      </c>
    </row>
    <row r="33" customFormat="false" ht="15" hidden="false" customHeight="true" outlineLevel="0" collapsed="false">
      <c r="A33" s="19" t="s">
        <v>112</v>
      </c>
      <c r="B33" s="15" t="s">
        <v>110</v>
      </c>
      <c r="D33" s="17" t="n">
        <v>150</v>
      </c>
      <c r="E33" s="17" t="n">
        <v>200</v>
      </c>
      <c r="F33" s="17" t="n">
        <v>250</v>
      </c>
      <c r="G33" s="15" t="s">
        <v>58</v>
      </c>
      <c r="H33" s="6" t="s">
        <v>113</v>
      </c>
    </row>
    <row r="34" customFormat="false" ht="15" hidden="false" customHeight="true" outlineLevel="0" collapsed="false">
      <c r="A34" s="19" t="s">
        <v>114</v>
      </c>
      <c r="B34" s="15" t="s">
        <v>115</v>
      </c>
      <c r="D34" s="23" t="n">
        <v>0.04</v>
      </c>
      <c r="E34" s="23" t="n">
        <v>0.05</v>
      </c>
      <c r="F34" s="23" t="n">
        <v>0.06</v>
      </c>
      <c r="G34" s="15" t="s">
        <v>58</v>
      </c>
      <c r="H34" s="6" t="s">
        <v>116</v>
      </c>
    </row>
    <row r="35" customFormat="false" ht="15" hidden="false" customHeight="true" outlineLevel="0" collapsed="false">
      <c r="A35" s="19" t="s">
        <v>117</v>
      </c>
      <c r="B35" s="15" t="s">
        <v>118</v>
      </c>
      <c r="D35" s="22" t="n">
        <v>0.003</v>
      </c>
      <c r="E35" s="22" t="n">
        <v>0.005</v>
      </c>
      <c r="F35" s="22" t="n">
        <v>0.008</v>
      </c>
      <c r="G35" s="15" t="s">
        <v>62</v>
      </c>
      <c r="H35" s="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120</v>
      </c>
    </row>
    <row r="2" customFormat="false" ht="15" hidden="false" customHeight="true" outlineLevel="0" collapsed="false">
      <c r="A2" s="10" t="s">
        <v>121</v>
      </c>
    </row>
    <row r="4" customFormat="false" ht="15" hidden="false" customHeight="true" outlineLevel="0" collapsed="false">
      <c r="A4" s="25" t="s">
        <v>122</v>
      </c>
      <c r="C4" s="24" t="s">
        <v>123</v>
      </c>
      <c r="D4" s="24" t="s">
        <v>124</v>
      </c>
      <c r="E4" s="24" t="s">
        <v>125</v>
      </c>
      <c r="F4" s="24" t="s">
        <v>126</v>
      </c>
      <c r="G4" s="24" t="s">
        <v>127</v>
      </c>
      <c r="H4" s="8" t="s">
        <v>128</v>
      </c>
    </row>
    <row r="5" customFormat="false" ht="15" hidden="false" customHeight="true" outlineLevel="0" collapsed="false">
      <c r="A5" s="19" t="s">
        <v>129</v>
      </c>
      <c r="C5" s="6" t="s">
        <v>130</v>
      </c>
      <c r="D5" s="6" t="s">
        <v>131</v>
      </c>
      <c r="E5" s="6" t="s">
        <v>132</v>
      </c>
      <c r="F5" s="6" t="s">
        <v>133</v>
      </c>
      <c r="G5" s="6" t="s">
        <v>134</v>
      </c>
    </row>
    <row r="6" customFormat="false" ht="15" hidden="false" customHeight="true" outlineLevel="0" collapsed="false">
      <c r="A6" s="14" t="s">
        <v>135</v>
      </c>
      <c r="C6" s="17" t="n">
        <v>32</v>
      </c>
      <c r="D6" s="17" t="n">
        <v>72</v>
      </c>
      <c r="E6" s="17" t="n">
        <v>72</v>
      </c>
      <c r="F6" s="17" t="n">
        <v>72</v>
      </c>
      <c r="G6" s="17" t="n">
        <v>144</v>
      </c>
    </row>
    <row r="7" customFormat="false" ht="15" hidden="false" customHeight="true" outlineLevel="0" collapsed="false">
      <c r="A7" s="19" t="s">
        <v>136</v>
      </c>
      <c r="C7" s="18" t="s">
        <v>137</v>
      </c>
      <c r="D7" s="18" t="s">
        <v>138</v>
      </c>
      <c r="E7" s="18" t="s">
        <v>138</v>
      </c>
      <c r="F7" s="18" t="s">
        <v>139</v>
      </c>
      <c r="G7" s="18" t="s">
        <v>138</v>
      </c>
    </row>
    <row r="8" customFormat="false" ht="15" hidden="false" customHeight="true" outlineLevel="0" collapsed="false">
      <c r="A8" s="19" t="s">
        <v>140</v>
      </c>
      <c r="C8" s="17" t="n">
        <v>38</v>
      </c>
      <c r="D8" s="17" t="n">
        <v>120</v>
      </c>
      <c r="E8" s="17" t="n">
        <v>132</v>
      </c>
      <c r="F8" s="17" t="n">
        <v>190</v>
      </c>
      <c r="G8" s="17" t="n">
        <v>550</v>
      </c>
    </row>
    <row r="9" customFormat="false" ht="15" hidden="false" customHeight="true" outlineLevel="0" collapsed="false">
      <c r="A9" s="19" t="s">
        <v>141</v>
      </c>
      <c r="C9" s="17" t="n">
        <v>41</v>
      </c>
      <c r="D9" s="17" t="n">
        <v>130</v>
      </c>
      <c r="E9" s="17" t="n">
        <v>137</v>
      </c>
      <c r="F9" s="17" t="n">
        <v>227</v>
      </c>
      <c r="G9" s="17" t="n">
        <v>600</v>
      </c>
    </row>
    <row r="10" customFormat="false" ht="15" hidden="false" customHeight="true" outlineLevel="0" collapsed="false">
      <c r="A10" s="19" t="s">
        <v>142</v>
      </c>
      <c r="C10" s="17" t="n">
        <v>44</v>
      </c>
      <c r="D10" s="17" t="n">
        <v>140</v>
      </c>
      <c r="E10" s="17" t="n">
        <v>142</v>
      </c>
      <c r="F10" s="17" t="n">
        <v>230</v>
      </c>
      <c r="G10" s="17" t="n">
        <v>650</v>
      </c>
    </row>
    <row r="11" customFormat="false" ht="15" hidden="false" customHeight="true" outlineLevel="0" collapsed="false">
      <c r="A11" s="19" t="s">
        <v>143</v>
      </c>
      <c r="C11" s="26" t="n">
        <v>0.9</v>
      </c>
      <c r="D11" s="26" t="n">
        <v>2.8</v>
      </c>
      <c r="E11" s="26" t="n">
        <v>4</v>
      </c>
      <c r="F11" s="26" t="n">
        <v>6.7</v>
      </c>
      <c r="G11" s="26" t="n">
        <v>23.4</v>
      </c>
    </row>
    <row r="12" customFormat="false" ht="15" hidden="false" customHeight="true" outlineLevel="0" collapsed="false">
      <c r="A12" s="19" t="s">
        <v>144</v>
      </c>
      <c r="C12" s="26" t="n">
        <v>1.1</v>
      </c>
      <c r="D12" s="26" t="n">
        <v>3.1</v>
      </c>
      <c r="E12" s="26" t="n">
        <v>5</v>
      </c>
      <c r="F12" s="26" t="n">
        <v>7.8</v>
      </c>
      <c r="G12" s="26" t="n">
        <v>31.2</v>
      </c>
    </row>
    <row r="13" customFormat="false" ht="15" hidden="false" customHeight="true" outlineLevel="0" collapsed="false">
      <c r="A13" s="19" t="s">
        <v>145</v>
      </c>
      <c r="C13" s="26" t="n">
        <v>1.3</v>
      </c>
      <c r="D13" s="26" t="n">
        <v>3.4</v>
      </c>
      <c r="E13" s="26" t="n">
        <v>6.5</v>
      </c>
      <c r="F13" s="26" t="n">
        <v>9.1</v>
      </c>
      <c r="G13" s="26" t="n">
        <v>39</v>
      </c>
    </row>
    <row r="14" customFormat="false" ht="54" hidden="false" customHeight="true" outlineLevel="0" collapsed="false">
      <c r="A14" s="19" t="s">
        <v>146</v>
      </c>
      <c r="C14" s="27" t="s">
        <v>147</v>
      </c>
      <c r="D14" s="28" t="s">
        <v>148</v>
      </c>
      <c r="E14" s="28" t="s">
        <v>83</v>
      </c>
      <c r="F14" s="28" t="s">
        <v>149</v>
      </c>
      <c r="G14" s="27" t="s">
        <v>150</v>
      </c>
    </row>
    <row r="15" customFormat="false" ht="54" hidden="false" customHeight="true" outlineLevel="0" collapsed="false">
      <c r="A15" s="19" t="s">
        <v>151</v>
      </c>
      <c r="C15" s="27" t="s">
        <v>152</v>
      </c>
      <c r="D15" s="28" t="s">
        <v>153</v>
      </c>
      <c r="E15" s="27" t="s">
        <v>154</v>
      </c>
      <c r="F15" s="27" t="s">
        <v>155</v>
      </c>
      <c r="G15" s="28" t="s">
        <v>156</v>
      </c>
    </row>
    <row r="16" customFormat="false" ht="54" hidden="false" customHeight="true" outlineLevel="0" collapsed="false">
      <c r="A16" s="19" t="s">
        <v>157</v>
      </c>
      <c r="C16" s="27" t="s">
        <v>158</v>
      </c>
      <c r="D16" s="27" t="s">
        <v>159</v>
      </c>
      <c r="E16" s="27" t="s">
        <v>160</v>
      </c>
      <c r="F16" s="27" t="s">
        <v>161</v>
      </c>
      <c r="G16" s="28" t="s">
        <v>162</v>
      </c>
    </row>
    <row r="17" customFormat="false" ht="54" hidden="false" customHeight="true" outlineLevel="0" collapsed="false">
      <c r="A17" s="19" t="s">
        <v>45</v>
      </c>
      <c r="C17" s="27" t="s">
        <v>62</v>
      </c>
      <c r="D17" s="27" t="s">
        <v>163</v>
      </c>
      <c r="E17" s="27" t="s">
        <v>163</v>
      </c>
      <c r="F17" s="27" t="s">
        <v>163</v>
      </c>
      <c r="G17" s="27" t="s">
        <v>58</v>
      </c>
    </row>
    <row r="19" customFormat="false" ht="15" hidden="false" customHeight="true" outlineLevel="0" collapsed="false">
      <c r="A19" s="10" t="s">
        <v>164</v>
      </c>
    </row>
    <row r="21" customFormat="false" ht="15" hidden="false" customHeight="true" outlineLevel="0" collapsed="false">
      <c r="A21" s="29" t="s">
        <v>165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0" t="s">
        <v>166</v>
      </c>
      <c r="C22" s="31" t="s">
        <v>167</v>
      </c>
      <c r="D22" s="31" t="s">
        <v>168</v>
      </c>
      <c r="E22" s="31" t="s">
        <v>168</v>
      </c>
      <c r="F22" s="31" t="s">
        <v>168</v>
      </c>
      <c r="G22" s="31" t="s">
        <v>168</v>
      </c>
      <c r="H22" s="32" t="s">
        <v>169</v>
      </c>
    </row>
    <row r="23" customFormat="false" ht="15" hidden="false" customHeight="true" outlineLevel="0" collapsed="false">
      <c r="A23" s="30" t="s">
        <v>170</v>
      </c>
      <c r="C23" s="33" t="n">
        <v>1.979</v>
      </c>
      <c r="D23" s="33" t="n">
        <v>10</v>
      </c>
      <c r="E23" s="33" t="n">
        <v>15</v>
      </c>
      <c r="F23" s="33" t="n">
        <v>35</v>
      </c>
      <c r="G23" s="33" t="n">
        <v>73</v>
      </c>
      <c r="H23" s="32" t="s">
        <v>171</v>
      </c>
    </row>
    <row r="24" customFormat="false" ht="15" hidden="false" customHeight="true" outlineLevel="0" collapsed="false">
      <c r="A24" s="30" t="s">
        <v>172</v>
      </c>
      <c r="C24" s="33" t="n">
        <v>1.979</v>
      </c>
      <c r="D24" s="33" t="n">
        <v>10</v>
      </c>
      <c r="E24" s="33" t="n">
        <v>15</v>
      </c>
      <c r="F24" s="33" t="n">
        <v>50</v>
      </c>
      <c r="G24" s="33" t="n">
        <v>104</v>
      </c>
      <c r="H24" s="32" t="s">
        <v>173</v>
      </c>
    </row>
    <row r="25" customFormat="false" ht="15" hidden="false" customHeight="true" outlineLevel="0" collapsed="false">
      <c r="A25" s="31" t="s">
        <v>174</v>
      </c>
      <c r="C25" s="34" t="n">
        <v>80</v>
      </c>
      <c r="D25" s="34" t="n">
        <v>186</v>
      </c>
      <c r="E25" s="34" t="n">
        <v>288</v>
      </c>
      <c r="F25" s="34" t="n">
        <v>288</v>
      </c>
      <c r="G25" s="34" t="n">
        <v>1024</v>
      </c>
      <c r="H25" s="32" t="s">
        <v>175</v>
      </c>
    </row>
    <row r="26" customFormat="false" ht="15" hidden="false" customHeight="true" outlineLevel="0" collapsed="false">
      <c r="A26" s="31" t="s">
        <v>176</v>
      </c>
      <c r="C26" s="35" t="n">
        <v>3.35</v>
      </c>
      <c r="D26" s="35" t="n">
        <v>8</v>
      </c>
      <c r="E26" s="35" t="n">
        <v>8</v>
      </c>
      <c r="F26" s="35" t="n">
        <v>22</v>
      </c>
      <c r="G26" s="35" t="n">
        <v>32</v>
      </c>
      <c r="H26" s="32" t="s">
        <v>177</v>
      </c>
    </row>
    <row r="27" customFormat="false" ht="15" hidden="false" customHeight="true" outlineLevel="0" collapsed="false">
      <c r="A27" s="31" t="s">
        <v>178</v>
      </c>
      <c r="C27" s="35" t="n">
        <v>0.05</v>
      </c>
      <c r="D27" s="35" t="n">
        <v>0.9</v>
      </c>
      <c r="E27" s="35" t="n">
        <v>0.9</v>
      </c>
      <c r="F27" s="35" t="n">
        <v>1.8</v>
      </c>
      <c r="G27" s="35" t="n">
        <v>1.8</v>
      </c>
      <c r="H27" s="32" t="s">
        <v>179</v>
      </c>
    </row>
    <row r="28" customFormat="false" ht="15" hidden="false" customHeight="true" outlineLevel="0" collapsed="false">
      <c r="A28" s="31" t="s">
        <v>180</v>
      </c>
      <c r="C28" s="34" t="n">
        <v>8</v>
      </c>
      <c r="D28" s="34" t="n">
        <v>72</v>
      </c>
      <c r="E28" s="34" t="n">
        <v>72</v>
      </c>
      <c r="F28" s="34" t="n">
        <v>72</v>
      </c>
      <c r="G28" s="34" t="n">
        <v>144</v>
      </c>
      <c r="H28" s="32"/>
    </row>
    <row r="29" customFormat="false" ht="15" hidden="false" customHeight="true" outlineLevel="0" collapsed="false">
      <c r="A29" s="31" t="s">
        <v>181</v>
      </c>
      <c r="C29" s="34" t="n">
        <v>64</v>
      </c>
      <c r="D29" s="34" t="n">
        <v>32</v>
      </c>
      <c r="E29" s="34" t="n">
        <v>32</v>
      </c>
      <c r="F29" s="34" t="n">
        <v>32</v>
      </c>
      <c r="G29" s="34" t="n">
        <v>64</v>
      </c>
      <c r="H29" s="32" t="s">
        <v>182</v>
      </c>
    </row>
    <row r="30" customFormat="false" ht="15" hidden="false" customHeight="true" outlineLevel="0" collapsed="false">
      <c r="A30" s="30" t="s">
        <v>183</v>
      </c>
      <c r="C30" s="36" t="n">
        <v>1</v>
      </c>
      <c r="D30" s="36" t="n">
        <v>0.5625</v>
      </c>
      <c r="E30" s="36" t="n">
        <v>0.5625</v>
      </c>
      <c r="F30" s="36" t="n">
        <v>0.5625</v>
      </c>
      <c r="G30" s="36" t="n">
        <v>0.5625</v>
      </c>
      <c r="H30" s="32" t="s">
        <v>184</v>
      </c>
    </row>
    <row r="31" customFormat="false" ht="15" hidden="false" customHeight="true" outlineLevel="0" collapsed="false">
      <c r="A31" s="30" t="s">
        <v>185</v>
      </c>
      <c r="C31" s="37" t="n">
        <v>1</v>
      </c>
      <c r="D31" s="37" t="n">
        <v>1</v>
      </c>
      <c r="E31" s="37" t="n">
        <v>1</v>
      </c>
      <c r="F31" s="37" t="n">
        <v>1</v>
      </c>
      <c r="G31" s="37" t="n">
        <v>1</v>
      </c>
      <c r="H31" s="38" t="s">
        <v>186</v>
      </c>
    </row>
    <row r="32" customFormat="false" ht="15" hidden="false" customHeight="true" outlineLevel="0" collapsed="false">
      <c r="A32" s="30" t="s">
        <v>187</v>
      </c>
      <c r="C32" s="34" t="n">
        <v>8</v>
      </c>
      <c r="D32" s="34" t="n">
        <v>4</v>
      </c>
      <c r="E32" s="34" t="n">
        <v>4</v>
      </c>
      <c r="F32" s="34" t="n">
        <v>4</v>
      </c>
      <c r="G32" s="34" t="n">
        <v>8</v>
      </c>
      <c r="H32" s="32" t="s">
        <v>188</v>
      </c>
    </row>
    <row r="33" customFormat="false" ht="15" hidden="false" customHeight="true" outlineLevel="0" collapsed="false">
      <c r="A33" s="31" t="s">
        <v>189</v>
      </c>
      <c r="C33" s="34" t="n">
        <v>700</v>
      </c>
      <c r="D33" s="34" t="n">
        <v>1200</v>
      </c>
      <c r="E33" s="34" t="n">
        <v>1400</v>
      </c>
      <c r="F33" s="34" t="n">
        <v>1800</v>
      </c>
      <c r="G33" s="34" t="n">
        <v>3600</v>
      </c>
      <c r="H33" s="32" t="s">
        <v>190</v>
      </c>
    </row>
    <row r="34" customFormat="false" ht="15" hidden="false" customHeight="true" outlineLevel="0" collapsed="false">
      <c r="A34" s="31" t="s">
        <v>191</v>
      </c>
      <c r="C34" s="34" t="n">
        <v>31</v>
      </c>
      <c r="D34" s="34" t="n">
        <v>25</v>
      </c>
      <c r="E34" s="34" t="n">
        <v>25</v>
      </c>
      <c r="F34" s="34" t="n">
        <v>20</v>
      </c>
      <c r="G34" s="34" t="n">
        <v>18</v>
      </c>
      <c r="H34" s="32" t="s">
        <v>192</v>
      </c>
    </row>
    <row r="35" customFormat="false" ht="15" hidden="false" customHeight="true" outlineLevel="0" collapsed="false">
      <c r="A35" s="8" t="s">
        <v>193</v>
      </c>
      <c r="C35" s="39" t="n">
        <f aca="false">IF(Serving!$C$16=2,C24,C23)</f>
        <v>1.979</v>
      </c>
      <c r="D35" s="39" t="n">
        <f aca="false">IF(Serving!$C$16=2,D24,D23)</f>
        <v>10</v>
      </c>
      <c r="E35" s="39" t="n">
        <f aca="false">IF(Serving!$C$16=2,E24,E23)</f>
        <v>15</v>
      </c>
      <c r="F35" s="39" t="n">
        <f aca="false">IF(Serving!$C$16=2,F24,F23)</f>
        <v>35</v>
      </c>
      <c r="G35" s="39" t="n">
        <f aca="false">IF(Serving!$C$16=2,G24,G23)</f>
        <v>73</v>
      </c>
    </row>
    <row r="36" customFormat="false" ht="15" hidden="false" customHeight="true" outlineLevel="0" collapsed="false">
      <c r="A36" s="31" t="s">
        <v>194</v>
      </c>
      <c r="C36" s="40" t="n">
        <f aca="false">C35*1000/C26</f>
        <v>590.746268656716</v>
      </c>
      <c r="D36" s="40" t="n">
        <f aca="false">D35*1000/D26</f>
        <v>1250</v>
      </c>
      <c r="E36" s="40" t="n">
        <f aca="false">E35*1000/E26</f>
        <v>1875</v>
      </c>
      <c r="F36" s="40" t="n">
        <f aca="false">F35*1000/F26</f>
        <v>1590.90909090909</v>
      </c>
      <c r="G36" s="40" t="n">
        <f aca="false">G35*1000/G26</f>
        <v>2281.25</v>
      </c>
    </row>
    <row r="38" customFormat="false" ht="15" hidden="false" customHeight="true" outlineLevel="0" collapsed="false">
      <c r="A38" s="29" t="s">
        <v>195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1" t="s">
        <v>196</v>
      </c>
      <c r="C39" s="33" t="n">
        <v>0.989</v>
      </c>
      <c r="D39" s="33" t="n">
        <v>2.5</v>
      </c>
      <c r="E39" s="33" t="n">
        <v>2.5</v>
      </c>
      <c r="F39" s="33" t="n">
        <v>4</v>
      </c>
      <c r="G39" s="33" t="n">
        <v>8</v>
      </c>
      <c r="H39" s="32" t="s">
        <v>197</v>
      </c>
    </row>
    <row r="40" customFormat="false" ht="15" hidden="false" customHeight="true" outlineLevel="0" collapsed="false">
      <c r="A40" s="31" t="s">
        <v>198</v>
      </c>
      <c r="C40" s="33" t="n">
        <v>1.979</v>
      </c>
      <c r="D40" s="33" t="n">
        <v>5</v>
      </c>
      <c r="E40" s="33" t="n">
        <v>5</v>
      </c>
      <c r="F40" s="33" t="n">
        <v>17.5</v>
      </c>
      <c r="G40" s="33" t="n">
        <v>34.7</v>
      </c>
      <c r="H40" s="32" t="s">
        <v>199</v>
      </c>
    </row>
    <row r="41" customFormat="false" ht="15" hidden="false" customHeight="true" outlineLevel="0" collapsed="false">
      <c r="A41" s="31" t="s">
        <v>200</v>
      </c>
      <c r="C41" s="33" t="n">
        <v>1.979</v>
      </c>
      <c r="D41" s="33" t="n">
        <v>10</v>
      </c>
      <c r="E41" s="33" t="n">
        <v>15</v>
      </c>
      <c r="F41" s="33" t="n">
        <v>35</v>
      </c>
      <c r="G41" s="33" t="n">
        <v>73</v>
      </c>
      <c r="H41" s="3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1" t="s">
        <v>202</v>
      </c>
    </row>
    <row r="2" customFormat="false" ht="15" hidden="false" customHeight="false" outlineLevel="0" collapsed="false">
      <c r="A2" s="42" t="s">
        <v>203</v>
      </c>
    </row>
    <row r="4" customFormat="false" ht="15" hidden="false" customHeight="false" outlineLevel="0" collapsed="false">
      <c r="A4" s="9" t="s">
        <v>40</v>
      </c>
      <c r="B4" s="9" t="s">
        <v>41</v>
      </c>
      <c r="C4" s="43" t="s">
        <v>204</v>
      </c>
      <c r="D4" s="43" t="s">
        <v>205</v>
      </c>
      <c r="E4" s="43" t="s">
        <v>206</v>
      </c>
      <c r="F4" s="9" t="s">
        <v>45</v>
      </c>
      <c r="G4" s="9" t="s">
        <v>46</v>
      </c>
    </row>
    <row r="5" customFormat="false" ht="15" hidden="false" customHeight="false" outlineLevel="0" collapsed="false">
      <c r="A5" s="44" t="s">
        <v>207</v>
      </c>
      <c r="B5" s="44"/>
      <c r="C5" s="45" t="s">
        <v>208</v>
      </c>
      <c r="D5" s="45" t="s">
        <v>209</v>
      </c>
      <c r="E5" s="44" t="s">
        <v>210</v>
      </c>
      <c r="F5" s="42" t="s">
        <v>50</v>
      </c>
      <c r="G5" s="42" t="s">
        <v>211</v>
      </c>
    </row>
    <row r="6" customFormat="false" ht="15" hidden="false" customHeight="false" outlineLevel="0" collapsed="false">
      <c r="A6" s="44" t="s">
        <v>212</v>
      </c>
      <c r="B6" s="45" t="s">
        <v>213</v>
      </c>
      <c r="C6" s="46" t="n">
        <v>284</v>
      </c>
      <c r="D6" s="46" t="n">
        <v>1600</v>
      </c>
      <c r="E6" s="46" t="n">
        <v>4000</v>
      </c>
      <c r="F6" s="42" t="s">
        <v>214</v>
      </c>
      <c r="G6" s="42" t="s">
        <v>215</v>
      </c>
    </row>
    <row r="7" customFormat="false" ht="15" hidden="false" customHeight="false" outlineLevel="0" collapsed="false">
      <c r="A7" s="44" t="s">
        <v>216</v>
      </c>
      <c r="B7" s="45" t="s">
        <v>213</v>
      </c>
      <c r="C7" s="46" t="n">
        <v>13</v>
      </c>
      <c r="D7" s="46" t="n">
        <v>49</v>
      </c>
      <c r="E7" s="46" t="n">
        <v>180</v>
      </c>
      <c r="F7" s="42" t="s">
        <v>214</v>
      </c>
      <c r="G7" s="42" t="s">
        <v>217</v>
      </c>
    </row>
    <row r="8" customFormat="false" ht="15" hidden="false" customHeight="false" outlineLevel="0" collapsed="false">
      <c r="A8" s="44" t="s">
        <v>218</v>
      </c>
      <c r="B8" s="44" t="s">
        <v>219</v>
      </c>
      <c r="C8" s="46" t="n">
        <v>43</v>
      </c>
      <c r="D8" s="46" t="n">
        <v>61</v>
      </c>
      <c r="E8" s="46" t="n">
        <v>100</v>
      </c>
      <c r="F8" s="42" t="s">
        <v>214</v>
      </c>
      <c r="G8" s="42" t="s">
        <v>220</v>
      </c>
    </row>
    <row r="9" customFormat="false" ht="15" hidden="false" customHeight="false" outlineLevel="0" collapsed="false">
      <c r="A9" s="45" t="s">
        <v>221</v>
      </c>
      <c r="B9" s="44"/>
      <c r="C9" s="46" t="n">
        <v>4096</v>
      </c>
      <c r="D9" s="46" t="n">
        <v>7168</v>
      </c>
      <c r="E9" s="46" t="n">
        <v>12288</v>
      </c>
      <c r="F9" s="42" t="s">
        <v>222</v>
      </c>
      <c r="G9" s="42" t="s">
        <v>223</v>
      </c>
    </row>
    <row r="10" customFormat="false" ht="15" hidden="false" customHeight="false" outlineLevel="0" collapsed="false">
      <c r="A10" s="45" t="s">
        <v>224</v>
      </c>
      <c r="B10" s="44"/>
      <c r="C10" s="46" t="n">
        <v>64</v>
      </c>
      <c r="D10" s="46" t="n">
        <v>128</v>
      </c>
      <c r="E10" s="46" t="n">
        <v>96</v>
      </c>
      <c r="F10" s="42" t="s">
        <v>225</v>
      </c>
      <c r="G10" s="42" t="s">
        <v>226</v>
      </c>
    </row>
    <row r="11" customFormat="false" ht="15" hidden="false" customHeight="false" outlineLevel="0" collapsed="false">
      <c r="A11" s="45" t="s">
        <v>227</v>
      </c>
      <c r="B11" s="44"/>
      <c r="C11" s="46" t="n">
        <v>512</v>
      </c>
      <c r="D11" s="46" t="n">
        <v>512</v>
      </c>
      <c r="E11" s="46" t="n">
        <v>128</v>
      </c>
      <c r="F11" s="42" t="s">
        <v>214</v>
      </c>
      <c r="G11" s="42" t="s">
        <v>228</v>
      </c>
    </row>
    <row r="12" customFormat="false" ht="15" hidden="false" customHeight="false" outlineLevel="0" collapsed="false">
      <c r="A12" s="45" t="s">
        <v>229</v>
      </c>
      <c r="B12" s="44"/>
      <c r="C12" s="46" t="n">
        <v>256</v>
      </c>
      <c r="D12" s="46" t="n">
        <v>384</v>
      </c>
      <c r="E12" s="46" t="n">
        <v>512</v>
      </c>
      <c r="F12" s="42" t="s">
        <v>214</v>
      </c>
      <c r="G12" s="42"/>
    </row>
    <row r="13" customFormat="false" ht="15" hidden="false" customHeight="false" outlineLevel="0" collapsed="false">
      <c r="A13" s="44" t="s">
        <v>230</v>
      </c>
      <c r="B13" s="44"/>
      <c r="C13" s="46" t="n">
        <v>6</v>
      </c>
      <c r="D13" s="46" t="n">
        <v>6</v>
      </c>
      <c r="E13" s="46" t="n">
        <v>16</v>
      </c>
      <c r="F13" s="42" t="s">
        <v>214</v>
      </c>
      <c r="G13" s="42"/>
    </row>
    <row r="14" customFormat="false" ht="15" hidden="false" customHeight="false" outlineLevel="0" collapsed="false">
      <c r="A14" s="45" t="s">
        <v>231</v>
      </c>
      <c r="B14" s="44"/>
      <c r="C14" s="46" t="n">
        <v>1</v>
      </c>
      <c r="D14" s="46" t="n">
        <v>1</v>
      </c>
      <c r="E14" s="46" t="n">
        <v>1</v>
      </c>
      <c r="F14" s="42" t="s">
        <v>93</v>
      </c>
      <c r="G14" s="42"/>
    </row>
    <row r="15" customFormat="false" ht="15" hidden="false" customHeight="false" outlineLevel="0" collapsed="false">
      <c r="A15" s="45" t="s">
        <v>232</v>
      </c>
      <c r="B15" s="44"/>
      <c r="C15" s="46" t="n">
        <v>129280</v>
      </c>
      <c r="D15" s="46" t="n">
        <v>129280</v>
      </c>
      <c r="E15" s="46" t="n">
        <v>200000</v>
      </c>
      <c r="F15" s="42" t="s">
        <v>214</v>
      </c>
      <c r="G15" s="42"/>
    </row>
    <row r="16" customFormat="false" ht="15" hidden="false" customHeight="false" outlineLevel="0" collapsed="false">
      <c r="A16" s="44" t="s">
        <v>233</v>
      </c>
      <c r="B16" s="45" t="s">
        <v>57</v>
      </c>
      <c r="C16" s="47" t="n">
        <v>0.5</v>
      </c>
      <c r="D16" s="47" t="n">
        <v>0.5</v>
      </c>
      <c r="E16" s="47" t="n">
        <v>1</v>
      </c>
      <c r="F16" s="42" t="s">
        <v>214</v>
      </c>
      <c r="G16" s="42" t="s">
        <v>234</v>
      </c>
    </row>
    <row r="17" customFormat="false" ht="15" hidden="false" customHeight="false" outlineLevel="0" collapsed="false">
      <c r="A17" s="44" t="s">
        <v>235</v>
      </c>
      <c r="B17" s="45" t="s">
        <v>236</v>
      </c>
      <c r="C17" s="46" t="n">
        <v>4224</v>
      </c>
      <c r="D17" s="46" t="n">
        <v>4224</v>
      </c>
      <c r="E17" s="46" t="n">
        <v>0</v>
      </c>
      <c r="F17" s="42" t="s">
        <v>237</v>
      </c>
      <c r="G17" s="42" t="s">
        <v>238</v>
      </c>
    </row>
    <row r="18" customFormat="false" ht="15" hidden="false" customHeight="false" outlineLevel="0" collapsed="false">
      <c r="A18" s="44" t="s">
        <v>239</v>
      </c>
      <c r="B18" s="45" t="s">
        <v>61</v>
      </c>
      <c r="C18" s="46" t="n">
        <v>128</v>
      </c>
      <c r="D18" s="46" t="n">
        <v>128</v>
      </c>
      <c r="E18" s="46" t="n">
        <v>1</v>
      </c>
      <c r="F18" s="42" t="s">
        <v>93</v>
      </c>
      <c r="G18" s="42" t="s">
        <v>240</v>
      </c>
    </row>
    <row r="19" customFormat="false" ht="15" hidden="false" customHeight="false" outlineLevel="0" collapsed="false">
      <c r="A19" s="44" t="s">
        <v>241</v>
      </c>
      <c r="B19" s="45" t="s">
        <v>236</v>
      </c>
      <c r="C19" s="46" t="n">
        <v>128</v>
      </c>
      <c r="D19" s="46" t="n">
        <v>128</v>
      </c>
      <c r="E19" s="46" t="n">
        <v>0</v>
      </c>
      <c r="F19" s="42" t="s">
        <v>93</v>
      </c>
      <c r="G19" s="42"/>
    </row>
    <row r="20" customFormat="false" ht="15" hidden="false" customHeight="false" outlineLevel="0" collapsed="false">
      <c r="A20" s="45" t="s">
        <v>242</v>
      </c>
      <c r="B20" s="44" t="s">
        <v>53</v>
      </c>
      <c r="E20" s="48" t="n">
        <v>2</v>
      </c>
      <c r="F20" s="42" t="s">
        <v>50</v>
      </c>
      <c r="G20" s="42" t="s">
        <v>243</v>
      </c>
    </row>
    <row r="21" customFormat="false" ht="15" hidden="false" customHeight="false" outlineLevel="0" collapsed="false">
      <c r="A21" s="45" t="s">
        <v>244</v>
      </c>
      <c r="B21" s="45" t="s">
        <v>213</v>
      </c>
      <c r="C21" s="46" t="n">
        <v>2795</v>
      </c>
      <c r="D21" s="46" t="n">
        <v>3965</v>
      </c>
      <c r="E21" s="46" t="n">
        <v>14976</v>
      </c>
      <c r="F21" s="42" t="s">
        <v>245</v>
      </c>
      <c r="G21" s="42" t="s">
        <v>246</v>
      </c>
    </row>
    <row r="22" customFormat="false" ht="15" hidden="false" customHeight="false" outlineLevel="0" collapsed="false">
      <c r="A22" s="45" t="s">
        <v>247</v>
      </c>
      <c r="B22" s="45" t="s">
        <v>213</v>
      </c>
      <c r="C22" s="46" t="n">
        <v>2795</v>
      </c>
      <c r="D22" s="46" t="n">
        <v>3965</v>
      </c>
      <c r="E22" s="46" t="n">
        <v>57600</v>
      </c>
      <c r="F22" s="42" t="s">
        <v>245</v>
      </c>
      <c r="G22" s="42" t="s">
        <v>248</v>
      </c>
    </row>
    <row r="23" customFormat="false" ht="15" hidden="false" customHeight="false" outlineLevel="0" collapsed="false">
      <c r="A23" s="45" t="s">
        <v>249</v>
      </c>
      <c r="B23" s="45" t="s">
        <v>213</v>
      </c>
      <c r="C23" s="46" t="n">
        <v>2795</v>
      </c>
      <c r="D23" s="46" t="n">
        <v>3965</v>
      </c>
      <c r="E23" s="46" t="n">
        <v>204800</v>
      </c>
      <c r="F23" s="42" t="s">
        <v>245</v>
      </c>
      <c r="G23" s="42" t="s">
        <v>250</v>
      </c>
    </row>
    <row r="24" customFormat="false" ht="15" hidden="false" customHeight="false" outlineLevel="0" collapsed="false">
      <c r="A24" s="49" t="s">
        <v>251</v>
      </c>
      <c r="B24" s="50"/>
      <c r="C24" s="50"/>
      <c r="D24" s="50"/>
      <c r="E24" s="50"/>
      <c r="F24" s="50"/>
      <c r="G24" s="50"/>
    </row>
    <row r="25" customFormat="false" ht="15" hidden="false" customHeight="false" outlineLevel="0" collapsed="false">
      <c r="A25" s="45" t="s">
        <v>252</v>
      </c>
      <c r="B25" s="45" t="s">
        <v>213</v>
      </c>
      <c r="C25" s="51" t="n">
        <f aca="false">CHOOSE(IF(C20="",1,C20),C21,C22,C23)</f>
        <v>2795</v>
      </c>
      <c r="D25" s="51" t="n">
        <f aca="false">CHOOSE(IF(D20="",1,D20),D21,D22,D23)</f>
        <v>3965</v>
      </c>
      <c r="E25" s="51" t="n">
        <f aca="false">CHOOSE(IF(E20="",1,E20),E21,E22,E23)</f>
        <v>57600</v>
      </c>
    </row>
    <row r="26" customFormat="false" ht="15" hidden="false" customHeight="false" outlineLevel="0" collapsed="false">
      <c r="A26" s="45" t="s">
        <v>253</v>
      </c>
      <c r="B26" s="45" t="s">
        <v>213</v>
      </c>
      <c r="C26" s="52" t="n">
        <f aca="false">C15*C9*2/1000000000</f>
        <v>1.05906176</v>
      </c>
      <c r="D26" s="52" t="n">
        <f aca="false">D15*D9*2/1000000000</f>
        <v>1.85335808</v>
      </c>
      <c r="E26" s="52" t="n">
        <f aca="false">E15*E9*2/1000000000</f>
        <v>4.9152</v>
      </c>
    </row>
    <row r="27" customFormat="false" ht="15" hidden="false" customHeight="false" outlineLevel="0" collapsed="false">
      <c r="A27" s="44" t="s">
        <v>254</v>
      </c>
      <c r="B27" s="45" t="s">
        <v>213</v>
      </c>
      <c r="C27" s="53" t="n">
        <f aca="false">(C6-C7)/(C8*(C12-C13))</f>
        <v>0.0252093023255814</v>
      </c>
      <c r="D27" s="53" t="n">
        <f aca="false">(D6-D7)/(D8*(D12-D13))</f>
        <v>0.0672651574290919</v>
      </c>
      <c r="E27" s="53" t="n">
        <f aca="false">(E6-E7)/(E8*(E12-E13))</f>
        <v>0.0770161290322581</v>
      </c>
      <c r="G27" s="54" t="s">
        <v>255</v>
      </c>
    </row>
    <row r="28" customFormat="false" ht="15" hidden="false" customHeight="false" outlineLevel="0" collapsed="false">
      <c r="A28" s="44" t="s">
        <v>256</v>
      </c>
      <c r="B28" s="45" t="s">
        <v>213</v>
      </c>
      <c r="C28" s="55" t="n">
        <f aca="false">C7-C8*(C13+C14)*C27</f>
        <v>5.412</v>
      </c>
      <c r="D28" s="55" t="n">
        <f aca="false">D7-D8*(D13+D14)*D27</f>
        <v>20.2777777777778</v>
      </c>
      <c r="E28" s="55" t="n">
        <f aca="false">E7-E8*(E13+E14)*E27</f>
        <v>49.0725806451613</v>
      </c>
    </row>
    <row r="29" customFormat="false" ht="15" hidden="false" customHeight="false" outlineLevel="0" collapsed="false">
      <c r="A29" s="44" t="s">
        <v>257</v>
      </c>
      <c r="B29" s="45" t="s">
        <v>213</v>
      </c>
      <c r="C29" s="55" t="n">
        <f aca="false">C6-C28</f>
        <v>278.588</v>
      </c>
      <c r="D29" s="55" t="n">
        <f aca="false">D6-D28</f>
        <v>1579.72222222222</v>
      </c>
      <c r="E29" s="55" t="n">
        <f aca="false">E6-E28</f>
        <v>3950.92741935484</v>
      </c>
    </row>
    <row r="30" customFormat="false" ht="15" hidden="false" customHeight="false" outlineLevel="0" collapsed="false">
      <c r="A30" s="44" t="s">
        <v>258</v>
      </c>
      <c r="B30" s="45" t="s">
        <v>259</v>
      </c>
      <c r="C30" s="56" t="n">
        <f aca="false">4*C10*C11*C8</f>
        <v>5636096</v>
      </c>
      <c r="D30" s="56" t="n">
        <f aca="false">4*D10*D11*D8</f>
        <v>15990784</v>
      </c>
      <c r="E30" s="56" t="n">
        <f aca="false">4*E10*E11*E8</f>
        <v>4915200</v>
      </c>
    </row>
    <row r="31" customFormat="false" ht="15" hidden="false" customHeight="false" outlineLevel="0" collapsed="false">
      <c r="A31" s="45" t="s">
        <v>260</v>
      </c>
      <c r="B31" s="45" t="s">
        <v>261</v>
      </c>
      <c r="C31" s="52" t="n">
        <f aca="false">C25*128000/1000000000</f>
        <v>0.35776</v>
      </c>
      <c r="D31" s="52" t="n">
        <f aca="false">D25*128000/1000000000</f>
        <v>0.50752</v>
      </c>
      <c r="E31" s="52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1" t="s">
        <v>262</v>
      </c>
    </row>
    <row r="2" customFormat="false" ht="15" hidden="false" customHeight="false" outlineLevel="0" collapsed="false">
      <c r="A2" s="54" t="s">
        <v>263</v>
      </c>
    </row>
    <row r="4" customFormat="false" ht="15" hidden="false" customHeight="false" outlineLevel="0" collapsed="false">
      <c r="A4" s="9" t="s">
        <v>264</v>
      </c>
      <c r="B4" s="9" t="s">
        <v>41</v>
      </c>
      <c r="C4" s="9" t="s">
        <v>265</v>
      </c>
      <c r="D4" s="9" t="s">
        <v>45</v>
      </c>
      <c r="E4" s="9"/>
      <c r="F4" s="9" t="s">
        <v>266</v>
      </c>
    </row>
    <row r="5" customFormat="false" ht="15" hidden="false" customHeight="false" outlineLevel="0" collapsed="false">
      <c r="A5" s="44" t="s">
        <v>267</v>
      </c>
      <c r="B5" s="44"/>
      <c r="C5" s="44" t="s">
        <v>268</v>
      </c>
      <c r="D5" s="42" t="s">
        <v>50</v>
      </c>
      <c r="F5" s="42" t="s">
        <v>269</v>
      </c>
    </row>
    <row r="6" customFormat="false" ht="15" hidden="false" customHeight="false" outlineLevel="0" collapsed="false">
      <c r="A6" s="45" t="s">
        <v>270</v>
      </c>
      <c r="B6" s="45" t="s">
        <v>236</v>
      </c>
      <c r="C6" s="48" t="n">
        <v>3</v>
      </c>
      <c r="D6" s="42" t="s">
        <v>62</v>
      </c>
      <c r="F6" s="42" t="s">
        <v>271</v>
      </c>
    </row>
    <row r="7" customFormat="false" ht="15" hidden="false" customHeight="false" outlineLevel="0" collapsed="false">
      <c r="A7" s="44" t="s">
        <v>272</v>
      </c>
      <c r="B7" s="45" t="s">
        <v>57</v>
      </c>
      <c r="C7" s="47" t="n">
        <v>0.7</v>
      </c>
      <c r="D7" s="42" t="s">
        <v>273</v>
      </c>
      <c r="F7" s="42" t="s">
        <v>274</v>
      </c>
    </row>
    <row r="8" customFormat="false" ht="15" hidden="false" customHeight="false" outlineLevel="0" collapsed="false">
      <c r="A8" s="44" t="s">
        <v>275</v>
      </c>
      <c r="B8" s="45" t="s">
        <v>236</v>
      </c>
      <c r="C8" s="57" t="n">
        <f aca="false">(1-C7^(C6+1))/(1-C7)</f>
        <v>2.533</v>
      </c>
      <c r="D8" s="42" t="s">
        <v>237</v>
      </c>
      <c r="F8" s="42" t="s">
        <v>276</v>
      </c>
    </row>
    <row r="9" customFormat="false" ht="15" hidden="false" customHeight="false" outlineLevel="0" collapsed="false">
      <c r="A9" s="45" t="s">
        <v>277</v>
      </c>
      <c r="B9" s="45" t="s">
        <v>57</v>
      </c>
      <c r="C9" s="47" t="n">
        <v>0.1</v>
      </c>
      <c r="D9" s="42" t="s">
        <v>58</v>
      </c>
      <c r="F9" s="54" t="s">
        <v>278</v>
      </c>
    </row>
    <row r="10" customFormat="false" ht="15" hidden="false" customHeight="false" outlineLevel="0" collapsed="false">
      <c r="A10" s="44" t="s">
        <v>279</v>
      </c>
      <c r="B10" s="45" t="s">
        <v>57</v>
      </c>
      <c r="C10" s="47" t="n">
        <v>0.2</v>
      </c>
      <c r="D10" s="42" t="s">
        <v>58</v>
      </c>
      <c r="F10" s="54" t="s">
        <v>280</v>
      </c>
    </row>
    <row r="11" customFormat="false" ht="15" hidden="false" customHeight="false" outlineLevel="0" collapsed="false">
      <c r="A11" s="44" t="s">
        <v>281</v>
      </c>
      <c r="B11" s="45" t="s">
        <v>57</v>
      </c>
      <c r="C11" s="47" t="n">
        <v>0.4</v>
      </c>
      <c r="D11" s="42" t="s">
        <v>58</v>
      </c>
      <c r="F11" s="54" t="s">
        <v>282</v>
      </c>
    </row>
    <row r="12" customFormat="false" ht="15" hidden="false" customHeight="false" outlineLevel="0" collapsed="false">
      <c r="A12" s="45" t="s">
        <v>283</v>
      </c>
      <c r="B12" s="45" t="s">
        <v>213</v>
      </c>
      <c r="C12" s="58" t="n">
        <v>3</v>
      </c>
      <c r="D12" s="42" t="s">
        <v>62</v>
      </c>
      <c r="F12" s="42" t="s">
        <v>284</v>
      </c>
    </row>
    <row r="13" customFormat="false" ht="15" hidden="false" customHeight="false" outlineLevel="0" collapsed="false">
      <c r="A13" s="45" t="s">
        <v>285</v>
      </c>
      <c r="B13" s="45" t="s">
        <v>57</v>
      </c>
      <c r="C13" s="47" t="n">
        <v>0.7</v>
      </c>
      <c r="D13" s="42" t="s">
        <v>62</v>
      </c>
      <c r="F13" s="54" t="s">
        <v>286</v>
      </c>
    </row>
    <row r="14" customFormat="false" ht="15" hidden="false" customHeight="false" outlineLevel="0" collapsed="false">
      <c r="A14" s="45" t="s">
        <v>287</v>
      </c>
      <c r="B14" s="45" t="s">
        <v>57</v>
      </c>
      <c r="C14" s="47" t="n">
        <v>0.7</v>
      </c>
      <c r="D14" s="42" t="s">
        <v>62</v>
      </c>
      <c r="F14" s="54" t="s">
        <v>286</v>
      </c>
    </row>
    <row r="15" customFormat="false" ht="15" hidden="false" customHeight="false" outlineLevel="0" collapsed="false">
      <c r="A15" s="44" t="s">
        <v>288</v>
      </c>
      <c r="B15" s="45" t="s">
        <v>289</v>
      </c>
      <c r="C15" s="59" t="n">
        <v>0.1</v>
      </c>
      <c r="D15" s="42" t="s">
        <v>58</v>
      </c>
      <c r="F15" s="54" t="s">
        <v>290</v>
      </c>
    </row>
    <row r="16" customFormat="false" ht="15" hidden="false" customHeight="false" outlineLevel="0" collapsed="false">
      <c r="A16" s="44" t="s">
        <v>291</v>
      </c>
      <c r="B16" s="44" t="s">
        <v>53</v>
      </c>
      <c r="C16" s="48" t="n">
        <v>1</v>
      </c>
      <c r="D16" s="42" t="s">
        <v>50</v>
      </c>
      <c r="F16" s="42" t="s">
        <v>292</v>
      </c>
    </row>
    <row r="17" customFormat="false" ht="15" hidden="false" customHeight="false" outlineLevel="0" collapsed="false">
      <c r="A17" s="44" t="s">
        <v>293</v>
      </c>
      <c r="B17" s="45" t="s">
        <v>57</v>
      </c>
      <c r="C17" s="60" t="n">
        <v>0.6</v>
      </c>
      <c r="D17" s="42" t="s">
        <v>58</v>
      </c>
      <c r="F17" s="42" t="s">
        <v>294</v>
      </c>
    </row>
    <row r="18" customFormat="false" ht="15" hidden="false" customHeight="false" outlineLevel="0" collapsed="false">
      <c r="A18" s="44" t="s">
        <v>295</v>
      </c>
      <c r="B18" s="45" t="s">
        <v>61</v>
      </c>
      <c r="C18" s="61" t="n">
        <v>1</v>
      </c>
      <c r="D18" s="42" t="s">
        <v>58</v>
      </c>
      <c r="F18" s="54" t="s">
        <v>296</v>
      </c>
    </row>
    <row r="19" customFormat="false" ht="15" hidden="false" customHeight="false" outlineLevel="0" collapsed="false">
      <c r="A19" s="49" t="s">
        <v>297</v>
      </c>
      <c r="B19" s="50"/>
      <c r="C19" s="50"/>
      <c r="D19" s="50"/>
      <c r="E19" s="50"/>
      <c r="F19" s="50"/>
    </row>
    <row r="20" customFormat="false" ht="15" hidden="false" customHeight="false" outlineLevel="0" collapsed="false">
      <c r="A20" s="9" t="s">
        <v>298</v>
      </c>
      <c r="B20" s="9" t="s">
        <v>41</v>
      </c>
      <c r="C20" s="62" t="str">
        <f aca="false">Arch!C4</f>
        <v>Luna（低層）</v>
      </c>
      <c r="D20" s="62" t="str">
        <f aca="false">Arch!D4</f>
        <v>Sol（中層）</v>
      </c>
      <c r="E20" s="62" t="str">
        <f aca="false">Arch!E4</f>
        <v>Astra（頂層）</v>
      </c>
      <c r="F20" s="9" t="s">
        <v>266</v>
      </c>
    </row>
    <row r="21" customFormat="false" ht="15" hidden="false" customHeight="false" outlineLevel="0" collapsed="false">
      <c r="A21" s="45" t="s">
        <v>299</v>
      </c>
      <c r="B21" s="45" t="s">
        <v>300</v>
      </c>
      <c r="C21" s="63" t="n">
        <v>120</v>
      </c>
      <c r="D21" s="63" t="n">
        <v>65</v>
      </c>
      <c r="E21" s="63" t="n">
        <v>55</v>
      </c>
      <c r="F21" s="42" t="s">
        <v>301</v>
      </c>
    </row>
    <row r="22" customFormat="false" ht="15" hidden="false" customHeight="false" outlineLevel="0" collapsed="false">
      <c r="A22" s="45" t="s">
        <v>302</v>
      </c>
      <c r="B22" s="45" t="s">
        <v>303</v>
      </c>
      <c r="C22" s="58" t="n">
        <v>2</v>
      </c>
      <c r="D22" s="58" t="n">
        <v>3</v>
      </c>
      <c r="E22" s="58" t="n">
        <v>5</v>
      </c>
      <c r="F22" s="42" t="s">
        <v>58</v>
      </c>
    </row>
    <row r="23" customFormat="false" ht="15" hidden="false" customHeight="false" outlineLevel="0" collapsed="false">
      <c r="A23" s="44" t="s">
        <v>304</v>
      </c>
      <c r="B23" s="45" t="s">
        <v>236</v>
      </c>
      <c r="C23" s="46" t="n">
        <v>8192</v>
      </c>
      <c r="D23" s="46" t="n">
        <v>16384</v>
      </c>
      <c r="E23" s="46" t="n">
        <v>32768</v>
      </c>
      <c r="F23" s="42" t="s">
        <v>305</v>
      </c>
    </row>
    <row r="24" customFormat="false" ht="15" hidden="false" customHeight="false" outlineLevel="0" collapsed="false">
      <c r="A24" s="44" t="s">
        <v>306</v>
      </c>
      <c r="B24" s="45" t="s">
        <v>236</v>
      </c>
      <c r="C24" s="46" t="n">
        <v>1024</v>
      </c>
      <c r="D24" s="46" t="n">
        <v>2048</v>
      </c>
      <c r="E24" s="46" t="n">
        <v>4096</v>
      </c>
      <c r="F24" s="42" t="s">
        <v>58</v>
      </c>
    </row>
    <row r="25" customFormat="false" ht="15" hidden="false" customHeight="false" outlineLevel="0" collapsed="false">
      <c r="A25" s="45" t="s">
        <v>307</v>
      </c>
      <c r="B25" s="45" t="s">
        <v>236</v>
      </c>
      <c r="C25" s="56" t="n">
        <f aca="false">C23+C24/2</f>
        <v>8704</v>
      </c>
      <c r="D25" s="56" t="n">
        <f aca="false">D23+D24/2</f>
        <v>17408</v>
      </c>
      <c r="E25" s="56" t="n">
        <f aca="false">E23+E24/2</f>
        <v>34816</v>
      </c>
      <c r="F25" s="42" t="s">
        <v>237</v>
      </c>
    </row>
    <row r="26" customFormat="false" ht="15" hidden="false" customHeight="false" outlineLevel="0" collapsed="false">
      <c r="A26" s="45" t="s">
        <v>308</v>
      </c>
      <c r="B26" s="45" t="s">
        <v>236</v>
      </c>
      <c r="C26" s="56" t="n">
        <f aca="false">C23/2</f>
        <v>4096</v>
      </c>
      <c r="D26" s="56" t="n">
        <f aca="false">D23/2</f>
        <v>8192</v>
      </c>
      <c r="E26" s="56" t="n">
        <f aca="false">E23/2</f>
        <v>16384</v>
      </c>
      <c r="F26" s="42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1" t="s">
        <v>309</v>
      </c>
    </row>
    <row r="2" customFormat="false" ht="15" hidden="false" customHeight="false" outlineLevel="0" collapsed="false">
      <c r="A2" s="54" t="s">
        <v>310</v>
      </c>
    </row>
    <row r="4" customFormat="false" ht="30" hidden="false" customHeight="true" outlineLevel="0" collapsed="false">
      <c r="A4" s="9" t="s">
        <v>40</v>
      </c>
      <c r="B4" s="9" t="s">
        <v>41</v>
      </c>
      <c r="C4" s="64" t="s">
        <v>311</v>
      </c>
      <c r="D4" s="64" t="s">
        <v>312</v>
      </c>
      <c r="E4" s="64" t="s">
        <v>313</v>
      </c>
      <c r="F4" s="64" t="s">
        <v>314</v>
      </c>
      <c r="G4" s="65" t="s">
        <v>315</v>
      </c>
      <c r="H4" s="9" t="s">
        <v>266</v>
      </c>
    </row>
    <row r="5" customFormat="false" ht="15" hidden="false" customHeight="false" outlineLevel="0" collapsed="false">
      <c r="A5" s="44" t="s">
        <v>316</v>
      </c>
      <c r="B5" s="44" t="s">
        <v>317</v>
      </c>
      <c r="C5" s="46" t="n">
        <v>1</v>
      </c>
      <c r="D5" s="46" t="n">
        <v>1</v>
      </c>
      <c r="E5" s="46" t="n">
        <v>4</v>
      </c>
      <c r="F5" s="46" t="n">
        <v>4</v>
      </c>
      <c r="G5" s="46" t="n">
        <v>30</v>
      </c>
      <c r="H5" s="42" t="s">
        <v>58</v>
      </c>
    </row>
    <row r="6" customFormat="false" ht="15" hidden="false" customHeight="false" outlineLevel="0" collapsed="false">
      <c r="A6" s="44" t="s">
        <v>318</v>
      </c>
      <c r="B6" s="45" t="s">
        <v>236</v>
      </c>
      <c r="C6" s="46" t="n">
        <v>2000</v>
      </c>
      <c r="D6" s="46" t="n">
        <v>2000</v>
      </c>
      <c r="E6" s="46" t="n">
        <v>3000</v>
      </c>
      <c r="F6" s="46" t="n">
        <v>3000</v>
      </c>
      <c r="G6" s="46" t="n">
        <v>12000</v>
      </c>
      <c r="H6" s="42" t="s">
        <v>58</v>
      </c>
    </row>
    <row r="7" customFormat="false" ht="15" hidden="false" customHeight="false" outlineLevel="0" collapsed="false">
      <c r="A7" s="44" t="s">
        <v>319</v>
      </c>
      <c r="B7" s="45" t="s">
        <v>236</v>
      </c>
      <c r="C7" s="46" t="n">
        <v>500</v>
      </c>
      <c r="D7" s="46" t="n">
        <v>500</v>
      </c>
      <c r="E7" s="46" t="n">
        <v>1200</v>
      </c>
      <c r="F7" s="46" t="n">
        <v>1200</v>
      </c>
      <c r="G7" s="46" t="n">
        <v>2000</v>
      </c>
      <c r="H7" s="42" t="s">
        <v>58</v>
      </c>
    </row>
    <row r="8" customFormat="false" ht="15" hidden="false" customHeight="false" outlineLevel="0" collapsed="false">
      <c r="A8" s="44" t="s">
        <v>320</v>
      </c>
      <c r="B8" s="45" t="s">
        <v>236</v>
      </c>
      <c r="C8" s="46" t="n">
        <v>0</v>
      </c>
      <c r="D8" s="46" t="n">
        <v>3000</v>
      </c>
      <c r="E8" s="46" t="n">
        <v>400</v>
      </c>
      <c r="F8" s="46" t="n">
        <v>400</v>
      </c>
      <c r="G8" s="46" t="n">
        <v>600</v>
      </c>
      <c r="H8" s="42" t="s">
        <v>321</v>
      </c>
    </row>
    <row r="9" customFormat="false" ht="15" hidden="false" customHeight="false" outlineLevel="0" collapsed="false">
      <c r="A9" s="44" t="s">
        <v>322</v>
      </c>
      <c r="B9" s="45" t="s">
        <v>236</v>
      </c>
      <c r="C9" s="46" t="n">
        <v>500</v>
      </c>
      <c r="D9" s="46" t="n">
        <v>700</v>
      </c>
      <c r="E9" s="46" t="n">
        <v>200</v>
      </c>
      <c r="F9" s="46" t="n">
        <v>200</v>
      </c>
      <c r="G9" s="46" t="n">
        <v>400</v>
      </c>
      <c r="H9" s="42" t="s">
        <v>58</v>
      </c>
    </row>
    <row r="10" customFormat="false" ht="15" hidden="false" customHeight="false" outlineLevel="0" collapsed="false">
      <c r="A10" s="44" t="s">
        <v>323</v>
      </c>
      <c r="B10" s="45" t="s">
        <v>57</v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2" t="s">
        <v>324</v>
      </c>
    </row>
    <row r="11" customFormat="false" ht="15" hidden="false" customHeight="false" outlineLevel="0" collapsed="false">
      <c r="A11" s="44" t="s">
        <v>325</v>
      </c>
      <c r="B11" s="45" t="s">
        <v>57</v>
      </c>
      <c r="C11" s="47" t="n">
        <v>0.5</v>
      </c>
      <c r="D11" s="47" t="n">
        <v>0.5</v>
      </c>
      <c r="E11" s="47" t="n">
        <v>0.9</v>
      </c>
      <c r="F11" s="47" t="n">
        <v>0.9</v>
      </c>
      <c r="G11" s="47" t="n">
        <v>0.9</v>
      </c>
      <c r="H11" s="42" t="s">
        <v>326</v>
      </c>
    </row>
    <row r="12" customFormat="false" ht="15" hidden="false" customHeight="false" outlineLevel="0" collapsed="false">
      <c r="A12" s="44" t="s">
        <v>327</v>
      </c>
      <c r="B12" s="44" t="s">
        <v>328</v>
      </c>
      <c r="C12" s="48" t="n">
        <v>0</v>
      </c>
      <c r="D12" s="48" t="n">
        <v>0</v>
      </c>
      <c r="E12" s="48" t="n">
        <v>0</v>
      </c>
      <c r="F12" s="48" t="n">
        <v>3</v>
      </c>
      <c r="G12" s="48" t="n">
        <v>0</v>
      </c>
      <c r="H12" s="42" t="s">
        <v>329</v>
      </c>
    </row>
    <row r="13" customFormat="false" ht="15" hidden="false" customHeight="false" outlineLevel="0" collapsed="false">
      <c r="A13" s="45" t="s">
        <v>330</v>
      </c>
      <c r="B13" s="45" t="s">
        <v>61</v>
      </c>
      <c r="C13" s="59" t="n">
        <v>1</v>
      </c>
      <c r="D13" s="59" t="n">
        <v>1</v>
      </c>
      <c r="E13" s="59" t="n">
        <v>1</v>
      </c>
      <c r="F13" s="59" t="n">
        <v>1</v>
      </c>
      <c r="G13" s="59" t="n">
        <v>1</v>
      </c>
      <c r="H13" s="54" t="s">
        <v>331</v>
      </c>
    </row>
    <row r="15" customFormat="false" ht="15" hidden="false" customHeight="false" outlineLevel="0" collapsed="false">
      <c r="A15" s="49" t="s">
        <v>332</v>
      </c>
      <c r="B15" s="50"/>
      <c r="C15" s="50"/>
      <c r="D15" s="50"/>
      <c r="E15" s="50"/>
      <c r="F15" s="50"/>
      <c r="G15" s="50"/>
      <c r="H15" s="50"/>
    </row>
    <row r="16" customFormat="false" ht="15" hidden="false" customHeight="false" outlineLevel="0" collapsed="false">
      <c r="A16" s="44" t="s">
        <v>333</v>
      </c>
      <c r="B16" s="45" t="s">
        <v>236</v>
      </c>
      <c r="C16" s="56" t="n">
        <f aca="false">C7+C9+C10*C8</f>
        <v>1000</v>
      </c>
      <c r="D16" s="56" t="n">
        <f aca="false">D7+D9+D10*D8</f>
        <v>1200</v>
      </c>
      <c r="E16" s="56" t="n">
        <f aca="false">E7+E9+E10*E8</f>
        <v>1400</v>
      </c>
      <c r="F16" s="56" t="n">
        <f aca="false">F7+F9+F10*F8</f>
        <v>1400</v>
      </c>
      <c r="G16" s="56" t="n">
        <f aca="false">G7+G9+G10*G8</f>
        <v>2400</v>
      </c>
    </row>
    <row r="17" customFormat="false" ht="15" hidden="false" customHeight="false" outlineLevel="0" collapsed="false">
      <c r="A17" s="44" t="s">
        <v>334</v>
      </c>
      <c r="B17" s="45" t="s">
        <v>236</v>
      </c>
      <c r="C17" s="56" t="n">
        <f aca="false">C5*(C6+C7)+C16*C5*(C5-1)/2</f>
        <v>2500</v>
      </c>
      <c r="D17" s="56" t="n">
        <f aca="false">D5*(D6+D7)+D16*D5*(D5-1)/2</f>
        <v>2500</v>
      </c>
      <c r="E17" s="56" t="n">
        <f aca="false">E5*(E6+E7)+E16*E5*(E5-1)/2</f>
        <v>25200</v>
      </c>
      <c r="F17" s="56" t="n">
        <f aca="false">F5*(F6+F7)+F16*F5*(F5-1)/2</f>
        <v>25200</v>
      </c>
      <c r="G17" s="56" t="n">
        <f aca="false">G5*(G6+G7)+G16*G5*(G5-1)/2</f>
        <v>1464000</v>
      </c>
    </row>
    <row r="18" customFormat="false" ht="15" hidden="false" customHeight="false" outlineLevel="0" collapsed="false">
      <c r="A18" s="44" t="s">
        <v>335</v>
      </c>
      <c r="B18" s="45" t="s">
        <v>236</v>
      </c>
      <c r="C18" s="56" t="n">
        <f aca="false">C11*(C5*C6+C16*C5*(C5-1)/2)</f>
        <v>1000</v>
      </c>
      <c r="D18" s="56" t="n">
        <f aca="false">D11*(D5*D6+D16*D5*(D5-1)/2)</f>
        <v>1000</v>
      </c>
      <c r="E18" s="56" t="n">
        <f aca="false">E11*(E5*E6+E16*E5*(E5-1)/2)</f>
        <v>18360</v>
      </c>
      <c r="F18" s="56" t="n">
        <f aca="false">F11*(F5*F6+F16*F5*(F5-1)/2)</f>
        <v>18360</v>
      </c>
      <c r="G18" s="56" t="n">
        <f aca="false">G11*(G5*G6+G16*G5*(G5-1)/2)</f>
        <v>1263600</v>
      </c>
    </row>
    <row r="19" customFormat="false" ht="15" hidden="false" customHeight="false" outlineLevel="0" collapsed="false">
      <c r="A19" s="44" t="s">
        <v>336</v>
      </c>
      <c r="B19" s="45" t="s">
        <v>236</v>
      </c>
      <c r="C19" s="56" t="n">
        <f aca="false">C17-C18</f>
        <v>1500</v>
      </c>
      <c r="D19" s="56" t="n">
        <f aca="false">D17-D18</f>
        <v>1500</v>
      </c>
      <c r="E19" s="56" t="n">
        <f aca="false">E17-E18</f>
        <v>6840</v>
      </c>
      <c r="F19" s="56" t="n">
        <f aca="false">F17-F18</f>
        <v>6840</v>
      </c>
      <c r="G19" s="56" t="n">
        <f aca="false">G17-G18</f>
        <v>200400</v>
      </c>
    </row>
    <row r="20" customFormat="false" ht="15" hidden="false" customHeight="false" outlineLevel="0" collapsed="false">
      <c r="A20" s="44" t="s">
        <v>337</v>
      </c>
      <c r="B20" s="45" t="s">
        <v>236</v>
      </c>
      <c r="C20" s="56" t="n">
        <f aca="false">C5*(C8+C9)</f>
        <v>500</v>
      </c>
      <c r="D20" s="56" t="n">
        <f aca="false">D5*(D8+D9)</f>
        <v>3700</v>
      </c>
      <c r="E20" s="56" t="n">
        <f aca="false">E5*(E8+E9)</f>
        <v>2400</v>
      </c>
      <c r="F20" s="56" t="n">
        <f aca="false">F5*(F8+F9)</f>
        <v>2400</v>
      </c>
      <c r="G20" s="56" t="n">
        <f aca="false">G5*(G8+G9)</f>
        <v>30000</v>
      </c>
    </row>
    <row r="21" customFormat="false" ht="15" hidden="false" customHeight="false" outlineLevel="0" collapsed="false">
      <c r="A21" s="44" t="s">
        <v>338</v>
      </c>
      <c r="B21" s="45" t="s">
        <v>61</v>
      </c>
      <c r="C21" s="57" t="n">
        <f aca="false">(1+C12)*C13</f>
        <v>1</v>
      </c>
      <c r="D21" s="57" t="n">
        <f aca="false">(1+D12)*D13</f>
        <v>1</v>
      </c>
      <c r="E21" s="57" t="n">
        <f aca="false">(1+E12)*E13</f>
        <v>1</v>
      </c>
      <c r="F21" s="57" t="n">
        <f aca="false">(1+F12)*F13</f>
        <v>4</v>
      </c>
      <c r="G21" s="57" t="n">
        <f aca="false">(1+G12)*G13</f>
        <v>1</v>
      </c>
    </row>
    <row r="22" customFormat="false" ht="15" hidden="false" customHeight="false" outlineLevel="0" collapsed="false">
      <c r="A22" s="44" t="s">
        <v>339</v>
      </c>
      <c r="B22" s="45" t="s">
        <v>236</v>
      </c>
      <c r="C22" s="56" t="n">
        <f aca="false">C19*C21</f>
        <v>1500</v>
      </c>
      <c r="D22" s="56" t="n">
        <f aca="false">D19*D21</f>
        <v>1500</v>
      </c>
      <c r="E22" s="56" t="n">
        <f aca="false">E19*E21</f>
        <v>6840</v>
      </c>
      <c r="F22" s="56" t="n">
        <f aca="false">F19*F21</f>
        <v>27360</v>
      </c>
      <c r="G22" s="56" t="n">
        <f aca="false">G19*G21</f>
        <v>200400</v>
      </c>
    </row>
    <row r="23" customFormat="false" ht="15" hidden="false" customHeight="false" outlineLevel="0" collapsed="false">
      <c r="A23" s="44" t="s">
        <v>340</v>
      </c>
      <c r="B23" s="45" t="s">
        <v>236</v>
      </c>
      <c r="C23" s="56" t="n">
        <f aca="false">C18*C21</f>
        <v>1000</v>
      </c>
      <c r="D23" s="56" t="n">
        <f aca="false">D18*D21</f>
        <v>1000</v>
      </c>
      <c r="E23" s="56" t="n">
        <f aca="false">E18*E21</f>
        <v>18360</v>
      </c>
      <c r="F23" s="56" t="n">
        <f aca="false">F18*F21</f>
        <v>73440</v>
      </c>
      <c r="G23" s="56" t="n">
        <f aca="false">G18*G21</f>
        <v>1263600</v>
      </c>
    </row>
    <row r="24" customFormat="false" ht="15" hidden="false" customHeight="false" outlineLevel="0" collapsed="false">
      <c r="A24" s="44" t="s">
        <v>341</v>
      </c>
      <c r="B24" s="45" t="s">
        <v>236</v>
      </c>
      <c r="C24" s="56" t="n">
        <f aca="false">C20*C21</f>
        <v>500</v>
      </c>
      <c r="D24" s="56" t="n">
        <f aca="false">D20*D21</f>
        <v>3700</v>
      </c>
      <c r="E24" s="56" t="n">
        <f aca="false">E20*E21</f>
        <v>2400</v>
      </c>
      <c r="F24" s="56" t="n">
        <f aca="false">F20*F21</f>
        <v>9600</v>
      </c>
      <c r="G24" s="56" t="n">
        <f aca="false">G20*G21</f>
        <v>30000</v>
      </c>
    </row>
    <row r="25" customFormat="false" ht="15" hidden="false" customHeight="false" outlineLevel="0" collapsed="false">
      <c r="A25" s="44" t="s">
        <v>342</v>
      </c>
      <c r="B25" s="45" t="s">
        <v>236</v>
      </c>
      <c r="C25" s="51" t="n">
        <f aca="false">C22+C23+C24</f>
        <v>3000</v>
      </c>
      <c r="D25" s="51" t="n">
        <f aca="false">D22+D23+D24</f>
        <v>6200</v>
      </c>
      <c r="E25" s="51" t="n">
        <f aca="false">E22+E23+E24</f>
        <v>27600</v>
      </c>
      <c r="F25" s="51" t="n">
        <f aca="false">F22+F23+F24</f>
        <v>110400</v>
      </c>
      <c r="G25" s="51" t="n">
        <f aca="false">G22+G23+G24</f>
        <v>1494000</v>
      </c>
    </row>
    <row r="26" customFormat="false" ht="26.85" hidden="false" customHeight="false" outlineLevel="0" collapsed="false">
      <c r="A26" s="45" t="s">
        <v>307</v>
      </c>
      <c r="B26" s="45" t="s">
        <v>236</v>
      </c>
      <c r="C26" s="56" t="n">
        <f aca="false">C6+C7+(C5-1)/2*C16+(C8+C9)/2</f>
        <v>2750</v>
      </c>
      <c r="D26" s="56" t="n">
        <f aca="false">D6+D7+(D5-1)/2*D16+(D8+D9)/2</f>
        <v>4350</v>
      </c>
      <c r="E26" s="56" t="n">
        <f aca="false">E6+E7+(E5-1)/2*E16+(E8+E9)/2</f>
        <v>6600</v>
      </c>
      <c r="F26" s="56" t="n">
        <f aca="false">F6+F7+(F5-1)/2*F16+(F8+F9)/2</f>
        <v>6600</v>
      </c>
      <c r="G26" s="56" t="n">
        <f aca="false">G6+G7+(G5-1)/2*G16+(G8+G9)/2</f>
        <v>49300</v>
      </c>
      <c r="H26" s="66" t="s">
        <v>343</v>
      </c>
    </row>
    <row r="27" customFormat="false" ht="15" hidden="false" customHeight="false" outlineLevel="0" collapsed="false">
      <c r="A27" s="44" t="s">
        <v>344</v>
      </c>
      <c r="B27" s="45" t="s">
        <v>57</v>
      </c>
      <c r="C27" s="67" t="n">
        <f aca="false">IF(C8+C9&gt;0,C8/(C8+C9),0)</f>
        <v>0</v>
      </c>
      <c r="D27" s="67" t="n">
        <f aca="false">IF(D8+D9&gt;0,D8/(D8+D9),0)</f>
        <v>0.810810810810811</v>
      </c>
      <c r="E27" s="67" t="n">
        <f aca="false">IF(E8+E9&gt;0,E8/(E8+E9),0)</f>
        <v>0.666666666666667</v>
      </c>
      <c r="F27" s="67" t="n">
        <f aca="false">IF(F8+F9&gt;0,F8/(F8+F9),0)</f>
        <v>0.666666666666667</v>
      </c>
      <c r="G27" s="67" t="n">
        <f aca="false">IF(G8+G9&gt;0,G8/(G8+G9),0)</f>
        <v>0.6</v>
      </c>
    </row>
    <row r="28" customFormat="false" ht="15" hidden="false" customHeight="false" outlineLevel="0" collapsed="false">
      <c r="A28" s="44" t="s">
        <v>345</v>
      </c>
      <c r="B28" s="45" t="s">
        <v>61</v>
      </c>
      <c r="C28" s="68" t="n">
        <f aca="false">C25/$C$25</f>
        <v>1</v>
      </c>
      <c r="D28" s="68" t="n">
        <f aca="false">D25/$C$25</f>
        <v>2.06666666666667</v>
      </c>
      <c r="E28" s="68" t="n">
        <f aca="false">E25/$C$25</f>
        <v>9.2</v>
      </c>
      <c r="F28" s="68" t="n">
        <f aca="false">F25/$C$25</f>
        <v>36.8</v>
      </c>
      <c r="G28" s="68" t="n">
        <f aca="false">G25/$C$25</f>
        <v>498</v>
      </c>
    </row>
    <row r="29" customFormat="false" ht="15" hidden="false" customHeight="false" outlineLevel="0" collapsed="false">
      <c r="A29" s="44" t="s">
        <v>346</v>
      </c>
      <c r="B29" s="45" t="s">
        <v>61</v>
      </c>
      <c r="C29" s="69" t="n">
        <f aca="false">C25/$D$25</f>
        <v>0.483870967741936</v>
      </c>
      <c r="D29" s="69" t="n">
        <f aca="false">D25/$D$25</f>
        <v>1</v>
      </c>
      <c r="E29" s="69" t="n">
        <f aca="false">E25/$D$25</f>
        <v>4.45161290322581</v>
      </c>
      <c r="F29" s="69" t="n">
        <f aca="false">F25/$D$25</f>
        <v>17.8064516129032</v>
      </c>
      <c r="G29" s="69" t="n">
        <f aca="false">G25/$D$25</f>
        <v>240.967741935484</v>
      </c>
    </row>
    <row r="30" customFormat="false" ht="26.85" hidden="false" customHeight="false" outlineLevel="0" collapsed="false">
      <c r="A30" s="44" t="s">
        <v>347</v>
      </c>
      <c r="B30" s="45" t="s">
        <v>61</v>
      </c>
      <c r="C30" s="48" t="n">
        <v>1</v>
      </c>
      <c r="E30" s="48" t="n">
        <v>4</v>
      </c>
      <c r="F30" s="48" t="n">
        <v>15</v>
      </c>
      <c r="H30" s="66" t="s">
        <v>348</v>
      </c>
    </row>
    <row r="32" customFormat="false" ht="15" hidden="false" customHeight="false" outlineLevel="0" collapsed="false">
      <c r="A32" s="49" t="s">
        <v>349</v>
      </c>
      <c r="B32" s="50"/>
      <c r="C32" s="50"/>
      <c r="D32" s="50"/>
      <c r="E32" s="50"/>
      <c r="F32" s="50"/>
      <c r="G32" s="50"/>
      <c r="H32" s="50"/>
    </row>
    <row r="33" customFormat="false" ht="15" hidden="false" customHeight="false" outlineLevel="0" collapsed="false">
      <c r="A33" s="45" t="s">
        <v>350</v>
      </c>
      <c r="B33" s="45" t="s">
        <v>351</v>
      </c>
      <c r="C33" s="70" t="n">
        <f aca="false">IF(ISNUMBER(Unit_Cost!M21),(C22*Unit_Cost!M19+C23*Unit_Cost!M20+C24*Unit_Cost!M21)/1000000,"SLO 不可達")</f>
        <v>9.55395562419049E-005</v>
      </c>
      <c r="D33" s="70" t="n">
        <f aca="false">IF(ISNUMBER(Unit_Cost!M21),(D22*Unit_Cost!M19+D23*Unit_Cost!M20+D24*Unit_Cost!M21)/1000000,"SLO 不可達")</f>
        <v>0.000630748313732041</v>
      </c>
      <c r="E33" s="70" t="n">
        <f aca="false">IF(ISNUMBER(Unit_Cost!M21),(E22*Unit_Cost!M19+E23*Unit_Cost!M20+E24*Unit_Cost!M21)/1000000,"SLO 不可達")</f>
        <v>0.000456572963869645</v>
      </c>
      <c r="F33" s="70" t="n">
        <f aca="false">IF(ISNUMBER(Unit_Cost!M21),(F22*Unit_Cost!M19+F23*Unit_Cost!M20+F24*Unit_Cost!M21)/1000000,"SLO 不可達")</f>
        <v>0.00182629185547858</v>
      </c>
      <c r="G33" s="70" t="n">
        <f aca="false">IF(ISNUMBER(Unit_Cost!M21),(G22*Unit_Cost!M19+G23*Unit_Cost!M20+G24*Unit_Cost!M21)/1000000,"SLO 不可達")</f>
        <v>0.00667815158762013</v>
      </c>
    </row>
    <row r="34" customFormat="false" ht="15" hidden="false" customHeight="false" outlineLevel="0" collapsed="false">
      <c r="A34" s="45" t="s">
        <v>352</v>
      </c>
      <c r="B34" s="45" t="s">
        <v>351</v>
      </c>
      <c r="C34" s="71" t="n">
        <f aca="false">IF(ISNUMBER(Unit_Cost!M34),(C22*Unit_Cost!M32+C23*Unit_Cost!M33+C24*Unit_Cost!M34)/1000000,"SLO 不可達")</f>
        <v>0.000310485150780053</v>
      </c>
      <c r="D34" s="71" t="n">
        <f aca="false">IF(ISNUMBER(Unit_Cost!M34),(D22*Unit_Cost!M32+D23*Unit_Cost!M33+D24*Unit_Cost!M34)/1000000,"SLO 不可達")</f>
        <v>0.00203088886985243</v>
      </c>
      <c r="E34" s="71" t="n">
        <f aca="false">IF(ISNUMBER(Unit_Cost!M34),(E22*Unit_Cost!M32+E23*Unit_Cost!M33+E24*Unit_Cost!M34)/1000000,"SLO 不可達")</f>
        <v>0.0014815222595581</v>
      </c>
      <c r="F34" s="71" t="n">
        <f aca="false">IF(ISNUMBER(Unit_Cost!M34),(F22*Unit_Cost!M32+F23*Unit_Cost!M33+F24*Unit_Cost!M34)/1000000,"SLO 不可達")</f>
        <v>0.0059260890382324</v>
      </c>
      <c r="G34" s="71" t="n">
        <f aca="false">IF(ISNUMBER(Unit_Cost!M34),(G22*Unit_Cost!M32+G23*Unit_Cost!M33+G24*Unit_Cost!M34)/1000000,"SLO 不可達")</f>
        <v>0.0217940111115137</v>
      </c>
    </row>
    <row r="35" customFormat="false" ht="15" hidden="false" customHeight="false" outlineLevel="0" collapsed="false">
      <c r="A35" s="45" t="s">
        <v>353</v>
      </c>
      <c r="B35" s="45" t="s">
        <v>351</v>
      </c>
      <c r="C35" s="70" t="n">
        <f aca="false">IF(ISNUMBER(Unit_Cost!M47),(C22*Unit_Cost!M45+C23*Unit_Cost!M46+C24*Unit_Cost!M47)/1000000,"SLO 不可達")</f>
        <v>0.00152256700312965</v>
      </c>
      <c r="D35" s="70" t="n">
        <f aca="false">IF(ISNUMBER(Unit_Cost!M47),(D22*Unit_Cost!M45+D23*Unit_Cost!M46+D24*Unit_Cost!M47)/1000000,"SLO 不可達")</f>
        <v>0.0103794318701725</v>
      </c>
      <c r="E35" s="70" t="n">
        <f aca="false">IF(ISNUMBER(Unit_Cost!M47),(E22*Unit_Cost!M45+E23*Unit_Cost!M46+E24*Unit_Cost!M47)/1000000,"SLO 不可達")</f>
        <v>0.00729239543313206</v>
      </c>
      <c r="F35" s="70" t="n">
        <f aca="false">IF(ISNUMBER(Unit_Cost!M47),(F22*Unit_Cost!M45+F23*Unit_Cost!M46+F24*Unit_Cost!M47)/1000000,"SLO 不可達")</f>
        <v>0.0291695817325282</v>
      </c>
      <c r="G35" s="70" t="n">
        <f aca="false">IF(ISNUMBER(Unit_Cost!M47),(G22*Unit_Cost!M45+G23*Unit_Cost!M46+G24*Unit_Cost!M47)/1000000,"SLO 不可達")</f>
        <v>0.102982305427695</v>
      </c>
    </row>
    <row r="36" customFormat="false" ht="15" hidden="false" customHeight="false" outlineLevel="0" collapsed="false">
      <c r="A36" s="45" t="s">
        <v>354</v>
      </c>
      <c r="B36" s="45" t="s">
        <v>351</v>
      </c>
      <c r="C36" s="70" t="n">
        <f aca="false">IF(ISNUMBER(Unit_Cost!J21),(C22*Unit_Cost!J19+C23*Unit_Cost!J20+C24*Unit_Cost!J21)/1000000,"SLO 不可達")</f>
        <v>0.000149289975484186</v>
      </c>
      <c r="D36" s="70" t="n">
        <f aca="false">IF(ISNUMBER(Unit_Cost!J21),(D22*Unit_Cost!J19+D23*Unit_Cost!J20+D24*Unit_Cost!J21)/1000000,"SLO 不可達")</f>
        <v>0.0009923933157636</v>
      </c>
      <c r="E36" s="70" t="n">
        <f aca="false">IF(ISNUMBER(Unit_Cost!J21),(E22*Unit_Cost!J19+E23*Unit_Cost!J20+E24*Unit_Cost!J21)/1000000,"SLO 不可達")</f>
        <v>0.000712912141984002</v>
      </c>
      <c r="F36" s="70" t="n">
        <f aca="false">IF(ISNUMBER(Unit_Cost!J21),(F22*Unit_Cost!J19+F23*Unit_Cost!J20+F24*Unit_Cost!J21)/1000000,"SLO 不可達")</f>
        <v>0.00285164856793601</v>
      </c>
      <c r="G36" s="70" t="n">
        <f aca="false">IF(ISNUMBER(Unit_Cost!J21),(G22*Unit_Cost!J19+G23*Unit_Cost!J20+G24*Unit_Cost!J21)/1000000,"SLO 不可達")</f>
        <v>0.0102931356971745</v>
      </c>
    </row>
    <row r="37" customFormat="false" ht="15" hidden="false" customHeight="false" outlineLevel="0" collapsed="false">
      <c r="A37" s="45" t="s">
        <v>355</v>
      </c>
      <c r="B37" s="45" t="s">
        <v>351</v>
      </c>
      <c r="C37" s="71" t="n">
        <f aca="false">IF(ISNUMBER(Unit_Cost!J34),(C22*Unit_Cost!J32+C23*Unit_Cost!J33+C24*Unit_Cost!J34)/1000000,"SLO 不可達")</f>
        <v>0.000525667533609701</v>
      </c>
      <c r="D37" s="71" t="n">
        <f aca="false">IF(ISNUMBER(Unit_Cost!J34),(D22*Unit_Cost!J32+D23*Unit_Cost!J33+D24*Unit_Cost!J34)/1000000,"SLO 不可達")</f>
        <v>0.00349624721584974</v>
      </c>
      <c r="E37" s="71" t="n">
        <f aca="false">IF(ISNUMBER(Unit_Cost!J34),(E22*Unit_Cost!J32+E23*Unit_Cost!J33+E24*Unit_Cost!J34)/1000000,"SLO 不可達")</f>
        <v>0.00250919748644781</v>
      </c>
      <c r="F37" s="71" t="n">
        <f aca="false">IF(ISNUMBER(Unit_Cost!J34),(F22*Unit_Cost!J32+F23*Unit_Cost!J33+F24*Unit_Cost!J34)/1000000,"SLO 不可達")</f>
        <v>0.0100367899457913</v>
      </c>
      <c r="G37" s="71" t="n">
        <f aca="false">IF(ISNUMBER(Unit_Cost!J34),(G22*Unit_Cost!J32+G23*Unit_Cost!J33+G24*Unit_Cost!J34)/1000000,"SLO 不可達")</f>
        <v>0.0361294855986289</v>
      </c>
    </row>
    <row r="38" customFormat="false" ht="15" hidden="false" customHeight="false" outlineLevel="0" collapsed="false">
      <c r="A38" s="45" t="s">
        <v>356</v>
      </c>
      <c r="B38" s="45" t="s">
        <v>351</v>
      </c>
      <c r="C38" s="70" t="n">
        <f aca="false">IF(ISNUMBER(Unit_Cost!J47),(C22*Unit_Cost!J45+C23*Unit_Cost!J46+C24*Unit_Cost!J47)/1000000,"SLO 不可達")</f>
        <v>0.00355817248424819</v>
      </c>
      <c r="D38" s="70" t="n">
        <f aca="false">IF(ISNUMBER(Unit_Cost!J47),(D22*Unit_Cost!J45+D23*Unit_Cost!J46+D24*Unit_Cost!J47)/1000000,"SLO 不可達")</f>
        <v>0.0250255347788165</v>
      </c>
      <c r="E38" s="70" t="n">
        <f aca="false">IF(ISNUMBER(Unit_Cost!J47),(E22*Unit_Cost!J45+E23*Unit_Cost!J46+E24*Unit_Cost!J47)/1000000,"SLO 不可達")</f>
        <v>0.0170412866616244</v>
      </c>
      <c r="F38" s="70" t="n">
        <f aca="false">IF(ISNUMBER(Unit_Cost!J47),(F22*Unit_Cost!J45+F23*Unit_Cost!J46+F24*Unit_Cost!J47)/1000000,"SLO 不可達")</f>
        <v>0.0681651466464974</v>
      </c>
      <c r="G38" s="70" t="n">
        <f aca="false">IF(ISNUMBER(Unit_Cost!J47),(G22*Unit_Cost!J45+G23*Unit_Cost!J46+G24*Unit_Cost!J47)/1000000,"SLO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1" t="s">
        <v>357</v>
      </c>
    </row>
    <row r="2" customFormat="false" ht="15" hidden="false" customHeight="false" outlineLevel="0" collapsed="false">
      <c r="A2" s="54" t="s">
        <v>358</v>
      </c>
    </row>
    <row r="4" customFormat="false" ht="15" hidden="false" customHeight="false" outlineLevel="0" collapsed="false">
      <c r="A4" s="72" t="s">
        <v>359</v>
      </c>
      <c r="B4" s="50"/>
      <c r="C4" s="50"/>
      <c r="D4" s="50"/>
      <c r="E4" s="50"/>
      <c r="F4" s="50"/>
      <c r="G4" s="50"/>
      <c r="H4" s="50"/>
      <c r="I4" s="50"/>
      <c r="J4" s="50"/>
    </row>
    <row r="5" customFormat="false" ht="15" hidden="false" customHeight="false" outlineLevel="0" collapsed="false">
      <c r="A5" s="45" t="s">
        <v>360</v>
      </c>
      <c r="B5" s="45" t="s">
        <v>57</v>
      </c>
      <c r="C5" s="47" t="n">
        <v>0.3</v>
      </c>
      <c r="J5" s="42" t="s">
        <v>361</v>
      </c>
    </row>
    <row r="7" customFormat="false" ht="15" hidden="false" customHeight="false" outlineLevel="0" collapsed="false">
      <c r="A7" s="72" t="s">
        <v>362</v>
      </c>
      <c r="B7" s="50"/>
      <c r="C7" s="50"/>
      <c r="D7" s="50"/>
      <c r="E7" s="50"/>
      <c r="F7" s="50"/>
      <c r="G7" s="50"/>
      <c r="H7" s="50"/>
      <c r="I7" s="50"/>
      <c r="J7" s="50"/>
    </row>
    <row r="8" customFormat="false" ht="15" hidden="false" customHeight="false" outlineLevel="0" collapsed="false">
      <c r="A8" s="9" t="s">
        <v>298</v>
      </c>
      <c r="B8" s="9" t="s">
        <v>41</v>
      </c>
    </row>
    <row r="9" customFormat="false" ht="15" hidden="false" customHeight="false" outlineLevel="0" collapsed="false">
      <c r="A9" s="44" t="s">
        <v>2</v>
      </c>
      <c r="B9" s="44"/>
      <c r="C9" s="9" t="s">
        <v>363</v>
      </c>
      <c r="D9" s="9" t="s">
        <v>364</v>
      </c>
      <c r="E9" s="9" t="s">
        <v>365</v>
      </c>
      <c r="F9" s="9" t="s">
        <v>366</v>
      </c>
      <c r="G9" s="9" t="s">
        <v>366</v>
      </c>
      <c r="H9" s="9" t="s">
        <v>367</v>
      </c>
      <c r="I9" s="9" t="s">
        <v>367</v>
      </c>
    </row>
    <row r="10" customFormat="false" ht="15" hidden="false" customHeight="false" outlineLevel="0" collapsed="false">
      <c r="A10" s="44" t="s">
        <v>368</v>
      </c>
      <c r="B10" s="44"/>
      <c r="C10" s="48" t="n">
        <v>3</v>
      </c>
      <c r="D10" s="48" t="n">
        <v>3</v>
      </c>
      <c r="E10" s="48" t="n">
        <v>3</v>
      </c>
      <c r="F10" s="48" t="n">
        <v>3</v>
      </c>
      <c r="G10" s="48" t="n">
        <v>2</v>
      </c>
      <c r="H10" s="48" t="n">
        <v>2</v>
      </c>
      <c r="I10" s="48" t="n">
        <v>3</v>
      </c>
    </row>
    <row r="11" customFormat="false" ht="15" hidden="false" customHeight="false" outlineLevel="0" collapsed="false">
      <c r="A11" s="44" t="s">
        <v>122</v>
      </c>
      <c r="B11" s="44"/>
      <c r="C11" s="73" t="str">
        <f aca="false">INDEX(Spec_Rack!$C$4:$G$4,C10)</f>
        <v>GB300 NVL72</v>
      </c>
      <c r="D11" s="73" t="str">
        <f aca="false">INDEX(Spec_Rack!$C$4:$G$4,D10)</f>
        <v>GB300 NVL72</v>
      </c>
      <c r="E11" s="73" t="str">
        <f aca="false">INDEX(Spec_Rack!$C$4:$G$4,E10)</f>
        <v>GB300 NVL72</v>
      </c>
      <c r="F11" s="73" t="str">
        <f aca="false">INDEX(Spec_Rack!$C$4:$G$4,F10)</f>
        <v>GB300 NVL72</v>
      </c>
      <c r="G11" s="73" t="str">
        <f aca="false">INDEX(Spec_Rack!$C$4:$G$4,G10)</f>
        <v>GB200 NVL72</v>
      </c>
      <c r="H11" s="73" t="str">
        <f aca="false">INDEX(Spec_Rack!$C$4:$G$4,H10)</f>
        <v>GB200 NVL72</v>
      </c>
      <c r="I11" s="73" t="str">
        <f aca="false">INDEX(Spec_Rack!$C$4:$G$4,I10)</f>
        <v>GB300 NVL72</v>
      </c>
    </row>
    <row r="12" customFormat="false" ht="30" hidden="false" customHeight="true" outlineLevel="0" collapsed="false">
      <c r="A12" s="44" t="s">
        <v>369</v>
      </c>
      <c r="B12" s="44"/>
      <c r="C12" s="66" t="s">
        <v>370</v>
      </c>
      <c r="D12" s="66" t="s">
        <v>370</v>
      </c>
      <c r="E12" s="66" t="s">
        <v>371</v>
      </c>
      <c r="F12" s="66" t="s">
        <v>372</v>
      </c>
      <c r="G12" s="66" t="s">
        <v>372</v>
      </c>
      <c r="H12" s="66" t="s">
        <v>373</v>
      </c>
      <c r="I12" s="66" t="s">
        <v>373</v>
      </c>
    </row>
    <row r="13" customFormat="false" ht="15" hidden="false" customHeight="false" outlineLevel="0" collapsed="false">
      <c r="A13" s="45" t="s">
        <v>374</v>
      </c>
      <c r="B13" s="44"/>
      <c r="C13" s="48" t="n">
        <v>1</v>
      </c>
      <c r="D13" s="48" t="n">
        <v>1</v>
      </c>
      <c r="E13" s="48" t="n">
        <v>1</v>
      </c>
      <c r="F13" s="48" t="n">
        <v>0</v>
      </c>
      <c r="G13" s="48" t="n">
        <v>0</v>
      </c>
      <c r="H13" s="48" t="n">
        <v>1</v>
      </c>
      <c r="I13" s="48" t="n">
        <v>1</v>
      </c>
    </row>
    <row r="14" customFormat="false" ht="15" hidden="false" customHeight="false" outlineLevel="0" collapsed="false">
      <c r="A14" s="44" t="s">
        <v>375</v>
      </c>
      <c r="B14" s="45" t="s">
        <v>300</v>
      </c>
      <c r="C14" s="46" t="n">
        <v>72</v>
      </c>
      <c r="D14" s="46" t="n">
        <v>130</v>
      </c>
      <c r="E14" s="46" t="n">
        <v>50</v>
      </c>
      <c r="F14" s="46" t="n">
        <v>27</v>
      </c>
      <c r="G14" s="46" t="n">
        <v>27</v>
      </c>
      <c r="H14" s="46" t="n">
        <v>110</v>
      </c>
      <c r="I14" s="46" t="n">
        <v>110</v>
      </c>
    </row>
    <row r="15" customFormat="false" ht="15" hidden="false" customHeight="false" outlineLevel="0" collapsed="false">
      <c r="A15" s="45" t="s">
        <v>376</v>
      </c>
      <c r="B15" s="45" t="s">
        <v>236</v>
      </c>
      <c r="C15" s="46" t="n">
        <v>8192</v>
      </c>
      <c r="D15" s="46" t="n">
        <v>8192</v>
      </c>
      <c r="E15" s="46" t="n">
        <v>8192</v>
      </c>
      <c r="F15" s="46" t="n">
        <v>8192</v>
      </c>
      <c r="G15" s="46" t="n">
        <v>8192</v>
      </c>
      <c r="H15" s="46" t="n">
        <v>8192</v>
      </c>
      <c r="I15" s="46" t="n">
        <v>8192</v>
      </c>
    </row>
    <row r="16" customFormat="false" ht="15" hidden="false" customHeight="false" outlineLevel="0" collapsed="false">
      <c r="A16" s="45" t="s">
        <v>377</v>
      </c>
      <c r="B16" s="45" t="s">
        <v>236</v>
      </c>
      <c r="C16" s="46" t="n">
        <v>1024</v>
      </c>
      <c r="D16" s="46" t="n">
        <v>1024</v>
      </c>
      <c r="E16" s="46" t="n">
        <v>1024</v>
      </c>
      <c r="F16" s="46" t="n">
        <v>1024</v>
      </c>
      <c r="G16" s="46" t="n">
        <v>1024</v>
      </c>
      <c r="H16" s="46" t="n">
        <v>1024</v>
      </c>
      <c r="I16" s="46" t="n">
        <v>1024</v>
      </c>
    </row>
    <row r="17" customFormat="false" ht="15" hidden="false" customHeight="false" outlineLevel="0" collapsed="false">
      <c r="A17" s="44" t="s">
        <v>378</v>
      </c>
      <c r="B17" s="45" t="s">
        <v>300</v>
      </c>
      <c r="C17" s="63" t="n">
        <v>9384.4</v>
      </c>
      <c r="D17" s="63" t="n">
        <v>3473.9</v>
      </c>
      <c r="E17" s="63" t="n">
        <v>11200</v>
      </c>
      <c r="F17" s="63" t="n">
        <v>6182</v>
      </c>
      <c r="G17" s="63" t="n">
        <v>2189</v>
      </c>
      <c r="H17" s="63" t="n">
        <v>3795.5</v>
      </c>
      <c r="I17" s="63" t="n">
        <v>6522.4</v>
      </c>
    </row>
    <row r="18" customFormat="false" ht="15" hidden="false" customHeight="false" outlineLevel="0" collapsed="false">
      <c r="A18" s="44" t="s">
        <v>379</v>
      </c>
      <c r="B18" s="44"/>
      <c r="C18" s="42" t="s">
        <v>380</v>
      </c>
      <c r="D18" s="42" t="s">
        <v>380</v>
      </c>
      <c r="E18" s="42" t="s">
        <v>381</v>
      </c>
      <c r="F18" s="42" t="s">
        <v>382</v>
      </c>
      <c r="G18" s="42" t="s">
        <v>382</v>
      </c>
      <c r="H18" s="42" t="s">
        <v>383</v>
      </c>
      <c r="I18" s="42" t="s">
        <v>383</v>
      </c>
    </row>
    <row r="19" customFormat="false" ht="26.85" hidden="false" customHeight="false" outlineLevel="0" collapsed="false">
      <c r="A19" s="44" t="s">
        <v>384</v>
      </c>
      <c r="B19" s="44"/>
      <c r="C19" s="66" t="s">
        <v>385</v>
      </c>
      <c r="D19" s="66" t="s">
        <v>385</v>
      </c>
      <c r="E19" s="66" t="s">
        <v>385</v>
      </c>
      <c r="F19" s="66" t="s">
        <v>385</v>
      </c>
      <c r="G19" s="66" t="s">
        <v>385</v>
      </c>
      <c r="H19" s="66" t="s">
        <v>385</v>
      </c>
      <c r="I19" s="66" t="s">
        <v>385</v>
      </c>
      <c r="J19" s="74" t="s">
        <v>386</v>
      </c>
    </row>
    <row r="20" customFormat="false" ht="30" hidden="false" customHeight="true" outlineLevel="0" collapsed="false">
      <c r="A20" s="44" t="s">
        <v>387</v>
      </c>
      <c r="B20" s="44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44" t="s">
        <v>388</v>
      </c>
      <c r="B21" s="44"/>
      <c r="C21" s="74" t="s">
        <v>389</v>
      </c>
      <c r="D21" s="74" t="s">
        <v>389</v>
      </c>
      <c r="E21" s="74" t="s">
        <v>389</v>
      </c>
      <c r="F21" s="74" t="s">
        <v>389</v>
      </c>
      <c r="G21" s="74" t="s">
        <v>389</v>
      </c>
      <c r="H21" s="74" t="s">
        <v>389</v>
      </c>
      <c r="I21" s="74" t="s">
        <v>389</v>
      </c>
    </row>
    <row r="22" customFormat="false" ht="15" hidden="false" customHeight="false" outlineLevel="0" collapsed="false">
      <c r="A22" s="72" t="s">
        <v>390</v>
      </c>
      <c r="B22" s="50"/>
      <c r="C22" s="50"/>
      <c r="D22" s="50"/>
      <c r="E22" s="50"/>
      <c r="F22" s="50"/>
      <c r="G22" s="50"/>
      <c r="H22" s="50"/>
      <c r="I22" s="50"/>
      <c r="J22" s="50"/>
    </row>
    <row r="23" customFormat="false" ht="15" hidden="false" customHeight="false" outlineLevel="0" collapsed="false">
      <c r="A23" s="44" t="s">
        <v>391</v>
      </c>
      <c r="B23" s="45" t="s">
        <v>392</v>
      </c>
      <c r="C23" s="75" t="n">
        <f aca="false">INDEX(Spec_Rack!$C$35:$G$35,C10)</f>
        <v>15</v>
      </c>
      <c r="D23" s="75" t="n">
        <f aca="false">INDEX(Spec_Rack!$C$35:$G$35,D10)</f>
        <v>15</v>
      </c>
      <c r="E23" s="75" t="n">
        <f aca="false">INDEX(Spec_Rack!$C$35:$G$35,E10)</f>
        <v>15</v>
      </c>
      <c r="F23" s="75" t="n">
        <f aca="false">INDEX(Spec_Rack!$C$35:$G$35,F10)</f>
        <v>15</v>
      </c>
      <c r="G23" s="75" t="n">
        <f aca="false">INDEX(Spec_Rack!$C$35:$G$35,G10)</f>
        <v>10</v>
      </c>
      <c r="H23" s="75" t="n">
        <f aca="false">INDEX(Spec_Rack!$C$35:$G$35,H10)</f>
        <v>10</v>
      </c>
      <c r="I23" s="75" t="n">
        <f aca="false">INDEX(Spec_Rack!$C$35:$G$35,I10)</f>
        <v>15</v>
      </c>
    </row>
    <row r="24" customFormat="false" ht="15" hidden="false" customHeight="false" outlineLevel="0" collapsed="false">
      <c r="A24" s="45" t="s">
        <v>393</v>
      </c>
      <c r="B24" s="45" t="s">
        <v>261</v>
      </c>
      <c r="C24" s="76" t="n">
        <f aca="false">INDEX(Spec_Rack!$C$25:$G$25,C10)</f>
        <v>288</v>
      </c>
      <c r="D24" s="76" t="n">
        <f aca="false">INDEX(Spec_Rack!$C$25:$G$25,D10)</f>
        <v>288</v>
      </c>
      <c r="E24" s="76" t="n">
        <f aca="false">INDEX(Spec_Rack!$C$25:$G$25,E10)</f>
        <v>288</v>
      </c>
      <c r="F24" s="76" t="n">
        <f aca="false">INDEX(Spec_Rack!$C$25:$G$25,F10)</f>
        <v>288</v>
      </c>
      <c r="G24" s="76" t="n">
        <f aca="false">INDEX(Spec_Rack!$C$25:$G$25,G10)</f>
        <v>186</v>
      </c>
      <c r="H24" s="76" t="n">
        <f aca="false">INDEX(Spec_Rack!$C$25:$G$25,H10)</f>
        <v>186</v>
      </c>
      <c r="I24" s="76" t="n">
        <f aca="false">INDEX(Spec_Rack!$C$25:$G$25,I10)</f>
        <v>288</v>
      </c>
    </row>
    <row r="25" customFormat="false" ht="15" hidden="false" customHeight="false" outlineLevel="0" collapsed="false">
      <c r="A25" s="45" t="s">
        <v>394</v>
      </c>
      <c r="B25" s="45" t="s">
        <v>395</v>
      </c>
      <c r="C25" s="77" t="n">
        <f aca="false">INDEX(Spec_Rack!$C$26:$G$26,C10)</f>
        <v>8</v>
      </c>
      <c r="D25" s="77" t="n">
        <f aca="false">INDEX(Spec_Rack!$C$26:$G$26,D10)</f>
        <v>8</v>
      </c>
      <c r="E25" s="77" t="n">
        <f aca="false">INDEX(Spec_Rack!$C$26:$G$26,E10)</f>
        <v>8</v>
      </c>
      <c r="F25" s="77" t="n">
        <f aca="false">INDEX(Spec_Rack!$C$26:$G$26,F10)</f>
        <v>8</v>
      </c>
      <c r="G25" s="77" t="n">
        <f aca="false">INDEX(Spec_Rack!$C$26:$G$26,G10)</f>
        <v>8</v>
      </c>
      <c r="H25" s="77" t="n">
        <f aca="false">INDEX(Spec_Rack!$C$26:$G$26,H10)</f>
        <v>8</v>
      </c>
      <c r="I25" s="77" t="n">
        <f aca="false">INDEX(Spec_Rack!$C$26:$G$26,I10)</f>
        <v>8</v>
      </c>
    </row>
    <row r="26" customFormat="false" ht="15" hidden="false" customHeight="false" outlineLevel="0" collapsed="false">
      <c r="A26" s="45" t="s">
        <v>396</v>
      </c>
      <c r="B26" s="45" t="s">
        <v>395</v>
      </c>
      <c r="C26" s="77" t="n">
        <f aca="false">INDEX(Spec_Rack!$C$27:$G$27,C10)</f>
        <v>0.9</v>
      </c>
      <c r="D26" s="77" t="n">
        <f aca="false">INDEX(Spec_Rack!$C$27:$G$27,D10)</f>
        <v>0.9</v>
      </c>
      <c r="E26" s="77" t="n">
        <f aca="false">INDEX(Spec_Rack!$C$27:$G$27,E10)</f>
        <v>0.9</v>
      </c>
      <c r="F26" s="77" t="n">
        <f aca="false">INDEX(Spec_Rack!$C$27:$G$27,F10)</f>
        <v>0.9</v>
      </c>
      <c r="G26" s="77" t="n">
        <f aca="false">INDEX(Spec_Rack!$C$27:$G$27,G10)</f>
        <v>0.9</v>
      </c>
      <c r="H26" s="77" t="n">
        <f aca="false">INDEX(Spec_Rack!$C$27:$G$27,H10)</f>
        <v>0.9</v>
      </c>
      <c r="I26" s="77" t="n">
        <f aca="false">INDEX(Spec_Rack!$C$27:$G$27,I10)</f>
        <v>0.9</v>
      </c>
    </row>
    <row r="27" customFormat="false" ht="15" hidden="false" customHeight="false" outlineLevel="0" collapsed="false">
      <c r="A27" s="45" t="s">
        <v>397</v>
      </c>
      <c r="B27" s="44"/>
      <c r="C27" s="76" t="n">
        <f aca="false">INDEX(Spec_Rack!$C$29:$G$29,C10)</f>
        <v>32</v>
      </c>
      <c r="D27" s="76" t="n">
        <f aca="false">INDEX(Spec_Rack!$C$29:$G$29,D10)</f>
        <v>32</v>
      </c>
      <c r="E27" s="76" t="n">
        <f aca="false">INDEX(Spec_Rack!$C$29:$G$29,E10)</f>
        <v>32</v>
      </c>
      <c r="F27" s="76" t="n">
        <f aca="false">INDEX(Spec_Rack!$C$29:$G$29,F10)</f>
        <v>32</v>
      </c>
      <c r="G27" s="76" t="n">
        <f aca="false">INDEX(Spec_Rack!$C$29:$G$29,G10)</f>
        <v>32</v>
      </c>
      <c r="H27" s="76" t="n">
        <f aca="false">INDEX(Spec_Rack!$C$29:$G$29,H10)</f>
        <v>32</v>
      </c>
      <c r="I27" s="76" t="n">
        <f aca="false">INDEX(Spec_Rack!$C$29:$G$29,I10)</f>
        <v>32</v>
      </c>
    </row>
    <row r="28" customFormat="false" ht="15" hidden="false" customHeight="false" outlineLevel="0" collapsed="false">
      <c r="A28" s="44" t="s">
        <v>398</v>
      </c>
      <c r="B28" s="45" t="s">
        <v>213</v>
      </c>
      <c r="C28" s="78" t="n">
        <f aca="false">INDEX(Spec_Rack!$C$30:$G$30,C10)</f>
        <v>0.5625</v>
      </c>
      <c r="D28" s="78" t="n">
        <f aca="false">INDEX(Spec_Rack!$C$30:$G$30,D10)</f>
        <v>0.5625</v>
      </c>
      <c r="E28" s="78" t="n">
        <f aca="false">INDEX(Spec_Rack!$C$30:$G$30,E10)</f>
        <v>0.5625</v>
      </c>
      <c r="F28" s="78" t="n">
        <f aca="false">INDEX(Spec_Rack!$C$30:$G$30,F10)</f>
        <v>0.5625</v>
      </c>
      <c r="G28" s="78" t="n">
        <f aca="false">INDEX(Spec_Rack!$C$30:$G$30,G10)</f>
        <v>0.5625</v>
      </c>
      <c r="H28" s="78" t="n">
        <f aca="false">INDEX(Spec_Rack!$C$30:$G$30,H10)</f>
        <v>0.5625</v>
      </c>
      <c r="I28" s="78" t="n">
        <f aca="false">INDEX(Spec_Rack!$C$30:$G$30,I10)</f>
        <v>0.5625</v>
      </c>
    </row>
    <row r="29" customFormat="false" ht="15" hidden="false" customHeight="false" outlineLevel="0" collapsed="false">
      <c r="A29" s="44" t="s">
        <v>399</v>
      </c>
      <c r="B29" s="45" t="s">
        <v>213</v>
      </c>
      <c r="C29" s="79" t="n">
        <f aca="false">INDEX(Spec_Rack!$C$31:$G$31,C10)</f>
        <v>1</v>
      </c>
      <c r="D29" s="79" t="n">
        <f aca="false">INDEX(Spec_Rack!$C$31:$G$31,D10)</f>
        <v>1</v>
      </c>
      <c r="E29" s="79" t="n">
        <f aca="false">INDEX(Spec_Rack!$C$31:$G$31,E10)</f>
        <v>1</v>
      </c>
      <c r="F29" s="79" t="n">
        <f aca="false">INDEX(Spec_Rack!$C$31:$G$31,F10)</f>
        <v>1</v>
      </c>
      <c r="G29" s="79" t="n">
        <f aca="false">INDEX(Spec_Rack!$C$31:$G$31,G10)</f>
        <v>1</v>
      </c>
      <c r="H29" s="79" t="n">
        <f aca="false">INDEX(Spec_Rack!$C$31:$G$31,H10)</f>
        <v>1</v>
      </c>
      <c r="I29" s="79" t="n">
        <f aca="false">INDEX(Spec_Rack!$C$31:$G$31,I10)</f>
        <v>1</v>
      </c>
    </row>
    <row r="30" customFormat="false" ht="15" hidden="false" customHeight="false" outlineLevel="0" collapsed="false">
      <c r="A30" s="44" t="s">
        <v>216</v>
      </c>
      <c r="B30" s="45" t="s">
        <v>213</v>
      </c>
      <c r="C30" s="76" t="n">
        <f aca="false">Arch!$D$7</f>
        <v>49</v>
      </c>
      <c r="D30" s="76" t="n">
        <f aca="false">Arch!$D$7</f>
        <v>49</v>
      </c>
      <c r="E30" s="76" t="n">
        <f aca="false">Arch!$D$7</f>
        <v>49</v>
      </c>
      <c r="F30" s="76" t="n">
        <f aca="false">Arch!$D$7</f>
        <v>49</v>
      </c>
      <c r="G30" s="76" t="n">
        <f aca="false">Arch!$D$7</f>
        <v>49</v>
      </c>
      <c r="H30" s="76" t="n">
        <f aca="false">Arch!$D$7</f>
        <v>49</v>
      </c>
      <c r="I30" s="76" t="n">
        <f aca="false">Arch!$D$7</f>
        <v>49</v>
      </c>
    </row>
    <row r="31" customFormat="false" ht="15" hidden="false" customHeight="false" outlineLevel="0" collapsed="false">
      <c r="A31" s="44" t="s">
        <v>218</v>
      </c>
      <c r="B31" s="44"/>
      <c r="C31" s="76" t="n">
        <f aca="false">Arch!$D$8</f>
        <v>61</v>
      </c>
      <c r="D31" s="76" t="n">
        <f aca="false">Arch!$D$8</f>
        <v>61</v>
      </c>
      <c r="E31" s="76" t="n">
        <f aca="false">Arch!$D$8</f>
        <v>61</v>
      </c>
      <c r="F31" s="76" t="n">
        <f aca="false">Arch!$D$8</f>
        <v>61</v>
      </c>
      <c r="G31" s="76" t="n">
        <f aca="false">Arch!$D$8</f>
        <v>61</v>
      </c>
      <c r="H31" s="76" t="n">
        <f aca="false">Arch!$D$8</f>
        <v>61</v>
      </c>
      <c r="I31" s="76" t="n">
        <f aca="false">Arch!$D$8</f>
        <v>61</v>
      </c>
    </row>
    <row r="32" customFormat="false" ht="15" hidden="false" customHeight="false" outlineLevel="0" collapsed="false">
      <c r="A32" s="45" t="s">
        <v>221</v>
      </c>
      <c r="B32" s="44"/>
      <c r="C32" s="76" t="n">
        <f aca="false">Arch!$D$9</f>
        <v>7168</v>
      </c>
      <c r="D32" s="76" t="n">
        <f aca="false">Arch!$D$9</f>
        <v>7168</v>
      </c>
      <c r="E32" s="76" t="n">
        <f aca="false">Arch!$D$9</f>
        <v>7168</v>
      </c>
      <c r="F32" s="76" t="n">
        <f aca="false">Arch!$D$9</f>
        <v>7168</v>
      </c>
      <c r="G32" s="76" t="n">
        <f aca="false">Arch!$D$9</f>
        <v>7168</v>
      </c>
      <c r="H32" s="76" t="n">
        <f aca="false">Arch!$D$9</f>
        <v>7168</v>
      </c>
      <c r="I32" s="76" t="n">
        <f aca="false">Arch!$D$9</f>
        <v>7168</v>
      </c>
    </row>
    <row r="33" customFormat="false" ht="15" hidden="false" customHeight="false" outlineLevel="0" collapsed="false">
      <c r="A33" s="44" t="s">
        <v>400</v>
      </c>
      <c r="B33" s="44"/>
      <c r="C33" s="76" t="n">
        <f aca="false">Arch!$D$13</f>
        <v>6</v>
      </c>
      <c r="D33" s="76" t="n">
        <f aca="false">Arch!$D$13</f>
        <v>6</v>
      </c>
      <c r="E33" s="76" t="n">
        <f aca="false">Arch!$D$13</f>
        <v>6</v>
      </c>
      <c r="F33" s="76" t="n">
        <f aca="false">Arch!$D$13</f>
        <v>6</v>
      </c>
      <c r="G33" s="76" t="n">
        <f aca="false">Arch!$D$13</f>
        <v>6</v>
      </c>
      <c r="H33" s="76" t="n">
        <f aca="false">Arch!$D$13</f>
        <v>6</v>
      </c>
      <c r="I33" s="76" t="n">
        <f aca="false">Arch!$D$13</f>
        <v>6</v>
      </c>
    </row>
    <row r="34" customFormat="false" ht="15" hidden="false" customHeight="false" outlineLevel="0" collapsed="false">
      <c r="A34" s="44" t="s">
        <v>401</v>
      </c>
      <c r="B34" s="45" t="s">
        <v>213</v>
      </c>
      <c r="C34" s="80" t="n">
        <f aca="false">Arch!$D$28</f>
        <v>20.2777777777778</v>
      </c>
      <c r="D34" s="80" t="n">
        <f aca="false">Arch!$D$28</f>
        <v>20.2777777777778</v>
      </c>
      <c r="E34" s="80" t="n">
        <f aca="false">Arch!$D$28</f>
        <v>20.2777777777778</v>
      </c>
      <c r="F34" s="80" t="n">
        <f aca="false">Arch!$D$28</f>
        <v>20.2777777777778</v>
      </c>
      <c r="G34" s="80" t="n">
        <f aca="false">Arch!$D$28</f>
        <v>20.2777777777778</v>
      </c>
      <c r="H34" s="80" t="n">
        <f aca="false">Arch!$D$28</f>
        <v>20.2777777777778</v>
      </c>
      <c r="I34" s="80" t="n">
        <f aca="false">Arch!$D$28</f>
        <v>20.2777777777778</v>
      </c>
    </row>
    <row r="35" customFormat="false" ht="15" hidden="false" customHeight="false" outlineLevel="0" collapsed="false">
      <c r="A35" s="44" t="s">
        <v>257</v>
      </c>
      <c r="B35" s="45" t="s">
        <v>213</v>
      </c>
      <c r="C35" s="76" t="n">
        <f aca="false">Arch!$D$29</f>
        <v>1579.72222222222</v>
      </c>
      <c r="D35" s="76" t="n">
        <f aca="false">Arch!$D$29</f>
        <v>1579.72222222222</v>
      </c>
      <c r="E35" s="76" t="n">
        <f aca="false">Arch!$D$29</f>
        <v>1579.72222222222</v>
      </c>
      <c r="F35" s="76" t="n">
        <f aca="false">Arch!$D$29</f>
        <v>1579.72222222222</v>
      </c>
      <c r="G35" s="76" t="n">
        <f aca="false">Arch!$D$29</f>
        <v>1579.72222222222</v>
      </c>
      <c r="H35" s="76" t="n">
        <f aca="false">Arch!$D$29</f>
        <v>1579.72222222222</v>
      </c>
      <c r="I35" s="76" t="n">
        <f aca="false">Arch!$D$29</f>
        <v>1579.72222222222</v>
      </c>
    </row>
    <row r="36" customFormat="false" ht="15" hidden="false" customHeight="false" outlineLevel="0" collapsed="false">
      <c r="A36" s="45" t="s">
        <v>402</v>
      </c>
      <c r="B36" s="45" t="s">
        <v>213</v>
      </c>
      <c r="C36" s="76" t="n">
        <f aca="false">Arch!$D$25</f>
        <v>3965</v>
      </c>
      <c r="D36" s="76" t="n">
        <f aca="false">Arch!$D$25</f>
        <v>3965</v>
      </c>
      <c r="E36" s="76" t="n">
        <f aca="false">Arch!$D$25</f>
        <v>3965</v>
      </c>
      <c r="F36" s="76" t="n">
        <f aca="false">Arch!$D$25</f>
        <v>3965</v>
      </c>
      <c r="G36" s="76" t="n">
        <f aca="false">Arch!$D$25</f>
        <v>3965</v>
      </c>
      <c r="H36" s="76" t="n">
        <f aca="false">Arch!$D$25</f>
        <v>3965</v>
      </c>
      <c r="I36" s="76" t="n">
        <f aca="false">Arch!$D$25</f>
        <v>3965</v>
      </c>
    </row>
    <row r="37" customFormat="false" ht="15" hidden="false" customHeight="false" outlineLevel="0" collapsed="false">
      <c r="A37" s="44" t="s">
        <v>403</v>
      </c>
      <c r="B37" s="44"/>
      <c r="C37" s="76" t="n">
        <f aca="false">Arch!$D$30</f>
        <v>15990784</v>
      </c>
      <c r="D37" s="76" t="n">
        <f aca="false">Arch!$D$30</f>
        <v>15990784</v>
      </c>
      <c r="E37" s="76" t="n">
        <f aca="false">Arch!$D$30</f>
        <v>15990784</v>
      </c>
      <c r="F37" s="76" t="n">
        <f aca="false">Arch!$D$30</f>
        <v>15990784</v>
      </c>
      <c r="G37" s="76" t="n">
        <f aca="false">Arch!$D$30</f>
        <v>15990784</v>
      </c>
      <c r="H37" s="76" t="n">
        <f aca="false">Arch!$D$30</f>
        <v>15990784</v>
      </c>
      <c r="I37" s="76" t="n">
        <f aca="false">Arch!$D$30</f>
        <v>15990784</v>
      </c>
    </row>
    <row r="38" customFormat="false" ht="15" hidden="false" customHeight="false" outlineLevel="0" collapsed="false">
      <c r="A38" s="44" t="s">
        <v>233</v>
      </c>
      <c r="B38" s="45" t="s">
        <v>57</v>
      </c>
      <c r="C38" s="81" t="n">
        <f aca="false">Arch!$D$16</f>
        <v>0.5</v>
      </c>
      <c r="D38" s="81" t="n">
        <f aca="false">Arch!$D$16</f>
        <v>0.5</v>
      </c>
      <c r="E38" s="81" t="n">
        <f aca="false">Arch!$D$16</f>
        <v>0.5</v>
      </c>
      <c r="F38" s="81" t="n">
        <f aca="false">Arch!$D$16</f>
        <v>0.5</v>
      </c>
      <c r="G38" s="81" t="n">
        <f aca="false">Arch!$D$16</f>
        <v>0.5</v>
      </c>
      <c r="H38" s="81" t="n">
        <f aca="false">Arch!$D$16</f>
        <v>0.5</v>
      </c>
      <c r="I38" s="81" t="n">
        <f aca="false">Arch!$D$16</f>
        <v>0.5</v>
      </c>
    </row>
    <row r="39" customFormat="false" ht="15" hidden="false" customHeight="false" outlineLevel="0" collapsed="false">
      <c r="A39" s="44" t="s">
        <v>404</v>
      </c>
      <c r="B39" s="44"/>
      <c r="C39" s="76" t="n">
        <f aca="false">Arch!$D$17</f>
        <v>4224</v>
      </c>
      <c r="D39" s="76" t="n">
        <f aca="false">Arch!$D$17</f>
        <v>4224</v>
      </c>
      <c r="E39" s="76" t="n">
        <f aca="false">Arch!$D$17</f>
        <v>4224</v>
      </c>
      <c r="F39" s="76" t="n">
        <f aca="false">Arch!$D$17</f>
        <v>4224</v>
      </c>
      <c r="G39" s="76" t="n">
        <f aca="false">Arch!$D$17</f>
        <v>4224</v>
      </c>
      <c r="H39" s="76" t="n">
        <f aca="false">Arch!$D$17</f>
        <v>4224</v>
      </c>
      <c r="I39" s="76" t="n">
        <f aca="false">Arch!$D$17</f>
        <v>4224</v>
      </c>
    </row>
    <row r="40" customFormat="false" ht="15" hidden="false" customHeight="false" outlineLevel="0" collapsed="false">
      <c r="A40" s="44" t="s">
        <v>405</v>
      </c>
      <c r="B40" s="44"/>
      <c r="C40" s="76" t="n">
        <f aca="false">Arch!$D$18</f>
        <v>128</v>
      </c>
      <c r="D40" s="76" t="n">
        <f aca="false">Arch!$D$18</f>
        <v>128</v>
      </c>
      <c r="E40" s="76" t="n">
        <f aca="false">Arch!$D$18</f>
        <v>128</v>
      </c>
      <c r="F40" s="76" t="n">
        <f aca="false">Arch!$D$18</f>
        <v>128</v>
      </c>
      <c r="G40" s="76" t="n">
        <f aca="false">Arch!$D$18</f>
        <v>128</v>
      </c>
      <c r="H40" s="76" t="n">
        <f aca="false">Arch!$D$18</f>
        <v>128</v>
      </c>
      <c r="I40" s="76" t="n">
        <f aca="false">Arch!$D$18</f>
        <v>128</v>
      </c>
    </row>
    <row r="41" customFormat="false" ht="15" hidden="false" customHeight="false" outlineLevel="0" collapsed="false">
      <c r="A41" s="44" t="s">
        <v>406</v>
      </c>
      <c r="B41" s="44"/>
      <c r="C41" s="76" t="n">
        <f aca="false">Arch!$D$19</f>
        <v>128</v>
      </c>
      <c r="D41" s="76" t="n">
        <f aca="false">Arch!$D$19</f>
        <v>128</v>
      </c>
      <c r="E41" s="76" t="n">
        <f aca="false">Arch!$D$19</f>
        <v>128</v>
      </c>
      <c r="F41" s="76" t="n">
        <f aca="false">Arch!$D$19</f>
        <v>128</v>
      </c>
      <c r="G41" s="76" t="n">
        <f aca="false">Arch!$D$19</f>
        <v>128</v>
      </c>
      <c r="H41" s="76" t="n">
        <f aca="false">Arch!$D$19</f>
        <v>128</v>
      </c>
      <c r="I41" s="76" t="n">
        <f aca="false">Arch!$D$19</f>
        <v>128</v>
      </c>
    </row>
    <row r="42" customFormat="false" ht="15" hidden="false" customHeight="false" outlineLevel="0" collapsed="false">
      <c r="A42" s="45" t="s">
        <v>307</v>
      </c>
      <c r="B42" s="45" t="s">
        <v>236</v>
      </c>
      <c r="C42" s="56" t="n">
        <f aca="false">C15+C16/2</f>
        <v>8704</v>
      </c>
      <c r="D42" s="56" t="n">
        <f aca="false">D15+D16/2</f>
        <v>8704</v>
      </c>
      <c r="E42" s="56" t="n">
        <f aca="false">E15+E16/2</f>
        <v>8704</v>
      </c>
      <c r="F42" s="56" t="n">
        <f aca="false">F15+F16/2</f>
        <v>8704</v>
      </c>
      <c r="G42" s="56" t="n">
        <f aca="false">G15+G16/2</f>
        <v>8704</v>
      </c>
      <c r="H42" s="56" t="n">
        <f aca="false">H15+H16/2</f>
        <v>8704</v>
      </c>
      <c r="I42" s="56" t="n">
        <f aca="false">I15+I16/2</f>
        <v>8704</v>
      </c>
    </row>
    <row r="43" customFormat="false" ht="15" hidden="false" customHeight="false" outlineLevel="0" collapsed="false">
      <c r="A43" s="45" t="s">
        <v>407</v>
      </c>
      <c r="B43" s="45" t="s">
        <v>236</v>
      </c>
      <c r="C43" s="56" t="n">
        <f aca="false">C38*IF(C39=0,C42,MIN(C42,C39))+(1-C38)*(C42/C40+C41)</f>
        <v>2210</v>
      </c>
      <c r="D43" s="56" t="n">
        <f aca="false">D38*IF(D39=0,D42,MIN(D42,D39))+(1-D38)*(D42/D40+D41)</f>
        <v>2210</v>
      </c>
      <c r="E43" s="56" t="n">
        <f aca="false">E38*IF(E39=0,E42,MIN(E42,E39))+(1-E38)*(E42/E40+E41)</f>
        <v>2210</v>
      </c>
      <c r="F43" s="56" t="n">
        <f aca="false">F38*IF(F39=0,F42,MIN(F42,F39))+(1-F38)*(F42/F40+F41)</f>
        <v>2210</v>
      </c>
      <c r="G43" s="56" t="n">
        <f aca="false">G38*IF(G39=0,G42,MIN(G42,G39))+(1-G38)*(G42/G40+G41)</f>
        <v>2210</v>
      </c>
      <c r="H43" s="56" t="n">
        <f aca="false">H38*IF(H39=0,H42,MIN(H42,H39))+(1-H38)*(H42/H40+H41)</f>
        <v>2210</v>
      </c>
      <c r="I43" s="56" t="n">
        <f aca="false">I38*IF(I39=0,I42,MIN(I42,I39))+(1-I38)*(I42/I40+I41)</f>
        <v>2210</v>
      </c>
    </row>
    <row r="44" customFormat="false" ht="15" hidden="false" customHeight="false" outlineLevel="0" collapsed="false">
      <c r="A44" s="45" t="s">
        <v>408</v>
      </c>
      <c r="B44" s="45" t="s">
        <v>409</v>
      </c>
      <c r="C44" s="55" t="n">
        <f aca="false">(2*C30*1000000000+C37*C43)/1000000000</f>
        <v>133.33963264</v>
      </c>
      <c r="D44" s="55" t="n">
        <f aca="false">(2*D30*1000000000+D37*D43)/1000000000</f>
        <v>133.33963264</v>
      </c>
      <c r="E44" s="55" t="n">
        <f aca="false">(2*E30*1000000000+E37*E43)/1000000000</f>
        <v>133.33963264</v>
      </c>
      <c r="F44" s="55" t="n">
        <f aca="false">(2*F30*1000000000+F37*F43)/1000000000</f>
        <v>133.33963264</v>
      </c>
      <c r="G44" s="55" t="n">
        <f aca="false">(2*G30*1000000000+G37*G43)/1000000000</f>
        <v>133.33963264</v>
      </c>
      <c r="H44" s="55" t="n">
        <f aca="false">(2*H30*1000000000+H37*H43)/1000000000</f>
        <v>133.33963264</v>
      </c>
      <c r="I44" s="55" t="n">
        <f aca="false">(2*I30*1000000000+I37*I43)/1000000000</f>
        <v>133.33963264</v>
      </c>
    </row>
    <row r="45" customFormat="false" ht="15" hidden="false" customHeight="false" outlineLevel="0" collapsed="false">
      <c r="A45" s="45" t="s">
        <v>308</v>
      </c>
      <c r="B45" s="45" t="s">
        <v>236</v>
      </c>
      <c r="C45" s="56" t="n">
        <f aca="false">C15/2</f>
        <v>4096</v>
      </c>
      <c r="D45" s="56" t="n">
        <f aca="false">D15/2</f>
        <v>4096</v>
      </c>
      <c r="E45" s="56" t="n">
        <f aca="false">E15/2</f>
        <v>4096</v>
      </c>
      <c r="F45" s="56" t="n">
        <f aca="false">F15/2</f>
        <v>4096</v>
      </c>
      <c r="G45" s="56" t="n">
        <f aca="false">G15/2</f>
        <v>4096</v>
      </c>
      <c r="H45" s="56" t="n">
        <f aca="false">H15/2</f>
        <v>4096</v>
      </c>
      <c r="I45" s="56" t="n">
        <f aca="false">I15/2</f>
        <v>4096</v>
      </c>
    </row>
    <row r="46" customFormat="false" ht="15" hidden="false" customHeight="false" outlineLevel="0" collapsed="false">
      <c r="A46" s="45" t="s">
        <v>410</v>
      </c>
      <c r="B46" s="45" t="s">
        <v>236</v>
      </c>
      <c r="C46" s="56" t="n">
        <f aca="false">C38*IF(C39=0,C45,MIN(C45,C39))+(1-C38)*(C45/C40+C41)</f>
        <v>2128</v>
      </c>
      <c r="D46" s="56" t="n">
        <f aca="false">D38*IF(D39=0,D45,MIN(D45,D39))+(1-D38)*(D45/D40+D41)</f>
        <v>2128</v>
      </c>
      <c r="E46" s="56" t="n">
        <f aca="false">E38*IF(E39=0,E45,MIN(E45,E39))+(1-E38)*(E45/E40+E41)</f>
        <v>2128</v>
      </c>
      <c r="F46" s="56" t="n">
        <f aca="false">F38*IF(F39=0,F45,MIN(F45,F39))+(1-F38)*(F45/F40+F41)</f>
        <v>2128</v>
      </c>
      <c r="G46" s="56" t="n">
        <f aca="false">G38*IF(G39=0,G45,MIN(G45,G39))+(1-G38)*(G45/G40+G41)</f>
        <v>2128</v>
      </c>
      <c r="H46" s="56" t="n">
        <f aca="false">H38*IF(H39=0,H45,MIN(H45,H39))+(1-H38)*(H45/H40+H41)</f>
        <v>2128</v>
      </c>
      <c r="I46" s="56" t="n">
        <f aca="false">I38*IF(I39=0,I45,MIN(I45,I39))+(1-I38)*(I45/I40+I41)</f>
        <v>2128</v>
      </c>
    </row>
    <row r="47" customFormat="false" ht="15" hidden="false" customHeight="false" outlineLevel="0" collapsed="false">
      <c r="A47" s="45" t="s">
        <v>411</v>
      </c>
      <c r="B47" s="45" t="s">
        <v>409</v>
      </c>
      <c r="C47" s="55" t="n">
        <f aca="false">(2*C30*1000000000+C37*C46)/1000000000</f>
        <v>132.028388352</v>
      </c>
      <c r="D47" s="55" t="n">
        <f aca="false">(2*D30*1000000000+D37*D46)/1000000000</f>
        <v>132.028388352</v>
      </c>
      <c r="E47" s="55" t="n">
        <f aca="false">(2*E30*1000000000+E37*E46)/1000000000</f>
        <v>132.028388352</v>
      </c>
      <c r="F47" s="55" t="n">
        <f aca="false">(2*F30*1000000000+F37*F46)/1000000000</f>
        <v>132.028388352</v>
      </c>
      <c r="G47" s="55" t="n">
        <f aca="false">(2*G30*1000000000+G37*G46)/1000000000</f>
        <v>132.028388352</v>
      </c>
      <c r="H47" s="55" t="n">
        <f aca="false">(2*H30*1000000000+H37*H46)/1000000000</f>
        <v>132.028388352</v>
      </c>
      <c r="I47" s="55" t="n">
        <f aca="false">(2*I30*1000000000+I37*I46)/1000000000</f>
        <v>132.028388352</v>
      </c>
    </row>
    <row r="48" customFormat="false" ht="15" hidden="false" customHeight="false" outlineLevel="0" collapsed="false">
      <c r="A48" s="44" t="s">
        <v>412</v>
      </c>
      <c r="B48" s="45" t="s">
        <v>261</v>
      </c>
      <c r="C48" s="76" t="n">
        <f aca="false">C24*(1-Serving!$C$9)</f>
        <v>259.2</v>
      </c>
      <c r="D48" s="76" t="n">
        <f aca="false">D24*(1-Serving!$C$9)</f>
        <v>259.2</v>
      </c>
      <c r="E48" s="76" t="n">
        <f aca="false">E24*(1-Serving!$C$9)</f>
        <v>259.2</v>
      </c>
      <c r="F48" s="76" t="n">
        <f aca="false">F24*(1-Serving!$C$9)</f>
        <v>259.2</v>
      </c>
      <c r="G48" s="76" t="n">
        <f aca="false">G24*(1-Serving!$C$9)</f>
        <v>167.4</v>
      </c>
      <c r="H48" s="76" t="n">
        <f aca="false">H24*(1-Serving!$C$9)</f>
        <v>167.4</v>
      </c>
      <c r="I48" s="76" t="n">
        <f aca="false">I24*(1-Serving!$C$9)</f>
        <v>259.2</v>
      </c>
    </row>
    <row r="49" customFormat="false" ht="15" hidden="false" customHeight="false" outlineLevel="0" collapsed="false">
      <c r="A49" s="44" t="s">
        <v>413</v>
      </c>
      <c r="B49" s="44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45" t="s">
        <v>414</v>
      </c>
      <c r="B50" s="44"/>
      <c r="C50" s="76" t="n">
        <f aca="false">MAX(C27,CEILING(C35*C28/(Serving!$C$11*C48),1))</f>
        <v>32</v>
      </c>
      <c r="D50" s="76" t="n">
        <f aca="false">MAX(D27,CEILING(D35*D28/(Serving!$C$11*D48),1))</f>
        <v>32</v>
      </c>
      <c r="E50" s="76" t="n">
        <f aca="false">MAX(E27,CEILING(E35*E28/(Serving!$C$11*E48),1))</f>
        <v>32</v>
      </c>
      <c r="F50" s="76" t="n">
        <f aca="false">MAX(F27,CEILING(F35*F28/(Serving!$C$11*F48),1))</f>
        <v>32</v>
      </c>
      <c r="G50" s="76" t="n">
        <f aca="false">MAX(G27,CEILING(G35*G28/(Serving!$C$11*G48),1))</f>
        <v>32</v>
      </c>
      <c r="H50" s="76" t="n">
        <f aca="false">MAX(H27,CEILING(H35*H28/(Serving!$C$11*H48),1))</f>
        <v>32</v>
      </c>
      <c r="I50" s="76" t="n">
        <f aca="false">MAX(I27,CEILING(I35*I28/(Serving!$C$11*I48),1))</f>
        <v>32</v>
      </c>
    </row>
    <row r="51" customFormat="false" ht="15" hidden="false" customHeight="false" outlineLevel="0" collapsed="false">
      <c r="A51" s="44" t="s">
        <v>415</v>
      </c>
      <c r="B51" s="45" t="s">
        <v>261</v>
      </c>
      <c r="C51" s="55" t="n">
        <f aca="false">C34*C29/C49+C35*C28/C50</f>
        <v>48.0463324652778</v>
      </c>
      <c r="D51" s="55" t="n">
        <f aca="false">D34*D29/D49+D35*D28/D50</f>
        <v>48.0463324652778</v>
      </c>
      <c r="E51" s="55" t="n">
        <f aca="false">E34*E29/E49+E35*E28/E50</f>
        <v>48.0463324652778</v>
      </c>
      <c r="F51" s="55" t="n">
        <f aca="false">F34*F29/F49+F35*F28/F50</f>
        <v>48.0463324652778</v>
      </c>
      <c r="G51" s="55" t="n">
        <f aca="false">G34*G29/G49+G35*G28/G50</f>
        <v>48.0463324652778</v>
      </c>
      <c r="H51" s="55" t="n">
        <f aca="false">H34*H29/H49+H35*H28/H50</f>
        <v>48.0463324652778</v>
      </c>
      <c r="I51" s="55" t="n">
        <f aca="false">I34*I29/I49+I35*I28/I50</f>
        <v>48.0463324652778</v>
      </c>
    </row>
    <row r="52" customFormat="false" ht="15" hidden="false" customHeight="false" outlineLevel="0" collapsed="false">
      <c r="A52" s="44" t="s">
        <v>416</v>
      </c>
      <c r="B52" s="44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44" t="s">
        <v>417</v>
      </c>
      <c r="B53" s="44"/>
      <c r="C53" s="79" t="n">
        <f aca="false">IF(C13=1,Serving!$C$8,1)</f>
        <v>2.533</v>
      </c>
      <c r="D53" s="79" t="n">
        <f aca="false">IF(D13=1,Serving!$C$8,1)</f>
        <v>2.533</v>
      </c>
      <c r="E53" s="79" t="n">
        <f aca="false">IF(E13=1,Serving!$C$8,1)</f>
        <v>2.533</v>
      </c>
      <c r="F53" s="79" t="n">
        <f aca="false">IF(F13=1,Serving!$C$8,1)</f>
        <v>1</v>
      </c>
      <c r="G53" s="79" t="n">
        <f aca="false">IF(G13=1,Serving!$C$8,1)</f>
        <v>1</v>
      </c>
      <c r="H53" s="79" t="n">
        <f aca="false">IF(H13=1,Serving!$C$8,1)</f>
        <v>2.533</v>
      </c>
      <c r="I53" s="79" t="n">
        <f aca="false">IF(I13=1,Serving!$C$8,1)</f>
        <v>2.533</v>
      </c>
    </row>
    <row r="54" customFormat="false" ht="15" hidden="false" customHeight="false" outlineLevel="0" collapsed="false">
      <c r="A54" s="45" t="s">
        <v>418</v>
      </c>
      <c r="B54" s="45" t="s">
        <v>300</v>
      </c>
      <c r="C54" s="56" t="n">
        <f aca="false">$C$5*C23*1000000000000000/(C47*1000000000)</f>
        <v>34083.5789648707</v>
      </c>
      <c r="D54" s="56" t="n">
        <f aca="false">$C$5*D23*1000000000000000/(D47*1000000000)</f>
        <v>34083.5789648707</v>
      </c>
      <c r="E54" s="56" t="n">
        <f aca="false">$C$5*E23*1000000000000000/(E47*1000000000)</f>
        <v>34083.5789648707</v>
      </c>
      <c r="F54" s="56" t="n">
        <f aca="false">$C$5*F23*1000000000000000/(F47*1000000000)</f>
        <v>34083.5789648707</v>
      </c>
      <c r="G54" s="56" t="n">
        <f aca="false">$C$5*G23*1000000000000000/(G47*1000000000)</f>
        <v>22722.3859765804</v>
      </c>
      <c r="H54" s="56" t="n">
        <f aca="false">$C$5*H23*1000000000000000/(H47*1000000000)</f>
        <v>22722.3859765804</v>
      </c>
      <c r="I54" s="56" t="n">
        <f aca="false">$C$5*I23*1000000000000000/(I47*1000000000)</f>
        <v>34083.5789648707</v>
      </c>
    </row>
    <row r="55" customFormat="false" ht="15" hidden="false" customHeight="false" outlineLevel="0" collapsed="false">
      <c r="A55" s="44" t="s">
        <v>419</v>
      </c>
      <c r="B55" s="45" t="s">
        <v>420</v>
      </c>
      <c r="C55" s="83" t="n">
        <f aca="false">(C52+1)*C44/C23/1000</f>
        <v>0.0355572353706667</v>
      </c>
      <c r="D55" s="83" t="n">
        <f aca="false">(D52+1)*D44/D23/1000</f>
        <v>0.0355572353706667</v>
      </c>
      <c r="E55" s="83" t="n">
        <f aca="false">(E52+1)*E44/E23/1000</f>
        <v>0.0355572353706667</v>
      </c>
      <c r="F55" s="83" t="n">
        <f aca="false">(F52+1)*F44/F23/1000</f>
        <v>0.00888930884266667</v>
      </c>
      <c r="G55" s="83" t="n">
        <f aca="false">(G52+1)*G44/G23/1000</f>
        <v>0.013333963264</v>
      </c>
      <c r="H55" s="83" t="n">
        <f aca="false">(H52+1)*H44/H23/1000</f>
        <v>0.053335853056</v>
      </c>
      <c r="I55" s="83" t="n">
        <f aca="false">(I52+1)*I44/I23/1000</f>
        <v>0.0355572353706667</v>
      </c>
    </row>
    <row r="56" customFormat="false" ht="15" hidden="false" customHeight="false" outlineLevel="0" collapsed="false">
      <c r="A56" s="44" t="s">
        <v>421</v>
      </c>
      <c r="B56" s="45" t="s">
        <v>300</v>
      </c>
      <c r="C56" s="56" t="n">
        <f aca="false">C16/((C15+C16)/C17-C15/C54)</f>
        <v>1380.60283795024</v>
      </c>
      <c r="D56" s="56" t="n">
        <f aca="false">D16/((D15+D16)/D17-D15/D54)</f>
        <v>424.442629727413</v>
      </c>
      <c r="E56" s="56" t="n">
        <f aca="false">E16/((E15+E16)/E17-E15/E54)</f>
        <v>1757.91940226822</v>
      </c>
      <c r="F56" s="56" t="n">
        <f aca="false">F16/((F15+F16)/F17-F15/F54)</f>
        <v>818.918726400301</v>
      </c>
      <c r="G56" s="56" t="n">
        <f aca="false">G16/((G15+G16)/G17-G15/G54)</f>
        <v>266.000550163594</v>
      </c>
      <c r="H56" s="56" t="n">
        <f aca="false">H16/((H15+H16)/H17-H15/H54)</f>
        <v>495.257075329457</v>
      </c>
      <c r="I56" s="56" t="n">
        <f aca="false">I16/((I15+I16)/I17-I15/I54)</f>
        <v>873.253354090091</v>
      </c>
      <c r="J56" s="54" t="s">
        <v>422</v>
      </c>
    </row>
    <row r="57" customFormat="false" ht="15" hidden="false" customHeight="false" outlineLevel="0" collapsed="false">
      <c r="A57" s="44" t="s">
        <v>423</v>
      </c>
      <c r="B57" s="44" t="s">
        <v>424</v>
      </c>
      <c r="C57" s="55" t="n">
        <f aca="false">C56/C14</f>
        <v>19.1750394159756</v>
      </c>
      <c r="D57" s="55" t="n">
        <f aca="false">D56/D14</f>
        <v>3.26494330559548</v>
      </c>
      <c r="E57" s="55" t="n">
        <f aca="false">E56/E14</f>
        <v>35.1583880453644</v>
      </c>
      <c r="F57" s="55" t="n">
        <f aca="false">F56/F14</f>
        <v>30.3303232000111</v>
      </c>
      <c r="G57" s="55" t="n">
        <f aca="false">G56/G14</f>
        <v>9.85187222828127</v>
      </c>
      <c r="H57" s="55" t="n">
        <f aca="false">H56/H14</f>
        <v>4.50233704844961</v>
      </c>
      <c r="I57" s="55" t="n">
        <f aca="false">I56/I14</f>
        <v>7.93866685536447</v>
      </c>
    </row>
    <row r="59" customFormat="false" ht="15" hidden="false" customHeight="false" outlineLevel="0" collapsed="false">
      <c r="A59" s="72" t="s">
        <v>425</v>
      </c>
      <c r="B59" s="50"/>
      <c r="C59" s="50"/>
      <c r="D59" s="50"/>
      <c r="E59" s="50"/>
      <c r="F59" s="50"/>
      <c r="G59" s="50"/>
      <c r="H59" s="50"/>
      <c r="I59" s="50"/>
      <c r="J59" s="50"/>
    </row>
    <row r="60" customFormat="false" ht="15" hidden="false" customHeight="false" outlineLevel="0" collapsed="false">
      <c r="A60" s="45" t="s">
        <v>426</v>
      </c>
      <c r="B60" s="45" t="s">
        <v>57</v>
      </c>
      <c r="C60" s="84" t="n">
        <f aca="false">(C57-D57)*C55/(1000*(C53/C14-D53/D14))</f>
        <v>0.0360423794946733</v>
      </c>
      <c r="J60" s="42" t="s">
        <v>427</v>
      </c>
    </row>
    <row r="61" customFormat="false" ht="15" hidden="false" customHeight="false" outlineLevel="0" collapsed="false">
      <c r="A61" s="44" t="s">
        <v>428</v>
      </c>
      <c r="B61" s="45" t="s">
        <v>420</v>
      </c>
      <c r="C61" s="52" t="n">
        <f aca="false">1000*C53/C14-C57*C55/C60</f>
        <v>16.263619456583</v>
      </c>
    </row>
    <row r="62" customFormat="false" ht="15" hidden="false" customHeight="false" outlineLevel="0" collapsed="false">
      <c r="A62" s="44" t="s">
        <v>429</v>
      </c>
      <c r="B62" s="45" t="s">
        <v>430</v>
      </c>
      <c r="C62" s="51" t="n">
        <f aca="false">(C61-C51/C25)*1000/(C31+C52)</f>
        <v>160.278560912864</v>
      </c>
      <c r="J62" s="54" t="s">
        <v>431</v>
      </c>
    </row>
    <row r="63" customFormat="false" ht="15" hidden="false" customHeight="false" outlineLevel="0" collapsed="false">
      <c r="A63" s="44" t="s">
        <v>432</v>
      </c>
      <c r="C63" s="73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2" t="s">
        <v>433</v>
      </c>
      <c r="B65" s="50"/>
      <c r="C65" s="50"/>
      <c r="D65" s="50"/>
      <c r="E65" s="50"/>
      <c r="F65" s="50"/>
      <c r="G65" s="50"/>
      <c r="H65" s="50"/>
      <c r="I65" s="50"/>
      <c r="J65" s="50"/>
    </row>
    <row r="66" customFormat="false" ht="15" hidden="false" customHeight="false" outlineLevel="0" collapsed="false">
      <c r="A66" s="9" t="s">
        <v>122</v>
      </c>
      <c r="C66" s="62" t="str">
        <f aca="false">Spec_Rack!C4</f>
        <v>Hopper H100</v>
      </c>
      <c r="D66" s="62" t="str">
        <f aca="false">Spec_Rack!D4</f>
        <v>GB200 NVL72</v>
      </c>
      <c r="E66" s="62" t="str">
        <f aca="false">Spec_Rack!E4</f>
        <v>GB300 NVL72</v>
      </c>
      <c r="F66" s="62" t="str">
        <f aca="false">Spec_Rack!F4</f>
        <v>VR200 NVL72</v>
      </c>
      <c r="G66" s="62" t="str">
        <f aca="false">Spec_Rack!G4</f>
        <v>Rubin Ultra NVL576</v>
      </c>
    </row>
    <row r="67" customFormat="false" ht="52.2" hidden="false" customHeight="false" outlineLevel="0" collapsed="false">
      <c r="A67" s="45" t="s">
        <v>434</v>
      </c>
      <c r="B67" s="45" t="s">
        <v>61</v>
      </c>
      <c r="C67" s="59" t="n">
        <v>1.5</v>
      </c>
      <c r="D67" s="59" t="n">
        <v>1</v>
      </c>
      <c r="E67" s="59" t="n">
        <v>1</v>
      </c>
      <c r="F67" s="59" t="n">
        <v>1</v>
      </c>
      <c r="G67" s="59" t="n">
        <v>1</v>
      </c>
      <c r="J67" s="66" t="s">
        <v>435</v>
      </c>
    </row>
    <row r="68" customFormat="false" ht="15" hidden="false" customHeight="false" outlineLevel="0" collapsed="false">
      <c r="A68" s="44" t="s">
        <v>436</v>
      </c>
      <c r="B68" s="45" t="s">
        <v>61</v>
      </c>
      <c r="C68" s="59" t="n">
        <v>1.5</v>
      </c>
      <c r="D68" s="59" t="n">
        <v>1</v>
      </c>
      <c r="E68" s="59" t="n">
        <v>1</v>
      </c>
      <c r="F68" s="59" t="n">
        <v>1</v>
      </c>
      <c r="G68" s="59" t="n">
        <v>1</v>
      </c>
      <c r="J68" s="66" t="s">
        <v>437</v>
      </c>
    </row>
    <row r="69" customFormat="false" ht="26.85" hidden="false" customHeight="false" outlineLevel="0" collapsed="false">
      <c r="A69" s="45" t="s">
        <v>438</v>
      </c>
      <c r="B69" s="45" t="s">
        <v>61</v>
      </c>
      <c r="C69" s="59" t="n">
        <v>0.5</v>
      </c>
      <c r="D69" s="59" t="n">
        <v>1</v>
      </c>
      <c r="E69" s="59" t="n">
        <v>1</v>
      </c>
      <c r="F69" s="59" t="n">
        <v>1</v>
      </c>
      <c r="G69" s="59" t="n">
        <v>1</v>
      </c>
      <c r="J69" s="66" t="s">
        <v>439</v>
      </c>
    </row>
    <row r="70" customFormat="false" ht="15" hidden="false" customHeight="false" outlineLevel="0" collapsed="false">
      <c r="A70" s="45" t="s">
        <v>440</v>
      </c>
      <c r="B70" s="45" t="s">
        <v>57</v>
      </c>
      <c r="C70" s="84" t="n">
        <f aca="false">$C$60*C67</f>
        <v>0.05406356924201</v>
      </c>
      <c r="D70" s="84" t="n">
        <f aca="false">$C$60*D67</f>
        <v>0.0360423794946733</v>
      </c>
      <c r="E70" s="84" t="n">
        <f aca="false">$C$60*E67</f>
        <v>0.0360423794946733</v>
      </c>
      <c r="F70" s="84" t="n">
        <f aca="false">$C$60*F67</f>
        <v>0.0360423794946733</v>
      </c>
      <c r="G70" s="84" t="n">
        <f aca="false">$C$60*G67</f>
        <v>0.0360423794946733</v>
      </c>
    </row>
    <row r="71" customFormat="false" ht="15" hidden="false" customHeight="false" outlineLevel="0" collapsed="false">
      <c r="A71" s="44" t="s">
        <v>441</v>
      </c>
      <c r="B71" s="45" t="s">
        <v>430</v>
      </c>
      <c r="C71" s="51" t="n">
        <f aca="false">$C$62*C68</f>
        <v>240.417841369295</v>
      </c>
      <c r="D71" s="51" t="n">
        <f aca="false">$C$62*D68</f>
        <v>160.278560912864</v>
      </c>
      <c r="E71" s="51" t="n">
        <f aca="false">$C$62*E68</f>
        <v>160.278560912864</v>
      </c>
      <c r="F71" s="51" t="n">
        <f aca="false">$C$62*F68</f>
        <v>160.278560912864</v>
      </c>
      <c r="G71" s="51" t="n">
        <f aca="false">$C$62*G68</f>
        <v>160.278560912864</v>
      </c>
    </row>
    <row r="72" customFormat="false" ht="15" hidden="false" customHeight="false" outlineLevel="0" collapsed="false">
      <c r="A72" s="45" t="s">
        <v>442</v>
      </c>
      <c r="B72" s="45" t="s">
        <v>57</v>
      </c>
      <c r="C72" s="85" t="n">
        <f aca="false">$C$5*C69</f>
        <v>0.15</v>
      </c>
      <c r="D72" s="85" t="n">
        <f aca="false">$C$5*D69</f>
        <v>0.3</v>
      </c>
      <c r="E72" s="85" t="n">
        <f aca="false">$C$5*E69</f>
        <v>0.3</v>
      </c>
      <c r="F72" s="85" t="n">
        <f aca="false">$C$5*F69</f>
        <v>0.3</v>
      </c>
      <c r="G72" s="85" t="n">
        <f aca="false">$C$5*G69</f>
        <v>0.3</v>
      </c>
    </row>
    <row r="74" customFormat="false" ht="15" hidden="false" customHeight="false" outlineLevel="0" collapsed="false">
      <c r="A74" s="72" t="s">
        <v>443</v>
      </c>
      <c r="B74" s="50"/>
      <c r="C74" s="50"/>
      <c r="D74" s="50"/>
      <c r="E74" s="50"/>
      <c r="F74" s="50"/>
      <c r="G74" s="50"/>
      <c r="H74" s="50"/>
      <c r="I74" s="50"/>
      <c r="J74" s="50"/>
    </row>
    <row r="75" customFormat="false" ht="15" hidden="false" customHeight="false" outlineLevel="0" collapsed="false">
      <c r="A75" s="45" t="s">
        <v>444</v>
      </c>
      <c r="B75" s="45" t="s">
        <v>57</v>
      </c>
      <c r="C75" s="86" t="n">
        <f aca="false">INDEX($C$70:$G$70,C10)</f>
        <v>0.0360423794946733</v>
      </c>
      <c r="D75" s="86" t="n">
        <f aca="false">INDEX($C$70:$G$70,D10)</f>
        <v>0.0360423794946733</v>
      </c>
      <c r="E75" s="86" t="n">
        <f aca="false">INDEX($C$70:$G$70,E10)</f>
        <v>0.0360423794946733</v>
      </c>
      <c r="F75" s="86" t="n">
        <f aca="false">INDEX($C$70:$G$70,F10)</f>
        <v>0.0360423794946733</v>
      </c>
      <c r="G75" s="86" t="n">
        <f aca="false">INDEX($C$70:$G$70,G10)</f>
        <v>0.0360423794946733</v>
      </c>
      <c r="H75" s="86" t="n">
        <f aca="false">INDEX($C$70:$G$70,H10)</f>
        <v>0.0360423794946733</v>
      </c>
      <c r="I75" s="86" t="n">
        <f aca="false">INDEX($C$70:$G$70,I10)</f>
        <v>0.0360423794946733</v>
      </c>
    </row>
    <row r="76" customFormat="false" ht="15" hidden="false" customHeight="false" outlineLevel="0" collapsed="false">
      <c r="A76" s="44" t="s">
        <v>445</v>
      </c>
      <c r="B76" s="45" t="s">
        <v>430</v>
      </c>
      <c r="C76" s="56" t="n">
        <f aca="false">INDEX($C$71:$G$71,C10)</f>
        <v>160.278560912864</v>
      </c>
      <c r="D76" s="56" t="n">
        <f aca="false">INDEX($C$71:$G$71,D10)</f>
        <v>160.278560912864</v>
      </c>
      <c r="E76" s="56" t="n">
        <f aca="false">INDEX($C$71:$G$71,E10)</f>
        <v>160.278560912864</v>
      </c>
      <c r="F76" s="56" t="n">
        <f aca="false">INDEX($C$71:$G$71,F10)</f>
        <v>160.278560912864</v>
      </c>
      <c r="G76" s="56" t="n">
        <f aca="false">INDEX($C$71:$G$71,G10)</f>
        <v>160.278560912864</v>
      </c>
      <c r="H76" s="56" t="n">
        <f aca="false">INDEX($C$71:$G$71,H10)</f>
        <v>160.278560912864</v>
      </c>
      <c r="I76" s="56" t="n">
        <f aca="false">INDEX($C$71:$G$71,I10)</f>
        <v>160.278560912864</v>
      </c>
    </row>
    <row r="77" customFormat="false" ht="15" hidden="false" customHeight="false" outlineLevel="0" collapsed="false">
      <c r="A77" s="45" t="s">
        <v>446</v>
      </c>
      <c r="B77" s="45" t="s">
        <v>57</v>
      </c>
      <c r="C77" s="87" t="n">
        <f aca="false">INDEX($C$72:$G$72,C10)</f>
        <v>0.3</v>
      </c>
      <c r="D77" s="87" t="n">
        <f aca="false">INDEX($C$72:$G$72,D10)</f>
        <v>0.3</v>
      </c>
      <c r="E77" s="87" t="n">
        <f aca="false">INDEX($C$72:$G$72,E10)</f>
        <v>0.3</v>
      </c>
      <c r="F77" s="87" t="n">
        <f aca="false">INDEX($C$72:$G$72,F10)</f>
        <v>0.3</v>
      </c>
      <c r="G77" s="87" t="n">
        <f aca="false">INDEX($C$72:$G$72,G10)</f>
        <v>0.3</v>
      </c>
      <c r="H77" s="87" t="n">
        <f aca="false">INDEX($C$72:$G$72,H10)</f>
        <v>0.3</v>
      </c>
      <c r="I77" s="87" t="n">
        <f aca="false">INDEX($C$72:$G$72,I10)</f>
        <v>0.3</v>
      </c>
    </row>
    <row r="78" customFormat="false" ht="15" hidden="false" customHeight="false" outlineLevel="0" collapsed="false">
      <c r="A78" s="45" t="s">
        <v>447</v>
      </c>
      <c r="B78" s="45" t="s">
        <v>300</v>
      </c>
      <c r="C78" s="56" t="n">
        <f aca="false">C77*C23*1000000000000000/(C47*1000000000)</f>
        <v>34083.5789648707</v>
      </c>
      <c r="D78" s="56" t="n">
        <f aca="false">D77*D23*1000000000000000/(D47*1000000000)</f>
        <v>34083.5789648707</v>
      </c>
      <c r="E78" s="56" t="n">
        <f aca="false">E77*E23*1000000000000000/(E47*1000000000)</f>
        <v>34083.5789648707</v>
      </c>
      <c r="F78" s="56" t="n">
        <f aca="false">F77*F23*1000000000000000/(F47*1000000000)</f>
        <v>34083.5789648707</v>
      </c>
      <c r="G78" s="56" t="n">
        <f aca="false">G77*G23*1000000000000000/(G47*1000000000)</f>
        <v>22722.3859765804</v>
      </c>
      <c r="H78" s="56" t="n">
        <f aca="false">H77*H23*1000000000000000/(H47*1000000000)</f>
        <v>22722.3859765804</v>
      </c>
      <c r="I78" s="56" t="n">
        <f aca="false">I77*I23*1000000000000000/(I47*1000000000)</f>
        <v>34083.5789648707</v>
      </c>
    </row>
    <row r="79" customFormat="false" ht="15" hidden="false" customHeight="false" outlineLevel="0" collapsed="false">
      <c r="A79" s="44" t="s">
        <v>448</v>
      </c>
      <c r="B79" s="45" t="s">
        <v>420</v>
      </c>
      <c r="C79" s="52" t="n">
        <f aca="false">C51/C25+(C31+C52)*C76/1000</f>
        <v>16.263619456583</v>
      </c>
      <c r="D79" s="52" t="n">
        <f aca="false">D51/D25+(D31+D52)*D76/1000</f>
        <v>16.263619456583</v>
      </c>
      <c r="E79" s="52" t="n">
        <f aca="false">E51/E25+(E31+E52)*E76/1000</f>
        <v>16.263619456583</v>
      </c>
      <c r="F79" s="52" t="n">
        <f aca="false">F51/F25+(F31+F52)*F76/1000</f>
        <v>15.7827837738444</v>
      </c>
      <c r="G79" s="52" t="n">
        <f aca="false">G51/G25+(G31+G52)*G76/1000</f>
        <v>15.7827837738444</v>
      </c>
      <c r="H79" s="52" t="n">
        <f aca="false">H51/H25+(H31+H52)*H76/1000</f>
        <v>16.263619456583</v>
      </c>
      <c r="I79" s="52" t="n">
        <f aca="false">I51/I25+(I31+I52)*I76/1000</f>
        <v>16.263619456583</v>
      </c>
    </row>
    <row r="80" customFormat="false" ht="15" hidden="false" customHeight="false" outlineLevel="0" collapsed="false">
      <c r="A80" s="44" t="s">
        <v>449</v>
      </c>
      <c r="B80" s="45" t="s">
        <v>420</v>
      </c>
      <c r="C80" s="78" t="n">
        <f aca="false">MAX(C55/C75,C36*C42/(C25*Serving!$C$13)/1000000000,(C52+1)*C31*C33*C32*Serving!$C$12*(C50-1)/C50/(C26*Serving!$C$14)/1000000000)</f>
        <v>0.98653962000266</v>
      </c>
      <c r="D80" s="78" t="n">
        <f aca="false">MAX(D55/D75,D36*D42/(D25*Serving!$C$13)/1000000000,(D52+1)*D31*D33*D32*Serving!$C$12*(D50-1)/D50/(D26*Serving!$C$14)/1000000000)</f>
        <v>0.98653962000266</v>
      </c>
      <c r="E80" s="78" t="n">
        <f aca="false">MAX(E55/E75,E36*E42/(E25*Serving!$C$13)/1000000000,(E52+1)*E31*E33*E32*Serving!$C$12*(E50-1)/E50/(E26*Serving!$C$14)/1000000000)</f>
        <v>0.98653962000266</v>
      </c>
      <c r="F80" s="78" t="n">
        <f aca="false">MAX(F55/F75,F36*F42/(F25*Serving!$C$13)/1000000000,(F52+1)*F31*F33*F32*Serving!$C$12*(F50-1)/F50/(F26*Serving!$C$14)/1000000000)</f>
        <v>0.246634905000665</v>
      </c>
      <c r="G80" s="78" t="n">
        <f aca="false">MAX(G55/G75,G36*G42/(G25*Serving!$C$13)/1000000000,(G52+1)*G31*G33*G32*Serving!$C$12*(G50-1)/G50/(G26*Serving!$C$14)/1000000000)</f>
        <v>0.369952357500997</v>
      </c>
      <c r="H80" s="78" t="n">
        <f aca="false">MAX(H55/H75,H36*H42/(H25*Serving!$C$13)/1000000000,(H52+1)*H31*H33*H32*Serving!$C$12*(H50-1)/H50/(H26*Serving!$C$14)/1000000000)</f>
        <v>1.47980943000399</v>
      </c>
      <c r="I80" s="7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45" t="s">
        <v>450</v>
      </c>
      <c r="B81" s="44" t="s">
        <v>451</v>
      </c>
      <c r="C81" s="55" t="n">
        <f aca="false">(1000*C53/C14-C79)/C80</f>
        <v>19.1750394159756</v>
      </c>
      <c r="D81" s="55" t="n">
        <f aca="false">(1000*D53/D14-D79)/D80</f>
        <v>3.26494330559548</v>
      </c>
      <c r="E81" s="55" t="n">
        <f aca="false">(1000*E53/E14-E79)/E80</f>
        <v>34.8656859248332</v>
      </c>
      <c r="F81" s="55" t="n">
        <f aca="false">(1000*F53/F14-F79)/F80</f>
        <v>86.1769880590719</v>
      </c>
      <c r="G81" s="55" t="n">
        <f aca="false">(1000*G53/G14-G79)/G80</f>
        <v>57.4513253727146</v>
      </c>
      <c r="H81" s="55" t="n">
        <f aca="false">(1000*H53/H14-H79)/H80</f>
        <v>4.57062452336954</v>
      </c>
      <c r="I81" s="55" t="n">
        <f aca="false">(1000*I53/I14-I79)/I80</f>
        <v>6.85593678505431</v>
      </c>
    </row>
    <row r="82" customFormat="false" ht="15" hidden="false" customHeight="false" outlineLevel="0" collapsed="false">
      <c r="A82" s="44" t="s">
        <v>452</v>
      </c>
      <c r="B82" s="44" t="s">
        <v>451</v>
      </c>
      <c r="C82" s="56" t="n">
        <f aca="false">(C48-C51)*1000000000/(C36*C42)</f>
        <v>6118.38152813225</v>
      </c>
      <c r="D82" s="56" t="n">
        <f aca="false">(D48-D51)*1000000000/(D36*D42)</f>
        <v>6118.38152813225</v>
      </c>
      <c r="E82" s="56" t="n">
        <f aca="false">(E48-E51)*1000000000/(E36*E42)</f>
        <v>6118.38152813225</v>
      </c>
      <c r="F82" s="56" t="n">
        <f aca="false">(F48-F51)*1000000000/(F36*F42)</f>
        <v>6118.38152813225</v>
      </c>
      <c r="G82" s="56" t="n">
        <f aca="false">(G48-G51)*1000000000/(G36*G42)</f>
        <v>3458.38783330249</v>
      </c>
      <c r="H82" s="56" t="n">
        <f aca="false">(H48-H51)*1000000000/(H36*H42)</f>
        <v>3458.38783330249</v>
      </c>
      <c r="I82" s="56" t="n">
        <f aca="false">(I48-I51)*1000000000/(I36*I42)</f>
        <v>6118.38152813225</v>
      </c>
    </row>
    <row r="83" customFormat="false" ht="15" hidden="false" customHeight="false" outlineLevel="0" collapsed="false">
      <c r="A83" s="45" t="s">
        <v>453</v>
      </c>
      <c r="B83" s="44" t="s">
        <v>451</v>
      </c>
      <c r="C83" s="55" t="n">
        <f aca="false">MAX(0,MIN(C81,C82))</f>
        <v>19.1750394159756</v>
      </c>
      <c r="D83" s="55" t="n">
        <f aca="false">MAX(0,MIN(D81,D82))</f>
        <v>3.26494330559548</v>
      </c>
      <c r="E83" s="55" t="n">
        <f aca="false">MAX(0,MIN(E81,E82))</f>
        <v>34.8656859248332</v>
      </c>
      <c r="F83" s="55" t="n">
        <f aca="false">MAX(0,MIN(F81,F82))</f>
        <v>86.1769880590719</v>
      </c>
      <c r="G83" s="55" t="n">
        <f aca="false">MAX(0,MIN(G81,G82))</f>
        <v>57.4513253727146</v>
      </c>
      <c r="H83" s="55" t="n">
        <f aca="false">MAX(0,MIN(H81,H82))</f>
        <v>4.57062452336954</v>
      </c>
      <c r="I83" s="55" t="n">
        <f aca="false">MAX(0,MIN(I81,I82))</f>
        <v>6.85593678505431</v>
      </c>
    </row>
    <row r="84" customFormat="false" ht="15" hidden="false" customHeight="false" outlineLevel="0" collapsed="false">
      <c r="A84" s="45" t="s">
        <v>454</v>
      </c>
      <c r="B84" s="45" t="s">
        <v>300</v>
      </c>
      <c r="C84" s="56" t="n">
        <f aca="false">IF(C83&gt;0,C83*C53/((C79+C83*C80)/1000),0)</f>
        <v>1380.60283795024</v>
      </c>
      <c r="D84" s="56" t="n">
        <f aca="false">IF(D83&gt;0,D83*D53/((D79+D83*D80)/1000),0)</f>
        <v>424.442629727412</v>
      </c>
      <c r="E84" s="56" t="n">
        <f aca="false">IF(E83&gt;0,E83*E53/((E79+E83*E80)/1000),0)</f>
        <v>1743.28429624166</v>
      </c>
      <c r="F84" s="56" t="n">
        <f aca="false">IF(F83&gt;0,F83*F53/((F79+F83*F80)/1000),0)</f>
        <v>2326.77867759494</v>
      </c>
      <c r="G84" s="56" t="n">
        <f aca="false">IF(G83&gt;0,G83*G53/((G79+G83*G80)/1000),0)</f>
        <v>1551.18578506329</v>
      </c>
      <c r="H84" s="56" t="n">
        <f aca="false">IF(H83&gt;0,H83*H53/((H79+H83*H80)/1000),0)</f>
        <v>502.768697570649</v>
      </c>
      <c r="I84" s="56" t="n">
        <f aca="false">IF(I83&gt;0,I83*I53/((I79+I83*I80)/1000),0)</f>
        <v>754.153046355974</v>
      </c>
    </row>
    <row r="85" customFormat="false" ht="15" hidden="false" customHeight="false" outlineLevel="0" collapsed="false">
      <c r="A85" s="44" t="s">
        <v>455</v>
      </c>
      <c r="B85" s="45" t="s">
        <v>300</v>
      </c>
      <c r="C85" s="56" t="n">
        <f aca="false">IF(C84&gt;0,(C15+C16)/(C15/C78+C16/C84),0)</f>
        <v>9384.4</v>
      </c>
      <c r="D85" s="56" t="n">
        <f aca="false">IF(D84&gt;0,(D15+D16)/(D15/D78+D16/D84),0)</f>
        <v>3473.9</v>
      </c>
      <c r="E85" s="56" t="n">
        <f aca="false">IF(E84&gt;0,(E15+E16)/(E15/E78+E16/E84),0)</f>
        <v>11133.8318690023</v>
      </c>
      <c r="F85" s="56" t="n">
        <f aca="false">IF(F84&gt;0,(F15+F16)/(F15/F78+F16/F84),0)</f>
        <v>13544.102212017</v>
      </c>
      <c r="G85" s="56" t="n">
        <f aca="false">IF(G84&gt;0,(G15+G16)/(G15/G78+G16/G84),0)</f>
        <v>9029.40147467799</v>
      </c>
      <c r="H85" s="56" t="n">
        <f aca="false">IF(H84&gt;0,(H15+H16)/(H15/H78+H16/H84),0)</f>
        <v>3844.40924048186</v>
      </c>
      <c r="I85" s="56" t="n">
        <f aca="false">IF(I84&gt;0,(I15+I16)/(I15/I78+I16/I84),0)</f>
        <v>5766.61386072279</v>
      </c>
    </row>
    <row r="86" customFormat="false" ht="15" hidden="false" customHeight="false" outlineLevel="0" collapsed="false">
      <c r="A86" s="44" t="s">
        <v>456</v>
      </c>
      <c r="B86" s="45" t="s">
        <v>61</v>
      </c>
      <c r="C86" s="88" t="n">
        <f aca="false">C85/C17</f>
        <v>1</v>
      </c>
      <c r="D86" s="88" t="n">
        <f aca="false">D85/D17</f>
        <v>0.999999999999999</v>
      </c>
      <c r="E86" s="88" t="n">
        <f aca="false">E85/E17</f>
        <v>0.994092131160915</v>
      </c>
      <c r="F86" s="88" t="n">
        <f aca="false">F85/F17</f>
        <v>2.19089327273002</v>
      </c>
      <c r="G86" s="88" t="n">
        <f aca="false">G85/G17</f>
        <v>4.12489788701598</v>
      </c>
      <c r="H86" s="88" t="n">
        <f aca="false">H85/H17</f>
        <v>1.0128861126286</v>
      </c>
      <c r="I86" s="88" t="n">
        <f aca="false">I85/I17</f>
        <v>0.884124534024714</v>
      </c>
    </row>
    <row r="87" customFormat="false" ht="42" hidden="false" customHeight="true" outlineLevel="0" collapsed="false">
      <c r="A87" s="44" t="s">
        <v>457</v>
      </c>
      <c r="C87" s="74" t="s">
        <v>458</v>
      </c>
      <c r="D87" s="74" t="s">
        <v>458</v>
      </c>
      <c r="E87" s="74" t="s">
        <v>459</v>
      </c>
      <c r="F87" s="74" t="s">
        <v>460</v>
      </c>
      <c r="G87" s="74" t="s">
        <v>461</v>
      </c>
      <c r="H87" s="74" t="s">
        <v>462</v>
      </c>
      <c r="I87" s="74" t="s">
        <v>83</v>
      </c>
    </row>
    <row r="89" customFormat="false" ht="15" hidden="false" customHeight="false" outlineLevel="0" collapsed="false">
      <c r="A89" s="72" t="s">
        <v>463</v>
      </c>
      <c r="B89" s="50"/>
      <c r="C89" s="50"/>
      <c r="D89" s="50"/>
      <c r="E89" s="50"/>
      <c r="F89" s="50"/>
      <c r="G89" s="50"/>
      <c r="H89" s="50"/>
      <c r="I89" s="50"/>
      <c r="J89" s="50"/>
    </row>
    <row r="90" customFormat="false" ht="15" hidden="false" customHeight="false" outlineLevel="0" collapsed="false">
      <c r="A90" s="43" t="s">
        <v>464</v>
      </c>
      <c r="C90" s="47" t="n">
        <v>0.15</v>
      </c>
      <c r="D90" s="47" t="n">
        <v>0.3</v>
      </c>
      <c r="E90" s="47" t="n">
        <v>0.45</v>
      </c>
    </row>
    <row r="91" customFormat="false" ht="15" hidden="false" customHeight="false" outlineLevel="0" collapsed="false">
      <c r="A91" s="44" t="s">
        <v>465</v>
      </c>
      <c r="C91" s="56" t="n">
        <f aca="false">C90*$C$23*1000000000000000/($C$47*1000000000)</f>
        <v>17041.7894824353</v>
      </c>
      <c r="D91" s="56" t="n">
        <f aca="false">D90*$C$23*1000000000000000/($C$47*1000000000)</f>
        <v>34083.5789648707</v>
      </c>
      <c r="E91" s="56" t="n">
        <f aca="false">E90*$C$23*1000000000000000/($C$47*1000000000)</f>
        <v>51125.368447306</v>
      </c>
    </row>
    <row r="92" customFormat="false" ht="15" hidden="false" customHeight="false" outlineLevel="0" collapsed="false">
      <c r="A92" s="44" t="s">
        <v>466</v>
      </c>
      <c r="C92" s="56" t="n">
        <f aca="false">C90*$D$23*1000000000000000/($D$47*1000000000)</f>
        <v>17041.7894824353</v>
      </c>
      <c r="D92" s="56" t="n">
        <f aca="false">D90*$D$23*1000000000000000/($D$47*1000000000)</f>
        <v>34083.5789648707</v>
      </c>
      <c r="E92" s="56" t="n">
        <f aca="false">E90*$D$23*1000000000000000/($D$47*1000000000)</f>
        <v>51125.368447306</v>
      </c>
    </row>
    <row r="93" customFormat="false" ht="15" hidden="false" customHeight="false" outlineLevel="0" collapsed="false">
      <c r="A93" s="44" t="s">
        <v>467</v>
      </c>
      <c r="C93" s="55" t="n">
        <f aca="false">$C$16/(($C$15+$C$16)/$C$17-$C$15/C91)/$C$14</f>
        <v>28.3675890606831</v>
      </c>
      <c r="D93" s="55" t="n">
        <f aca="false">$C$16/(($C$15+$C$16)/$C$17-$C$15/D91)/$C$14</f>
        <v>19.1750394159756</v>
      </c>
      <c r="E93" s="55" t="n">
        <f aca="false">$C$16/(($C$15+$C$16)/$C$17-$C$15/E91)/$C$14</f>
        <v>17.3057259897911</v>
      </c>
    </row>
    <row r="94" customFormat="false" ht="15" hidden="false" customHeight="false" outlineLevel="0" collapsed="false">
      <c r="A94" s="44" t="s">
        <v>468</v>
      </c>
      <c r="C94" s="55" t="n">
        <f aca="false">$D$16/(($D$15+$D$16)/$D$17-$D$15/C92)/$D$14</f>
        <v>3.62619966895948</v>
      </c>
      <c r="D94" s="55" t="n">
        <f aca="false">$D$16/(($D$15+$D$16)/$D$17-$D$15/D92)/$D$14</f>
        <v>3.26494330559548</v>
      </c>
      <c r="E94" s="55" t="n">
        <f aca="false">$D$16/(($D$15+$D$16)/$D$17-$D$15/E92)/$D$14</f>
        <v>3.16000587479084</v>
      </c>
    </row>
    <row r="95" customFormat="false" ht="15" hidden="false" customHeight="false" outlineLevel="0" collapsed="false">
      <c r="A95" s="45" t="s">
        <v>469</v>
      </c>
      <c r="C95" s="86" t="n">
        <f aca="false">(C93-C94)*$C$55/(1000*($C$53/$C$14-$D$53/$D$14))</f>
        <v>0.056048595778136</v>
      </c>
      <c r="D95" s="86" t="n">
        <f aca="false">(D93-D94)*$C$55/(1000*($C$53/$C$14-$D$53/$D$14))</f>
        <v>0.0360423794946733</v>
      </c>
      <c r="E95" s="86" t="n">
        <f aca="false">(E93-E94)*$C$55/(1000*($C$53/$C$14-$D$53/$D$14))</f>
        <v>0.0320454011762781</v>
      </c>
    </row>
    <row r="96" customFormat="false" ht="15" hidden="false" customHeight="false" outlineLevel="0" collapsed="false">
      <c r="A96" s="44" t="s">
        <v>470</v>
      </c>
      <c r="C96" s="56" t="n">
        <f aca="false">((1000*$C$53/$C$14-C93*$C$55/C95)-$C$51/$C$25)*1000/($C$31+$C$52)</f>
        <v>174.661911793131</v>
      </c>
      <c r="D96" s="56" t="n">
        <f aca="false">((1000*$C$53/$C$14-D93*$C$55/D95)-$C$51/$C$25)*1000/($C$31+$C$52)</f>
        <v>160.278560912864</v>
      </c>
      <c r="E96" s="56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72" t="s">
        <v>471</v>
      </c>
      <c r="B98" s="50"/>
      <c r="C98" s="50"/>
      <c r="D98" s="50"/>
      <c r="E98" s="50"/>
      <c r="F98" s="50"/>
      <c r="G98" s="50"/>
      <c r="H98" s="50"/>
      <c r="I98" s="50"/>
      <c r="J98" s="50"/>
    </row>
    <row r="99" customFormat="false" ht="15" hidden="false" customHeight="false" outlineLevel="0" collapsed="false">
      <c r="A99" s="43" t="s">
        <v>472</v>
      </c>
    </row>
    <row r="100" customFormat="false" ht="26.85" hidden="false" customHeight="false" outlineLevel="0" collapsed="false">
      <c r="A100" s="44" t="s">
        <v>212</v>
      </c>
      <c r="B100" s="45" t="s">
        <v>213</v>
      </c>
      <c r="C100" s="46" t="n">
        <v>671</v>
      </c>
      <c r="J100" s="66" t="s">
        <v>473</v>
      </c>
    </row>
    <row r="101" customFormat="false" ht="15" hidden="false" customHeight="false" outlineLevel="0" collapsed="false">
      <c r="A101" s="44" t="s">
        <v>216</v>
      </c>
      <c r="B101" s="45" t="s">
        <v>213</v>
      </c>
      <c r="C101" s="46" t="n">
        <v>37</v>
      </c>
    </row>
    <row r="102" customFormat="false" ht="15" hidden="false" customHeight="false" outlineLevel="0" collapsed="false">
      <c r="A102" s="44" t="s">
        <v>218</v>
      </c>
      <c r="B102" s="44"/>
      <c r="C102" s="46" t="n">
        <v>61</v>
      </c>
    </row>
    <row r="103" customFormat="false" ht="15" hidden="false" customHeight="false" outlineLevel="0" collapsed="false">
      <c r="A103" s="45" t="s">
        <v>221</v>
      </c>
      <c r="B103" s="44"/>
      <c r="C103" s="46" t="n">
        <v>7168</v>
      </c>
    </row>
    <row r="104" customFormat="false" ht="15" hidden="false" customHeight="false" outlineLevel="0" collapsed="false">
      <c r="A104" s="45" t="s">
        <v>229</v>
      </c>
      <c r="B104" s="44"/>
      <c r="C104" s="46" t="n">
        <v>256</v>
      </c>
    </row>
    <row r="105" customFormat="false" ht="15" hidden="false" customHeight="false" outlineLevel="0" collapsed="false">
      <c r="A105" s="44" t="s">
        <v>474</v>
      </c>
      <c r="B105" s="44"/>
      <c r="C105" s="46" t="n">
        <v>8</v>
      </c>
    </row>
    <row r="106" customFormat="false" ht="15" hidden="false" customHeight="false" outlineLevel="0" collapsed="false">
      <c r="A106" s="45" t="s">
        <v>231</v>
      </c>
      <c r="B106" s="44"/>
      <c r="C106" s="46" t="n">
        <v>1</v>
      </c>
    </row>
    <row r="107" customFormat="false" ht="15" hidden="false" customHeight="false" outlineLevel="0" collapsed="false">
      <c r="A107" s="45" t="s">
        <v>232</v>
      </c>
      <c r="B107" s="44"/>
      <c r="C107" s="46" t="n">
        <v>129280</v>
      </c>
    </row>
    <row r="108" customFormat="false" ht="15" hidden="false" customHeight="false" outlineLevel="0" collapsed="false">
      <c r="A108" s="45" t="s">
        <v>475</v>
      </c>
      <c r="B108" s="45" t="s">
        <v>213</v>
      </c>
      <c r="C108" s="46" t="n">
        <v>35136</v>
      </c>
    </row>
    <row r="109" customFormat="false" ht="15" hidden="false" customHeight="false" outlineLevel="0" collapsed="false">
      <c r="A109" s="44" t="s">
        <v>476</v>
      </c>
      <c r="B109" s="45" t="s">
        <v>259</v>
      </c>
      <c r="C109" s="46" t="n">
        <v>4997120</v>
      </c>
    </row>
    <row r="110" customFormat="false" ht="15" hidden="false" customHeight="false" outlineLevel="0" collapsed="false">
      <c r="A110" s="44" t="s">
        <v>477</v>
      </c>
      <c r="B110" s="45" t="s">
        <v>236</v>
      </c>
      <c r="C110" s="46" t="n">
        <v>800</v>
      </c>
    </row>
    <row r="111" customFormat="false" ht="15" hidden="false" customHeight="false" outlineLevel="0" collapsed="false">
      <c r="A111" s="44" t="s">
        <v>478</v>
      </c>
      <c r="B111" s="45" t="s">
        <v>236</v>
      </c>
      <c r="C111" s="46" t="n">
        <v>3880</v>
      </c>
    </row>
    <row r="112" customFormat="false" ht="15" hidden="false" customHeight="false" outlineLevel="0" collapsed="false">
      <c r="A112" s="44" t="s">
        <v>254</v>
      </c>
      <c r="B112" s="45" t="s">
        <v>213</v>
      </c>
      <c r="C112" s="53" t="n">
        <f aca="false">(C100-C101)/(C102*(C104-C105))</f>
        <v>0.0419090428344791</v>
      </c>
    </row>
    <row r="113" customFormat="false" ht="15" hidden="false" customHeight="false" outlineLevel="0" collapsed="false">
      <c r="A113" s="44" t="s">
        <v>401</v>
      </c>
      <c r="B113" s="45" t="s">
        <v>213</v>
      </c>
      <c r="C113" s="55" t="n">
        <f aca="false">C101-C102*(C105+C106)*C112</f>
        <v>13.991935483871</v>
      </c>
    </row>
    <row r="114" customFormat="false" ht="15" hidden="false" customHeight="false" outlineLevel="0" collapsed="false">
      <c r="A114" s="44" t="s">
        <v>257</v>
      </c>
      <c r="B114" s="45" t="s">
        <v>213</v>
      </c>
      <c r="C114" s="56" t="n">
        <f aca="false">C100-C113</f>
        <v>657.008064516129</v>
      </c>
    </row>
    <row r="116" customFormat="false" ht="30" hidden="false" customHeight="true" outlineLevel="0" collapsed="false">
      <c r="A116" s="9" t="s">
        <v>479</v>
      </c>
      <c r="C116" s="65" t="s">
        <v>480</v>
      </c>
      <c r="D116" s="65" t="s">
        <v>481</v>
      </c>
      <c r="E116" s="65" t="s">
        <v>482</v>
      </c>
      <c r="F116" s="65" t="s">
        <v>483</v>
      </c>
    </row>
    <row r="117" customFormat="false" ht="15" hidden="false" customHeight="false" outlineLevel="0" collapsed="false">
      <c r="A117" s="44" t="s">
        <v>368</v>
      </c>
      <c r="B117" s="44"/>
      <c r="C117" s="48" t="n">
        <v>3</v>
      </c>
      <c r="D117" s="48" t="n">
        <v>2</v>
      </c>
      <c r="E117" s="48" t="n">
        <v>4</v>
      </c>
      <c r="F117" s="48" t="n">
        <v>3</v>
      </c>
    </row>
    <row r="118" customFormat="false" ht="15" hidden="false" customHeight="false" outlineLevel="0" collapsed="false">
      <c r="A118" s="44" t="s">
        <v>484</v>
      </c>
      <c r="B118" s="45" t="s">
        <v>300</v>
      </c>
      <c r="C118" s="89" t="n">
        <f aca="false">1000/15</f>
        <v>66.6666666666667</v>
      </c>
      <c r="D118" s="89" t="n">
        <f aca="false">1000/15</f>
        <v>66.6666666666667</v>
      </c>
      <c r="E118" s="89" t="n">
        <f aca="false">1000/15</f>
        <v>66.6666666666667</v>
      </c>
      <c r="F118" s="89" t="n">
        <f aca="false">1000/80</f>
        <v>12.5</v>
      </c>
    </row>
    <row r="119" customFormat="false" ht="15" hidden="false" customHeight="false" outlineLevel="0" collapsed="false">
      <c r="A119" s="44" t="s">
        <v>485</v>
      </c>
      <c r="B119" s="44"/>
      <c r="C119" s="48" t="n">
        <v>1</v>
      </c>
      <c r="D119" s="48" t="n">
        <v>1</v>
      </c>
      <c r="E119" s="48" t="n">
        <v>1</v>
      </c>
      <c r="F119" s="48" t="n">
        <v>0</v>
      </c>
      <c r="J119" s="66" t="s">
        <v>486</v>
      </c>
    </row>
    <row r="120" customFormat="false" ht="26.85" hidden="false" customHeight="false" outlineLevel="0" collapsed="false">
      <c r="A120" s="45" t="s">
        <v>487</v>
      </c>
      <c r="B120" s="45" t="s">
        <v>488</v>
      </c>
      <c r="C120" s="63" t="n">
        <f aca="false">253506/72</f>
        <v>3520.91666666667</v>
      </c>
      <c r="D120" s="63" t="n">
        <f aca="false">240318/72</f>
        <v>3337.75</v>
      </c>
      <c r="E120" s="63" t="n">
        <f aca="false">652750/72</f>
        <v>9065.97222222222</v>
      </c>
      <c r="F120" s="63" t="n">
        <v>8064</v>
      </c>
      <c r="J120" s="66" t="s">
        <v>489</v>
      </c>
    </row>
    <row r="121" customFormat="false" ht="30" hidden="false" customHeight="true" outlineLevel="0" collapsed="false">
      <c r="A121" s="44" t="s">
        <v>384</v>
      </c>
      <c r="C121" s="66" t="s">
        <v>490</v>
      </c>
      <c r="D121" s="66" t="s">
        <v>490</v>
      </c>
      <c r="E121" s="66" t="s">
        <v>491</v>
      </c>
      <c r="F121" s="66" t="s">
        <v>490</v>
      </c>
    </row>
    <row r="122" customFormat="false" ht="15" hidden="false" customHeight="false" outlineLevel="0" collapsed="false">
      <c r="A122" s="44" t="s">
        <v>122</v>
      </c>
      <c r="C122" s="73" t="str">
        <f aca="false">INDEX(Spec_Rack!$C$4:$G$4,C117)</f>
        <v>GB300 NVL72</v>
      </c>
      <c r="D122" s="73" t="str">
        <f aca="false">INDEX(Spec_Rack!$C$4:$G$4,D117)</f>
        <v>GB200 NVL72</v>
      </c>
      <c r="E122" s="73" t="str">
        <f aca="false">INDEX(Spec_Rack!$C$4:$G$4,E117)</f>
        <v>VR200 NVL72</v>
      </c>
      <c r="F122" s="73" t="str">
        <f aca="false">INDEX(Spec_Rack!$C$4:$G$4,F117)</f>
        <v>GB300 NVL72</v>
      </c>
    </row>
    <row r="123" customFormat="false" ht="15" hidden="false" customHeight="false" outlineLevel="0" collapsed="false">
      <c r="A123" s="44" t="s">
        <v>388</v>
      </c>
      <c r="C123" s="54" t="s">
        <v>492</v>
      </c>
      <c r="D123" s="54" t="s">
        <v>492</v>
      </c>
      <c r="E123" s="54" t="s">
        <v>492</v>
      </c>
      <c r="F123" s="54" t="s">
        <v>492</v>
      </c>
    </row>
    <row r="124" customFormat="false" ht="15" hidden="false" customHeight="false" outlineLevel="0" collapsed="false">
      <c r="A124" s="44" t="s">
        <v>391</v>
      </c>
      <c r="B124" s="45" t="s">
        <v>493</v>
      </c>
      <c r="C124" s="75" t="n">
        <f aca="false">INDEX(Spec_Rack!$C$35:$G$35,C117)</f>
        <v>15</v>
      </c>
      <c r="D124" s="75" t="n">
        <f aca="false">INDEX(Spec_Rack!$C$35:$G$35,D117)</f>
        <v>10</v>
      </c>
      <c r="E124" s="75" t="n">
        <f aca="false">INDEX(Spec_Rack!$C$35:$G$35,E117)</f>
        <v>35</v>
      </c>
      <c r="F124" s="75" t="n">
        <f aca="false">INDEX(Spec_Rack!$C$35:$G$35,F117)</f>
        <v>15</v>
      </c>
    </row>
    <row r="125" customFormat="false" ht="15" hidden="false" customHeight="false" outlineLevel="0" collapsed="false">
      <c r="A125" s="45" t="s">
        <v>494</v>
      </c>
      <c r="B125" s="45" t="s">
        <v>261</v>
      </c>
      <c r="C125" s="76" t="n">
        <f aca="false">INDEX(Spec_Rack!$C$25:$G$25,C117)</f>
        <v>288</v>
      </c>
      <c r="D125" s="76" t="n">
        <f aca="false">INDEX(Spec_Rack!$C$25:$G$25,D117)</f>
        <v>186</v>
      </c>
      <c r="E125" s="76" t="n">
        <f aca="false">INDEX(Spec_Rack!$C$25:$G$25,E117)</f>
        <v>288</v>
      </c>
      <c r="F125" s="76" t="n">
        <f aca="false">INDEX(Spec_Rack!$C$25:$G$25,F117)</f>
        <v>288</v>
      </c>
    </row>
    <row r="126" customFormat="false" ht="15" hidden="false" customHeight="false" outlineLevel="0" collapsed="false">
      <c r="A126" s="45" t="s">
        <v>394</v>
      </c>
      <c r="B126" s="45" t="s">
        <v>395</v>
      </c>
      <c r="C126" s="77" t="n">
        <f aca="false">INDEX(Spec_Rack!$C$26:$G$26,C117)</f>
        <v>8</v>
      </c>
      <c r="D126" s="77" t="n">
        <f aca="false">INDEX(Spec_Rack!$C$26:$G$26,D117)</f>
        <v>8</v>
      </c>
      <c r="E126" s="77" t="n">
        <f aca="false">INDEX(Spec_Rack!$C$26:$G$26,E117)</f>
        <v>22</v>
      </c>
      <c r="F126" s="77" t="n">
        <f aca="false">INDEX(Spec_Rack!$C$26:$G$26,F117)</f>
        <v>8</v>
      </c>
    </row>
    <row r="127" customFormat="false" ht="15" hidden="false" customHeight="false" outlineLevel="0" collapsed="false">
      <c r="A127" s="45" t="s">
        <v>495</v>
      </c>
      <c r="B127" s="45" t="s">
        <v>395</v>
      </c>
      <c r="C127" s="77" t="n">
        <f aca="false">INDEX(Spec_Rack!$C$27:$G$27,C117)</f>
        <v>0.9</v>
      </c>
      <c r="D127" s="77" t="n">
        <f aca="false">INDEX(Spec_Rack!$C$27:$G$27,D117)</f>
        <v>0.9</v>
      </c>
      <c r="E127" s="77" t="n">
        <f aca="false">INDEX(Spec_Rack!$C$27:$G$27,E117)</f>
        <v>1.8</v>
      </c>
      <c r="F127" s="77" t="n">
        <f aca="false">INDEX(Spec_Rack!$C$27:$G$27,F117)</f>
        <v>0.9</v>
      </c>
    </row>
    <row r="128" customFormat="false" ht="15" hidden="false" customHeight="false" outlineLevel="0" collapsed="false">
      <c r="A128" s="45" t="s">
        <v>496</v>
      </c>
      <c r="B128" s="44"/>
      <c r="C128" s="76" t="n">
        <f aca="false">INDEX(Spec_Rack!$C$29:$G$29,C117)</f>
        <v>32</v>
      </c>
      <c r="D128" s="76" t="n">
        <f aca="false">INDEX(Spec_Rack!$C$29:$G$29,D117)</f>
        <v>32</v>
      </c>
      <c r="E128" s="76" t="n">
        <f aca="false">INDEX(Spec_Rack!$C$29:$G$29,E117)</f>
        <v>32</v>
      </c>
      <c r="F128" s="76" t="n">
        <f aca="false">INDEX(Spec_Rack!$C$29:$G$29,F117)</f>
        <v>32</v>
      </c>
    </row>
    <row r="129" customFormat="false" ht="15" hidden="false" customHeight="false" outlineLevel="0" collapsed="false">
      <c r="A129" s="44" t="s">
        <v>497</v>
      </c>
      <c r="B129" s="44"/>
      <c r="C129" s="78" t="n">
        <f aca="false">INDEX(Spec_Rack!$C$30:$G$30,C117)</f>
        <v>0.5625</v>
      </c>
      <c r="D129" s="78" t="n">
        <f aca="false">INDEX(Spec_Rack!$C$30:$G$30,D117)</f>
        <v>0.5625</v>
      </c>
      <c r="E129" s="78" t="n">
        <f aca="false">INDEX(Spec_Rack!$C$30:$G$30,E117)</f>
        <v>0.5625</v>
      </c>
      <c r="F129" s="78" t="n">
        <f aca="false">INDEX(Spec_Rack!$C$30:$G$30,F117)</f>
        <v>0.5625</v>
      </c>
    </row>
    <row r="130" customFormat="false" ht="15" hidden="false" customHeight="false" outlineLevel="0" collapsed="false">
      <c r="A130" s="44" t="s">
        <v>498</v>
      </c>
      <c r="B130" s="44"/>
      <c r="C130" s="79" t="n">
        <f aca="false">INDEX(Spec_Rack!$C$31:$G$31,C117)</f>
        <v>1</v>
      </c>
      <c r="D130" s="79" t="n">
        <f aca="false">INDEX(Spec_Rack!$C$31:$G$31,D117)</f>
        <v>1</v>
      </c>
      <c r="E130" s="79" t="n">
        <f aca="false">INDEX(Spec_Rack!$C$31:$G$31,E117)</f>
        <v>1</v>
      </c>
      <c r="F130" s="79" t="n">
        <f aca="false">INDEX(Spec_Rack!$C$31:$G$31,F117)</f>
        <v>1</v>
      </c>
    </row>
    <row r="131" customFormat="false" ht="15" hidden="false" customHeight="false" outlineLevel="0" collapsed="false">
      <c r="A131" s="44" t="s">
        <v>412</v>
      </c>
      <c r="B131" s="45" t="s">
        <v>261</v>
      </c>
      <c r="C131" s="76" t="n">
        <f aca="false">C125*(1-Serving!$C$9)</f>
        <v>259.2</v>
      </c>
      <c r="D131" s="76" t="n">
        <f aca="false">D125*(1-Serving!$C$9)</f>
        <v>167.4</v>
      </c>
      <c r="E131" s="76" t="n">
        <f aca="false">E125*(1-Serving!$C$9)</f>
        <v>259.2</v>
      </c>
      <c r="F131" s="76" t="n">
        <f aca="false">F125*(1-Serving!$C$9)</f>
        <v>259.2</v>
      </c>
    </row>
    <row r="132" customFormat="false" ht="15" hidden="false" customHeight="false" outlineLevel="0" collapsed="false">
      <c r="A132" s="44" t="s">
        <v>499</v>
      </c>
      <c r="B132" s="44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45" t="s">
        <v>414</v>
      </c>
      <c r="B133" s="44"/>
      <c r="C133" s="76" t="n">
        <f aca="false">MAX(C128,CEILING($C$114*C129/(Serving!$C$11*C131),1))</f>
        <v>32</v>
      </c>
      <c r="D133" s="76" t="n">
        <f aca="false">MAX(D128,CEILING($C$114*D129/(Serving!$C$11*D131),1))</f>
        <v>32</v>
      </c>
      <c r="E133" s="76" t="n">
        <f aca="false">MAX(E128,CEILING($C$114*E129/(Serving!$C$11*E131),1))</f>
        <v>32</v>
      </c>
      <c r="F133" s="76" t="n">
        <f aca="false">MAX(F128,CEILING($C$114*F129/(Serving!$C$11*F131),1))</f>
        <v>32</v>
      </c>
    </row>
    <row r="134" customFormat="false" ht="15" hidden="false" customHeight="false" outlineLevel="0" collapsed="false">
      <c r="A134" s="44" t="s">
        <v>415</v>
      </c>
      <c r="B134" s="45" t="s">
        <v>261</v>
      </c>
      <c r="C134" s="55" t="n">
        <f aca="false">$C$113*C130/C132+$C$114*C129/C133</f>
        <v>25.5409053679435</v>
      </c>
      <c r="D134" s="55" t="n">
        <f aca="false">$C$113*D130/D132+$C$114*D129/D133</f>
        <v>25.5409053679435</v>
      </c>
      <c r="E134" s="55" t="n">
        <f aca="false">$C$113*E130/E132+$C$114*E129/E133</f>
        <v>25.5409053679435</v>
      </c>
      <c r="F134" s="55" t="n">
        <f aca="false">$C$113*F130/F132+$C$114*F129/F133</f>
        <v>25.5409053679435</v>
      </c>
    </row>
    <row r="135" customFormat="false" ht="15" hidden="false" customHeight="false" outlineLevel="0" collapsed="false">
      <c r="A135" s="45" t="s">
        <v>307</v>
      </c>
      <c r="B135" s="45" t="s">
        <v>236</v>
      </c>
      <c r="C135" s="56" t="n">
        <f aca="false">$C$110+$C$111/2</f>
        <v>2740</v>
      </c>
      <c r="D135" s="56" t="n">
        <f aca="false">$C$110+$C$111/2</f>
        <v>2740</v>
      </c>
      <c r="E135" s="56" t="n">
        <f aca="false">$C$110+$C$111/2</f>
        <v>2740</v>
      </c>
      <c r="F135" s="56" t="n">
        <f aca="false">$C$110+$C$111/2</f>
        <v>2740</v>
      </c>
    </row>
    <row r="136" customFormat="false" ht="15" hidden="false" customHeight="false" outlineLevel="0" collapsed="false">
      <c r="A136" s="45" t="s">
        <v>408</v>
      </c>
      <c r="B136" s="45" t="s">
        <v>409</v>
      </c>
      <c r="C136" s="55" t="n">
        <f aca="false">(2*$C$101*1000000000+$C$109*C135)/1000000000</f>
        <v>87.6921088</v>
      </c>
      <c r="D136" s="55" t="n">
        <f aca="false">(2*$C$101*1000000000+$C$109*D135)/1000000000</f>
        <v>87.6921088</v>
      </c>
      <c r="E136" s="55" t="n">
        <f aca="false">(2*$C$101*1000000000+$C$109*E135)/1000000000</f>
        <v>87.6921088</v>
      </c>
      <c r="F136" s="55" t="n">
        <f aca="false">(2*$C$101*1000000000+$C$109*F135)/1000000000</f>
        <v>87.6921088</v>
      </c>
    </row>
    <row r="137" customFormat="false" ht="15" hidden="false" customHeight="false" outlineLevel="0" collapsed="false">
      <c r="A137" s="45" t="s">
        <v>411</v>
      </c>
      <c r="B137" s="45" t="s">
        <v>409</v>
      </c>
      <c r="C137" s="55" t="n">
        <f aca="false">(2*$C$101*1000000000+$C$109*$C$110/2)/1000000000</f>
        <v>75.998848</v>
      </c>
      <c r="D137" s="55" t="n">
        <f aca="false">(2*$C$101*1000000000+$C$109*$C$110/2)/1000000000</f>
        <v>75.998848</v>
      </c>
      <c r="E137" s="55" t="n">
        <f aca="false">(2*$C$101*1000000000+$C$109*$C$110/2)/1000000000</f>
        <v>75.998848</v>
      </c>
      <c r="F137" s="55" t="n">
        <f aca="false">(2*$C$101*1000000000+$C$109*$C$110/2)/1000000000</f>
        <v>75.998848</v>
      </c>
    </row>
    <row r="138" customFormat="false" ht="15" hidden="false" customHeight="false" outlineLevel="0" collapsed="false">
      <c r="A138" s="44" t="s">
        <v>500</v>
      </c>
      <c r="B138" s="44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44" t="s">
        <v>501</v>
      </c>
      <c r="B139" s="44"/>
      <c r="C139" s="79" t="n">
        <f aca="false">IF(C119=1,Serving!$C$8,1)</f>
        <v>2.533</v>
      </c>
      <c r="D139" s="79" t="n">
        <f aca="false">IF(D119=1,Serving!$C$8,1)</f>
        <v>2.533</v>
      </c>
      <c r="E139" s="79" t="n">
        <f aca="false">IF(E119=1,Serving!$C$8,1)</f>
        <v>2.533</v>
      </c>
      <c r="F139" s="79" t="n">
        <f aca="false">IF(F119=1,Serving!$C$8,1)</f>
        <v>1</v>
      </c>
    </row>
    <row r="140" customFormat="false" ht="15" hidden="false" customHeight="false" outlineLevel="0" collapsed="false">
      <c r="A140" s="45" t="s">
        <v>444</v>
      </c>
      <c r="B140" s="45" t="s">
        <v>57</v>
      </c>
      <c r="C140" s="86" t="n">
        <f aca="false">INDEX($C$70:$G$70,C117)</f>
        <v>0.0360423794946733</v>
      </c>
      <c r="D140" s="86" t="n">
        <f aca="false">INDEX($C$70:$G$70,D117)</f>
        <v>0.0360423794946733</v>
      </c>
      <c r="E140" s="86" t="n">
        <f aca="false">INDEX($C$70:$G$70,E117)</f>
        <v>0.0360423794946733</v>
      </c>
      <c r="F140" s="86" t="n">
        <f aca="false">INDEX($C$70:$G$70,F117)</f>
        <v>0.0360423794946733</v>
      </c>
    </row>
    <row r="141" customFormat="false" ht="15" hidden="false" customHeight="false" outlineLevel="0" collapsed="false">
      <c r="A141" s="44" t="s">
        <v>445</v>
      </c>
      <c r="B141" s="45" t="s">
        <v>430</v>
      </c>
      <c r="C141" s="56" t="n">
        <f aca="false">INDEX($C$71:$G$71,C117)</f>
        <v>160.278560912864</v>
      </c>
      <c r="D141" s="56" t="n">
        <f aca="false">INDEX($C$71:$G$71,D117)</f>
        <v>160.278560912864</v>
      </c>
      <c r="E141" s="56" t="n">
        <f aca="false">INDEX($C$71:$G$71,E117)</f>
        <v>160.278560912864</v>
      </c>
      <c r="F141" s="56" t="n">
        <f aca="false">INDEX($C$71:$G$71,F117)</f>
        <v>160.278560912864</v>
      </c>
    </row>
    <row r="142" customFormat="false" ht="15" hidden="false" customHeight="false" outlineLevel="0" collapsed="false">
      <c r="A142" s="45" t="s">
        <v>446</v>
      </c>
      <c r="B142" s="45" t="s">
        <v>57</v>
      </c>
      <c r="C142" s="87" t="n">
        <f aca="false">INDEX($C$72:$G$72,C117)</f>
        <v>0.3</v>
      </c>
      <c r="D142" s="87" t="n">
        <f aca="false">INDEX($C$72:$G$72,D117)</f>
        <v>0.3</v>
      </c>
      <c r="E142" s="87" t="n">
        <f aca="false">INDEX($C$72:$G$72,E117)</f>
        <v>0.3</v>
      </c>
      <c r="F142" s="87" t="n">
        <f aca="false">INDEX($C$72:$G$72,F117)</f>
        <v>0.3</v>
      </c>
    </row>
    <row r="143" customFormat="false" ht="15" hidden="false" customHeight="false" outlineLevel="0" collapsed="false">
      <c r="A143" s="45" t="s">
        <v>447</v>
      </c>
      <c r="B143" s="45" t="s">
        <v>300</v>
      </c>
      <c r="C143" s="56" t="n">
        <f aca="false">C142*C124*1000000000000000/(C137*1000000000)</f>
        <v>59211.4238363192</v>
      </c>
      <c r="D143" s="56" t="n">
        <f aca="false">D142*D124*1000000000000000/(D137*1000000000)</f>
        <v>39474.2825575461</v>
      </c>
      <c r="E143" s="56" t="n">
        <f aca="false">E142*E124*1000000000000000/(E137*1000000000)</f>
        <v>138159.988951411</v>
      </c>
      <c r="F143" s="56" t="n">
        <f aca="false">F142*F124*1000000000000000/(F137*1000000000)</f>
        <v>59211.4238363192</v>
      </c>
    </row>
    <row r="144" customFormat="false" ht="15" hidden="false" customHeight="false" outlineLevel="0" collapsed="false">
      <c r="A144" s="44" t="s">
        <v>448</v>
      </c>
      <c r="B144" s="45" t="s">
        <v>420</v>
      </c>
      <c r="C144" s="52" t="n">
        <f aca="false">C134/C126+($C$102+C138)*C141/1000</f>
        <v>13.4504410694162</v>
      </c>
      <c r="D144" s="52" t="n">
        <f aca="false">D134/D126+($C$102+D138)*D141/1000</f>
        <v>13.4504410694162</v>
      </c>
      <c r="E144" s="52" t="n">
        <f aca="false">E134/E126+($C$102+E138)*E141/1000</f>
        <v>11.4187781424207</v>
      </c>
      <c r="F144" s="52" t="n">
        <f aca="false">F134/F126+($C$102+F138)*F141/1000</f>
        <v>12.9696053866776</v>
      </c>
    </row>
    <row r="145" customFormat="false" ht="15" hidden="false" customHeight="false" outlineLevel="0" collapsed="false">
      <c r="A145" s="44" t="s">
        <v>449</v>
      </c>
      <c r="B145" s="45" t="s">
        <v>420</v>
      </c>
      <c r="C145" s="78" t="n">
        <f aca="false">MAX((C138+1)*C136/(C124*C140)/1000,$C$108*C135/(C126*Serving!$C$13)/1000000000,(C138+1)*$C$102*$C$105*$C$103*Serving!$C$12*(C133-1)/C133/(C127*Serving!$C$14)/1000000000)</f>
        <v>0.648807394920268</v>
      </c>
      <c r="D145" s="78" t="n">
        <f aca="false">MAX((D138+1)*D136/(D124*D140)/1000,$C$108*D135/(D126*Serving!$C$13)/1000000000,(D138+1)*$C$102*$C$105*$C$103*Serving!$C$12*(D133-1)/D133/(D127*Serving!$C$14)/1000000000)</f>
        <v>0.973211092380401</v>
      </c>
      <c r="E145" s="78" t="n">
        <f aca="false">MAX((E138+1)*E136/(E124*E140)/1000,$C$108*E135/(E126*Serving!$C$13)/1000000000,(E138+1)*$C$102*$C$105*$C$103*Serving!$C$12*(E133-1)/E133/(E127*Serving!$C$14)/1000000000)</f>
        <v>0.278060312108686</v>
      </c>
      <c r="F145" s="7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45" t="s">
        <v>453</v>
      </c>
      <c r="B146" s="44" t="s">
        <v>451</v>
      </c>
      <c r="C146" s="55" t="n">
        <f aca="false">MAX(0,MIN((1000*C139/C118-C144)/C145,(C131-C134)*1000000000/($C$108*C135)))</f>
        <v>37.8302700042438</v>
      </c>
      <c r="D146" s="55" t="n">
        <f aca="false">MAX(0,MIN((1000*D139/D118-D144)/D145,(D131-D134)*1000000000/($C$108*D135)))</f>
        <v>25.2201800028292</v>
      </c>
      <c r="E146" s="55" t="n">
        <f aca="false">MAX(0,MIN((1000*E139/E118-E144)/E145,(E131-E134)*1000000000/($C$108*E135)))</f>
        <v>95.5771848777591</v>
      </c>
      <c r="F146" s="55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45" t="s">
        <v>454</v>
      </c>
      <c r="B147" s="45" t="s">
        <v>300</v>
      </c>
      <c r="C147" s="56" t="n">
        <f aca="false">IF(C146&gt;0,C146*C139/((C144+C146*C145)/1000),0)</f>
        <v>2522.01800028292</v>
      </c>
      <c r="D147" s="56" t="n">
        <f aca="false">IF(D146&gt;0,D146*D139/((D144+D146*D145)/1000),0)</f>
        <v>1681.34533352195</v>
      </c>
      <c r="E147" s="56" t="n">
        <f aca="false">IF(E146&gt;0,E146*E139/((E144+E146*E145)/1000),0)</f>
        <v>6371.81232518394</v>
      </c>
      <c r="F147" s="56" t="n">
        <f aca="false">IF(F146&gt;0,F146*F139/((F144+F146*F145)/1000),0)</f>
        <v>5165.66203916031</v>
      </c>
    </row>
    <row r="148" customFormat="false" ht="15" hidden="false" customHeight="false" outlineLevel="0" collapsed="false">
      <c r="A148" s="44" t="s">
        <v>502</v>
      </c>
      <c r="B148" s="45" t="s">
        <v>300</v>
      </c>
      <c r="C148" s="56" t="n">
        <f aca="false">IF(C147&gt;0,$C$111/($C$110/C143+$C$111/C147),0)</f>
        <v>2500.06207566831</v>
      </c>
      <c r="D148" s="56" t="n">
        <f aca="false">IF(D147&gt;0,$C$111/($C$110/D143+$C$111/D147),0)</f>
        <v>1666.70805044554</v>
      </c>
      <c r="E148" s="56" t="n">
        <f aca="false">IF(E147&gt;0,$C$111/($C$110/E143+$C$111/E147),0)</f>
        <v>6311.7929197194</v>
      </c>
      <c r="F148" s="56" t="n">
        <f aca="false">IF(F147&gt;0,$C$111/($C$110/F143+$C$111/F147),0)</f>
        <v>5074.38487267203</v>
      </c>
    </row>
    <row r="149" customFormat="false" ht="15" hidden="false" customHeight="false" outlineLevel="0" collapsed="false">
      <c r="A149" s="44" t="s">
        <v>503</v>
      </c>
      <c r="B149" s="45" t="s">
        <v>61</v>
      </c>
      <c r="C149" s="88" t="n">
        <f aca="false">C148/C120</f>
        <v>0.710059996402918</v>
      </c>
      <c r="D149" s="88" t="n">
        <f aca="false">D148/D120</f>
        <v>0.499350775356314</v>
      </c>
      <c r="E149" s="88" t="n">
        <f aca="false">E148/E120</f>
        <v>0.696206955526307</v>
      </c>
      <c r="F149" s="88" t="n">
        <f aca="false">F148/F120</f>
        <v>0.629263997107147</v>
      </c>
    </row>
    <row r="150" customFormat="false" ht="26.85" hidden="false" customHeight="false" outlineLevel="0" collapsed="false">
      <c r="A150" s="45" t="s">
        <v>504</v>
      </c>
      <c r="C150" s="88" t="n">
        <f aca="false">E148/C148</f>
        <v>2.52465448004212</v>
      </c>
      <c r="J150" s="66" t="s">
        <v>505</v>
      </c>
    </row>
    <row r="151" customFormat="false" ht="15" hidden="false" customHeight="false" outlineLevel="0" collapsed="false">
      <c r="A151" s="45" t="s">
        <v>506</v>
      </c>
      <c r="C151" s="88" t="n">
        <f aca="false">E120/C120</f>
        <v>2.5748897461993</v>
      </c>
    </row>
    <row r="152" customFormat="false" ht="26.85" hidden="false" customHeight="false" outlineLevel="0" collapsed="false">
      <c r="A152" s="45" t="s">
        <v>507</v>
      </c>
      <c r="C152" s="57" t="n">
        <f aca="false">C148/D148</f>
        <v>1.5</v>
      </c>
      <c r="D152" s="57" t="n">
        <f aca="false">C120/D120</f>
        <v>1.05487728759394</v>
      </c>
      <c r="J152" s="74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1" t="s">
        <v>509</v>
      </c>
    </row>
    <row r="2" customFormat="false" ht="15" hidden="false" customHeight="false" outlineLevel="0" collapsed="false">
      <c r="A2" s="54" t="s">
        <v>510</v>
      </c>
    </row>
    <row r="4" customFormat="false" ht="30" hidden="false" customHeight="true" outlineLevel="0" collapsed="false">
      <c r="A4" s="65" t="s">
        <v>511</v>
      </c>
      <c r="B4" s="64" t="s">
        <v>512</v>
      </c>
      <c r="C4" s="64" t="s">
        <v>513</v>
      </c>
      <c r="D4" s="64" t="s">
        <v>514</v>
      </c>
      <c r="E4" s="64" t="s">
        <v>515</v>
      </c>
      <c r="F4" s="64" t="s">
        <v>516</v>
      </c>
      <c r="G4" s="64" t="s">
        <v>517</v>
      </c>
      <c r="H4" s="64" t="s">
        <v>518</v>
      </c>
      <c r="I4" s="64" t="s">
        <v>519</v>
      </c>
      <c r="J4" s="64" t="s">
        <v>520</v>
      </c>
      <c r="K4" s="64" t="s">
        <v>521</v>
      </c>
      <c r="L4" s="65" t="s">
        <v>522</v>
      </c>
      <c r="M4" s="64" t="s">
        <v>523</v>
      </c>
      <c r="N4" s="64" t="s">
        <v>524</v>
      </c>
      <c r="O4" s="64" t="s">
        <v>525</v>
      </c>
      <c r="P4" s="64" t="s">
        <v>526</v>
      </c>
      <c r="Q4" s="64" t="s">
        <v>527</v>
      </c>
      <c r="R4" s="64" t="s">
        <v>46</v>
      </c>
      <c r="S4" s="64" t="s">
        <v>528</v>
      </c>
      <c r="T4" s="64" t="s">
        <v>529</v>
      </c>
    </row>
    <row r="5" customFormat="false" ht="42" hidden="false" customHeight="true" outlineLevel="0" collapsed="false">
      <c r="A5" s="45" t="s">
        <v>530</v>
      </c>
      <c r="B5" s="6" t="s">
        <v>531</v>
      </c>
      <c r="C5" s="45" t="s">
        <v>532</v>
      </c>
      <c r="D5" s="45" t="s">
        <v>533</v>
      </c>
      <c r="E5" s="59" t="n">
        <v>1</v>
      </c>
      <c r="F5" s="59" t="n">
        <v>1</v>
      </c>
      <c r="G5" s="59" t="n">
        <v>1</v>
      </c>
      <c r="H5" s="48" t="n">
        <v>2</v>
      </c>
      <c r="I5" s="90" t="s">
        <v>534</v>
      </c>
      <c r="J5" s="48" t="n">
        <v>3</v>
      </c>
      <c r="K5" s="44" t="str">
        <f aca="false">IF(J5&gt;=2,"主流","非主流")</f>
        <v>主流</v>
      </c>
      <c r="L5" s="90"/>
      <c r="M5" s="90" t="s">
        <v>535</v>
      </c>
      <c r="N5" s="47" t="n">
        <v>1</v>
      </c>
      <c r="O5" s="48" t="n">
        <v>1</v>
      </c>
      <c r="P5" s="88" t="n">
        <f aca="false">IF(M5="是",1,1+O5*N5*(CHOOSE(H5,E5,F5,G5)-1))</f>
        <v>1</v>
      </c>
      <c r="Q5" s="42" t="s">
        <v>93</v>
      </c>
      <c r="R5" s="66" t="s">
        <v>536</v>
      </c>
      <c r="S5" s="66" t="s">
        <v>532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45" t="s">
        <v>537</v>
      </c>
      <c r="B6" s="5" t="s">
        <v>538</v>
      </c>
      <c r="C6" s="45" t="s">
        <v>532</v>
      </c>
      <c r="D6" s="45" t="s">
        <v>539</v>
      </c>
      <c r="E6" s="59" t="n">
        <v>1</v>
      </c>
      <c r="F6" s="59" t="n">
        <v>1</v>
      </c>
      <c r="G6" s="59" t="n">
        <v>1</v>
      </c>
      <c r="H6" s="48" t="n">
        <v>2</v>
      </c>
      <c r="I6" s="90" t="s">
        <v>534</v>
      </c>
      <c r="J6" s="48" t="n">
        <v>3</v>
      </c>
      <c r="K6" s="44" t="str">
        <f aca="false">IF(J6&gt;=2,"主流","非主流")</f>
        <v>主流</v>
      </c>
      <c r="L6" s="90"/>
      <c r="M6" s="90" t="s">
        <v>535</v>
      </c>
      <c r="N6" s="47" t="n">
        <v>1</v>
      </c>
      <c r="O6" s="48" t="n">
        <v>1</v>
      </c>
      <c r="P6" s="88" t="n">
        <f aca="false">IF(M6="是",1,1+O6*N6*(CHOOSE(H6,E6,F6,G6)-1))</f>
        <v>1</v>
      </c>
      <c r="Q6" s="42" t="s">
        <v>93</v>
      </c>
      <c r="R6" s="66" t="s">
        <v>540</v>
      </c>
      <c r="S6" s="66" t="s">
        <v>532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45" t="s">
        <v>541</v>
      </c>
      <c r="B7" s="6" t="s">
        <v>542</v>
      </c>
      <c r="C7" s="45" t="s">
        <v>532</v>
      </c>
      <c r="D7" s="45" t="s">
        <v>543</v>
      </c>
      <c r="E7" s="59" t="n">
        <v>1</v>
      </c>
      <c r="F7" s="59" t="n">
        <v>1</v>
      </c>
      <c r="G7" s="59" t="n">
        <v>1</v>
      </c>
      <c r="H7" s="48" t="n">
        <v>2</v>
      </c>
      <c r="I7" s="90" t="s">
        <v>534</v>
      </c>
      <c r="J7" s="48" t="n">
        <v>2</v>
      </c>
      <c r="K7" s="44" t="str">
        <f aca="false">IF(J7&gt;=2,"主流","非主流")</f>
        <v>主流</v>
      </c>
      <c r="L7" s="90"/>
      <c r="M7" s="90" t="s">
        <v>535</v>
      </c>
      <c r="N7" s="47" t="n">
        <v>1</v>
      </c>
      <c r="O7" s="48" t="n">
        <v>1</v>
      </c>
      <c r="P7" s="88" t="n">
        <f aca="false">IF(M7="是",1,1+O7*N7*(CHOOSE(H7,E7,F7,G7)-1))</f>
        <v>1</v>
      </c>
      <c r="Q7" s="42" t="s">
        <v>93</v>
      </c>
      <c r="R7" s="66" t="s">
        <v>544</v>
      </c>
      <c r="S7" s="66" t="s">
        <v>532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45" t="s">
        <v>545</v>
      </c>
      <c r="B8" s="6" t="s">
        <v>546</v>
      </c>
      <c r="C8" s="45" t="s">
        <v>532</v>
      </c>
      <c r="D8" s="45" t="s">
        <v>543</v>
      </c>
      <c r="E8" s="59" t="n">
        <v>1</v>
      </c>
      <c r="F8" s="59" t="n">
        <v>1</v>
      </c>
      <c r="G8" s="59" t="n">
        <v>1</v>
      </c>
      <c r="H8" s="48" t="n">
        <v>2</v>
      </c>
      <c r="I8" s="90" t="s">
        <v>534</v>
      </c>
      <c r="J8" s="48" t="n">
        <v>2</v>
      </c>
      <c r="K8" s="44" t="str">
        <f aca="false">IF(J8&gt;=2,"主流","非主流")</f>
        <v>主流</v>
      </c>
      <c r="L8" s="90"/>
      <c r="M8" s="90" t="s">
        <v>535</v>
      </c>
      <c r="N8" s="47" t="n">
        <v>1</v>
      </c>
      <c r="O8" s="48" t="n">
        <v>1</v>
      </c>
      <c r="P8" s="88" t="n">
        <f aca="false">IF(M8="是",1,1+O8*N8*(CHOOSE(H8,E8,F8,G8)-1))</f>
        <v>1</v>
      </c>
      <c r="Q8" s="42" t="s">
        <v>163</v>
      </c>
      <c r="R8" s="66" t="s">
        <v>547</v>
      </c>
      <c r="S8" s="66" t="s">
        <v>532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45" t="s">
        <v>548</v>
      </c>
      <c r="B9" s="6" t="s">
        <v>549</v>
      </c>
      <c r="C9" s="45" t="s">
        <v>532</v>
      </c>
      <c r="D9" s="45" t="s">
        <v>550</v>
      </c>
      <c r="E9" s="59" t="n">
        <v>1</v>
      </c>
      <c r="F9" s="59" t="n">
        <v>1</v>
      </c>
      <c r="G9" s="59" t="n">
        <v>1</v>
      </c>
      <c r="H9" s="48" t="n">
        <v>2</v>
      </c>
      <c r="I9" s="90" t="s">
        <v>534</v>
      </c>
      <c r="J9" s="48" t="n">
        <v>2</v>
      </c>
      <c r="K9" s="44" t="str">
        <f aca="false">IF(J9&gt;=2,"主流","非主流")</f>
        <v>主流</v>
      </c>
      <c r="L9" s="90"/>
      <c r="M9" s="90" t="s">
        <v>535</v>
      </c>
      <c r="N9" s="47" t="n">
        <v>1</v>
      </c>
      <c r="O9" s="48" t="n">
        <v>1</v>
      </c>
      <c r="P9" s="88" t="n">
        <f aca="false">IF(M9="是",1,1+O9*N9*(CHOOSE(H9,E9,F9,G9)-1))</f>
        <v>1</v>
      </c>
      <c r="Q9" s="42" t="s">
        <v>163</v>
      </c>
      <c r="R9" s="66" t="s">
        <v>551</v>
      </c>
      <c r="S9" s="66" t="s">
        <v>532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45" t="s">
        <v>552</v>
      </c>
      <c r="B10" s="6" t="s">
        <v>553</v>
      </c>
      <c r="C10" s="45" t="s">
        <v>554</v>
      </c>
      <c r="D10" s="44" t="s">
        <v>555</v>
      </c>
      <c r="E10" s="59" t="n">
        <v>0.7</v>
      </c>
      <c r="F10" s="59" t="n">
        <v>0.85</v>
      </c>
      <c r="G10" s="59" t="n">
        <v>1</v>
      </c>
      <c r="H10" s="48" t="n">
        <v>2</v>
      </c>
      <c r="I10" s="90" t="s">
        <v>556</v>
      </c>
      <c r="J10" s="48" t="n">
        <v>2</v>
      </c>
      <c r="K10" s="44" t="str">
        <f aca="false">IF(J10&gt;=2,"主流","非主流")</f>
        <v>主流</v>
      </c>
      <c r="L10" s="90"/>
      <c r="M10" s="90" t="s">
        <v>535</v>
      </c>
      <c r="N10" s="47" t="n">
        <v>1</v>
      </c>
      <c r="O10" s="48" t="n">
        <v>0</v>
      </c>
      <c r="P10" s="88" t="n">
        <f aca="false">IF(M10="是",1,1+O10*N10*(CHOOSE(H10,E10,F10,G10)-1))</f>
        <v>1</v>
      </c>
      <c r="Q10" s="42" t="s">
        <v>163</v>
      </c>
      <c r="R10" s="66" t="s">
        <v>557</v>
      </c>
      <c r="S10" s="74" t="s">
        <v>558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45" t="s">
        <v>559</v>
      </c>
      <c r="B11" s="6" t="s">
        <v>560</v>
      </c>
      <c r="C11" s="45" t="s">
        <v>561</v>
      </c>
      <c r="D11" s="44" t="s">
        <v>562</v>
      </c>
      <c r="E11" s="59" t="n">
        <v>1.5</v>
      </c>
      <c r="F11" s="59" t="n">
        <v>2</v>
      </c>
      <c r="G11" s="59" t="n">
        <v>3</v>
      </c>
      <c r="H11" s="48" t="n">
        <v>2</v>
      </c>
      <c r="I11" s="90" t="s">
        <v>556</v>
      </c>
      <c r="J11" s="48" t="n">
        <v>1</v>
      </c>
      <c r="K11" s="44" t="str">
        <f aca="false">IF(J11&gt;=2,"主流","非主流")</f>
        <v>非主流</v>
      </c>
      <c r="L11" s="90"/>
      <c r="M11" s="90" t="s">
        <v>563</v>
      </c>
      <c r="N11" s="47" t="n">
        <v>1</v>
      </c>
      <c r="O11" s="48" t="n">
        <v>0</v>
      </c>
      <c r="P11" s="88" t="n">
        <f aca="false">IF(M11="是",1,1+O11*N11*(CHOOSE(H11,E11,F11,G11)-1))</f>
        <v>1</v>
      </c>
      <c r="Q11" s="42" t="s">
        <v>163</v>
      </c>
      <c r="R11" s="74" t="s">
        <v>564</v>
      </c>
      <c r="S11" s="74" t="s">
        <v>565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45" t="s">
        <v>566</v>
      </c>
      <c r="B12" s="6" t="s">
        <v>567</v>
      </c>
      <c r="C12" s="45" t="s">
        <v>568</v>
      </c>
      <c r="D12" s="44" t="s">
        <v>569</v>
      </c>
      <c r="E12" s="59" t="n">
        <v>1.5</v>
      </c>
      <c r="F12" s="59" t="n">
        <v>2</v>
      </c>
      <c r="G12" s="59" t="n">
        <v>4</v>
      </c>
      <c r="H12" s="48" t="n">
        <v>2</v>
      </c>
      <c r="I12" s="90" t="s">
        <v>570</v>
      </c>
      <c r="J12" s="48" t="n">
        <v>0</v>
      </c>
      <c r="K12" s="44" t="str">
        <f aca="false">IF(J12&gt;=2,"主流","非主流")</f>
        <v>非主流</v>
      </c>
      <c r="L12" s="90"/>
      <c r="M12" s="90" t="s">
        <v>563</v>
      </c>
      <c r="N12" s="47" t="n">
        <v>1</v>
      </c>
      <c r="O12" s="48" t="n">
        <v>0</v>
      </c>
      <c r="P12" s="88" t="n">
        <f aca="false">IF(M12="是",1,1+O12*N12*(CHOOSE(H12,E12,F12,G12)-1))</f>
        <v>1</v>
      </c>
      <c r="Q12" s="42" t="s">
        <v>58</v>
      </c>
      <c r="R12" s="74" t="s">
        <v>571</v>
      </c>
      <c r="S12" s="74" t="s">
        <v>572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45" t="s">
        <v>573</v>
      </c>
      <c r="B13" s="6" t="s">
        <v>574</v>
      </c>
      <c r="C13" s="45" t="s">
        <v>575</v>
      </c>
      <c r="D13" s="44" t="s">
        <v>576</v>
      </c>
      <c r="E13" s="59" t="n">
        <v>1.5</v>
      </c>
      <c r="F13" s="59" t="n">
        <v>2</v>
      </c>
      <c r="G13" s="59" t="n">
        <v>4</v>
      </c>
      <c r="H13" s="48" t="n">
        <v>2</v>
      </c>
      <c r="I13" s="90" t="s">
        <v>570</v>
      </c>
      <c r="J13" s="48" t="n">
        <v>0</v>
      </c>
      <c r="K13" s="44" t="str">
        <f aca="false">IF(J13&gt;=2,"主流","非主流")</f>
        <v>非主流</v>
      </c>
      <c r="L13" s="90"/>
      <c r="M13" s="90" t="s">
        <v>563</v>
      </c>
      <c r="N13" s="47" t="n">
        <v>1</v>
      </c>
      <c r="O13" s="48" t="n">
        <v>0</v>
      </c>
      <c r="P13" s="88" t="n">
        <f aca="false">IF(M13="是",1,1+O13*N13*(CHOOSE(H13,E13,F13,G13)-1))</f>
        <v>1</v>
      </c>
      <c r="Q13" s="42" t="s">
        <v>58</v>
      </c>
      <c r="R13" s="74" t="s">
        <v>577</v>
      </c>
      <c r="S13" s="74" t="s">
        <v>578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45" t="s">
        <v>579</v>
      </c>
      <c r="B14" s="5" t="s">
        <v>580</v>
      </c>
      <c r="C14" s="45" t="s">
        <v>581</v>
      </c>
      <c r="D14" s="45" t="s">
        <v>582</v>
      </c>
      <c r="E14" s="59" t="n">
        <v>1.2</v>
      </c>
      <c r="F14" s="59" t="n">
        <v>1.4</v>
      </c>
      <c r="G14" s="59" t="n">
        <v>1.6</v>
      </c>
      <c r="H14" s="48" t="n">
        <v>2</v>
      </c>
      <c r="I14" s="90" t="s">
        <v>534</v>
      </c>
      <c r="J14" s="48" t="n">
        <v>4</v>
      </c>
      <c r="K14" s="44" t="str">
        <f aca="false">IF(J14&gt;=2,"主流","非主流")</f>
        <v>主流</v>
      </c>
      <c r="L14" s="90"/>
      <c r="M14" s="90" t="s">
        <v>535</v>
      </c>
      <c r="N14" s="47" t="n">
        <v>1</v>
      </c>
      <c r="O14" s="48" t="n">
        <v>0</v>
      </c>
      <c r="P14" s="88" t="n">
        <f aca="false">IF(M14="是",1,1+O14*N14*(CHOOSE(H14,E14,F14,G14)-1))</f>
        <v>1</v>
      </c>
      <c r="Q14" s="42" t="s">
        <v>163</v>
      </c>
      <c r="R14" s="74" t="s">
        <v>583</v>
      </c>
      <c r="S14" s="74" t="s">
        <v>584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45" t="s">
        <v>585</v>
      </c>
      <c r="B15" s="6" t="s">
        <v>586</v>
      </c>
      <c r="C15" s="45" t="s">
        <v>587</v>
      </c>
      <c r="D15" s="45" t="s">
        <v>402</v>
      </c>
      <c r="E15" s="59" t="n">
        <v>0.5</v>
      </c>
      <c r="F15" s="59" t="n">
        <v>0.5</v>
      </c>
      <c r="G15" s="59" t="n">
        <v>0.75</v>
      </c>
      <c r="H15" s="48" t="n">
        <v>2</v>
      </c>
      <c r="I15" s="90" t="s">
        <v>556</v>
      </c>
      <c r="J15" s="48" t="n">
        <v>1</v>
      </c>
      <c r="K15" s="44" t="str">
        <f aca="false">IF(J15&gt;=2,"主流","非主流")</f>
        <v>非主流</v>
      </c>
      <c r="L15" s="90"/>
      <c r="M15" s="90" t="s">
        <v>563</v>
      </c>
      <c r="N15" s="47" t="n">
        <v>1</v>
      </c>
      <c r="O15" s="48" t="n">
        <v>0</v>
      </c>
      <c r="P15" s="88" t="n">
        <f aca="false">IF(M15="是",1,1+O15*N15*(CHOOSE(H15,E15,F15,G15)-1))</f>
        <v>1</v>
      </c>
      <c r="Q15" s="42" t="s">
        <v>58</v>
      </c>
      <c r="R15" s="66" t="s">
        <v>588</v>
      </c>
      <c r="S15" s="74" t="s">
        <v>589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45" t="s">
        <v>590</v>
      </c>
      <c r="B16" s="6" t="s">
        <v>591</v>
      </c>
      <c r="C16" s="45" t="s">
        <v>592</v>
      </c>
      <c r="D16" s="45" t="s">
        <v>593</v>
      </c>
      <c r="E16" s="59" t="n">
        <v>1</v>
      </c>
      <c r="F16" s="59" t="n">
        <v>1</v>
      </c>
      <c r="G16" s="59" t="n">
        <v>1</v>
      </c>
      <c r="H16" s="48" t="n">
        <v>2</v>
      </c>
      <c r="I16" s="90" t="s">
        <v>594</v>
      </c>
      <c r="J16" s="48" t="n">
        <v>0</v>
      </c>
      <c r="K16" s="44" t="str">
        <f aca="false">IF(J16&gt;=2,"主流","非主流")</f>
        <v>非主流</v>
      </c>
      <c r="L16" s="90"/>
      <c r="M16" s="90" t="s">
        <v>563</v>
      </c>
      <c r="N16" s="47" t="n">
        <v>1</v>
      </c>
      <c r="O16" s="48" t="n">
        <v>0</v>
      </c>
      <c r="P16" s="88" t="n">
        <f aca="false">IF(M16="是",1,1+O16*N16*(CHOOSE(H16,E16,F16,G16)-1))</f>
        <v>1</v>
      </c>
      <c r="Q16" s="42" t="s">
        <v>58</v>
      </c>
      <c r="R16" s="66" t="s">
        <v>595</v>
      </c>
      <c r="S16" s="66" t="s">
        <v>596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8" customFormat="false" ht="15" hidden="false" customHeight="false" outlineLevel="0" collapsed="false">
      <c r="A18" s="49" t="s">
        <v>597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customFormat="false" ht="15" hidden="false" customHeight="false" outlineLevel="0" collapsed="false">
      <c r="A19" s="9" t="s">
        <v>598</v>
      </c>
      <c r="B19" s="9" t="s">
        <v>599</v>
      </c>
      <c r="C19" s="9"/>
      <c r="D19" s="9" t="s">
        <v>600</v>
      </c>
      <c r="E19" s="9" t="s">
        <v>601</v>
      </c>
    </row>
    <row r="20" customFormat="false" ht="15" hidden="false" customHeight="false" outlineLevel="0" collapsed="false">
      <c r="A20" s="43" t="s">
        <v>602</v>
      </c>
      <c r="B20" s="45" t="s">
        <v>603</v>
      </c>
      <c r="D20" s="66" t="s">
        <v>604</v>
      </c>
      <c r="E20" s="91" t="n">
        <f aca="false">EXP(SUMPRODUCT(($C$5:$C$16="H_ETAD")*LN($P$5:$P$16)))</f>
        <v>1</v>
      </c>
    </row>
    <row r="21" customFormat="false" ht="15" hidden="false" customHeight="false" outlineLevel="0" collapsed="false">
      <c r="A21" s="43" t="s">
        <v>575</v>
      </c>
      <c r="B21" s="44" t="s">
        <v>436</v>
      </c>
      <c r="D21" s="66" t="s">
        <v>605</v>
      </c>
      <c r="E21" s="91" t="n">
        <f aca="false">EXP(SUMPRODUCT(($C$5:$C$16="H_TL")*LN($P$5:$P$16)))</f>
        <v>1</v>
      </c>
    </row>
    <row r="22" customFormat="false" ht="26.85" hidden="false" customHeight="false" outlineLevel="0" collapsed="false">
      <c r="A22" s="43" t="s">
        <v>568</v>
      </c>
      <c r="B22" s="44" t="s">
        <v>606</v>
      </c>
      <c r="D22" s="66" t="s">
        <v>607</v>
      </c>
      <c r="E22" s="91" t="n">
        <f aca="false">EXP(SUMPRODUCT(($C$5:$C$16="H_FLOP")*LN($P$5:$P$16)))</f>
        <v>1</v>
      </c>
    </row>
    <row r="23" customFormat="false" ht="15" hidden="false" customHeight="false" outlineLevel="0" collapsed="false">
      <c r="A23" s="43" t="s">
        <v>587</v>
      </c>
      <c r="B23" s="45" t="s">
        <v>608</v>
      </c>
      <c r="D23" s="66" t="s">
        <v>609</v>
      </c>
      <c r="E23" s="91" t="n">
        <f aca="false">EXP(SUMPRODUCT(($C$5:$C$16="H_KV")*LN($P$5:$P$16)))</f>
        <v>1</v>
      </c>
    </row>
    <row r="24" customFormat="false" ht="15" hidden="false" customHeight="false" outlineLevel="0" collapsed="false">
      <c r="A24" s="43" t="s">
        <v>610</v>
      </c>
      <c r="B24" s="44" t="s">
        <v>611</v>
      </c>
      <c r="D24" s="66" t="s">
        <v>612</v>
      </c>
      <c r="E24" s="91" t="n">
        <f aca="false">EXP(SUMPRODUCT(($C$5:$C$16="H_WB")*LN($P$5:$P$16)))</f>
        <v>1</v>
      </c>
    </row>
    <row r="25" customFormat="false" ht="15" hidden="false" customHeight="false" outlineLevel="0" collapsed="false">
      <c r="A25" s="43" t="s">
        <v>561</v>
      </c>
      <c r="B25" s="44" t="s">
        <v>613</v>
      </c>
      <c r="D25" s="66" t="s">
        <v>614</v>
      </c>
      <c r="E25" s="91" t="n">
        <f aca="false">EXP(SUMPRODUCT(($C$5:$C$16="H_TPK")*LN($P$5:$P$16)))</f>
        <v>1</v>
      </c>
    </row>
    <row r="26" customFormat="false" ht="15" hidden="false" customHeight="false" outlineLevel="0" collapsed="false">
      <c r="A26" s="43" t="s">
        <v>615</v>
      </c>
      <c r="B26" s="44" t="s">
        <v>616</v>
      </c>
      <c r="D26" s="66" t="s">
        <v>617</v>
      </c>
      <c r="E26" s="91" t="n">
        <f aca="false">EXP(SUMPRODUCT(($C$5:$C$16="H_MFU")*LN($P$5:$P$16)))</f>
        <v>1</v>
      </c>
    </row>
    <row r="27" customFormat="false" ht="15" hidden="false" customHeight="false" outlineLevel="0" collapsed="false">
      <c r="A27" s="43" t="s">
        <v>554</v>
      </c>
      <c r="B27" s="44" t="s">
        <v>618</v>
      </c>
      <c r="D27" s="66" t="s">
        <v>619</v>
      </c>
      <c r="E27" s="91" t="n">
        <f aca="false">EXP(SUMPRODUCT(($C$5:$C$16="H_TOK")*LN($P$5:$P$16)))</f>
        <v>1</v>
      </c>
    </row>
    <row r="28" customFormat="false" ht="15" hidden="false" customHeight="false" outlineLevel="0" collapsed="false">
      <c r="A28" s="43" t="s">
        <v>581</v>
      </c>
      <c r="B28" s="45" t="s">
        <v>620</v>
      </c>
      <c r="D28" s="66" t="s">
        <v>621</v>
      </c>
      <c r="E28" s="91" t="n">
        <f aca="false">EXP(SUMPRODUCT(($C$5:$C$16="H_ROLL")*LN($P$5:$P$16)))</f>
        <v>1</v>
      </c>
    </row>
    <row r="29" customFormat="false" ht="15" hidden="false" customHeight="false" outlineLevel="0" collapsed="false">
      <c r="A29" s="43" t="s">
        <v>622</v>
      </c>
      <c r="B29" s="44" t="s">
        <v>623</v>
      </c>
      <c r="D29" s="66" t="s">
        <v>624</v>
      </c>
      <c r="E29" s="91" t="n">
        <f aca="false">EXP(SUMPRODUCT(($C$5:$C$16="H_CAP")*LN($P$5:$P$16)))</f>
        <v>1</v>
      </c>
    </row>
    <row r="30" customFormat="false" ht="15" hidden="false" customHeight="false" outlineLevel="0" collapsed="false">
      <c r="A30" s="43" t="s">
        <v>592</v>
      </c>
      <c r="B30" s="45" t="s">
        <v>625</v>
      </c>
      <c r="D30" s="66" t="s">
        <v>596</v>
      </c>
      <c r="E30" s="91" t="n">
        <f aca="false">EXP(SUMPRODUCT(($C$5:$C$16="H_HAR")*LN($P$5:$P$16)))</f>
        <v>1</v>
      </c>
    </row>
    <row r="32" customFormat="false" ht="30" hidden="false" customHeight="true" outlineLevel="0" collapsed="false">
      <c r="A32" s="9" t="s">
        <v>626</v>
      </c>
      <c r="B32" s="92" t="s">
        <v>627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1" t="s">
        <v>628</v>
      </c>
    </row>
    <row r="2" customFormat="false" ht="15" hidden="false" customHeight="false" outlineLevel="0" collapsed="false">
      <c r="A2" s="42" t="s">
        <v>629</v>
      </c>
    </row>
    <row r="4" customFormat="false" ht="15" hidden="false" customHeight="false" outlineLevel="0" collapsed="false">
      <c r="A4" s="9" t="s">
        <v>122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</row>
    <row r="5" customFormat="false" ht="15" hidden="false" customHeight="false" outlineLevel="0" collapsed="false">
      <c r="A5" s="9" t="s">
        <v>630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</row>
    <row r="6" customFormat="false" ht="15" hidden="false" customHeight="false" outlineLevel="0" collapsed="false">
      <c r="A6" s="9" t="s">
        <v>368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9" t="s">
        <v>631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</row>
    <row r="9" customFormat="false" ht="15" hidden="false" customHeight="false" outlineLevel="0" collapsed="false">
      <c r="A9" s="72" t="s">
        <v>632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5" t="s">
        <v>633</v>
      </c>
      <c r="B10" s="45" t="s">
        <v>61</v>
      </c>
      <c r="C10" s="79" t="n">
        <f aca="false">Tech_Registry!$E$22</f>
        <v>1</v>
      </c>
      <c r="D10" s="79" t="n">
        <f aca="false">Tech_Registry!$E$22</f>
        <v>1</v>
      </c>
      <c r="E10" s="79" t="n">
        <f aca="false">Tech_Registry!$E$22</f>
        <v>1</v>
      </c>
      <c r="F10" s="79" t="n">
        <f aca="false">Tech_Registry!$E$22</f>
        <v>1</v>
      </c>
      <c r="G10" s="79" t="n">
        <f aca="false">Tech_Registry!$E$22</f>
        <v>1</v>
      </c>
      <c r="H10" s="79" t="n">
        <f aca="false">Tech_Registry!$E$22</f>
        <v>1</v>
      </c>
      <c r="I10" s="79" t="n">
        <f aca="false">Tech_Registry!$E$22</f>
        <v>1</v>
      </c>
      <c r="J10" s="79" t="n">
        <f aca="false">Tech_Registry!$E$22</f>
        <v>1</v>
      </c>
      <c r="K10" s="79" t="n">
        <f aca="false">Tech_Registry!$E$22</f>
        <v>1</v>
      </c>
      <c r="L10" s="79" t="n">
        <f aca="false">Tech_Registry!$E$22</f>
        <v>1</v>
      </c>
      <c r="M10" s="79" t="n">
        <f aca="false">Tech_Registry!$E$22</f>
        <v>1</v>
      </c>
      <c r="N10" s="79" t="n">
        <f aca="false">Tech_Registry!$E$22</f>
        <v>1</v>
      </c>
      <c r="O10" s="79" t="n">
        <f aca="false">Tech_Registry!$E$22</f>
        <v>1</v>
      </c>
      <c r="P10" s="79" t="n">
        <f aca="false">Tech_Registry!$E$22</f>
        <v>1</v>
      </c>
      <c r="Q10" s="79" t="n">
        <f aca="false">Tech_Registry!$E$22</f>
        <v>1</v>
      </c>
    </row>
    <row r="11" customFormat="false" ht="15" hidden="false" customHeight="false" outlineLevel="0" collapsed="false">
      <c r="A11" s="45" t="s">
        <v>634</v>
      </c>
      <c r="B11" s="45" t="s">
        <v>61</v>
      </c>
      <c r="C11" s="79" t="n">
        <f aca="false">Tech_Registry!$E$23</f>
        <v>1</v>
      </c>
      <c r="D11" s="79" t="n">
        <f aca="false">Tech_Registry!$E$23</f>
        <v>1</v>
      </c>
      <c r="E11" s="79" t="n">
        <f aca="false">Tech_Registry!$E$23</f>
        <v>1</v>
      </c>
      <c r="F11" s="79" t="n">
        <f aca="false">Tech_Registry!$E$23</f>
        <v>1</v>
      </c>
      <c r="G11" s="79" t="n">
        <f aca="false">Tech_Registry!$E$23</f>
        <v>1</v>
      </c>
      <c r="H11" s="79" t="n">
        <f aca="false">Tech_Registry!$E$23</f>
        <v>1</v>
      </c>
      <c r="I11" s="79" t="n">
        <f aca="false">Tech_Registry!$E$23</f>
        <v>1</v>
      </c>
      <c r="J11" s="79" t="n">
        <f aca="false">Tech_Registry!$E$23</f>
        <v>1</v>
      </c>
      <c r="K11" s="79" t="n">
        <f aca="false">Tech_Registry!$E$23</f>
        <v>1</v>
      </c>
      <c r="L11" s="79" t="n">
        <f aca="false">Tech_Registry!$E$23</f>
        <v>1</v>
      </c>
      <c r="M11" s="79" t="n">
        <f aca="false">Tech_Registry!$E$23</f>
        <v>1</v>
      </c>
      <c r="N11" s="79" t="n">
        <f aca="false">Tech_Registry!$E$23</f>
        <v>1</v>
      </c>
      <c r="O11" s="79" t="n">
        <f aca="false">Tech_Registry!$E$23</f>
        <v>1</v>
      </c>
      <c r="P11" s="79" t="n">
        <f aca="false">Tech_Registry!$E$23</f>
        <v>1</v>
      </c>
      <c r="Q11" s="79" t="n">
        <f aca="false">Tech_Registry!$E$23</f>
        <v>1</v>
      </c>
    </row>
    <row r="12" customFormat="false" ht="15" hidden="false" customHeight="false" outlineLevel="0" collapsed="false">
      <c r="A12" s="44" t="s">
        <v>635</v>
      </c>
      <c r="B12" s="45" t="s">
        <v>61</v>
      </c>
      <c r="C12" s="79" t="n">
        <f aca="false">Tech_Registry!$E$24</f>
        <v>1</v>
      </c>
      <c r="D12" s="79" t="n">
        <f aca="false">Tech_Registry!$E$24</f>
        <v>1</v>
      </c>
      <c r="E12" s="79" t="n">
        <f aca="false">Tech_Registry!$E$24</f>
        <v>1</v>
      </c>
      <c r="F12" s="79" t="n">
        <f aca="false">Tech_Registry!$E$24</f>
        <v>1</v>
      </c>
      <c r="G12" s="79" t="n">
        <f aca="false">Tech_Registry!$E$24</f>
        <v>1</v>
      </c>
      <c r="H12" s="79" t="n">
        <f aca="false">Tech_Registry!$E$24</f>
        <v>1</v>
      </c>
      <c r="I12" s="79" t="n">
        <f aca="false">Tech_Registry!$E$24</f>
        <v>1</v>
      </c>
      <c r="J12" s="79" t="n">
        <f aca="false">Tech_Registry!$E$24</f>
        <v>1</v>
      </c>
      <c r="K12" s="79" t="n">
        <f aca="false">Tech_Registry!$E$24</f>
        <v>1</v>
      </c>
      <c r="L12" s="79" t="n">
        <f aca="false">Tech_Registry!$E$24</f>
        <v>1</v>
      </c>
      <c r="M12" s="79" t="n">
        <f aca="false">Tech_Registry!$E$24</f>
        <v>1</v>
      </c>
      <c r="N12" s="79" t="n">
        <f aca="false">Tech_Registry!$E$24</f>
        <v>1</v>
      </c>
      <c r="O12" s="79" t="n">
        <f aca="false">Tech_Registry!$E$24</f>
        <v>1</v>
      </c>
      <c r="P12" s="79" t="n">
        <f aca="false">Tech_Registry!$E$24</f>
        <v>1</v>
      </c>
      <c r="Q12" s="79" t="n">
        <f aca="false">Tech_Registry!$E$24</f>
        <v>1</v>
      </c>
    </row>
    <row r="13" customFormat="false" ht="15" hidden="false" customHeight="false" outlineLevel="0" collapsed="false">
      <c r="A13" s="72" t="s">
        <v>636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customFormat="false" ht="15" hidden="false" customHeight="false" outlineLevel="0" collapsed="false">
      <c r="A14" s="44" t="s">
        <v>391</v>
      </c>
      <c r="B14" s="45" t="s">
        <v>392</v>
      </c>
      <c r="C14" s="75" t="n">
        <f aca="false">INDEX(Spec_Rack!$C$35:$G$35,C$6)</f>
        <v>1.979</v>
      </c>
      <c r="D14" s="75" t="n">
        <f aca="false">INDEX(Spec_Rack!$C$35:$G$35,D$6)</f>
        <v>1.979</v>
      </c>
      <c r="E14" s="75" t="n">
        <f aca="false">INDEX(Spec_Rack!$C$35:$G$35,E$6)</f>
        <v>1.979</v>
      </c>
      <c r="F14" s="75" t="n">
        <f aca="false">INDEX(Spec_Rack!$C$35:$G$35,F$6)</f>
        <v>10</v>
      </c>
      <c r="G14" s="75" t="n">
        <f aca="false">INDEX(Spec_Rack!$C$35:$G$35,G$6)</f>
        <v>10</v>
      </c>
      <c r="H14" s="75" t="n">
        <f aca="false">INDEX(Spec_Rack!$C$35:$G$35,H$6)</f>
        <v>10</v>
      </c>
      <c r="I14" s="75" t="n">
        <f aca="false">INDEX(Spec_Rack!$C$35:$G$35,I$6)</f>
        <v>15</v>
      </c>
      <c r="J14" s="75" t="n">
        <f aca="false">INDEX(Spec_Rack!$C$35:$G$35,J$6)</f>
        <v>15</v>
      </c>
      <c r="K14" s="75" t="n">
        <f aca="false">INDEX(Spec_Rack!$C$35:$G$35,K$6)</f>
        <v>15</v>
      </c>
      <c r="L14" s="75" t="n">
        <f aca="false">INDEX(Spec_Rack!$C$35:$G$35,L$6)</f>
        <v>35</v>
      </c>
      <c r="M14" s="75" t="n">
        <f aca="false">INDEX(Spec_Rack!$C$35:$G$35,M$6)</f>
        <v>35</v>
      </c>
      <c r="N14" s="75" t="n">
        <f aca="false">INDEX(Spec_Rack!$C$35:$G$35,N$6)</f>
        <v>35</v>
      </c>
      <c r="O14" s="75" t="n">
        <f aca="false">INDEX(Spec_Rack!$C$35:$G$35,O$6)</f>
        <v>73</v>
      </c>
      <c r="P14" s="75" t="n">
        <f aca="false">INDEX(Spec_Rack!$C$35:$G$35,P$6)</f>
        <v>73</v>
      </c>
      <c r="Q14" s="75" t="n">
        <f aca="false">INDEX(Spec_Rack!$C$35:$G$35,Q$6)</f>
        <v>73</v>
      </c>
    </row>
    <row r="15" customFormat="false" ht="15" hidden="false" customHeight="false" outlineLevel="0" collapsed="false">
      <c r="A15" s="45" t="s">
        <v>393</v>
      </c>
      <c r="B15" s="45" t="s">
        <v>637</v>
      </c>
      <c r="C15" s="76" t="n">
        <f aca="false">INDEX(Spec_Rack!$C$25:$G$25,C$6)</f>
        <v>80</v>
      </c>
      <c r="D15" s="76" t="n">
        <f aca="false">INDEX(Spec_Rack!$C$25:$G$25,D$6)</f>
        <v>80</v>
      </c>
      <c r="E15" s="76" t="n">
        <f aca="false">INDEX(Spec_Rack!$C$25:$G$25,E$6)</f>
        <v>80</v>
      </c>
      <c r="F15" s="76" t="n">
        <f aca="false">INDEX(Spec_Rack!$C$25:$G$25,F$6)</f>
        <v>186</v>
      </c>
      <c r="G15" s="76" t="n">
        <f aca="false">INDEX(Spec_Rack!$C$25:$G$25,G$6)</f>
        <v>186</v>
      </c>
      <c r="H15" s="76" t="n">
        <f aca="false">INDEX(Spec_Rack!$C$25:$G$25,H$6)</f>
        <v>186</v>
      </c>
      <c r="I15" s="76" t="n">
        <f aca="false">INDEX(Spec_Rack!$C$25:$G$25,I$6)</f>
        <v>288</v>
      </c>
      <c r="J15" s="76" t="n">
        <f aca="false">INDEX(Spec_Rack!$C$25:$G$25,J$6)</f>
        <v>288</v>
      </c>
      <c r="K15" s="76" t="n">
        <f aca="false">INDEX(Spec_Rack!$C$25:$G$25,K$6)</f>
        <v>288</v>
      </c>
      <c r="L15" s="76" t="n">
        <f aca="false">INDEX(Spec_Rack!$C$25:$G$25,L$6)</f>
        <v>288</v>
      </c>
      <c r="M15" s="76" t="n">
        <f aca="false">INDEX(Spec_Rack!$C$25:$G$25,M$6)</f>
        <v>288</v>
      </c>
      <c r="N15" s="76" t="n">
        <f aca="false">INDEX(Spec_Rack!$C$25:$G$25,N$6)</f>
        <v>288</v>
      </c>
      <c r="O15" s="76" t="n">
        <f aca="false">INDEX(Spec_Rack!$C$25:$G$25,O$6)</f>
        <v>1024</v>
      </c>
      <c r="P15" s="76" t="n">
        <f aca="false">INDEX(Spec_Rack!$C$25:$G$25,P$6)</f>
        <v>1024</v>
      </c>
      <c r="Q15" s="76" t="n">
        <f aca="false">INDEX(Spec_Rack!$C$25:$G$25,Q$6)</f>
        <v>1024</v>
      </c>
    </row>
    <row r="16" customFormat="false" ht="15" hidden="false" customHeight="false" outlineLevel="0" collapsed="false">
      <c r="A16" s="45" t="s">
        <v>394</v>
      </c>
      <c r="B16" s="45" t="s">
        <v>289</v>
      </c>
      <c r="C16" s="77" t="n">
        <f aca="false">INDEX(Spec_Rack!$C$26:$G$26,C$6)</f>
        <v>3.35</v>
      </c>
      <c r="D16" s="77" t="n">
        <f aca="false">INDEX(Spec_Rack!$C$26:$G$26,D$6)</f>
        <v>3.35</v>
      </c>
      <c r="E16" s="77" t="n">
        <f aca="false">INDEX(Spec_Rack!$C$26:$G$26,E$6)</f>
        <v>3.35</v>
      </c>
      <c r="F16" s="77" t="n">
        <f aca="false">INDEX(Spec_Rack!$C$26:$G$26,F$6)</f>
        <v>8</v>
      </c>
      <c r="G16" s="77" t="n">
        <f aca="false">INDEX(Spec_Rack!$C$26:$G$26,G$6)</f>
        <v>8</v>
      </c>
      <c r="H16" s="77" t="n">
        <f aca="false">INDEX(Spec_Rack!$C$26:$G$26,H$6)</f>
        <v>8</v>
      </c>
      <c r="I16" s="77" t="n">
        <f aca="false">INDEX(Spec_Rack!$C$26:$G$26,I$6)</f>
        <v>8</v>
      </c>
      <c r="J16" s="77" t="n">
        <f aca="false">INDEX(Spec_Rack!$C$26:$G$26,J$6)</f>
        <v>8</v>
      </c>
      <c r="K16" s="77" t="n">
        <f aca="false">INDEX(Spec_Rack!$C$26:$G$26,K$6)</f>
        <v>8</v>
      </c>
      <c r="L16" s="77" t="n">
        <f aca="false">INDEX(Spec_Rack!$C$26:$G$26,L$6)</f>
        <v>22</v>
      </c>
      <c r="M16" s="77" t="n">
        <f aca="false">INDEX(Spec_Rack!$C$26:$G$26,M$6)</f>
        <v>22</v>
      </c>
      <c r="N16" s="77" t="n">
        <f aca="false">INDEX(Spec_Rack!$C$26:$G$26,N$6)</f>
        <v>22</v>
      </c>
      <c r="O16" s="77" t="n">
        <f aca="false">INDEX(Spec_Rack!$C$26:$G$26,O$6)</f>
        <v>32</v>
      </c>
      <c r="P16" s="77" t="n">
        <f aca="false">INDEX(Spec_Rack!$C$26:$G$26,P$6)</f>
        <v>32</v>
      </c>
      <c r="Q16" s="77" t="n">
        <f aca="false">INDEX(Spec_Rack!$C$26:$G$26,Q$6)</f>
        <v>32</v>
      </c>
    </row>
    <row r="17" customFormat="false" ht="15" hidden="false" customHeight="false" outlineLevel="0" collapsed="false">
      <c r="A17" s="45" t="s">
        <v>638</v>
      </c>
      <c r="B17" s="45" t="s">
        <v>289</v>
      </c>
      <c r="C17" s="77" t="n">
        <f aca="false">INDEX(Spec_Rack!$C$27:$G$27,C$6)</f>
        <v>0.05</v>
      </c>
      <c r="D17" s="77" t="n">
        <f aca="false">INDEX(Spec_Rack!$C$27:$G$27,D$6)</f>
        <v>0.05</v>
      </c>
      <c r="E17" s="77" t="n">
        <f aca="false">INDEX(Spec_Rack!$C$27:$G$27,E$6)</f>
        <v>0.05</v>
      </c>
      <c r="F17" s="77" t="n">
        <f aca="false">INDEX(Spec_Rack!$C$27:$G$27,F$6)</f>
        <v>0.9</v>
      </c>
      <c r="G17" s="77" t="n">
        <f aca="false">INDEX(Spec_Rack!$C$27:$G$27,G$6)</f>
        <v>0.9</v>
      </c>
      <c r="H17" s="77" t="n">
        <f aca="false">INDEX(Spec_Rack!$C$27:$G$27,H$6)</f>
        <v>0.9</v>
      </c>
      <c r="I17" s="77" t="n">
        <f aca="false">INDEX(Spec_Rack!$C$27:$G$27,I$6)</f>
        <v>0.9</v>
      </c>
      <c r="J17" s="77" t="n">
        <f aca="false">INDEX(Spec_Rack!$C$27:$G$27,J$6)</f>
        <v>0.9</v>
      </c>
      <c r="K17" s="77" t="n">
        <f aca="false">INDEX(Spec_Rack!$C$27:$G$27,K$6)</f>
        <v>0.9</v>
      </c>
      <c r="L17" s="77" t="n">
        <f aca="false">INDEX(Spec_Rack!$C$27:$G$27,L$6)</f>
        <v>1.8</v>
      </c>
      <c r="M17" s="77" t="n">
        <f aca="false">INDEX(Spec_Rack!$C$27:$G$27,M$6)</f>
        <v>1.8</v>
      </c>
      <c r="N17" s="77" t="n">
        <f aca="false">INDEX(Spec_Rack!$C$27:$G$27,N$6)</f>
        <v>1.8</v>
      </c>
      <c r="O17" s="77" t="n">
        <f aca="false">INDEX(Spec_Rack!$C$27:$G$27,O$6)</f>
        <v>1.8</v>
      </c>
      <c r="P17" s="77" t="n">
        <f aca="false">INDEX(Spec_Rack!$C$27:$G$27,P$6)</f>
        <v>1.8</v>
      </c>
      <c r="Q17" s="77" t="n">
        <f aca="false">INDEX(Spec_Rack!$C$27:$G$27,Q$6)</f>
        <v>1.8</v>
      </c>
    </row>
    <row r="18" customFormat="false" ht="15" hidden="false" customHeight="false" outlineLevel="0" collapsed="false">
      <c r="A18" s="45" t="s">
        <v>181</v>
      </c>
      <c r="B18" s="45" t="s">
        <v>639</v>
      </c>
      <c r="C18" s="76" t="n">
        <f aca="false">INDEX(Spec_Rack!$C$29:$G$29,C$6)</f>
        <v>64</v>
      </c>
      <c r="D18" s="76" t="n">
        <f aca="false">INDEX(Spec_Rack!$C$29:$G$29,D$6)</f>
        <v>64</v>
      </c>
      <c r="E18" s="76" t="n">
        <f aca="false">INDEX(Spec_Rack!$C$29:$G$29,E$6)</f>
        <v>64</v>
      </c>
      <c r="F18" s="76" t="n">
        <f aca="false">INDEX(Spec_Rack!$C$29:$G$29,F$6)</f>
        <v>32</v>
      </c>
      <c r="G18" s="76" t="n">
        <f aca="false">INDEX(Spec_Rack!$C$29:$G$29,G$6)</f>
        <v>32</v>
      </c>
      <c r="H18" s="76" t="n">
        <f aca="false">INDEX(Spec_Rack!$C$29:$G$29,H$6)</f>
        <v>32</v>
      </c>
      <c r="I18" s="76" t="n">
        <f aca="false">INDEX(Spec_Rack!$C$29:$G$29,I$6)</f>
        <v>32</v>
      </c>
      <c r="J18" s="76" t="n">
        <f aca="false">INDEX(Spec_Rack!$C$29:$G$29,J$6)</f>
        <v>32</v>
      </c>
      <c r="K18" s="76" t="n">
        <f aca="false">INDEX(Spec_Rack!$C$29:$G$29,K$6)</f>
        <v>32</v>
      </c>
      <c r="L18" s="76" t="n">
        <f aca="false">INDEX(Spec_Rack!$C$29:$G$29,L$6)</f>
        <v>32</v>
      </c>
      <c r="M18" s="76" t="n">
        <f aca="false">INDEX(Spec_Rack!$C$29:$G$29,M$6)</f>
        <v>32</v>
      </c>
      <c r="N18" s="76" t="n">
        <f aca="false">INDEX(Spec_Rack!$C$29:$G$29,N$6)</f>
        <v>32</v>
      </c>
      <c r="O18" s="76" t="n">
        <f aca="false">INDEX(Spec_Rack!$C$29:$G$29,O$6)</f>
        <v>64</v>
      </c>
      <c r="P18" s="76" t="n">
        <f aca="false">INDEX(Spec_Rack!$C$29:$G$29,P$6)</f>
        <v>64</v>
      </c>
      <c r="Q18" s="76" t="n">
        <f aca="false">INDEX(Spec_Rack!$C$29:$G$29,Q$6)</f>
        <v>64</v>
      </c>
    </row>
    <row r="19" customFormat="false" ht="15" hidden="false" customHeight="false" outlineLevel="0" collapsed="false">
      <c r="A19" s="44" t="s">
        <v>640</v>
      </c>
      <c r="B19" s="45" t="s">
        <v>213</v>
      </c>
      <c r="C19" s="78" t="n">
        <f aca="false">INDEX(Spec_Rack!$C$30:$G$30,C$6)*C12</f>
        <v>1</v>
      </c>
      <c r="D19" s="78" t="n">
        <f aca="false">INDEX(Spec_Rack!$C$30:$G$30,D$6)*D12</f>
        <v>1</v>
      </c>
      <c r="E19" s="78" t="n">
        <f aca="false">INDEX(Spec_Rack!$C$30:$G$30,E$6)*E12</f>
        <v>1</v>
      </c>
      <c r="F19" s="78" t="n">
        <f aca="false">INDEX(Spec_Rack!$C$30:$G$30,F$6)*F12</f>
        <v>0.5625</v>
      </c>
      <c r="G19" s="78" t="n">
        <f aca="false">INDEX(Spec_Rack!$C$30:$G$30,G$6)*G12</f>
        <v>0.5625</v>
      </c>
      <c r="H19" s="78" t="n">
        <f aca="false">INDEX(Spec_Rack!$C$30:$G$30,H$6)*H12</f>
        <v>0.5625</v>
      </c>
      <c r="I19" s="78" t="n">
        <f aca="false">INDEX(Spec_Rack!$C$30:$G$30,I$6)*I12</f>
        <v>0.5625</v>
      </c>
      <c r="J19" s="78" t="n">
        <f aca="false">INDEX(Spec_Rack!$C$30:$G$30,J$6)*J12</f>
        <v>0.5625</v>
      </c>
      <c r="K19" s="78" t="n">
        <f aca="false">INDEX(Spec_Rack!$C$30:$G$30,K$6)*K12</f>
        <v>0.5625</v>
      </c>
      <c r="L19" s="78" t="n">
        <f aca="false">INDEX(Spec_Rack!$C$30:$G$30,L$6)*L12</f>
        <v>0.5625</v>
      </c>
      <c r="M19" s="78" t="n">
        <f aca="false">INDEX(Spec_Rack!$C$30:$G$30,M$6)*M12</f>
        <v>0.5625</v>
      </c>
      <c r="N19" s="78" t="n">
        <f aca="false">INDEX(Spec_Rack!$C$30:$G$30,N$6)*N12</f>
        <v>0.5625</v>
      </c>
      <c r="O19" s="78" t="n">
        <f aca="false">INDEX(Spec_Rack!$C$30:$G$30,O$6)*O12</f>
        <v>0.5625</v>
      </c>
      <c r="P19" s="78" t="n">
        <f aca="false">INDEX(Spec_Rack!$C$30:$G$30,P$6)*P12</f>
        <v>0.5625</v>
      </c>
      <c r="Q19" s="78" t="n">
        <f aca="false">INDEX(Spec_Rack!$C$30:$G$30,Q$6)*Q12</f>
        <v>0.5625</v>
      </c>
    </row>
    <row r="20" customFormat="false" ht="15" hidden="false" customHeight="false" outlineLevel="0" collapsed="false">
      <c r="A20" s="44" t="s">
        <v>641</v>
      </c>
      <c r="B20" s="45" t="s">
        <v>213</v>
      </c>
      <c r="C20" s="79" t="n">
        <f aca="false">INDEX(Spec_Rack!$C$31:$G$31,C$6)*C12</f>
        <v>1</v>
      </c>
      <c r="D20" s="79" t="n">
        <f aca="false">INDEX(Spec_Rack!$C$31:$G$31,D$6)*D12</f>
        <v>1</v>
      </c>
      <c r="E20" s="79" t="n">
        <f aca="false">INDEX(Spec_Rack!$C$31:$G$31,E$6)*E12</f>
        <v>1</v>
      </c>
      <c r="F20" s="79" t="n">
        <f aca="false">INDEX(Spec_Rack!$C$31:$G$31,F$6)*F12</f>
        <v>1</v>
      </c>
      <c r="G20" s="79" t="n">
        <f aca="false">INDEX(Spec_Rack!$C$31:$G$31,G$6)*G12</f>
        <v>1</v>
      </c>
      <c r="H20" s="79" t="n">
        <f aca="false">INDEX(Spec_Rack!$C$31:$G$31,H$6)*H12</f>
        <v>1</v>
      </c>
      <c r="I20" s="79" t="n">
        <f aca="false">INDEX(Spec_Rack!$C$31:$G$31,I$6)*I12</f>
        <v>1</v>
      </c>
      <c r="J20" s="79" t="n">
        <f aca="false">INDEX(Spec_Rack!$C$31:$G$31,J$6)*J12</f>
        <v>1</v>
      </c>
      <c r="K20" s="79" t="n">
        <f aca="false">INDEX(Spec_Rack!$C$31:$G$31,K$6)*K12</f>
        <v>1</v>
      </c>
      <c r="L20" s="79" t="n">
        <f aca="false">INDEX(Spec_Rack!$C$31:$G$31,L$6)*L12</f>
        <v>1</v>
      </c>
      <c r="M20" s="79" t="n">
        <f aca="false">INDEX(Spec_Rack!$C$31:$G$31,M$6)*M12</f>
        <v>1</v>
      </c>
      <c r="N20" s="79" t="n">
        <f aca="false">INDEX(Spec_Rack!$C$31:$G$31,N$6)*N12</f>
        <v>1</v>
      </c>
      <c r="O20" s="79" t="n">
        <f aca="false">INDEX(Spec_Rack!$C$31:$G$31,O$6)*O12</f>
        <v>1</v>
      </c>
      <c r="P20" s="79" t="n">
        <f aca="false">INDEX(Spec_Rack!$C$31:$G$31,P$6)*P12</f>
        <v>1</v>
      </c>
      <c r="Q20" s="79" t="n">
        <f aca="false">INDEX(Spec_Rack!$C$31:$G$31,Q$6)*Q12</f>
        <v>1</v>
      </c>
    </row>
    <row r="21" customFormat="false" ht="15" hidden="false" customHeight="false" outlineLevel="0" collapsed="false">
      <c r="A21" s="44" t="s">
        <v>642</v>
      </c>
      <c r="B21" s="45" t="s">
        <v>639</v>
      </c>
      <c r="C21" s="76" t="n">
        <f aca="false">INDEX(Spec_Rack!$C$32:$G$32,C$6)</f>
        <v>8</v>
      </c>
      <c r="D21" s="76" t="n">
        <f aca="false">INDEX(Spec_Rack!$C$32:$G$32,D$6)</f>
        <v>8</v>
      </c>
      <c r="E21" s="76" t="n">
        <f aca="false">INDEX(Spec_Rack!$C$32:$G$32,E$6)</f>
        <v>8</v>
      </c>
      <c r="F21" s="76" t="n">
        <f aca="false">INDEX(Spec_Rack!$C$32:$G$32,F$6)</f>
        <v>4</v>
      </c>
      <c r="G21" s="76" t="n">
        <f aca="false">INDEX(Spec_Rack!$C$32:$G$32,G$6)</f>
        <v>4</v>
      </c>
      <c r="H21" s="76" t="n">
        <f aca="false">INDEX(Spec_Rack!$C$32:$G$32,H$6)</f>
        <v>4</v>
      </c>
      <c r="I21" s="76" t="n">
        <f aca="false">INDEX(Spec_Rack!$C$32:$G$32,I$6)</f>
        <v>4</v>
      </c>
      <c r="J21" s="76" t="n">
        <f aca="false">INDEX(Spec_Rack!$C$32:$G$32,J$6)</f>
        <v>4</v>
      </c>
      <c r="K21" s="76" t="n">
        <f aca="false">INDEX(Spec_Rack!$C$32:$G$32,K$6)</f>
        <v>4</v>
      </c>
      <c r="L21" s="76" t="n">
        <f aca="false">INDEX(Spec_Rack!$C$32:$G$32,L$6)</f>
        <v>4</v>
      </c>
      <c r="M21" s="76" t="n">
        <f aca="false">INDEX(Spec_Rack!$C$32:$G$32,M$6)</f>
        <v>4</v>
      </c>
      <c r="N21" s="76" t="n">
        <f aca="false">INDEX(Spec_Rack!$C$32:$G$32,N$6)</f>
        <v>4</v>
      </c>
      <c r="O21" s="76" t="n">
        <f aca="false">INDEX(Spec_Rack!$C$32:$G$32,O$6)</f>
        <v>8</v>
      </c>
      <c r="P21" s="76" t="n">
        <f aca="false">INDEX(Spec_Rack!$C$32:$G$32,P$6)</f>
        <v>8</v>
      </c>
      <c r="Q21" s="76" t="n">
        <f aca="false">INDEX(Spec_Rack!$C$32:$G$32,Q$6)</f>
        <v>8</v>
      </c>
    </row>
    <row r="22" customFormat="false" ht="15" hidden="false" customHeight="false" outlineLevel="0" collapsed="false">
      <c r="A22" s="45" t="s">
        <v>135</v>
      </c>
      <c r="B22" s="44" t="s">
        <v>643</v>
      </c>
      <c r="C22" s="76" t="n">
        <f aca="false">INDEX(Spec_Rack!$C$6:$G$6,C$6)</f>
        <v>32</v>
      </c>
      <c r="D22" s="76" t="n">
        <f aca="false">INDEX(Spec_Rack!$C$6:$G$6,D$6)</f>
        <v>32</v>
      </c>
      <c r="E22" s="76" t="n">
        <f aca="false">INDEX(Spec_Rack!$C$6:$G$6,E$6)</f>
        <v>32</v>
      </c>
      <c r="F22" s="76" t="n">
        <f aca="false">INDEX(Spec_Rack!$C$6:$G$6,F$6)</f>
        <v>72</v>
      </c>
      <c r="G22" s="76" t="n">
        <f aca="false">INDEX(Spec_Rack!$C$6:$G$6,G$6)</f>
        <v>72</v>
      </c>
      <c r="H22" s="76" t="n">
        <f aca="false">INDEX(Spec_Rack!$C$6:$G$6,H$6)</f>
        <v>72</v>
      </c>
      <c r="I22" s="76" t="n">
        <f aca="false">INDEX(Spec_Rack!$C$6:$G$6,I$6)</f>
        <v>72</v>
      </c>
      <c r="J22" s="76" t="n">
        <f aca="false">INDEX(Spec_Rack!$C$6:$G$6,J$6)</f>
        <v>72</v>
      </c>
      <c r="K22" s="76" t="n">
        <f aca="false">INDEX(Spec_Rack!$C$6:$G$6,K$6)</f>
        <v>72</v>
      </c>
      <c r="L22" s="76" t="n">
        <f aca="false">INDEX(Spec_Rack!$C$6:$G$6,L$6)</f>
        <v>72</v>
      </c>
      <c r="M22" s="76" t="n">
        <f aca="false">INDEX(Spec_Rack!$C$6:$G$6,M$6)</f>
        <v>72</v>
      </c>
      <c r="N22" s="76" t="n">
        <f aca="false">INDEX(Spec_Rack!$C$6:$G$6,N$6)</f>
        <v>72</v>
      </c>
      <c r="O22" s="76" t="n">
        <f aca="false">INDEX(Spec_Rack!$C$6:$G$6,O$6)</f>
        <v>144</v>
      </c>
      <c r="P22" s="76" t="n">
        <f aca="false">INDEX(Spec_Rack!$C$6:$G$6,P$6)</f>
        <v>144</v>
      </c>
      <c r="Q22" s="76" t="n">
        <f aca="false">INDEX(Spec_Rack!$C$6:$G$6,Q$6)</f>
        <v>144</v>
      </c>
    </row>
    <row r="23" customFormat="false" ht="15" hidden="false" customHeight="false" outlineLevel="0" collapsed="false">
      <c r="A23" s="45" t="s">
        <v>644</v>
      </c>
      <c r="B23" s="45" t="s">
        <v>645</v>
      </c>
      <c r="C23" s="76" t="n">
        <f aca="false">INDEX(Spec_Rack!$C$33:$G$33,C$6)</f>
        <v>700</v>
      </c>
      <c r="D23" s="76" t="n">
        <f aca="false">INDEX(Spec_Rack!$C$33:$G$33,D$6)</f>
        <v>700</v>
      </c>
      <c r="E23" s="76" t="n">
        <f aca="false">INDEX(Spec_Rack!$C$33:$G$33,E$6)</f>
        <v>700</v>
      </c>
      <c r="F23" s="76" t="n">
        <f aca="false">INDEX(Spec_Rack!$C$33:$G$33,F$6)</f>
        <v>1200</v>
      </c>
      <c r="G23" s="76" t="n">
        <f aca="false">INDEX(Spec_Rack!$C$33:$G$33,G$6)</f>
        <v>1200</v>
      </c>
      <c r="H23" s="76" t="n">
        <f aca="false">INDEX(Spec_Rack!$C$33:$G$33,H$6)</f>
        <v>1200</v>
      </c>
      <c r="I23" s="76" t="n">
        <f aca="false">INDEX(Spec_Rack!$C$33:$G$33,I$6)</f>
        <v>1400</v>
      </c>
      <c r="J23" s="76" t="n">
        <f aca="false">INDEX(Spec_Rack!$C$33:$G$33,J$6)</f>
        <v>1400</v>
      </c>
      <c r="K23" s="76" t="n">
        <f aca="false">INDEX(Spec_Rack!$C$33:$G$33,K$6)</f>
        <v>1400</v>
      </c>
      <c r="L23" s="76" t="n">
        <f aca="false">INDEX(Spec_Rack!$C$33:$G$33,L$6)</f>
        <v>1800</v>
      </c>
      <c r="M23" s="76" t="n">
        <f aca="false">INDEX(Spec_Rack!$C$33:$G$33,M$6)</f>
        <v>1800</v>
      </c>
      <c r="N23" s="76" t="n">
        <f aca="false">INDEX(Spec_Rack!$C$33:$G$33,N$6)</f>
        <v>1800</v>
      </c>
      <c r="O23" s="76" t="n">
        <f aca="false">INDEX(Spec_Rack!$C$33:$G$33,O$6)</f>
        <v>3600</v>
      </c>
      <c r="P23" s="76" t="n">
        <f aca="false">INDEX(Spec_Rack!$C$33:$G$33,P$6)</f>
        <v>3600</v>
      </c>
      <c r="Q23" s="76" t="n">
        <f aca="false">INDEX(Spec_Rack!$C$33:$G$33,Q$6)</f>
        <v>3600</v>
      </c>
    </row>
    <row r="24" customFormat="false" ht="15" hidden="false" customHeight="false" outlineLevel="0" collapsed="false">
      <c r="A24" s="45" t="s">
        <v>646</v>
      </c>
      <c r="B24" s="45" t="s">
        <v>647</v>
      </c>
      <c r="C24" s="76" t="n">
        <f aca="false">INDEX(Spec_Rack!$C$34:$G$34,C$6)</f>
        <v>31</v>
      </c>
      <c r="D24" s="76" t="n">
        <f aca="false">INDEX(Spec_Rack!$C$34:$G$34,D$6)</f>
        <v>31</v>
      </c>
      <c r="E24" s="76" t="n">
        <f aca="false">INDEX(Spec_Rack!$C$34:$G$34,E$6)</f>
        <v>31</v>
      </c>
      <c r="F24" s="76" t="n">
        <f aca="false">INDEX(Spec_Rack!$C$34:$G$34,F$6)</f>
        <v>25</v>
      </c>
      <c r="G24" s="76" t="n">
        <f aca="false">INDEX(Spec_Rack!$C$34:$G$34,G$6)</f>
        <v>25</v>
      </c>
      <c r="H24" s="76" t="n">
        <f aca="false">INDEX(Spec_Rack!$C$34:$G$34,H$6)</f>
        <v>25</v>
      </c>
      <c r="I24" s="76" t="n">
        <f aca="false">INDEX(Spec_Rack!$C$34:$G$34,I$6)</f>
        <v>25</v>
      </c>
      <c r="J24" s="76" t="n">
        <f aca="false">INDEX(Spec_Rack!$C$34:$G$34,J$6)</f>
        <v>25</v>
      </c>
      <c r="K24" s="76" t="n">
        <f aca="false">INDEX(Spec_Rack!$C$34:$G$34,K$6)</f>
        <v>25</v>
      </c>
      <c r="L24" s="76" t="n">
        <f aca="false">INDEX(Spec_Rack!$C$34:$G$34,L$6)</f>
        <v>20</v>
      </c>
      <c r="M24" s="76" t="n">
        <f aca="false">INDEX(Spec_Rack!$C$34:$G$34,M$6)</f>
        <v>20</v>
      </c>
      <c r="N24" s="76" t="n">
        <f aca="false">INDEX(Spec_Rack!$C$34:$G$34,N$6)</f>
        <v>20</v>
      </c>
      <c r="O24" s="76" t="n">
        <f aca="false">INDEX(Spec_Rack!$C$34:$G$34,O$6)</f>
        <v>18</v>
      </c>
      <c r="P24" s="76" t="n">
        <f aca="false">INDEX(Spec_Rack!$C$34:$G$34,P$6)</f>
        <v>18</v>
      </c>
      <c r="Q24" s="76" t="n">
        <f aca="false">INDEX(Spec_Rack!$C$34:$G$34,Q$6)</f>
        <v>18</v>
      </c>
    </row>
    <row r="25" customFormat="false" ht="15" hidden="false" customHeight="false" outlineLevel="0" collapsed="false">
      <c r="A25" s="44" t="s">
        <v>648</v>
      </c>
      <c r="B25" s="44" t="s">
        <v>649</v>
      </c>
      <c r="C25" s="76" t="n">
        <f aca="false">INDEX(DC_Cost!$C$12:$Q$12,3*(C$6-1)+2)</f>
        <v>22439</v>
      </c>
      <c r="D25" s="76" t="n">
        <f aca="false">INDEX(DC_Cost!$C$12:$Q$12,3*(D$6-1)+2)</f>
        <v>22439</v>
      </c>
      <c r="E25" s="76" t="n">
        <f aca="false">INDEX(DC_Cost!$C$12:$Q$12,3*(E$6-1)+2)</f>
        <v>22439</v>
      </c>
      <c r="F25" s="76" t="n">
        <f aca="false">INDEX(DC_Cost!$C$12:$Q$12,3*(F$6-1)+2)</f>
        <v>7076</v>
      </c>
      <c r="G25" s="76" t="n">
        <f aca="false">INDEX(DC_Cost!$C$12:$Q$12,3*(G$6-1)+2)</f>
        <v>7076</v>
      </c>
      <c r="H25" s="76" t="n">
        <f aca="false">INDEX(DC_Cost!$C$12:$Q$12,3*(H$6-1)+2)</f>
        <v>7076</v>
      </c>
      <c r="I25" s="76" t="n">
        <f aca="false">INDEX(DC_Cost!$C$12:$Q$12,3*(I$6-1)+2)</f>
        <v>6715</v>
      </c>
      <c r="J25" s="76" t="n">
        <f aca="false">INDEX(DC_Cost!$C$12:$Q$12,3*(J$6-1)+2)</f>
        <v>6715</v>
      </c>
      <c r="K25" s="76" t="n">
        <f aca="false">INDEX(DC_Cost!$C$12:$Q$12,3*(K$6-1)+2)</f>
        <v>6715</v>
      </c>
      <c r="L25" s="76" t="n">
        <f aca="false">INDEX(DC_Cost!$C$12:$Q$12,3*(L$6-1)+2)</f>
        <v>4052</v>
      </c>
      <c r="M25" s="76" t="n">
        <f aca="false">INDEX(DC_Cost!$C$12:$Q$12,3*(M$6-1)+2)</f>
        <v>4052</v>
      </c>
      <c r="N25" s="76" t="n">
        <f aca="false">INDEX(DC_Cost!$C$12:$Q$12,3*(N$6-1)+2)</f>
        <v>4052</v>
      </c>
      <c r="O25" s="76" t="n">
        <f aca="false">INDEX(DC_Cost!$C$12:$Q$12,3*(O$6-1)+2)</f>
        <v>1533</v>
      </c>
      <c r="P25" s="76" t="n">
        <f aca="false">INDEX(DC_Cost!$C$12:$Q$12,3*(P$6-1)+2)</f>
        <v>1533</v>
      </c>
      <c r="Q25" s="76" t="n">
        <f aca="false">INDEX(DC_Cost!$C$12:$Q$12,3*(Q$6-1)+2)</f>
        <v>1533</v>
      </c>
    </row>
    <row r="26" customFormat="false" ht="15" hidden="false" customHeight="false" outlineLevel="0" collapsed="false">
      <c r="A26" s="44" t="s">
        <v>650</v>
      </c>
      <c r="B26" s="45" t="s">
        <v>651</v>
      </c>
      <c r="C26" s="76" t="n">
        <f aca="false">INDEX(DC_Cost!$C$11:$Q$11,3*(C$6-1)+2)</f>
        <v>41</v>
      </c>
      <c r="D26" s="76" t="n">
        <f aca="false">INDEX(DC_Cost!$C$11:$Q$11,3*(D$6-1)+2)</f>
        <v>41</v>
      </c>
      <c r="E26" s="76" t="n">
        <f aca="false">INDEX(DC_Cost!$C$11:$Q$11,3*(E$6-1)+2)</f>
        <v>41</v>
      </c>
      <c r="F26" s="76" t="n">
        <f aca="false">INDEX(DC_Cost!$C$11:$Q$11,3*(F$6-1)+2)</f>
        <v>130</v>
      </c>
      <c r="G26" s="76" t="n">
        <f aca="false">INDEX(DC_Cost!$C$11:$Q$11,3*(G$6-1)+2)</f>
        <v>130</v>
      </c>
      <c r="H26" s="76" t="n">
        <f aca="false">INDEX(DC_Cost!$C$11:$Q$11,3*(H$6-1)+2)</f>
        <v>130</v>
      </c>
      <c r="I26" s="76" t="n">
        <f aca="false">INDEX(DC_Cost!$C$11:$Q$11,3*(I$6-1)+2)</f>
        <v>137</v>
      </c>
      <c r="J26" s="76" t="n">
        <f aca="false">INDEX(DC_Cost!$C$11:$Q$11,3*(J$6-1)+2)</f>
        <v>137</v>
      </c>
      <c r="K26" s="76" t="n">
        <f aca="false">INDEX(DC_Cost!$C$11:$Q$11,3*(K$6-1)+2)</f>
        <v>137</v>
      </c>
      <c r="L26" s="76" t="n">
        <f aca="false">INDEX(DC_Cost!$C$11:$Q$11,3*(L$6-1)+2)</f>
        <v>227</v>
      </c>
      <c r="M26" s="76" t="n">
        <f aca="false">INDEX(DC_Cost!$C$11:$Q$11,3*(M$6-1)+2)</f>
        <v>227</v>
      </c>
      <c r="N26" s="76" t="n">
        <f aca="false">INDEX(DC_Cost!$C$11:$Q$11,3*(N$6-1)+2)</f>
        <v>227</v>
      </c>
      <c r="O26" s="76" t="n">
        <f aca="false">INDEX(DC_Cost!$C$11:$Q$11,3*(O$6-1)+2)</f>
        <v>600</v>
      </c>
      <c r="P26" s="76" t="n">
        <f aca="false">INDEX(DC_Cost!$C$11:$Q$11,3*(P$6-1)+2)</f>
        <v>600</v>
      </c>
      <c r="Q26" s="76" t="n">
        <f aca="false">INDEX(DC_Cost!$C$11:$Q$11,3*(Q$6-1)+2)</f>
        <v>600</v>
      </c>
    </row>
    <row r="27" customFormat="false" ht="15" hidden="false" customHeight="false" outlineLevel="0" collapsed="false">
      <c r="A27" s="72" t="s">
        <v>652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customFormat="false" ht="15" hidden="false" customHeight="false" outlineLevel="0" collapsed="false">
      <c r="A28" s="44" t="s">
        <v>216</v>
      </c>
      <c r="B28" s="45" t="s">
        <v>213</v>
      </c>
      <c r="C28" s="76" t="n">
        <f aca="false">INDEX(Arch!$C$7:$E$7,C$7)</f>
        <v>13</v>
      </c>
      <c r="D28" s="76" t="n">
        <f aca="false">INDEX(Arch!$C$7:$E$7,D$7)</f>
        <v>49</v>
      </c>
      <c r="E28" s="76" t="n">
        <f aca="false">INDEX(Arch!$C$7:$E$7,E$7)</f>
        <v>180</v>
      </c>
      <c r="F28" s="76" t="n">
        <f aca="false">INDEX(Arch!$C$7:$E$7,F$7)</f>
        <v>13</v>
      </c>
      <c r="G28" s="76" t="n">
        <f aca="false">INDEX(Arch!$C$7:$E$7,G$7)</f>
        <v>49</v>
      </c>
      <c r="H28" s="76" t="n">
        <f aca="false">INDEX(Arch!$C$7:$E$7,H$7)</f>
        <v>180</v>
      </c>
      <c r="I28" s="76" t="n">
        <f aca="false">INDEX(Arch!$C$7:$E$7,I$7)</f>
        <v>13</v>
      </c>
      <c r="J28" s="76" t="n">
        <f aca="false">INDEX(Arch!$C$7:$E$7,J$7)</f>
        <v>49</v>
      </c>
      <c r="K28" s="76" t="n">
        <f aca="false">INDEX(Arch!$C$7:$E$7,K$7)</f>
        <v>180</v>
      </c>
      <c r="L28" s="76" t="n">
        <f aca="false">INDEX(Arch!$C$7:$E$7,L$7)</f>
        <v>13</v>
      </c>
      <c r="M28" s="76" t="n">
        <f aca="false">INDEX(Arch!$C$7:$E$7,M$7)</f>
        <v>49</v>
      </c>
      <c r="N28" s="76" t="n">
        <f aca="false">INDEX(Arch!$C$7:$E$7,N$7)</f>
        <v>180</v>
      </c>
      <c r="O28" s="76" t="n">
        <f aca="false">INDEX(Arch!$C$7:$E$7,O$7)</f>
        <v>13</v>
      </c>
      <c r="P28" s="76" t="n">
        <f aca="false">INDEX(Arch!$C$7:$E$7,P$7)</f>
        <v>49</v>
      </c>
      <c r="Q28" s="76" t="n">
        <f aca="false">INDEX(Arch!$C$7:$E$7,Q$7)</f>
        <v>180</v>
      </c>
    </row>
    <row r="29" customFormat="false" ht="15" hidden="false" customHeight="false" outlineLevel="0" collapsed="false">
      <c r="A29" s="44" t="s">
        <v>218</v>
      </c>
      <c r="B29" s="44" t="s">
        <v>219</v>
      </c>
      <c r="C29" s="76" t="n">
        <f aca="false">INDEX(Arch!$C$8:$E$8,C$7)</f>
        <v>43</v>
      </c>
      <c r="D29" s="76" t="n">
        <f aca="false">INDEX(Arch!$C$8:$E$8,D$7)</f>
        <v>61</v>
      </c>
      <c r="E29" s="76" t="n">
        <f aca="false">INDEX(Arch!$C$8:$E$8,E$7)</f>
        <v>100</v>
      </c>
      <c r="F29" s="76" t="n">
        <f aca="false">INDEX(Arch!$C$8:$E$8,F$7)</f>
        <v>43</v>
      </c>
      <c r="G29" s="76" t="n">
        <f aca="false">INDEX(Arch!$C$8:$E$8,G$7)</f>
        <v>61</v>
      </c>
      <c r="H29" s="76" t="n">
        <f aca="false">INDEX(Arch!$C$8:$E$8,H$7)</f>
        <v>100</v>
      </c>
      <c r="I29" s="76" t="n">
        <f aca="false">INDEX(Arch!$C$8:$E$8,I$7)</f>
        <v>43</v>
      </c>
      <c r="J29" s="76" t="n">
        <f aca="false">INDEX(Arch!$C$8:$E$8,J$7)</f>
        <v>61</v>
      </c>
      <c r="K29" s="76" t="n">
        <f aca="false">INDEX(Arch!$C$8:$E$8,K$7)</f>
        <v>100</v>
      </c>
      <c r="L29" s="76" t="n">
        <f aca="false">INDEX(Arch!$C$8:$E$8,L$7)</f>
        <v>43</v>
      </c>
      <c r="M29" s="76" t="n">
        <f aca="false">INDEX(Arch!$C$8:$E$8,M$7)</f>
        <v>61</v>
      </c>
      <c r="N29" s="76" t="n">
        <f aca="false">INDEX(Arch!$C$8:$E$8,N$7)</f>
        <v>100</v>
      </c>
      <c r="O29" s="76" t="n">
        <f aca="false">INDEX(Arch!$C$8:$E$8,O$7)</f>
        <v>43</v>
      </c>
      <c r="P29" s="76" t="n">
        <f aca="false">INDEX(Arch!$C$8:$E$8,P$7)</f>
        <v>61</v>
      </c>
      <c r="Q29" s="76" t="n">
        <f aca="false">INDEX(Arch!$C$8:$E$8,Q$7)</f>
        <v>100</v>
      </c>
    </row>
    <row r="30" customFormat="false" ht="15" hidden="false" customHeight="false" outlineLevel="0" collapsed="false">
      <c r="A30" s="45" t="s">
        <v>221</v>
      </c>
      <c r="B30" s="44"/>
      <c r="C30" s="76" t="n">
        <f aca="false">INDEX(Arch!$C$9:$E$9,C$7)</f>
        <v>4096</v>
      </c>
      <c r="D30" s="76" t="n">
        <f aca="false">INDEX(Arch!$C$9:$E$9,D$7)</f>
        <v>7168</v>
      </c>
      <c r="E30" s="76" t="n">
        <f aca="false">INDEX(Arch!$C$9:$E$9,E$7)</f>
        <v>12288</v>
      </c>
      <c r="F30" s="76" t="n">
        <f aca="false">INDEX(Arch!$C$9:$E$9,F$7)</f>
        <v>4096</v>
      </c>
      <c r="G30" s="76" t="n">
        <f aca="false">INDEX(Arch!$C$9:$E$9,G$7)</f>
        <v>7168</v>
      </c>
      <c r="H30" s="76" t="n">
        <f aca="false">INDEX(Arch!$C$9:$E$9,H$7)</f>
        <v>12288</v>
      </c>
      <c r="I30" s="76" t="n">
        <f aca="false">INDEX(Arch!$C$9:$E$9,I$7)</f>
        <v>4096</v>
      </c>
      <c r="J30" s="76" t="n">
        <f aca="false">INDEX(Arch!$C$9:$E$9,J$7)</f>
        <v>7168</v>
      </c>
      <c r="K30" s="76" t="n">
        <f aca="false">INDEX(Arch!$C$9:$E$9,K$7)</f>
        <v>12288</v>
      </c>
      <c r="L30" s="76" t="n">
        <f aca="false">INDEX(Arch!$C$9:$E$9,L$7)</f>
        <v>4096</v>
      </c>
      <c r="M30" s="76" t="n">
        <f aca="false">INDEX(Arch!$C$9:$E$9,M$7)</f>
        <v>7168</v>
      </c>
      <c r="N30" s="76" t="n">
        <f aca="false">INDEX(Arch!$C$9:$E$9,N$7)</f>
        <v>12288</v>
      </c>
      <c r="O30" s="76" t="n">
        <f aca="false">INDEX(Arch!$C$9:$E$9,O$7)</f>
        <v>4096</v>
      </c>
      <c r="P30" s="76" t="n">
        <f aca="false">INDEX(Arch!$C$9:$E$9,P$7)</f>
        <v>7168</v>
      </c>
      <c r="Q30" s="76" t="n">
        <f aca="false">INDEX(Arch!$C$9:$E$9,Q$7)</f>
        <v>12288</v>
      </c>
    </row>
    <row r="31" customFormat="false" ht="15" hidden="false" customHeight="false" outlineLevel="0" collapsed="false">
      <c r="A31" s="44" t="s">
        <v>653</v>
      </c>
      <c r="B31" s="44"/>
      <c r="C31" s="76" t="n">
        <f aca="false">INDEX(Arch!$C$13:$E$13,C$7)</f>
        <v>6</v>
      </c>
      <c r="D31" s="76" t="n">
        <f aca="false">INDEX(Arch!$C$13:$E$13,D$7)</f>
        <v>6</v>
      </c>
      <c r="E31" s="76" t="n">
        <f aca="false">INDEX(Arch!$C$13:$E$13,E$7)</f>
        <v>16</v>
      </c>
      <c r="F31" s="76" t="n">
        <f aca="false">INDEX(Arch!$C$13:$E$13,F$7)</f>
        <v>6</v>
      </c>
      <c r="G31" s="76" t="n">
        <f aca="false">INDEX(Arch!$C$13:$E$13,G$7)</f>
        <v>6</v>
      </c>
      <c r="H31" s="76" t="n">
        <f aca="false">INDEX(Arch!$C$13:$E$13,H$7)</f>
        <v>16</v>
      </c>
      <c r="I31" s="76" t="n">
        <f aca="false">INDEX(Arch!$C$13:$E$13,I$7)</f>
        <v>6</v>
      </c>
      <c r="J31" s="76" t="n">
        <f aca="false">INDEX(Arch!$C$13:$E$13,J$7)</f>
        <v>6</v>
      </c>
      <c r="K31" s="76" t="n">
        <f aca="false">INDEX(Arch!$C$13:$E$13,K$7)</f>
        <v>16</v>
      </c>
      <c r="L31" s="76" t="n">
        <f aca="false">INDEX(Arch!$C$13:$E$13,L$7)</f>
        <v>6</v>
      </c>
      <c r="M31" s="76" t="n">
        <f aca="false">INDEX(Arch!$C$13:$E$13,M$7)</f>
        <v>6</v>
      </c>
      <c r="N31" s="76" t="n">
        <f aca="false">INDEX(Arch!$C$13:$E$13,N$7)</f>
        <v>16</v>
      </c>
      <c r="O31" s="76" t="n">
        <f aca="false">INDEX(Arch!$C$13:$E$13,O$7)</f>
        <v>6</v>
      </c>
      <c r="P31" s="76" t="n">
        <f aca="false">INDEX(Arch!$C$13:$E$13,P$7)</f>
        <v>6</v>
      </c>
      <c r="Q31" s="76" t="n">
        <f aca="false">INDEX(Arch!$C$13:$E$13,Q$7)</f>
        <v>16</v>
      </c>
    </row>
    <row r="32" customFormat="false" ht="15" hidden="false" customHeight="false" outlineLevel="0" collapsed="false">
      <c r="A32" s="44" t="s">
        <v>401</v>
      </c>
      <c r="B32" s="45" t="s">
        <v>213</v>
      </c>
      <c r="C32" s="80" t="n">
        <f aca="false">INDEX(Arch!$C$28:$E$28,C$7)</f>
        <v>5.412</v>
      </c>
      <c r="D32" s="80" t="n">
        <f aca="false">INDEX(Arch!$C$28:$E$28,D$7)</f>
        <v>20.2777777777778</v>
      </c>
      <c r="E32" s="80" t="n">
        <f aca="false">INDEX(Arch!$C$28:$E$28,E$7)</f>
        <v>49.0725806451613</v>
      </c>
      <c r="F32" s="80" t="n">
        <f aca="false">INDEX(Arch!$C$28:$E$28,F$7)</f>
        <v>5.412</v>
      </c>
      <c r="G32" s="80" t="n">
        <f aca="false">INDEX(Arch!$C$28:$E$28,G$7)</f>
        <v>20.2777777777778</v>
      </c>
      <c r="H32" s="80" t="n">
        <f aca="false">INDEX(Arch!$C$28:$E$28,H$7)</f>
        <v>49.0725806451613</v>
      </c>
      <c r="I32" s="80" t="n">
        <f aca="false">INDEX(Arch!$C$28:$E$28,I$7)</f>
        <v>5.412</v>
      </c>
      <c r="J32" s="80" t="n">
        <f aca="false">INDEX(Arch!$C$28:$E$28,J$7)</f>
        <v>20.2777777777778</v>
      </c>
      <c r="K32" s="80" t="n">
        <f aca="false">INDEX(Arch!$C$28:$E$28,K$7)</f>
        <v>49.0725806451613</v>
      </c>
      <c r="L32" s="80" t="n">
        <f aca="false">INDEX(Arch!$C$28:$E$28,L$7)</f>
        <v>5.412</v>
      </c>
      <c r="M32" s="80" t="n">
        <f aca="false">INDEX(Arch!$C$28:$E$28,M$7)</f>
        <v>20.2777777777778</v>
      </c>
      <c r="N32" s="80" t="n">
        <f aca="false">INDEX(Arch!$C$28:$E$28,N$7)</f>
        <v>49.0725806451613</v>
      </c>
      <c r="O32" s="80" t="n">
        <f aca="false">INDEX(Arch!$C$28:$E$28,O$7)</f>
        <v>5.412</v>
      </c>
      <c r="P32" s="80" t="n">
        <f aca="false">INDEX(Arch!$C$28:$E$28,P$7)</f>
        <v>20.2777777777778</v>
      </c>
      <c r="Q32" s="80" t="n">
        <f aca="false">INDEX(Arch!$C$28:$E$28,Q$7)</f>
        <v>49.0725806451613</v>
      </c>
    </row>
    <row r="33" customFormat="false" ht="15" hidden="false" customHeight="false" outlineLevel="0" collapsed="false">
      <c r="A33" s="44" t="s">
        <v>257</v>
      </c>
      <c r="B33" s="45" t="s">
        <v>213</v>
      </c>
      <c r="C33" s="76" t="n">
        <f aca="false">INDEX(Arch!$C$29:$E$29,C$7)</f>
        <v>278.588</v>
      </c>
      <c r="D33" s="76" t="n">
        <f aca="false">INDEX(Arch!$C$29:$E$29,D$7)</f>
        <v>1579.72222222222</v>
      </c>
      <c r="E33" s="76" t="n">
        <f aca="false">INDEX(Arch!$C$29:$E$29,E$7)</f>
        <v>3950.92741935484</v>
      </c>
      <c r="F33" s="76" t="n">
        <f aca="false">INDEX(Arch!$C$29:$E$29,F$7)</f>
        <v>278.588</v>
      </c>
      <c r="G33" s="76" t="n">
        <f aca="false">INDEX(Arch!$C$29:$E$29,G$7)</f>
        <v>1579.72222222222</v>
      </c>
      <c r="H33" s="76" t="n">
        <f aca="false">INDEX(Arch!$C$29:$E$29,H$7)</f>
        <v>3950.92741935484</v>
      </c>
      <c r="I33" s="76" t="n">
        <f aca="false">INDEX(Arch!$C$29:$E$29,I$7)</f>
        <v>278.588</v>
      </c>
      <c r="J33" s="76" t="n">
        <f aca="false">INDEX(Arch!$C$29:$E$29,J$7)</f>
        <v>1579.72222222222</v>
      </c>
      <c r="K33" s="76" t="n">
        <f aca="false">INDEX(Arch!$C$29:$E$29,K$7)</f>
        <v>3950.92741935484</v>
      </c>
      <c r="L33" s="76" t="n">
        <f aca="false">INDEX(Arch!$C$29:$E$29,L$7)</f>
        <v>278.588</v>
      </c>
      <c r="M33" s="76" t="n">
        <f aca="false">INDEX(Arch!$C$29:$E$29,M$7)</f>
        <v>1579.72222222222</v>
      </c>
      <c r="N33" s="76" t="n">
        <f aca="false">INDEX(Arch!$C$29:$E$29,N$7)</f>
        <v>3950.92741935484</v>
      </c>
      <c r="O33" s="76" t="n">
        <f aca="false">INDEX(Arch!$C$29:$E$29,O$7)</f>
        <v>278.588</v>
      </c>
      <c r="P33" s="76" t="n">
        <f aca="false">INDEX(Arch!$C$29:$E$29,P$7)</f>
        <v>1579.72222222222</v>
      </c>
      <c r="Q33" s="76" t="n">
        <f aca="false">INDEX(Arch!$C$29:$E$29,Q$7)</f>
        <v>3950.92741935484</v>
      </c>
    </row>
    <row r="34" customFormat="false" ht="15" hidden="false" customHeight="false" outlineLevel="0" collapsed="false">
      <c r="A34" s="45" t="s">
        <v>654</v>
      </c>
      <c r="B34" s="45" t="s">
        <v>213</v>
      </c>
      <c r="C34" s="76" t="n">
        <f aca="false">INDEX(Arch!$C$25:$E$25,C$7)*C11</f>
        <v>2795</v>
      </c>
      <c r="D34" s="76" t="n">
        <f aca="false">INDEX(Arch!$C$25:$E$25,D$7)*D11</f>
        <v>3965</v>
      </c>
      <c r="E34" s="76" t="n">
        <f aca="false">INDEX(Arch!$C$25:$E$25,E$7)*E11</f>
        <v>57600</v>
      </c>
      <c r="F34" s="76" t="n">
        <f aca="false">INDEX(Arch!$C$25:$E$25,F$7)*F11</f>
        <v>2795</v>
      </c>
      <c r="G34" s="76" t="n">
        <f aca="false">INDEX(Arch!$C$25:$E$25,G$7)*G11</f>
        <v>3965</v>
      </c>
      <c r="H34" s="76" t="n">
        <f aca="false">INDEX(Arch!$C$25:$E$25,H$7)*H11</f>
        <v>57600</v>
      </c>
      <c r="I34" s="76" t="n">
        <f aca="false">INDEX(Arch!$C$25:$E$25,I$7)*I11</f>
        <v>2795</v>
      </c>
      <c r="J34" s="76" t="n">
        <f aca="false">INDEX(Arch!$C$25:$E$25,J$7)*J11</f>
        <v>3965</v>
      </c>
      <c r="K34" s="76" t="n">
        <f aca="false">INDEX(Arch!$C$25:$E$25,K$7)*K11</f>
        <v>57600</v>
      </c>
      <c r="L34" s="76" t="n">
        <f aca="false">INDEX(Arch!$C$25:$E$25,L$7)*L11</f>
        <v>2795</v>
      </c>
      <c r="M34" s="76" t="n">
        <f aca="false">INDEX(Arch!$C$25:$E$25,M$7)*M11</f>
        <v>3965</v>
      </c>
      <c r="N34" s="76" t="n">
        <f aca="false">INDEX(Arch!$C$25:$E$25,N$7)*N11</f>
        <v>57600</v>
      </c>
      <c r="O34" s="76" t="n">
        <f aca="false">INDEX(Arch!$C$25:$E$25,O$7)*O11</f>
        <v>2795</v>
      </c>
      <c r="P34" s="76" t="n">
        <f aca="false">INDEX(Arch!$C$25:$E$25,P$7)*P11</f>
        <v>3965</v>
      </c>
      <c r="Q34" s="76" t="n">
        <f aca="false">INDEX(Arch!$C$25:$E$25,Q$7)*Q11</f>
        <v>57600</v>
      </c>
    </row>
    <row r="35" customFormat="false" ht="15" hidden="false" customHeight="false" outlineLevel="0" collapsed="false">
      <c r="A35" s="44" t="s">
        <v>403</v>
      </c>
      <c r="B35" s="45" t="s">
        <v>259</v>
      </c>
      <c r="C35" s="76" t="n">
        <f aca="false">INDEX(Arch!$C$30:$E$30,C$7)</f>
        <v>5636096</v>
      </c>
      <c r="D35" s="76" t="n">
        <f aca="false">INDEX(Arch!$C$30:$E$30,D$7)</f>
        <v>15990784</v>
      </c>
      <c r="E35" s="76" t="n">
        <f aca="false">INDEX(Arch!$C$30:$E$30,E$7)</f>
        <v>4915200</v>
      </c>
      <c r="F35" s="76" t="n">
        <f aca="false">INDEX(Arch!$C$30:$E$30,F$7)</f>
        <v>5636096</v>
      </c>
      <c r="G35" s="76" t="n">
        <f aca="false">INDEX(Arch!$C$30:$E$30,G$7)</f>
        <v>15990784</v>
      </c>
      <c r="H35" s="76" t="n">
        <f aca="false">INDEX(Arch!$C$30:$E$30,H$7)</f>
        <v>4915200</v>
      </c>
      <c r="I35" s="76" t="n">
        <f aca="false">INDEX(Arch!$C$30:$E$30,I$7)</f>
        <v>5636096</v>
      </c>
      <c r="J35" s="76" t="n">
        <f aca="false">INDEX(Arch!$C$30:$E$30,J$7)</f>
        <v>15990784</v>
      </c>
      <c r="K35" s="76" t="n">
        <f aca="false">INDEX(Arch!$C$30:$E$30,K$7)</f>
        <v>4915200</v>
      </c>
      <c r="L35" s="76" t="n">
        <f aca="false">INDEX(Arch!$C$30:$E$30,L$7)</f>
        <v>5636096</v>
      </c>
      <c r="M35" s="76" t="n">
        <f aca="false">INDEX(Arch!$C$30:$E$30,M$7)</f>
        <v>15990784</v>
      </c>
      <c r="N35" s="76" t="n">
        <f aca="false">INDEX(Arch!$C$30:$E$30,N$7)</f>
        <v>4915200</v>
      </c>
      <c r="O35" s="76" t="n">
        <f aca="false">INDEX(Arch!$C$30:$E$30,O$7)</f>
        <v>5636096</v>
      </c>
      <c r="P35" s="76" t="n">
        <f aca="false">INDEX(Arch!$C$30:$E$30,P$7)</f>
        <v>15990784</v>
      </c>
      <c r="Q35" s="76" t="n">
        <f aca="false">INDEX(Arch!$C$30:$E$30,Q$7)</f>
        <v>4915200</v>
      </c>
    </row>
    <row r="36" customFormat="false" ht="15" hidden="false" customHeight="false" outlineLevel="0" collapsed="false">
      <c r="A36" s="44" t="s">
        <v>233</v>
      </c>
      <c r="B36" s="45" t="s">
        <v>57</v>
      </c>
      <c r="C36" s="81" t="n">
        <f aca="false">INDEX(Arch!$C$16:$E$16,C$7)</f>
        <v>0.5</v>
      </c>
      <c r="D36" s="81" t="n">
        <f aca="false">INDEX(Arch!$C$16:$E$16,D$7)</f>
        <v>0.5</v>
      </c>
      <c r="E36" s="81" t="n">
        <f aca="false">INDEX(Arch!$C$16:$E$16,E$7)</f>
        <v>1</v>
      </c>
      <c r="F36" s="81" t="n">
        <f aca="false">INDEX(Arch!$C$16:$E$16,F$7)</f>
        <v>0.5</v>
      </c>
      <c r="G36" s="81" t="n">
        <f aca="false">INDEX(Arch!$C$16:$E$16,G$7)</f>
        <v>0.5</v>
      </c>
      <c r="H36" s="81" t="n">
        <f aca="false">INDEX(Arch!$C$16:$E$16,H$7)</f>
        <v>1</v>
      </c>
      <c r="I36" s="81" t="n">
        <f aca="false">INDEX(Arch!$C$16:$E$16,I$7)</f>
        <v>0.5</v>
      </c>
      <c r="J36" s="81" t="n">
        <f aca="false">INDEX(Arch!$C$16:$E$16,J$7)</f>
        <v>0.5</v>
      </c>
      <c r="K36" s="81" t="n">
        <f aca="false">INDEX(Arch!$C$16:$E$16,K$7)</f>
        <v>1</v>
      </c>
      <c r="L36" s="81" t="n">
        <f aca="false">INDEX(Arch!$C$16:$E$16,L$7)</f>
        <v>0.5</v>
      </c>
      <c r="M36" s="81" t="n">
        <f aca="false">INDEX(Arch!$C$16:$E$16,M$7)</f>
        <v>0.5</v>
      </c>
      <c r="N36" s="81" t="n">
        <f aca="false">INDEX(Arch!$C$16:$E$16,N$7)</f>
        <v>1</v>
      </c>
      <c r="O36" s="81" t="n">
        <f aca="false">INDEX(Arch!$C$16:$E$16,O$7)</f>
        <v>0.5</v>
      </c>
      <c r="P36" s="81" t="n">
        <f aca="false">INDEX(Arch!$C$16:$E$16,P$7)</f>
        <v>0.5</v>
      </c>
      <c r="Q36" s="81" t="n">
        <f aca="false">INDEX(Arch!$C$16:$E$16,Q$7)</f>
        <v>1</v>
      </c>
    </row>
    <row r="37" customFormat="false" ht="15" hidden="false" customHeight="false" outlineLevel="0" collapsed="false">
      <c r="A37" s="44" t="s">
        <v>655</v>
      </c>
      <c r="B37" s="45" t="s">
        <v>236</v>
      </c>
      <c r="C37" s="76" t="n">
        <f aca="false">INDEX(Arch!$C$17:$E$17,C$7)</f>
        <v>4224</v>
      </c>
      <c r="D37" s="76" t="n">
        <f aca="false">INDEX(Arch!$C$17:$E$17,D$7)</f>
        <v>4224</v>
      </c>
      <c r="E37" s="76" t="n">
        <f aca="false">INDEX(Arch!$C$17:$E$17,E$7)</f>
        <v>0</v>
      </c>
      <c r="F37" s="76" t="n">
        <f aca="false">INDEX(Arch!$C$17:$E$17,F$7)</f>
        <v>4224</v>
      </c>
      <c r="G37" s="76" t="n">
        <f aca="false">INDEX(Arch!$C$17:$E$17,G$7)</f>
        <v>4224</v>
      </c>
      <c r="H37" s="76" t="n">
        <f aca="false">INDEX(Arch!$C$17:$E$17,H$7)</f>
        <v>0</v>
      </c>
      <c r="I37" s="76" t="n">
        <f aca="false">INDEX(Arch!$C$17:$E$17,I$7)</f>
        <v>4224</v>
      </c>
      <c r="J37" s="76" t="n">
        <f aca="false">INDEX(Arch!$C$17:$E$17,J$7)</f>
        <v>4224</v>
      </c>
      <c r="K37" s="76" t="n">
        <f aca="false">INDEX(Arch!$C$17:$E$17,K$7)</f>
        <v>0</v>
      </c>
      <c r="L37" s="76" t="n">
        <f aca="false">INDEX(Arch!$C$17:$E$17,L$7)</f>
        <v>4224</v>
      </c>
      <c r="M37" s="76" t="n">
        <f aca="false">INDEX(Arch!$C$17:$E$17,M$7)</f>
        <v>4224</v>
      </c>
      <c r="N37" s="76" t="n">
        <f aca="false">INDEX(Arch!$C$17:$E$17,N$7)</f>
        <v>0</v>
      </c>
      <c r="O37" s="76" t="n">
        <f aca="false">INDEX(Arch!$C$17:$E$17,O$7)</f>
        <v>4224</v>
      </c>
      <c r="P37" s="76" t="n">
        <f aca="false">INDEX(Arch!$C$17:$E$17,P$7)</f>
        <v>4224</v>
      </c>
      <c r="Q37" s="76" t="n">
        <f aca="false">INDEX(Arch!$C$17:$E$17,Q$7)</f>
        <v>0</v>
      </c>
    </row>
    <row r="38" customFormat="false" ht="15" hidden="false" customHeight="false" outlineLevel="0" collapsed="false">
      <c r="A38" s="44" t="s">
        <v>239</v>
      </c>
      <c r="B38" s="45" t="s">
        <v>61</v>
      </c>
      <c r="C38" s="76" t="n">
        <f aca="false">INDEX(Arch!$C$18:$E$18,C$7)</f>
        <v>128</v>
      </c>
      <c r="D38" s="76" t="n">
        <f aca="false">INDEX(Arch!$C$18:$E$18,D$7)</f>
        <v>128</v>
      </c>
      <c r="E38" s="76" t="n">
        <f aca="false">INDEX(Arch!$C$18:$E$18,E$7)</f>
        <v>1</v>
      </c>
      <c r="F38" s="76" t="n">
        <f aca="false">INDEX(Arch!$C$18:$E$18,F$7)</f>
        <v>128</v>
      </c>
      <c r="G38" s="76" t="n">
        <f aca="false">INDEX(Arch!$C$18:$E$18,G$7)</f>
        <v>128</v>
      </c>
      <c r="H38" s="76" t="n">
        <f aca="false">INDEX(Arch!$C$18:$E$18,H$7)</f>
        <v>1</v>
      </c>
      <c r="I38" s="76" t="n">
        <f aca="false">INDEX(Arch!$C$18:$E$18,I$7)</f>
        <v>128</v>
      </c>
      <c r="J38" s="76" t="n">
        <f aca="false">INDEX(Arch!$C$18:$E$18,J$7)</f>
        <v>128</v>
      </c>
      <c r="K38" s="76" t="n">
        <f aca="false">INDEX(Arch!$C$18:$E$18,K$7)</f>
        <v>1</v>
      </c>
      <c r="L38" s="76" t="n">
        <f aca="false">INDEX(Arch!$C$18:$E$18,L$7)</f>
        <v>128</v>
      </c>
      <c r="M38" s="76" t="n">
        <f aca="false">INDEX(Arch!$C$18:$E$18,M$7)</f>
        <v>128</v>
      </c>
      <c r="N38" s="76" t="n">
        <f aca="false">INDEX(Arch!$C$18:$E$18,N$7)</f>
        <v>1</v>
      </c>
      <c r="O38" s="76" t="n">
        <f aca="false">INDEX(Arch!$C$18:$E$18,O$7)</f>
        <v>128</v>
      </c>
      <c r="P38" s="76" t="n">
        <f aca="false">INDEX(Arch!$C$18:$E$18,P$7)</f>
        <v>128</v>
      </c>
      <c r="Q38" s="76" t="n">
        <f aca="false">INDEX(Arch!$C$18:$E$18,Q$7)</f>
        <v>1</v>
      </c>
    </row>
    <row r="39" customFormat="false" ht="15" hidden="false" customHeight="false" outlineLevel="0" collapsed="false">
      <c r="A39" s="44" t="s">
        <v>241</v>
      </c>
      <c r="B39" s="45" t="s">
        <v>236</v>
      </c>
      <c r="C39" s="76" t="n">
        <f aca="false">INDEX(Arch!$C$19:$E$19,C$7)</f>
        <v>128</v>
      </c>
      <c r="D39" s="76" t="n">
        <f aca="false">INDEX(Arch!$C$19:$E$19,D$7)</f>
        <v>128</v>
      </c>
      <c r="E39" s="76" t="n">
        <f aca="false">INDEX(Arch!$C$19:$E$19,E$7)</f>
        <v>0</v>
      </c>
      <c r="F39" s="76" t="n">
        <f aca="false">INDEX(Arch!$C$19:$E$19,F$7)</f>
        <v>128</v>
      </c>
      <c r="G39" s="76" t="n">
        <f aca="false">INDEX(Arch!$C$19:$E$19,G$7)</f>
        <v>128</v>
      </c>
      <c r="H39" s="76" t="n">
        <f aca="false">INDEX(Arch!$C$19:$E$19,H$7)</f>
        <v>0</v>
      </c>
      <c r="I39" s="76" t="n">
        <f aca="false">INDEX(Arch!$C$19:$E$19,I$7)</f>
        <v>128</v>
      </c>
      <c r="J39" s="76" t="n">
        <f aca="false">INDEX(Arch!$C$19:$E$19,J$7)</f>
        <v>128</v>
      </c>
      <c r="K39" s="76" t="n">
        <f aca="false">INDEX(Arch!$C$19:$E$19,K$7)</f>
        <v>0</v>
      </c>
      <c r="L39" s="76" t="n">
        <f aca="false">INDEX(Arch!$C$19:$E$19,L$7)</f>
        <v>128</v>
      </c>
      <c r="M39" s="76" t="n">
        <f aca="false">INDEX(Arch!$C$19:$E$19,M$7)</f>
        <v>128</v>
      </c>
      <c r="N39" s="76" t="n">
        <f aca="false">INDEX(Arch!$C$19:$E$19,N$7)</f>
        <v>0</v>
      </c>
      <c r="O39" s="76" t="n">
        <f aca="false">INDEX(Arch!$C$19:$E$19,O$7)</f>
        <v>128</v>
      </c>
      <c r="P39" s="76" t="n">
        <f aca="false">INDEX(Arch!$C$19:$E$19,P$7)</f>
        <v>128</v>
      </c>
      <c r="Q39" s="76" t="n">
        <f aca="false">INDEX(Arch!$C$19:$E$19,Q$7)</f>
        <v>0</v>
      </c>
    </row>
    <row r="40" customFormat="false" ht="15" hidden="false" customHeight="false" outlineLevel="0" collapsed="false">
      <c r="A40" s="72" t="s">
        <v>656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customFormat="false" ht="15" hidden="false" customHeight="false" outlineLevel="0" collapsed="false">
      <c r="A41" s="45" t="s">
        <v>299</v>
      </c>
      <c r="B41" s="45" t="s">
        <v>300</v>
      </c>
      <c r="C41" s="76" t="n">
        <f aca="false">INDEX(Serving!$C$21:$E$21,C$7)</f>
        <v>120</v>
      </c>
      <c r="D41" s="76" t="n">
        <f aca="false">INDEX(Serving!$C$21:$E$21,D$7)</f>
        <v>65</v>
      </c>
      <c r="E41" s="76" t="n">
        <f aca="false">INDEX(Serving!$C$21:$E$21,E$7)</f>
        <v>55</v>
      </c>
      <c r="F41" s="76" t="n">
        <f aca="false">INDEX(Serving!$C$21:$E$21,F$7)</f>
        <v>120</v>
      </c>
      <c r="G41" s="76" t="n">
        <f aca="false">INDEX(Serving!$C$21:$E$21,G$7)</f>
        <v>65</v>
      </c>
      <c r="H41" s="76" t="n">
        <f aca="false">INDEX(Serving!$C$21:$E$21,H$7)</f>
        <v>55</v>
      </c>
      <c r="I41" s="76" t="n">
        <f aca="false">INDEX(Serving!$C$21:$E$21,I$7)</f>
        <v>120</v>
      </c>
      <c r="J41" s="76" t="n">
        <f aca="false">INDEX(Serving!$C$21:$E$21,J$7)</f>
        <v>65</v>
      </c>
      <c r="K41" s="76" t="n">
        <f aca="false">INDEX(Serving!$C$21:$E$21,K$7)</f>
        <v>55</v>
      </c>
      <c r="L41" s="76" t="n">
        <f aca="false">INDEX(Serving!$C$21:$E$21,L$7)</f>
        <v>120</v>
      </c>
      <c r="M41" s="76" t="n">
        <f aca="false">INDEX(Serving!$C$21:$E$21,M$7)</f>
        <v>65</v>
      </c>
      <c r="N41" s="76" t="n">
        <f aca="false">INDEX(Serving!$C$21:$E$21,N$7)</f>
        <v>55</v>
      </c>
      <c r="O41" s="76" t="n">
        <f aca="false">INDEX(Serving!$C$21:$E$21,O$7)</f>
        <v>120</v>
      </c>
      <c r="P41" s="76" t="n">
        <f aca="false">INDEX(Serving!$C$21:$E$21,P$7)</f>
        <v>65</v>
      </c>
      <c r="Q41" s="76" t="n">
        <f aca="false">INDEX(Serving!$C$21:$E$21,Q$7)</f>
        <v>55</v>
      </c>
    </row>
    <row r="42" customFormat="false" ht="15" hidden="false" customHeight="false" outlineLevel="0" collapsed="false">
      <c r="A42" s="45" t="s">
        <v>657</v>
      </c>
      <c r="B42" s="45" t="s">
        <v>303</v>
      </c>
      <c r="C42" s="93" t="n">
        <f aca="false">INDEX(Serving!$C$22:$E$22,C$7)</f>
        <v>2</v>
      </c>
      <c r="D42" s="93" t="n">
        <f aca="false">INDEX(Serving!$C$22:$E$22,D$7)</f>
        <v>3</v>
      </c>
      <c r="E42" s="93" t="n">
        <f aca="false">INDEX(Serving!$C$22:$E$22,E$7)</f>
        <v>5</v>
      </c>
      <c r="F42" s="93" t="n">
        <f aca="false">INDEX(Serving!$C$22:$E$22,F$7)</f>
        <v>2</v>
      </c>
      <c r="G42" s="93" t="n">
        <f aca="false">INDEX(Serving!$C$22:$E$22,G$7)</f>
        <v>3</v>
      </c>
      <c r="H42" s="93" t="n">
        <f aca="false">INDEX(Serving!$C$22:$E$22,H$7)</f>
        <v>5</v>
      </c>
      <c r="I42" s="93" t="n">
        <f aca="false">INDEX(Serving!$C$22:$E$22,I$7)</f>
        <v>2</v>
      </c>
      <c r="J42" s="93" t="n">
        <f aca="false">INDEX(Serving!$C$22:$E$22,J$7)</f>
        <v>3</v>
      </c>
      <c r="K42" s="93" t="n">
        <f aca="false">INDEX(Serving!$C$22:$E$22,K$7)</f>
        <v>5</v>
      </c>
      <c r="L42" s="93" t="n">
        <f aca="false">INDEX(Serving!$C$22:$E$22,L$7)</f>
        <v>2</v>
      </c>
      <c r="M42" s="93" t="n">
        <f aca="false">INDEX(Serving!$C$22:$E$22,M$7)</f>
        <v>3</v>
      </c>
      <c r="N42" s="93" t="n">
        <f aca="false">INDEX(Serving!$C$22:$E$22,N$7)</f>
        <v>5</v>
      </c>
      <c r="O42" s="93" t="n">
        <f aca="false">INDEX(Serving!$C$22:$E$22,O$7)</f>
        <v>2</v>
      </c>
      <c r="P42" s="93" t="n">
        <f aca="false">INDEX(Serving!$C$22:$E$22,P$7)</f>
        <v>3</v>
      </c>
      <c r="Q42" s="93" t="n">
        <f aca="false">INDEX(Serving!$C$22:$E$22,Q$7)</f>
        <v>5</v>
      </c>
    </row>
    <row r="43" customFormat="false" ht="15" hidden="false" customHeight="false" outlineLevel="0" collapsed="false">
      <c r="A43" s="44" t="s">
        <v>658</v>
      </c>
      <c r="B43" s="45" t="s">
        <v>236</v>
      </c>
      <c r="C43" s="76" t="n">
        <f aca="false">INDEX(Serving!$C$23:$E$23,C$7)</f>
        <v>8192</v>
      </c>
      <c r="D43" s="76" t="n">
        <f aca="false">INDEX(Serving!$C$23:$E$23,D$7)</f>
        <v>16384</v>
      </c>
      <c r="E43" s="76" t="n">
        <f aca="false">INDEX(Serving!$C$23:$E$23,E$7)</f>
        <v>32768</v>
      </c>
      <c r="F43" s="76" t="n">
        <f aca="false">INDEX(Serving!$C$23:$E$23,F$7)</f>
        <v>8192</v>
      </c>
      <c r="G43" s="76" t="n">
        <f aca="false">INDEX(Serving!$C$23:$E$23,G$7)</f>
        <v>16384</v>
      </c>
      <c r="H43" s="76" t="n">
        <f aca="false">INDEX(Serving!$C$23:$E$23,H$7)</f>
        <v>32768</v>
      </c>
      <c r="I43" s="76" t="n">
        <f aca="false">INDEX(Serving!$C$23:$E$23,I$7)</f>
        <v>8192</v>
      </c>
      <c r="J43" s="76" t="n">
        <f aca="false">INDEX(Serving!$C$23:$E$23,J$7)</f>
        <v>16384</v>
      </c>
      <c r="K43" s="76" t="n">
        <f aca="false">INDEX(Serving!$C$23:$E$23,K$7)</f>
        <v>32768</v>
      </c>
      <c r="L43" s="76" t="n">
        <f aca="false">INDEX(Serving!$C$23:$E$23,L$7)</f>
        <v>8192</v>
      </c>
      <c r="M43" s="76" t="n">
        <f aca="false">INDEX(Serving!$C$23:$E$23,M$7)</f>
        <v>16384</v>
      </c>
      <c r="N43" s="76" t="n">
        <f aca="false">INDEX(Serving!$C$23:$E$23,N$7)</f>
        <v>32768</v>
      </c>
      <c r="O43" s="76" t="n">
        <f aca="false">INDEX(Serving!$C$23:$E$23,O$7)</f>
        <v>8192</v>
      </c>
      <c r="P43" s="76" t="n">
        <f aca="false">INDEX(Serving!$C$23:$E$23,P$7)</f>
        <v>16384</v>
      </c>
      <c r="Q43" s="76" t="n">
        <f aca="false">INDEX(Serving!$C$23:$E$23,Q$7)</f>
        <v>32768</v>
      </c>
    </row>
    <row r="44" customFormat="false" ht="15" hidden="false" customHeight="false" outlineLevel="0" collapsed="false">
      <c r="A44" s="44" t="s">
        <v>306</v>
      </c>
      <c r="B44" s="45" t="s">
        <v>236</v>
      </c>
      <c r="C44" s="76" t="n">
        <f aca="false">INDEX(Serving!$C$24:$E$24,C$7)</f>
        <v>1024</v>
      </c>
      <c r="D44" s="76" t="n">
        <f aca="false">INDEX(Serving!$C$24:$E$24,D$7)</f>
        <v>2048</v>
      </c>
      <c r="E44" s="76" t="n">
        <f aca="false">INDEX(Serving!$C$24:$E$24,E$7)</f>
        <v>4096</v>
      </c>
      <c r="F44" s="76" t="n">
        <f aca="false">INDEX(Serving!$C$24:$E$24,F$7)</f>
        <v>1024</v>
      </c>
      <c r="G44" s="76" t="n">
        <f aca="false">INDEX(Serving!$C$24:$E$24,G$7)</f>
        <v>2048</v>
      </c>
      <c r="H44" s="76" t="n">
        <f aca="false">INDEX(Serving!$C$24:$E$24,H$7)</f>
        <v>4096</v>
      </c>
      <c r="I44" s="76" t="n">
        <f aca="false">INDEX(Serving!$C$24:$E$24,I$7)</f>
        <v>1024</v>
      </c>
      <c r="J44" s="76" t="n">
        <f aca="false">INDEX(Serving!$C$24:$E$24,J$7)</f>
        <v>2048</v>
      </c>
      <c r="K44" s="76" t="n">
        <f aca="false">INDEX(Serving!$C$24:$E$24,K$7)</f>
        <v>4096</v>
      </c>
      <c r="L44" s="76" t="n">
        <f aca="false">INDEX(Serving!$C$24:$E$24,L$7)</f>
        <v>1024</v>
      </c>
      <c r="M44" s="76" t="n">
        <f aca="false">INDEX(Serving!$C$24:$E$24,M$7)</f>
        <v>2048</v>
      </c>
      <c r="N44" s="76" t="n">
        <f aca="false">INDEX(Serving!$C$24:$E$24,N$7)</f>
        <v>4096</v>
      </c>
      <c r="O44" s="76" t="n">
        <f aca="false">INDEX(Serving!$C$24:$E$24,O$7)</f>
        <v>1024</v>
      </c>
      <c r="P44" s="76" t="n">
        <f aca="false">INDEX(Serving!$C$24:$E$24,P$7)</f>
        <v>2048</v>
      </c>
      <c r="Q44" s="76" t="n">
        <f aca="false">INDEX(Serving!$C$24:$E$24,Q$7)</f>
        <v>4096</v>
      </c>
    </row>
    <row r="45" customFormat="false" ht="15" hidden="false" customHeight="false" outlineLevel="0" collapsed="false">
      <c r="A45" s="45" t="s">
        <v>307</v>
      </c>
      <c r="B45" s="45" t="s">
        <v>236</v>
      </c>
      <c r="C45" s="56" t="n">
        <f aca="false">C43+C44/2</f>
        <v>8704</v>
      </c>
      <c r="D45" s="56" t="n">
        <f aca="false">D43+D44/2</f>
        <v>17408</v>
      </c>
      <c r="E45" s="56" t="n">
        <f aca="false">E43+E44/2</f>
        <v>34816</v>
      </c>
      <c r="F45" s="56" t="n">
        <f aca="false">F43+F44/2</f>
        <v>8704</v>
      </c>
      <c r="G45" s="56" t="n">
        <f aca="false">G43+G44/2</f>
        <v>17408</v>
      </c>
      <c r="H45" s="56" t="n">
        <f aca="false">H43+H44/2</f>
        <v>34816</v>
      </c>
      <c r="I45" s="56" t="n">
        <f aca="false">I43+I44/2</f>
        <v>8704</v>
      </c>
      <c r="J45" s="56" t="n">
        <f aca="false">J43+J44/2</f>
        <v>17408</v>
      </c>
      <c r="K45" s="56" t="n">
        <f aca="false">K43+K44/2</f>
        <v>34816</v>
      </c>
      <c r="L45" s="56" t="n">
        <f aca="false">L43+L44/2</f>
        <v>8704</v>
      </c>
      <c r="M45" s="56" t="n">
        <f aca="false">M43+M44/2</f>
        <v>17408</v>
      </c>
      <c r="N45" s="56" t="n">
        <f aca="false">N43+N44/2</f>
        <v>34816</v>
      </c>
      <c r="O45" s="56" t="n">
        <f aca="false">O43+O44/2</f>
        <v>8704</v>
      </c>
      <c r="P45" s="56" t="n">
        <f aca="false">P43+P44/2</f>
        <v>17408</v>
      </c>
      <c r="Q45" s="56" t="n">
        <f aca="false">Q43+Q44/2</f>
        <v>34816</v>
      </c>
    </row>
    <row r="46" customFormat="false" ht="15" hidden="false" customHeight="false" outlineLevel="0" collapsed="false">
      <c r="A46" s="45" t="s">
        <v>308</v>
      </c>
      <c r="B46" s="45" t="s">
        <v>236</v>
      </c>
      <c r="C46" s="56" t="n">
        <f aca="false">C43/2</f>
        <v>4096</v>
      </c>
      <c r="D46" s="56" t="n">
        <f aca="false">D43/2</f>
        <v>8192</v>
      </c>
      <c r="E46" s="56" t="n">
        <f aca="false">E43/2</f>
        <v>16384</v>
      </c>
      <c r="F46" s="56" t="n">
        <f aca="false">F43/2</f>
        <v>4096</v>
      </c>
      <c r="G46" s="56" t="n">
        <f aca="false">G43/2</f>
        <v>8192</v>
      </c>
      <c r="H46" s="56" t="n">
        <f aca="false">H43/2</f>
        <v>16384</v>
      </c>
      <c r="I46" s="56" t="n">
        <f aca="false">I43/2</f>
        <v>4096</v>
      </c>
      <c r="J46" s="56" t="n">
        <f aca="false">J43/2</f>
        <v>8192</v>
      </c>
      <c r="K46" s="56" t="n">
        <f aca="false">K43/2</f>
        <v>16384</v>
      </c>
      <c r="L46" s="56" t="n">
        <f aca="false">L43/2</f>
        <v>4096</v>
      </c>
      <c r="M46" s="56" t="n">
        <f aca="false">M43/2</f>
        <v>8192</v>
      </c>
      <c r="N46" s="56" t="n">
        <f aca="false">N43/2</f>
        <v>16384</v>
      </c>
      <c r="O46" s="56" t="n">
        <f aca="false">O43/2</f>
        <v>4096</v>
      </c>
      <c r="P46" s="56" t="n">
        <f aca="false">P43/2</f>
        <v>8192</v>
      </c>
      <c r="Q46" s="56" t="n">
        <f aca="false">Q43/2</f>
        <v>16384</v>
      </c>
    </row>
    <row r="47" customFormat="false" ht="15" hidden="false" customHeight="false" outlineLevel="0" collapsed="false">
      <c r="A47" s="45" t="s">
        <v>659</v>
      </c>
      <c r="B47" s="45" t="s">
        <v>236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44" t="s">
        <v>660</v>
      </c>
      <c r="B48" s="45" t="s">
        <v>57</v>
      </c>
      <c r="C48" s="81" t="n">
        <f aca="false">Serving!$C$7</f>
        <v>0.7</v>
      </c>
      <c r="D48" s="81" t="n">
        <f aca="false">Serving!$C$7</f>
        <v>0.7</v>
      </c>
      <c r="E48" s="81" t="n">
        <f aca="false">Serving!$C$7</f>
        <v>0.7</v>
      </c>
      <c r="F48" s="81" t="n">
        <f aca="false">Serving!$C$7</f>
        <v>0.7</v>
      </c>
      <c r="G48" s="81" t="n">
        <f aca="false">Serving!$C$7</f>
        <v>0.7</v>
      </c>
      <c r="H48" s="81" t="n">
        <f aca="false">Serving!$C$7</f>
        <v>0.7</v>
      </c>
      <c r="I48" s="81" t="n">
        <f aca="false">Serving!$C$7</f>
        <v>0.7</v>
      </c>
      <c r="J48" s="81" t="n">
        <f aca="false">Serving!$C$7</f>
        <v>0.7</v>
      </c>
      <c r="K48" s="81" t="n">
        <f aca="false">Serving!$C$7</f>
        <v>0.7</v>
      </c>
      <c r="L48" s="81" t="n">
        <f aca="false">Serving!$C$7</f>
        <v>0.7</v>
      </c>
      <c r="M48" s="81" t="n">
        <f aca="false">Serving!$C$7</f>
        <v>0.7</v>
      </c>
      <c r="N48" s="81" t="n">
        <f aca="false">Serving!$C$7</f>
        <v>0.7</v>
      </c>
      <c r="O48" s="81" t="n">
        <f aca="false">Serving!$C$7</f>
        <v>0.7</v>
      </c>
      <c r="P48" s="81" t="n">
        <f aca="false">Serving!$C$7</f>
        <v>0.7</v>
      </c>
      <c r="Q48" s="81" t="n">
        <f aca="false">Serving!$C$7</f>
        <v>0.7</v>
      </c>
    </row>
    <row r="49" customFormat="false" ht="15" hidden="false" customHeight="false" outlineLevel="0" collapsed="false">
      <c r="A49" s="44" t="s">
        <v>661</v>
      </c>
      <c r="B49" s="45" t="s">
        <v>236</v>
      </c>
      <c r="C49" s="57" t="n">
        <f aca="false">(1-C48^(C47+1))/(1-C48)</f>
        <v>2.533</v>
      </c>
      <c r="D49" s="57" t="n">
        <f aca="false">(1-D48^(D47+1))/(1-D48)</f>
        <v>2.533</v>
      </c>
      <c r="E49" s="57" t="n">
        <f aca="false">(1-E48^(E47+1))/(1-E48)</f>
        <v>2.533</v>
      </c>
      <c r="F49" s="57" t="n">
        <f aca="false">(1-F48^(F47+1))/(1-F48)</f>
        <v>2.533</v>
      </c>
      <c r="G49" s="57" t="n">
        <f aca="false">(1-G48^(G47+1))/(1-G48)</f>
        <v>2.533</v>
      </c>
      <c r="H49" s="57" t="n">
        <f aca="false">(1-H48^(H47+1))/(1-H48)</f>
        <v>2.533</v>
      </c>
      <c r="I49" s="57" t="n">
        <f aca="false">(1-I48^(I47+1))/(1-I48)</f>
        <v>2.533</v>
      </c>
      <c r="J49" s="57" t="n">
        <f aca="false">(1-J48^(J47+1))/(1-J48)</f>
        <v>2.533</v>
      </c>
      <c r="K49" s="57" t="n">
        <f aca="false">(1-K48^(K47+1))/(1-K48)</f>
        <v>2.533</v>
      </c>
      <c r="L49" s="57" t="n">
        <f aca="false">(1-L48^(L47+1))/(1-L48)</f>
        <v>2.533</v>
      </c>
      <c r="M49" s="57" t="n">
        <f aca="false">(1-M48^(M47+1))/(1-M48)</f>
        <v>2.533</v>
      </c>
      <c r="N49" s="57" t="n">
        <f aca="false">(1-N48^(N47+1))/(1-N48)</f>
        <v>2.533</v>
      </c>
      <c r="O49" s="57" t="n">
        <f aca="false">(1-O48^(O47+1))/(1-O48)</f>
        <v>2.533</v>
      </c>
      <c r="P49" s="57" t="n">
        <f aca="false">(1-P48^(P47+1))/(1-P48)</f>
        <v>2.533</v>
      </c>
      <c r="Q49" s="57" t="n">
        <f aca="false">(1-Q48^(Q47+1))/(1-Q48)</f>
        <v>2.533</v>
      </c>
    </row>
    <row r="50" customFormat="false" ht="15" hidden="false" customHeight="false" outlineLevel="0" collapsed="false">
      <c r="A50" s="44" t="s">
        <v>295</v>
      </c>
      <c r="B50" s="45" t="s">
        <v>61</v>
      </c>
      <c r="C50" s="79" t="n">
        <f aca="false">Serving!$C$18</f>
        <v>1</v>
      </c>
      <c r="D50" s="79" t="n">
        <f aca="false">Serving!$C$18</f>
        <v>1</v>
      </c>
      <c r="E50" s="79" t="n">
        <f aca="false">Serving!$C$18</f>
        <v>1</v>
      </c>
      <c r="F50" s="79" t="n">
        <f aca="false">Serving!$C$18</f>
        <v>1</v>
      </c>
      <c r="G50" s="79" t="n">
        <f aca="false">Serving!$C$18</f>
        <v>1</v>
      </c>
      <c r="H50" s="79" t="n">
        <f aca="false">Serving!$C$18</f>
        <v>1</v>
      </c>
      <c r="I50" s="79" t="n">
        <f aca="false">Serving!$C$18</f>
        <v>1</v>
      </c>
      <c r="J50" s="79" t="n">
        <f aca="false">Serving!$C$18</f>
        <v>1</v>
      </c>
      <c r="K50" s="79" t="n">
        <f aca="false">Serving!$C$18</f>
        <v>1</v>
      </c>
      <c r="L50" s="79" t="n">
        <f aca="false">Serving!$C$18</f>
        <v>1</v>
      </c>
      <c r="M50" s="79" t="n">
        <f aca="false">Serving!$C$18</f>
        <v>1</v>
      </c>
      <c r="N50" s="79" t="n">
        <f aca="false">Serving!$C$18</f>
        <v>1</v>
      </c>
      <c r="O50" s="79" t="n">
        <f aca="false">Serving!$C$18</f>
        <v>1</v>
      </c>
      <c r="P50" s="79" t="n">
        <f aca="false">Serving!$C$18</f>
        <v>1</v>
      </c>
      <c r="Q50" s="79" t="n">
        <f aca="false">Serving!$C$18</f>
        <v>1</v>
      </c>
    </row>
    <row r="51" customFormat="false" ht="15" hidden="false" customHeight="false" outlineLevel="0" collapsed="false">
      <c r="A51" s="45" t="s">
        <v>662</v>
      </c>
      <c r="B51" s="45" t="s">
        <v>57</v>
      </c>
      <c r="C51" s="94" t="n">
        <f aca="false">INDEX(Calib!$C$72:$G$72,C$6)*C50</f>
        <v>0.15</v>
      </c>
      <c r="D51" s="94" t="n">
        <f aca="false">INDEX(Calib!$C$72:$G$72,D$6)*D50</f>
        <v>0.15</v>
      </c>
      <c r="E51" s="94" t="n">
        <f aca="false">INDEX(Calib!$C$72:$G$72,E$6)*E50</f>
        <v>0.15</v>
      </c>
      <c r="F51" s="94" t="n">
        <f aca="false">INDEX(Calib!$C$72:$G$72,F$6)*F50</f>
        <v>0.3</v>
      </c>
      <c r="G51" s="94" t="n">
        <f aca="false">INDEX(Calib!$C$72:$G$72,G$6)*G50</f>
        <v>0.3</v>
      </c>
      <c r="H51" s="94" t="n">
        <f aca="false">INDEX(Calib!$C$72:$G$72,H$6)*H50</f>
        <v>0.3</v>
      </c>
      <c r="I51" s="94" t="n">
        <f aca="false">INDEX(Calib!$C$72:$G$72,I$6)*I50</f>
        <v>0.3</v>
      </c>
      <c r="J51" s="94" t="n">
        <f aca="false">INDEX(Calib!$C$72:$G$72,J$6)*J50</f>
        <v>0.3</v>
      </c>
      <c r="K51" s="94" t="n">
        <f aca="false">INDEX(Calib!$C$72:$G$72,K$6)*K50</f>
        <v>0.3</v>
      </c>
      <c r="L51" s="94" t="n">
        <f aca="false">INDEX(Calib!$C$72:$G$72,L$6)*L50</f>
        <v>0.3</v>
      </c>
      <c r="M51" s="94" t="n">
        <f aca="false">INDEX(Calib!$C$72:$G$72,M$6)*M50</f>
        <v>0.3</v>
      </c>
      <c r="N51" s="94" t="n">
        <f aca="false">INDEX(Calib!$C$72:$G$72,N$6)*N50</f>
        <v>0.3</v>
      </c>
      <c r="O51" s="94" t="n">
        <f aca="false">INDEX(Calib!$C$72:$G$72,O$6)*O50</f>
        <v>0.3</v>
      </c>
      <c r="P51" s="94" t="n">
        <f aca="false">INDEX(Calib!$C$72:$G$72,P$6)*P50</f>
        <v>0.3</v>
      </c>
      <c r="Q51" s="94" t="n">
        <f aca="false">INDEX(Calib!$C$72:$G$72,Q$6)*Q50</f>
        <v>0.3</v>
      </c>
    </row>
    <row r="52" customFormat="false" ht="15" hidden="false" customHeight="false" outlineLevel="0" collapsed="false">
      <c r="A52" s="45" t="s">
        <v>663</v>
      </c>
      <c r="B52" s="45" t="s">
        <v>61</v>
      </c>
      <c r="C52" s="79" t="n">
        <f aca="false">Tech_Registry!$E$20</f>
        <v>1</v>
      </c>
      <c r="D52" s="79" t="n">
        <f aca="false">Tech_Registry!$E$20</f>
        <v>1</v>
      </c>
      <c r="E52" s="79" t="n">
        <f aca="false">Tech_Registry!$E$20</f>
        <v>1</v>
      </c>
      <c r="F52" s="79" t="n">
        <f aca="false">Tech_Registry!$E$20</f>
        <v>1</v>
      </c>
      <c r="G52" s="79" t="n">
        <f aca="false">Tech_Registry!$E$20</f>
        <v>1</v>
      </c>
      <c r="H52" s="79" t="n">
        <f aca="false">Tech_Registry!$E$20</f>
        <v>1</v>
      </c>
      <c r="I52" s="79" t="n">
        <f aca="false">Tech_Registry!$E$20</f>
        <v>1</v>
      </c>
      <c r="J52" s="79" t="n">
        <f aca="false">Tech_Registry!$E$20</f>
        <v>1</v>
      </c>
      <c r="K52" s="79" t="n">
        <f aca="false">Tech_Registry!$E$20</f>
        <v>1</v>
      </c>
      <c r="L52" s="79" t="n">
        <f aca="false">Tech_Registry!$E$20</f>
        <v>1</v>
      </c>
      <c r="M52" s="79" t="n">
        <f aca="false">Tech_Registry!$E$20</f>
        <v>1</v>
      </c>
      <c r="N52" s="79" t="n">
        <f aca="false">Tech_Registry!$E$20</f>
        <v>1</v>
      </c>
      <c r="O52" s="79" t="n">
        <f aca="false">Tech_Registry!$E$20</f>
        <v>1</v>
      </c>
      <c r="P52" s="79" t="n">
        <f aca="false">Tech_Registry!$E$20</f>
        <v>1</v>
      </c>
      <c r="Q52" s="79" t="n">
        <f aca="false">Tech_Registry!$E$20</f>
        <v>1</v>
      </c>
    </row>
    <row r="53" customFormat="false" ht="15" hidden="false" customHeight="false" outlineLevel="0" collapsed="false">
      <c r="A53" s="45" t="s">
        <v>664</v>
      </c>
      <c r="B53" s="45" t="s">
        <v>57</v>
      </c>
      <c r="C53" s="95" t="n">
        <f aca="false">INDEX(Calib!$C$70:$G$70,C$6)*C52*C50</f>
        <v>0.05406356924201</v>
      </c>
      <c r="D53" s="95" t="n">
        <f aca="false">INDEX(Calib!$C$70:$G$70,D$6)*D52*D50</f>
        <v>0.05406356924201</v>
      </c>
      <c r="E53" s="95" t="n">
        <f aca="false">INDEX(Calib!$C$70:$G$70,E$6)*E52*E50</f>
        <v>0.05406356924201</v>
      </c>
      <c r="F53" s="95" t="n">
        <f aca="false">INDEX(Calib!$C$70:$G$70,F$6)*F52*F50</f>
        <v>0.0360423794946733</v>
      </c>
      <c r="G53" s="95" t="n">
        <f aca="false">INDEX(Calib!$C$70:$G$70,G$6)*G52*G50</f>
        <v>0.0360423794946733</v>
      </c>
      <c r="H53" s="95" t="n">
        <f aca="false">INDEX(Calib!$C$70:$G$70,H$6)*H52*H50</f>
        <v>0.0360423794946733</v>
      </c>
      <c r="I53" s="95" t="n">
        <f aca="false">INDEX(Calib!$C$70:$G$70,I$6)*I52*I50</f>
        <v>0.0360423794946733</v>
      </c>
      <c r="J53" s="95" t="n">
        <f aca="false">INDEX(Calib!$C$70:$G$70,J$6)*J52*J50</f>
        <v>0.0360423794946733</v>
      </c>
      <c r="K53" s="95" t="n">
        <f aca="false">INDEX(Calib!$C$70:$G$70,K$6)*K52*K50</f>
        <v>0.0360423794946733</v>
      </c>
      <c r="L53" s="95" t="n">
        <f aca="false">INDEX(Calib!$C$70:$G$70,L$6)*L52*L50</f>
        <v>0.0360423794946733</v>
      </c>
      <c r="M53" s="95" t="n">
        <f aca="false">INDEX(Calib!$C$70:$G$70,M$6)*M52*M50</f>
        <v>0.0360423794946733</v>
      </c>
      <c r="N53" s="95" t="n">
        <f aca="false">INDEX(Calib!$C$70:$G$70,N$6)*N52*N50</f>
        <v>0.0360423794946733</v>
      </c>
      <c r="O53" s="95" t="n">
        <f aca="false">INDEX(Calib!$C$70:$G$70,O$6)*O52*O50</f>
        <v>0.0360423794946733</v>
      </c>
      <c r="P53" s="95" t="n">
        <f aca="false">INDEX(Calib!$C$70:$G$70,P$6)*P52*P50</f>
        <v>0.0360423794946733</v>
      </c>
      <c r="Q53" s="95" t="n">
        <f aca="false">INDEX(Calib!$C$70:$G$70,Q$6)*Q52*Q50</f>
        <v>0.0360423794946733</v>
      </c>
    </row>
    <row r="54" customFormat="false" ht="15" hidden="false" customHeight="false" outlineLevel="0" collapsed="false">
      <c r="A54" s="44" t="s">
        <v>665</v>
      </c>
      <c r="B54" s="45" t="s">
        <v>61</v>
      </c>
      <c r="C54" s="79" t="n">
        <f aca="false">Tech_Registry!$E$21</f>
        <v>1</v>
      </c>
      <c r="D54" s="79" t="n">
        <f aca="false">Tech_Registry!$E$21</f>
        <v>1</v>
      </c>
      <c r="E54" s="79" t="n">
        <f aca="false">Tech_Registry!$E$21</f>
        <v>1</v>
      </c>
      <c r="F54" s="79" t="n">
        <f aca="false">Tech_Registry!$E$21</f>
        <v>1</v>
      </c>
      <c r="G54" s="79" t="n">
        <f aca="false">Tech_Registry!$E$21</f>
        <v>1</v>
      </c>
      <c r="H54" s="79" t="n">
        <f aca="false">Tech_Registry!$E$21</f>
        <v>1</v>
      </c>
      <c r="I54" s="79" t="n">
        <f aca="false">Tech_Registry!$E$21</f>
        <v>1</v>
      </c>
      <c r="J54" s="79" t="n">
        <f aca="false">Tech_Registry!$E$21</f>
        <v>1</v>
      </c>
      <c r="K54" s="79" t="n">
        <f aca="false">Tech_Registry!$E$21</f>
        <v>1</v>
      </c>
      <c r="L54" s="79" t="n">
        <f aca="false">Tech_Registry!$E$21</f>
        <v>1</v>
      </c>
      <c r="M54" s="79" t="n">
        <f aca="false">Tech_Registry!$E$21</f>
        <v>1</v>
      </c>
      <c r="N54" s="79" t="n">
        <f aca="false">Tech_Registry!$E$21</f>
        <v>1</v>
      </c>
      <c r="O54" s="79" t="n">
        <f aca="false">Tech_Registry!$E$21</f>
        <v>1</v>
      </c>
      <c r="P54" s="79" t="n">
        <f aca="false">Tech_Registry!$E$21</f>
        <v>1</v>
      </c>
      <c r="Q54" s="79" t="n">
        <f aca="false">Tech_Registry!$E$21</f>
        <v>1</v>
      </c>
    </row>
    <row r="55" customFormat="false" ht="15" hidden="false" customHeight="false" outlineLevel="0" collapsed="false">
      <c r="A55" s="44" t="s">
        <v>666</v>
      </c>
      <c r="B55" s="45" t="s">
        <v>430</v>
      </c>
      <c r="C55" s="76" t="n">
        <f aca="false">INDEX(Calib!$C$71:$G$71,C$6)*C54/C50</f>
        <v>240.417841369295</v>
      </c>
      <c r="D55" s="76" t="n">
        <f aca="false">INDEX(Calib!$C$71:$G$71,D$6)*D54/D50</f>
        <v>240.417841369295</v>
      </c>
      <c r="E55" s="76" t="n">
        <f aca="false">INDEX(Calib!$C$71:$G$71,E$6)*E54/E50</f>
        <v>240.417841369295</v>
      </c>
      <c r="F55" s="76" t="n">
        <f aca="false">INDEX(Calib!$C$71:$G$71,F$6)*F54/F50</f>
        <v>160.278560912864</v>
      </c>
      <c r="G55" s="76" t="n">
        <f aca="false">INDEX(Calib!$C$71:$G$71,G$6)*G54/G50</f>
        <v>160.278560912864</v>
      </c>
      <c r="H55" s="76" t="n">
        <f aca="false">INDEX(Calib!$C$71:$G$71,H$6)*H54/H50</f>
        <v>160.278560912864</v>
      </c>
      <c r="I55" s="76" t="n">
        <f aca="false">INDEX(Calib!$C$71:$G$71,I$6)*I54/I50</f>
        <v>160.278560912864</v>
      </c>
      <c r="J55" s="76" t="n">
        <f aca="false">INDEX(Calib!$C$71:$G$71,J$6)*J54/J50</f>
        <v>160.278560912864</v>
      </c>
      <c r="K55" s="76" t="n">
        <f aca="false">INDEX(Calib!$C$71:$G$71,K$6)*K54/K50</f>
        <v>160.278560912864</v>
      </c>
      <c r="L55" s="76" t="n">
        <f aca="false">INDEX(Calib!$C$71:$G$71,L$6)*L54/L50</f>
        <v>160.278560912864</v>
      </c>
      <c r="M55" s="76" t="n">
        <f aca="false">INDEX(Calib!$C$71:$G$71,M$6)*M54/M50</f>
        <v>160.278560912864</v>
      </c>
      <c r="N55" s="76" t="n">
        <f aca="false">INDEX(Calib!$C$71:$G$71,N$6)*N54/N50</f>
        <v>160.278560912864</v>
      </c>
      <c r="O55" s="76" t="n">
        <f aca="false">INDEX(Calib!$C$71:$G$71,O$6)*O54/O50</f>
        <v>160.278560912864</v>
      </c>
      <c r="P55" s="76" t="n">
        <f aca="false">INDEX(Calib!$C$71:$G$71,P$6)*P54/P50</f>
        <v>160.278560912864</v>
      </c>
      <c r="Q55" s="76" t="n">
        <f aca="false">INDEX(Calib!$C$71:$G$71,Q$6)*Q54/Q50</f>
        <v>160.278560912864</v>
      </c>
    </row>
    <row r="56" customFormat="false" ht="15" hidden="false" customHeight="false" outlineLevel="0" collapsed="false">
      <c r="A56" s="45" t="s">
        <v>667</v>
      </c>
      <c r="B56" s="45" t="s">
        <v>57</v>
      </c>
      <c r="C56" s="81" t="n">
        <f aca="false">Serving!$C$9</f>
        <v>0.1</v>
      </c>
      <c r="D56" s="81" t="n">
        <f aca="false">Serving!$C$9</f>
        <v>0.1</v>
      </c>
      <c r="E56" s="81" t="n">
        <f aca="false">Serving!$C$9</f>
        <v>0.1</v>
      </c>
      <c r="F56" s="81" t="n">
        <f aca="false">Serving!$C$9</f>
        <v>0.1</v>
      </c>
      <c r="G56" s="81" t="n">
        <f aca="false">Serving!$C$9</f>
        <v>0.1</v>
      </c>
      <c r="H56" s="81" t="n">
        <f aca="false">Serving!$C$9</f>
        <v>0.1</v>
      </c>
      <c r="I56" s="81" t="n">
        <f aca="false">Serving!$C$9</f>
        <v>0.1</v>
      </c>
      <c r="J56" s="81" t="n">
        <f aca="false">Serving!$C$9</f>
        <v>0.1</v>
      </c>
      <c r="K56" s="81" t="n">
        <f aca="false">Serving!$C$9</f>
        <v>0.1</v>
      </c>
      <c r="L56" s="81" t="n">
        <f aca="false">Serving!$C$9</f>
        <v>0.1</v>
      </c>
      <c r="M56" s="81" t="n">
        <f aca="false">Serving!$C$9</f>
        <v>0.1</v>
      </c>
      <c r="N56" s="81" t="n">
        <f aca="false">Serving!$C$9</f>
        <v>0.1</v>
      </c>
      <c r="O56" s="81" t="n">
        <f aca="false">Serving!$C$9</f>
        <v>0.1</v>
      </c>
      <c r="P56" s="81" t="n">
        <f aca="false">Serving!$C$9</f>
        <v>0.1</v>
      </c>
      <c r="Q56" s="81" t="n">
        <f aca="false">Serving!$C$9</f>
        <v>0.1</v>
      </c>
    </row>
    <row r="57" customFormat="false" ht="15" hidden="false" customHeight="false" outlineLevel="0" collapsed="false">
      <c r="A57" s="44" t="s">
        <v>668</v>
      </c>
      <c r="B57" s="45" t="s">
        <v>57</v>
      </c>
      <c r="C57" s="81" t="n">
        <f aca="false">Serving!$C$10</f>
        <v>0.2</v>
      </c>
      <c r="D57" s="81" t="n">
        <f aca="false">Serving!$C$10</f>
        <v>0.2</v>
      </c>
      <c r="E57" s="81" t="n">
        <f aca="false">Serving!$C$10</f>
        <v>0.2</v>
      </c>
      <c r="F57" s="81" t="n">
        <f aca="false">Serving!$C$10</f>
        <v>0.2</v>
      </c>
      <c r="G57" s="81" t="n">
        <f aca="false">Serving!$C$10</f>
        <v>0.2</v>
      </c>
      <c r="H57" s="81" t="n">
        <f aca="false">Serving!$C$10</f>
        <v>0.2</v>
      </c>
      <c r="I57" s="81" t="n">
        <f aca="false">Serving!$C$10</f>
        <v>0.2</v>
      </c>
      <c r="J57" s="81" t="n">
        <f aca="false">Serving!$C$10</f>
        <v>0.2</v>
      </c>
      <c r="K57" s="81" t="n">
        <f aca="false">Serving!$C$10</f>
        <v>0.2</v>
      </c>
      <c r="L57" s="81" t="n">
        <f aca="false">Serving!$C$10</f>
        <v>0.2</v>
      </c>
      <c r="M57" s="81" t="n">
        <f aca="false">Serving!$C$10</f>
        <v>0.2</v>
      </c>
      <c r="N57" s="81" t="n">
        <f aca="false">Serving!$C$10</f>
        <v>0.2</v>
      </c>
      <c r="O57" s="81" t="n">
        <f aca="false">Serving!$C$10</f>
        <v>0.2</v>
      </c>
      <c r="P57" s="81" t="n">
        <f aca="false">Serving!$C$10</f>
        <v>0.2</v>
      </c>
      <c r="Q57" s="81" t="n">
        <f aca="false">Serving!$C$10</f>
        <v>0.2</v>
      </c>
    </row>
    <row r="58" customFormat="false" ht="15" hidden="false" customHeight="false" outlineLevel="0" collapsed="false">
      <c r="A58" s="44" t="s">
        <v>669</v>
      </c>
      <c r="B58" s="45" t="s">
        <v>57</v>
      </c>
      <c r="C58" s="81" t="n">
        <f aca="false">Serving!$C$11</f>
        <v>0.4</v>
      </c>
      <c r="D58" s="81" t="n">
        <f aca="false">Serving!$C$11</f>
        <v>0.4</v>
      </c>
      <c r="E58" s="81" t="n">
        <f aca="false">Serving!$C$11</f>
        <v>0.4</v>
      </c>
      <c r="F58" s="81" t="n">
        <f aca="false">Serving!$C$11</f>
        <v>0.4</v>
      </c>
      <c r="G58" s="81" t="n">
        <f aca="false">Serving!$C$11</f>
        <v>0.4</v>
      </c>
      <c r="H58" s="81" t="n">
        <f aca="false">Serving!$C$11</f>
        <v>0.4</v>
      </c>
      <c r="I58" s="81" t="n">
        <f aca="false">Serving!$C$11</f>
        <v>0.4</v>
      </c>
      <c r="J58" s="81" t="n">
        <f aca="false">Serving!$C$11</f>
        <v>0.4</v>
      </c>
      <c r="K58" s="81" t="n">
        <f aca="false">Serving!$C$11</f>
        <v>0.4</v>
      </c>
      <c r="L58" s="81" t="n">
        <f aca="false">Serving!$C$11</f>
        <v>0.4</v>
      </c>
      <c r="M58" s="81" t="n">
        <f aca="false">Serving!$C$11</f>
        <v>0.4</v>
      </c>
      <c r="N58" s="81" t="n">
        <f aca="false">Serving!$C$11</f>
        <v>0.4</v>
      </c>
      <c r="O58" s="81" t="n">
        <f aca="false">Serving!$C$11</f>
        <v>0.4</v>
      </c>
      <c r="P58" s="81" t="n">
        <f aca="false">Serving!$C$11</f>
        <v>0.4</v>
      </c>
      <c r="Q58" s="81" t="n">
        <f aca="false">Serving!$C$11</f>
        <v>0.4</v>
      </c>
    </row>
    <row r="59" customFormat="false" ht="15" hidden="false" customHeight="false" outlineLevel="0" collapsed="false">
      <c r="A59" s="45" t="s">
        <v>670</v>
      </c>
      <c r="B59" s="45" t="s">
        <v>213</v>
      </c>
      <c r="C59" s="93" t="n">
        <f aca="false">Serving!$C$12</f>
        <v>3</v>
      </c>
      <c r="D59" s="93" t="n">
        <f aca="false">Serving!$C$12</f>
        <v>3</v>
      </c>
      <c r="E59" s="93" t="n">
        <f aca="false">Serving!$C$12</f>
        <v>3</v>
      </c>
      <c r="F59" s="93" t="n">
        <f aca="false">Serving!$C$12</f>
        <v>3</v>
      </c>
      <c r="G59" s="93" t="n">
        <f aca="false">Serving!$C$12</f>
        <v>3</v>
      </c>
      <c r="H59" s="93" t="n">
        <f aca="false">Serving!$C$12</f>
        <v>3</v>
      </c>
      <c r="I59" s="93" t="n">
        <f aca="false">Serving!$C$12</f>
        <v>3</v>
      </c>
      <c r="J59" s="93" t="n">
        <f aca="false">Serving!$C$12</f>
        <v>3</v>
      </c>
      <c r="K59" s="93" t="n">
        <f aca="false">Serving!$C$12</f>
        <v>3</v>
      </c>
      <c r="L59" s="93" t="n">
        <f aca="false">Serving!$C$12</f>
        <v>3</v>
      </c>
      <c r="M59" s="93" t="n">
        <f aca="false">Serving!$C$12</f>
        <v>3</v>
      </c>
      <c r="N59" s="93" t="n">
        <f aca="false">Serving!$C$12</f>
        <v>3</v>
      </c>
      <c r="O59" s="93" t="n">
        <f aca="false">Serving!$C$12</f>
        <v>3</v>
      </c>
      <c r="P59" s="93" t="n">
        <f aca="false">Serving!$C$12</f>
        <v>3</v>
      </c>
      <c r="Q59" s="93" t="n">
        <f aca="false">Serving!$C$12</f>
        <v>3</v>
      </c>
    </row>
    <row r="60" customFormat="false" ht="15" hidden="false" customHeight="false" outlineLevel="0" collapsed="false">
      <c r="A60" s="45" t="s">
        <v>671</v>
      </c>
      <c r="B60" s="45" t="s">
        <v>57</v>
      </c>
      <c r="C60" s="81" t="n">
        <f aca="false">Serving!$C$13</f>
        <v>0.7</v>
      </c>
      <c r="D60" s="81" t="n">
        <f aca="false">Serving!$C$13</f>
        <v>0.7</v>
      </c>
      <c r="E60" s="81" t="n">
        <f aca="false">Serving!$C$13</f>
        <v>0.7</v>
      </c>
      <c r="F60" s="81" t="n">
        <f aca="false">Serving!$C$13</f>
        <v>0.7</v>
      </c>
      <c r="G60" s="81" t="n">
        <f aca="false">Serving!$C$13</f>
        <v>0.7</v>
      </c>
      <c r="H60" s="81" t="n">
        <f aca="false">Serving!$C$13</f>
        <v>0.7</v>
      </c>
      <c r="I60" s="81" t="n">
        <f aca="false">Serving!$C$13</f>
        <v>0.7</v>
      </c>
      <c r="J60" s="81" t="n">
        <f aca="false">Serving!$C$13</f>
        <v>0.7</v>
      </c>
      <c r="K60" s="81" t="n">
        <f aca="false">Serving!$C$13</f>
        <v>0.7</v>
      </c>
      <c r="L60" s="81" t="n">
        <f aca="false">Serving!$C$13</f>
        <v>0.7</v>
      </c>
      <c r="M60" s="81" t="n">
        <f aca="false">Serving!$C$13</f>
        <v>0.7</v>
      </c>
      <c r="N60" s="81" t="n">
        <f aca="false">Serving!$C$13</f>
        <v>0.7</v>
      </c>
      <c r="O60" s="81" t="n">
        <f aca="false">Serving!$C$13</f>
        <v>0.7</v>
      </c>
      <c r="P60" s="81" t="n">
        <f aca="false">Serving!$C$13</f>
        <v>0.7</v>
      </c>
      <c r="Q60" s="81" t="n">
        <f aca="false">Serving!$C$13</f>
        <v>0.7</v>
      </c>
    </row>
    <row r="61" customFormat="false" ht="15" hidden="false" customHeight="false" outlineLevel="0" collapsed="false">
      <c r="A61" s="45" t="s">
        <v>672</v>
      </c>
      <c r="B61" s="45" t="s">
        <v>57</v>
      </c>
      <c r="C61" s="81" t="n">
        <f aca="false">Serving!$C$14</f>
        <v>0.7</v>
      </c>
      <c r="D61" s="81" t="n">
        <f aca="false">Serving!$C$14</f>
        <v>0.7</v>
      </c>
      <c r="E61" s="81" t="n">
        <f aca="false">Serving!$C$14</f>
        <v>0.7</v>
      </c>
      <c r="F61" s="81" t="n">
        <f aca="false">Serving!$C$14</f>
        <v>0.7</v>
      </c>
      <c r="G61" s="81" t="n">
        <f aca="false">Serving!$C$14</f>
        <v>0.7</v>
      </c>
      <c r="H61" s="81" t="n">
        <f aca="false">Serving!$C$14</f>
        <v>0.7</v>
      </c>
      <c r="I61" s="81" t="n">
        <f aca="false">Serving!$C$14</f>
        <v>0.7</v>
      </c>
      <c r="J61" s="81" t="n">
        <f aca="false">Serving!$C$14</f>
        <v>0.7</v>
      </c>
      <c r="K61" s="81" t="n">
        <f aca="false">Serving!$C$14</f>
        <v>0.7</v>
      </c>
      <c r="L61" s="81" t="n">
        <f aca="false">Serving!$C$14</f>
        <v>0.7</v>
      </c>
      <c r="M61" s="81" t="n">
        <f aca="false">Serving!$C$14</f>
        <v>0.7</v>
      </c>
      <c r="N61" s="81" t="n">
        <f aca="false">Serving!$C$14</f>
        <v>0.7</v>
      </c>
      <c r="O61" s="81" t="n">
        <f aca="false">Serving!$C$14</f>
        <v>0.7</v>
      </c>
      <c r="P61" s="81" t="n">
        <f aca="false">Serving!$C$14</f>
        <v>0.7</v>
      </c>
      <c r="Q61" s="81" t="n">
        <f aca="false">Serving!$C$14</f>
        <v>0.7</v>
      </c>
    </row>
    <row r="62" customFormat="false" ht="15" hidden="false" customHeight="false" outlineLevel="0" collapsed="false">
      <c r="A62" s="44" t="s">
        <v>673</v>
      </c>
      <c r="B62" s="45" t="s">
        <v>395</v>
      </c>
      <c r="C62" s="79" t="n">
        <f aca="false">Serving!$C$15</f>
        <v>0.1</v>
      </c>
      <c r="D62" s="79" t="n">
        <f aca="false">Serving!$C$15</f>
        <v>0.1</v>
      </c>
      <c r="E62" s="79" t="n">
        <f aca="false">Serving!$C$15</f>
        <v>0.1</v>
      </c>
      <c r="F62" s="79" t="n">
        <f aca="false">Serving!$C$15</f>
        <v>0.1</v>
      </c>
      <c r="G62" s="79" t="n">
        <f aca="false">Serving!$C$15</f>
        <v>0.1</v>
      </c>
      <c r="H62" s="79" t="n">
        <f aca="false">Serving!$C$15</f>
        <v>0.1</v>
      </c>
      <c r="I62" s="79" t="n">
        <f aca="false">Serving!$C$15</f>
        <v>0.1</v>
      </c>
      <c r="J62" s="79" t="n">
        <f aca="false">Serving!$C$15</f>
        <v>0.1</v>
      </c>
      <c r="K62" s="79" t="n">
        <f aca="false">Serving!$C$15</f>
        <v>0.1</v>
      </c>
      <c r="L62" s="79" t="n">
        <f aca="false">Serving!$C$15</f>
        <v>0.1</v>
      </c>
      <c r="M62" s="79" t="n">
        <f aca="false">Serving!$C$15</f>
        <v>0.1</v>
      </c>
      <c r="N62" s="79" t="n">
        <f aca="false">Serving!$C$15</f>
        <v>0.1</v>
      </c>
      <c r="O62" s="79" t="n">
        <f aca="false">Serving!$C$15</f>
        <v>0.1</v>
      </c>
      <c r="P62" s="79" t="n">
        <f aca="false">Serving!$C$15</f>
        <v>0.1</v>
      </c>
      <c r="Q62" s="79" t="n">
        <f aca="false">Serving!$C$15</f>
        <v>0.1</v>
      </c>
    </row>
    <row r="63" customFormat="false" ht="15" hidden="false" customHeight="false" outlineLevel="0" collapsed="false">
      <c r="A63" s="72" t="s">
        <v>674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customFormat="false" ht="15" hidden="false" customHeight="false" outlineLevel="0" collapsed="false">
      <c r="A64" s="45" t="s">
        <v>675</v>
      </c>
      <c r="B64" s="45" t="s">
        <v>236</v>
      </c>
      <c r="C64" s="56" t="n">
        <f aca="false">C36*IF(C37=0,C45,MIN(C45,C37))+(1-C36)*(C45/C38+C39)</f>
        <v>2210</v>
      </c>
      <c r="D64" s="56" t="n">
        <f aca="false">D36*IF(D37=0,D45,MIN(D45,D37))+(1-D36)*(D45/D38+D39)</f>
        <v>2244</v>
      </c>
      <c r="E64" s="56" t="n">
        <f aca="false">E36*IF(E37=0,E45,MIN(E45,E37))+(1-E36)*(E45/E38+E39)</f>
        <v>34816</v>
      </c>
      <c r="F64" s="56" t="n">
        <f aca="false">F36*IF(F37=0,F45,MIN(F45,F37))+(1-F36)*(F45/F38+F39)</f>
        <v>2210</v>
      </c>
      <c r="G64" s="56" t="n">
        <f aca="false">G36*IF(G37=0,G45,MIN(G45,G37))+(1-G36)*(G45/G38+G39)</f>
        <v>2244</v>
      </c>
      <c r="H64" s="56" t="n">
        <f aca="false">H36*IF(H37=0,H45,MIN(H45,H37))+(1-H36)*(H45/H38+H39)</f>
        <v>34816</v>
      </c>
      <c r="I64" s="56" t="n">
        <f aca="false">I36*IF(I37=0,I45,MIN(I45,I37))+(1-I36)*(I45/I38+I39)</f>
        <v>2210</v>
      </c>
      <c r="J64" s="56" t="n">
        <f aca="false">J36*IF(J37=0,J45,MIN(J45,J37))+(1-J36)*(J45/J38+J39)</f>
        <v>2244</v>
      </c>
      <c r="K64" s="56" t="n">
        <f aca="false">K36*IF(K37=0,K45,MIN(K45,K37))+(1-K36)*(K45/K38+K39)</f>
        <v>34816</v>
      </c>
      <c r="L64" s="56" t="n">
        <f aca="false">L36*IF(L37=0,L45,MIN(L45,L37))+(1-L36)*(L45/L38+L39)</f>
        <v>2210</v>
      </c>
      <c r="M64" s="56" t="n">
        <f aca="false">M36*IF(M37=0,M45,MIN(M45,M37))+(1-M36)*(M45/M38+M39)</f>
        <v>2244</v>
      </c>
      <c r="N64" s="56" t="n">
        <f aca="false">N36*IF(N37=0,N45,MIN(N45,N37))+(1-N36)*(N45/N38+N39)</f>
        <v>34816</v>
      </c>
      <c r="O64" s="56" t="n">
        <f aca="false">O36*IF(O37=0,O45,MIN(O45,O37))+(1-O36)*(O45/O38+O39)</f>
        <v>2210</v>
      </c>
      <c r="P64" s="56" t="n">
        <f aca="false">P36*IF(P37=0,P45,MIN(P45,P37))+(1-P36)*(P45/P38+P39)</f>
        <v>2244</v>
      </c>
      <c r="Q64" s="56" t="n">
        <f aca="false">Q36*IF(Q37=0,Q45,MIN(Q45,Q37))+(1-Q36)*(Q45/Q38+Q39)</f>
        <v>34816</v>
      </c>
    </row>
    <row r="65" customFormat="false" ht="15" hidden="false" customHeight="false" outlineLevel="0" collapsed="false">
      <c r="A65" s="45" t="s">
        <v>408</v>
      </c>
      <c r="B65" s="45" t="s">
        <v>409</v>
      </c>
      <c r="C65" s="55" t="n">
        <f aca="false">(2*C28*1000000000+C35*C64)*C10/1000000000</f>
        <v>38.45577216</v>
      </c>
      <c r="D65" s="55" t="n">
        <f aca="false">(2*D28*1000000000+D35*D64)*D10/1000000000</f>
        <v>133.883319296</v>
      </c>
      <c r="E65" s="55" t="n">
        <f aca="false">(2*E28*1000000000+E35*E64)*E10/1000000000</f>
        <v>531.1276032</v>
      </c>
      <c r="F65" s="55" t="n">
        <f aca="false">(2*F28*1000000000+F35*F64)*F10/1000000000</f>
        <v>38.45577216</v>
      </c>
      <c r="G65" s="55" t="n">
        <f aca="false">(2*G28*1000000000+G35*G64)*G10/1000000000</f>
        <v>133.883319296</v>
      </c>
      <c r="H65" s="55" t="n">
        <f aca="false">(2*H28*1000000000+H35*H64)*H10/1000000000</f>
        <v>531.1276032</v>
      </c>
      <c r="I65" s="55" t="n">
        <f aca="false">(2*I28*1000000000+I35*I64)*I10/1000000000</f>
        <v>38.45577216</v>
      </c>
      <c r="J65" s="55" t="n">
        <f aca="false">(2*J28*1000000000+J35*J64)*J10/1000000000</f>
        <v>133.883319296</v>
      </c>
      <c r="K65" s="55" t="n">
        <f aca="false">(2*K28*1000000000+K35*K64)*K10/1000000000</f>
        <v>531.1276032</v>
      </c>
      <c r="L65" s="55" t="n">
        <f aca="false">(2*L28*1000000000+L35*L64)*L10/1000000000</f>
        <v>38.45577216</v>
      </c>
      <c r="M65" s="55" t="n">
        <f aca="false">(2*M28*1000000000+M35*M64)*M10/1000000000</f>
        <v>133.883319296</v>
      </c>
      <c r="N65" s="55" t="n">
        <f aca="false">(2*N28*1000000000+N35*N64)*N10/1000000000</f>
        <v>531.1276032</v>
      </c>
      <c r="O65" s="55" t="n">
        <f aca="false">(2*O28*1000000000+O35*O64)*O10/1000000000</f>
        <v>38.45577216</v>
      </c>
      <c r="P65" s="55" t="n">
        <f aca="false">(2*P28*1000000000+P35*P64)*P10/1000000000</f>
        <v>133.883319296</v>
      </c>
      <c r="Q65" s="55" t="n">
        <f aca="false">(2*Q28*1000000000+Q35*Q64)*Q10/1000000000</f>
        <v>531.1276032</v>
      </c>
    </row>
    <row r="66" customFormat="false" ht="15" hidden="false" customHeight="false" outlineLevel="0" collapsed="false">
      <c r="A66" s="45" t="s">
        <v>676</v>
      </c>
      <c r="B66" s="45" t="s">
        <v>236</v>
      </c>
      <c r="C66" s="56" t="n">
        <f aca="false">C36*IF(C37=0,C46,MIN(C46,C37))+(1-C36)*(C46/C38+C39)</f>
        <v>2128</v>
      </c>
      <c r="D66" s="56" t="n">
        <f aca="false">D36*IF(D37=0,D46,MIN(D46,D37))+(1-D36)*(D46/D38+D39)</f>
        <v>2208</v>
      </c>
      <c r="E66" s="56" t="n">
        <f aca="false">E36*IF(E37=0,E46,MIN(E46,E37))+(1-E36)*(E46/E38+E39)</f>
        <v>16384</v>
      </c>
      <c r="F66" s="56" t="n">
        <f aca="false">F36*IF(F37=0,F46,MIN(F46,F37))+(1-F36)*(F46/F38+F39)</f>
        <v>2128</v>
      </c>
      <c r="G66" s="56" t="n">
        <f aca="false">G36*IF(G37=0,G46,MIN(G46,G37))+(1-G36)*(G46/G38+G39)</f>
        <v>2208</v>
      </c>
      <c r="H66" s="56" t="n">
        <f aca="false">H36*IF(H37=0,H46,MIN(H46,H37))+(1-H36)*(H46/H38+H39)</f>
        <v>16384</v>
      </c>
      <c r="I66" s="56" t="n">
        <f aca="false">I36*IF(I37=0,I46,MIN(I46,I37))+(1-I36)*(I46/I38+I39)</f>
        <v>2128</v>
      </c>
      <c r="J66" s="56" t="n">
        <f aca="false">J36*IF(J37=0,J46,MIN(J46,J37))+(1-J36)*(J46/J38+J39)</f>
        <v>2208</v>
      </c>
      <c r="K66" s="56" t="n">
        <f aca="false">K36*IF(K37=0,K46,MIN(K46,K37))+(1-K36)*(K46/K38+K39)</f>
        <v>16384</v>
      </c>
      <c r="L66" s="56" t="n">
        <f aca="false">L36*IF(L37=0,L46,MIN(L46,L37))+(1-L36)*(L46/L38+L39)</f>
        <v>2128</v>
      </c>
      <c r="M66" s="56" t="n">
        <f aca="false">M36*IF(M37=0,M46,MIN(M46,M37))+(1-M36)*(M46/M38+M39)</f>
        <v>2208</v>
      </c>
      <c r="N66" s="56" t="n">
        <f aca="false">N36*IF(N37=0,N46,MIN(N46,N37))+(1-N36)*(N46/N38+N39)</f>
        <v>16384</v>
      </c>
      <c r="O66" s="56" t="n">
        <f aca="false">O36*IF(O37=0,O46,MIN(O46,O37))+(1-O36)*(O46/O38+O39)</f>
        <v>2128</v>
      </c>
      <c r="P66" s="56" t="n">
        <f aca="false">P36*IF(P37=0,P46,MIN(P46,P37))+(1-P36)*(P46/P38+P39)</f>
        <v>2208</v>
      </c>
      <c r="Q66" s="56" t="n">
        <f aca="false">Q36*IF(Q37=0,Q46,MIN(Q46,Q37))+(1-Q36)*(Q46/Q38+Q39)</f>
        <v>16384</v>
      </c>
    </row>
    <row r="67" customFormat="false" ht="15" hidden="false" customHeight="false" outlineLevel="0" collapsed="false">
      <c r="A67" s="45" t="s">
        <v>411</v>
      </c>
      <c r="B67" s="45" t="s">
        <v>409</v>
      </c>
      <c r="C67" s="55" t="n">
        <f aca="false">(2*C28*1000000000+C35*C66)*C10/1000000000</f>
        <v>37.993612288</v>
      </c>
      <c r="D67" s="55" t="n">
        <f aca="false">(2*D28*1000000000+D35*D66)*D10/1000000000</f>
        <v>133.307651072</v>
      </c>
      <c r="E67" s="55" t="n">
        <f aca="false">(2*E28*1000000000+E35*E66)*E10/1000000000</f>
        <v>440.5306368</v>
      </c>
      <c r="F67" s="55" t="n">
        <f aca="false">(2*F28*1000000000+F35*F66)*F10/1000000000</f>
        <v>37.993612288</v>
      </c>
      <c r="G67" s="55" t="n">
        <f aca="false">(2*G28*1000000000+G35*G66)*G10/1000000000</f>
        <v>133.307651072</v>
      </c>
      <c r="H67" s="55" t="n">
        <f aca="false">(2*H28*1000000000+H35*H66)*H10/1000000000</f>
        <v>440.5306368</v>
      </c>
      <c r="I67" s="55" t="n">
        <f aca="false">(2*I28*1000000000+I35*I66)*I10/1000000000</f>
        <v>37.993612288</v>
      </c>
      <c r="J67" s="55" t="n">
        <f aca="false">(2*J28*1000000000+J35*J66)*J10/1000000000</f>
        <v>133.307651072</v>
      </c>
      <c r="K67" s="55" t="n">
        <f aca="false">(2*K28*1000000000+K35*K66)*K10/1000000000</f>
        <v>440.5306368</v>
      </c>
      <c r="L67" s="55" t="n">
        <f aca="false">(2*L28*1000000000+L35*L66)*L10/1000000000</f>
        <v>37.993612288</v>
      </c>
      <c r="M67" s="55" t="n">
        <f aca="false">(2*M28*1000000000+M35*M66)*M10/1000000000</f>
        <v>133.307651072</v>
      </c>
      <c r="N67" s="55" t="n">
        <f aca="false">(2*N28*1000000000+N35*N66)*N10/1000000000</f>
        <v>440.5306368</v>
      </c>
      <c r="O67" s="55" t="n">
        <f aca="false">(2*O28*1000000000+O35*O66)*O10/1000000000</f>
        <v>37.993612288</v>
      </c>
      <c r="P67" s="55" t="n">
        <f aca="false">(2*P28*1000000000+P35*P66)*P10/1000000000</f>
        <v>133.307651072</v>
      </c>
      <c r="Q67" s="55" t="n">
        <f aca="false">(2*Q28*1000000000+Q35*Q66)*Q10/1000000000</f>
        <v>440.5306368</v>
      </c>
    </row>
    <row r="68" customFormat="false" ht="15" hidden="false" customHeight="false" outlineLevel="0" collapsed="false">
      <c r="A68" s="72" t="s">
        <v>677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</row>
    <row r="69" customFormat="false" ht="15" hidden="false" customHeight="false" outlineLevel="0" collapsed="false">
      <c r="A69" s="44" t="s">
        <v>412</v>
      </c>
      <c r="B69" s="45" t="s">
        <v>261</v>
      </c>
      <c r="C69" s="56" t="n">
        <f aca="false">C15*(1-C56)</f>
        <v>72</v>
      </c>
      <c r="D69" s="56" t="n">
        <f aca="false">D15*(1-D56)</f>
        <v>72</v>
      </c>
      <c r="E69" s="56" t="n">
        <f aca="false">E15*(1-E56)</f>
        <v>72</v>
      </c>
      <c r="F69" s="56" t="n">
        <f aca="false">F15*(1-F56)</f>
        <v>167.4</v>
      </c>
      <c r="G69" s="56" t="n">
        <f aca="false">G15*(1-G56)</f>
        <v>167.4</v>
      </c>
      <c r="H69" s="56" t="n">
        <f aca="false">H15*(1-H56)</f>
        <v>167.4</v>
      </c>
      <c r="I69" s="56" t="n">
        <f aca="false">I15*(1-I56)</f>
        <v>259.2</v>
      </c>
      <c r="J69" s="56" t="n">
        <f aca="false">J15*(1-J56)</f>
        <v>259.2</v>
      </c>
      <c r="K69" s="56" t="n">
        <f aca="false">K15*(1-K56)</f>
        <v>259.2</v>
      </c>
      <c r="L69" s="56" t="n">
        <f aca="false">L15*(1-L56)</f>
        <v>259.2</v>
      </c>
      <c r="M69" s="56" t="n">
        <f aca="false">M15*(1-M56)</f>
        <v>259.2</v>
      </c>
      <c r="N69" s="56" t="n">
        <f aca="false">N15*(1-N56)</f>
        <v>259.2</v>
      </c>
      <c r="O69" s="56" t="n">
        <f aca="false">O15*(1-O56)</f>
        <v>921.6</v>
      </c>
      <c r="P69" s="56" t="n">
        <f aca="false">P15*(1-P56)</f>
        <v>921.6</v>
      </c>
      <c r="Q69" s="56" t="n">
        <f aca="false">Q15*(1-Q56)</f>
        <v>921.6</v>
      </c>
    </row>
    <row r="70" customFormat="false" ht="15" hidden="false" customHeight="false" outlineLevel="0" collapsed="false">
      <c r="A70" s="44" t="s">
        <v>678</v>
      </c>
      <c r="B70" s="44"/>
      <c r="C70" s="96" t="n">
        <f aca="false">MAX(1,CEILING(C32*C20/(C57*C69),1))</f>
        <v>1</v>
      </c>
      <c r="D70" s="96" t="n">
        <f aca="false">MAX(1,CEILING(D32*D20/(D57*D69),1))</f>
        <v>2</v>
      </c>
      <c r="E70" s="96" t="n">
        <f aca="false">MAX(1,CEILING(E32*E20/(E57*E69),1))</f>
        <v>4</v>
      </c>
      <c r="F70" s="96" t="n">
        <f aca="false">MAX(1,CEILING(F32*F20/(F57*F69),1))</f>
        <v>1</v>
      </c>
      <c r="G70" s="96" t="n">
        <f aca="false">MAX(1,CEILING(G32*G20/(G57*G69),1))</f>
        <v>1</v>
      </c>
      <c r="H70" s="96" t="n">
        <f aca="false">MAX(1,CEILING(H32*H20/(H57*H69),1))</f>
        <v>2</v>
      </c>
      <c r="I70" s="96" t="n">
        <f aca="false">MAX(1,CEILING(I32*I20/(I57*I69),1))</f>
        <v>1</v>
      </c>
      <c r="J70" s="96" t="n">
        <f aca="false">MAX(1,CEILING(J32*J20/(J57*J69),1))</f>
        <v>1</v>
      </c>
      <c r="K70" s="96" t="n">
        <f aca="false">MAX(1,CEILING(K32*K20/(K57*K69),1))</f>
        <v>1</v>
      </c>
      <c r="L70" s="96" t="n">
        <f aca="false">MAX(1,CEILING(L32*L20/(L57*L69),1))</f>
        <v>1</v>
      </c>
      <c r="M70" s="96" t="n">
        <f aca="false">MAX(1,CEILING(M32*M20/(M57*M69),1))</f>
        <v>1</v>
      </c>
      <c r="N70" s="96" t="n">
        <f aca="false">MAX(1,CEILING(N32*N20/(N57*N69),1))</f>
        <v>1</v>
      </c>
      <c r="O70" s="96" t="n">
        <f aca="false">MAX(1,CEILING(O32*O20/(O57*O69),1))</f>
        <v>1</v>
      </c>
      <c r="P70" s="96" t="n">
        <f aca="false">MAX(1,CEILING(P32*P20/(P57*P69),1))</f>
        <v>1</v>
      </c>
      <c r="Q70" s="96" t="n">
        <f aca="false">MAX(1,CEILING(Q32*Q20/(Q57*Q69),1))</f>
        <v>1</v>
      </c>
    </row>
    <row r="71" customFormat="false" ht="15" hidden="false" customHeight="false" outlineLevel="0" collapsed="false">
      <c r="A71" s="45" t="s">
        <v>679</v>
      </c>
      <c r="B71" s="45" t="s">
        <v>639</v>
      </c>
      <c r="C71" s="56" t="n">
        <f aca="false">MAX(C18,CEILING(C33*C19/(C58*C69),1))</f>
        <v>64</v>
      </c>
      <c r="D71" s="56" t="n">
        <f aca="false">MAX(D18,CEILING(D33*D19/(D58*D69),1))</f>
        <v>64</v>
      </c>
      <c r="E71" s="56" t="n">
        <f aca="false">MAX(E18,CEILING(E33*E19/(E58*E69),1))</f>
        <v>138</v>
      </c>
      <c r="F71" s="56" t="n">
        <f aca="false">MAX(F18,CEILING(F33*F19/(F58*F69),1))</f>
        <v>32</v>
      </c>
      <c r="G71" s="56" t="n">
        <f aca="false">MAX(G18,CEILING(G33*G19/(G58*G69),1))</f>
        <v>32</v>
      </c>
      <c r="H71" s="56" t="n">
        <f aca="false">MAX(H18,CEILING(H33*H19/(H58*H69),1))</f>
        <v>34</v>
      </c>
      <c r="I71" s="56" t="n">
        <f aca="false">MAX(I18,CEILING(I33*I19/(I58*I69),1))</f>
        <v>32</v>
      </c>
      <c r="J71" s="56" t="n">
        <f aca="false">MAX(J18,CEILING(J33*J19/(J58*J69),1))</f>
        <v>32</v>
      </c>
      <c r="K71" s="56" t="n">
        <f aca="false">MAX(K18,CEILING(K33*K19/(K58*K69),1))</f>
        <v>32</v>
      </c>
      <c r="L71" s="56" t="n">
        <f aca="false">MAX(L18,CEILING(L33*L19/(L58*L69),1))</f>
        <v>32</v>
      </c>
      <c r="M71" s="56" t="n">
        <f aca="false">MAX(M18,CEILING(M33*M19/(M58*M69),1))</f>
        <v>32</v>
      </c>
      <c r="N71" s="56" t="n">
        <f aca="false">MAX(N18,CEILING(N33*N19/(N58*N69),1))</f>
        <v>32</v>
      </c>
      <c r="O71" s="56" t="n">
        <f aca="false">MAX(O18,CEILING(O33*O19/(O58*O69),1))</f>
        <v>64</v>
      </c>
      <c r="P71" s="56" t="n">
        <f aca="false">MAX(P18,CEILING(P33*P19/(P58*P69),1))</f>
        <v>64</v>
      </c>
      <c r="Q71" s="56" t="n">
        <f aca="false">MAX(Q18,CEILING(Q33*Q19/(Q58*Q69),1))</f>
        <v>64</v>
      </c>
    </row>
    <row r="72" customFormat="false" ht="15" hidden="false" customHeight="false" outlineLevel="0" collapsed="false">
      <c r="A72" s="44" t="s">
        <v>415</v>
      </c>
      <c r="B72" s="45" t="s">
        <v>261</v>
      </c>
      <c r="C72" s="55" t="n">
        <f aca="false">C32*C20/C70+C33*C19/C71</f>
        <v>9.7649375</v>
      </c>
      <c r="D72" s="55" t="n">
        <f aca="false">D32*D20/D70+D33*D19/D71</f>
        <v>34.8220486111111</v>
      </c>
      <c r="E72" s="55" t="n">
        <f aca="false">E32*E20/E70+E33*E19/E71</f>
        <v>40.898053997195</v>
      </c>
      <c r="F72" s="55" t="n">
        <f aca="false">F32*F20/F70+F33*F19/F71</f>
        <v>10.3090546875</v>
      </c>
      <c r="G72" s="55" t="n">
        <f aca="false">G32*G20/G70+G33*G19/G71</f>
        <v>48.0463324652778</v>
      </c>
      <c r="H72" s="55" t="n">
        <f aca="false">H32*H20/H70+H33*H19/H71</f>
        <v>89.9008983633776</v>
      </c>
      <c r="I72" s="55" t="n">
        <f aca="false">I32*I20/I70+I33*I19/I71</f>
        <v>10.3090546875</v>
      </c>
      <c r="J72" s="55" t="n">
        <f aca="false">J32*J20/J70+J33*J19/J71</f>
        <v>48.0463324652778</v>
      </c>
      <c r="K72" s="55" t="n">
        <f aca="false">K32*K20/K70+K33*K19/K71</f>
        <v>118.522476688508</v>
      </c>
      <c r="L72" s="55" t="n">
        <f aca="false">L32*L20/L70+L33*L19/L71</f>
        <v>10.3090546875</v>
      </c>
      <c r="M72" s="55" t="n">
        <f aca="false">M32*M20/M70+M33*M19/M71</f>
        <v>48.0463324652778</v>
      </c>
      <c r="N72" s="55" t="n">
        <f aca="false">N32*N20/N70+N33*N19/N71</f>
        <v>118.522476688508</v>
      </c>
      <c r="O72" s="55" t="n">
        <f aca="false">O32*O20/O70+O33*O19/O71</f>
        <v>7.86052734375</v>
      </c>
      <c r="P72" s="55" t="n">
        <f aca="false">P32*P20/P70+P33*P19/P71</f>
        <v>34.1620551215278</v>
      </c>
      <c r="Q72" s="55" t="n">
        <f aca="false">Q32*Q20/Q70+Q33*Q19/Q71</f>
        <v>83.7975286668347</v>
      </c>
    </row>
    <row r="73" customFormat="false" ht="15" hidden="false" customHeight="false" outlineLevel="0" collapsed="false">
      <c r="A73" s="44" t="s">
        <v>680</v>
      </c>
      <c r="B73" s="45" t="s">
        <v>57</v>
      </c>
      <c r="C73" s="67" t="n">
        <f aca="false">C72/C69</f>
        <v>0.135624131944444</v>
      </c>
      <c r="D73" s="67" t="n">
        <f aca="false">D72/D69</f>
        <v>0.48363956404321</v>
      </c>
      <c r="E73" s="67" t="n">
        <f aca="false">E72/E69</f>
        <v>0.568028527738819</v>
      </c>
      <c r="F73" s="67" t="n">
        <f aca="false">F72/F69</f>
        <v>0.0615833613351255</v>
      </c>
      <c r="G73" s="67" t="n">
        <f aca="false">G72/G69</f>
        <v>0.287015128227466</v>
      </c>
      <c r="H73" s="67" t="n">
        <f aca="false">H72/H69</f>
        <v>0.537042403604406</v>
      </c>
      <c r="I73" s="67" t="n">
        <f aca="false">I72/I69</f>
        <v>0.0397725875289352</v>
      </c>
      <c r="J73" s="67" t="n">
        <f aca="false">J72/J69</f>
        <v>0.185363936980238</v>
      </c>
      <c r="K73" s="67" t="n">
        <f aca="false">K72/K69</f>
        <v>0.45726264154517</v>
      </c>
      <c r="L73" s="67" t="n">
        <f aca="false">L72/L69</f>
        <v>0.0397725875289352</v>
      </c>
      <c r="M73" s="67" t="n">
        <f aca="false">M72/M69</f>
        <v>0.185363936980238</v>
      </c>
      <c r="N73" s="67" t="n">
        <f aca="false">N72/N69</f>
        <v>0.45726264154517</v>
      </c>
      <c r="O73" s="67" t="n">
        <f aca="false">O72/O69</f>
        <v>0.00852921803792318</v>
      </c>
      <c r="P73" s="67" t="n">
        <f aca="false">P72/P69</f>
        <v>0.0370682021717966</v>
      </c>
      <c r="Q73" s="67" t="n">
        <f aca="false">Q72/Q69</f>
        <v>0.0909261378763397</v>
      </c>
    </row>
    <row r="74" customFormat="false" ht="15" hidden="false" customHeight="false" outlineLevel="0" collapsed="false">
      <c r="A74" s="72" t="s">
        <v>681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customFormat="false" ht="15" hidden="false" customHeight="false" outlineLevel="0" collapsed="false">
      <c r="A75" s="45" t="s">
        <v>682</v>
      </c>
      <c r="B75" s="45" t="s">
        <v>300</v>
      </c>
      <c r="C75" s="56" t="n">
        <f aca="false">C51*C14*1000000000000000/(C67*1000000000)</f>
        <v>7813.15547860549</v>
      </c>
      <c r="D75" s="56" t="n">
        <f aca="false">D51*D14*1000000000000000/(D67*1000000000)</f>
        <v>2226.80392020163</v>
      </c>
      <c r="E75" s="56" t="n">
        <f aca="false">E51*E14*1000000000000000/(E67*1000000000)</f>
        <v>673.846437006762</v>
      </c>
      <c r="F75" s="56" t="n">
        <f aca="false">F51*F14*1000000000000000/(F67*1000000000)</f>
        <v>78960.6415220363</v>
      </c>
      <c r="G75" s="56" t="n">
        <f aca="false">G51*G14*1000000000000000/(G67*1000000000)</f>
        <v>22504.3347165399</v>
      </c>
      <c r="H75" s="56" t="n">
        <f aca="false">H51*H14*1000000000000000/(H67*1000000000)</f>
        <v>6809.96904504055</v>
      </c>
      <c r="I75" s="56" t="n">
        <f aca="false">I51*I14*1000000000000000/(I67*1000000000)</f>
        <v>118440.962283054</v>
      </c>
      <c r="J75" s="56" t="n">
        <f aca="false">J51*J14*1000000000000000/(J67*1000000000)</f>
        <v>33756.5020748099</v>
      </c>
      <c r="K75" s="56" t="n">
        <f aca="false">K51*K14*1000000000000000/(K67*1000000000)</f>
        <v>10214.9535675608</v>
      </c>
      <c r="L75" s="56" t="n">
        <f aca="false">L51*L14*1000000000000000/(L67*1000000000)</f>
        <v>276362.245327127</v>
      </c>
      <c r="M75" s="56" t="n">
        <f aca="false">M51*M14*1000000000000000/(M67*1000000000)</f>
        <v>78765.1715078897</v>
      </c>
      <c r="N75" s="56" t="n">
        <f aca="false">N51*N14*1000000000000000/(N67*1000000000)</f>
        <v>23834.8916576419</v>
      </c>
      <c r="O75" s="56" t="n">
        <f aca="false">O51*O14*1000000000000000/(O67*1000000000)</f>
        <v>576412.683110865</v>
      </c>
      <c r="P75" s="56" t="n">
        <f aca="false">P51*P14*1000000000000000/(P67*1000000000)</f>
        <v>164281.643430741</v>
      </c>
      <c r="Q75" s="56" t="n">
        <f aca="false">Q51*Q14*1000000000000000/(Q67*1000000000)</f>
        <v>49712.774028796</v>
      </c>
    </row>
    <row r="76" customFormat="false" ht="15" hidden="false" customHeight="false" outlineLevel="0" collapsed="false">
      <c r="A76" s="45" t="s">
        <v>683</v>
      </c>
      <c r="B76" s="45" t="s">
        <v>303</v>
      </c>
      <c r="C76" s="57" t="n">
        <f aca="false">C43*C67*1000000000/(C51*C14*1000000000000000*C21)</f>
        <v>0.131061003816446</v>
      </c>
      <c r="D76" s="57" t="n">
        <f aca="false">D43*D67*1000000000/(D51*D14*1000000000000000*D21)</f>
        <v>0.919703787756295</v>
      </c>
      <c r="E76" s="57" t="n">
        <f aca="false">E43*E67*1000000000/(E51*E14*1000000000000000*E21)</f>
        <v>6.07853625849015</v>
      </c>
      <c r="F76" s="57" t="n">
        <f aca="false">F43*F67*1000000000/(F51*F14*1000000000000000*F21)</f>
        <v>0.0259369726552747</v>
      </c>
      <c r="G76" s="57" t="n">
        <f aca="false">G43*G67*1000000000/(G51*G14*1000000000000000*G21)</f>
        <v>0.182009379596971</v>
      </c>
      <c r="H76" s="57" t="n">
        <f aca="false">H43*H67*1000000000/(H51*H14*1000000000000000*H21)</f>
        <v>1.2029423255552</v>
      </c>
      <c r="I76" s="57" t="n">
        <f aca="false">I43*I67*1000000000/(I51*I14*1000000000000000*I21)</f>
        <v>0.0172913151035164</v>
      </c>
      <c r="J76" s="57" t="n">
        <f aca="false">J43*J67*1000000000/(J51*J14*1000000000000000*J21)</f>
        <v>0.12133958639798</v>
      </c>
      <c r="K76" s="57" t="n">
        <f aca="false">K43*K67*1000000000/(K51*K14*1000000000000000*K21)</f>
        <v>0.801961550370133</v>
      </c>
      <c r="L76" s="57" t="n">
        <f aca="false">L43*L67*1000000000/(L51*L14*1000000000000000*L21)</f>
        <v>0.00741056361579276</v>
      </c>
      <c r="M76" s="57" t="n">
        <f aca="false">M43*M67*1000000000/(M51*M14*1000000000000000*M21)</f>
        <v>0.0520026798848488</v>
      </c>
      <c r="N76" s="57" t="n">
        <f aca="false">N43*N67*1000000000/(N51*N14*1000000000000000*N21)</f>
        <v>0.343697807301486</v>
      </c>
      <c r="O76" s="57" t="n">
        <f aca="false">O43*O67*1000000000/(O51*O14*1000000000000000*O21)</f>
        <v>0.00177650497638868</v>
      </c>
      <c r="P76" s="57" t="n">
        <f aca="false">P43*P67*1000000000/(P51*P14*1000000000000000*P21)</f>
        <v>0.0124663958628062</v>
      </c>
      <c r="Q76" s="57" t="n">
        <f aca="false">Q43*Q67*1000000000/(Q51*Q14*1000000000000000*Q21)</f>
        <v>0.0823933099695342</v>
      </c>
    </row>
    <row r="77" customFormat="false" ht="15" hidden="false" customHeight="false" outlineLevel="0" collapsed="false">
      <c r="A77" s="45" t="s">
        <v>684</v>
      </c>
      <c r="B77" s="44"/>
      <c r="C77" s="44" t="str">
        <f aca="false">IF(C76&lt;=C42,"是","否")</f>
        <v>是</v>
      </c>
      <c r="D77" s="44" t="str">
        <f aca="false">IF(D76&lt;=D42,"是","否")</f>
        <v>是</v>
      </c>
      <c r="E77" s="44" t="str">
        <f aca="false">IF(E76&lt;=E42,"是","否")</f>
        <v>否</v>
      </c>
      <c r="F77" s="44" t="str">
        <f aca="false">IF(F76&lt;=F42,"是","否")</f>
        <v>是</v>
      </c>
      <c r="G77" s="44" t="str">
        <f aca="false">IF(G76&lt;=G42,"是","否")</f>
        <v>是</v>
      </c>
      <c r="H77" s="44" t="str">
        <f aca="false">IF(H76&lt;=H42,"是","否")</f>
        <v>是</v>
      </c>
      <c r="I77" s="44" t="str">
        <f aca="false">IF(I76&lt;=I42,"是","否")</f>
        <v>是</v>
      </c>
      <c r="J77" s="44" t="str">
        <f aca="false">IF(J76&lt;=J42,"是","否")</f>
        <v>是</v>
      </c>
      <c r="K77" s="44" t="str">
        <f aca="false">IF(K76&lt;=K42,"是","否")</f>
        <v>是</v>
      </c>
      <c r="L77" s="44" t="str">
        <f aca="false">IF(L76&lt;=L42,"是","否")</f>
        <v>是</v>
      </c>
      <c r="M77" s="44" t="str">
        <f aca="false">IF(M76&lt;=M42,"是","否")</f>
        <v>是</v>
      </c>
      <c r="N77" s="44" t="str">
        <f aca="false">IF(N76&lt;=N42,"是","否")</f>
        <v>是</v>
      </c>
      <c r="O77" s="44" t="str">
        <f aca="false">IF(O76&lt;=O42,"是","否")</f>
        <v>是</v>
      </c>
      <c r="P77" s="44" t="str">
        <f aca="false">IF(P76&lt;=P42,"是","否")</f>
        <v>是</v>
      </c>
      <c r="Q77" s="44" t="str">
        <f aca="false">IF(Q76&lt;=Q42,"是","否")</f>
        <v>是</v>
      </c>
    </row>
    <row r="78" customFormat="false" ht="15" hidden="false" customHeight="false" outlineLevel="0" collapsed="false">
      <c r="A78" s="72" t="s">
        <v>685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</row>
    <row r="79" customFormat="false" ht="15" hidden="false" customHeight="false" outlineLevel="0" collapsed="false">
      <c r="A79" s="44" t="s">
        <v>686</v>
      </c>
      <c r="B79" s="45" t="s">
        <v>420</v>
      </c>
      <c r="C79" s="52" t="n">
        <f aca="false">C72/C16+(C29+C47)*C55/1000</f>
        <v>13.9741274194055</v>
      </c>
      <c r="D79" s="52" t="n">
        <f aca="false">D72/D16+(D29+D47)*D55/1000</f>
        <v>25.781383224086</v>
      </c>
      <c r="E79" s="52" t="n">
        <f aca="false">E72/E16+(E29+E47)*E55/1000</f>
        <v>36.9714119885583</v>
      </c>
      <c r="F79" s="52" t="n">
        <f aca="false">F72/F16+(F29+F47)*F55/1000</f>
        <v>8.66144563792923</v>
      </c>
      <c r="G79" s="52" t="n">
        <f aca="false">G72/G16+(G29+G47)*G55/1000</f>
        <v>16.263619456583</v>
      </c>
      <c r="H79" s="52" t="n">
        <f aca="false">H72/H16+(H29+H47)*H55/1000</f>
        <v>27.7463040694472</v>
      </c>
      <c r="I79" s="52" t="n">
        <f aca="false">I72/I16+(I29+I47)*I55/1000</f>
        <v>8.66144563792923</v>
      </c>
      <c r="J79" s="52" t="n">
        <f aca="false">J72/J16+(J29+J47)*J55/1000</f>
        <v>16.263619456583</v>
      </c>
      <c r="K79" s="52" t="n">
        <f aca="false">K72/K16+(K29+K47)*K55/1000</f>
        <v>31.3240013600885</v>
      </c>
      <c r="L79" s="52" t="n">
        <f aca="false">L72/L16+(L29+L47)*L55/1000</f>
        <v>7.84140719687809</v>
      </c>
      <c r="M79" s="52" t="n">
        <f aca="false">M72/M16+(M29+M47)*M55/1000</f>
        <v>12.4417521013904</v>
      </c>
      <c r="N79" s="52" t="n">
        <f aca="false">N72/N16+(N29+N47)*N55/1000</f>
        <v>21.896077078048</v>
      </c>
      <c r="O79" s="52" t="n">
        <f aca="false">O72/O16+(O29+O47)*O55/1000</f>
        <v>7.61845528148391</v>
      </c>
      <c r="P79" s="52" t="n">
        <f aca="false">P72/P16+(P29+P47)*P55/1000</f>
        <v>11.325392120971</v>
      </c>
      <c r="Q79" s="52" t="n">
        <f aca="false">Q72/Q16+(Q29+Q47)*Q55/1000</f>
        <v>19.1273645448635</v>
      </c>
    </row>
    <row r="80" customFormat="false" ht="15" hidden="false" customHeight="false" outlineLevel="0" collapsed="false">
      <c r="A80" s="44" t="s">
        <v>687</v>
      </c>
      <c r="B80" s="45" t="s">
        <v>420</v>
      </c>
      <c r="C80" s="53" t="n">
        <f aca="false">(C47+1)*C65/(C14*C53)/1000</f>
        <v>1.43770909139744</v>
      </c>
      <c r="D80" s="53" t="n">
        <f aca="false">(D47+1)*D65/(D14*D53)/1000</f>
        <v>5.00536732268608</v>
      </c>
      <c r="E80" s="53" t="n">
        <f aca="false">(E47+1)*E65/(E14*E53)/1000</f>
        <v>19.8567585806284</v>
      </c>
      <c r="F80" s="53" t="n">
        <f aca="false">(F47+1)*F65/(F14*F53)/1000</f>
        <v>0.426783943781329</v>
      </c>
      <c r="G80" s="53" t="n">
        <f aca="false">(G47+1)*G65/(G14*G53)/1000</f>
        <v>1.48584328973936</v>
      </c>
      <c r="H80" s="53" t="n">
        <f aca="false">(H47+1)*H65/(H14*H53)/1000</f>
        <v>5.89447878465954</v>
      </c>
      <c r="I80" s="53" t="n">
        <f aca="false">(I47+1)*I65/(I14*I53)/1000</f>
        <v>0.284522629187553</v>
      </c>
      <c r="J80" s="53" t="n">
        <f aca="false">(J47+1)*J65/(J14*J53)/1000</f>
        <v>0.990562193159576</v>
      </c>
      <c r="K80" s="53" t="n">
        <f aca="false">(K47+1)*K65/(K14*K53)/1000</f>
        <v>3.92965252310636</v>
      </c>
      <c r="L80" s="53" t="n">
        <f aca="false">(L47+1)*L65/(L14*L53)/1000</f>
        <v>0.121938269651808</v>
      </c>
      <c r="M80" s="53" t="n">
        <f aca="false">(M47+1)*M65/(M14*M53)/1000</f>
        <v>0.424526654211247</v>
      </c>
      <c r="N80" s="53" t="n">
        <f aca="false">(N47+1)*N65/(N14*N53)/1000</f>
        <v>1.68413679561701</v>
      </c>
      <c r="O80" s="53" t="n">
        <f aca="false">(O47+1)*O65/(O14*O53)/1000</f>
        <v>0.0584635539426479</v>
      </c>
      <c r="P80" s="53" t="n">
        <f aca="false">(P47+1)*P65/(P14*P53)/1000</f>
        <v>0.203540176676625</v>
      </c>
      <c r="Q80" s="53" t="n">
        <f aca="false">(Q47+1)*Q65/(Q14*Q53)/1000</f>
        <v>0.807462847213636</v>
      </c>
    </row>
    <row r="81" customFormat="false" ht="15" hidden="false" customHeight="false" outlineLevel="0" collapsed="false">
      <c r="A81" s="44" t="s">
        <v>688</v>
      </c>
      <c r="B81" s="45" t="s">
        <v>420</v>
      </c>
      <c r="C81" s="53" t="n">
        <f aca="false">C34*C45/(C16*C60)/1000000000</f>
        <v>0.0103742771855011</v>
      </c>
      <c r="D81" s="53" t="n">
        <f aca="false">D34*D45/(D16*D60)/1000000000</f>
        <v>0.0294339957356077</v>
      </c>
      <c r="E81" s="53" t="n">
        <f aca="false">E34*E45/(E16*E60)/1000000000</f>
        <v>0.855181918976546</v>
      </c>
      <c r="F81" s="53" t="n">
        <f aca="false">F34*F45/(F16*F60)/1000000000</f>
        <v>0.00434422857142857</v>
      </c>
      <c r="G81" s="53" t="n">
        <f aca="false">G34*G45/(G16*G60)/1000000000</f>
        <v>0.0123254857142857</v>
      </c>
      <c r="H81" s="53" t="n">
        <f aca="false">H34*H45/(H16*H60)/1000000000</f>
        <v>0.358107428571429</v>
      </c>
      <c r="I81" s="53" t="n">
        <f aca="false">I34*I45/(I16*I60)/1000000000</f>
        <v>0.00434422857142857</v>
      </c>
      <c r="J81" s="53" t="n">
        <f aca="false">J34*J45/(J16*J60)/1000000000</f>
        <v>0.0123254857142857</v>
      </c>
      <c r="K81" s="53" t="n">
        <f aca="false">K34*K45/(K16*K60)/1000000000</f>
        <v>0.358107428571429</v>
      </c>
      <c r="L81" s="53" t="n">
        <f aca="false">L34*L45/(L16*L60)/1000000000</f>
        <v>0.00157971948051948</v>
      </c>
      <c r="M81" s="53" t="n">
        <f aca="false">M34*M45/(M16*M60)/1000000000</f>
        <v>0.00448199480519481</v>
      </c>
      <c r="N81" s="53" t="n">
        <f aca="false">N34*N45/(N16*N60)/1000000000</f>
        <v>0.130220883116883</v>
      </c>
      <c r="O81" s="53" t="n">
        <f aca="false">O34*O45/(O16*O60)/1000000000</f>
        <v>0.00108605714285714</v>
      </c>
      <c r="P81" s="53" t="n">
        <f aca="false">P34*P45/(P16*P60)/1000000000</f>
        <v>0.00308137142857143</v>
      </c>
      <c r="Q81" s="53" t="n">
        <f aca="false">Q34*Q45/(Q16*Q60)/1000000000</f>
        <v>0.0895268571428571</v>
      </c>
    </row>
    <row r="82" customFormat="false" ht="15" hidden="false" customHeight="false" outlineLevel="0" collapsed="false">
      <c r="A82" s="44" t="s">
        <v>689</v>
      </c>
      <c r="B82" s="45" t="s">
        <v>420</v>
      </c>
      <c r="C82" s="53" t="n">
        <f aca="false">(C47+1)*C29*C31*C30*C59*(C71-1)/C71/(C17*C61)/1000000000</f>
        <v>0.3566592</v>
      </c>
      <c r="D82" s="53" t="n">
        <f aca="false">(D47+1)*D29*D31*D30*D59*(D71-1)/D71/(D17*D61)/1000000000</f>
        <v>0.8854272</v>
      </c>
      <c r="E82" s="53" t="n">
        <f aca="false">(E47+1)*E29*E31*E30*E59*(E71-1)/E71/(E17*E61)/1000000000</f>
        <v>6.69199900621118</v>
      </c>
      <c r="F82" s="53" t="n">
        <f aca="false">(F47+1)*F29*F31*F30*F59*(F71-1)/F71/(F17*F61)/1000000000</f>
        <v>0.0194998857142857</v>
      </c>
      <c r="G82" s="53" t="n">
        <f aca="false">(G47+1)*G29*G31*G30*G59*(G71-1)/G71/(G17*G61)/1000000000</f>
        <v>0.0484096</v>
      </c>
      <c r="H82" s="53" t="n">
        <f aca="false">(H47+1)*H29*H31*H30*H59*(H71-1)/H71/(H17*H61)/1000000000</f>
        <v>0.363476974789916</v>
      </c>
      <c r="I82" s="53" t="n">
        <f aca="false">(I47+1)*I29*I31*I30*I59*(I71-1)/I71/(I17*I61)/1000000000</f>
        <v>0.0194998857142857</v>
      </c>
      <c r="J82" s="53" t="n">
        <f aca="false">(J47+1)*J29*J31*J30*J59*(J71-1)/J71/(J17*J61)/1000000000</f>
        <v>0.0484096</v>
      </c>
      <c r="K82" s="53" t="n">
        <f aca="false">(K47+1)*K29*K31*K30*K59*(K71-1)/K71/(K17*K61)/1000000000</f>
        <v>0.362788571428571</v>
      </c>
      <c r="L82" s="53" t="n">
        <f aca="false">(L47+1)*L29*L31*L30*L59*(L71-1)/L71/(L17*L61)/1000000000</f>
        <v>0.00974994285714286</v>
      </c>
      <c r="M82" s="53" t="n">
        <f aca="false">(M47+1)*M29*M31*M30*M59*(M71-1)/M71/(M17*M61)/1000000000</f>
        <v>0.0242048</v>
      </c>
      <c r="N82" s="53" t="n">
        <f aca="false">(N47+1)*N29*N31*N30*N59*(N71-1)/N71/(N17*N61)/1000000000</f>
        <v>0.181394285714286</v>
      </c>
      <c r="O82" s="53" t="n">
        <f aca="false">(O47+1)*O29*O31*O30*O59*(O71-1)/O71/(O17*O61)/1000000000</f>
        <v>0.0099072</v>
      </c>
      <c r="P82" s="53" t="n">
        <f aca="false">(P47+1)*P29*P31*P30*P59*(P71-1)/P71/(P17*P61)/1000000000</f>
        <v>0.0245952</v>
      </c>
      <c r="Q82" s="53" t="n">
        <f aca="false">(Q47+1)*Q29*Q31*Q30*Q59*(Q71-1)/Q71/(Q17*Q61)/1000000000</f>
        <v>0.18432</v>
      </c>
    </row>
    <row r="83" customFormat="false" ht="15" hidden="false" customHeight="false" outlineLevel="0" collapsed="false">
      <c r="A83" s="44" t="s">
        <v>690</v>
      </c>
      <c r="B83" s="45" t="s">
        <v>420</v>
      </c>
      <c r="C83" s="53" t="n">
        <f aca="false">MAX(C80,C81,C82)</f>
        <v>1.43770909139744</v>
      </c>
      <c r="D83" s="53" t="n">
        <f aca="false">MAX(D80,D81,D82)</f>
        <v>5.00536732268608</v>
      </c>
      <c r="E83" s="53" t="n">
        <f aca="false">MAX(E80,E81,E82)</f>
        <v>19.8567585806284</v>
      </c>
      <c r="F83" s="53" t="n">
        <f aca="false">MAX(F80,F81,F82)</f>
        <v>0.426783943781329</v>
      </c>
      <c r="G83" s="53" t="n">
        <f aca="false">MAX(G80,G81,G82)</f>
        <v>1.48584328973936</v>
      </c>
      <c r="H83" s="53" t="n">
        <f aca="false">MAX(H80,H81,H82)</f>
        <v>5.89447878465954</v>
      </c>
      <c r="I83" s="53" t="n">
        <f aca="false">MAX(I80,I81,I82)</f>
        <v>0.284522629187553</v>
      </c>
      <c r="J83" s="53" t="n">
        <f aca="false">MAX(J80,J81,J82)</f>
        <v>0.990562193159576</v>
      </c>
      <c r="K83" s="53" t="n">
        <f aca="false">MAX(K80,K81,K82)</f>
        <v>3.92965252310636</v>
      </c>
      <c r="L83" s="53" t="n">
        <f aca="false">MAX(L80,L81,L82)</f>
        <v>0.121938269651808</v>
      </c>
      <c r="M83" s="53" t="n">
        <f aca="false">MAX(M80,M81,M82)</f>
        <v>0.424526654211247</v>
      </c>
      <c r="N83" s="53" t="n">
        <f aca="false">MAX(N80,N81,N82)</f>
        <v>1.68413679561701</v>
      </c>
      <c r="O83" s="53" t="n">
        <f aca="false">MAX(O80,O81,O82)</f>
        <v>0.0584635539426479</v>
      </c>
      <c r="P83" s="53" t="n">
        <f aca="false">MAX(P80,P81,P82)</f>
        <v>0.203540176676625</v>
      </c>
      <c r="Q83" s="53" t="n">
        <f aca="false">MAX(Q80,Q81,Q82)</f>
        <v>0.807462847213636</v>
      </c>
    </row>
    <row r="84" customFormat="false" ht="15" hidden="false" customHeight="false" outlineLevel="0" collapsed="false">
      <c r="A84" s="44" t="s">
        <v>691</v>
      </c>
      <c r="B84" s="44"/>
      <c r="C84" s="44" t="str">
        <f aca="false">IF(C83=C80,"算力",IF(C83=C81,"KV 頻寬","EP 通訊"))</f>
        <v>算力</v>
      </c>
      <c r="D84" s="44" t="str">
        <f aca="false">IF(D83=D80,"算力",IF(D83=D81,"KV 頻寬","EP 通訊"))</f>
        <v>算力</v>
      </c>
      <c r="E84" s="44" t="str">
        <f aca="false">IF(E83=E80,"算力",IF(E83=E81,"KV 頻寬","EP 通訊"))</f>
        <v>算力</v>
      </c>
      <c r="F84" s="44" t="str">
        <f aca="false">IF(F83=F80,"算力",IF(F83=F81,"KV 頻寬","EP 通訊"))</f>
        <v>算力</v>
      </c>
      <c r="G84" s="44" t="str">
        <f aca="false">IF(G83=G80,"算力",IF(G83=G81,"KV 頻寬","EP 通訊"))</f>
        <v>算力</v>
      </c>
      <c r="H84" s="44" t="str">
        <f aca="false">IF(H83=H80,"算力",IF(H83=H81,"KV 頻寬","EP 通訊"))</f>
        <v>算力</v>
      </c>
      <c r="I84" s="44" t="str">
        <f aca="false">IF(I83=I80,"算力",IF(I83=I81,"KV 頻寬","EP 通訊"))</f>
        <v>算力</v>
      </c>
      <c r="J84" s="44" t="str">
        <f aca="false">IF(J83=J80,"算力",IF(J83=J81,"KV 頻寬","EP 通訊"))</f>
        <v>算力</v>
      </c>
      <c r="K84" s="44" t="str">
        <f aca="false">IF(K83=K80,"算力",IF(K83=K81,"KV 頻寬","EP 通訊"))</f>
        <v>算力</v>
      </c>
      <c r="L84" s="44" t="str">
        <f aca="false">IF(L83=L80,"算力",IF(L83=L81,"KV 頻寬","EP 通訊"))</f>
        <v>算力</v>
      </c>
      <c r="M84" s="44" t="str">
        <f aca="false">IF(M83=M80,"算力",IF(M83=M81,"KV 頻寬","EP 通訊"))</f>
        <v>算力</v>
      </c>
      <c r="N84" s="44" t="str">
        <f aca="false">IF(N83=N80,"算力",IF(N83=N81,"KV 頻寬","EP 通訊"))</f>
        <v>算力</v>
      </c>
      <c r="O84" s="44" t="str">
        <f aca="false">IF(O83=O80,"算力",IF(O83=O81,"KV 頻寬","EP 通訊"))</f>
        <v>算力</v>
      </c>
      <c r="P84" s="44" t="str">
        <f aca="false">IF(P83=P80,"算力",IF(P83=P81,"KV 頻寬","EP 通訊"))</f>
        <v>算力</v>
      </c>
      <c r="Q84" s="44" t="str">
        <f aca="false">IF(Q83=Q80,"算力",IF(Q83=Q81,"KV 頻寬","EP 通訊"))</f>
        <v>算力</v>
      </c>
    </row>
    <row r="85" customFormat="false" ht="15" hidden="false" customHeight="false" outlineLevel="0" collapsed="false">
      <c r="A85" s="45" t="s">
        <v>692</v>
      </c>
      <c r="B85" s="44" t="s">
        <v>424</v>
      </c>
      <c r="C85" s="55" t="n">
        <f aca="false">(1000*C49/C41-C79)/C83</f>
        <v>4.96220407634305</v>
      </c>
      <c r="D85" s="55" t="n">
        <f aca="false">(1000*D49/D41-D79)/D83</f>
        <v>2.63474120777766</v>
      </c>
      <c r="E85" s="55" t="n">
        <f aca="false">(1000*E49/E41-E79)/E83</f>
        <v>0.457432839761085</v>
      </c>
      <c r="F85" s="55" t="n">
        <f aca="false">(1000*F49/F41-F79)/F83</f>
        <v>29.1643766752891</v>
      </c>
      <c r="G85" s="55" t="n">
        <f aca="false">(1000*G49/G41-G79)/G83</f>
        <v>15.2812961295741</v>
      </c>
      <c r="H85" s="55" t="n">
        <f aca="false">(1000*H49/H41-H79)/H83</f>
        <v>3.10599835099004</v>
      </c>
      <c r="I85" s="55" t="n">
        <f aca="false">(1000*I49/I41-I79)/I83</f>
        <v>43.7465650129337</v>
      </c>
      <c r="J85" s="55" t="n">
        <f aca="false">(1000*J49/J41-J79)/J83</f>
        <v>22.9219441943611</v>
      </c>
      <c r="K85" s="55" t="n">
        <f aca="false">(1000*K49/K41-K79)/K83</f>
        <v>3.74856148421301</v>
      </c>
      <c r="L85" s="55" t="n">
        <f aca="false">(1000*L49/L41-L79)/L83</f>
        <v>108.800347703298</v>
      </c>
      <c r="M85" s="55" t="n">
        <f aca="false">(1000*M49/M41-M79)/M83</f>
        <v>62.4871922756589</v>
      </c>
      <c r="N85" s="55" t="n">
        <f aca="false">(1000*N49/N41-N79)/N83</f>
        <v>14.3447185759317</v>
      </c>
      <c r="O85" s="55" t="n">
        <f aca="false">(1000*O49/O41-O79)/O83</f>
        <v>230.739959207455</v>
      </c>
      <c r="P85" s="55" t="n">
        <f aca="false">(1000*P49/P41-P79)/P83</f>
        <v>135.815145194548</v>
      </c>
      <c r="Q85" s="55" t="n">
        <f aca="false">(1000*Q49/Q41-Q79)/Q83</f>
        <v>33.3478883921425</v>
      </c>
    </row>
    <row r="86" customFormat="false" ht="15" hidden="false" customHeight="false" outlineLevel="0" collapsed="false">
      <c r="A86" s="45" t="s">
        <v>693</v>
      </c>
      <c r="B86" s="44" t="s">
        <v>424</v>
      </c>
      <c r="C86" s="56" t="n">
        <f aca="false">(C69-C72)*1000000000/(C34*C45)</f>
        <v>2558.19965159029</v>
      </c>
      <c r="D86" s="56" t="n">
        <f aca="false">(D69-D72)*1000000000/(D34*D45)</f>
        <v>538.633530942984</v>
      </c>
      <c r="E86" s="56" t="n">
        <f aca="false">(E69-E72)*1000000000/(E34*E45)</f>
        <v>15.5090860617669</v>
      </c>
      <c r="F86" s="56" t="n">
        <f aca="false">(F69-F72)*1000000000/(F34*F45)</f>
        <v>6457.29248791911</v>
      </c>
      <c r="G86" s="56" t="n">
        <f aca="false">(G69-G72)*1000000000/(G34*G45)</f>
        <v>1729.19391665125</v>
      </c>
      <c r="H86" s="56" t="n">
        <f aca="false">(H69-H72)*1000000000/(H34*H45)</f>
        <v>38.6451779217801</v>
      </c>
      <c r="I86" s="56" t="n">
        <f aca="false">(I69-I72)*1000000000/(I34*I45)</f>
        <v>10230.7719154683</v>
      </c>
      <c r="J86" s="56" t="n">
        <f aca="false">(J69-J72)*1000000000/(J34*J45)</f>
        <v>3059.19076406613</v>
      </c>
      <c r="K86" s="56" t="n">
        <f aca="false">(K69-K72)*1000000000/(K34*K45)</f>
        <v>70.1493024197706</v>
      </c>
      <c r="L86" s="56" t="n">
        <f aca="false">(L69-L72)*1000000000/(L34*L45)</f>
        <v>10230.7719154683</v>
      </c>
      <c r="M86" s="56" t="n">
        <f aca="false">(M69-M72)*1000000000/(M34*M45)</f>
        <v>3059.19076406613</v>
      </c>
      <c r="N86" s="56" t="n">
        <f aca="false">(N69-N72)*1000000000/(N34*N45)</f>
        <v>70.1493024197706</v>
      </c>
      <c r="O86" s="56" t="n">
        <f aca="false">(O69-O72)*1000000000/(O34*O45)</f>
        <v>37559.6634227452</v>
      </c>
      <c r="P86" s="56" t="n">
        <f aca="false">(P69-P72)*1000000000/(P34*P45)</f>
        <v>12857.1859364347</v>
      </c>
      <c r="Q86" s="56" t="n">
        <f aca="false">(Q69-Q72)*1000000000/(Q34*Q45)</f>
        <v>417.772914578888</v>
      </c>
    </row>
    <row r="87" customFormat="false" ht="15" hidden="false" customHeight="false" outlineLevel="0" collapsed="false">
      <c r="A87" s="44" t="s">
        <v>694</v>
      </c>
      <c r="B87" s="44" t="s">
        <v>424</v>
      </c>
      <c r="C87" s="97" t="n">
        <f aca="false">MAX(0,MIN(C85,C86))</f>
        <v>4.96220407634305</v>
      </c>
      <c r="D87" s="97" t="n">
        <f aca="false">MAX(0,MIN(D85,D86))</f>
        <v>2.63474120777766</v>
      </c>
      <c r="E87" s="97" t="n">
        <f aca="false">MAX(0,MIN(E85,E86))</f>
        <v>0.457432839761085</v>
      </c>
      <c r="F87" s="97" t="n">
        <f aca="false">MAX(0,MIN(F85,F86))</f>
        <v>29.1643766752891</v>
      </c>
      <c r="G87" s="97" t="n">
        <f aca="false">MAX(0,MIN(G85,G86))</f>
        <v>15.2812961295741</v>
      </c>
      <c r="H87" s="97" t="n">
        <f aca="false">MAX(0,MIN(H85,H86))</f>
        <v>3.10599835099004</v>
      </c>
      <c r="I87" s="97" t="n">
        <f aca="false">MAX(0,MIN(I85,I86))</f>
        <v>43.7465650129337</v>
      </c>
      <c r="J87" s="97" t="n">
        <f aca="false">MAX(0,MIN(J85,J86))</f>
        <v>22.9219441943611</v>
      </c>
      <c r="K87" s="97" t="n">
        <f aca="false">MAX(0,MIN(K85,K86))</f>
        <v>3.74856148421301</v>
      </c>
      <c r="L87" s="97" t="n">
        <f aca="false">MAX(0,MIN(L85,L86))</f>
        <v>108.800347703298</v>
      </c>
      <c r="M87" s="97" t="n">
        <f aca="false">MAX(0,MIN(M85,M86))</f>
        <v>62.4871922756589</v>
      </c>
      <c r="N87" s="97" t="n">
        <f aca="false">MAX(0,MIN(N85,N86))</f>
        <v>14.3447185759317</v>
      </c>
      <c r="O87" s="97" t="n">
        <f aca="false">MAX(0,MIN(O85,O86))</f>
        <v>230.739959207455</v>
      </c>
      <c r="P87" s="97" t="n">
        <f aca="false">MAX(0,MIN(P85,P86))</f>
        <v>135.815145194548</v>
      </c>
      <c r="Q87" s="97" t="n">
        <f aca="false">MAX(0,MIN(Q85,Q86))</f>
        <v>33.3478883921425</v>
      </c>
    </row>
    <row r="88" customFormat="false" ht="15" hidden="false" customHeight="false" outlineLevel="0" collapsed="false">
      <c r="A88" s="45" t="s">
        <v>695</v>
      </c>
      <c r="B88" s="45" t="s">
        <v>300</v>
      </c>
      <c r="C88" s="51" t="n">
        <f aca="false">IF(C87&gt;0,C87*C49/((C79+C87*C83)/1000),0)</f>
        <v>595.464489161166</v>
      </c>
      <c r="D88" s="51" t="n">
        <f aca="false">IF(D87&gt;0,D87*D49/((D79+D87*D83)/1000),0)</f>
        <v>171.258178505548</v>
      </c>
      <c r="E88" s="51" t="n">
        <f aca="false">IF(E87&gt;0,E87*E49/((E79+E87*E83)/1000),0)</f>
        <v>25.1588061868597</v>
      </c>
      <c r="F88" s="51" t="n">
        <f aca="false">IF(F87&gt;0,F87*F49/((F79+F87*F83)/1000),0)</f>
        <v>3499.72520103469</v>
      </c>
      <c r="G88" s="51" t="n">
        <f aca="false">IF(G87&gt;0,G87*G49/((G79+G87*G83)/1000),0)</f>
        <v>993.284248422316</v>
      </c>
      <c r="H88" s="51" t="n">
        <f aca="false">IF(H87&gt;0,H87*H49/((H79+H87*H83)/1000),0)</f>
        <v>170.829909304452</v>
      </c>
      <c r="I88" s="51" t="n">
        <f aca="false">IF(I87&gt;0,I87*I49/((I79+I87*I83)/1000),0)</f>
        <v>5249.58780155204</v>
      </c>
      <c r="J88" s="51" t="n">
        <f aca="false">IF(J87&gt;0,J87*J49/((J79+J87*J83)/1000),0)</f>
        <v>1489.92637263347</v>
      </c>
      <c r="K88" s="51" t="n">
        <f aca="false">IF(K87&gt;0,K87*K49/((K79+K87*K83)/1000),0)</f>
        <v>206.170881631716</v>
      </c>
      <c r="L88" s="51" t="n">
        <f aca="false">IF(L87&gt;0,L87*L49/((L79+L87*L83)/1000),0)</f>
        <v>13056.0417243957</v>
      </c>
      <c r="M88" s="51" t="n">
        <f aca="false">IF(M87&gt;0,M87*M49/((M79+M87*M83)/1000),0)</f>
        <v>4061.66749791783</v>
      </c>
      <c r="N88" s="51" t="n">
        <f aca="false">IF(N87&gt;0,N87*N49/((N79+N87*N83)/1000),0)</f>
        <v>788.959521676242</v>
      </c>
      <c r="O88" s="51" t="n">
        <f aca="false">IF(O87&gt;0,O87*O49/((O79+O87*O83)/1000),0)</f>
        <v>27688.7951048946</v>
      </c>
      <c r="P88" s="51" t="n">
        <f aca="false">IF(P87&gt;0,P87*P49/((P79+P87*P83)/1000),0)</f>
        <v>8827.9844376456</v>
      </c>
      <c r="Q88" s="51" t="n">
        <f aca="false">IF(Q87&gt;0,Q87*Q49/((Q79+Q87*Q83)/1000),0)</f>
        <v>1834.13386156784</v>
      </c>
    </row>
    <row r="89" customFormat="false" ht="15" hidden="false" customHeight="false" outlineLevel="0" collapsed="false">
      <c r="A89" s="44" t="s">
        <v>696</v>
      </c>
      <c r="B89" s="45" t="s">
        <v>300</v>
      </c>
      <c r="C89" s="56" t="n">
        <f aca="false">IF(C87&gt;0,C49/((C79+C87*C83)/1000),0)</f>
        <v>120</v>
      </c>
      <c r="D89" s="56" t="n">
        <f aca="false">IF(D87&gt;0,D49/((D79+D87*D83)/1000),0)</f>
        <v>65</v>
      </c>
      <c r="E89" s="56" t="n">
        <f aca="false">IF(E87&gt;0,E49/((E79+E87*E83)/1000),0)</f>
        <v>55</v>
      </c>
      <c r="F89" s="56" t="n">
        <f aca="false">IF(F87&gt;0,F49/((F79+F87*F83)/1000),0)</f>
        <v>120</v>
      </c>
      <c r="G89" s="56" t="n">
        <f aca="false">IF(G87&gt;0,G49/((G79+G87*G83)/1000),0)</f>
        <v>65</v>
      </c>
      <c r="H89" s="56" t="n">
        <f aca="false">IF(H87&gt;0,H49/((H79+H87*H83)/1000),0)</f>
        <v>55</v>
      </c>
      <c r="I89" s="56" t="n">
        <f aca="false">IF(I87&gt;0,I49/((I79+I87*I83)/1000),0)</f>
        <v>120</v>
      </c>
      <c r="J89" s="56" t="n">
        <f aca="false">IF(J87&gt;0,J49/((J79+J87*J83)/1000),0)</f>
        <v>65</v>
      </c>
      <c r="K89" s="56" t="n">
        <f aca="false">IF(K87&gt;0,K49/((K79+K87*K83)/1000),0)</f>
        <v>55</v>
      </c>
      <c r="L89" s="56" t="n">
        <f aca="false">IF(L87&gt;0,L49/((L79+L87*L83)/1000),0)</f>
        <v>120</v>
      </c>
      <c r="M89" s="56" t="n">
        <f aca="false">IF(M87&gt;0,M49/((M79+M87*M83)/1000),0)</f>
        <v>65</v>
      </c>
      <c r="N89" s="56" t="n">
        <f aca="false">IF(N87&gt;0,N49/((N79+N87*N83)/1000),0)</f>
        <v>55</v>
      </c>
      <c r="O89" s="56" t="n">
        <f aca="false">IF(O87&gt;0,O49/((O79+O87*O83)/1000),0)</f>
        <v>120</v>
      </c>
      <c r="P89" s="56" t="n">
        <f aca="false">IF(P87&gt;0,P49/((P79+P87*P83)/1000),0)</f>
        <v>65</v>
      </c>
      <c r="Q89" s="56" t="n">
        <f aca="false">IF(Q87&gt;0,Q49/((Q79+Q87*Q83)/1000),0)</f>
        <v>55</v>
      </c>
    </row>
    <row r="90" customFormat="false" ht="15" hidden="false" customHeight="false" outlineLevel="0" collapsed="false">
      <c r="A90" s="44" t="s">
        <v>697</v>
      </c>
      <c r="B90" s="44"/>
      <c r="C90" s="98" t="str">
        <f aca="false">IF(C87&lt;=0,"SLO 不可達",IF(C85&lt;=C86,"SLO（"&amp;C84&amp;"）","HBM 容量"))</f>
        <v>SLO（算力）</v>
      </c>
      <c r="D90" s="98" t="str">
        <f aca="false">IF(D87&lt;=0,"SLO 不可達",IF(D85&lt;=D86,"SLO（"&amp;D84&amp;"）","HBM 容量"))</f>
        <v>SLO（算力）</v>
      </c>
      <c r="E90" s="98" t="str">
        <f aca="false">IF(E87&lt;=0,"SLO 不可達",IF(E85&lt;=E86,"SLO（"&amp;E84&amp;"）","HBM 容量"))</f>
        <v>SLO（算力）</v>
      </c>
      <c r="F90" s="98" t="str">
        <f aca="false">IF(F87&lt;=0,"SLO 不可達",IF(F85&lt;=F86,"SLO（"&amp;F84&amp;"）","HBM 容量"))</f>
        <v>SLO（算力）</v>
      </c>
      <c r="G90" s="98" t="str">
        <f aca="false">IF(G87&lt;=0,"SLO 不可達",IF(G85&lt;=G86,"SLO（"&amp;G84&amp;"）","HBM 容量"))</f>
        <v>SLO（算力）</v>
      </c>
      <c r="H90" s="98" t="str">
        <f aca="false">IF(H87&lt;=0,"SLO 不可達",IF(H85&lt;=H86,"SLO（"&amp;H84&amp;"）","HBM 容量"))</f>
        <v>SLO（算力）</v>
      </c>
      <c r="I90" s="98" t="str">
        <f aca="false">IF(I87&lt;=0,"SLO 不可達",IF(I85&lt;=I86,"SLO（"&amp;I84&amp;"）","HBM 容量"))</f>
        <v>SLO（算力）</v>
      </c>
      <c r="J90" s="98" t="str">
        <f aca="false">IF(J87&lt;=0,"SLO 不可達",IF(J85&lt;=J86,"SLO（"&amp;J84&amp;"）","HBM 容量"))</f>
        <v>SLO（算力）</v>
      </c>
      <c r="K90" s="98" t="str">
        <f aca="false">IF(K87&lt;=0,"SLO 不可達",IF(K85&lt;=K86,"SLO（"&amp;K84&amp;"）","HBM 容量"))</f>
        <v>SLO（算力）</v>
      </c>
      <c r="L90" s="98" t="str">
        <f aca="false">IF(L87&lt;=0,"SLO 不可達",IF(L85&lt;=L86,"SLO（"&amp;L84&amp;"）","HBM 容量"))</f>
        <v>SLO（算力）</v>
      </c>
      <c r="M90" s="98" t="str">
        <f aca="false">IF(M87&lt;=0,"SLO 不可達",IF(M85&lt;=M86,"SLO（"&amp;M84&amp;"）","HBM 容量"))</f>
        <v>SLO（算力）</v>
      </c>
      <c r="N90" s="98" t="str">
        <f aca="false">IF(N87&lt;=0,"SLO 不可達",IF(N85&lt;=N86,"SLO（"&amp;N84&amp;"）","HBM 容量"))</f>
        <v>SLO（算力）</v>
      </c>
      <c r="O90" s="98" t="str">
        <f aca="false">IF(O87&lt;=0,"SLO 不可達",IF(O85&lt;=O86,"SLO（"&amp;O84&amp;"）","HBM 容量"))</f>
        <v>SLO（算力）</v>
      </c>
      <c r="P90" s="98" t="str">
        <f aca="false">IF(P87&lt;=0,"SLO 不可達",IF(P85&lt;=P86,"SLO（"&amp;P84&amp;"）","HBM 容量"))</f>
        <v>SLO（算力）</v>
      </c>
      <c r="Q90" s="98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45" t="s">
        <v>698</v>
      </c>
      <c r="B91" s="45" t="s">
        <v>57</v>
      </c>
      <c r="C91" s="67" t="n">
        <f aca="false">C87*C34*C45/1000000000/C69</f>
        <v>0.00167665156755513</v>
      </c>
      <c r="D91" s="67" t="n">
        <f aca="false">D87*D34*D45/1000000000/D69</f>
        <v>0.00252579173134583</v>
      </c>
      <c r="E91" s="67" t="n">
        <f aca="false">E87*E34*E45/1000000000/E69</f>
        <v>0.0127407853992975</v>
      </c>
      <c r="F91" s="67" t="n">
        <f aca="false">F87*F34*F45/1000000000/F69</f>
        <v>0.00423836095075208</v>
      </c>
      <c r="G91" s="67" t="n">
        <f aca="false">G87*G34*G45/1000000000/G69</f>
        <v>0.00630081615285947</v>
      </c>
      <c r="H91" s="67" t="n">
        <f aca="false">H87*H34*H45/1000000000/H69</f>
        <v>0.0372089251055722</v>
      </c>
      <c r="I91" s="67" t="n">
        <f aca="false">I87*I34*I45/1000000000/I69</f>
        <v>0.00410591217104107</v>
      </c>
      <c r="J91" s="67" t="n">
        <f aca="false">J87*J34*J45/1000000000/J69</f>
        <v>0.00610391564808262</v>
      </c>
      <c r="K91" s="67" t="n">
        <f aca="false">K87*K34*K45/1000000000/K69</f>
        <v>0.0290022036965245</v>
      </c>
      <c r="L91" s="67" t="n">
        <f aca="false">L87*L34*L45/1000000000/L69</f>
        <v>0.0102116513997475</v>
      </c>
      <c r="M91" s="67" t="n">
        <f aca="false">M87*M34*M45/1000000000/M69</f>
        <v>0.0166397992902352</v>
      </c>
      <c r="N91" s="67" t="n">
        <f aca="false">N87*N34*N45/1000000000/N69</f>
        <v>0.110983493764364</v>
      </c>
      <c r="O91" s="67" t="n">
        <f aca="false">O87*O34*O45/1000000000/O69</f>
        <v>0.00609089397874568</v>
      </c>
      <c r="P91" s="67" t="n">
        <f aca="false">P87*P34*P45/1000000000/P69</f>
        <v>0.0101717998464872</v>
      </c>
      <c r="Q91" s="67" t="n">
        <f aca="false">Q87*Q34*Q45/1000000000/Q69</f>
        <v>0.072565005141302</v>
      </c>
    </row>
    <row r="92" customFormat="false" ht="15" hidden="false" customHeight="false" outlineLevel="0" collapsed="false">
      <c r="A92" s="72" t="s">
        <v>699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</row>
    <row r="93" customFormat="false" ht="15" hidden="false" customHeight="false" outlineLevel="0" collapsed="false">
      <c r="A93" s="44" t="s">
        <v>700</v>
      </c>
      <c r="B93" s="45" t="s">
        <v>701</v>
      </c>
      <c r="C93" s="99" t="n">
        <f aca="false">IF(C88&gt;0,C43/C75+C44/C88,0)</f>
        <v>2.76815396970875</v>
      </c>
      <c r="D93" s="99" t="n">
        <f aca="false">IF(D88&gt;0,D43/D75+D44/D88,0)</f>
        <v>19.3161832766965</v>
      </c>
      <c r="E93" s="99" t="n">
        <f aca="false">IF(E88&gt;0,E43/E75+E44/E88,0)</f>
        <v>211.434107227057</v>
      </c>
      <c r="F93" s="99" t="n">
        <f aca="false">IF(F88&gt;0,F43/F75+F44/F88,0)</f>
        <v>0.396342291946453</v>
      </c>
      <c r="G93" s="99" t="n">
        <f aca="false">IF(G88&gt;0,G43/G75+G44/G88,0)</f>
        <v>2.78988436963207</v>
      </c>
      <c r="H93" s="99" t="n">
        <f aca="false">IF(H88&gt;0,H43/H75+H44/H88,0)</f>
        <v>28.7888352427063</v>
      </c>
      <c r="I93" s="99" t="n">
        <f aca="false">IF(I88&gt;0,I43/I75+I44/I88,0)</f>
        <v>0.264228194630968</v>
      </c>
      <c r="J93" s="99" t="n">
        <f aca="false">IF(J88&gt;0,J43/J75+J44/J88,0)</f>
        <v>1.85992291308805</v>
      </c>
      <c r="K93" s="99" t="n">
        <f aca="false">IF(K88&gt;0,K43/K75+K44/K88,0)</f>
        <v>23.0748612114697</v>
      </c>
      <c r="L93" s="99" t="n">
        <f aca="false">IF(L88&gt;0,L43/L75+L44/L88,0)</f>
        <v>0.108073376361825</v>
      </c>
      <c r="M93" s="99" t="n">
        <f aca="false">IF(M88&gt;0,M43/M75+M44/M88,0)</f>
        <v>0.712237124347245</v>
      </c>
      <c r="N93" s="99" t="n">
        <f aca="false">IF(N88&gt;0,N43/N75+N44/N88,0)</f>
        <v>6.56643907356878</v>
      </c>
      <c r="O93" s="99" t="n">
        <f aca="false">IF(O88&gt;0,O43/O75+O44/O88,0)</f>
        <v>0.051194508572236</v>
      </c>
      <c r="P93" s="99" t="n">
        <f aca="false">IF(P88&gt;0,P43/P75+P44/P88,0)</f>
        <v>0.331720701372698</v>
      </c>
      <c r="Q93" s="99" t="n">
        <f aca="false">IF(Q88&gt;0,Q43/Q75+Q44/Q88,0)</f>
        <v>2.8923531642993</v>
      </c>
    </row>
    <row r="94" customFormat="false" ht="15" hidden="false" customHeight="false" outlineLevel="0" collapsed="false">
      <c r="A94" s="45" t="s">
        <v>702</v>
      </c>
      <c r="B94" s="45" t="s">
        <v>57</v>
      </c>
      <c r="C94" s="67" t="n">
        <f aca="false">IF(C93&gt;0,(C43/C75)/C93,0)</f>
        <v>0.378767959443341</v>
      </c>
      <c r="D94" s="67" t="n">
        <f aca="false">IF(D93&gt;0,(D43/D75)/D93,0)</f>
        <v>0.380904974686525</v>
      </c>
      <c r="E94" s="67" t="n">
        <f aca="false">IF(E93&gt;0,(E43/E75)/E93,0)</f>
        <v>0.229992647381625</v>
      </c>
      <c r="F94" s="67" t="n">
        <f aca="false">IF(F93&gt;0,(F43/F75)/F93,0)</f>
        <v>0.261763361440912</v>
      </c>
      <c r="G94" s="67" t="n">
        <f aca="false">IF(G93&gt;0,(G43/G75)/G93,0)</f>
        <v>0.260956162310016</v>
      </c>
      <c r="H94" s="67" t="n">
        <f aca="false">IF(H93&gt;0,(H43/H75)/H93,0)</f>
        <v>0.167140117398111</v>
      </c>
      <c r="I94" s="67" t="n">
        <f aca="false">IF(I93&gt;0,(I43/I75)/I93,0)</f>
        <v>0.261763361440912</v>
      </c>
      <c r="J94" s="67" t="n">
        <f aca="false">IF(J93&gt;0,(J43/J75)/J93,0)</f>
        <v>0.260956162310016</v>
      </c>
      <c r="K94" s="67" t="n">
        <f aca="false">IF(K93&gt;0,(K43/K75)/K93,0)</f>
        <v>0.139019089739358</v>
      </c>
      <c r="L94" s="67" t="n">
        <f aca="false">IF(L93&gt;0,(L43/L75)/L93,0)</f>
        <v>0.274278971019929</v>
      </c>
      <c r="M94" s="67" t="n">
        <f aca="false">IF(M93&gt;0,(M43/M75)/M93,0)</f>
        <v>0.292052621842808</v>
      </c>
      <c r="N94" s="67" t="n">
        <f aca="false">IF(N93&gt;0,(N43/N75)/N93,0)</f>
        <v>0.209366326833024</v>
      </c>
      <c r="O94" s="67" t="n">
        <f aca="false">IF(O93&gt;0,(O43/O75)/O93,0)</f>
        <v>0.27760867732632</v>
      </c>
      <c r="P94" s="67" t="n">
        <f aca="false">IF(P93&gt;0,(P43/P75)/P93,0)</f>
        <v>0.300648004449981</v>
      </c>
      <c r="Q94" s="67" t="n">
        <f aca="false">IF(Q93&gt;0,(Q43/Q75)/Q93,0)</f>
        <v>0.227892806415277</v>
      </c>
    </row>
    <row r="95" customFormat="false" ht="15" hidden="false" customHeight="false" outlineLevel="0" collapsed="false">
      <c r="A95" s="44" t="s">
        <v>703</v>
      </c>
      <c r="B95" s="45" t="s">
        <v>300</v>
      </c>
      <c r="C95" s="51" t="n">
        <f aca="false">IF(C93&gt;0,C22*(C43+C44)/C93,0)</f>
        <v>106537.426468019</v>
      </c>
      <c r="D95" s="51" t="n">
        <f aca="false">IF(D93&gt;0,D22*(D43+D44)/D93,0)</f>
        <v>30535.2248708252</v>
      </c>
      <c r="E95" s="51" t="n">
        <f aca="false">IF(E93&gt;0,E22*(E43+E44)/E93,0)</f>
        <v>5579.27013513099</v>
      </c>
      <c r="F95" s="51" t="n">
        <f aca="false">IF(F93&gt;0,F22*(F43+F44)/F93,0)</f>
        <v>1674189.23865346</v>
      </c>
      <c r="G95" s="51" t="n">
        <f aca="false">IF(G93&gt;0,G22*(G43+G44)/G93,0)</f>
        <v>475684.230660434</v>
      </c>
      <c r="H95" s="51" t="n">
        <f aca="false">IF(H93&gt;0,H22*(H43+H44)/H93,0)</f>
        <v>92195.7410789118</v>
      </c>
      <c r="I95" s="51" t="n">
        <f aca="false">IF(I93&gt;0,I22*(I43+I44)/I93,0)</f>
        <v>2511283.85798019</v>
      </c>
      <c r="J95" s="51" t="n">
        <f aca="false">IF(J93&gt;0,J22*(J43+J44)/J93,0)</f>
        <v>713526.345990651</v>
      </c>
      <c r="K95" s="51" t="n">
        <f aca="false">IF(K93&gt;0,K22*(K43+K44)/K93,0)</f>
        <v>115025.957282061</v>
      </c>
      <c r="L95" s="51" t="n">
        <f aca="false">IF(L93&gt;0,L22*(L43+L44)/L93,0)</f>
        <v>6139828.53444362</v>
      </c>
      <c r="M95" s="51" t="n">
        <f aca="false">IF(M93&gt;0,M22*(M43+M44)/M93,0)</f>
        <v>1863289.56275099</v>
      </c>
      <c r="N95" s="51" t="n">
        <f aca="false">IF(N93&gt;0,N22*(N43+N44)/N93,0)</f>
        <v>404208.12106271</v>
      </c>
      <c r="O95" s="51" t="n">
        <f aca="false">IF(O93&gt;0,O22*(O43+O44)/O93,0)</f>
        <v>25922780.3335087</v>
      </c>
      <c r="P95" s="51" t="n">
        <f aca="false">IF(P93&gt;0,P22*(P43+P44)/P93,0)</f>
        <v>8001333.61896495</v>
      </c>
      <c r="Q95" s="51" t="n">
        <f aca="false">IF(Q93&gt;0,Q22*(Q43+Q44)/Q93,0)</f>
        <v>1835327.74127395</v>
      </c>
    </row>
    <row r="96" customFormat="false" ht="15" hidden="false" customHeight="false" outlineLevel="0" collapsed="false">
      <c r="A96" s="44" t="s">
        <v>704</v>
      </c>
      <c r="B96" s="45" t="s">
        <v>300</v>
      </c>
      <c r="C96" s="56" t="n">
        <f aca="false">C95*C44/(C43+C44)</f>
        <v>11837.4918297798</v>
      </c>
      <c r="D96" s="56" t="n">
        <f aca="false">D95*D44/(D43+D44)</f>
        <v>3392.80276342502</v>
      </c>
      <c r="E96" s="56" t="n">
        <f aca="false">E95*E44/(E43+E44)</f>
        <v>619.918903903443</v>
      </c>
      <c r="F96" s="56" t="n">
        <f aca="false">F95*F44/(F43+F44)</f>
        <v>186021.026517051</v>
      </c>
      <c r="G96" s="56" t="n">
        <f aca="false">G95*G44/(G43+G44)</f>
        <v>52853.8034067149</v>
      </c>
      <c r="H96" s="56" t="n">
        <f aca="false">H95*H44/(H43+H44)</f>
        <v>10243.9712309902</v>
      </c>
      <c r="I96" s="56" t="n">
        <f aca="false">I95*I44/(I43+I44)</f>
        <v>279031.539775577</v>
      </c>
      <c r="J96" s="56" t="n">
        <f aca="false">J95*J44/(J43+J44)</f>
        <v>79280.7051100723</v>
      </c>
      <c r="K96" s="56" t="n">
        <f aca="false">K95*K44/(K43+K44)</f>
        <v>12780.661920229</v>
      </c>
      <c r="L96" s="56" t="n">
        <f aca="false">L95*L44/(L43+L44)</f>
        <v>682203.170493735</v>
      </c>
      <c r="M96" s="56" t="n">
        <f aca="false">M95*M44/(M43+M44)</f>
        <v>207032.173638999</v>
      </c>
      <c r="N96" s="56" t="n">
        <f aca="false">N95*N44/(N43+N44)</f>
        <v>44912.0134514122</v>
      </c>
      <c r="O96" s="56" t="n">
        <f aca="false">O95*O44/(O43+O44)</f>
        <v>2880308.92594541</v>
      </c>
      <c r="P96" s="56" t="n">
        <f aca="false">P95*P44/(P43+P44)</f>
        <v>889037.068773883</v>
      </c>
      <c r="Q96" s="56" t="n">
        <f aca="false">Q95*Q44/(Q43+Q44)</f>
        <v>203925.304585995</v>
      </c>
    </row>
    <row r="97" customFormat="false" ht="15" hidden="false" customHeight="false" outlineLevel="0" collapsed="false">
      <c r="A97" s="44" t="s">
        <v>705</v>
      </c>
      <c r="B97" s="45" t="s">
        <v>300</v>
      </c>
      <c r="C97" s="56" t="n">
        <f aca="false">C95-C96</f>
        <v>94699.9346382387</v>
      </c>
      <c r="D97" s="56" t="n">
        <f aca="false">D95-D96</f>
        <v>27142.4221074002</v>
      </c>
      <c r="E97" s="56" t="n">
        <f aca="false">E95-E96</f>
        <v>4959.35123122755</v>
      </c>
      <c r="F97" s="56" t="n">
        <f aca="false">F95-F96</f>
        <v>1488168.21213641</v>
      </c>
      <c r="G97" s="56" t="n">
        <f aca="false">G95-G96</f>
        <v>422830.427253719</v>
      </c>
      <c r="H97" s="56" t="n">
        <f aca="false">H95-H96</f>
        <v>81951.7698479216</v>
      </c>
      <c r="I97" s="56" t="n">
        <f aca="false">I95-I96</f>
        <v>2232252.31820462</v>
      </c>
      <c r="J97" s="56" t="n">
        <f aca="false">J95-J96</f>
        <v>634245.640880578</v>
      </c>
      <c r="K97" s="56" t="n">
        <f aca="false">K95-K96</f>
        <v>102245.295361832</v>
      </c>
      <c r="L97" s="56" t="n">
        <f aca="false">L95-L96</f>
        <v>5457625.36394988</v>
      </c>
      <c r="M97" s="56" t="n">
        <f aca="false">M95-M96</f>
        <v>1656257.38911199</v>
      </c>
      <c r="N97" s="56" t="n">
        <f aca="false">N95-N96</f>
        <v>359296.107611298</v>
      </c>
      <c r="O97" s="56" t="n">
        <f aca="false">O95-O96</f>
        <v>23042471.4075633</v>
      </c>
      <c r="P97" s="56" t="n">
        <f aca="false">P95-P96</f>
        <v>7112296.55019106</v>
      </c>
      <c r="Q97" s="56" t="n">
        <f aca="false">Q95-Q96</f>
        <v>1631402.43668796</v>
      </c>
    </row>
    <row r="98" customFormat="false" ht="15" hidden="false" customHeight="false" outlineLevel="0" collapsed="false">
      <c r="A98" s="44" t="s">
        <v>706</v>
      </c>
      <c r="B98" s="45" t="s">
        <v>707</v>
      </c>
      <c r="C98" s="51" t="n">
        <f aca="false">C95*C25*8760*3600/1000000</f>
        <v>75389750703.5004</v>
      </c>
      <c r="D98" s="51" t="n">
        <f aca="false">D95*D25*8760*3600/1000000</f>
        <v>21607833669.3996</v>
      </c>
      <c r="E98" s="51" t="n">
        <f aca="false">E95*E25*8760*3600/1000000</f>
        <v>3948094097.44167</v>
      </c>
      <c r="F98" s="51" t="n">
        <f aca="false">F95*F25*8760*3600/1000000</f>
        <v>373593212430.323</v>
      </c>
      <c r="G98" s="51" t="n">
        <f aca="false">G95*G25*8760*3600/1000000</f>
        <v>106148334807.008</v>
      </c>
      <c r="H98" s="51" t="n">
        <f aca="false">H95*H25*8760*3600/1000000</f>
        <v>20573363086.3425</v>
      </c>
      <c r="I98" s="51" t="n">
        <f aca="false">I95*I25*8760*3600/1000000</f>
        <v>531800117609.444</v>
      </c>
      <c r="J98" s="51" t="n">
        <f aca="false">J95*J25*8760*3600/1000000</f>
        <v>151099364378.687</v>
      </c>
      <c r="K98" s="51" t="n">
        <f aca="false">K95*K25*8760*3600/1000000</f>
        <v>24358384424.1081</v>
      </c>
      <c r="L98" s="51" t="n">
        <f aca="false">L95*L25*8760*3600/1000000</f>
        <v>784571063547.291</v>
      </c>
      <c r="M98" s="51" t="n">
        <f aca="false">M95*M25*8760*3600/1000000</f>
        <v>238098354985.508</v>
      </c>
      <c r="N98" s="51" t="n">
        <f aca="false">N95*N25*8760*3600/1000000</f>
        <v>51651278803.2379</v>
      </c>
      <c r="O98" s="51" t="n">
        <f aca="false">O95*O25*8760*3600/1000000</f>
        <v>1253228727316.01</v>
      </c>
      <c r="P98" s="51" t="n">
        <f aca="false">P95*P25*8760*3600/1000000</f>
        <v>386821977392.771</v>
      </c>
      <c r="Q98" s="51" t="n">
        <f aca="false">Q95*Q25*8760*3600/1000000</f>
        <v>88728347029.634</v>
      </c>
    </row>
    <row r="99" customFormat="false" ht="15" hidden="false" customHeight="false" outlineLevel="0" collapsed="false">
      <c r="A99" s="44" t="s">
        <v>708</v>
      </c>
      <c r="B99" s="45" t="s">
        <v>707</v>
      </c>
      <c r="C99" s="56" t="n">
        <f aca="false">C96*C25*8760*3600/1000000</f>
        <v>8376638967.0556</v>
      </c>
      <c r="D99" s="56" t="n">
        <f aca="false">D96*D25*8760*3600/1000000</f>
        <v>2400870407.71107</v>
      </c>
      <c r="E99" s="56" t="n">
        <f aca="false">E96*E25*8760*3600/1000000</f>
        <v>438677121.937964</v>
      </c>
      <c r="F99" s="56" t="n">
        <f aca="false">F96*F25*8760*3600/1000000</f>
        <v>41510356936.7025</v>
      </c>
      <c r="G99" s="56" t="n">
        <f aca="false">G96*G25*8760*3600/1000000</f>
        <v>11794259423.0009</v>
      </c>
      <c r="H99" s="56" t="n">
        <f aca="false">H96*H25*8760*3600/1000000</f>
        <v>2285929231.81583</v>
      </c>
      <c r="I99" s="56" t="n">
        <f aca="false">I96*I25*8760*3600/1000000</f>
        <v>59088901956.6049</v>
      </c>
      <c r="J99" s="56" t="n">
        <f aca="false">J96*J25*8760*3600/1000000</f>
        <v>16788818264.2986</v>
      </c>
      <c r="K99" s="56" t="n">
        <f aca="false">K96*K25*8760*3600/1000000</f>
        <v>2706487158.23423</v>
      </c>
      <c r="L99" s="56" t="n">
        <f aca="false">L96*L25*8760*3600/1000000</f>
        <v>87174562616.3656</v>
      </c>
      <c r="M99" s="56" t="n">
        <f aca="false">M96*M25*8760*3600/1000000</f>
        <v>26455372776.1676</v>
      </c>
      <c r="N99" s="56" t="n">
        <f aca="false">N96*N25*8760*3600/1000000</f>
        <v>5739030978.13754</v>
      </c>
      <c r="O99" s="56" t="n">
        <f aca="false">O96*O25*8760*3600/1000000</f>
        <v>139247636368.446</v>
      </c>
      <c r="P99" s="56" t="n">
        <f aca="false">P96*P25*8760*3600/1000000</f>
        <v>42980219710.3079</v>
      </c>
      <c r="Q99" s="56" t="n">
        <f aca="false">Q96*Q25*8760*3600/1000000</f>
        <v>9858705225.51489</v>
      </c>
    </row>
    <row r="100" customFormat="false" ht="15" hidden="false" customHeight="false" outlineLevel="0" collapsed="false">
      <c r="A100" s="72" t="s">
        <v>709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</row>
    <row r="101" customFormat="false" ht="15" hidden="false" customHeight="false" outlineLevel="0" collapsed="false">
      <c r="A101" s="44" t="s">
        <v>710</v>
      </c>
      <c r="B101" s="45" t="s">
        <v>711</v>
      </c>
      <c r="C101" s="55" t="n">
        <f aca="false">1000000/C75</f>
        <v>127.989261539498</v>
      </c>
      <c r="D101" s="55" t="n">
        <f aca="false">1000000/D75</f>
        <v>449.074115115378</v>
      </c>
      <c r="E101" s="55" t="n">
        <f aca="false">1000000/E75</f>
        <v>1484.01764123295</v>
      </c>
      <c r="F101" s="55" t="n">
        <f aca="false">1000000/F75</f>
        <v>12.6645374293333</v>
      </c>
      <c r="G101" s="55" t="n">
        <f aca="false">1000000/G75</f>
        <v>44.4358836906667</v>
      </c>
      <c r="H101" s="55" t="n">
        <f aca="false">1000000/H75</f>
        <v>146.8435456</v>
      </c>
      <c r="I101" s="55" t="n">
        <f aca="false">1000000/I75</f>
        <v>8.44302495288889</v>
      </c>
      <c r="J101" s="55" t="n">
        <f aca="false">1000000/J75</f>
        <v>29.6239224604444</v>
      </c>
      <c r="K101" s="55" t="n">
        <f aca="false">1000000/K75</f>
        <v>97.8956970666667</v>
      </c>
      <c r="L101" s="55" t="n">
        <f aca="false">1000000/L75</f>
        <v>3.61843926552381</v>
      </c>
      <c r="M101" s="55" t="n">
        <f aca="false">1000000/M75</f>
        <v>12.6959667687619</v>
      </c>
      <c r="N101" s="55" t="n">
        <f aca="false">1000000/N75</f>
        <v>41.9552987428571</v>
      </c>
      <c r="O101" s="55" t="n">
        <f aca="false">1000000/O75</f>
        <v>1.73486814100457</v>
      </c>
      <c r="P101" s="55" t="n">
        <f aca="false">1000000/P75</f>
        <v>6.08710735488584</v>
      </c>
      <c r="Q101" s="55" t="n">
        <f aca="false">1000000/Q75</f>
        <v>20.1155541917808</v>
      </c>
    </row>
    <row r="102" customFormat="false" ht="15" hidden="false" customHeight="false" outlineLevel="0" collapsed="false">
      <c r="A102" s="44" t="s">
        <v>712</v>
      </c>
      <c r="B102" s="45" t="s">
        <v>711</v>
      </c>
      <c r="C102" s="100" t="n">
        <f aca="false">1000000*C34/(C62*1000000000000)</f>
        <v>0.02795</v>
      </c>
      <c r="D102" s="100" t="n">
        <f aca="false">1000000*D34/(D62*1000000000000)</f>
        <v>0.03965</v>
      </c>
      <c r="E102" s="100" t="n">
        <f aca="false">1000000*E34/(E62*1000000000000)</f>
        <v>0.576</v>
      </c>
      <c r="F102" s="100" t="n">
        <f aca="false">1000000*F34/(F62*1000000000000)</f>
        <v>0.02795</v>
      </c>
      <c r="G102" s="100" t="n">
        <f aca="false">1000000*G34/(G62*1000000000000)</f>
        <v>0.03965</v>
      </c>
      <c r="H102" s="100" t="n">
        <f aca="false">1000000*H34/(H62*1000000000000)</f>
        <v>0.576</v>
      </c>
      <c r="I102" s="100" t="n">
        <f aca="false">1000000*I34/(I62*1000000000000)</f>
        <v>0.02795</v>
      </c>
      <c r="J102" s="100" t="n">
        <f aca="false">1000000*J34/(J62*1000000000000)</f>
        <v>0.03965</v>
      </c>
      <c r="K102" s="100" t="n">
        <f aca="false">1000000*K34/(K62*1000000000000)</f>
        <v>0.576</v>
      </c>
      <c r="L102" s="100" t="n">
        <f aca="false">1000000*L34/(L62*1000000000000)</f>
        <v>0.02795</v>
      </c>
      <c r="M102" s="100" t="n">
        <f aca="false">1000000*M34/(M62*1000000000000)</f>
        <v>0.03965</v>
      </c>
      <c r="N102" s="100" t="n">
        <f aca="false">1000000*N34/(N62*1000000000000)</f>
        <v>0.576</v>
      </c>
      <c r="O102" s="100" t="n">
        <f aca="false">1000000*O34/(O62*1000000000000)</f>
        <v>0.02795</v>
      </c>
      <c r="P102" s="100" t="n">
        <f aca="false">1000000*P34/(P62*1000000000000)</f>
        <v>0.03965</v>
      </c>
      <c r="Q102" s="100" t="n">
        <f aca="false">1000000*Q34/(Q62*1000000000000)</f>
        <v>0.576</v>
      </c>
    </row>
    <row r="103" customFormat="false" ht="15" hidden="false" customHeight="false" outlineLevel="0" collapsed="false">
      <c r="A103" s="45" t="s">
        <v>713</v>
      </c>
      <c r="B103" s="45" t="s">
        <v>711</v>
      </c>
      <c r="C103" s="55" t="n">
        <f aca="false">IF(C88&gt;0,1000000/C88,0)</f>
        <v>1679.36126872772</v>
      </c>
      <c r="D103" s="55" t="n">
        <f aca="false">IF(D88&gt;0,1000000/D88,0)</f>
        <v>5839.13719465143</v>
      </c>
      <c r="E103" s="55" t="n">
        <f aca="false">IF(E88&gt;0,1000000/E88,0)</f>
        <v>39747.513954867</v>
      </c>
      <c r="F103" s="55" t="n">
        <f aca="false">IF(F88&gt;0,1000000/F88,0)</f>
        <v>285.736720044291</v>
      </c>
      <c r="G103" s="55" t="n">
        <f aca="false">IF(G88&gt;0,1000000/G88,0)</f>
        <v>1006.76115783408</v>
      </c>
      <c r="H103" s="55" t="n">
        <f aca="false">IF(H88&gt;0,1000000/H88,0)</f>
        <v>5853.77586437634</v>
      </c>
      <c r="I103" s="55" t="n">
        <f aca="false">IF(I88&gt;0,1000000/I88,0)</f>
        <v>190.491146696194</v>
      </c>
      <c r="J103" s="55" t="n">
        <f aca="false">IF(J88&gt;0,1000000/J88,0)</f>
        <v>671.174105222717</v>
      </c>
      <c r="K103" s="55" t="n">
        <f aca="false">IF(K88&gt;0,1000000/K88,0)</f>
        <v>4850.34546142314</v>
      </c>
      <c r="L103" s="55" t="n">
        <f aca="false">IF(L88&gt;0,1000000/L88,0)</f>
        <v>76.5928924791547</v>
      </c>
      <c r="M103" s="55" t="n">
        <f aca="false">IF(M88&gt;0,1000000/M88,0)</f>
        <v>246.204299222583</v>
      </c>
      <c r="N103" s="55" t="n">
        <f aca="false">IF(N88&gt;0,1000000/N88,0)</f>
        <v>1267.49214950265</v>
      </c>
      <c r="O103" s="55" t="n">
        <f aca="false">IF(O88&gt;0,1000000/O88,0)</f>
        <v>36.1156921495377</v>
      </c>
      <c r="P103" s="55" t="n">
        <f aca="false">IF(P88&gt;0,1000000/P88,0)</f>
        <v>113.276139878051</v>
      </c>
      <c r="Q103" s="55" t="n">
        <f aca="false">IF(Q88&gt;0,1000000/Q88,0)</f>
        <v>545.216475718512</v>
      </c>
    </row>
    <row r="104" customFormat="false" ht="15" hidden="false" customHeight="false" outlineLevel="0" collapsed="false">
      <c r="A104" s="44" t="s">
        <v>714</v>
      </c>
      <c r="B104" s="45" t="s">
        <v>715</v>
      </c>
      <c r="C104" s="101" t="n">
        <f aca="false">INDEX(DC_Cost!$C$58:$Q$58,3*(C$6-1)+2)/3600*C101</f>
        <v>0.0570629192423047</v>
      </c>
      <c r="D104" s="101" t="n">
        <f aca="false">INDEX(DC_Cost!$C$58:$Q$58,3*(D$6-1)+2)/3600*D101</f>
        <v>0.200215859177609</v>
      </c>
      <c r="E104" s="101" t="n">
        <f aca="false">INDEX(DC_Cost!$C$58:$Q$58,3*(E$6-1)+2)/3600*E101</f>
        <v>0.661636591986257</v>
      </c>
      <c r="F104" s="101" t="n">
        <f aca="false">INDEX(DC_Cost!$C$58:$Q$58,3*(F$6-1)+2)/3600*F101</f>
        <v>0.00730590684102865</v>
      </c>
      <c r="G104" s="101" t="n">
        <f aca="false">INDEX(DC_Cost!$C$58:$Q$58,3*(G$6-1)+2)/3600*G101</f>
        <v>0.0256341321942687</v>
      </c>
      <c r="H104" s="101" t="n">
        <f aca="false">INDEX(DC_Cost!$C$58:$Q$58,3*(H$6-1)+2)/3600*H101</f>
        <v>0.0847109711149092</v>
      </c>
      <c r="I104" s="101" t="n">
        <f aca="false">INDEX(DC_Cost!$C$58:$Q$58,3*(I$6-1)+2)/3600*I101</f>
        <v>0.00700656828083046</v>
      </c>
      <c r="J104" s="101" t="n">
        <f aca="false">INDEX(DC_Cost!$C$58:$Q$58,3*(J$6-1)+2)/3600*J101</f>
        <v>0.0245838472139196</v>
      </c>
      <c r="K104" s="101" t="n">
        <f aca="false">INDEX(DC_Cost!$C$58:$Q$58,3*(K$6-1)+2)/3600*K101</f>
        <v>0.0812401822479987</v>
      </c>
      <c r="L104" s="101" t="n">
        <f aca="false">INDEX(DC_Cost!$C$58:$Q$58,3*(L$6-1)+2)/3600*L101</f>
        <v>0.00474086184926097</v>
      </c>
      <c r="M104" s="101" t="n">
        <f aca="false">INDEX(DC_Cost!$C$58:$Q$58,3*(M$6-1)+2)/3600*M101</f>
        <v>0.0166341950428717</v>
      </c>
      <c r="N104" s="101" t="n">
        <f aca="false">INDEX(DC_Cost!$C$58:$Q$58,3*(N$6-1)+2)/3600*N101</f>
        <v>0.054969632095114</v>
      </c>
      <c r="O104" s="101" t="n">
        <f aca="false">INDEX(DC_Cost!$C$58:$Q$58,3*(O$6-1)+2)/3600*O101</f>
        <v>0.0041784721689812</v>
      </c>
      <c r="P104" s="101" t="n">
        <f aca="false">INDEX(DC_Cost!$C$58:$Q$58,3*(P$6-1)+2)/3600*P101</f>
        <v>0.014660946311034</v>
      </c>
      <c r="Q104" s="101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44" t="s">
        <v>716</v>
      </c>
      <c r="B105" s="45" t="s">
        <v>715</v>
      </c>
      <c r="C105" s="101" t="n">
        <f aca="false">IF(C103&gt;0,INDEX(DC_Cost!$C$58:$Q$58,3*(C$6-1)+2)/3600*C103,0)</f>
        <v>0.748728880090389</v>
      </c>
      <c r="D105" s="101" t="n">
        <f aca="false">IF(D103&gt;0,INDEX(DC_Cost!$C$58:$Q$58,3*(D$6-1)+2)/3600*D103,0)</f>
        <v>2.60332945260651</v>
      </c>
      <c r="E105" s="101" t="n">
        <f aca="false">IF(E103&gt;0,INDEX(DC_Cost!$C$58:$Q$58,3*(E$6-1)+2)/3600*E103,0)</f>
        <v>17.7210896571117</v>
      </c>
      <c r="F105" s="101" t="n">
        <f aca="false">IF(F103&gt;0,INDEX(DC_Cost!$C$58:$Q$58,3*(F$6-1)+2)/3600*F103,0)</f>
        <v>0.164835539343861</v>
      </c>
      <c r="G105" s="101" t="n">
        <f aca="false">IF(G103&gt;0,INDEX(DC_Cost!$C$58:$Q$58,3*(G$6-1)+2)/3600*G103,0)</f>
        <v>0.580779461653743</v>
      </c>
      <c r="H105" s="101" t="n">
        <f aca="false">IF(H103&gt;0,INDEX(DC_Cost!$C$58:$Q$58,3*(H$6-1)+2)/3600*H103,0)</f>
        <v>3.37692089995637</v>
      </c>
      <c r="I105" s="101" t="n">
        <f aca="false">IF(I103&gt;0,INDEX(DC_Cost!$C$58:$Q$58,3*(I$6-1)+2)/3600*I103,0)</f>
        <v>0.15808187630239</v>
      </c>
      <c r="J105" s="101" t="n">
        <f aca="false">IF(J103&gt;0,INDEX(DC_Cost!$C$58:$Q$58,3*(J$6-1)+2)/3600*J103,0)</f>
        <v>0.556983690420006</v>
      </c>
      <c r="K105" s="101" t="n">
        <f aca="false">IF(K103&gt;0,INDEX(DC_Cost!$C$58:$Q$58,3*(K$6-1)+2)/3600*K103,0)</f>
        <v>4.02513043023155</v>
      </c>
      <c r="L105" s="101" t="n">
        <f aca="false">IF(L103&gt;0,INDEX(DC_Cost!$C$58:$Q$58,3*(L$6-1)+2)/3600*L103,0)</f>
        <v>0.1003516420294</v>
      </c>
      <c r="M105" s="101" t="n">
        <f aca="false">IF(M103&gt;0,INDEX(DC_Cost!$C$58:$Q$58,3*(M$6-1)+2)/3600*M103,0)</f>
        <v>0.32257569732607</v>
      </c>
      <c r="N105" s="101" t="n">
        <f aca="false">IF(N103&gt;0,INDEX(DC_Cost!$C$58:$Q$58,3*(N$6-1)+2)/3600*N103,0)</f>
        <v>1.66066216257053</v>
      </c>
      <c r="O105" s="101" t="n">
        <f aca="false">IF(O103&gt;0,INDEX(DC_Cost!$C$58:$Q$58,3*(O$6-1)+2)/3600*O103,0)</f>
        <v>0.0869855241119093</v>
      </c>
      <c r="P105" s="101" t="n">
        <f aca="false">IF(P103&gt;0,INDEX(DC_Cost!$C$58:$Q$58,3*(P$6-1)+2)/3600*P103,0)</f>
        <v>0.272828341649056</v>
      </c>
      <c r="Q105" s="101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72" t="s">
        <v>717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</row>
    <row r="107" customFormat="false" ht="15" hidden="false" customHeight="false" outlineLevel="0" collapsed="false">
      <c r="A107" s="44" t="s">
        <v>718</v>
      </c>
      <c r="B107" s="45" t="s">
        <v>719</v>
      </c>
      <c r="C107" s="102" t="n">
        <f aca="false">C23*Energy!$C$5/(C14*1000000000000000)*1000000000000</f>
        <v>0.212228398180899</v>
      </c>
      <c r="D107" s="102" t="n">
        <f aca="false">D23*Energy!$C$5/(D14*1000000000000000)*1000000000000</f>
        <v>0.212228398180899</v>
      </c>
      <c r="E107" s="102" t="n">
        <f aca="false">E23*Energy!$C$5/(E14*1000000000000000)*1000000000000</f>
        <v>0.212228398180899</v>
      </c>
      <c r="F107" s="102" t="n">
        <f aca="false">F23*Energy!$C$5/(F14*1000000000000000)*1000000000000</f>
        <v>0.072</v>
      </c>
      <c r="G107" s="102" t="n">
        <f aca="false">G23*Energy!$C$5/(G14*1000000000000000)*1000000000000</f>
        <v>0.072</v>
      </c>
      <c r="H107" s="102" t="n">
        <f aca="false">H23*Energy!$C$5/(H14*1000000000000000)*1000000000000</f>
        <v>0.072</v>
      </c>
      <c r="I107" s="102" t="n">
        <f aca="false">I23*Energy!$C$5/(I14*1000000000000000)*1000000000000</f>
        <v>0.056</v>
      </c>
      <c r="J107" s="102" t="n">
        <f aca="false">J23*Energy!$C$5/(J14*1000000000000000)*1000000000000</f>
        <v>0.056</v>
      </c>
      <c r="K107" s="102" t="n">
        <f aca="false">K23*Energy!$C$5/(K14*1000000000000000)*1000000000000</f>
        <v>0.056</v>
      </c>
      <c r="L107" s="102" t="n">
        <f aca="false">L23*Energy!$C$5/(L14*1000000000000000)*1000000000000</f>
        <v>0.0308571428571429</v>
      </c>
      <c r="M107" s="102" t="n">
        <f aca="false">M23*Energy!$C$5/(M14*1000000000000000)*1000000000000</f>
        <v>0.0308571428571429</v>
      </c>
      <c r="N107" s="102" t="n">
        <f aca="false">N23*Energy!$C$5/(N14*1000000000000000)*1000000000000</f>
        <v>0.0308571428571429</v>
      </c>
      <c r="O107" s="102" t="n">
        <f aca="false">O23*Energy!$C$5/(O14*1000000000000000)*1000000000000</f>
        <v>0.0295890410958904</v>
      </c>
      <c r="P107" s="102" t="n">
        <f aca="false">P23*Energy!$C$5/(P14*1000000000000000)*1000000000000</f>
        <v>0.0295890410958904</v>
      </c>
      <c r="Q107" s="102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45" t="s">
        <v>720</v>
      </c>
      <c r="B108" s="45" t="s">
        <v>647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45" t="s">
        <v>721</v>
      </c>
      <c r="B109" s="45" t="s">
        <v>409</v>
      </c>
      <c r="C109" s="55" t="n">
        <f aca="false">(C47+1)*C65/C49</f>
        <v>60.7276307303593</v>
      </c>
      <c r="D109" s="55" t="n">
        <f aca="false">(D47+1)*D65/D49</f>
        <v>211.422533432294</v>
      </c>
      <c r="E109" s="55" t="n">
        <f aca="false">(E47+1)*E65/E49</f>
        <v>838.732890959337</v>
      </c>
      <c r="F109" s="55" t="n">
        <f aca="false">(F47+1)*F65/F49</f>
        <v>60.7276307303593</v>
      </c>
      <c r="G109" s="55" t="n">
        <f aca="false">(G47+1)*G65/G49</f>
        <v>211.422533432294</v>
      </c>
      <c r="H109" s="55" t="n">
        <f aca="false">(H47+1)*H65/H49</f>
        <v>838.732890959337</v>
      </c>
      <c r="I109" s="55" t="n">
        <f aca="false">(I47+1)*I65/I49</f>
        <v>60.7276307303593</v>
      </c>
      <c r="J109" s="55" t="n">
        <f aca="false">(J47+1)*J65/J49</f>
        <v>211.422533432294</v>
      </c>
      <c r="K109" s="55" t="n">
        <f aca="false">(K47+1)*K65/K49</f>
        <v>838.732890959337</v>
      </c>
      <c r="L109" s="55" t="n">
        <f aca="false">(L47+1)*L65/L49</f>
        <v>60.7276307303593</v>
      </c>
      <c r="M109" s="55" t="n">
        <f aca="false">(M47+1)*M65/M49</f>
        <v>211.422533432294</v>
      </c>
      <c r="N109" s="55" t="n">
        <f aca="false">(N47+1)*N65/N49</f>
        <v>838.732890959337</v>
      </c>
      <c r="O109" s="55" t="n">
        <f aca="false">(O47+1)*O65/O49</f>
        <v>60.7276307303593</v>
      </c>
      <c r="P109" s="55" t="n">
        <f aca="false">(P47+1)*P65/P49</f>
        <v>211.422533432294</v>
      </c>
      <c r="Q109" s="55" t="n">
        <f aca="false">(Q47+1)*Q65/Q49</f>
        <v>838.732890959337</v>
      </c>
    </row>
    <row r="110" customFormat="false" ht="15" hidden="false" customHeight="false" outlineLevel="0" collapsed="false">
      <c r="A110" s="45" t="s">
        <v>722</v>
      </c>
      <c r="B110" s="45" t="s">
        <v>261</v>
      </c>
      <c r="C110" s="99" t="n">
        <f aca="false">IF(C87&gt;0,(C72+C87*C34*C45/1000000000)/(C87*C49),0)</f>
        <v>0.786494520128554</v>
      </c>
      <c r="D110" s="99" t="n">
        <f aca="false">IF(D87&gt;0,(D72+D87*D34*D45/1000000000)/(D87*D49),0)</f>
        <v>5.24497412970448</v>
      </c>
      <c r="E110" s="99" t="n">
        <f aca="false">IF(E87&gt;0,(E72+E87*E34*E45/1000000000)/(E87*E49),0)</f>
        <v>36.0888985625435</v>
      </c>
      <c r="F110" s="99" t="n">
        <f aca="false">IF(F87&gt;0,(F72+F87*F34*F45/1000000000)/(F87*F49),0)</f>
        <v>0.149154653288439</v>
      </c>
      <c r="G110" s="99" t="n">
        <f aca="false">IF(G87&gt;0,(G72+G87*G34*G45/1000000000)/(G87*G49),0)</f>
        <v>1.26851539860148</v>
      </c>
      <c r="H110" s="99" t="n">
        <f aca="false">IF(H87&gt;0,(H72+H87*H34*H45/1000000000)/(H87*H49),0)</f>
        <v>12.2185888655314</v>
      </c>
      <c r="I110" s="99" t="n">
        <f aca="false">IF(I87&gt;0,(I72+I87*I34*I45/1000000000)/(I87*I49),0)</f>
        <v>0.102637867292964</v>
      </c>
      <c r="J110" s="99" t="n">
        <f aca="false">IF(J87&gt;0,(J72+J87*J34*J45/1000000000)/(J87*J49),0)</f>
        <v>0.854760064392041</v>
      </c>
      <c r="K110" s="99" t="n">
        <f aca="false">IF(K87&gt;0,(K72+K87*K34*K45/1000000000)/(K87*K49),0)</f>
        <v>13.274190378425</v>
      </c>
      <c r="L110" s="99" t="n">
        <f aca="false">IF(L87&gt;0,(L72+L87*L34*L45/1000000000)/(L87*L49),0)</f>
        <v>0.0470113375716422</v>
      </c>
      <c r="M110" s="99" t="n">
        <f aca="false">IF(M87&gt;0,(M72+M87*M34*M45/1000000000)/(M87*M49),0)</f>
        <v>0.330802054861383</v>
      </c>
      <c r="N110" s="99" t="n">
        <f aca="false">IF(N87&gt;0,(N72+N87*N34*N45/1000000000)/(N87*N49),0)</f>
        <v>4.05363149657568</v>
      </c>
      <c r="O110" s="99" t="n">
        <f aca="false">IF(O87&gt;0,(O72+O87*O34*O45/1000000000)/(O87*O49),0)</f>
        <v>0.0230534095071409</v>
      </c>
      <c r="P110" s="99" t="n">
        <f aca="false">IF(P87&gt;0,(P72+P87*P34*P45/1000000000)/(P87*P49),0)</f>
        <v>0.126551990817375</v>
      </c>
      <c r="Q110" s="99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45" t="s">
        <v>723</v>
      </c>
      <c r="B111" s="45" t="s">
        <v>261</v>
      </c>
      <c r="C111" s="53" t="n">
        <f aca="false">(C47+1)*C29*C31*C30*C59/C49/1000000000</f>
        <v>0.00500640189498618</v>
      </c>
      <c r="D111" s="53" t="n">
        <f aca="false">(D47+1)*D29*D31*D30*D59/D49/1000000000</f>
        <v>0.0124286837741808</v>
      </c>
      <c r="E111" s="53" t="n">
        <f aca="false">(E47+1)*E29*E31*E30*E59/E49/1000000000</f>
        <v>0.0931423608369523</v>
      </c>
      <c r="F111" s="53" t="n">
        <f aca="false">(F47+1)*F29*F31*F30*F59/F49/1000000000</f>
        <v>0.00500640189498618</v>
      </c>
      <c r="G111" s="53" t="n">
        <f aca="false">(G47+1)*G29*G31*G30*G59/G49/1000000000</f>
        <v>0.0124286837741808</v>
      </c>
      <c r="H111" s="53" t="n">
        <f aca="false">(H47+1)*H29*H31*H30*H59/H49/1000000000</f>
        <v>0.0931423608369523</v>
      </c>
      <c r="I111" s="53" t="n">
        <f aca="false">(I47+1)*I29*I31*I30*I59/I49/1000000000</f>
        <v>0.00500640189498618</v>
      </c>
      <c r="J111" s="53" t="n">
        <f aca="false">(J47+1)*J29*J31*J30*J59/J49/1000000000</f>
        <v>0.0124286837741808</v>
      </c>
      <c r="K111" s="53" t="n">
        <f aca="false">(K47+1)*K29*K31*K30*K59/K49/1000000000</f>
        <v>0.0931423608369523</v>
      </c>
      <c r="L111" s="53" t="n">
        <f aca="false">(L47+1)*L29*L31*L30*L59/L49/1000000000</f>
        <v>0.00500640189498618</v>
      </c>
      <c r="M111" s="53" t="n">
        <f aca="false">(M47+1)*M29*M31*M30*M59/M49/1000000000</f>
        <v>0.0124286837741808</v>
      </c>
      <c r="N111" s="53" t="n">
        <f aca="false">(N47+1)*N29*N31*N30*N59/N49/1000000000</f>
        <v>0.0931423608369523</v>
      </c>
      <c r="O111" s="53" t="n">
        <f aca="false">(O47+1)*O29*O31*O30*O59/O49/1000000000</f>
        <v>0.00500640189498618</v>
      </c>
      <c r="P111" s="53" t="n">
        <f aca="false">(P47+1)*P29*P31*P30*P59/P49/1000000000</f>
        <v>0.0124286837741808</v>
      </c>
      <c r="Q111" s="53" t="n">
        <f aca="false">(Q47+1)*Q29*Q31*Q30*Q59/Q49/1000000000</f>
        <v>0.0931423608369523</v>
      </c>
    </row>
    <row r="112" customFormat="false" ht="15" hidden="false" customHeight="false" outlineLevel="0" collapsed="false">
      <c r="A112" s="45" t="s">
        <v>724</v>
      </c>
      <c r="B112" s="45" t="s">
        <v>725</v>
      </c>
      <c r="C112" s="53" t="n">
        <f aca="false">(C109*C107+C110*C24+C111*C108)/1000</f>
        <v>0.0374697139950099</v>
      </c>
      <c r="D112" s="53" t="n">
        <f aca="false">(D109*D107+D110*D24+D111*D108)/1000</f>
        <v>0.207961210981489</v>
      </c>
      <c r="E112" s="53" t="n">
        <f aca="false">(E109*E107+E110*E24+E111*E108)/1000</f>
        <v>1.30048448782226</v>
      </c>
      <c r="F112" s="53" t="n">
        <f aca="false">(F109*F107+F110*F24+F111*F108)/1000</f>
        <v>0.00815131976374671</v>
      </c>
      <c r="G112" s="53" t="n">
        <f aca="false">(G109*G107+G110*G24+G111*G108)/1000</f>
        <v>0.0470595942099041</v>
      </c>
      <c r="H112" s="53" t="n">
        <f aca="false">(H109*H107+H110*H24+H111*H108)/1000</f>
        <v>0.366784913395726</v>
      </c>
      <c r="I112" s="53" t="n">
        <f aca="false">(I109*I107+I110*I24+I111*I108)/1000</f>
        <v>0.00601675802217408</v>
      </c>
      <c r="J112" s="53" t="n">
        <f aca="false">(J109*J107+J110*J24+J111*J108)/1000</f>
        <v>0.0333329503197513</v>
      </c>
      <c r="K112" s="53" t="n">
        <f aca="false">(K109*K107+K110*K24+K111*K108)/1000</f>
        <v>0.379755224962717</v>
      </c>
      <c r="L112" s="53" t="n">
        <f aca="false">(L109*L107+L110*L24+L111*L108)/1000</f>
        <v>0.00286417194720522</v>
      </c>
      <c r="M112" s="53" t="n">
        <f aca="false">(M109*M107+M110*M24+M111*M108)/1000</f>
        <v>0.0132642232523088</v>
      </c>
      <c r="N112" s="53" t="n">
        <f aca="false">(N109*N107+N110*N24+N111*N108)/1000</f>
        <v>0.1078849541752</v>
      </c>
      <c r="O112" s="53" t="n">
        <f aca="false">(O109*O107+O110*O24+O111*O108)/1000</f>
        <v>0.00226189775141506</v>
      </c>
      <c r="P112" s="53" t="n">
        <f aca="false">(P109*P107+P110*P24+P111*P108)/1000</f>
        <v>0.00865801270277997</v>
      </c>
      <c r="Q112" s="53" t="n">
        <f aca="false">(Q109*Q107+Q110*Q24+Q111*Q108)/1000</f>
        <v>0.0578561650351766</v>
      </c>
    </row>
    <row r="113" customFormat="false" ht="15" hidden="false" customHeight="false" outlineLevel="0" collapsed="false">
      <c r="A113" s="45" t="s">
        <v>726</v>
      </c>
      <c r="B113" s="45" t="s">
        <v>725</v>
      </c>
      <c r="C113" s="53" t="n">
        <f aca="false">C67*C107/1000</f>
        <v>0.00806332347698838</v>
      </c>
      <c r="D113" s="53" t="n">
        <f aca="false">D67*D107/1000</f>
        <v>0.0282916692522688</v>
      </c>
      <c r="E113" s="53" t="n">
        <f aca="false">E67*E107/1000</f>
        <v>0.0934931113976756</v>
      </c>
      <c r="F113" s="53" t="n">
        <f aca="false">F67*F107/1000</f>
        <v>0.002735540084736</v>
      </c>
      <c r="G113" s="53" t="n">
        <f aca="false">G67*G107/1000</f>
        <v>0.009598150877184</v>
      </c>
      <c r="H113" s="53" t="n">
        <f aca="false">H67*H107/1000</f>
        <v>0.0317182058496</v>
      </c>
      <c r="I113" s="53" t="n">
        <f aca="false">I67*I107/1000</f>
        <v>0.002127642288128</v>
      </c>
      <c r="J113" s="53" t="n">
        <f aca="false">J67*J107/1000</f>
        <v>0.007465228460032</v>
      </c>
      <c r="K113" s="53" t="n">
        <f aca="false">K67*K107/1000</f>
        <v>0.0246697156608</v>
      </c>
      <c r="L113" s="53" t="n">
        <f aca="false">L67*L107/1000</f>
        <v>0.00117237432202971</v>
      </c>
      <c r="M113" s="53" t="n">
        <f aca="false">M67*M107/1000</f>
        <v>0.00411349323307886</v>
      </c>
      <c r="N113" s="53" t="n">
        <f aca="false">N67*N107/1000</f>
        <v>0.0135935167926857</v>
      </c>
      <c r="O113" s="53" t="n">
        <f aca="false">O67*O107/1000</f>
        <v>0.00112419455537096</v>
      </c>
      <c r="P113" s="53" t="n">
        <f aca="false">P67*P107/1000</f>
        <v>0.00394444556596603</v>
      </c>
      <c r="Q113" s="53" t="n">
        <f aca="false">Q67*Q107/1000</f>
        <v>0.013034879116274</v>
      </c>
    </row>
    <row r="114" customFormat="false" ht="15" hidden="false" customHeight="false" outlineLevel="0" collapsed="false">
      <c r="A114" s="44" t="s">
        <v>727</v>
      </c>
      <c r="B114" s="45" t="s">
        <v>651</v>
      </c>
      <c r="C114" s="55" t="n">
        <f aca="false">(C97*C113+C96*C112)/1000</f>
        <v>1.20714363951789</v>
      </c>
      <c r="D114" s="55" t="n">
        <f aca="false">(D97*D113+D96*D112)/1000</f>
        <v>1.47347580027125</v>
      </c>
      <c r="E114" s="55" t="n">
        <f aca="false">(E97*E113+E96*E112)/1000</f>
        <v>1.26986009535556</v>
      </c>
      <c r="F114" s="55" t="n">
        <f aca="false">(F97*F113+F96*F112)/1000</f>
        <v>5.58726066704995</v>
      </c>
      <c r="G114" s="55" t="n">
        <f aca="false">(G97*G113+G96*G112)/1000</f>
        <v>6.54566877701541</v>
      </c>
      <c r="H114" s="55" t="n">
        <f aca="false">(H97*H113+H96*H112)/1000</f>
        <v>6.35669720656247</v>
      </c>
      <c r="I114" s="55" t="n">
        <f aca="false">(I97*I113+I96*I112)/1000</f>
        <v>6.42829968536819</v>
      </c>
      <c r="J114" s="55" t="n">
        <f aca="false">(J97*J113+J96*J112)/1000</f>
        <v>7.37744841370182</v>
      </c>
      <c r="K114" s="55" t="n">
        <f aca="false">(K97*K113+K96*K112)/1000</f>
        <v>7.37588550691989</v>
      </c>
      <c r="L114" s="55" t="n">
        <f aca="false">(L97*L113+L96*L112)/1000</f>
        <v>8.35232701917553</v>
      </c>
      <c r="M114" s="55" t="n">
        <f aca="false">(M97*M113+M96*M112)/1000</f>
        <v>9.55912453390747</v>
      </c>
      <c r="N114" s="55" t="n">
        <f aca="false">(N97*N113+N96*N112)/1000</f>
        <v>9.72942818548236</v>
      </c>
      <c r="O114" s="55" t="n">
        <f aca="false">(O97*O113+O96*O112)/1000</f>
        <v>32.4191851816502</v>
      </c>
      <c r="P114" s="55" t="n">
        <f aca="false">(P97*P113+P96*P112)/1000</f>
        <v>35.7513608259232</v>
      </c>
      <c r="Q114" s="55" t="n">
        <f aca="false">(Q97*Q113+Q96*Q112)/1000</f>
        <v>33.0634696291983</v>
      </c>
    </row>
    <row r="115" customFormat="false" ht="15" hidden="false" customHeight="false" outlineLevel="0" collapsed="false">
      <c r="A115" s="44" t="s">
        <v>728</v>
      </c>
      <c r="B115" s="45" t="s">
        <v>651</v>
      </c>
      <c r="C115" s="80" t="n">
        <f aca="false">C26*Inputs!$E$10</f>
        <v>32.8</v>
      </c>
      <c r="D115" s="80" t="n">
        <f aca="false">D26*Inputs!$E$10</f>
        <v>32.8</v>
      </c>
      <c r="E115" s="80" t="n">
        <f aca="false">E26*Inputs!$E$10</f>
        <v>32.8</v>
      </c>
      <c r="F115" s="80" t="n">
        <f aca="false">F26*Inputs!$E$10</f>
        <v>104</v>
      </c>
      <c r="G115" s="80" t="n">
        <f aca="false">G26*Inputs!$E$10</f>
        <v>104</v>
      </c>
      <c r="H115" s="80" t="n">
        <f aca="false">H26*Inputs!$E$10</f>
        <v>104</v>
      </c>
      <c r="I115" s="80" t="n">
        <f aca="false">I26*Inputs!$E$10</f>
        <v>109.6</v>
      </c>
      <c r="J115" s="80" t="n">
        <f aca="false">J26*Inputs!$E$10</f>
        <v>109.6</v>
      </c>
      <c r="K115" s="80" t="n">
        <f aca="false">K26*Inputs!$E$10</f>
        <v>109.6</v>
      </c>
      <c r="L115" s="80" t="n">
        <f aca="false">L26*Inputs!$E$10</f>
        <v>181.6</v>
      </c>
      <c r="M115" s="80" t="n">
        <f aca="false">M26*Inputs!$E$10</f>
        <v>181.6</v>
      </c>
      <c r="N115" s="80" t="n">
        <f aca="false">N26*Inputs!$E$10</f>
        <v>181.6</v>
      </c>
      <c r="O115" s="80" t="n">
        <f aca="false">O26*Inputs!$E$10</f>
        <v>480</v>
      </c>
      <c r="P115" s="80" t="n">
        <f aca="false">P26*Inputs!$E$10</f>
        <v>480</v>
      </c>
      <c r="Q115" s="80" t="n">
        <f aca="false">Q26*Inputs!$E$10</f>
        <v>480</v>
      </c>
    </row>
    <row r="116" customFormat="false" ht="15" hidden="false" customHeight="false" outlineLevel="0" collapsed="false">
      <c r="A116" s="44" t="s">
        <v>729</v>
      </c>
      <c r="B116" s="45" t="s">
        <v>57</v>
      </c>
      <c r="C116" s="103" t="n">
        <f aca="false">IF(C115&gt;0,C114/C115,0)</f>
        <v>0.0368031597413992</v>
      </c>
      <c r="D116" s="103" t="n">
        <f aca="false">IF(D115&gt;0,D114/D115,0)</f>
        <v>0.0449230426911965</v>
      </c>
      <c r="E116" s="103" t="n">
        <f aca="false">IF(E115&gt;0,E114/E115,0)</f>
        <v>0.0387152468096209</v>
      </c>
      <c r="F116" s="103" t="n">
        <f aca="false">IF(F115&gt;0,F114/F115,0)</f>
        <v>0.0537236602600957</v>
      </c>
      <c r="G116" s="103" t="n">
        <f aca="false">IF(G115&gt;0,G114/G115,0)</f>
        <v>0.0629391228559174</v>
      </c>
      <c r="H116" s="103" t="n">
        <f aca="false">IF(H115&gt;0,H114/H115,0)</f>
        <v>0.0611220885246391</v>
      </c>
      <c r="I116" s="103" t="n">
        <f aca="false">IF(I115&gt;0,I114/I115,0)</f>
        <v>0.0586523693920456</v>
      </c>
      <c r="J116" s="103" t="n">
        <f aca="false">IF(J115&gt;0,J114/J115,0)</f>
        <v>0.0673124855264764</v>
      </c>
      <c r="K116" s="103" t="n">
        <f aca="false">IF(K115&gt;0,K114/K115,0)</f>
        <v>0.0672982254281012</v>
      </c>
      <c r="L116" s="103" t="n">
        <f aca="false">IF(L115&gt;0,L114/L115,0)</f>
        <v>0.0459929901936979</v>
      </c>
      <c r="M116" s="103" t="n">
        <f aca="false">IF(M115&gt;0,M114/M115,0)</f>
        <v>0.0526383509576403</v>
      </c>
      <c r="N116" s="103" t="n">
        <f aca="false">IF(N115&gt;0,N114/N115,0)</f>
        <v>0.053576146395828</v>
      </c>
      <c r="O116" s="103" t="n">
        <f aca="false">IF(O115&gt;0,O114/O115,0)</f>
        <v>0.067539969128438</v>
      </c>
      <c r="P116" s="103" t="n">
        <f aca="false">IF(P115&gt;0,P114/P115,0)</f>
        <v>0.0744820017206733</v>
      </c>
      <c r="Q116" s="103" t="n">
        <f aca="false">IF(Q115&gt;0,Q114/Q115,0)</f>
        <v>0.0688822283941632</v>
      </c>
    </row>
    <row r="117" customFormat="false" ht="15" hidden="false" customHeight="false" outlineLevel="0" collapsed="false">
      <c r="A117" s="45" t="s">
        <v>730</v>
      </c>
      <c r="B117" s="45" t="s">
        <v>731</v>
      </c>
      <c r="C117" s="104" t="n">
        <f aca="false">C95/(C115*1000)</f>
        <v>3.24809227036642</v>
      </c>
      <c r="D117" s="104" t="n">
        <f aca="false">D95/(D115*1000)</f>
        <v>0.93095197776906</v>
      </c>
      <c r="E117" s="104" t="n">
        <f aca="false">E95/(E115*1000)</f>
        <v>0.170099699241798</v>
      </c>
      <c r="F117" s="104" t="n">
        <f aca="false">F95/(F115*1000)</f>
        <v>16.097973448591</v>
      </c>
      <c r="G117" s="104" t="n">
        <f aca="false">G95/(G115*1000)</f>
        <v>4.5738868332734</v>
      </c>
      <c r="H117" s="104" t="n">
        <f aca="false">H95/(H115*1000)</f>
        <v>0.886497510374152</v>
      </c>
      <c r="I117" s="104" t="n">
        <f aca="false">I95/(I115*1000)</f>
        <v>22.9131738866806</v>
      </c>
      <c r="J117" s="104" t="n">
        <f aca="false">J95/(J115*1000)</f>
        <v>6.51027687947674</v>
      </c>
      <c r="K117" s="104" t="n">
        <f aca="false">K95/(K115*1000)</f>
        <v>1.04950690950785</v>
      </c>
      <c r="L117" s="104" t="n">
        <f aca="false">L95/(L115*1000)</f>
        <v>33.8096284936322</v>
      </c>
      <c r="M117" s="104" t="n">
        <f aca="false">M95/(M115*1000)</f>
        <v>10.2604050812279</v>
      </c>
      <c r="N117" s="104" t="n">
        <f aca="false">N95/(N115*1000)</f>
        <v>2.22581564461845</v>
      </c>
      <c r="O117" s="104" t="n">
        <f aca="false">O95/(O115*1000)</f>
        <v>54.0057923614764</v>
      </c>
      <c r="P117" s="104" t="n">
        <f aca="false">P95/(P115*1000)</f>
        <v>16.6694450395103</v>
      </c>
      <c r="Q117" s="104" t="n">
        <f aca="false">Q95/(Q115*1000)</f>
        <v>3.8235994609874</v>
      </c>
    </row>
    <row r="118" customFormat="false" ht="15" hidden="false" customHeight="false" outlineLevel="0" collapsed="false">
      <c r="A118" s="44" t="s">
        <v>732</v>
      </c>
      <c r="B118" s="45" t="s">
        <v>725</v>
      </c>
      <c r="C118" s="99" t="n">
        <f aca="false">IF(C96&gt;0,C115*1000*(1-C94)/C96,0)</f>
        <v>1.72134530044591</v>
      </c>
      <c r="D118" s="99" t="n">
        <f aca="false">IF(D96&gt;0,D115*1000*(1-D94)/D96,0)</f>
        <v>5.98511562451772</v>
      </c>
      <c r="E118" s="99" t="n">
        <f aca="false">IF(E96&gt;0,E115*1000*(1-E94)/E96,0)</f>
        <v>40.7412018037387</v>
      </c>
      <c r="F118" s="99" t="n">
        <f aca="false">IF(F96&gt;0,F115*1000*(1-F94)/F96,0)</f>
        <v>0.412730817841754</v>
      </c>
      <c r="G118" s="99" t="n">
        <f aca="false">IF(G96&gt;0,G115*1000*(1-G94)/G96,0)</f>
        <v>1.45421056131589</v>
      </c>
      <c r="H118" s="99" t="n">
        <f aca="false">IF(H96&gt;0,H115*1000*(1-H94)/H96,0)</f>
        <v>8.45545402632138</v>
      </c>
      <c r="I118" s="99" t="n">
        <f aca="false">IF(I96&gt;0,I115*1000*(1-I94)/I96,0)</f>
        <v>0.28996985663754</v>
      </c>
      <c r="J118" s="99" t="n">
        <f aca="false">IF(J96&gt;0,J115*1000*(1-J94)/J96,0)</f>
        <v>1.02167613795014</v>
      </c>
      <c r="K118" s="99" t="n">
        <f aca="false">IF(K96&gt;0,K115*1000*(1-K94)/K96,0)</f>
        <v>7.38330364683301</v>
      </c>
      <c r="L118" s="99" t="n">
        <f aca="false">IF(L96&gt;0,L115*1000*(1-L94)/L96,0)</f>
        <v>0.193184295475201</v>
      </c>
      <c r="M118" s="99" t="n">
        <f aca="false">IF(M96&gt;0,M115*1000*(1-M94)/M96,0)</f>
        <v>0.620981954705848</v>
      </c>
      <c r="N118" s="99" t="n">
        <f aca="false">IF(N96&gt;0,N115*1000*(1-N94)/N96,0)</f>
        <v>3.19689686596779</v>
      </c>
      <c r="O118" s="99" t="n">
        <f aca="false">IF(O96&gt;0,O115*1000*(1-O94)/O96,0)</f>
        <v>0.120385640498459</v>
      </c>
      <c r="P118" s="99" t="n">
        <f aca="false">IF(P96&gt;0,P115*1000*(1-P94)/P96,0)</f>
        <v>0.377587132926836</v>
      </c>
      <c r="Q118" s="99" t="n">
        <f aca="false">IF(Q96&gt;0,Q115*1000*(1-Q94)/Q96,0)</f>
        <v>1.81738825239504</v>
      </c>
    </row>
    <row r="119" customFormat="false" ht="15" hidden="false" customHeight="false" outlineLevel="0" collapsed="false">
      <c r="A119" s="72" t="s">
        <v>733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</row>
    <row r="120" customFormat="false" ht="15" hidden="false" customHeight="false" outlineLevel="0" collapsed="false">
      <c r="A120" s="45" t="s">
        <v>734</v>
      </c>
      <c r="B120" s="45" t="s">
        <v>61</v>
      </c>
      <c r="C120" s="88" t="n">
        <f aca="false">IF(INDEX($C$98:$Q$98,9+C$7)&gt;0,C98/INDEX($C$98:$Q$98,9+C$7),0)</f>
        <v>0.0960904043065772</v>
      </c>
      <c r="D120" s="88" t="n">
        <f aca="false">IF(INDEX($C$98:$Q$98,9+D$7)&gt;0,D98/INDEX($C$98:$Q$98,9+D$7),0)</f>
        <v>0.090751713386322</v>
      </c>
      <c r="E120" s="88" t="n">
        <f aca="false">IF(INDEX($C$98:$Q$98,9+E$7)&gt;0,E98/INDEX($C$98:$Q$98,9+E$7),0)</f>
        <v>0.0764374898147571</v>
      </c>
      <c r="F120" s="88" t="n">
        <f aca="false">IF(INDEX($C$98:$Q$98,9+F$7)&gt;0,F98/INDEX($C$98:$Q$98,9+F$7),0)</f>
        <v>0.476175109927189</v>
      </c>
      <c r="G120" s="88" t="n">
        <f aca="false">IF(INDEX($C$98:$Q$98,9+G$7)&gt;0,G98/INDEX($C$98:$Q$98,9+G$7),0)</f>
        <v>0.445817170023996</v>
      </c>
      <c r="H120" s="88" t="n">
        <f aca="false">IF(INDEX($C$98:$Q$98,9+H$7)&gt;0,H98/INDEX($C$98:$Q$98,9+H$7),0)</f>
        <v>0.398312753585741</v>
      </c>
      <c r="I120" s="88" t="n">
        <f aca="false">IF(INDEX($C$98:$Q$98,9+I$7)&gt;0,I98/INDEX($C$98:$Q$98,9+I$7),0)</f>
        <v>0.677822752224648</v>
      </c>
      <c r="J120" s="88" t="n">
        <f aca="false">IF(INDEX($C$98:$Q$98,9+J$7)&gt;0,J98/INDEX($C$98:$Q$98,9+J$7),0)</f>
        <v>0.634609022762394</v>
      </c>
      <c r="K120" s="88" t="n">
        <f aca="false">IF(INDEX($C$98:$Q$98,9+K$7)&gt;0,K98/INDEX($C$98:$Q$98,9+K$7),0)</f>
        <v>0.471593056135159</v>
      </c>
      <c r="L120" s="88" t="n">
        <f aca="false">IF(INDEX($C$98:$Q$98,9+L$7)&gt;0,L98/INDEX($C$98:$Q$98,9+L$7),0)</f>
        <v>1</v>
      </c>
      <c r="M120" s="88" t="n">
        <f aca="false">IF(INDEX($C$98:$Q$98,9+M$7)&gt;0,M98/INDEX($C$98:$Q$98,9+M$7),0)</f>
        <v>1</v>
      </c>
      <c r="N120" s="88" t="n">
        <f aca="false">IF(INDEX($C$98:$Q$98,9+N$7)&gt;0,N98/INDEX($C$98:$Q$98,9+N$7),0)</f>
        <v>1</v>
      </c>
      <c r="O120" s="88" t="n">
        <f aca="false">IF(INDEX($C$98:$Q$98,9+O$7)&gt;0,O98/INDEX($C$98:$Q$98,9+O$7),0)</f>
        <v>1.59734252962348</v>
      </c>
      <c r="P120" s="88" t="n">
        <f aca="false">IF(INDEX($C$98:$Q$98,9+P$7)&gt;0,P98/INDEX($C$98:$Q$98,9+P$7),0)</f>
        <v>1.62463103710362</v>
      </c>
      <c r="Q120" s="88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1" t="s">
        <v>735</v>
      </c>
    </row>
    <row r="2" customFormat="false" ht="15" hidden="false" customHeight="false" outlineLevel="0" collapsed="false">
      <c r="A2" s="54" t="s">
        <v>736</v>
      </c>
    </row>
    <row r="3" customFormat="false" ht="43.5" hidden="false" customHeight="true" outlineLevel="0" collapsed="false">
      <c r="A3" s="9" t="s">
        <v>737</v>
      </c>
      <c r="C3" s="105" t="s">
        <v>43</v>
      </c>
      <c r="D3" s="105"/>
      <c r="E3" s="106" t="s">
        <v>738</v>
      </c>
      <c r="F3" s="106"/>
      <c r="G3" s="106" t="s">
        <v>739</v>
      </c>
      <c r="H3" s="106"/>
      <c r="I3" s="106" t="s">
        <v>740</v>
      </c>
      <c r="J3" s="106"/>
      <c r="K3" s="106" t="s">
        <v>741</v>
      </c>
      <c r="L3" s="106"/>
      <c r="M3" s="106" t="s">
        <v>742</v>
      </c>
      <c r="N3" s="106"/>
      <c r="O3" s="106" t="s">
        <v>743</v>
      </c>
      <c r="P3" s="106"/>
      <c r="Q3" s="106" t="s">
        <v>744</v>
      </c>
      <c r="R3" s="106"/>
      <c r="S3" s="106" t="s">
        <v>745</v>
      </c>
      <c r="T3" s="106"/>
      <c r="U3" s="106" t="s">
        <v>746</v>
      </c>
      <c r="V3" s="106"/>
      <c r="W3" s="106" t="s">
        <v>747</v>
      </c>
      <c r="X3" s="106"/>
      <c r="Y3" s="106" t="s">
        <v>748</v>
      </c>
      <c r="Z3" s="106"/>
      <c r="AA3" s="105" t="s">
        <v>749</v>
      </c>
      <c r="AB3" s="105"/>
      <c r="AC3" s="106" t="s">
        <v>750</v>
      </c>
      <c r="AD3" s="106"/>
      <c r="AE3" s="106" t="s">
        <v>751</v>
      </c>
      <c r="AF3" s="106"/>
      <c r="AG3" s="106" t="s">
        <v>752</v>
      </c>
      <c r="AH3" s="106"/>
    </row>
    <row r="4" customFormat="false" ht="15" hidden="false" customHeight="false" outlineLevel="0" collapsed="false">
      <c r="A4" s="9" t="s">
        <v>122</v>
      </c>
      <c r="C4" s="62" t="str">
        <f aca="false">INDEX(Spec_Rack!$C$4:$G$4,C6)</f>
        <v>VR200 NVL72</v>
      </c>
      <c r="D4" s="62" t="str">
        <f aca="false">INDEX(Spec_Rack!$C$4:$G$4,D6)</f>
        <v>GB300 NVL72</v>
      </c>
      <c r="E4" s="62" t="str">
        <f aca="false">INDEX(Spec_Rack!$C$4:$G$4,E6)</f>
        <v>VR200 NVL72</v>
      </c>
      <c r="F4" s="62" t="str">
        <f aca="false">INDEX(Spec_Rack!$C$4:$G$4,F6)</f>
        <v>GB300 NVL72</v>
      </c>
      <c r="G4" s="62" t="str">
        <f aca="false">INDEX(Spec_Rack!$C$4:$G$4,G6)</f>
        <v>VR200 NVL72</v>
      </c>
      <c r="H4" s="62" t="str">
        <f aca="false">INDEX(Spec_Rack!$C$4:$G$4,H6)</f>
        <v>GB300 NVL72</v>
      </c>
      <c r="I4" s="62" t="str">
        <f aca="false">INDEX(Spec_Rack!$C$4:$G$4,I6)</f>
        <v>VR200 NVL72</v>
      </c>
      <c r="J4" s="62" t="str">
        <f aca="false">INDEX(Spec_Rack!$C$4:$G$4,J6)</f>
        <v>GB300 NVL72</v>
      </c>
      <c r="K4" s="62" t="str">
        <f aca="false">INDEX(Spec_Rack!$C$4:$G$4,K6)</f>
        <v>VR200 NVL72</v>
      </c>
      <c r="L4" s="62" t="str">
        <f aca="false">INDEX(Spec_Rack!$C$4:$G$4,L6)</f>
        <v>GB300 NVL72</v>
      </c>
      <c r="M4" s="62" t="str">
        <f aca="false">INDEX(Spec_Rack!$C$4:$G$4,M6)</f>
        <v>VR200 NVL72</v>
      </c>
      <c r="N4" s="62" t="str">
        <f aca="false">INDEX(Spec_Rack!$C$4:$G$4,N6)</f>
        <v>GB300 NVL72</v>
      </c>
      <c r="O4" s="62" t="str">
        <f aca="false">INDEX(Spec_Rack!$C$4:$G$4,O6)</f>
        <v>VR200 NVL72</v>
      </c>
      <c r="P4" s="62" t="str">
        <f aca="false">INDEX(Spec_Rack!$C$4:$G$4,P6)</f>
        <v>GB300 NVL72</v>
      </c>
      <c r="Q4" s="62" t="str">
        <f aca="false">INDEX(Spec_Rack!$C$4:$G$4,Q6)</f>
        <v>VR200 NVL72</v>
      </c>
      <c r="R4" s="62" t="str">
        <f aca="false">INDEX(Spec_Rack!$C$4:$G$4,R6)</f>
        <v>GB300 NVL72</v>
      </c>
      <c r="S4" s="62" t="str">
        <f aca="false">INDEX(Spec_Rack!$C$4:$G$4,S6)</f>
        <v>VR200 NVL72</v>
      </c>
      <c r="T4" s="62" t="str">
        <f aca="false">INDEX(Spec_Rack!$C$4:$G$4,T6)</f>
        <v>GB300 NVL72</v>
      </c>
      <c r="U4" s="62" t="str">
        <f aca="false">INDEX(Spec_Rack!$C$4:$G$4,U6)</f>
        <v>VR200 NVL72</v>
      </c>
      <c r="V4" s="62" t="str">
        <f aca="false">INDEX(Spec_Rack!$C$4:$G$4,V6)</f>
        <v>GB300 NVL72</v>
      </c>
      <c r="W4" s="62" t="str">
        <f aca="false">INDEX(Spec_Rack!$C$4:$G$4,W6)</f>
        <v>VR200 NVL72</v>
      </c>
      <c r="X4" s="62" t="str">
        <f aca="false">INDEX(Spec_Rack!$C$4:$G$4,X6)</f>
        <v>GB300 NVL72</v>
      </c>
      <c r="Y4" s="62" t="str">
        <f aca="false">INDEX(Spec_Rack!$C$4:$G$4,Y6)</f>
        <v>VR200 NVL72</v>
      </c>
      <c r="Z4" s="62" t="str">
        <f aca="false">INDEX(Spec_Rack!$C$4:$G$4,Z6)</f>
        <v>GB300 NVL72</v>
      </c>
      <c r="AA4" s="62" t="str">
        <f aca="false">INDEX(Spec_Rack!$C$4:$G$4,AA6)</f>
        <v>VR200 NVL72</v>
      </c>
      <c r="AB4" s="62" t="str">
        <f aca="false">INDEX(Spec_Rack!$C$4:$G$4,AB6)</f>
        <v>GB300 NVL72</v>
      </c>
      <c r="AC4" s="62" t="str">
        <f aca="false">INDEX(Spec_Rack!$C$4:$G$4,AC6)</f>
        <v>VR200 NVL72</v>
      </c>
      <c r="AD4" s="62" t="str">
        <f aca="false">INDEX(Spec_Rack!$C$4:$G$4,AD6)</f>
        <v>GB300 NVL72</v>
      </c>
      <c r="AE4" s="62" t="str">
        <f aca="false">INDEX(Spec_Rack!$C$4:$G$4,AE6)</f>
        <v>VR200 NVL72</v>
      </c>
      <c r="AF4" s="62" t="str">
        <f aca="false">INDEX(Spec_Rack!$C$4:$G$4,AF6)</f>
        <v>GB300 NVL72</v>
      </c>
      <c r="AG4" s="62" t="str">
        <f aca="false">INDEX(Spec_Rack!$C$4:$G$4,AG6)</f>
        <v>VR200 NVL72</v>
      </c>
      <c r="AH4" s="62" t="str">
        <f aca="false">INDEX(Spec_Rack!$C$4:$G$4,AH6)</f>
        <v>GB300 NVL72</v>
      </c>
    </row>
    <row r="5" customFormat="false" ht="15" hidden="false" customHeight="false" outlineLevel="0" collapsed="false">
      <c r="A5" s="9" t="s">
        <v>630</v>
      </c>
      <c r="C5" s="62" t="str">
        <f aca="false">INDEX(Arch!$C$4:$E$4,C7)</f>
        <v>Sol（中層）</v>
      </c>
      <c r="D5" s="62" t="str">
        <f aca="false">INDEX(Arch!$C$4:$E$4,D7)</f>
        <v>Sol（中層）</v>
      </c>
      <c r="E5" s="62" t="str">
        <f aca="false">INDEX(Arch!$C$4:$E$4,E7)</f>
        <v>Sol（中層）</v>
      </c>
      <c r="F5" s="62" t="str">
        <f aca="false">INDEX(Arch!$C$4:$E$4,F7)</f>
        <v>Sol（中層）</v>
      </c>
      <c r="G5" s="62" t="str">
        <f aca="false">INDEX(Arch!$C$4:$E$4,G7)</f>
        <v>Sol（中層）</v>
      </c>
      <c r="H5" s="62" t="str">
        <f aca="false">INDEX(Arch!$C$4:$E$4,H7)</f>
        <v>Sol（中層）</v>
      </c>
      <c r="I5" s="62" t="str">
        <f aca="false">INDEX(Arch!$C$4:$E$4,I7)</f>
        <v>Sol（中層）</v>
      </c>
      <c r="J5" s="62" t="str">
        <f aca="false">INDEX(Arch!$C$4:$E$4,J7)</f>
        <v>Sol（中層）</v>
      </c>
      <c r="K5" s="62" t="str">
        <f aca="false">INDEX(Arch!$C$4:$E$4,K7)</f>
        <v>Sol（中層）</v>
      </c>
      <c r="L5" s="62" t="str">
        <f aca="false">INDEX(Arch!$C$4:$E$4,L7)</f>
        <v>Sol（中層）</v>
      </c>
      <c r="M5" s="62" t="str">
        <f aca="false">INDEX(Arch!$C$4:$E$4,M7)</f>
        <v>Sol（中層）</v>
      </c>
      <c r="N5" s="62" t="str">
        <f aca="false">INDEX(Arch!$C$4:$E$4,N7)</f>
        <v>Sol（中層）</v>
      </c>
      <c r="O5" s="62" t="str">
        <f aca="false">INDEX(Arch!$C$4:$E$4,O7)</f>
        <v>Sol（中層）</v>
      </c>
      <c r="P5" s="62" t="str">
        <f aca="false">INDEX(Arch!$C$4:$E$4,P7)</f>
        <v>Sol（中層）</v>
      </c>
      <c r="Q5" s="62" t="str">
        <f aca="false">INDEX(Arch!$C$4:$E$4,Q7)</f>
        <v>Sol（中層）</v>
      </c>
      <c r="R5" s="62" t="str">
        <f aca="false">INDEX(Arch!$C$4:$E$4,R7)</f>
        <v>Sol（中層）</v>
      </c>
      <c r="S5" s="62" t="str">
        <f aca="false">INDEX(Arch!$C$4:$E$4,S7)</f>
        <v>Sol（中層）</v>
      </c>
      <c r="T5" s="62" t="str">
        <f aca="false">INDEX(Arch!$C$4:$E$4,T7)</f>
        <v>Sol（中層）</v>
      </c>
      <c r="U5" s="62" t="str">
        <f aca="false">INDEX(Arch!$C$4:$E$4,U7)</f>
        <v>Sol（中層）</v>
      </c>
      <c r="V5" s="62" t="str">
        <f aca="false">INDEX(Arch!$C$4:$E$4,V7)</f>
        <v>Sol（中層）</v>
      </c>
      <c r="W5" s="62" t="str">
        <f aca="false">INDEX(Arch!$C$4:$E$4,W7)</f>
        <v>Sol（中層）</v>
      </c>
      <c r="X5" s="62" t="str">
        <f aca="false">INDEX(Arch!$C$4:$E$4,X7)</f>
        <v>Sol（中層）</v>
      </c>
      <c r="Y5" s="62" t="str">
        <f aca="false">INDEX(Arch!$C$4:$E$4,Y7)</f>
        <v>Sol（中層）</v>
      </c>
      <c r="Z5" s="62" t="str">
        <f aca="false">INDEX(Arch!$C$4:$E$4,Z7)</f>
        <v>Sol（中層）</v>
      </c>
      <c r="AA5" s="62" t="str">
        <f aca="false">INDEX(Arch!$C$4:$E$4,AA7)</f>
        <v>Sol（中層）</v>
      </c>
      <c r="AB5" s="62" t="str">
        <f aca="false">INDEX(Arch!$C$4:$E$4,AB7)</f>
        <v>Sol（中層）</v>
      </c>
      <c r="AC5" s="62" t="str">
        <f aca="false">INDEX(Arch!$C$4:$E$4,AC7)</f>
        <v>Astra（頂層）</v>
      </c>
      <c r="AD5" s="62" t="str">
        <f aca="false">INDEX(Arch!$C$4:$E$4,AD7)</f>
        <v>Astra（頂層）</v>
      </c>
      <c r="AE5" s="62" t="str">
        <f aca="false">INDEX(Arch!$C$4:$E$4,AE7)</f>
        <v>Astra（頂層）</v>
      </c>
      <c r="AF5" s="62" t="str">
        <f aca="false">INDEX(Arch!$C$4:$E$4,AF7)</f>
        <v>Astra（頂層）</v>
      </c>
      <c r="AG5" s="62" t="str">
        <f aca="false">INDEX(Arch!$C$4:$E$4,AG7)</f>
        <v>Astra（頂層）</v>
      </c>
      <c r="AH5" s="62" t="str">
        <f aca="false">INDEX(Arch!$C$4:$E$4,AH7)</f>
        <v>Astra（頂層）</v>
      </c>
    </row>
    <row r="6" customFormat="false" ht="15" hidden="false" customHeight="false" outlineLevel="0" collapsed="false">
      <c r="A6" s="9" t="s">
        <v>368</v>
      </c>
      <c r="C6" s="48" t="n">
        <v>4</v>
      </c>
      <c r="D6" s="48" t="n">
        <v>3</v>
      </c>
      <c r="E6" s="48" t="n">
        <v>4</v>
      </c>
      <c r="F6" s="48" t="n">
        <v>3</v>
      </c>
      <c r="G6" s="48" t="n">
        <v>4</v>
      </c>
      <c r="H6" s="48" t="n">
        <v>3</v>
      </c>
      <c r="I6" s="48" t="n">
        <v>4</v>
      </c>
      <c r="J6" s="48" t="n">
        <v>3</v>
      </c>
      <c r="K6" s="48" t="n">
        <v>4</v>
      </c>
      <c r="L6" s="48" t="n">
        <v>3</v>
      </c>
      <c r="M6" s="48" t="n">
        <v>4</v>
      </c>
      <c r="N6" s="48" t="n">
        <v>3</v>
      </c>
      <c r="O6" s="48" t="n">
        <v>4</v>
      </c>
      <c r="P6" s="48" t="n">
        <v>3</v>
      </c>
      <c r="Q6" s="48" t="n">
        <v>4</v>
      </c>
      <c r="R6" s="48" t="n">
        <v>3</v>
      </c>
      <c r="S6" s="48" t="n">
        <v>4</v>
      </c>
      <c r="T6" s="48" t="n">
        <v>3</v>
      </c>
      <c r="U6" s="48" t="n">
        <v>4</v>
      </c>
      <c r="V6" s="48" t="n">
        <v>3</v>
      </c>
      <c r="W6" s="48" t="n">
        <v>4</v>
      </c>
      <c r="X6" s="48" t="n">
        <v>3</v>
      </c>
      <c r="Y6" s="48" t="n">
        <v>4</v>
      </c>
      <c r="Z6" s="48" t="n">
        <v>3</v>
      </c>
      <c r="AA6" s="48" t="n">
        <v>4</v>
      </c>
      <c r="AB6" s="48" t="n">
        <v>3</v>
      </c>
      <c r="AC6" s="48" t="n">
        <v>4</v>
      </c>
      <c r="AD6" s="48" t="n">
        <v>3</v>
      </c>
      <c r="AE6" s="48" t="n">
        <v>4</v>
      </c>
      <c r="AF6" s="48" t="n">
        <v>3</v>
      </c>
      <c r="AG6" s="48" t="n">
        <v>4</v>
      </c>
      <c r="AH6" s="48" t="n">
        <v>3</v>
      </c>
    </row>
    <row r="7" customFormat="false" ht="15" hidden="false" customHeight="false" outlineLevel="0" collapsed="false">
      <c r="A7" s="9" t="s">
        <v>631</v>
      </c>
      <c r="C7" s="48" t="n">
        <v>2</v>
      </c>
      <c r="D7" s="48" t="n">
        <v>2</v>
      </c>
      <c r="E7" s="48" t="n">
        <v>2</v>
      </c>
      <c r="F7" s="48" t="n">
        <v>2</v>
      </c>
      <c r="G7" s="48" t="n">
        <v>2</v>
      </c>
      <c r="H7" s="48" t="n">
        <v>2</v>
      </c>
      <c r="I7" s="48" t="n">
        <v>2</v>
      </c>
      <c r="J7" s="48" t="n">
        <v>2</v>
      </c>
      <c r="K7" s="48" t="n">
        <v>2</v>
      </c>
      <c r="L7" s="48" t="n">
        <v>2</v>
      </c>
      <c r="M7" s="48" t="n">
        <v>2</v>
      </c>
      <c r="N7" s="48" t="n">
        <v>2</v>
      </c>
      <c r="O7" s="48" t="n">
        <v>2</v>
      </c>
      <c r="P7" s="48" t="n">
        <v>2</v>
      </c>
      <c r="Q7" s="48" t="n">
        <v>2</v>
      </c>
      <c r="R7" s="48" t="n">
        <v>2</v>
      </c>
      <c r="S7" s="48" t="n">
        <v>2</v>
      </c>
      <c r="T7" s="48" t="n">
        <v>2</v>
      </c>
      <c r="U7" s="48" t="n">
        <v>2</v>
      </c>
      <c r="V7" s="48" t="n">
        <v>2</v>
      </c>
      <c r="W7" s="48" t="n">
        <v>2</v>
      </c>
      <c r="X7" s="48" t="n">
        <v>2</v>
      </c>
      <c r="Y7" s="48" t="n">
        <v>2</v>
      </c>
      <c r="Z7" s="48" t="n">
        <v>2</v>
      </c>
      <c r="AA7" s="48" t="n">
        <v>2</v>
      </c>
      <c r="AB7" s="48" t="n">
        <v>2</v>
      </c>
      <c r="AC7" s="48" t="n">
        <v>3</v>
      </c>
      <c r="AD7" s="48" t="n">
        <v>3</v>
      </c>
      <c r="AE7" s="48" t="n">
        <v>3</v>
      </c>
      <c r="AF7" s="48" t="n">
        <v>3</v>
      </c>
      <c r="AG7" s="48" t="n">
        <v>3</v>
      </c>
      <c r="AH7" s="48" t="n">
        <v>3</v>
      </c>
    </row>
    <row r="9" customFormat="false" ht="15" hidden="false" customHeight="false" outlineLevel="0" collapsed="false">
      <c r="A9" s="72" t="s">
        <v>632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customFormat="false" ht="15" hidden="false" customHeight="false" outlineLevel="0" collapsed="false">
      <c r="A10" s="45" t="s">
        <v>633</v>
      </c>
      <c r="B10" s="45" t="s">
        <v>61</v>
      </c>
      <c r="C10" s="79" t="n">
        <f aca="false">Tech_Registry!$E$22</f>
        <v>1</v>
      </c>
      <c r="D10" s="79" t="n">
        <f aca="false">Tech_Registry!$E$22</f>
        <v>1</v>
      </c>
      <c r="E10" s="79" t="n">
        <f aca="false">Tech_Registry!$E$22</f>
        <v>1</v>
      </c>
      <c r="F10" s="79" t="n">
        <f aca="false">Tech_Registry!$E$22</f>
        <v>1</v>
      </c>
      <c r="G10" s="79" t="n">
        <f aca="false">Tech_Registry!$E$22</f>
        <v>1</v>
      </c>
      <c r="H10" s="79" t="n">
        <f aca="false">Tech_Registry!$E$22</f>
        <v>1</v>
      </c>
      <c r="I10" s="79" t="n">
        <f aca="false">Tech_Registry!$E$22</f>
        <v>1</v>
      </c>
      <c r="J10" s="79" t="n">
        <f aca="false">Tech_Registry!$E$22</f>
        <v>1</v>
      </c>
      <c r="K10" s="79" t="n">
        <f aca="false">Tech_Registry!$E$22</f>
        <v>1</v>
      </c>
      <c r="L10" s="79" t="n">
        <f aca="false">Tech_Registry!$E$22</f>
        <v>1</v>
      </c>
      <c r="M10" s="79" t="n">
        <f aca="false">Tech_Registry!$E$22</f>
        <v>1</v>
      </c>
      <c r="N10" s="79" t="n">
        <f aca="false">Tech_Registry!$E$22</f>
        <v>1</v>
      </c>
      <c r="O10" s="79" t="n">
        <f aca="false">Tech_Registry!$E$22</f>
        <v>1</v>
      </c>
      <c r="P10" s="79" t="n">
        <f aca="false">Tech_Registry!$E$22</f>
        <v>1</v>
      </c>
      <c r="Q10" s="79" t="n">
        <f aca="false">Tech_Registry!$E$22</f>
        <v>1</v>
      </c>
      <c r="R10" s="79" t="n">
        <f aca="false">Tech_Registry!$E$22</f>
        <v>1</v>
      </c>
      <c r="S10" s="79" t="n">
        <f aca="false">Tech_Registry!$E$22</f>
        <v>1</v>
      </c>
      <c r="T10" s="79" t="n">
        <f aca="false">Tech_Registry!$E$22</f>
        <v>1</v>
      </c>
      <c r="U10" s="79" t="n">
        <f aca="false">Tech_Registry!$E$22</f>
        <v>1</v>
      </c>
      <c r="V10" s="79" t="n">
        <f aca="false">Tech_Registry!$E$22</f>
        <v>1</v>
      </c>
      <c r="W10" s="79" t="n">
        <f aca="false">Tech_Registry!$E$22</f>
        <v>1</v>
      </c>
      <c r="X10" s="79" t="n">
        <f aca="false">Tech_Registry!$E$22</f>
        <v>1</v>
      </c>
      <c r="Y10" s="79" t="n">
        <f aca="false">Tech_Registry!$E$22</f>
        <v>1</v>
      </c>
      <c r="Z10" s="79" t="n">
        <f aca="false">Tech_Registry!$E$22</f>
        <v>1</v>
      </c>
      <c r="AA10" s="79" t="n">
        <f aca="false">Tech_Registry!$E$22</f>
        <v>1</v>
      </c>
      <c r="AB10" s="79" t="n">
        <f aca="false">Tech_Registry!$E$22</f>
        <v>1</v>
      </c>
      <c r="AC10" s="79" t="n">
        <f aca="false">Tech_Registry!$E$22</f>
        <v>1</v>
      </c>
      <c r="AD10" s="79" t="n">
        <f aca="false">Tech_Registry!$E$22</f>
        <v>1</v>
      </c>
      <c r="AE10" s="79" t="n">
        <f aca="false">Tech_Registry!$E$22</f>
        <v>1</v>
      </c>
      <c r="AF10" s="79" t="n">
        <f aca="false">Tech_Registry!$E$22</f>
        <v>1</v>
      </c>
      <c r="AG10" s="79" t="n">
        <f aca="false">Tech_Registry!$E$22</f>
        <v>1</v>
      </c>
      <c r="AH10" s="79" t="n">
        <f aca="false">Tech_Registry!$E$22</f>
        <v>1</v>
      </c>
    </row>
    <row r="11" customFormat="false" ht="15" hidden="false" customHeight="false" outlineLevel="0" collapsed="false">
      <c r="A11" s="45" t="s">
        <v>634</v>
      </c>
      <c r="B11" s="45" t="s">
        <v>61</v>
      </c>
      <c r="C11" s="79" t="n">
        <f aca="false">Tech_Registry!$E$23</f>
        <v>1</v>
      </c>
      <c r="D11" s="79" t="n">
        <f aca="false">Tech_Registry!$E$23</f>
        <v>1</v>
      </c>
      <c r="E11" s="79" t="n">
        <f aca="false">Tech_Registry!$E$23</f>
        <v>1</v>
      </c>
      <c r="F11" s="79" t="n">
        <f aca="false">Tech_Registry!$E$23</f>
        <v>1</v>
      </c>
      <c r="G11" s="79" t="n">
        <f aca="false">Tech_Registry!$E$23</f>
        <v>1</v>
      </c>
      <c r="H11" s="79" t="n">
        <f aca="false">Tech_Registry!$E$23</f>
        <v>1</v>
      </c>
      <c r="I11" s="79" t="n">
        <f aca="false">Tech_Registry!$E$23</f>
        <v>1</v>
      </c>
      <c r="J11" s="79" t="n">
        <f aca="false">Tech_Registry!$E$23</f>
        <v>1</v>
      </c>
      <c r="K11" s="79" t="n">
        <f aca="false">Tech_Registry!$E$23</f>
        <v>1</v>
      </c>
      <c r="L11" s="79" t="n">
        <f aca="false">Tech_Registry!$E$23</f>
        <v>1</v>
      </c>
      <c r="M11" s="79" t="n">
        <f aca="false">Tech_Registry!$E$23</f>
        <v>1</v>
      </c>
      <c r="N11" s="79" t="n">
        <f aca="false">Tech_Registry!$E$23</f>
        <v>1</v>
      </c>
      <c r="O11" s="79" t="n">
        <f aca="false">Tech_Registry!$E$23</f>
        <v>1</v>
      </c>
      <c r="P11" s="79" t="n">
        <f aca="false">Tech_Registry!$E$23</f>
        <v>1</v>
      </c>
      <c r="Q11" s="79" t="n">
        <f aca="false">Tech_Registry!$E$23</f>
        <v>1</v>
      </c>
      <c r="R11" s="79" t="n">
        <f aca="false">Tech_Registry!$E$23</f>
        <v>1</v>
      </c>
      <c r="S11" s="79" t="n">
        <f aca="false">Tech_Registry!$E$23</f>
        <v>1</v>
      </c>
      <c r="T11" s="79" t="n">
        <f aca="false">Tech_Registry!$E$23</f>
        <v>1</v>
      </c>
      <c r="U11" s="79" t="n">
        <f aca="false">Tech_Registry!$E$23</f>
        <v>1</v>
      </c>
      <c r="V11" s="79" t="n">
        <f aca="false">Tech_Registry!$E$23</f>
        <v>1</v>
      </c>
      <c r="W11" s="79" t="n">
        <f aca="false">Tech_Registry!$E$23</f>
        <v>1</v>
      </c>
      <c r="X11" s="79" t="n">
        <f aca="false">Tech_Registry!$E$23</f>
        <v>1</v>
      </c>
      <c r="Y11" s="79" t="n">
        <f aca="false">Tech_Registry!$E$23</f>
        <v>1</v>
      </c>
      <c r="Z11" s="79" t="n">
        <f aca="false">Tech_Registry!$E$23</f>
        <v>1</v>
      </c>
      <c r="AA11" s="79" t="n">
        <f aca="false">Tech_Registry!$E$23</f>
        <v>1</v>
      </c>
      <c r="AB11" s="79" t="n">
        <f aca="false">Tech_Registry!$E$23</f>
        <v>1</v>
      </c>
      <c r="AC11" s="79" t="n">
        <f aca="false">Tech_Registry!$E$23</f>
        <v>1</v>
      </c>
      <c r="AD11" s="79" t="n">
        <f aca="false">Tech_Registry!$E$23</f>
        <v>1</v>
      </c>
      <c r="AE11" s="79" t="n">
        <f aca="false">Tech_Registry!$E$23</f>
        <v>1</v>
      </c>
      <c r="AF11" s="79" t="n">
        <f aca="false">Tech_Registry!$E$23</f>
        <v>1</v>
      </c>
      <c r="AG11" s="79" t="n">
        <f aca="false">Tech_Registry!$E$23</f>
        <v>1</v>
      </c>
      <c r="AH11" s="79" t="n">
        <f aca="false">Tech_Registry!$E$23</f>
        <v>1</v>
      </c>
    </row>
    <row r="12" customFormat="false" ht="15" hidden="false" customHeight="false" outlineLevel="0" collapsed="false">
      <c r="A12" s="44" t="s">
        <v>635</v>
      </c>
      <c r="B12" s="45" t="s">
        <v>61</v>
      </c>
      <c r="C12" s="79" t="n">
        <f aca="false">Tech_Registry!$E$24</f>
        <v>1</v>
      </c>
      <c r="D12" s="79" t="n">
        <f aca="false">Tech_Registry!$E$24</f>
        <v>1</v>
      </c>
      <c r="E12" s="79" t="n">
        <f aca="false">Tech_Registry!$E$24</f>
        <v>1</v>
      </c>
      <c r="F12" s="79" t="n">
        <f aca="false">Tech_Registry!$E$24</f>
        <v>1</v>
      </c>
      <c r="G12" s="79" t="n">
        <f aca="false">Tech_Registry!$E$24</f>
        <v>1</v>
      </c>
      <c r="H12" s="79" t="n">
        <f aca="false">Tech_Registry!$E$24</f>
        <v>1</v>
      </c>
      <c r="I12" s="79" t="n">
        <f aca="false">Tech_Registry!$E$24</f>
        <v>1</v>
      </c>
      <c r="J12" s="79" t="n">
        <f aca="false">Tech_Registry!$E$24</f>
        <v>1</v>
      </c>
      <c r="K12" s="79" t="n">
        <f aca="false">Tech_Registry!$E$24</f>
        <v>1</v>
      </c>
      <c r="L12" s="79" t="n">
        <f aca="false">Tech_Registry!$E$24</f>
        <v>1</v>
      </c>
      <c r="M12" s="79" t="n">
        <f aca="false">Tech_Registry!$E$24</f>
        <v>1</v>
      </c>
      <c r="N12" s="79" t="n">
        <f aca="false">Tech_Registry!$E$24</f>
        <v>1</v>
      </c>
      <c r="O12" s="79" t="n">
        <f aca="false">Tech_Registry!$E$24</f>
        <v>1</v>
      </c>
      <c r="P12" s="79" t="n">
        <f aca="false">Tech_Registry!$E$24</f>
        <v>1</v>
      </c>
      <c r="Q12" s="79" t="n">
        <f aca="false">Tech_Registry!$E$24</f>
        <v>1</v>
      </c>
      <c r="R12" s="79" t="n">
        <f aca="false">Tech_Registry!$E$24</f>
        <v>1</v>
      </c>
      <c r="S12" s="79" t="n">
        <f aca="false">Tech_Registry!$E$24</f>
        <v>1</v>
      </c>
      <c r="T12" s="79" t="n">
        <f aca="false">Tech_Registry!$E$24</f>
        <v>1</v>
      </c>
      <c r="U12" s="79" t="n">
        <f aca="false">Tech_Registry!$E$24</f>
        <v>1</v>
      </c>
      <c r="V12" s="79" t="n">
        <f aca="false">Tech_Registry!$E$24</f>
        <v>1</v>
      </c>
      <c r="W12" s="79" t="n">
        <f aca="false">Tech_Registry!$E$24</f>
        <v>1</v>
      </c>
      <c r="X12" s="79" t="n">
        <f aca="false">Tech_Registry!$E$24</f>
        <v>1</v>
      </c>
      <c r="Y12" s="79" t="n">
        <f aca="false">Tech_Registry!$E$24</f>
        <v>1</v>
      </c>
      <c r="Z12" s="79" t="n">
        <f aca="false">Tech_Registry!$E$24</f>
        <v>1</v>
      </c>
      <c r="AA12" s="79" t="n">
        <f aca="false">Tech_Registry!$E$24</f>
        <v>1</v>
      </c>
      <c r="AB12" s="79" t="n">
        <f aca="false">Tech_Registry!$E$24</f>
        <v>1</v>
      </c>
      <c r="AC12" s="79" t="n">
        <f aca="false">Tech_Registry!$E$24</f>
        <v>1</v>
      </c>
      <c r="AD12" s="79" t="n">
        <f aca="false">Tech_Registry!$E$24</f>
        <v>1</v>
      </c>
      <c r="AE12" s="79" t="n">
        <f aca="false">Tech_Registry!$E$24</f>
        <v>1</v>
      </c>
      <c r="AF12" s="79" t="n">
        <f aca="false">Tech_Registry!$E$24</f>
        <v>1</v>
      </c>
      <c r="AG12" s="79" t="n">
        <f aca="false">Tech_Registry!$E$24</f>
        <v>1</v>
      </c>
      <c r="AH12" s="79" t="n">
        <f aca="false">Tech_Registry!$E$24</f>
        <v>1</v>
      </c>
    </row>
    <row r="13" customFormat="false" ht="15" hidden="false" customHeight="false" outlineLevel="0" collapsed="false">
      <c r="A13" s="72" t="s">
        <v>636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</row>
    <row r="14" customFormat="false" ht="15" hidden="false" customHeight="false" outlineLevel="0" collapsed="false">
      <c r="A14" s="44" t="s">
        <v>391</v>
      </c>
      <c r="B14" s="45" t="s">
        <v>392</v>
      </c>
      <c r="C14" s="75" t="n">
        <f aca="false">INDEX(Spec_Rack!$C$35:$G$35,C$6)</f>
        <v>35</v>
      </c>
      <c r="D14" s="75" t="n">
        <f aca="false">INDEX(Spec_Rack!$C$35:$G$35,D$6)</f>
        <v>15</v>
      </c>
      <c r="E14" s="75" t="n">
        <f aca="false">INDEX(Spec_Rack!$C$35:$G$35,E$6)</f>
        <v>35</v>
      </c>
      <c r="F14" s="75" t="n">
        <f aca="false">INDEX(Spec_Rack!$C$35:$G$35,F$6)</f>
        <v>15</v>
      </c>
      <c r="G14" s="75" t="n">
        <f aca="false">INDEX(Spec_Rack!$C$35:$G$35,G$6)</f>
        <v>35</v>
      </c>
      <c r="H14" s="75" t="n">
        <f aca="false">INDEX(Spec_Rack!$C$35:$G$35,H$6)</f>
        <v>15</v>
      </c>
      <c r="I14" s="75" t="n">
        <f aca="false">INDEX(Spec_Rack!$C$35:$G$35,I$6)</f>
        <v>35</v>
      </c>
      <c r="J14" s="75" t="n">
        <f aca="false">INDEX(Spec_Rack!$C$35:$G$35,J$6)</f>
        <v>15</v>
      </c>
      <c r="K14" s="75" t="n">
        <f aca="false">INDEX(Spec_Rack!$C$35:$G$35,K$6)</f>
        <v>35</v>
      </c>
      <c r="L14" s="75" t="n">
        <f aca="false">INDEX(Spec_Rack!$C$35:$G$35,L$6)</f>
        <v>15</v>
      </c>
      <c r="M14" s="107" t="n">
        <v>50</v>
      </c>
      <c r="N14" s="75" t="n">
        <f aca="false">INDEX(Spec_Rack!$C$35:$G$35,N$6)</f>
        <v>15</v>
      </c>
      <c r="O14" s="75" t="n">
        <f aca="false">INDEX(Spec_Rack!$C$35:$G$35,O$6)</f>
        <v>35</v>
      </c>
      <c r="P14" s="75" t="n">
        <f aca="false">INDEX(Spec_Rack!$C$35:$G$35,P$6)</f>
        <v>15</v>
      </c>
      <c r="Q14" s="75" t="n">
        <f aca="false">INDEX(Spec_Rack!$C$35:$G$35,Q$6)</f>
        <v>35</v>
      </c>
      <c r="R14" s="75" t="n">
        <f aca="false">INDEX(Spec_Rack!$C$35:$G$35,R$6)</f>
        <v>15</v>
      </c>
      <c r="S14" s="75" t="n">
        <f aca="false">INDEX(Spec_Rack!$C$35:$G$35,S$6)</f>
        <v>35</v>
      </c>
      <c r="T14" s="75" t="n">
        <f aca="false">INDEX(Spec_Rack!$C$35:$G$35,T$6)</f>
        <v>15</v>
      </c>
      <c r="U14" s="75" t="n">
        <f aca="false">INDEX(Spec_Rack!$C$35:$G$35,U$6)</f>
        <v>35</v>
      </c>
      <c r="V14" s="75" t="n">
        <f aca="false">INDEX(Spec_Rack!$C$35:$G$35,V$6)</f>
        <v>15</v>
      </c>
      <c r="W14" s="75" t="n">
        <f aca="false">INDEX(Spec_Rack!$C$35:$G$35,W$6)</f>
        <v>35</v>
      </c>
      <c r="X14" s="75" t="n">
        <f aca="false">INDEX(Spec_Rack!$C$35:$G$35,X$6)</f>
        <v>15</v>
      </c>
      <c r="Y14" s="75" t="n">
        <f aca="false">INDEX(Spec_Rack!$C$35:$G$35,Y$6)</f>
        <v>35</v>
      </c>
      <c r="Z14" s="75" t="n">
        <f aca="false">INDEX(Spec_Rack!$C$35:$G$35,Z$6)</f>
        <v>15</v>
      </c>
      <c r="AA14" s="75" t="n">
        <f aca="false">INDEX(Spec_Rack!$C$35:$G$35,AA$6)</f>
        <v>35</v>
      </c>
      <c r="AB14" s="75" t="n">
        <f aca="false">INDEX(Spec_Rack!$C$35:$G$35,AB$6)</f>
        <v>15</v>
      </c>
      <c r="AC14" s="75" t="n">
        <f aca="false">INDEX(Spec_Rack!$C$35:$G$35,AC$6)</f>
        <v>35</v>
      </c>
      <c r="AD14" s="75" t="n">
        <f aca="false">INDEX(Spec_Rack!$C$35:$G$35,AD$6)</f>
        <v>15</v>
      </c>
      <c r="AE14" s="75" t="n">
        <f aca="false">INDEX(Spec_Rack!$C$35:$G$35,AE$6)</f>
        <v>35</v>
      </c>
      <c r="AF14" s="75" t="n">
        <f aca="false">INDEX(Spec_Rack!$C$35:$G$35,AF$6)</f>
        <v>15</v>
      </c>
      <c r="AG14" s="75" t="n">
        <f aca="false">INDEX(Spec_Rack!$C$35:$G$35,AG$6)</f>
        <v>35</v>
      </c>
      <c r="AH14" s="75" t="n">
        <f aca="false">INDEX(Spec_Rack!$C$35:$G$35,AH$6)</f>
        <v>15</v>
      </c>
    </row>
    <row r="15" customFormat="false" ht="15" hidden="false" customHeight="false" outlineLevel="0" collapsed="false">
      <c r="A15" s="45" t="s">
        <v>393</v>
      </c>
      <c r="B15" s="45" t="s">
        <v>637</v>
      </c>
      <c r="C15" s="76" t="n">
        <f aca="false">INDEX(Spec_Rack!$C$25:$G$25,C$6)</f>
        <v>288</v>
      </c>
      <c r="D15" s="76" t="n">
        <f aca="false">INDEX(Spec_Rack!$C$25:$G$25,D$6)</f>
        <v>288</v>
      </c>
      <c r="E15" s="76" t="n">
        <f aca="false">INDEX(Spec_Rack!$C$25:$G$25,E$6)</f>
        <v>288</v>
      </c>
      <c r="F15" s="76" t="n">
        <f aca="false">INDEX(Spec_Rack!$C$25:$G$25,F$6)</f>
        <v>288</v>
      </c>
      <c r="G15" s="76" t="n">
        <f aca="false">INDEX(Spec_Rack!$C$25:$G$25,G$6)</f>
        <v>288</v>
      </c>
      <c r="H15" s="76" t="n">
        <f aca="false">INDEX(Spec_Rack!$C$25:$G$25,H$6)</f>
        <v>288</v>
      </c>
      <c r="I15" s="76" t="n">
        <f aca="false">INDEX(Spec_Rack!$C$25:$G$25,I$6)</f>
        <v>288</v>
      </c>
      <c r="J15" s="76" t="n">
        <f aca="false">INDEX(Spec_Rack!$C$25:$G$25,J$6)</f>
        <v>288</v>
      </c>
      <c r="K15" s="76" t="n">
        <f aca="false">INDEX(Spec_Rack!$C$25:$G$25,K$6)</f>
        <v>288</v>
      </c>
      <c r="L15" s="76" t="n">
        <f aca="false">INDEX(Spec_Rack!$C$25:$G$25,L$6)</f>
        <v>288</v>
      </c>
      <c r="M15" s="76" t="n">
        <f aca="false">INDEX(Spec_Rack!$C$25:$G$25,M$6)</f>
        <v>288</v>
      </c>
      <c r="N15" s="76" t="n">
        <f aca="false">INDEX(Spec_Rack!$C$25:$G$25,N$6)</f>
        <v>288</v>
      </c>
      <c r="O15" s="76" t="n">
        <f aca="false">INDEX(Spec_Rack!$C$25:$G$25,O$6)</f>
        <v>288</v>
      </c>
      <c r="P15" s="76" t="n">
        <f aca="false">INDEX(Spec_Rack!$C$25:$G$25,P$6)</f>
        <v>288</v>
      </c>
      <c r="Q15" s="76" t="n">
        <f aca="false">INDEX(Spec_Rack!$C$25:$G$25,Q$6)</f>
        <v>288</v>
      </c>
      <c r="R15" s="76" t="n">
        <f aca="false">INDEX(Spec_Rack!$C$25:$G$25,R$6)</f>
        <v>288</v>
      </c>
      <c r="S15" s="76" t="n">
        <f aca="false">INDEX(Spec_Rack!$C$25:$G$25,S$6)</f>
        <v>288</v>
      </c>
      <c r="T15" s="76" t="n">
        <f aca="false">INDEX(Spec_Rack!$C$25:$G$25,T$6)</f>
        <v>288</v>
      </c>
      <c r="U15" s="76" t="n">
        <f aca="false">INDEX(Spec_Rack!$C$25:$G$25,U$6)</f>
        <v>288</v>
      </c>
      <c r="V15" s="76" t="n">
        <f aca="false">INDEX(Spec_Rack!$C$25:$G$25,V$6)</f>
        <v>288</v>
      </c>
      <c r="W15" s="76" t="n">
        <f aca="false">INDEX(Spec_Rack!$C$25:$G$25,W$6)</f>
        <v>288</v>
      </c>
      <c r="X15" s="76" t="n">
        <f aca="false">INDEX(Spec_Rack!$C$25:$G$25,X$6)</f>
        <v>288</v>
      </c>
      <c r="Y15" s="76" t="n">
        <f aca="false">INDEX(Spec_Rack!$C$25:$G$25,Y$6)</f>
        <v>288</v>
      </c>
      <c r="Z15" s="76" t="n">
        <f aca="false">INDEX(Spec_Rack!$C$25:$G$25,Z$6)</f>
        <v>288</v>
      </c>
      <c r="AA15" s="76" t="n">
        <f aca="false">INDEX(Spec_Rack!$C$25:$G$25,AA$6)</f>
        <v>288</v>
      </c>
      <c r="AB15" s="76" t="n">
        <f aca="false">INDEX(Spec_Rack!$C$25:$G$25,AB$6)</f>
        <v>288</v>
      </c>
      <c r="AC15" s="76" t="n">
        <f aca="false">INDEX(Spec_Rack!$C$25:$G$25,AC$6)</f>
        <v>288</v>
      </c>
      <c r="AD15" s="76" t="n">
        <f aca="false">INDEX(Spec_Rack!$C$25:$G$25,AD$6)</f>
        <v>288</v>
      </c>
      <c r="AE15" s="76" t="n">
        <f aca="false">INDEX(Spec_Rack!$C$25:$G$25,AE$6)</f>
        <v>288</v>
      </c>
      <c r="AF15" s="76" t="n">
        <f aca="false">INDEX(Spec_Rack!$C$25:$G$25,AF$6)</f>
        <v>288</v>
      </c>
      <c r="AG15" s="76" t="n">
        <f aca="false">INDEX(Spec_Rack!$C$25:$G$25,AG$6)</f>
        <v>288</v>
      </c>
      <c r="AH15" s="76" t="n">
        <f aca="false">INDEX(Spec_Rack!$C$25:$G$25,AH$6)</f>
        <v>288</v>
      </c>
    </row>
    <row r="16" customFormat="false" ht="15" hidden="false" customHeight="false" outlineLevel="0" collapsed="false">
      <c r="A16" s="45" t="s">
        <v>394</v>
      </c>
      <c r="B16" s="45" t="s">
        <v>289</v>
      </c>
      <c r="C16" s="77" t="n">
        <f aca="false">INDEX(Spec_Rack!$C$26:$G$26,C$6)</f>
        <v>22</v>
      </c>
      <c r="D16" s="77" t="n">
        <f aca="false">INDEX(Spec_Rack!$C$26:$G$26,D$6)</f>
        <v>8</v>
      </c>
      <c r="E16" s="77" t="n">
        <f aca="false">INDEX(Spec_Rack!$C$26:$G$26,E$6)</f>
        <v>22</v>
      </c>
      <c r="F16" s="77" t="n">
        <f aca="false">INDEX(Spec_Rack!$C$26:$G$26,F$6)</f>
        <v>8</v>
      </c>
      <c r="G16" s="77" t="n">
        <f aca="false">INDEX(Spec_Rack!$C$26:$G$26,G$6)</f>
        <v>22</v>
      </c>
      <c r="H16" s="77" t="n">
        <f aca="false">INDEX(Spec_Rack!$C$26:$G$26,H$6)</f>
        <v>8</v>
      </c>
      <c r="I16" s="77" t="n">
        <f aca="false">INDEX(Spec_Rack!$C$26:$G$26,I$6)</f>
        <v>22</v>
      </c>
      <c r="J16" s="77" t="n">
        <f aca="false">INDEX(Spec_Rack!$C$26:$G$26,J$6)</f>
        <v>8</v>
      </c>
      <c r="K16" s="77" t="n">
        <f aca="false">INDEX(Spec_Rack!$C$26:$G$26,K$6)</f>
        <v>22</v>
      </c>
      <c r="L16" s="77" t="n">
        <f aca="false">INDEX(Spec_Rack!$C$26:$G$26,L$6)</f>
        <v>8</v>
      </c>
      <c r="M16" s="77" t="n">
        <f aca="false">INDEX(Spec_Rack!$C$26:$G$26,M$6)</f>
        <v>22</v>
      </c>
      <c r="N16" s="77" t="n">
        <f aca="false">INDEX(Spec_Rack!$C$26:$G$26,N$6)</f>
        <v>8</v>
      </c>
      <c r="O16" s="77" t="n">
        <f aca="false">INDEX(Spec_Rack!$C$26:$G$26,O$6)</f>
        <v>22</v>
      </c>
      <c r="P16" s="77" t="n">
        <f aca="false">INDEX(Spec_Rack!$C$26:$G$26,P$6)</f>
        <v>8</v>
      </c>
      <c r="Q16" s="77" t="n">
        <f aca="false">INDEX(Spec_Rack!$C$26:$G$26,Q$6)</f>
        <v>22</v>
      </c>
      <c r="R16" s="77" t="n">
        <f aca="false">INDEX(Spec_Rack!$C$26:$G$26,R$6)</f>
        <v>8</v>
      </c>
      <c r="S16" s="77" t="n">
        <f aca="false">INDEX(Spec_Rack!$C$26:$G$26,S$6)</f>
        <v>22</v>
      </c>
      <c r="T16" s="77" t="n">
        <f aca="false">INDEX(Spec_Rack!$C$26:$G$26,T$6)</f>
        <v>8</v>
      </c>
      <c r="U16" s="77" t="n">
        <f aca="false">INDEX(Spec_Rack!$C$26:$G$26,U$6)</f>
        <v>22</v>
      </c>
      <c r="V16" s="77" t="n">
        <f aca="false">INDEX(Spec_Rack!$C$26:$G$26,V$6)</f>
        <v>8</v>
      </c>
      <c r="W16" s="77" t="n">
        <f aca="false">INDEX(Spec_Rack!$C$26:$G$26,W$6)</f>
        <v>22</v>
      </c>
      <c r="X16" s="77" t="n">
        <f aca="false">INDEX(Spec_Rack!$C$26:$G$26,X$6)</f>
        <v>8</v>
      </c>
      <c r="Y16" s="77" t="n">
        <f aca="false">INDEX(Spec_Rack!$C$26:$G$26,Y$6)</f>
        <v>22</v>
      </c>
      <c r="Z16" s="77" t="n">
        <f aca="false">INDEX(Spec_Rack!$C$26:$G$26,Z$6)</f>
        <v>8</v>
      </c>
      <c r="AA16" s="77" t="n">
        <f aca="false">INDEX(Spec_Rack!$C$26:$G$26,AA$6)</f>
        <v>22</v>
      </c>
      <c r="AB16" s="77" t="n">
        <f aca="false">INDEX(Spec_Rack!$C$26:$G$26,AB$6)</f>
        <v>8</v>
      </c>
      <c r="AC16" s="77" t="n">
        <f aca="false">INDEX(Spec_Rack!$C$26:$G$26,AC$6)</f>
        <v>22</v>
      </c>
      <c r="AD16" s="77" t="n">
        <f aca="false">INDEX(Spec_Rack!$C$26:$G$26,AD$6)</f>
        <v>8</v>
      </c>
      <c r="AE16" s="77" t="n">
        <f aca="false">INDEX(Spec_Rack!$C$26:$G$26,AE$6)</f>
        <v>22</v>
      </c>
      <c r="AF16" s="77" t="n">
        <f aca="false">INDEX(Spec_Rack!$C$26:$G$26,AF$6)</f>
        <v>8</v>
      </c>
      <c r="AG16" s="77" t="n">
        <f aca="false">INDEX(Spec_Rack!$C$26:$G$26,AG$6)</f>
        <v>22</v>
      </c>
      <c r="AH16" s="77" t="n">
        <f aca="false">INDEX(Spec_Rack!$C$26:$G$26,AH$6)</f>
        <v>8</v>
      </c>
    </row>
    <row r="17" customFormat="false" ht="15" hidden="false" customHeight="false" outlineLevel="0" collapsed="false">
      <c r="A17" s="45" t="s">
        <v>638</v>
      </c>
      <c r="B17" s="45" t="s">
        <v>289</v>
      </c>
      <c r="C17" s="77" t="n">
        <f aca="false">INDEX(Spec_Rack!$C$27:$G$27,C$6)</f>
        <v>1.8</v>
      </c>
      <c r="D17" s="77" t="n">
        <f aca="false">INDEX(Spec_Rack!$C$27:$G$27,D$6)</f>
        <v>0.9</v>
      </c>
      <c r="E17" s="77" t="n">
        <f aca="false">INDEX(Spec_Rack!$C$27:$G$27,E$6)</f>
        <v>1.8</v>
      </c>
      <c r="F17" s="77" t="n">
        <f aca="false">INDEX(Spec_Rack!$C$27:$G$27,F$6)</f>
        <v>0.9</v>
      </c>
      <c r="G17" s="77" t="n">
        <f aca="false">INDEX(Spec_Rack!$C$27:$G$27,G$6)</f>
        <v>1.8</v>
      </c>
      <c r="H17" s="77" t="n">
        <f aca="false">INDEX(Spec_Rack!$C$27:$G$27,H$6)</f>
        <v>0.9</v>
      </c>
      <c r="I17" s="77" t="n">
        <f aca="false">INDEX(Spec_Rack!$C$27:$G$27,I$6)</f>
        <v>1.8</v>
      </c>
      <c r="J17" s="77" t="n">
        <f aca="false">INDEX(Spec_Rack!$C$27:$G$27,J$6)</f>
        <v>0.9</v>
      </c>
      <c r="K17" s="77" t="n">
        <f aca="false">INDEX(Spec_Rack!$C$27:$G$27,K$6)</f>
        <v>1.8</v>
      </c>
      <c r="L17" s="77" t="n">
        <f aca="false">INDEX(Spec_Rack!$C$27:$G$27,L$6)</f>
        <v>0.9</v>
      </c>
      <c r="M17" s="77" t="n">
        <f aca="false">INDEX(Spec_Rack!$C$27:$G$27,M$6)</f>
        <v>1.8</v>
      </c>
      <c r="N17" s="77" t="n">
        <f aca="false">INDEX(Spec_Rack!$C$27:$G$27,N$6)</f>
        <v>0.9</v>
      </c>
      <c r="O17" s="77" t="n">
        <f aca="false">INDEX(Spec_Rack!$C$27:$G$27,O$6)</f>
        <v>1.8</v>
      </c>
      <c r="P17" s="77" t="n">
        <f aca="false">INDEX(Spec_Rack!$C$27:$G$27,P$6)</f>
        <v>0.9</v>
      </c>
      <c r="Q17" s="77" t="n">
        <f aca="false">INDEX(Spec_Rack!$C$27:$G$27,Q$6)</f>
        <v>1.8</v>
      </c>
      <c r="R17" s="77" t="n">
        <f aca="false">INDEX(Spec_Rack!$C$27:$G$27,R$6)</f>
        <v>0.9</v>
      </c>
      <c r="S17" s="77" t="n">
        <f aca="false">INDEX(Spec_Rack!$C$27:$G$27,S$6)</f>
        <v>1.8</v>
      </c>
      <c r="T17" s="77" t="n">
        <f aca="false">INDEX(Spec_Rack!$C$27:$G$27,T$6)</f>
        <v>0.9</v>
      </c>
      <c r="U17" s="77" t="n">
        <f aca="false">INDEX(Spec_Rack!$C$27:$G$27,U$6)</f>
        <v>1.8</v>
      </c>
      <c r="V17" s="77" t="n">
        <f aca="false">INDEX(Spec_Rack!$C$27:$G$27,V$6)</f>
        <v>0.9</v>
      </c>
      <c r="W17" s="77" t="n">
        <f aca="false">INDEX(Spec_Rack!$C$27:$G$27,W$6)</f>
        <v>1.8</v>
      </c>
      <c r="X17" s="77" t="n">
        <f aca="false">INDEX(Spec_Rack!$C$27:$G$27,X$6)</f>
        <v>0.9</v>
      </c>
      <c r="Y17" s="77" t="n">
        <f aca="false">INDEX(Spec_Rack!$C$27:$G$27,Y$6)</f>
        <v>1.8</v>
      </c>
      <c r="Z17" s="77" t="n">
        <f aca="false">INDEX(Spec_Rack!$C$27:$G$27,Z$6)</f>
        <v>0.9</v>
      </c>
      <c r="AA17" s="77" t="n">
        <f aca="false">INDEX(Spec_Rack!$C$27:$G$27,AA$6)</f>
        <v>1.8</v>
      </c>
      <c r="AB17" s="77" t="n">
        <f aca="false">INDEX(Spec_Rack!$C$27:$G$27,AB$6)</f>
        <v>0.9</v>
      </c>
      <c r="AC17" s="77" t="n">
        <f aca="false">INDEX(Spec_Rack!$C$27:$G$27,AC$6)</f>
        <v>1.8</v>
      </c>
      <c r="AD17" s="77" t="n">
        <f aca="false">INDEX(Spec_Rack!$C$27:$G$27,AD$6)</f>
        <v>0.9</v>
      </c>
      <c r="AE17" s="77" t="n">
        <f aca="false">INDEX(Spec_Rack!$C$27:$G$27,AE$6)</f>
        <v>1.8</v>
      </c>
      <c r="AF17" s="77" t="n">
        <f aca="false">INDEX(Spec_Rack!$C$27:$G$27,AF$6)</f>
        <v>0.9</v>
      </c>
      <c r="AG17" s="77" t="n">
        <f aca="false">INDEX(Spec_Rack!$C$27:$G$27,AG$6)</f>
        <v>1.8</v>
      </c>
      <c r="AH17" s="77" t="n">
        <f aca="false">INDEX(Spec_Rack!$C$27:$G$27,AH$6)</f>
        <v>0.9</v>
      </c>
    </row>
    <row r="18" customFormat="false" ht="15" hidden="false" customHeight="false" outlineLevel="0" collapsed="false">
      <c r="A18" s="45" t="s">
        <v>181</v>
      </c>
      <c r="B18" s="45" t="s">
        <v>639</v>
      </c>
      <c r="C18" s="76" t="n">
        <f aca="false">INDEX(Spec_Rack!$C$29:$G$29,C$6)</f>
        <v>32</v>
      </c>
      <c r="D18" s="76" t="n">
        <f aca="false">INDEX(Spec_Rack!$C$29:$G$29,D$6)</f>
        <v>32</v>
      </c>
      <c r="E18" s="76" t="n">
        <f aca="false">INDEX(Spec_Rack!$C$29:$G$29,E$6)</f>
        <v>32</v>
      </c>
      <c r="F18" s="76" t="n">
        <f aca="false">INDEX(Spec_Rack!$C$29:$G$29,F$6)</f>
        <v>32</v>
      </c>
      <c r="G18" s="76" t="n">
        <f aca="false">INDEX(Spec_Rack!$C$29:$G$29,G$6)</f>
        <v>32</v>
      </c>
      <c r="H18" s="76" t="n">
        <f aca="false">INDEX(Spec_Rack!$C$29:$G$29,H$6)</f>
        <v>32</v>
      </c>
      <c r="I18" s="76" t="n">
        <f aca="false">INDEX(Spec_Rack!$C$29:$G$29,I$6)</f>
        <v>32</v>
      </c>
      <c r="J18" s="76" t="n">
        <f aca="false">INDEX(Spec_Rack!$C$29:$G$29,J$6)</f>
        <v>32</v>
      </c>
      <c r="K18" s="76" t="n">
        <f aca="false">INDEX(Spec_Rack!$C$29:$G$29,K$6)</f>
        <v>32</v>
      </c>
      <c r="L18" s="76" t="n">
        <f aca="false">INDEX(Spec_Rack!$C$29:$G$29,L$6)</f>
        <v>32</v>
      </c>
      <c r="M18" s="76" t="n">
        <f aca="false">INDEX(Spec_Rack!$C$29:$G$29,M$6)</f>
        <v>32</v>
      </c>
      <c r="N18" s="76" t="n">
        <f aca="false">INDEX(Spec_Rack!$C$29:$G$29,N$6)</f>
        <v>32</v>
      </c>
      <c r="O18" s="76" t="n">
        <f aca="false">INDEX(Spec_Rack!$C$29:$G$29,O$6)</f>
        <v>32</v>
      </c>
      <c r="P18" s="76" t="n">
        <f aca="false">INDEX(Spec_Rack!$C$29:$G$29,P$6)</f>
        <v>32</v>
      </c>
      <c r="Q18" s="76" t="n">
        <f aca="false">INDEX(Spec_Rack!$C$29:$G$29,Q$6)</f>
        <v>32</v>
      </c>
      <c r="R18" s="76" t="n">
        <f aca="false">INDEX(Spec_Rack!$C$29:$G$29,R$6)</f>
        <v>32</v>
      </c>
      <c r="S18" s="76" t="n">
        <f aca="false">INDEX(Spec_Rack!$C$29:$G$29,S$6)</f>
        <v>32</v>
      </c>
      <c r="T18" s="76" t="n">
        <f aca="false">INDEX(Spec_Rack!$C$29:$G$29,T$6)</f>
        <v>32</v>
      </c>
      <c r="U18" s="76" t="n">
        <f aca="false">INDEX(Spec_Rack!$C$29:$G$29,U$6)</f>
        <v>32</v>
      </c>
      <c r="V18" s="76" t="n">
        <f aca="false">INDEX(Spec_Rack!$C$29:$G$29,V$6)</f>
        <v>32</v>
      </c>
      <c r="W18" s="76" t="n">
        <f aca="false">INDEX(Spec_Rack!$C$29:$G$29,W$6)</f>
        <v>32</v>
      </c>
      <c r="X18" s="76" t="n">
        <f aca="false">INDEX(Spec_Rack!$C$29:$G$29,X$6)</f>
        <v>32</v>
      </c>
      <c r="Y18" s="76" t="n">
        <f aca="false">INDEX(Spec_Rack!$C$29:$G$29,Y$6)</f>
        <v>32</v>
      </c>
      <c r="Z18" s="76" t="n">
        <f aca="false">INDEX(Spec_Rack!$C$29:$G$29,Z$6)</f>
        <v>32</v>
      </c>
      <c r="AA18" s="76" t="n">
        <f aca="false">INDEX(Spec_Rack!$C$29:$G$29,AA$6)</f>
        <v>32</v>
      </c>
      <c r="AB18" s="76" t="n">
        <f aca="false">INDEX(Spec_Rack!$C$29:$G$29,AB$6)</f>
        <v>32</v>
      </c>
      <c r="AC18" s="76" t="n">
        <f aca="false">INDEX(Spec_Rack!$C$29:$G$29,AC$6)</f>
        <v>32</v>
      </c>
      <c r="AD18" s="76" t="n">
        <f aca="false">INDEX(Spec_Rack!$C$29:$G$29,AD$6)</f>
        <v>32</v>
      </c>
      <c r="AE18" s="76" t="n">
        <f aca="false">INDEX(Spec_Rack!$C$29:$G$29,AE$6)</f>
        <v>32</v>
      </c>
      <c r="AF18" s="76" t="n">
        <f aca="false">INDEX(Spec_Rack!$C$29:$G$29,AF$6)</f>
        <v>32</v>
      </c>
      <c r="AG18" s="76" t="n">
        <f aca="false">INDEX(Spec_Rack!$C$29:$G$29,AG$6)</f>
        <v>32</v>
      </c>
      <c r="AH18" s="76" t="n">
        <f aca="false">INDEX(Spec_Rack!$C$29:$G$29,AH$6)</f>
        <v>32</v>
      </c>
    </row>
    <row r="19" customFormat="false" ht="15" hidden="false" customHeight="false" outlineLevel="0" collapsed="false">
      <c r="A19" s="44" t="s">
        <v>640</v>
      </c>
      <c r="B19" s="45" t="s">
        <v>213</v>
      </c>
      <c r="C19" s="78" t="n">
        <f aca="false">INDEX(Spec_Rack!$C$30:$G$30,C$6)*C12</f>
        <v>0.5625</v>
      </c>
      <c r="D19" s="78" t="n">
        <f aca="false">INDEX(Spec_Rack!$C$30:$G$30,D$6)*D12</f>
        <v>0.5625</v>
      </c>
      <c r="E19" s="78" t="n">
        <f aca="false">INDEX(Spec_Rack!$C$30:$G$30,E$6)*E12</f>
        <v>0.5625</v>
      </c>
      <c r="F19" s="78" t="n">
        <f aca="false">INDEX(Spec_Rack!$C$30:$G$30,F$6)*F12</f>
        <v>0.5625</v>
      </c>
      <c r="G19" s="78" t="n">
        <f aca="false">INDEX(Spec_Rack!$C$30:$G$30,G$6)*G12</f>
        <v>0.5625</v>
      </c>
      <c r="H19" s="78" t="n">
        <f aca="false">INDEX(Spec_Rack!$C$30:$G$30,H$6)*H12</f>
        <v>0.5625</v>
      </c>
      <c r="I19" s="78" t="n">
        <f aca="false">INDEX(Spec_Rack!$C$30:$G$30,I$6)*I12</f>
        <v>0.5625</v>
      </c>
      <c r="J19" s="78" t="n">
        <f aca="false">INDEX(Spec_Rack!$C$30:$G$30,J$6)*J12</f>
        <v>0.5625</v>
      </c>
      <c r="K19" s="78" t="n">
        <f aca="false">INDEX(Spec_Rack!$C$30:$G$30,K$6)*K12</f>
        <v>0.5625</v>
      </c>
      <c r="L19" s="78" t="n">
        <f aca="false">INDEX(Spec_Rack!$C$30:$G$30,L$6)*L12</f>
        <v>0.5625</v>
      </c>
      <c r="M19" s="78" t="n">
        <f aca="false">INDEX(Spec_Rack!$C$30:$G$30,M$6)*M12</f>
        <v>0.5625</v>
      </c>
      <c r="N19" s="78" t="n">
        <f aca="false">INDEX(Spec_Rack!$C$30:$G$30,N$6)*N12</f>
        <v>0.5625</v>
      </c>
      <c r="O19" s="78" t="n">
        <f aca="false">INDEX(Spec_Rack!$C$30:$G$30,O$6)*O12</f>
        <v>0.5625</v>
      </c>
      <c r="P19" s="78" t="n">
        <f aca="false">INDEX(Spec_Rack!$C$30:$G$30,P$6)*P12</f>
        <v>0.5625</v>
      </c>
      <c r="Q19" s="78" t="n">
        <f aca="false">INDEX(Spec_Rack!$C$30:$G$30,Q$6)*Q12</f>
        <v>0.5625</v>
      </c>
      <c r="R19" s="78" t="n">
        <f aca="false">INDEX(Spec_Rack!$C$30:$G$30,R$6)*R12</f>
        <v>0.5625</v>
      </c>
      <c r="S19" s="78" t="n">
        <f aca="false">INDEX(Spec_Rack!$C$30:$G$30,S$6)*S12</f>
        <v>0.5625</v>
      </c>
      <c r="T19" s="78" t="n">
        <f aca="false">INDEX(Spec_Rack!$C$30:$G$30,T$6)*T12</f>
        <v>0.5625</v>
      </c>
      <c r="U19" s="78" t="n">
        <f aca="false">INDEX(Spec_Rack!$C$30:$G$30,U$6)*U12</f>
        <v>0.5625</v>
      </c>
      <c r="V19" s="78" t="n">
        <f aca="false">INDEX(Spec_Rack!$C$30:$G$30,V$6)*V12</f>
        <v>0.5625</v>
      </c>
      <c r="W19" s="78" t="n">
        <f aca="false">INDEX(Spec_Rack!$C$30:$G$30,W$6)*W12</f>
        <v>0.5625</v>
      </c>
      <c r="X19" s="78" t="n">
        <f aca="false">INDEX(Spec_Rack!$C$30:$G$30,X$6)*X12</f>
        <v>0.5625</v>
      </c>
      <c r="Y19" s="78" t="n">
        <f aca="false">INDEX(Spec_Rack!$C$30:$G$30,Y$6)*Y12</f>
        <v>0.5625</v>
      </c>
      <c r="Z19" s="78" t="n">
        <f aca="false">INDEX(Spec_Rack!$C$30:$G$30,Z$6)*Z12</f>
        <v>0.5625</v>
      </c>
      <c r="AA19" s="78" t="n">
        <f aca="false">INDEX(Spec_Rack!$C$30:$G$30,AA$6)*AA12</f>
        <v>0.5625</v>
      </c>
      <c r="AB19" s="78" t="n">
        <f aca="false">INDEX(Spec_Rack!$C$30:$G$30,AB$6)*AB12</f>
        <v>0.5625</v>
      </c>
      <c r="AC19" s="78" t="n">
        <f aca="false">INDEX(Spec_Rack!$C$30:$G$30,AC$6)*AC12</f>
        <v>0.5625</v>
      </c>
      <c r="AD19" s="78" t="n">
        <f aca="false">INDEX(Spec_Rack!$C$30:$G$30,AD$6)*AD12</f>
        <v>0.5625</v>
      </c>
      <c r="AE19" s="78" t="n">
        <f aca="false">INDEX(Spec_Rack!$C$30:$G$30,AE$6)*AE12</f>
        <v>0.5625</v>
      </c>
      <c r="AF19" s="78" t="n">
        <f aca="false">INDEX(Spec_Rack!$C$30:$G$30,AF$6)*AF12</f>
        <v>0.5625</v>
      </c>
      <c r="AG19" s="78" t="n">
        <f aca="false">INDEX(Spec_Rack!$C$30:$G$30,AG$6)*AG12</f>
        <v>0.5625</v>
      </c>
      <c r="AH19" s="78" t="n">
        <f aca="false">INDEX(Spec_Rack!$C$30:$G$30,AH$6)*AH12</f>
        <v>0.5625</v>
      </c>
    </row>
    <row r="20" customFormat="false" ht="15" hidden="false" customHeight="false" outlineLevel="0" collapsed="false">
      <c r="A20" s="44" t="s">
        <v>641</v>
      </c>
      <c r="B20" s="45" t="s">
        <v>213</v>
      </c>
      <c r="C20" s="79" t="n">
        <f aca="false">INDEX(Spec_Rack!$C$31:$G$31,C$6)*C12</f>
        <v>1</v>
      </c>
      <c r="D20" s="79" t="n">
        <f aca="false">INDEX(Spec_Rack!$C$31:$G$31,D$6)*D12</f>
        <v>1</v>
      </c>
      <c r="E20" s="79" t="n">
        <f aca="false">INDEX(Spec_Rack!$C$31:$G$31,E$6)*E12</f>
        <v>1</v>
      </c>
      <c r="F20" s="79" t="n">
        <f aca="false">INDEX(Spec_Rack!$C$31:$G$31,F$6)*F12</f>
        <v>1</v>
      </c>
      <c r="G20" s="79" t="n">
        <f aca="false">INDEX(Spec_Rack!$C$31:$G$31,G$6)*G12</f>
        <v>1</v>
      </c>
      <c r="H20" s="79" t="n">
        <f aca="false">INDEX(Spec_Rack!$C$31:$G$31,H$6)*H12</f>
        <v>1</v>
      </c>
      <c r="I20" s="79" t="n">
        <f aca="false">INDEX(Spec_Rack!$C$31:$G$31,I$6)*I12</f>
        <v>1</v>
      </c>
      <c r="J20" s="79" t="n">
        <f aca="false">INDEX(Spec_Rack!$C$31:$G$31,J$6)*J12</f>
        <v>1</v>
      </c>
      <c r="K20" s="79" t="n">
        <f aca="false">INDEX(Spec_Rack!$C$31:$G$31,K$6)*K12</f>
        <v>1</v>
      </c>
      <c r="L20" s="79" t="n">
        <f aca="false">INDEX(Spec_Rack!$C$31:$G$31,L$6)*L12</f>
        <v>1</v>
      </c>
      <c r="M20" s="79" t="n">
        <f aca="false">INDEX(Spec_Rack!$C$31:$G$31,M$6)*M12</f>
        <v>1</v>
      </c>
      <c r="N20" s="79" t="n">
        <f aca="false">INDEX(Spec_Rack!$C$31:$G$31,N$6)*N12</f>
        <v>1</v>
      </c>
      <c r="O20" s="79" t="n">
        <f aca="false">INDEX(Spec_Rack!$C$31:$G$31,O$6)*O12</f>
        <v>1</v>
      </c>
      <c r="P20" s="79" t="n">
        <f aca="false">INDEX(Spec_Rack!$C$31:$G$31,P$6)*P12</f>
        <v>1</v>
      </c>
      <c r="Q20" s="79" t="n">
        <f aca="false">INDEX(Spec_Rack!$C$31:$G$31,Q$6)*Q12</f>
        <v>1</v>
      </c>
      <c r="R20" s="79" t="n">
        <f aca="false">INDEX(Spec_Rack!$C$31:$G$31,R$6)*R12</f>
        <v>1</v>
      </c>
      <c r="S20" s="79" t="n">
        <f aca="false">INDEX(Spec_Rack!$C$31:$G$31,S$6)*S12</f>
        <v>1</v>
      </c>
      <c r="T20" s="79" t="n">
        <f aca="false">INDEX(Spec_Rack!$C$31:$G$31,T$6)*T12</f>
        <v>1</v>
      </c>
      <c r="U20" s="79" t="n">
        <f aca="false">INDEX(Spec_Rack!$C$31:$G$31,U$6)*U12</f>
        <v>1</v>
      </c>
      <c r="V20" s="79" t="n">
        <f aca="false">INDEX(Spec_Rack!$C$31:$G$31,V$6)*V12</f>
        <v>1</v>
      </c>
      <c r="W20" s="79" t="n">
        <f aca="false">INDEX(Spec_Rack!$C$31:$G$31,W$6)*W12</f>
        <v>1</v>
      </c>
      <c r="X20" s="79" t="n">
        <f aca="false">INDEX(Spec_Rack!$C$31:$G$31,X$6)*X12</f>
        <v>1</v>
      </c>
      <c r="Y20" s="79" t="n">
        <f aca="false">INDEX(Spec_Rack!$C$31:$G$31,Y$6)*Y12</f>
        <v>1</v>
      </c>
      <c r="Z20" s="79" t="n">
        <f aca="false">INDEX(Spec_Rack!$C$31:$G$31,Z$6)*Z12</f>
        <v>1</v>
      </c>
      <c r="AA20" s="79" t="n">
        <f aca="false">INDEX(Spec_Rack!$C$31:$G$31,AA$6)*AA12</f>
        <v>1</v>
      </c>
      <c r="AB20" s="79" t="n">
        <f aca="false">INDEX(Spec_Rack!$C$31:$G$31,AB$6)*AB12</f>
        <v>1</v>
      </c>
      <c r="AC20" s="79" t="n">
        <f aca="false">INDEX(Spec_Rack!$C$31:$G$31,AC$6)*AC12</f>
        <v>1</v>
      </c>
      <c r="AD20" s="79" t="n">
        <f aca="false">INDEX(Spec_Rack!$C$31:$G$31,AD$6)*AD12</f>
        <v>1</v>
      </c>
      <c r="AE20" s="79" t="n">
        <f aca="false">INDEX(Spec_Rack!$C$31:$G$31,AE$6)*AE12</f>
        <v>1</v>
      </c>
      <c r="AF20" s="79" t="n">
        <f aca="false">INDEX(Spec_Rack!$C$31:$G$31,AF$6)*AF12</f>
        <v>1</v>
      </c>
      <c r="AG20" s="79" t="n">
        <f aca="false">INDEX(Spec_Rack!$C$31:$G$31,AG$6)*AG12</f>
        <v>1</v>
      </c>
      <c r="AH20" s="79" t="n">
        <f aca="false">INDEX(Spec_Rack!$C$31:$G$31,AH$6)*AH12</f>
        <v>1</v>
      </c>
    </row>
    <row r="21" customFormat="false" ht="15" hidden="false" customHeight="false" outlineLevel="0" collapsed="false">
      <c r="A21" s="44" t="s">
        <v>642</v>
      </c>
      <c r="B21" s="45" t="s">
        <v>639</v>
      </c>
      <c r="C21" s="76" t="n">
        <f aca="false">INDEX(Spec_Rack!$C$32:$G$32,C$6)</f>
        <v>4</v>
      </c>
      <c r="D21" s="76" t="n">
        <f aca="false">INDEX(Spec_Rack!$C$32:$G$32,D$6)</f>
        <v>4</v>
      </c>
      <c r="E21" s="76" t="n">
        <f aca="false">INDEX(Spec_Rack!$C$32:$G$32,E$6)</f>
        <v>4</v>
      </c>
      <c r="F21" s="76" t="n">
        <f aca="false">INDEX(Spec_Rack!$C$32:$G$32,F$6)</f>
        <v>4</v>
      </c>
      <c r="G21" s="76" t="n">
        <f aca="false">INDEX(Spec_Rack!$C$32:$G$32,G$6)</f>
        <v>4</v>
      </c>
      <c r="H21" s="76" t="n">
        <f aca="false">INDEX(Spec_Rack!$C$32:$G$32,H$6)</f>
        <v>4</v>
      </c>
      <c r="I21" s="76" t="n">
        <f aca="false">INDEX(Spec_Rack!$C$32:$G$32,I$6)</f>
        <v>4</v>
      </c>
      <c r="J21" s="76" t="n">
        <f aca="false">INDEX(Spec_Rack!$C$32:$G$32,J$6)</f>
        <v>4</v>
      </c>
      <c r="K21" s="76" t="n">
        <f aca="false">INDEX(Spec_Rack!$C$32:$G$32,K$6)</f>
        <v>4</v>
      </c>
      <c r="L21" s="76" t="n">
        <f aca="false">INDEX(Spec_Rack!$C$32:$G$32,L$6)</f>
        <v>4</v>
      </c>
      <c r="M21" s="76" t="n">
        <f aca="false">INDEX(Spec_Rack!$C$32:$G$32,M$6)</f>
        <v>4</v>
      </c>
      <c r="N21" s="76" t="n">
        <f aca="false">INDEX(Spec_Rack!$C$32:$G$32,N$6)</f>
        <v>4</v>
      </c>
      <c r="O21" s="76" t="n">
        <f aca="false">INDEX(Spec_Rack!$C$32:$G$32,O$6)</f>
        <v>4</v>
      </c>
      <c r="P21" s="76" t="n">
        <f aca="false">INDEX(Spec_Rack!$C$32:$G$32,P$6)</f>
        <v>4</v>
      </c>
      <c r="Q21" s="76" t="n">
        <f aca="false">INDEX(Spec_Rack!$C$32:$G$32,Q$6)</f>
        <v>4</v>
      </c>
      <c r="R21" s="76" t="n">
        <f aca="false">INDEX(Spec_Rack!$C$32:$G$32,R$6)</f>
        <v>4</v>
      </c>
      <c r="S21" s="76" t="n">
        <f aca="false">INDEX(Spec_Rack!$C$32:$G$32,S$6)</f>
        <v>4</v>
      </c>
      <c r="T21" s="76" t="n">
        <f aca="false">INDEX(Spec_Rack!$C$32:$G$32,T$6)</f>
        <v>4</v>
      </c>
      <c r="U21" s="76" t="n">
        <f aca="false">INDEX(Spec_Rack!$C$32:$G$32,U$6)</f>
        <v>4</v>
      </c>
      <c r="V21" s="76" t="n">
        <f aca="false">INDEX(Spec_Rack!$C$32:$G$32,V$6)</f>
        <v>4</v>
      </c>
      <c r="W21" s="76" t="n">
        <f aca="false">INDEX(Spec_Rack!$C$32:$G$32,W$6)</f>
        <v>4</v>
      </c>
      <c r="X21" s="76" t="n">
        <f aca="false">INDEX(Spec_Rack!$C$32:$G$32,X$6)</f>
        <v>4</v>
      </c>
      <c r="Y21" s="76" t="n">
        <f aca="false">INDEX(Spec_Rack!$C$32:$G$32,Y$6)</f>
        <v>4</v>
      </c>
      <c r="Z21" s="76" t="n">
        <f aca="false">INDEX(Spec_Rack!$C$32:$G$32,Z$6)</f>
        <v>4</v>
      </c>
      <c r="AA21" s="76" t="n">
        <f aca="false">INDEX(Spec_Rack!$C$32:$G$32,AA$6)</f>
        <v>4</v>
      </c>
      <c r="AB21" s="76" t="n">
        <f aca="false">INDEX(Spec_Rack!$C$32:$G$32,AB$6)</f>
        <v>4</v>
      </c>
      <c r="AC21" s="76" t="n">
        <f aca="false">INDEX(Spec_Rack!$C$32:$G$32,AC$6)</f>
        <v>4</v>
      </c>
      <c r="AD21" s="76" t="n">
        <f aca="false">INDEX(Spec_Rack!$C$32:$G$32,AD$6)</f>
        <v>4</v>
      </c>
      <c r="AE21" s="76" t="n">
        <f aca="false">INDEX(Spec_Rack!$C$32:$G$32,AE$6)</f>
        <v>4</v>
      </c>
      <c r="AF21" s="76" t="n">
        <f aca="false">INDEX(Spec_Rack!$C$32:$G$32,AF$6)</f>
        <v>4</v>
      </c>
      <c r="AG21" s="76" t="n">
        <f aca="false">INDEX(Spec_Rack!$C$32:$G$32,AG$6)</f>
        <v>4</v>
      </c>
      <c r="AH21" s="76" t="n">
        <f aca="false">INDEX(Spec_Rack!$C$32:$G$32,AH$6)</f>
        <v>4</v>
      </c>
    </row>
    <row r="22" customFormat="false" ht="15" hidden="false" customHeight="false" outlineLevel="0" collapsed="false">
      <c r="A22" s="45" t="s">
        <v>135</v>
      </c>
      <c r="B22" s="44" t="s">
        <v>643</v>
      </c>
      <c r="C22" s="76" t="n">
        <f aca="false">INDEX(Spec_Rack!$C$6:$G$6,C$6)</f>
        <v>72</v>
      </c>
      <c r="D22" s="76" t="n">
        <f aca="false">INDEX(Spec_Rack!$C$6:$G$6,D$6)</f>
        <v>72</v>
      </c>
      <c r="E22" s="76" t="n">
        <f aca="false">INDEX(Spec_Rack!$C$6:$G$6,E$6)</f>
        <v>72</v>
      </c>
      <c r="F22" s="76" t="n">
        <f aca="false">INDEX(Spec_Rack!$C$6:$G$6,F$6)</f>
        <v>72</v>
      </c>
      <c r="G22" s="76" t="n">
        <f aca="false">INDEX(Spec_Rack!$C$6:$G$6,G$6)</f>
        <v>72</v>
      </c>
      <c r="H22" s="76" t="n">
        <f aca="false">INDEX(Spec_Rack!$C$6:$G$6,H$6)</f>
        <v>72</v>
      </c>
      <c r="I22" s="76" t="n">
        <f aca="false">INDEX(Spec_Rack!$C$6:$G$6,I$6)</f>
        <v>72</v>
      </c>
      <c r="J22" s="76" t="n">
        <f aca="false">INDEX(Spec_Rack!$C$6:$G$6,J$6)</f>
        <v>72</v>
      </c>
      <c r="K22" s="76" t="n">
        <f aca="false">INDEX(Spec_Rack!$C$6:$G$6,K$6)</f>
        <v>72</v>
      </c>
      <c r="L22" s="76" t="n">
        <f aca="false">INDEX(Spec_Rack!$C$6:$G$6,L$6)</f>
        <v>72</v>
      </c>
      <c r="M22" s="76" t="n">
        <f aca="false">INDEX(Spec_Rack!$C$6:$G$6,M$6)</f>
        <v>72</v>
      </c>
      <c r="N22" s="76" t="n">
        <f aca="false">INDEX(Spec_Rack!$C$6:$G$6,N$6)</f>
        <v>72</v>
      </c>
      <c r="O22" s="76" t="n">
        <f aca="false">INDEX(Spec_Rack!$C$6:$G$6,O$6)</f>
        <v>72</v>
      </c>
      <c r="P22" s="76" t="n">
        <f aca="false">INDEX(Spec_Rack!$C$6:$G$6,P$6)</f>
        <v>72</v>
      </c>
      <c r="Q22" s="76" t="n">
        <f aca="false">INDEX(Spec_Rack!$C$6:$G$6,Q$6)</f>
        <v>72</v>
      </c>
      <c r="R22" s="76" t="n">
        <f aca="false">INDEX(Spec_Rack!$C$6:$G$6,R$6)</f>
        <v>72</v>
      </c>
      <c r="S22" s="76" t="n">
        <f aca="false">INDEX(Spec_Rack!$C$6:$G$6,S$6)</f>
        <v>72</v>
      </c>
      <c r="T22" s="76" t="n">
        <f aca="false">INDEX(Spec_Rack!$C$6:$G$6,T$6)</f>
        <v>72</v>
      </c>
      <c r="U22" s="76" t="n">
        <f aca="false">INDEX(Spec_Rack!$C$6:$G$6,U$6)</f>
        <v>72</v>
      </c>
      <c r="V22" s="76" t="n">
        <f aca="false">INDEX(Spec_Rack!$C$6:$G$6,V$6)</f>
        <v>72</v>
      </c>
      <c r="W22" s="76" t="n">
        <f aca="false">INDEX(Spec_Rack!$C$6:$G$6,W$6)</f>
        <v>72</v>
      </c>
      <c r="X22" s="76" t="n">
        <f aca="false">INDEX(Spec_Rack!$C$6:$G$6,X$6)</f>
        <v>72</v>
      </c>
      <c r="Y22" s="76" t="n">
        <f aca="false">INDEX(Spec_Rack!$C$6:$G$6,Y$6)</f>
        <v>72</v>
      </c>
      <c r="Z22" s="76" t="n">
        <f aca="false">INDEX(Spec_Rack!$C$6:$G$6,Z$6)</f>
        <v>72</v>
      </c>
      <c r="AA22" s="76" t="n">
        <f aca="false">INDEX(Spec_Rack!$C$6:$G$6,AA$6)</f>
        <v>72</v>
      </c>
      <c r="AB22" s="76" t="n">
        <f aca="false">INDEX(Spec_Rack!$C$6:$G$6,AB$6)</f>
        <v>72</v>
      </c>
      <c r="AC22" s="76" t="n">
        <f aca="false">INDEX(Spec_Rack!$C$6:$G$6,AC$6)</f>
        <v>72</v>
      </c>
      <c r="AD22" s="76" t="n">
        <f aca="false">INDEX(Spec_Rack!$C$6:$G$6,AD$6)</f>
        <v>72</v>
      </c>
      <c r="AE22" s="76" t="n">
        <f aca="false">INDEX(Spec_Rack!$C$6:$G$6,AE$6)</f>
        <v>72</v>
      </c>
      <c r="AF22" s="76" t="n">
        <f aca="false">INDEX(Spec_Rack!$C$6:$G$6,AF$6)</f>
        <v>72</v>
      </c>
      <c r="AG22" s="76" t="n">
        <f aca="false">INDEX(Spec_Rack!$C$6:$G$6,AG$6)</f>
        <v>72</v>
      </c>
      <c r="AH22" s="76" t="n">
        <f aca="false">INDEX(Spec_Rack!$C$6:$G$6,AH$6)</f>
        <v>72</v>
      </c>
    </row>
    <row r="23" customFormat="false" ht="15" hidden="false" customHeight="false" outlineLevel="0" collapsed="false">
      <c r="A23" s="45" t="s">
        <v>644</v>
      </c>
      <c r="B23" s="45" t="s">
        <v>645</v>
      </c>
      <c r="C23" s="76" t="n">
        <f aca="false">INDEX(Spec_Rack!$C$33:$G$33,C$6)</f>
        <v>1800</v>
      </c>
      <c r="D23" s="76" t="n">
        <f aca="false">INDEX(Spec_Rack!$C$33:$G$33,D$6)</f>
        <v>1400</v>
      </c>
      <c r="E23" s="76" t="n">
        <f aca="false">INDEX(Spec_Rack!$C$33:$G$33,E$6)</f>
        <v>1800</v>
      </c>
      <c r="F23" s="76" t="n">
        <f aca="false">INDEX(Spec_Rack!$C$33:$G$33,F$6)</f>
        <v>1400</v>
      </c>
      <c r="G23" s="76" t="n">
        <f aca="false">INDEX(Spec_Rack!$C$33:$G$33,G$6)</f>
        <v>1800</v>
      </c>
      <c r="H23" s="76" t="n">
        <f aca="false">INDEX(Spec_Rack!$C$33:$G$33,H$6)</f>
        <v>1400</v>
      </c>
      <c r="I23" s="76" t="n">
        <f aca="false">INDEX(Spec_Rack!$C$33:$G$33,I$6)</f>
        <v>1800</v>
      </c>
      <c r="J23" s="76" t="n">
        <f aca="false">INDEX(Spec_Rack!$C$33:$G$33,J$6)</f>
        <v>1400</v>
      </c>
      <c r="K23" s="76" t="n">
        <f aca="false">INDEX(Spec_Rack!$C$33:$G$33,K$6)</f>
        <v>1800</v>
      </c>
      <c r="L23" s="76" t="n">
        <f aca="false">INDEX(Spec_Rack!$C$33:$G$33,L$6)</f>
        <v>1400</v>
      </c>
      <c r="M23" s="76" t="n">
        <f aca="false">INDEX(Spec_Rack!$C$33:$G$33,M$6)</f>
        <v>1800</v>
      </c>
      <c r="N23" s="76" t="n">
        <f aca="false">INDEX(Spec_Rack!$C$33:$G$33,N$6)</f>
        <v>1400</v>
      </c>
      <c r="O23" s="76" t="n">
        <f aca="false">INDEX(Spec_Rack!$C$33:$G$33,O$6)</f>
        <v>1800</v>
      </c>
      <c r="P23" s="76" t="n">
        <f aca="false">INDEX(Spec_Rack!$C$33:$G$33,P$6)</f>
        <v>1400</v>
      </c>
      <c r="Q23" s="76" t="n">
        <f aca="false">INDEX(Spec_Rack!$C$33:$G$33,Q$6)</f>
        <v>1800</v>
      </c>
      <c r="R23" s="76" t="n">
        <f aca="false">INDEX(Spec_Rack!$C$33:$G$33,R$6)</f>
        <v>1400</v>
      </c>
      <c r="S23" s="76" t="n">
        <f aca="false">INDEX(Spec_Rack!$C$33:$G$33,S$6)</f>
        <v>1800</v>
      </c>
      <c r="T23" s="76" t="n">
        <f aca="false">INDEX(Spec_Rack!$C$33:$G$33,T$6)</f>
        <v>1400</v>
      </c>
      <c r="U23" s="76" t="n">
        <f aca="false">INDEX(Spec_Rack!$C$33:$G$33,U$6)</f>
        <v>1800</v>
      </c>
      <c r="V23" s="76" t="n">
        <f aca="false">INDEX(Spec_Rack!$C$33:$G$33,V$6)</f>
        <v>1400</v>
      </c>
      <c r="W23" s="76" t="n">
        <f aca="false">INDEX(Spec_Rack!$C$33:$G$33,W$6)</f>
        <v>1800</v>
      </c>
      <c r="X23" s="76" t="n">
        <f aca="false">INDEX(Spec_Rack!$C$33:$G$33,X$6)</f>
        <v>1400</v>
      </c>
      <c r="Y23" s="76" t="n">
        <f aca="false">INDEX(Spec_Rack!$C$33:$G$33,Y$6)</f>
        <v>1800</v>
      </c>
      <c r="Z23" s="76" t="n">
        <f aca="false">INDEX(Spec_Rack!$C$33:$G$33,Z$6)</f>
        <v>1400</v>
      </c>
      <c r="AA23" s="76" t="n">
        <f aca="false">INDEX(Spec_Rack!$C$33:$G$33,AA$6)</f>
        <v>1800</v>
      </c>
      <c r="AB23" s="76" t="n">
        <f aca="false">INDEX(Spec_Rack!$C$33:$G$33,AB$6)</f>
        <v>1400</v>
      </c>
      <c r="AC23" s="76" t="n">
        <f aca="false">INDEX(Spec_Rack!$C$33:$G$33,AC$6)</f>
        <v>1800</v>
      </c>
      <c r="AD23" s="76" t="n">
        <f aca="false">INDEX(Spec_Rack!$C$33:$G$33,AD$6)</f>
        <v>1400</v>
      </c>
      <c r="AE23" s="76" t="n">
        <f aca="false">INDEX(Spec_Rack!$C$33:$G$33,AE$6)</f>
        <v>1800</v>
      </c>
      <c r="AF23" s="76" t="n">
        <f aca="false">INDEX(Spec_Rack!$C$33:$G$33,AF$6)</f>
        <v>1400</v>
      </c>
      <c r="AG23" s="76" t="n">
        <f aca="false">INDEX(Spec_Rack!$C$33:$G$33,AG$6)</f>
        <v>1800</v>
      </c>
      <c r="AH23" s="76" t="n">
        <f aca="false">INDEX(Spec_Rack!$C$33:$G$33,AH$6)</f>
        <v>1400</v>
      </c>
    </row>
    <row r="24" customFormat="false" ht="15" hidden="false" customHeight="false" outlineLevel="0" collapsed="false">
      <c r="A24" s="45" t="s">
        <v>646</v>
      </c>
      <c r="B24" s="45" t="s">
        <v>647</v>
      </c>
      <c r="C24" s="76" t="n">
        <f aca="false">INDEX(Spec_Rack!$C$34:$G$34,C$6)</f>
        <v>20</v>
      </c>
      <c r="D24" s="76" t="n">
        <f aca="false">INDEX(Spec_Rack!$C$34:$G$34,D$6)</f>
        <v>25</v>
      </c>
      <c r="E24" s="76" t="n">
        <f aca="false">INDEX(Spec_Rack!$C$34:$G$34,E$6)</f>
        <v>20</v>
      </c>
      <c r="F24" s="76" t="n">
        <f aca="false">INDEX(Spec_Rack!$C$34:$G$34,F$6)</f>
        <v>25</v>
      </c>
      <c r="G24" s="76" t="n">
        <f aca="false">INDEX(Spec_Rack!$C$34:$G$34,G$6)</f>
        <v>20</v>
      </c>
      <c r="H24" s="76" t="n">
        <f aca="false">INDEX(Spec_Rack!$C$34:$G$34,H$6)</f>
        <v>25</v>
      </c>
      <c r="I24" s="76" t="n">
        <f aca="false">INDEX(Spec_Rack!$C$34:$G$34,I$6)</f>
        <v>20</v>
      </c>
      <c r="J24" s="76" t="n">
        <f aca="false">INDEX(Spec_Rack!$C$34:$G$34,J$6)</f>
        <v>25</v>
      </c>
      <c r="K24" s="76" t="n">
        <f aca="false">INDEX(Spec_Rack!$C$34:$G$34,K$6)</f>
        <v>20</v>
      </c>
      <c r="L24" s="76" t="n">
        <f aca="false">INDEX(Spec_Rack!$C$34:$G$34,L$6)</f>
        <v>25</v>
      </c>
      <c r="M24" s="76" t="n">
        <f aca="false">INDEX(Spec_Rack!$C$34:$G$34,M$6)</f>
        <v>20</v>
      </c>
      <c r="N24" s="76" t="n">
        <f aca="false">INDEX(Spec_Rack!$C$34:$G$34,N$6)</f>
        <v>25</v>
      </c>
      <c r="O24" s="76" t="n">
        <f aca="false">INDEX(Spec_Rack!$C$34:$G$34,O$6)</f>
        <v>20</v>
      </c>
      <c r="P24" s="76" t="n">
        <f aca="false">INDEX(Spec_Rack!$C$34:$G$34,P$6)</f>
        <v>25</v>
      </c>
      <c r="Q24" s="76" t="n">
        <f aca="false">INDEX(Spec_Rack!$C$34:$G$34,Q$6)</f>
        <v>20</v>
      </c>
      <c r="R24" s="76" t="n">
        <f aca="false">INDEX(Spec_Rack!$C$34:$G$34,R$6)</f>
        <v>25</v>
      </c>
      <c r="S24" s="76" t="n">
        <f aca="false">INDEX(Spec_Rack!$C$34:$G$34,S$6)</f>
        <v>20</v>
      </c>
      <c r="T24" s="76" t="n">
        <f aca="false">INDEX(Spec_Rack!$C$34:$G$34,T$6)</f>
        <v>25</v>
      </c>
      <c r="U24" s="76" t="n">
        <f aca="false">INDEX(Spec_Rack!$C$34:$G$34,U$6)</f>
        <v>20</v>
      </c>
      <c r="V24" s="76" t="n">
        <f aca="false">INDEX(Spec_Rack!$C$34:$G$34,V$6)</f>
        <v>25</v>
      </c>
      <c r="W24" s="76" t="n">
        <f aca="false">INDEX(Spec_Rack!$C$34:$G$34,W$6)</f>
        <v>20</v>
      </c>
      <c r="X24" s="76" t="n">
        <f aca="false">INDEX(Spec_Rack!$C$34:$G$34,X$6)</f>
        <v>25</v>
      </c>
      <c r="Y24" s="76" t="n">
        <f aca="false">INDEX(Spec_Rack!$C$34:$G$34,Y$6)</f>
        <v>20</v>
      </c>
      <c r="Z24" s="76" t="n">
        <f aca="false">INDEX(Spec_Rack!$C$34:$G$34,Z$6)</f>
        <v>25</v>
      </c>
      <c r="AA24" s="76" t="n">
        <f aca="false">INDEX(Spec_Rack!$C$34:$G$34,AA$6)</f>
        <v>20</v>
      </c>
      <c r="AB24" s="76" t="n">
        <f aca="false">INDEX(Spec_Rack!$C$34:$G$34,AB$6)</f>
        <v>25</v>
      </c>
      <c r="AC24" s="76" t="n">
        <f aca="false">INDEX(Spec_Rack!$C$34:$G$34,AC$6)</f>
        <v>20</v>
      </c>
      <c r="AD24" s="76" t="n">
        <f aca="false">INDEX(Spec_Rack!$C$34:$G$34,AD$6)</f>
        <v>25</v>
      </c>
      <c r="AE24" s="76" t="n">
        <f aca="false">INDEX(Spec_Rack!$C$34:$G$34,AE$6)</f>
        <v>20</v>
      </c>
      <c r="AF24" s="76" t="n">
        <f aca="false">INDEX(Spec_Rack!$C$34:$G$34,AF$6)</f>
        <v>25</v>
      </c>
      <c r="AG24" s="76" t="n">
        <f aca="false">INDEX(Spec_Rack!$C$34:$G$34,AG$6)</f>
        <v>20</v>
      </c>
      <c r="AH24" s="76" t="n">
        <f aca="false">INDEX(Spec_Rack!$C$34:$G$34,AH$6)</f>
        <v>25</v>
      </c>
    </row>
    <row r="25" customFormat="false" ht="15" hidden="false" customHeight="false" outlineLevel="0" collapsed="false">
      <c r="A25" s="44" t="s">
        <v>648</v>
      </c>
      <c r="B25" s="44" t="s">
        <v>649</v>
      </c>
      <c r="C25" s="76" t="n">
        <f aca="false">INDEX(DC_Cost!$C$12:$Q$12,3*(C$6-1)+2)</f>
        <v>4052</v>
      </c>
      <c r="D25" s="76" t="n">
        <f aca="false">INDEX(DC_Cost!$C$12:$Q$12,3*(D$6-1)+2)</f>
        <v>6715</v>
      </c>
      <c r="E25" s="76" t="n">
        <f aca="false">INDEX(DC_Cost!$C$12:$Q$12,3*(E$6-1)+2)</f>
        <v>4052</v>
      </c>
      <c r="F25" s="76" t="n">
        <f aca="false">INDEX(DC_Cost!$C$12:$Q$12,3*(F$6-1)+2)</f>
        <v>6715</v>
      </c>
      <c r="G25" s="76" t="n">
        <f aca="false">INDEX(DC_Cost!$C$12:$Q$12,3*(G$6-1)+2)</f>
        <v>4052</v>
      </c>
      <c r="H25" s="76" t="n">
        <f aca="false">INDEX(DC_Cost!$C$12:$Q$12,3*(H$6-1)+2)</f>
        <v>6715</v>
      </c>
      <c r="I25" s="76" t="n">
        <f aca="false">INDEX(DC_Cost!$C$12:$Q$12,3*(I$6-1)+2)</f>
        <v>4052</v>
      </c>
      <c r="J25" s="76" t="n">
        <f aca="false">INDEX(DC_Cost!$C$12:$Q$12,3*(J$6-1)+2)</f>
        <v>6715</v>
      </c>
      <c r="K25" s="76" t="n">
        <f aca="false">INDEX(DC_Cost!$C$12:$Q$12,3*(K$6-1)+2)</f>
        <v>4052</v>
      </c>
      <c r="L25" s="76" t="n">
        <f aca="false">INDEX(DC_Cost!$C$12:$Q$12,3*(L$6-1)+2)</f>
        <v>6715</v>
      </c>
      <c r="M25" s="76" t="n">
        <f aca="false">INDEX(DC_Cost!$C$12:$Q$12,3*(M$6-1)+2)</f>
        <v>4052</v>
      </c>
      <c r="N25" s="76" t="n">
        <f aca="false">INDEX(DC_Cost!$C$12:$Q$12,3*(N$6-1)+2)</f>
        <v>6715</v>
      </c>
      <c r="O25" s="76" t="n">
        <f aca="false">INDEX(DC_Cost!$C$12:$Q$12,3*(O$6-1)+2)</f>
        <v>4052</v>
      </c>
      <c r="P25" s="76" t="n">
        <f aca="false">INDEX(DC_Cost!$C$12:$Q$12,3*(P$6-1)+2)</f>
        <v>6715</v>
      </c>
      <c r="Q25" s="76" t="n">
        <f aca="false">INDEX(DC_Cost!$C$12:$Q$12,3*(Q$6-1)+2)</f>
        <v>4052</v>
      </c>
      <c r="R25" s="76" t="n">
        <f aca="false">INDEX(DC_Cost!$C$12:$Q$12,3*(R$6-1)+2)</f>
        <v>6715</v>
      </c>
      <c r="S25" s="76" t="n">
        <f aca="false">INDEX(DC_Cost!$C$12:$Q$12,3*(S$6-1)+2)</f>
        <v>4052</v>
      </c>
      <c r="T25" s="76" t="n">
        <f aca="false">INDEX(DC_Cost!$C$12:$Q$12,3*(T$6-1)+2)</f>
        <v>6715</v>
      </c>
      <c r="U25" s="76" t="n">
        <f aca="false">INDEX(DC_Cost!$C$12:$Q$12,3*(U$6-1)+2)</f>
        <v>4052</v>
      </c>
      <c r="V25" s="76" t="n">
        <f aca="false">INDEX(DC_Cost!$C$12:$Q$12,3*(V$6-1)+2)</f>
        <v>6715</v>
      </c>
      <c r="W25" s="76" t="n">
        <f aca="false">INDEX(DC_Cost!$C$12:$Q$12,3*(W$6-1)+2)</f>
        <v>4052</v>
      </c>
      <c r="X25" s="76" t="n">
        <f aca="false">INDEX(DC_Cost!$C$12:$Q$12,3*(X$6-1)+2)</f>
        <v>6715</v>
      </c>
      <c r="Y25" s="76" t="n">
        <f aca="false">INDEX(DC_Cost!$C$12:$Q$12,3*(Y$6-1)+2)</f>
        <v>4052</v>
      </c>
      <c r="Z25" s="76" t="n">
        <f aca="false">INDEX(DC_Cost!$C$12:$Q$12,3*(Z$6-1)+2)</f>
        <v>6715</v>
      </c>
      <c r="AA25" s="76" t="n">
        <f aca="false">INDEX(DC_Cost!$C$12:$Q$12,3*(AA$6-1)+2)</f>
        <v>4052</v>
      </c>
      <c r="AB25" s="76" t="n">
        <f aca="false">INDEX(DC_Cost!$C$12:$Q$12,3*(AB$6-1)+2)</f>
        <v>6715</v>
      </c>
      <c r="AC25" s="76" t="n">
        <f aca="false">INDEX(DC_Cost!$C$12:$Q$12,3*(AC$6-1)+2)</f>
        <v>4052</v>
      </c>
      <c r="AD25" s="76" t="n">
        <f aca="false">INDEX(DC_Cost!$C$12:$Q$12,3*(AD$6-1)+2)</f>
        <v>6715</v>
      </c>
      <c r="AE25" s="76" t="n">
        <f aca="false">INDEX(DC_Cost!$C$12:$Q$12,3*(AE$6-1)+2)</f>
        <v>4052</v>
      </c>
      <c r="AF25" s="76" t="n">
        <f aca="false">INDEX(DC_Cost!$C$12:$Q$12,3*(AF$6-1)+2)</f>
        <v>6715</v>
      </c>
      <c r="AG25" s="76" t="n">
        <f aca="false">INDEX(DC_Cost!$C$12:$Q$12,3*(AG$6-1)+2)</f>
        <v>4052</v>
      </c>
      <c r="AH25" s="76" t="n">
        <f aca="false">INDEX(DC_Cost!$C$12:$Q$12,3*(AH$6-1)+2)</f>
        <v>6715</v>
      </c>
    </row>
    <row r="26" customFormat="false" ht="15" hidden="false" customHeight="false" outlineLevel="0" collapsed="false">
      <c r="A26" s="44" t="s">
        <v>650</v>
      </c>
      <c r="B26" s="45" t="s">
        <v>651</v>
      </c>
      <c r="C26" s="76" t="n">
        <f aca="false">INDEX(DC_Cost!$C$11:$Q$11,3*(C$6-1)+2)</f>
        <v>227</v>
      </c>
      <c r="D26" s="76" t="n">
        <f aca="false">INDEX(DC_Cost!$C$11:$Q$11,3*(D$6-1)+2)</f>
        <v>137</v>
      </c>
      <c r="E26" s="76" t="n">
        <f aca="false">INDEX(DC_Cost!$C$11:$Q$11,3*(E$6-1)+2)</f>
        <v>227</v>
      </c>
      <c r="F26" s="76" t="n">
        <f aca="false">INDEX(DC_Cost!$C$11:$Q$11,3*(F$6-1)+2)</f>
        <v>137</v>
      </c>
      <c r="G26" s="76" t="n">
        <f aca="false">INDEX(DC_Cost!$C$11:$Q$11,3*(G$6-1)+2)</f>
        <v>227</v>
      </c>
      <c r="H26" s="76" t="n">
        <f aca="false">INDEX(DC_Cost!$C$11:$Q$11,3*(H$6-1)+2)</f>
        <v>137</v>
      </c>
      <c r="I26" s="76" t="n">
        <f aca="false">INDEX(DC_Cost!$C$11:$Q$11,3*(I$6-1)+2)</f>
        <v>227</v>
      </c>
      <c r="J26" s="76" t="n">
        <f aca="false">INDEX(DC_Cost!$C$11:$Q$11,3*(J$6-1)+2)</f>
        <v>137</v>
      </c>
      <c r="K26" s="76" t="n">
        <f aca="false">INDEX(DC_Cost!$C$11:$Q$11,3*(K$6-1)+2)</f>
        <v>227</v>
      </c>
      <c r="L26" s="76" t="n">
        <f aca="false">INDEX(DC_Cost!$C$11:$Q$11,3*(L$6-1)+2)</f>
        <v>137</v>
      </c>
      <c r="M26" s="76" t="n">
        <f aca="false">INDEX(DC_Cost!$C$11:$Q$11,3*(M$6-1)+2)</f>
        <v>227</v>
      </c>
      <c r="N26" s="76" t="n">
        <f aca="false">INDEX(DC_Cost!$C$11:$Q$11,3*(N$6-1)+2)</f>
        <v>137</v>
      </c>
      <c r="O26" s="76" t="n">
        <f aca="false">INDEX(DC_Cost!$C$11:$Q$11,3*(O$6-1)+2)</f>
        <v>227</v>
      </c>
      <c r="P26" s="76" t="n">
        <f aca="false">INDEX(DC_Cost!$C$11:$Q$11,3*(P$6-1)+2)</f>
        <v>137</v>
      </c>
      <c r="Q26" s="76" t="n">
        <f aca="false">INDEX(DC_Cost!$C$11:$Q$11,3*(Q$6-1)+2)</f>
        <v>227</v>
      </c>
      <c r="R26" s="76" t="n">
        <f aca="false">INDEX(DC_Cost!$C$11:$Q$11,3*(R$6-1)+2)</f>
        <v>137</v>
      </c>
      <c r="S26" s="76" t="n">
        <f aca="false">INDEX(DC_Cost!$C$11:$Q$11,3*(S$6-1)+2)</f>
        <v>227</v>
      </c>
      <c r="T26" s="76" t="n">
        <f aca="false">INDEX(DC_Cost!$C$11:$Q$11,3*(T$6-1)+2)</f>
        <v>137</v>
      </c>
      <c r="U26" s="76" t="n">
        <f aca="false">INDEX(DC_Cost!$C$11:$Q$11,3*(U$6-1)+2)</f>
        <v>227</v>
      </c>
      <c r="V26" s="76" t="n">
        <f aca="false">INDEX(DC_Cost!$C$11:$Q$11,3*(V$6-1)+2)</f>
        <v>137</v>
      </c>
      <c r="W26" s="76" t="n">
        <f aca="false">INDEX(DC_Cost!$C$11:$Q$11,3*(W$6-1)+2)</f>
        <v>227</v>
      </c>
      <c r="X26" s="76" t="n">
        <f aca="false">INDEX(DC_Cost!$C$11:$Q$11,3*(X$6-1)+2)</f>
        <v>137</v>
      </c>
      <c r="Y26" s="76" t="n">
        <f aca="false">INDEX(DC_Cost!$C$11:$Q$11,3*(Y$6-1)+2)</f>
        <v>227</v>
      </c>
      <c r="Z26" s="76" t="n">
        <f aca="false">INDEX(DC_Cost!$C$11:$Q$11,3*(Z$6-1)+2)</f>
        <v>137</v>
      </c>
      <c r="AA26" s="76" t="n">
        <f aca="false">INDEX(DC_Cost!$C$11:$Q$11,3*(AA$6-1)+2)</f>
        <v>227</v>
      </c>
      <c r="AB26" s="76" t="n">
        <f aca="false">INDEX(DC_Cost!$C$11:$Q$11,3*(AB$6-1)+2)</f>
        <v>137</v>
      </c>
      <c r="AC26" s="76" t="n">
        <f aca="false">INDEX(DC_Cost!$C$11:$Q$11,3*(AC$6-1)+2)</f>
        <v>227</v>
      </c>
      <c r="AD26" s="76" t="n">
        <f aca="false">INDEX(DC_Cost!$C$11:$Q$11,3*(AD$6-1)+2)</f>
        <v>137</v>
      </c>
      <c r="AE26" s="76" t="n">
        <f aca="false">INDEX(DC_Cost!$C$11:$Q$11,3*(AE$6-1)+2)</f>
        <v>227</v>
      </c>
      <c r="AF26" s="76" t="n">
        <f aca="false">INDEX(DC_Cost!$C$11:$Q$11,3*(AF$6-1)+2)</f>
        <v>137</v>
      </c>
      <c r="AG26" s="76" t="n">
        <f aca="false">INDEX(DC_Cost!$C$11:$Q$11,3*(AG$6-1)+2)</f>
        <v>227</v>
      </c>
      <c r="AH26" s="76" t="n">
        <f aca="false">INDEX(DC_Cost!$C$11:$Q$11,3*(AH$6-1)+2)</f>
        <v>137</v>
      </c>
    </row>
    <row r="27" customFormat="false" ht="15" hidden="false" customHeight="false" outlineLevel="0" collapsed="false">
      <c r="A27" s="72" t="s">
        <v>652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</row>
    <row r="28" customFormat="false" ht="15" hidden="false" customHeight="false" outlineLevel="0" collapsed="false">
      <c r="A28" s="44" t="s">
        <v>216</v>
      </c>
      <c r="B28" s="45" t="s">
        <v>213</v>
      </c>
      <c r="C28" s="76" t="n">
        <f aca="false">INDEX(Arch!$C$7:$E$7,C$7)</f>
        <v>49</v>
      </c>
      <c r="D28" s="76" t="n">
        <f aca="false">INDEX(Arch!$C$7:$E$7,D$7)</f>
        <v>49</v>
      </c>
      <c r="E28" s="76" t="n">
        <f aca="false">INDEX(Arch!$C$7:$E$7,E$7)</f>
        <v>49</v>
      </c>
      <c r="F28" s="76" t="n">
        <f aca="false">INDEX(Arch!$C$7:$E$7,F$7)</f>
        <v>49</v>
      </c>
      <c r="G28" s="76" t="n">
        <f aca="false">INDEX(Arch!$C$7:$E$7,G$7)</f>
        <v>49</v>
      </c>
      <c r="H28" s="76" t="n">
        <f aca="false">INDEX(Arch!$C$7:$E$7,H$7)</f>
        <v>49</v>
      </c>
      <c r="I28" s="76" t="n">
        <f aca="false">INDEX(Arch!$C$7:$E$7,I$7)</f>
        <v>49</v>
      </c>
      <c r="J28" s="76" t="n">
        <f aca="false">INDEX(Arch!$C$7:$E$7,J$7)</f>
        <v>49</v>
      </c>
      <c r="K28" s="76" t="n">
        <f aca="false">INDEX(Arch!$C$7:$E$7,K$7)</f>
        <v>49</v>
      </c>
      <c r="L28" s="76" t="n">
        <f aca="false">INDEX(Arch!$C$7:$E$7,L$7)</f>
        <v>49</v>
      </c>
      <c r="M28" s="76" t="n">
        <f aca="false">INDEX(Arch!$C$7:$E$7,M$7)</f>
        <v>49</v>
      </c>
      <c r="N28" s="76" t="n">
        <f aca="false">INDEX(Arch!$C$7:$E$7,N$7)</f>
        <v>49</v>
      </c>
      <c r="O28" s="76" t="n">
        <f aca="false">INDEX(Arch!$C$7:$E$7,O$7)</f>
        <v>49</v>
      </c>
      <c r="P28" s="76" t="n">
        <f aca="false">INDEX(Arch!$C$7:$E$7,P$7)</f>
        <v>49</v>
      </c>
      <c r="Q28" s="76" t="n">
        <f aca="false">INDEX(Arch!$C$7:$E$7,Q$7)</f>
        <v>49</v>
      </c>
      <c r="R28" s="76" t="n">
        <f aca="false">INDEX(Arch!$C$7:$E$7,R$7)</f>
        <v>49</v>
      </c>
      <c r="S28" s="76" t="n">
        <f aca="false">INDEX(Arch!$C$7:$E$7,S$7)</f>
        <v>49</v>
      </c>
      <c r="T28" s="76" t="n">
        <f aca="false">INDEX(Arch!$C$7:$E$7,T$7)</f>
        <v>49</v>
      </c>
      <c r="U28" s="76" t="n">
        <f aca="false">INDEX(Arch!$C$7:$E$7,U$7)</f>
        <v>49</v>
      </c>
      <c r="V28" s="76" t="n">
        <f aca="false">INDEX(Arch!$C$7:$E$7,V$7)</f>
        <v>49</v>
      </c>
      <c r="W28" s="76" t="n">
        <f aca="false">INDEX(Arch!$C$7:$E$7,W$7)</f>
        <v>49</v>
      </c>
      <c r="X28" s="76" t="n">
        <f aca="false">INDEX(Arch!$C$7:$E$7,X$7)</f>
        <v>49</v>
      </c>
      <c r="Y28" s="76" t="n">
        <f aca="false">INDEX(Arch!$C$7:$E$7,Y$7)</f>
        <v>49</v>
      </c>
      <c r="Z28" s="76" t="n">
        <f aca="false">INDEX(Arch!$C$7:$E$7,Z$7)</f>
        <v>49</v>
      </c>
      <c r="AA28" s="76" t="n">
        <f aca="false">INDEX(Arch!$C$7:$E$7,AA$7)</f>
        <v>49</v>
      </c>
      <c r="AB28" s="76" t="n">
        <f aca="false">INDEX(Arch!$C$7:$E$7,AB$7)</f>
        <v>49</v>
      </c>
      <c r="AC28" s="76" t="n">
        <f aca="false">INDEX(Arch!$C$7:$E$7,AC$7)</f>
        <v>180</v>
      </c>
      <c r="AD28" s="76" t="n">
        <f aca="false">INDEX(Arch!$C$7:$E$7,AD$7)</f>
        <v>180</v>
      </c>
      <c r="AE28" s="76" t="n">
        <f aca="false">INDEX(Arch!$C$7:$E$7,AE$7)</f>
        <v>180</v>
      </c>
      <c r="AF28" s="76" t="n">
        <f aca="false">INDEX(Arch!$C$7:$E$7,AF$7)</f>
        <v>180</v>
      </c>
      <c r="AG28" s="76" t="n">
        <f aca="false">INDEX(Arch!$C$7:$E$7,AG$7)</f>
        <v>180</v>
      </c>
      <c r="AH28" s="76" t="n">
        <f aca="false">INDEX(Arch!$C$7:$E$7,AH$7)</f>
        <v>180</v>
      </c>
    </row>
    <row r="29" customFormat="false" ht="15" hidden="false" customHeight="false" outlineLevel="0" collapsed="false">
      <c r="A29" s="44" t="s">
        <v>218</v>
      </c>
      <c r="B29" s="44" t="s">
        <v>219</v>
      </c>
      <c r="C29" s="76" t="n">
        <f aca="false">INDEX(Arch!$C$8:$E$8,C$7)</f>
        <v>61</v>
      </c>
      <c r="D29" s="76" t="n">
        <f aca="false">INDEX(Arch!$C$8:$E$8,D$7)</f>
        <v>61</v>
      </c>
      <c r="E29" s="76" t="n">
        <f aca="false">INDEX(Arch!$C$8:$E$8,E$7)</f>
        <v>61</v>
      </c>
      <c r="F29" s="76" t="n">
        <f aca="false">INDEX(Arch!$C$8:$E$8,F$7)</f>
        <v>61</v>
      </c>
      <c r="G29" s="76" t="n">
        <f aca="false">INDEX(Arch!$C$8:$E$8,G$7)</f>
        <v>61</v>
      </c>
      <c r="H29" s="76" t="n">
        <f aca="false">INDEX(Arch!$C$8:$E$8,H$7)</f>
        <v>61</v>
      </c>
      <c r="I29" s="76" t="n">
        <f aca="false">INDEX(Arch!$C$8:$E$8,I$7)</f>
        <v>61</v>
      </c>
      <c r="J29" s="76" t="n">
        <f aca="false">INDEX(Arch!$C$8:$E$8,J$7)</f>
        <v>61</v>
      </c>
      <c r="K29" s="76" t="n">
        <f aca="false">INDEX(Arch!$C$8:$E$8,K$7)</f>
        <v>61</v>
      </c>
      <c r="L29" s="76" t="n">
        <f aca="false">INDEX(Arch!$C$8:$E$8,L$7)</f>
        <v>61</v>
      </c>
      <c r="M29" s="76" t="n">
        <f aca="false">INDEX(Arch!$C$8:$E$8,M$7)</f>
        <v>61</v>
      </c>
      <c r="N29" s="76" t="n">
        <f aca="false">INDEX(Arch!$C$8:$E$8,N$7)</f>
        <v>61</v>
      </c>
      <c r="O29" s="76" t="n">
        <f aca="false">INDEX(Arch!$C$8:$E$8,O$7)</f>
        <v>61</v>
      </c>
      <c r="P29" s="76" t="n">
        <f aca="false">INDEX(Arch!$C$8:$E$8,P$7)</f>
        <v>61</v>
      </c>
      <c r="Q29" s="76" t="n">
        <f aca="false">INDEX(Arch!$C$8:$E$8,Q$7)</f>
        <v>61</v>
      </c>
      <c r="R29" s="76" t="n">
        <f aca="false">INDEX(Arch!$C$8:$E$8,R$7)</f>
        <v>61</v>
      </c>
      <c r="S29" s="76" t="n">
        <f aca="false">INDEX(Arch!$C$8:$E$8,S$7)</f>
        <v>61</v>
      </c>
      <c r="T29" s="76" t="n">
        <f aca="false">INDEX(Arch!$C$8:$E$8,T$7)</f>
        <v>61</v>
      </c>
      <c r="U29" s="76" t="n">
        <f aca="false">INDEX(Arch!$C$8:$E$8,U$7)</f>
        <v>61</v>
      </c>
      <c r="V29" s="76" t="n">
        <f aca="false">INDEX(Arch!$C$8:$E$8,V$7)</f>
        <v>61</v>
      </c>
      <c r="W29" s="76" t="n">
        <f aca="false">INDEX(Arch!$C$8:$E$8,W$7)</f>
        <v>61</v>
      </c>
      <c r="X29" s="76" t="n">
        <f aca="false">INDEX(Arch!$C$8:$E$8,X$7)</f>
        <v>61</v>
      </c>
      <c r="Y29" s="76" t="n">
        <f aca="false">INDEX(Arch!$C$8:$E$8,Y$7)</f>
        <v>61</v>
      </c>
      <c r="Z29" s="76" t="n">
        <f aca="false">INDEX(Arch!$C$8:$E$8,Z$7)</f>
        <v>61</v>
      </c>
      <c r="AA29" s="76" t="n">
        <f aca="false">INDEX(Arch!$C$8:$E$8,AA$7)</f>
        <v>61</v>
      </c>
      <c r="AB29" s="76" t="n">
        <f aca="false">INDEX(Arch!$C$8:$E$8,AB$7)</f>
        <v>61</v>
      </c>
      <c r="AC29" s="76" t="n">
        <f aca="false">INDEX(Arch!$C$8:$E$8,AC$7)</f>
        <v>100</v>
      </c>
      <c r="AD29" s="76" t="n">
        <f aca="false">INDEX(Arch!$C$8:$E$8,AD$7)</f>
        <v>100</v>
      </c>
      <c r="AE29" s="76" t="n">
        <f aca="false">INDEX(Arch!$C$8:$E$8,AE$7)</f>
        <v>100</v>
      </c>
      <c r="AF29" s="76" t="n">
        <f aca="false">INDEX(Arch!$C$8:$E$8,AF$7)</f>
        <v>100</v>
      </c>
      <c r="AG29" s="76" t="n">
        <f aca="false">INDEX(Arch!$C$8:$E$8,AG$7)</f>
        <v>100</v>
      </c>
      <c r="AH29" s="76" t="n">
        <f aca="false">INDEX(Arch!$C$8:$E$8,AH$7)</f>
        <v>100</v>
      </c>
    </row>
    <row r="30" customFormat="false" ht="15" hidden="false" customHeight="false" outlineLevel="0" collapsed="false">
      <c r="A30" s="45" t="s">
        <v>221</v>
      </c>
      <c r="B30" s="44"/>
      <c r="C30" s="76" t="n">
        <f aca="false">INDEX(Arch!$C$9:$E$9,C$7)</f>
        <v>7168</v>
      </c>
      <c r="D30" s="76" t="n">
        <f aca="false">INDEX(Arch!$C$9:$E$9,D$7)</f>
        <v>7168</v>
      </c>
      <c r="E30" s="76" t="n">
        <f aca="false">INDEX(Arch!$C$9:$E$9,E$7)</f>
        <v>7168</v>
      </c>
      <c r="F30" s="76" t="n">
        <f aca="false">INDEX(Arch!$C$9:$E$9,F$7)</f>
        <v>7168</v>
      </c>
      <c r="G30" s="76" t="n">
        <f aca="false">INDEX(Arch!$C$9:$E$9,G$7)</f>
        <v>7168</v>
      </c>
      <c r="H30" s="76" t="n">
        <f aca="false">INDEX(Arch!$C$9:$E$9,H$7)</f>
        <v>7168</v>
      </c>
      <c r="I30" s="76" t="n">
        <f aca="false">INDEX(Arch!$C$9:$E$9,I$7)</f>
        <v>7168</v>
      </c>
      <c r="J30" s="76" t="n">
        <f aca="false">INDEX(Arch!$C$9:$E$9,J$7)</f>
        <v>7168</v>
      </c>
      <c r="K30" s="76" t="n">
        <f aca="false">INDEX(Arch!$C$9:$E$9,K$7)</f>
        <v>7168</v>
      </c>
      <c r="L30" s="76" t="n">
        <f aca="false">INDEX(Arch!$C$9:$E$9,L$7)</f>
        <v>7168</v>
      </c>
      <c r="M30" s="76" t="n">
        <f aca="false">INDEX(Arch!$C$9:$E$9,M$7)</f>
        <v>7168</v>
      </c>
      <c r="N30" s="76" t="n">
        <f aca="false">INDEX(Arch!$C$9:$E$9,N$7)</f>
        <v>7168</v>
      </c>
      <c r="O30" s="76" t="n">
        <f aca="false">INDEX(Arch!$C$9:$E$9,O$7)</f>
        <v>7168</v>
      </c>
      <c r="P30" s="76" t="n">
        <f aca="false">INDEX(Arch!$C$9:$E$9,P$7)</f>
        <v>7168</v>
      </c>
      <c r="Q30" s="76" t="n">
        <f aca="false">INDEX(Arch!$C$9:$E$9,Q$7)</f>
        <v>7168</v>
      </c>
      <c r="R30" s="76" t="n">
        <f aca="false">INDEX(Arch!$C$9:$E$9,R$7)</f>
        <v>7168</v>
      </c>
      <c r="S30" s="76" t="n">
        <f aca="false">INDEX(Arch!$C$9:$E$9,S$7)</f>
        <v>7168</v>
      </c>
      <c r="T30" s="76" t="n">
        <f aca="false">INDEX(Arch!$C$9:$E$9,T$7)</f>
        <v>7168</v>
      </c>
      <c r="U30" s="76" t="n">
        <f aca="false">INDEX(Arch!$C$9:$E$9,U$7)</f>
        <v>7168</v>
      </c>
      <c r="V30" s="76" t="n">
        <f aca="false">INDEX(Arch!$C$9:$E$9,V$7)</f>
        <v>7168</v>
      </c>
      <c r="W30" s="76" t="n">
        <f aca="false">INDEX(Arch!$C$9:$E$9,W$7)</f>
        <v>7168</v>
      </c>
      <c r="X30" s="76" t="n">
        <f aca="false">INDEX(Arch!$C$9:$E$9,X$7)</f>
        <v>7168</v>
      </c>
      <c r="Y30" s="76" t="n">
        <f aca="false">INDEX(Arch!$C$9:$E$9,Y$7)</f>
        <v>7168</v>
      </c>
      <c r="Z30" s="76" t="n">
        <f aca="false">INDEX(Arch!$C$9:$E$9,Z$7)</f>
        <v>7168</v>
      </c>
      <c r="AA30" s="76" t="n">
        <f aca="false">INDEX(Arch!$C$9:$E$9,AA$7)</f>
        <v>7168</v>
      </c>
      <c r="AB30" s="76" t="n">
        <f aca="false">INDEX(Arch!$C$9:$E$9,AB$7)</f>
        <v>7168</v>
      </c>
      <c r="AC30" s="76" t="n">
        <f aca="false">INDEX(Arch!$C$9:$E$9,AC$7)</f>
        <v>12288</v>
      </c>
      <c r="AD30" s="76" t="n">
        <f aca="false">INDEX(Arch!$C$9:$E$9,AD$7)</f>
        <v>12288</v>
      </c>
      <c r="AE30" s="76" t="n">
        <f aca="false">INDEX(Arch!$C$9:$E$9,AE$7)</f>
        <v>12288</v>
      </c>
      <c r="AF30" s="76" t="n">
        <f aca="false">INDEX(Arch!$C$9:$E$9,AF$7)</f>
        <v>12288</v>
      </c>
      <c r="AG30" s="76" t="n">
        <f aca="false">INDEX(Arch!$C$9:$E$9,AG$7)</f>
        <v>12288</v>
      </c>
      <c r="AH30" s="76" t="n">
        <f aca="false">INDEX(Arch!$C$9:$E$9,AH$7)</f>
        <v>12288</v>
      </c>
    </row>
    <row r="31" customFormat="false" ht="15" hidden="false" customHeight="false" outlineLevel="0" collapsed="false">
      <c r="A31" s="44" t="s">
        <v>653</v>
      </c>
      <c r="B31" s="44"/>
      <c r="C31" s="76" t="n">
        <f aca="false">INDEX(Arch!$C$13:$E$13,C$7)</f>
        <v>6</v>
      </c>
      <c r="D31" s="76" t="n">
        <f aca="false">INDEX(Arch!$C$13:$E$13,D$7)</f>
        <v>6</v>
      </c>
      <c r="E31" s="76" t="n">
        <f aca="false">INDEX(Arch!$C$13:$E$13,E$7)</f>
        <v>6</v>
      </c>
      <c r="F31" s="76" t="n">
        <f aca="false">INDEX(Arch!$C$13:$E$13,F$7)</f>
        <v>6</v>
      </c>
      <c r="G31" s="76" t="n">
        <f aca="false">INDEX(Arch!$C$13:$E$13,G$7)</f>
        <v>6</v>
      </c>
      <c r="H31" s="76" t="n">
        <f aca="false">INDEX(Arch!$C$13:$E$13,H$7)</f>
        <v>6</v>
      </c>
      <c r="I31" s="76" t="n">
        <f aca="false">INDEX(Arch!$C$13:$E$13,I$7)</f>
        <v>6</v>
      </c>
      <c r="J31" s="76" t="n">
        <f aca="false">INDEX(Arch!$C$13:$E$13,J$7)</f>
        <v>6</v>
      </c>
      <c r="K31" s="76" t="n">
        <f aca="false">INDEX(Arch!$C$13:$E$13,K$7)</f>
        <v>6</v>
      </c>
      <c r="L31" s="76" t="n">
        <f aca="false">INDEX(Arch!$C$13:$E$13,L$7)</f>
        <v>6</v>
      </c>
      <c r="M31" s="76" t="n">
        <f aca="false">INDEX(Arch!$C$13:$E$13,M$7)</f>
        <v>6</v>
      </c>
      <c r="N31" s="76" t="n">
        <f aca="false">INDEX(Arch!$C$13:$E$13,N$7)</f>
        <v>6</v>
      </c>
      <c r="O31" s="76" t="n">
        <f aca="false">INDEX(Arch!$C$13:$E$13,O$7)</f>
        <v>6</v>
      </c>
      <c r="P31" s="76" t="n">
        <f aca="false">INDEX(Arch!$C$13:$E$13,P$7)</f>
        <v>6</v>
      </c>
      <c r="Q31" s="76" t="n">
        <f aca="false">INDEX(Arch!$C$13:$E$13,Q$7)</f>
        <v>6</v>
      </c>
      <c r="R31" s="76" t="n">
        <f aca="false">INDEX(Arch!$C$13:$E$13,R$7)</f>
        <v>6</v>
      </c>
      <c r="S31" s="76" t="n">
        <f aca="false">INDEX(Arch!$C$13:$E$13,S$7)</f>
        <v>6</v>
      </c>
      <c r="T31" s="76" t="n">
        <f aca="false">INDEX(Arch!$C$13:$E$13,T$7)</f>
        <v>6</v>
      </c>
      <c r="U31" s="76" t="n">
        <f aca="false">INDEX(Arch!$C$13:$E$13,U$7)</f>
        <v>6</v>
      </c>
      <c r="V31" s="76" t="n">
        <f aca="false">INDEX(Arch!$C$13:$E$13,V$7)</f>
        <v>6</v>
      </c>
      <c r="W31" s="76" t="n">
        <f aca="false">INDEX(Arch!$C$13:$E$13,W$7)</f>
        <v>6</v>
      </c>
      <c r="X31" s="76" t="n">
        <f aca="false">INDEX(Arch!$C$13:$E$13,X$7)</f>
        <v>6</v>
      </c>
      <c r="Y31" s="76" t="n">
        <f aca="false">INDEX(Arch!$C$13:$E$13,Y$7)</f>
        <v>6</v>
      </c>
      <c r="Z31" s="76" t="n">
        <f aca="false">INDEX(Arch!$C$13:$E$13,Z$7)</f>
        <v>6</v>
      </c>
      <c r="AA31" s="76" t="n">
        <f aca="false">INDEX(Arch!$C$13:$E$13,AA$7)</f>
        <v>6</v>
      </c>
      <c r="AB31" s="76" t="n">
        <f aca="false">INDEX(Arch!$C$13:$E$13,AB$7)</f>
        <v>6</v>
      </c>
      <c r="AC31" s="76" t="n">
        <f aca="false">INDEX(Arch!$C$13:$E$13,AC$7)</f>
        <v>16</v>
      </c>
      <c r="AD31" s="76" t="n">
        <f aca="false">INDEX(Arch!$C$13:$E$13,AD$7)</f>
        <v>16</v>
      </c>
      <c r="AE31" s="76" t="n">
        <f aca="false">INDEX(Arch!$C$13:$E$13,AE$7)</f>
        <v>16</v>
      </c>
      <c r="AF31" s="76" t="n">
        <f aca="false">INDEX(Arch!$C$13:$E$13,AF$7)</f>
        <v>16</v>
      </c>
      <c r="AG31" s="76" t="n">
        <f aca="false">INDEX(Arch!$C$13:$E$13,AG$7)</f>
        <v>16</v>
      </c>
      <c r="AH31" s="76" t="n">
        <f aca="false">INDEX(Arch!$C$13:$E$13,AH$7)</f>
        <v>16</v>
      </c>
    </row>
    <row r="32" customFormat="false" ht="15" hidden="false" customHeight="false" outlineLevel="0" collapsed="false">
      <c r="A32" s="44" t="s">
        <v>401</v>
      </c>
      <c r="B32" s="45" t="s">
        <v>213</v>
      </c>
      <c r="C32" s="80" t="n">
        <f aca="false">INDEX(Arch!$C$28:$E$28,C$7)</f>
        <v>20.2777777777778</v>
      </c>
      <c r="D32" s="80" t="n">
        <f aca="false">INDEX(Arch!$C$28:$E$28,D$7)</f>
        <v>20.2777777777778</v>
      </c>
      <c r="E32" s="80" t="n">
        <f aca="false">INDEX(Arch!$C$28:$E$28,E$7)</f>
        <v>20.2777777777778</v>
      </c>
      <c r="F32" s="80" t="n">
        <f aca="false">INDEX(Arch!$C$28:$E$28,F$7)</f>
        <v>20.2777777777778</v>
      </c>
      <c r="G32" s="80" t="n">
        <f aca="false">INDEX(Arch!$C$28:$E$28,G$7)</f>
        <v>20.2777777777778</v>
      </c>
      <c r="H32" s="80" t="n">
        <f aca="false">INDEX(Arch!$C$28:$E$28,H$7)</f>
        <v>20.2777777777778</v>
      </c>
      <c r="I32" s="80" t="n">
        <f aca="false">INDEX(Arch!$C$28:$E$28,I$7)</f>
        <v>20.2777777777778</v>
      </c>
      <c r="J32" s="80" t="n">
        <f aca="false">INDEX(Arch!$C$28:$E$28,J$7)</f>
        <v>20.2777777777778</v>
      </c>
      <c r="K32" s="80" t="n">
        <f aca="false">INDEX(Arch!$C$28:$E$28,K$7)</f>
        <v>20.2777777777778</v>
      </c>
      <c r="L32" s="80" t="n">
        <f aca="false">INDEX(Arch!$C$28:$E$28,L$7)</f>
        <v>20.2777777777778</v>
      </c>
      <c r="M32" s="80" t="n">
        <f aca="false">INDEX(Arch!$C$28:$E$28,M$7)</f>
        <v>20.2777777777778</v>
      </c>
      <c r="N32" s="80" t="n">
        <f aca="false">INDEX(Arch!$C$28:$E$28,N$7)</f>
        <v>20.2777777777778</v>
      </c>
      <c r="O32" s="80" t="n">
        <f aca="false">INDEX(Arch!$C$28:$E$28,O$7)</f>
        <v>20.2777777777778</v>
      </c>
      <c r="P32" s="80" t="n">
        <f aca="false">INDEX(Arch!$C$28:$E$28,P$7)</f>
        <v>20.2777777777778</v>
      </c>
      <c r="Q32" s="80" t="n">
        <f aca="false">INDEX(Arch!$C$28:$E$28,Q$7)</f>
        <v>20.2777777777778</v>
      </c>
      <c r="R32" s="80" t="n">
        <f aca="false">INDEX(Arch!$C$28:$E$28,R$7)</f>
        <v>20.2777777777778</v>
      </c>
      <c r="S32" s="80" t="n">
        <f aca="false">INDEX(Arch!$C$28:$E$28,S$7)</f>
        <v>20.2777777777778</v>
      </c>
      <c r="T32" s="80" t="n">
        <f aca="false">INDEX(Arch!$C$28:$E$28,T$7)</f>
        <v>20.2777777777778</v>
      </c>
      <c r="U32" s="80" t="n">
        <f aca="false">INDEX(Arch!$C$28:$E$28,U$7)</f>
        <v>20.2777777777778</v>
      </c>
      <c r="V32" s="80" t="n">
        <f aca="false">INDEX(Arch!$C$28:$E$28,V$7)</f>
        <v>20.2777777777778</v>
      </c>
      <c r="W32" s="80" t="n">
        <f aca="false">INDEX(Arch!$C$28:$E$28,W$7)</f>
        <v>20.2777777777778</v>
      </c>
      <c r="X32" s="80" t="n">
        <f aca="false">INDEX(Arch!$C$28:$E$28,X$7)</f>
        <v>20.2777777777778</v>
      </c>
      <c r="Y32" s="80" t="n">
        <f aca="false">INDEX(Arch!$C$28:$E$28,Y$7)</f>
        <v>20.2777777777778</v>
      </c>
      <c r="Z32" s="80" t="n">
        <f aca="false">INDEX(Arch!$C$28:$E$28,Z$7)</f>
        <v>20.2777777777778</v>
      </c>
      <c r="AA32" s="80" t="n">
        <f aca="false">INDEX(Arch!$C$28:$E$28,AA$7)</f>
        <v>20.2777777777778</v>
      </c>
      <c r="AB32" s="80" t="n">
        <f aca="false">INDEX(Arch!$C$28:$E$28,AB$7)</f>
        <v>20.2777777777778</v>
      </c>
      <c r="AC32" s="80" t="n">
        <f aca="false">INDEX(Arch!$C$28:$E$28,AC$7)</f>
        <v>49.0725806451613</v>
      </c>
      <c r="AD32" s="80" t="n">
        <f aca="false">INDEX(Arch!$C$28:$E$28,AD$7)</f>
        <v>49.0725806451613</v>
      </c>
      <c r="AE32" s="80" t="n">
        <f aca="false">INDEX(Arch!$C$28:$E$28,AE$7)</f>
        <v>49.0725806451613</v>
      </c>
      <c r="AF32" s="80" t="n">
        <f aca="false">INDEX(Arch!$C$28:$E$28,AF$7)</f>
        <v>49.0725806451613</v>
      </c>
      <c r="AG32" s="80" t="n">
        <f aca="false">INDEX(Arch!$C$28:$E$28,AG$7)</f>
        <v>49.0725806451613</v>
      </c>
      <c r="AH32" s="80" t="n">
        <f aca="false">INDEX(Arch!$C$28:$E$28,AH$7)</f>
        <v>49.0725806451613</v>
      </c>
    </row>
    <row r="33" customFormat="false" ht="15" hidden="false" customHeight="false" outlineLevel="0" collapsed="false">
      <c r="A33" s="44" t="s">
        <v>257</v>
      </c>
      <c r="B33" s="45" t="s">
        <v>213</v>
      </c>
      <c r="C33" s="76" t="n">
        <f aca="false">INDEX(Arch!$C$29:$E$29,C$7)</f>
        <v>1579.72222222222</v>
      </c>
      <c r="D33" s="76" t="n">
        <f aca="false">INDEX(Arch!$C$29:$E$29,D$7)</f>
        <v>1579.72222222222</v>
      </c>
      <c r="E33" s="76" t="n">
        <f aca="false">INDEX(Arch!$C$29:$E$29,E$7)</f>
        <v>1579.72222222222</v>
      </c>
      <c r="F33" s="76" t="n">
        <f aca="false">INDEX(Arch!$C$29:$E$29,F$7)</f>
        <v>1579.72222222222</v>
      </c>
      <c r="G33" s="76" t="n">
        <f aca="false">INDEX(Arch!$C$29:$E$29,G$7)</f>
        <v>1579.72222222222</v>
      </c>
      <c r="H33" s="76" t="n">
        <f aca="false">INDEX(Arch!$C$29:$E$29,H$7)</f>
        <v>1579.72222222222</v>
      </c>
      <c r="I33" s="76" t="n">
        <f aca="false">INDEX(Arch!$C$29:$E$29,I$7)</f>
        <v>1579.72222222222</v>
      </c>
      <c r="J33" s="76" t="n">
        <f aca="false">INDEX(Arch!$C$29:$E$29,J$7)</f>
        <v>1579.72222222222</v>
      </c>
      <c r="K33" s="76" t="n">
        <f aca="false">INDEX(Arch!$C$29:$E$29,K$7)</f>
        <v>1579.72222222222</v>
      </c>
      <c r="L33" s="76" t="n">
        <f aca="false">INDEX(Arch!$C$29:$E$29,L$7)</f>
        <v>1579.72222222222</v>
      </c>
      <c r="M33" s="76" t="n">
        <f aca="false">INDEX(Arch!$C$29:$E$29,M$7)</f>
        <v>1579.72222222222</v>
      </c>
      <c r="N33" s="76" t="n">
        <f aca="false">INDEX(Arch!$C$29:$E$29,N$7)</f>
        <v>1579.72222222222</v>
      </c>
      <c r="O33" s="76" t="n">
        <f aca="false">INDEX(Arch!$C$29:$E$29,O$7)</f>
        <v>1579.72222222222</v>
      </c>
      <c r="P33" s="76" t="n">
        <f aca="false">INDEX(Arch!$C$29:$E$29,P$7)</f>
        <v>1579.72222222222</v>
      </c>
      <c r="Q33" s="76" t="n">
        <f aca="false">INDEX(Arch!$C$29:$E$29,Q$7)</f>
        <v>1579.72222222222</v>
      </c>
      <c r="R33" s="76" t="n">
        <f aca="false">INDEX(Arch!$C$29:$E$29,R$7)</f>
        <v>1579.72222222222</v>
      </c>
      <c r="S33" s="76" t="n">
        <f aca="false">INDEX(Arch!$C$29:$E$29,S$7)</f>
        <v>1579.72222222222</v>
      </c>
      <c r="T33" s="76" t="n">
        <f aca="false">INDEX(Arch!$C$29:$E$29,T$7)</f>
        <v>1579.72222222222</v>
      </c>
      <c r="U33" s="76" t="n">
        <f aca="false">INDEX(Arch!$C$29:$E$29,U$7)</f>
        <v>1579.72222222222</v>
      </c>
      <c r="V33" s="76" t="n">
        <f aca="false">INDEX(Arch!$C$29:$E$29,V$7)</f>
        <v>1579.72222222222</v>
      </c>
      <c r="W33" s="76" t="n">
        <f aca="false">INDEX(Arch!$C$29:$E$29,W$7)</f>
        <v>1579.72222222222</v>
      </c>
      <c r="X33" s="76" t="n">
        <f aca="false">INDEX(Arch!$C$29:$E$29,X$7)</f>
        <v>1579.72222222222</v>
      </c>
      <c r="Y33" s="76" t="n">
        <f aca="false">INDEX(Arch!$C$29:$E$29,Y$7)</f>
        <v>1579.72222222222</v>
      </c>
      <c r="Z33" s="76" t="n">
        <f aca="false">INDEX(Arch!$C$29:$E$29,Z$7)</f>
        <v>1579.72222222222</v>
      </c>
      <c r="AA33" s="76" t="n">
        <f aca="false">INDEX(Arch!$C$29:$E$29,AA$7)</f>
        <v>1579.72222222222</v>
      </c>
      <c r="AB33" s="76" t="n">
        <f aca="false">INDEX(Arch!$C$29:$E$29,AB$7)</f>
        <v>1579.72222222222</v>
      </c>
      <c r="AC33" s="76" t="n">
        <f aca="false">INDEX(Arch!$C$29:$E$29,AC$7)</f>
        <v>3950.92741935484</v>
      </c>
      <c r="AD33" s="76" t="n">
        <f aca="false">INDEX(Arch!$C$29:$E$29,AD$7)</f>
        <v>3950.92741935484</v>
      </c>
      <c r="AE33" s="76" t="n">
        <f aca="false">INDEX(Arch!$C$29:$E$29,AE$7)</f>
        <v>3950.92741935484</v>
      </c>
      <c r="AF33" s="76" t="n">
        <f aca="false">INDEX(Arch!$C$29:$E$29,AF$7)</f>
        <v>3950.92741935484</v>
      </c>
      <c r="AG33" s="76" t="n">
        <f aca="false">INDEX(Arch!$C$29:$E$29,AG$7)</f>
        <v>3950.92741935484</v>
      </c>
      <c r="AH33" s="76" t="n">
        <f aca="false">INDEX(Arch!$C$29:$E$29,AH$7)</f>
        <v>3950.92741935484</v>
      </c>
    </row>
    <row r="34" customFormat="false" ht="15" hidden="false" customHeight="false" outlineLevel="0" collapsed="false">
      <c r="A34" s="45" t="s">
        <v>654</v>
      </c>
      <c r="B34" s="45" t="s">
        <v>213</v>
      </c>
      <c r="C34" s="76" t="n">
        <f aca="false">INDEX(Arch!$C$25:$E$25,C$7)*C11</f>
        <v>3965</v>
      </c>
      <c r="D34" s="76" t="n">
        <f aca="false">INDEX(Arch!$C$25:$E$25,D$7)*D11</f>
        <v>3965</v>
      </c>
      <c r="E34" s="76" t="n">
        <f aca="false">INDEX(Arch!$C$25:$E$25,E$7)*E11</f>
        <v>3965</v>
      </c>
      <c r="F34" s="76" t="n">
        <f aca="false">INDEX(Arch!$C$25:$E$25,F$7)*F11</f>
        <v>3965</v>
      </c>
      <c r="G34" s="76" t="n">
        <f aca="false">INDEX(Arch!$C$25:$E$25,G$7)*G11</f>
        <v>3965</v>
      </c>
      <c r="H34" s="76" t="n">
        <f aca="false">INDEX(Arch!$C$25:$E$25,H$7)*H11</f>
        <v>3965</v>
      </c>
      <c r="I34" s="76" t="n">
        <f aca="false">INDEX(Arch!$C$25:$E$25,I$7)*I11</f>
        <v>3965</v>
      </c>
      <c r="J34" s="76" t="n">
        <f aca="false">INDEX(Arch!$C$25:$E$25,J$7)*J11</f>
        <v>3965</v>
      </c>
      <c r="K34" s="76" t="n">
        <f aca="false">INDEX(Arch!$C$25:$E$25,K$7)*K11</f>
        <v>3965</v>
      </c>
      <c r="L34" s="76" t="n">
        <f aca="false">INDEX(Arch!$C$25:$E$25,L$7)*L11</f>
        <v>3965</v>
      </c>
      <c r="M34" s="76" t="n">
        <f aca="false">INDEX(Arch!$C$25:$E$25,M$7)*M11</f>
        <v>3965</v>
      </c>
      <c r="N34" s="76" t="n">
        <f aca="false">INDEX(Arch!$C$25:$E$25,N$7)*N11</f>
        <v>3965</v>
      </c>
      <c r="O34" s="76" t="n">
        <f aca="false">INDEX(Arch!$C$25:$E$25,O$7)*O11</f>
        <v>3965</v>
      </c>
      <c r="P34" s="76" t="n">
        <f aca="false">INDEX(Arch!$C$25:$E$25,P$7)*P11</f>
        <v>3965</v>
      </c>
      <c r="Q34" s="76" t="n">
        <f aca="false">INDEX(Arch!$C$25:$E$25,Q$7)*Q11</f>
        <v>3965</v>
      </c>
      <c r="R34" s="76" t="n">
        <f aca="false">INDEX(Arch!$C$25:$E$25,R$7)*R11</f>
        <v>3965</v>
      </c>
      <c r="S34" s="76" t="n">
        <f aca="false">INDEX(Arch!$C$25:$E$25,S$7)*S11</f>
        <v>3965</v>
      </c>
      <c r="T34" s="76" t="n">
        <f aca="false">INDEX(Arch!$C$25:$E$25,T$7)*T11</f>
        <v>3965</v>
      </c>
      <c r="U34" s="76" t="n">
        <f aca="false">INDEX(Arch!$C$25:$E$25,U$7)*U11</f>
        <v>3965</v>
      </c>
      <c r="V34" s="76" t="n">
        <f aca="false">INDEX(Arch!$C$25:$E$25,V$7)*V11</f>
        <v>3965</v>
      </c>
      <c r="W34" s="76" t="n">
        <f aca="false">INDEX(Arch!$C$25:$E$25,W$7)*W11</f>
        <v>3965</v>
      </c>
      <c r="X34" s="76" t="n">
        <f aca="false">INDEX(Arch!$C$25:$E$25,X$7)*X11</f>
        <v>3965</v>
      </c>
      <c r="Y34" s="76" t="n">
        <f aca="false">INDEX(Arch!$C$25:$E$25,Y$7)*Y11</f>
        <v>3965</v>
      </c>
      <c r="Z34" s="76" t="n">
        <f aca="false">INDEX(Arch!$C$25:$E$25,Z$7)*Z11</f>
        <v>3965</v>
      </c>
      <c r="AA34" s="76" t="n">
        <f aca="false">INDEX(Arch!$C$25:$E$25,AA$7)*AA11</f>
        <v>3965</v>
      </c>
      <c r="AB34" s="76" t="n">
        <f aca="false">INDEX(Arch!$C$25:$E$25,AB$7)*AB11</f>
        <v>3965</v>
      </c>
      <c r="AC34" s="108" t="n">
        <f aca="false">Arch!$E$21</f>
        <v>14976</v>
      </c>
      <c r="AD34" s="108" t="n">
        <f aca="false">Arch!$E$21</f>
        <v>14976</v>
      </c>
      <c r="AE34" s="108" t="n">
        <f aca="false">Arch!$E$22</f>
        <v>57600</v>
      </c>
      <c r="AF34" s="108" t="n">
        <f aca="false">Arch!$E$22</f>
        <v>57600</v>
      </c>
      <c r="AG34" s="108" t="n">
        <f aca="false">Arch!$E$23</f>
        <v>204800</v>
      </c>
      <c r="AH34" s="108" t="n">
        <f aca="false">Arch!$E$23</f>
        <v>204800</v>
      </c>
    </row>
    <row r="35" customFormat="false" ht="15" hidden="false" customHeight="false" outlineLevel="0" collapsed="false">
      <c r="A35" s="44" t="s">
        <v>403</v>
      </c>
      <c r="B35" s="45" t="s">
        <v>259</v>
      </c>
      <c r="C35" s="76" t="n">
        <f aca="false">INDEX(Arch!$C$30:$E$30,C$7)</f>
        <v>15990784</v>
      </c>
      <c r="D35" s="76" t="n">
        <f aca="false">INDEX(Arch!$C$30:$E$30,D$7)</f>
        <v>15990784</v>
      </c>
      <c r="E35" s="76" t="n">
        <f aca="false">INDEX(Arch!$C$30:$E$30,E$7)</f>
        <v>15990784</v>
      </c>
      <c r="F35" s="76" t="n">
        <f aca="false">INDEX(Arch!$C$30:$E$30,F$7)</f>
        <v>15990784</v>
      </c>
      <c r="G35" s="76" t="n">
        <f aca="false">INDEX(Arch!$C$30:$E$30,G$7)</f>
        <v>15990784</v>
      </c>
      <c r="H35" s="76" t="n">
        <f aca="false">INDEX(Arch!$C$30:$E$30,H$7)</f>
        <v>15990784</v>
      </c>
      <c r="I35" s="76" t="n">
        <f aca="false">INDEX(Arch!$C$30:$E$30,I$7)</f>
        <v>15990784</v>
      </c>
      <c r="J35" s="76" t="n">
        <f aca="false">INDEX(Arch!$C$30:$E$30,J$7)</f>
        <v>15990784</v>
      </c>
      <c r="K35" s="76" t="n">
        <f aca="false">INDEX(Arch!$C$30:$E$30,K$7)</f>
        <v>15990784</v>
      </c>
      <c r="L35" s="76" t="n">
        <f aca="false">INDEX(Arch!$C$30:$E$30,L$7)</f>
        <v>15990784</v>
      </c>
      <c r="M35" s="76" t="n">
        <f aca="false">INDEX(Arch!$C$30:$E$30,M$7)</f>
        <v>15990784</v>
      </c>
      <c r="N35" s="76" t="n">
        <f aca="false">INDEX(Arch!$C$30:$E$30,N$7)</f>
        <v>15990784</v>
      </c>
      <c r="O35" s="76" t="n">
        <f aca="false">INDEX(Arch!$C$30:$E$30,O$7)</f>
        <v>15990784</v>
      </c>
      <c r="P35" s="76" t="n">
        <f aca="false">INDEX(Arch!$C$30:$E$30,P$7)</f>
        <v>15990784</v>
      </c>
      <c r="Q35" s="76" t="n">
        <f aca="false">INDEX(Arch!$C$30:$E$30,Q$7)</f>
        <v>15990784</v>
      </c>
      <c r="R35" s="76" t="n">
        <f aca="false">INDEX(Arch!$C$30:$E$30,R$7)</f>
        <v>15990784</v>
      </c>
      <c r="S35" s="76" t="n">
        <f aca="false">INDEX(Arch!$C$30:$E$30,S$7)</f>
        <v>15990784</v>
      </c>
      <c r="T35" s="76" t="n">
        <f aca="false">INDEX(Arch!$C$30:$E$30,T$7)</f>
        <v>15990784</v>
      </c>
      <c r="U35" s="76" t="n">
        <f aca="false">INDEX(Arch!$C$30:$E$30,U$7)</f>
        <v>15990784</v>
      </c>
      <c r="V35" s="76" t="n">
        <f aca="false">INDEX(Arch!$C$30:$E$30,V$7)</f>
        <v>15990784</v>
      </c>
      <c r="W35" s="76" t="n">
        <f aca="false">INDEX(Arch!$C$30:$E$30,W$7)</f>
        <v>15990784</v>
      </c>
      <c r="X35" s="76" t="n">
        <f aca="false">INDEX(Arch!$C$30:$E$30,X$7)</f>
        <v>15990784</v>
      </c>
      <c r="Y35" s="76" t="n">
        <f aca="false">INDEX(Arch!$C$30:$E$30,Y$7)</f>
        <v>15990784</v>
      </c>
      <c r="Z35" s="76" t="n">
        <f aca="false">INDEX(Arch!$C$30:$E$30,Z$7)</f>
        <v>15990784</v>
      </c>
      <c r="AA35" s="76" t="n">
        <f aca="false">INDEX(Arch!$C$30:$E$30,AA$7)</f>
        <v>15990784</v>
      </c>
      <c r="AB35" s="76" t="n">
        <f aca="false">INDEX(Arch!$C$30:$E$30,AB$7)</f>
        <v>15990784</v>
      </c>
      <c r="AC35" s="76" t="n">
        <f aca="false">INDEX(Arch!$C$30:$E$30,AC$7)</f>
        <v>4915200</v>
      </c>
      <c r="AD35" s="76" t="n">
        <f aca="false">INDEX(Arch!$C$30:$E$30,AD$7)</f>
        <v>4915200</v>
      </c>
      <c r="AE35" s="76" t="n">
        <f aca="false">INDEX(Arch!$C$30:$E$30,AE$7)</f>
        <v>4915200</v>
      </c>
      <c r="AF35" s="76" t="n">
        <f aca="false">INDEX(Arch!$C$30:$E$30,AF$7)</f>
        <v>4915200</v>
      </c>
      <c r="AG35" s="76" t="n">
        <f aca="false">INDEX(Arch!$C$30:$E$30,AG$7)</f>
        <v>4915200</v>
      </c>
      <c r="AH35" s="76" t="n">
        <f aca="false">INDEX(Arch!$C$30:$E$30,AH$7)</f>
        <v>4915200</v>
      </c>
    </row>
    <row r="36" customFormat="false" ht="15" hidden="false" customHeight="false" outlineLevel="0" collapsed="false">
      <c r="A36" s="44" t="s">
        <v>233</v>
      </c>
      <c r="B36" s="45" t="s">
        <v>57</v>
      </c>
      <c r="C36" s="81" t="n">
        <f aca="false">INDEX(Arch!$C$16:$E$16,C$7)</f>
        <v>0.5</v>
      </c>
      <c r="D36" s="81" t="n">
        <f aca="false">INDEX(Arch!$C$16:$E$16,D$7)</f>
        <v>0.5</v>
      </c>
      <c r="E36" s="81" t="n">
        <f aca="false">INDEX(Arch!$C$16:$E$16,E$7)</f>
        <v>0.5</v>
      </c>
      <c r="F36" s="81" t="n">
        <f aca="false">INDEX(Arch!$C$16:$E$16,F$7)</f>
        <v>0.5</v>
      </c>
      <c r="G36" s="81" t="n">
        <f aca="false">INDEX(Arch!$C$16:$E$16,G$7)</f>
        <v>0.5</v>
      </c>
      <c r="H36" s="81" t="n">
        <f aca="false">INDEX(Arch!$C$16:$E$16,H$7)</f>
        <v>0.5</v>
      </c>
      <c r="I36" s="81" t="n">
        <f aca="false">INDEX(Arch!$C$16:$E$16,I$7)</f>
        <v>0.5</v>
      </c>
      <c r="J36" s="81" t="n">
        <f aca="false">INDEX(Arch!$C$16:$E$16,J$7)</f>
        <v>0.5</v>
      </c>
      <c r="K36" s="81" t="n">
        <f aca="false">INDEX(Arch!$C$16:$E$16,K$7)</f>
        <v>0.5</v>
      </c>
      <c r="L36" s="81" t="n">
        <f aca="false">INDEX(Arch!$C$16:$E$16,L$7)</f>
        <v>0.5</v>
      </c>
      <c r="M36" s="81" t="n">
        <f aca="false">INDEX(Arch!$C$16:$E$16,M$7)</f>
        <v>0.5</v>
      </c>
      <c r="N36" s="81" t="n">
        <f aca="false">INDEX(Arch!$C$16:$E$16,N$7)</f>
        <v>0.5</v>
      </c>
      <c r="O36" s="81" t="n">
        <f aca="false">INDEX(Arch!$C$16:$E$16,O$7)</f>
        <v>0.5</v>
      </c>
      <c r="P36" s="81" t="n">
        <f aca="false">INDEX(Arch!$C$16:$E$16,P$7)</f>
        <v>0.5</v>
      </c>
      <c r="Q36" s="81" t="n">
        <f aca="false">INDEX(Arch!$C$16:$E$16,Q$7)</f>
        <v>0.5</v>
      </c>
      <c r="R36" s="81" t="n">
        <f aca="false">INDEX(Arch!$C$16:$E$16,R$7)</f>
        <v>0.5</v>
      </c>
      <c r="S36" s="81" t="n">
        <f aca="false">INDEX(Arch!$C$16:$E$16,S$7)</f>
        <v>0.5</v>
      </c>
      <c r="T36" s="81" t="n">
        <f aca="false">INDEX(Arch!$C$16:$E$16,T$7)</f>
        <v>0.5</v>
      </c>
      <c r="U36" s="81" t="n">
        <f aca="false">INDEX(Arch!$C$16:$E$16,U$7)</f>
        <v>0.5</v>
      </c>
      <c r="V36" s="81" t="n">
        <f aca="false">INDEX(Arch!$C$16:$E$16,V$7)</f>
        <v>0.5</v>
      </c>
      <c r="W36" s="81" t="n">
        <f aca="false">INDEX(Arch!$C$16:$E$16,W$7)</f>
        <v>0.5</v>
      </c>
      <c r="X36" s="81" t="n">
        <f aca="false">INDEX(Arch!$C$16:$E$16,X$7)</f>
        <v>0.5</v>
      </c>
      <c r="Y36" s="81" t="n">
        <f aca="false">INDEX(Arch!$C$16:$E$16,Y$7)</f>
        <v>0.5</v>
      </c>
      <c r="Z36" s="81" t="n">
        <f aca="false">INDEX(Arch!$C$16:$E$16,Z$7)</f>
        <v>0.5</v>
      </c>
      <c r="AA36" s="81" t="n">
        <f aca="false">INDEX(Arch!$C$16:$E$16,AA$7)</f>
        <v>0.5</v>
      </c>
      <c r="AB36" s="81" t="n">
        <f aca="false">INDEX(Arch!$C$16:$E$16,AB$7)</f>
        <v>0.5</v>
      </c>
      <c r="AC36" s="81" t="n">
        <f aca="false">INDEX(Arch!$C$16:$E$16,AC$7)</f>
        <v>1</v>
      </c>
      <c r="AD36" s="81" t="n">
        <f aca="false">INDEX(Arch!$C$16:$E$16,AD$7)</f>
        <v>1</v>
      </c>
      <c r="AE36" s="81" t="n">
        <f aca="false">INDEX(Arch!$C$16:$E$16,AE$7)</f>
        <v>1</v>
      </c>
      <c r="AF36" s="81" t="n">
        <f aca="false">INDEX(Arch!$C$16:$E$16,AF$7)</f>
        <v>1</v>
      </c>
      <c r="AG36" s="81" t="n">
        <f aca="false">INDEX(Arch!$C$16:$E$16,AG$7)</f>
        <v>1</v>
      </c>
      <c r="AH36" s="81" t="n">
        <f aca="false">INDEX(Arch!$C$16:$E$16,AH$7)</f>
        <v>1</v>
      </c>
    </row>
    <row r="37" customFormat="false" ht="15" hidden="false" customHeight="false" outlineLevel="0" collapsed="false">
      <c r="A37" s="44" t="s">
        <v>655</v>
      </c>
      <c r="B37" s="45" t="s">
        <v>236</v>
      </c>
      <c r="C37" s="76" t="n">
        <f aca="false">INDEX(Arch!$C$17:$E$17,C$7)</f>
        <v>4224</v>
      </c>
      <c r="D37" s="76" t="n">
        <f aca="false">INDEX(Arch!$C$17:$E$17,D$7)</f>
        <v>4224</v>
      </c>
      <c r="E37" s="76" t="n">
        <f aca="false">INDEX(Arch!$C$17:$E$17,E$7)</f>
        <v>4224</v>
      </c>
      <c r="F37" s="76" t="n">
        <f aca="false">INDEX(Arch!$C$17:$E$17,F$7)</f>
        <v>4224</v>
      </c>
      <c r="G37" s="76" t="n">
        <f aca="false">INDEX(Arch!$C$17:$E$17,G$7)</f>
        <v>4224</v>
      </c>
      <c r="H37" s="76" t="n">
        <f aca="false">INDEX(Arch!$C$17:$E$17,H$7)</f>
        <v>4224</v>
      </c>
      <c r="I37" s="76" t="n">
        <f aca="false">INDEX(Arch!$C$17:$E$17,I$7)</f>
        <v>4224</v>
      </c>
      <c r="J37" s="76" t="n">
        <f aca="false">INDEX(Arch!$C$17:$E$17,J$7)</f>
        <v>4224</v>
      </c>
      <c r="K37" s="76" t="n">
        <f aca="false">INDEX(Arch!$C$17:$E$17,K$7)</f>
        <v>4224</v>
      </c>
      <c r="L37" s="76" t="n">
        <f aca="false">INDEX(Arch!$C$17:$E$17,L$7)</f>
        <v>4224</v>
      </c>
      <c r="M37" s="76" t="n">
        <f aca="false">INDEX(Arch!$C$17:$E$17,M$7)</f>
        <v>4224</v>
      </c>
      <c r="N37" s="76" t="n">
        <f aca="false">INDEX(Arch!$C$17:$E$17,N$7)</f>
        <v>4224</v>
      </c>
      <c r="O37" s="76" t="n">
        <f aca="false">INDEX(Arch!$C$17:$E$17,O$7)</f>
        <v>4224</v>
      </c>
      <c r="P37" s="76" t="n">
        <f aca="false">INDEX(Arch!$C$17:$E$17,P$7)</f>
        <v>4224</v>
      </c>
      <c r="Q37" s="76" t="n">
        <f aca="false">INDEX(Arch!$C$17:$E$17,Q$7)</f>
        <v>4224</v>
      </c>
      <c r="R37" s="76" t="n">
        <f aca="false">INDEX(Arch!$C$17:$E$17,R$7)</f>
        <v>4224</v>
      </c>
      <c r="S37" s="76" t="n">
        <f aca="false">INDEX(Arch!$C$17:$E$17,S$7)</f>
        <v>4224</v>
      </c>
      <c r="T37" s="76" t="n">
        <f aca="false">INDEX(Arch!$C$17:$E$17,T$7)</f>
        <v>4224</v>
      </c>
      <c r="U37" s="76" t="n">
        <f aca="false">INDEX(Arch!$C$17:$E$17,U$7)</f>
        <v>4224</v>
      </c>
      <c r="V37" s="76" t="n">
        <f aca="false">INDEX(Arch!$C$17:$E$17,V$7)</f>
        <v>4224</v>
      </c>
      <c r="W37" s="76" t="n">
        <f aca="false">INDEX(Arch!$C$17:$E$17,W$7)</f>
        <v>4224</v>
      </c>
      <c r="X37" s="76" t="n">
        <f aca="false">INDEX(Arch!$C$17:$E$17,X$7)</f>
        <v>4224</v>
      </c>
      <c r="Y37" s="76" t="n">
        <f aca="false">INDEX(Arch!$C$17:$E$17,Y$7)</f>
        <v>4224</v>
      </c>
      <c r="Z37" s="76" t="n">
        <f aca="false">INDEX(Arch!$C$17:$E$17,Z$7)</f>
        <v>4224</v>
      </c>
      <c r="AA37" s="76" t="n">
        <f aca="false">INDEX(Arch!$C$17:$E$17,AA$7)</f>
        <v>4224</v>
      </c>
      <c r="AB37" s="76" t="n">
        <f aca="false">INDEX(Arch!$C$17:$E$17,AB$7)</f>
        <v>4224</v>
      </c>
      <c r="AC37" s="76" t="n">
        <f aca="false">INDEX(Arch!$C$17:$E$17,AC$7)</f>
        <v>0</v>
      </c>
      <c r="AD37" s="76" t="n">
        <f aca="false">INDEX(Arch!$C$17:$E$17,AD$7)</f>
        <v>0</v>
      </c>
      <c r="AE37" s="76" t="n">
        <f aca="false">INDEX(Arch!$C$17:$E$17,AE$7)</f>
        <v>0</v>
      </c>
      <c r="AF37" s="76" t="n">
        <f aca="false">INDEX(Arch!$C$17:$E$17,AF$7)</f>
        <v>0</v>
      </c>
      <c r="AG37" s="76" t="n">
        <f aca="false">INDEX(Arch!$C$17:$E$17,AG$7)</f>
        <v>0</v>
      </c>
      <c r="AH37" s="76" t="n">
        <f aca="false">INDEX(Arch!$C$17:$E$17,AH$7)</f>
        <v>0</v>
      </c>
    </row>
    <row r="38" customFormat="false" ht="15" hidden="false" customHeight="false" outlineLevel="0" collapsed="false">
      <c r="A38" s="44" t="s">
        <v>239</v>
      </c>
      <c r="B38" s="45" t="s">
        <v>61</v>
      </c>
      <c r="C38" s="76" t="n">
        <f aca="false">INDEX(Arch!$C$18:$E$18,C$7)</f>
        <v>128</v>
      </c>
      <c r="D38" s="76" t="n">
        <f aca="false">INDEX(Arch!$C$18:$E$18,D$7)</f>
        <v>128</v>
      </c>
      <c r="E38" s="76" t="n">
        <f aca="false">INDEX(Arch!$C$18:$E$18,E$7)</f>
        <v>128</v>
      </c>
      <c r="F38" s="76" t="n">
        <f aca="false">INDEX(Arch!$C$18:$E$18,F$7)</f>
        <v>128</v>
      </c>
      <c r="G38" s="76" t="n">
        <f aca="false">INDEX(Arch!$C$18:$E$18,G$7)</f>
        <v>128</v>
      </c>
      <c r="H38" s="76" t="n">
        <f aca="false">INDEX(Arch!$C$18:$E$18,H$7)</f>
        <v>128</v>
      </c>
      <c r="I38" s="76" t="n">
        <f aca="false">INDEX(Arch!$C$18:$E$18,I$7)</f>
        <v>128</v>
      </c>
      <c r="J38" s="76" t="n">
        <f aca="false">INDEX(Arch!$C$18:$E$18,J$7)</f>
        <v>128</v>
      </c>
      <c r="K38" s="76" t="n">
        <f aca="false">INDEX(Arch!$C$18:$E$18,K$7)</f>
        <v>128</v>
      </c>
      <c r="L38" s="76" t="n">
        <f aca="false">INDEX(Arch!$C$18:$E$18,L$7)</f>
        <v>128</v>
      </c>
      <c r="M38" s="76" t="n">
        <f aca="false">INDEX(Arch!$C$18:$E$18,M$7)</f>
        <v>128</v>
      </c>
      <c r="N38" s="76" t="n">
        <f aca="false">INDEX(Arch!$C$18:$E$18,N$7)</f>
        <v>128</v>
      </c>
      <c r="O38" s="76" t="n">
        <f aca="false">INDEX(Arch!$C$18:$E$18,O$7)</f>
        <v>128</v>
      </c>
      <c r="P38" s="76" t="n">
        <f aca="false">INDEX(Arch!$C$18:$E$18,P$7)</f>
        <v>128</v>
      </c>
      <c r="Q38" s="76" t="n">
        <f aca="false">INDEX(Arch!$C$18:$E$18,Q$7)</f>
        <v>128</v>
      </c>
      <c r="R38" s="76" t="n">
        <f aca="false">INDEX(Arch!$C$18:$E$18,R$7)</f>
        <v>128</v>
      </c>
      <c r="S38" s="76" t="n">
        <f aca="false">INDEX(Arch!$C$18:$E$18,S$7)</f>
        <v>128</v>
      </c>
      <c r="T38" s="76" t="n">
        <f aca="false">INDEX(Arch!$C$18:$E$18,T$7)</f>
        <v>128</v>
      </c>
      <c r="U38" s="76" t="n">
        <f aca="false">INDEX(Arch!$C$18:$E$18,U$7)</f>
        <v>128</v>
      </c>
      <c r="V38" s="76" t="n">
        <f aca="false">INDEX(Arch!$C$18:$E$18,V$7)</f>
        <v>128</v>
      </c>
      <c r="W38" s="76" t="n">
        <f aca="false">INDEX(Arch!$C$18:$E$18,W$7)</f>
        <v>128</v>
      </c>
      <c r="X38" s="76" t="n">
        <f aca="false">INDEX(Arch!$C$18:$E$18,X$7)</f>
        <v>128</v>
      </c>
      <c r="Y38" s="76" t="n">
        <f aca="false">INDEX(Arch!$C$18:$E$18,Y$7)</f>
        <v>128</v>
      </c>
      <c r="Z38" s="76" t="n">
        <f aca="false">INDEX(Arch!$C$18:$E$18,Z$7)</f>
        <v>128</v>
      </c>
      <c r="AA38" s="76" t="n">
        <f aca="false">INDEX(Arch!$C$18:$E$18,AA$7)</f>
        <v>128</v>
      </c>
      <c r="AB38" s="76" t="n">
        <f aca="false">INDEX(Arch!$C$18:$E$18,AB$7)</f>
        <v>128</v>
      </c>
      <c r="AC38" s="76" t="n">
        <f aca="false">INDEX(Arch!$C$18:$E$18,AC$7)</f>
        <v>1</v>
      </c>
      <c r="AD38" s="76" t="n">
        <f aca="false">INDEX(Arch!$C$18:$E$18,AD$7)</f>
        <v>1</v>
      </c>
      <c r="AE38" s="76" t="n">
        <f aca="false">INDEX(Arch!$C$18:$E$18,AE$7)</f>
        <v>1</v>
      </c>
      <c r="AF38" s="76" t="n">
        <f aca="false">INDEX(Arch!$C$18:$E$18,AF$7)</f>
        <v>1</v>
      </c>
      <c r="AG38" s="76" t="n">
        <f aca="false">INDEX(Arch!$C$18:$E$18,AG$7)</f>
        <v>1</v>
      </c>
      <c r="AH38" s="76" t="n">
        <f aca="false">INDEX(Arch!$C$18:$E$18,AH$7)</f>
        <v>1</v>
      </c>
    </row>
    <row r="39" customFormat="false" ht="15" hidden="false" customHeight="false" outlineLevel="0" collapsed="false">
      <c r="A39" s="44" t="s">
        <v>241</v>
      </c>
      <c r="B39" s="45" t="s">
        <v>236</v>
      </c>
      <c r="C39" s="76" t="n">
        <f aca="false">INDEX(Arch!$C$19:$E$19,C$7)</f>
        <v>128</v>
      </c>
      <c r="D39" s="76" t="n">
        <f aca="false">INDEX(Arch!$C$19:$E$19,D$7)</f>
        <v>128</v>
      </c>
      <c r="E39" s="76" t="n">
        <f aca="false">INDEX(Arch!$C$19:$E$19,E$7)</f>
        <v>128</v>
      </c>
      <c r="F39" s="76" t="n">
        <f aca="false">INDEX(Arch!$C$19:$E$19,F$7)</f>
        <v>128</v>
      </c>
      <c r="G39" s="76" t="n">
        <f aca="false">INDEX(Arch!$C$19:$E$19,G$7)</f>
        <v>128</v>
      </c>
      <c r="H39" s="76" t="n">
        <f aca="false">INDEX(Arch!$C$19:$E$19,H$7)</f>
        <v>128</v>
      </c>
      <c r="I39" s="76" t="n">
        <f aca="false">INDEX(Arch!$C$19:$E$19,I$7)</f>
        <v>128</v>
      </c>
      <c r="J39" s="76" t="n">
        <f aca="false">INDEX(Arch!$C$19:$E$19,J$7)</f>
        <v>128</v>
      </c>
      <c r="K39" s="76" t="n">
        <f aca="false">INDEX(Arch!$C$19:$E$19,K$7)</f>
        <v>128</v>
      </c>
      <c r="L39" s="76" t="n">
        <f aca="false">INDEX(Arch!$C$19:$E$19,L$7)</f>
        <v>128</v>
      </c>
      <c r="M39" s="76" t="n">
        <f aca="false">INDEX(Arch!$C$19:$E$19,M$7)</f>
        <v>128</v>
      </c>
      <c r="N39" s="76" t="n">
        <f aca="false">INDEX(Arch!$C$19:$E$19,N$7)</f>
        <v>128</v>
      </c>
      <c r="O39" s="76" t="n">
        <f aca="false">INDEX(Arch!$C$19:$E$19,O$7)</f>
        <v>128</v>
      </c>
      <c r="P39" s="76" t="n">
        <f aca="false">INDEX(Arch!$C$19:$E$19,P$7)</f>
        <v>128</v>
      </c>
      <c r="Q39" s="76" t="n">
        <f aca="false">INDEX(Arch!$C$19:$E$19,Q$7)</f>
        <v>128</v>
      </c>
      <c r="R39" s="76" t="n">
        <f aca="false">INDEX(Arch!$C$19:$E$19,R$7)</f>
        <v>128</v>
      </c>
      <c r="S39" s="76" t="n">
        <f aca="false">INDEX(Arch!$C$19:$E$19,S$7)</f>
        <v>128</v>
      </c>
      <c r="T39" s="76" t="n">
        <f aca="false">INDEX(Arch!$C$19:$E$19,T$7)</f>
        <v>128</v>
      </c>
      <c r="U39" s="76" t="n">
        <f aca="false">INDEX(Arch!$C$19:$E$19,U$7)</f>
        <v>128</v>
      </c>
      <c r="V39" s="76" t="n">
        <f aca="false">INDEX(Arch!$C$19:$E$19,V$7)</f>
        <v>128</v>
      </c>
      <c r="W39" s="76" t="n">
        <f aca="false">INDEX(Arch!$C$19:$E$19,W$7)</f>
        <v>128</v>
      </c>
      <c r="X39" s="76" t="n">
        <f aca="false">INDEX(Arch!$C$19:$E$19,X$7)</f>
        <v>128</v>
      </c>
      <c r="Y39" s="76" t="n">
        <f aca="false">INDEX(Arch!$C$19:$E$19,Y$7)</f>
        <v>128</v>
      </c>
      <c r="Z39" s="76" t="n">
        <f aca="false">INDEX(Arch!$C$19:$E$19,Z$7)</f>
        <v>128</v>
      </c>
      <c r="AA39" s="76" t="n">
        <f aca="false">INDEX(Arch!$C$19:$E$19,AA$7)</f>
        <v>128</v>
      </c>
      <c r="AB39" s="76" t="n">
        <f aca="false">INDEX(Arch!$C$19:$E$19,AB$7)</f>
        <v>128</v>
      </c>
      <c r="AC39" s="76" t="n">
        <f aca="false">INDEX(Arch!$C$19:$E$19,AC$7)</f>
        <v>0</v>
      </c>
      <c r="AD39" s="76" t="n">
        <f aca="false">INDEX(Arch!$C$19:$E$19,AD$7)</f>
        <v>0</v>
      </c>
      <c r="AE39" s="76" t="n">
        <f aca="false">INDEX(Arch!$C$19:$E$19,AE$7)</f>
        <v>0</v>
      </c>
      <c r="AF39" s="76" t="n">
        <f aca="false">INDEX(Arch!$C$19:$E$19,AF$7)</f>
        <v>0</v>
      </c>
      <c r="AG39" s="76" t="n">
        <f aca="false">INDEX(Arch!$C$19:$E$19,AG$7)</f>
        <v>0</v>
      </c>
      <c r="AH39" s="76" t="n">
        <f aca="false">INDEX(Arch!$C$19:$E$19,AH$7)</f>
        <v>0</v>
      </c>
    </row>
    <row r="40" customFormat="false" ht="15" hidden="false" customHeight="false" outlineLevel="0" collapsed="false">
      <c r="A40" s="72" t="s">
        <v>656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</row>
    <row r="41" customFormat="false" ht="15" hidden="false" customHeight="false" outlineLevel="0" collapsed="false">
      <c r="A41" s="45" t="s">
        <v>299</v>
      </c>
      <c r="B41" s="45" t="s">
        <v>300</v>
      </c>
      <c r="C41" s="76" t="n">
        <f aca="false">INDEX(Serving!$C$21:$E$21,C$7)</f>
        <v>65</v>
      </c>
      <c r="D41" s="76" t="n">
        <f aca="false">INDEX(Serving!$C$21:$E$21,D$7)</f>
        <v>65</v>
      </c>
      <c r="E41" s="76" t="n">
        <f aca="false">INDEX(Serving!$C$21:$E$21,E$7)</f>
        <v>65</v>
      </c>
      <c r="F41" s="76" t="n">
        <f aca="false">INDEX(Serving!$C$21:$E$21,F$7)</f>
        <v>65</v>
      </c>
      <c r="G41" s="76" t="n">
        <f aca="false">INDEX(Serving!$C$21:$E$21,G$7)</f>
        <v>65</v>
      </c>
      <c r="H41" s="76" t="n">
        <f aca="false">INDEX(Serving!$C$21:$E$21,H$7)</f>
        <v>65</v>
      </c>
      <c r="I41" s="76" t="n">
        <f aca="false">INDEX(Serving!$C$21:$E$21,I$7)</f>
        <v>65</v>
      </c>
      <c r="J41" s="76" t="n">
        <f aca="false">INDEX(Serving!$C$21:$E$21,J$7)</f>
        <v>65</v>
      </c>
      <c r="K41" s="76" t="n">
        <f aca="false">INDEX(Serving!$C$21:$E$21,K$7)</f>
        <v>65</v>
      </c>
      <c r="L41" s="76" t="n">
        <f aca="false">INDEX(Serving!$C$21:$E$21,L$7)</f>
        <v>65</v>
      </c>
      <c r="M41" s="76" t="n">
        <f aca="false">INDEX(Serving!$C$21:$E$21,M$7)</f>
        <v>65</v>
      </c>
      <c r="N41" s="76" t="n">
        <f aca="false">INDEX(Serving!$C$21:$E$21,N$7)</f>
        <v>65</v>
      </c>
      <c r="O41" s="108" t="n">
        <v>40</v>
      </c>
      <c r="P41" s="108" t="n">
        <v>40</v>
      </c>
      <c r="Q41" s="108" t="n">
        <v>100</v>
      </c>
      <c r="R41" s="108" t="n">
        <v>100</v>
      </c>
      <c r="S41" s="76" t="n">
        <f aca="false">INDEX(Serving!$C$21:$E$21,S$7)</f>
        <v>65</v>
      </c>
      <c r="T41" s="76" t="n">
        <f aca="false">INDEX(Serving!$C$21:$E$21,T$7)</f>
        <v>65</v>
      </c>
      <c r="U41" s="76" t="n">
        <f aca="false">INDEX(Serving!$C$21:$E$21,U$7)</f>
        <v>65</v>
      </c>
      <c r="V41" s="76" t="n">
        <f aca="false">INDEX(Serving!$C$21:$E$21,V$7)</f>
        <v>65</v>
      </c>
      <c r="W41" s="76" t="n">
        <f aca="false">INDEX(Serving!$C$21:$E$21,W$7)</f>
        <v>65</v>
      </c>
      <c r="X41" s="76" t="n">
        <f aca="false">INDEX(Serving!$C$21:$E$21,X$7)</f>
        <v>65</v>
      </c>
      <c r="Y41" s="76" t="n">
        <f aca="false">INDEX(Serving!$C$21:$E$21,Y$7)</f>
        <v>65</v>
      </c>
      <c r="Z41" s="76" t="n">
        <f aca="false">INDEX(Serving!$C$21:$E$21,Z$7)</f>
        <v>65</v>
      </c>
      <c r="AA41" s="76" t="n">
        <f aca="false">INDEX(Serving!$C$21:$E$21,AA$7)</f>
        <v>65</v>
      </c>
      <c r="AB41" s="76" t="n">
        <f aca="false">INDEX(Serving!$C$21:$E$21,AB$7)</f>
        <v>65</v>
      </c>
      <c r="AC41" s="76" t="n">
        <f aca="false">INDEX(Serving!$C$21:$E$21,AC$7)</f>
        <v>55</v>
      </c>
      <c r="AD41" s="76" t="n">
        <f aca="false">INDEX(Serving!$C$21:$E$21,AD$7)</f>
        <v>55</v>
      </c>
      <c r="AE41" s="76" t="n">
        <f aca="false">INDEX(Serving!$C$21:$E$21,AE$7)</f>
        <v>55</v>
      </c>
      <c r="AF41" s="76" t="n">
        <f aca="false">INDEX(Serving!$C$21:$E$21,AF$7)</f>
        <v>55</v>
      </c>
      <c r="AG41" s="76" t="n">
        <f aca="false">INDEX(Serving!$C$21:$E$21,AG$7)</f>
        <v>55</v>
      </c>
      <c r="AH41" s="76" t="n">
        <f aca="false">INDEX(Serving!$C$21:$E$21,AH$7)</f>
        <v>55</v>
      </c>
    </row>
    <row r="42" customFormat="false" ht="15" hidden="false" customHeight="false" outlineLevel="0" collapsed="false">
      <c r="A42" s="45" t="s">
        <v>657</v>
      </c>
      <c r="B42" s="45" t="s">
        <v>303</v>
      </c>
      <c r="C42" s="93" t="n">
        <f aca="false">INDEX(Serving!$C$22:$E$22,C$7)</f>
        <v>3</v>
      </c>
      <c r="D42" s="93" t="n">
        <f aca="false">INDEX(Serving!$C$22:$E$22,D$7)</f>
        <v>3</v>
      </c>
      <c r="E42" s="93" t="n">
        <f aca="false">INDEX(Serving!$C$22:$E$22,E$7)</f>
        <v>3</v>
      </c>
      <c r="F42" s="93" t="n">
        <f aca="false">INDEX(Serving!$C$22:$E$22,F$7)</f>
        <v>3</v>
      </c>
      <c r="G42" s="93" t="n">
        <f aca="false">INDEX(Serving!$C$22:$E$22,G$7)</f>
        <v>3</v>
      </c>
      <c r="H42" s="93" t="n">
        <f aca="false">INDEX(Serving!$C$22:$E$22,H$7)</f>
        <v>3</v>
      </c>
      <c r="I42" s="93" t="n">
        <f aca="false">INDEX(Serving!$C$22:$E$22,I$7)</f>
        <v>3</v>
      </c>
      <c r="J42" s="93" t="n">
        <f aca="false">INDEX(Serving!$C$22:$E$22,J$7)</f>
        <v>3</v>
      </c>
      <c r="K42" s="93" t="n">
        <f aca="false">INDEX(Serving!$C$22:$E$22,K$7)</f>
        <v>3</v>
      </c>
      <c r="L42" s="93" t="n">
        <f aca="false">INDEX(Serving!$C$22:$E$22,L$7)</f>
        <v>3</v>
      </c>
      <c r="M42" s="93" t="n">
        <f aca="false">INDEX(Serving!$C$22:$E$22,M$7)</f>
        <v>3</v>
      </c>
      <c r="N42" s="93" t="n">
        <f aca="false">INDEX(Serving!$C$22:$E$22,N$7)</f>
        <v>3</v>
      </c>
      <c r="O42" s="93" t="n">
        <f aca="false">INDEX(Serving!$C$22:$E$22,O$7)</f>
        <v>3</v>
      </c>
      <c r="P42" s="93" t="n">
        <f aca="false">INDEX(Serving!$C$22:$E$22,P$7)</f>
        <v>3</v>
      </c>
      <c r="Q42" s="93" t="n">
        <f aca="false">INDEX(Serving!$C$22:$E$22,Q$7)</f>
        <v>3</v>
      </c>
      <c r="R42" s="93" t="n">
        <f aca="false">INDEX(Serving!$C$22:$E$22,R$7)</f>
        <v>3</v>
      </c>
      <c r="S42" s="93" t="n">
        <f aca="false">INDEX(Serving!$C$22:$E$22,S$7)</f>
        <v>3</v>
      </c>
      <c r="T42" s="93" t="n">
        <f aca="false">INDEX(Serving!$C$22:$E$22,T$7)</f>
        <v>3</v>
      </c>
      <c r="U42" s="93" t="n">
        <f aca="false">INDEX(Serving!$C$22:$E$22,U$7)</f>
        <v>3</v>
      </c>
      <c r="V42" s="93" t="n">
        <f aca="false">INDEX(Serving!$C$22:$E$22,V$7)</f>
        <v>3</v>
      </c>
      <c r="W42" s="93" t="n">
        <f aca="false">INDEX(Serving!$C$22:$E$22,W$7)</f>
        <v>3</v>
      </c>
      <c r="X42" s="93" t="n">
        <f aca="false">INDEX(Serving!$C$22:$E$22,X$7)</f>
        <v>3</v>
      </c>
      <c r="Y42" s="93" t="n">
        <f aca="false">INDEX(Serving!$C$22:$E$22,Y$7)</f>
        <v>3</v>
      </c>
      <c r="Z42" s="93" t="n">
        <f aca="false">INDEX(Serving!$C$22:$E$22,Z$7)</f>
        <v>3</v>
      </c>
      <c r="AA42" s="93" t="n">
        <f aca="false">INDEX(Serving!$C$22:$E$22,AA$7)</f>
        <v>3</v>
      </c>
      <c r="AB42" s="93" t="n">
        <f aca="false">INDEX(Serving!$C$22:$E$22,AB$7)</f>
        <v>3</v>
      </c>
      <c r="AC42" s="93" t="n">
        <f aca="false">INDEX(Serving!$C$22:$E$22,AC$7)</f>
        <v>5</v>
      </c>
      <c r="AD42" s="93" t="n">
        <f aca="false">INDEX(Serving!$C$22:$E$22,AD$7)</f>
        <v>5</v>
      </c>
      <c r="AE42" s="93" t="n">
        <f aca="false">INDEX(Serving!$C$22:$E$22,AE$7)</f>
        <v>5</v>
      </c>
      <c r="AF42" s="93" t="n">
        <f aca="false">INDEX(Serving!$C$22:$E$22,AF$7)</f>
        <v>5</v>
      </c>
      <c r="AG42" s="93" t="n">
        <f aca="false">INDEX(Serving!$C$22:$E$22,AG$7)</f>
        <v>5</v>
      </c>
      <c r="AH42" s="93" t="n">
        <f aca="false">INDEX(Serving!$C$22:$E$22,AH$7)</f>
        <v>5</v>
      </c>
    </row>
    <row r="43" customFormat="false" ht="15" hidden="false" customHeight="false" outlineLevel="0" collapsed="false">
      <c r="A43" s="44" t="s">
        <v>658</v>
      </c>
      <c r="B43" s="45" t="s">
        <v>236</v>
      </c>
      <c r="C43" s="76" t="n">
        <f aca="false">INDEX(Serving!$C$23:$E$23,C$7)</f>
        <v>16384</v>
      </c>
      <c r="D43" s="76" t="n">
        <f aca="false">INDEX(Serving!$C$23:$E$23,D$7)</f>
        <v>16384</v>
      </c>
      <c r="E43" s="76" t="n">
        <f aca="false">INDEX(Serving!$C$23:$E$23,E$7)</f>
        <v>16384</v>
      </c>
      <c r="F43" s="76" t="n">
        <f aca="false">INDEX(Serving!$C$23:$E$23,F$7)</f>
        <v>16384</v>
      </c>
      <c r="G43" s="76" t="n">
        <f aca="false">INDEX(Serving!$C$23:$E$23,G$7)</f>
        <v>16384</v>
      </c>
      <c r="H43" s="76" t="n">
        <f aca="false">INDEX(Serving!$C$23:$E$23,H$7)</f>
        <v>16384</v>
      </c>
      <c r="I43" s="76" t="n">
        <f aca="false">INDEX(Serving!$C$23:$E$23,I$7)</f>
        <v>16384</v>
      </c>
      <c r="J43" s="76" t="n">
        <f aca="false">INDEX(Serving!$C$23:$E$23,J$7)</f>
        <v>16384</v>
      </c>
      <c r="K43" s="76" t="n">
        <f aca="false">INDEX(Serving!$C$23:$E$23,K$7)</f>
        <v>16384</v>
      </c>
      <c r="L43" s="76" t="n">
        <f aca="false">INDEX(Serving!$C$23:$E$23,L$7)</f>
        <v>16384</v>
      </c>
      <c r="M43" s="76" t="n">
        <f aca="false">INDEX(Serving!$C$23:$E$23,M$7)</f>
        <v>16384</v>
      </c>
      <c r="N43" s="76" t="n">
        <f aca="false">INDEX(Serving!$C$23:$E$23,N$7)</f>
        <v>16384</v>
      </c>
      <c r="O43" s="76" t="n">
        <f aca="false">INDEX(Serving!$C$23:$E$23,O$7)</f>
        <v>16384</v>
      </c>
      <c r="P43" s="76" t="n">
        <f aca="false">INDEX(Serving!$C$23:$E$23,P$7)</f>
        <v>16384</v>
      </c>
      <c r="Q43" s="76" t="n">
        <f aca="false">INDEX(Serving!$C$23:$E$23,Q$7)</f>
        <v>16384</v>
      </c>
      <c r="R43" s="76" t="n">
        <f aca="false">INDEX(Serving!$C$23:$E$23,R$7)</f>
        <v>16384</v>
      </c>
      <c r="S43" s="76" t="n">
        <f aca="false">INDEX(Serving!$C$23:$E$23,S$7)</f>
        <v>16384</v>
      </c>
      <c r="T43" s="76" t="n">
        <f aca="false">INDEX(Serving!$C$23:$E$23,T$7)</f>
        <v>16384</v>
      </c>
      <c r="U43" s="76" t="n">
        <f aca="false">INDEX(Serving!$C$23:$E$23,U$7)</f>
        <v>16384</v>
      </c>
      <c r="V43" s="76" t="n">
        <f aca="false">INDEX(Serving!$C$23:$E$23,V$7)</f>
        <v>16384</v>
      </c>
      <c r="W43" s="108" t="n">
        <v>4096</v>
      </c>
      <c r="X43" s="108" t="n">
        <v>4096</v>
      </c>
      <c r="Y43" s="108" t="n">
        <v>65536</v>
      </c>
      <c r="Z43" s="108" t="n">
        <v>65536</v>
      </c>
      <c r="AA43" s="76" t="n">
        <f aca="false">INDEX(Serving!$C$23:$E$23,AA$7)</f>
        <v>16384</v>
      </c>
      <c r="AB43" s="76" t="n">
        <f aca="false">INDEX(Serving!$C$23:$E$23,AB$7)</f>
        <v>16384</v>
      </c>
      <c r="AC43" s="76" t="n">
        <f aca="false">INDEX(Serving!$C$23:$E$23,AC$7)</f>
        <v>32768</v>
      </c>
      <c r="AD43" s="76" t="n">
        <f aca="false">INDEX(Serving!$C$23:$E$23,AD$7)</f>
        <v>32768</v>
      </c>
      <c r="AE43" s="76" t="n">
        <f aca="false">INDEX(Serving!$C$23:$E$23,AE$7)</f>
        <v>32768</v>
      </c>
      <c r="AF43" s="76" t="n">
        <f aca="false">INDEX(Serving!$C$23:$E$23,AF$7)</f>
        <v>32768</v>
      </c>
      <c r="AG43" s="76" t="n">
        <f aca="false">INDEX(Serving!$C$23:$E$23,AG$7)</f>
        <v>32768</v>
      </c>
      <c r="AH43" s="76" t="n">
        <f aca="false">INDEX(Serving!$C$23:$E$23,AH$7)</f>
        <v>32768</v>
      </c>
    </row>
    <row r="44" customFormat="false" ht="15" hidden="false" customHeight="false" outlineLevel="0" collapsed="false">
      <c r="A44" s="44" t="s">
        <v>306</v>
      </c>
      <c r="B44" s="45" t="s">
        <v>236</v>
      </c>
      <c r="C44" s="76" t="n">
        <f aca="false">INDEX(Serving!$C$24:$E$24,C$7)</f>
        <v>2048</v>
      </c>
      <c r="D44" s="76" t="n">
        <f aca="false">INDEX(Serving!$C$24:$E$24,D$7)</f>
        <v>2048</v>
      </c>
      <c r="E44" s="76" t="n">
        <f aca="false">INDEX(Serving!$C$24:$E$24,E$7)</f>
        <v>2048</v>
      </c>
      <c r="F44" s="76" t="n">
        <f aca="false">INDEX(Serving!$C$24:$E$24,F$7)</f>
        <v>2048</v>
      </c>
      <c r="G44" s="76" t="n">
        <f aca="false">INDEX(Serving!$C$24:$E$24,G$7)</f>
        <v>2048</v>
      </c>
      <c r="H44" s="76" t="n">
        <f aca="false">INDEX(Serving!$C$24:$E$24,H$7)</f>
        <v>2048</v>
      </c>
      <c r="I44" s="76" t="n">
        <f aca="false">INDEX(Serving!$C$24:$E$24,I$7)</f>
        <v>2048</v>
      </c>
      <c r="J44" s="76" t="n">
        <f aca="false">INDEX(Serving!$C$24:$E$24,J$7)</f>
        <v>2048</v>
      </c>
      <c r="K44" s="76" t="n">
        <f aca="false">INDEX(Serving!$C$24:$E$24,K$7)</f>
        <v>2048</v>
      </c>
      <c r="L44" s="76" t="n">
        <f aca="false">INDEX(Serving!$C$24:$E$24,L$7)</f>
        <v>2048</v>
      </c>
      <c r="M44" s="76" t="n">
        <f aca="false">INDEX(Serving!$C$24:$E$24,M$7)</f>
        <v>2048</v>
      </c>
      <c r="N44" s="76" t="n">
        <f aca="false">INDEX(Serving!$C$24:$E$24,N$7)</f>
        <v>2048</v>
      </c>
      <c r="O44" s="76" t="n">
        <f aca="false">INDEX(Serving!$C$24:$E$24,O$7)</f>
        <v>2048</v>
      </c>
      <c r="P44" s="76" t="n">
        <f aca="false">INDEX(Serving!$C$24:$E$24,P$7)</f>
        <v>2048</v>
      </c>
      <c r="Q44" s="76" t="n">
        <f aca="false">INDEX(Serving!$C$24:$E$24,Q$7)</f>
        <v>2048</v>
      </c>
      <c r="R44" s="76" t="n">
        <f aca="false">INDEX(Serving!$C$24:$E$24,R$7)</f>
        <v>2048</v>
      </c>
      <c r="S44" s="76" t="n">
        <f aca="false">INDEX(Serving!$C$24:$E$24,S$7)</f>
        <v>2048</v>
      </c>
      <c r="T44" s="76" t="n">
        <f aca="false">INDEX(Serving!$C$24:$E$24,T$7)</f>
        <v>2048</v>
      </c>
      <c r="U44" s="76" t="n">
        <f aca="false">INDEX(Serving!$C$24:$E$24,U$7)</f>
        <v>2048</v>
      </c>
      <c r="V44" s="76" t="n">
        <f aca="false">INDEX(Serving!$C$24:$E$24,V$7)</f>
        <v>2048</v>
      </c>
      <c r="W44" s="76" t="n">
        <f aca="false">INDEX(Serving!$C$24:$E$24,W$7)</f>
        <v>2048</v>
      </c>
      <c r="X44" s="76" t="n">
        <f aca="false">INDEX(Serving!$C$24:$E$24,X$7)</f>
        <v>2048</v>
      </c>
      <c r="Y44" s="76" t="n">
        <f aca="false">INDEX(Serving!$C$24:$E$24,Y$7)</f>
        <v>2048</v>
      </c>
      <c r="Z44" s="76" t="n">
        <f aca="false">INDEX(Serving!$C$24:$E$24,Z$7)</f>
        <v>2048</v>
      </c>
      <c r="AA44" s="76" t="n">
        <f aca="false">INDEX(Serving!$C$24:$E$24,AA$7)</f>
        <v>2048</v>
      </c>
      <c r="AB44" s="76" t="n">
        <f aca="false">INDEX(Serving!$C$24:$E$24,AB$7)</f>
        <v>2048</v>
      </c>
      <c r="AC44" s="76" t="n">
        <f aca="false">INDEX(Serving!$C$24:$E$24,AC$7)</f>
        <v>4096</v>
      </c>
      <c r="AD44" s="76" t="n">
        <f aca="false">INDEX(Serving!$C$24:$E$24,AD$7)</f>
        <v>4096</v>
      </c>
      <c r="AE44" s="76" t="n">
        <f aca="false">INDEX(Serving!$C$24:$E$24,AE$7)</f>
        <v>4096</v>
      </c>
      <c r="AF44" s="76" t="n">
        <f aca="false">INDEX(Serving!$C$24:$E$24,AF$7)</f>
        <v>4096</v>
      </c>
      <c r="AG44" s="76" t="n">
        <f aca="false">INDEX(Serving!$C$24:$E$24,AG$7)</f>
        <v>4096</v>
      </c>
      <c r="AH44" s="76" t="n">
        <f aca="false">INDEX(Serving!$C$24:$E$24,AH$7)</f>
        <v>4096</v>
      </c>
    </row>
    <row r="45" customFormat="false" ht="15" hidden="false" customHeight="false" outlineLevel="0" collapsed="false">
      <c r="A45" s="45" t="s">
        <v>307</v>
      </c>
      <c r="B45" s="45" t="s">
        <v>236</v>
      </c>
      <c r="C45" s="56" t="n">
        <f aca="false">C43+C44/2</f>
        <v>17408</v>
      </c>
      <c r="D45" s="56" t="n">
        <f aca="false">D43+D44/2</f>
        <v>17408</v>
      </c>
      <c r="E45" s="56" t="n">
        <f aca="false">E43+E44/2</f>
        <v>17408</v>
      </c>
      <c r="F45" s="56" t="n">
        <f aca="false">F43+F44/2</f>
        <v>17408</v>
      </c>
      <c r="G45" s="56" t="n">
        <f aca="false">G43+G44/2</f>
        <v>17408</v>
      </c>
      <c r="H45" s="56" t="n">
        <f aca="false">H43+H44/2</f>
        <v>17408</v>
      </c>
      <c r="I45" s="56" t="n">
        <f aca="false">I43+I44/2</f>
        <v>17408</v>
      </c>
      <c r="J45" s="56" t="n">
        <f aca="false">J43+J44/2</f>
        <v>17408</v>
      </c>
      <c r="K45" s="56" t="n">
        <f aca="false">K43+K44/2</f>
        <v>17408</v>
      </c>
      <c r="L45" s="56" t="n">
        <f aca="false">L43+L44/2</f>
        <v>17408</v>
      </c>
      <c r="M45" s="56" t="n">
        <f aca="false">M43+M44/2</f>
        <v>17408</v>
      </c>
      <c r="N45" s="56" t="n">
        <f aca="false">N43+N44/2</f>
        <v>17408</v>
      </c>
      <c r="O45" s="56" t="n">
        <f aca="false">O43+O44/2</f>
        <v>17408</v>
      </c>
      <c r="P45" s="56" t="n">
        <f aca="false">P43+P44/2</f>
        <v>17408</v>
      </c>
      <c r="Q45" s="56" t="n">
        <f aca="false">Q43+Q44/2</f>
        <v>17408</v>
      </c>
      <c r="R45" s="56" t="n">
        <f aca="false">R43+R44/2</f>
        <v>17408</v>
      </c>
      <c r="S45" s="56" t="n">
        <f aca="false">S43+S44/2</f>
        <v>17408</v>
      </c>
      <c r="T45" s="56" t="n">
        <f aca="false">T43+T44/2</f>
        <v>17408</v>
      </c>
      <c r="U45" s="56" t="n">
        <f aca="false">U43+U44/2</f>
        <v>17408</v>
      </c>
      <c r="V45" s="56" t="n">
        <f aca="false">V43+V44/2</f>
        <v>17408</v>
      </c>
      <c r="W45" s="56" t="n">
        <f aca="false">W43+W44/2</f>
        <v>5120</v>
      </c>
      <c r="X45" s="56" t="n">
        <f aca="false">X43+X44/2</f>
        <v>5120</v>
      </c>
      <c r="Y45" s="56" t="n">
        <f aca="false">Y43+Y44/2</f>
        <v>66560</v>
      </c>
      <c r="Z45" s="56" t="n">
        <f aca="false">Z43+Z44/2</f>
        <v>66560</v>
      </c>
      <c r="AA45" s="56" t="n">
        <f aca="false">AA43+AA44/2</f>
        <v>17408</v>
      </c>
      <c r="AB45" s="56" t="n">
        <f aca="false">AB43+AB44/2</f>
        <v>17408</v>
      </c>
      <c r="AC45" s="56" t="n">
        <f aca="false">AC43+AC44/2</f>
        <v>34816</v>
      </c>
      <c r="AD45" s="56" t="n">
        <f aca="false">AD43+AD44/2</f>
        <v>34816</v>
      </c>
      <c r="AE45" s="56" t="n">
        <f aca="false">AE43+AE44/2</f>
        <v>34816</v>
      </c>
      <c r="AF45" s="56" t="n">
        <f aca="false">AF43+AF44/2</f>
        <v>34816</v>
      </c>
      <c r="AG45" s="56" t="n">
        <f aca="false">AG43+AG44/2</f>
        <v>34816</v>
      </c>
      <c r="AH45" s="56" t="n">
        <f aca="false">AH43+AH44/2</f>
        <v>34816</v>
      </c>
    </row>
    <row r="46" customFormat="false" ht="15" hidden="false" customHeight="false" outlineLevel="0" collapsed="false">
      <c r="A46" s="45" t="s">
        <v>308</v>
      </c>
      <c r="B46" s="45" t="s">
        <v>236</v>
      </c>
      <c r="C46" s="56" t="n">
        <f aca="false">C43/2</f>
        <v>8192</v>
      </c>
      <c r="D46" s="56" t="n">
        <f aca="false">D43/2</f>
        <v>8192</v>
      </c>
      <c r="E46" s="56" t="n">
        <f aca="false">E43/2</f>
        <v>8192</v>
      </c>
      <c r="F46" s="56" t="n">
        <f aca="false">F43/2</f>
        <v>8192</v>
      </c>
      <c r="G46" s="56" t="n">
        <f aca="false">G43/2</f>
        <v>8192</v>
      </c>
      <c r="H46" s="56" t="n">
        <f aca="false">H43/2</f>
        <v>8192</v>
      </c>
      <c r="I46" s="56" t="n">
        <f aca="false">I43/2</f>
        <v>8192</v>
      </c>
      <c r="J46" s="56" t="n">
        <f aca="false">J43/2</f>
        <v>8192</v>
      </c>
      <c r="K46" s="56" t="n">
        <f aca="false">K43/2</f>
        <v>8192</v>
      </c>
      <c r="L46" s="56" t="n">
        <f aca="false">L43/2</f>
        <v>8192</v>
      </c>
      <c r="M46" s="56" t="n">
        <f aca="false">M43/2</f>
        <v>8192</v>
      </c>
      <c r="N46" s="56" t="n">
        <f aca="false">N43/2</f>
        <v>8192</v>
      </c>
      <c r="O46" s="56" t="n">
        <f aca="false">O43/2</f>
        <v>8192</v>
      </c>
      <c r="P46" s="56" t="n">
        <f aca="false">P43/2</f>
        <v>8192</v>
      </c>
      <c r="Q46" s="56" t="n">
        <f aca="false">Q43/2</f>
        <v>8192</v>
      </c>
      <c r="R46" s="56" t="n">
        <f aca="false">R43/2</f>
        <v>8192</v>
      </c>
      <c r="S46" s="56" t="n">
        <f aca="false">S43/2</f>
        <v>8192</v>
      </c>
      <c r="T46" s="56" t="n">
        <f aca="false">T43/2</f>
        <v>8192</v>
      </c>
      <c r="U46" s="56" t="n">
        <f aca="false">U43/2</f>
        <v>8192</v>
      </c>
      <c r="V46" s="56" t="n">
        <f aca="false">V43/2</f>
        <v>8192</v>
      </c>
      <c r="W46" s="56" t="n">
        <f aca="false">W43/2</f>
        <v>2048</v>
      </c>
      <c r="X46" s="56" t="n">
        <f aca="false">X43/2</f>
        <v>2048</v>
      </c>
      <c r="Y46" s="56" t="n">
        <f aca="false">Y43/2</f>
        <v>32768</v>
      </c>
      <c r="Z46" s="56" t="n">
        <f aca="false">Z43/2</f>
        <v>32768</v>
      </c>
      <c r="AA46" s="56" t="n">
        <f aca="false">AA43/2</f>
        <v>8192</v>
      </c>
      <c r="AB46" s="56" t="n">
        <f aca="false">AB43/2</f>
        <v>8192</v>
      </c>
      <c r="AC46" s="56" t="n">
        <f aca="false">AC43/2</f>
        <v>16384</v>
      </c>
      <c r="AD46" s="56" t="n">
        <f aca="false">AD43/2</f>
        <v>16384</v>
      </c>
      <c r="AE46" s="56" t="n">
        <f aca="false">AE43/2</f>
        <v>16384</v>
      </c>
      <c r="AF46" s="56" t="n">
        <f aca="false">AF43/2</f>
        <v>16384</v>
      </c>
      <c r="AG46" s="56" t="n">
        <f aca="false">AG43/2</f>
        <v>16384</v>
      </c>
      <c r="AH46" s="56" t="n">
        <f aca="false">AH43/2</f>
        <v>16384</v>
      </c>
    </row>
    <row r="47" customFormat="false" ht="15" hidden="false" customHeight="false" outlineLevel="0" collapsed="false">
      <c r="A47" s="45" t="s">
        <v>659</v>
      </c>
      <c r="B47" s="45" t="s">
        <v>236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44" t="s">
        <v>660</v>
      </c>
      <c r="B48" s="45" t="s">
        <v>57</v>
      </c>
      <c r="C48" s="81" t="n">
        <f aca="false">Serving!$C$7</f>
        <v>0.7</v>
      </c>
      <c r="D48" s="81" t="n">
        <f aca="false">Serving!$C$7</f>
        <v>0.7</v>
      </c>
      <c r="E48" s="81" t="n">
        <f aca="false">Serving!$C$7</f>
        <v>0.7</v>
      </c>
      <c r="F48" s="81" t="n">
        <f aca="false">Serving!$C$7</f>
        <v>0.7</v>
      </c>
      <c r="G48" s="81" t="n">
        <f aca="false">Serving!$C$7</f>
        <v>0.7</v>
      </c>
      <c r="H48" s="81" t="n">
        <f aca="false">Serving!$C$7</f>
        <v>0.7</v>
      </c>
      <c r="I48" s="81" t="n">
        <f aca="false">Serving!$C$7</f>
        <v>0.7</v>
      </c>
      <c r="J48" s="81" t="n">
        <f aca="false">Serving!$C$7</f>
        <v>0.7</v>
      </c>
      <c r="K48" s="81" t="n">
        <f aca="false">Serving!$C$7</f>
        <v>0.7</v>
      </c>
      <c r="L48" s="81" t="n">
        <f aca="false">Serving!$C$7</f>
        <v>0.7</v>
      </c>
      <c r="M48" s="81" t="n">
        <f aca="false">Serving!$C$7</f>
        <v>0.7</v>
      </c>
      <c r="N48" s="81" t="n">
        <f aca="false">Serving!$C$7</f>
        <v>0.7</v>
      </c>
      <c r="O48" s="81" t="n">
        <f aca="false">Serving!$C$7</f>
        <v>0.7</v>
      </c>
      <c r="P48" s="81" t="n">
        <f aca="false">Serving!$C$7</f>
        <v>0.7</v>
      </c>
      <c r="Q48" s="81" t="n">
        <f aca="false">Serving!$C$7</f>
        <v>0.7</v>
      </c>
      <c r="R48" s="81" t="n">
        <f aca="false">Serving!$C$7</f>
        <v>0.7</v>
      </c>
      <c r="S48" s="60" t="n">
        <v>0.6</v>
      </c>
      <c r="T48" s="60" t="n">
        <v>0.6</v>
      </c>
      <c r="U48" s="60" t="n">
        <v>0.8</v>
      </c>
      <c r="V48" s="60" t="n">
        <v>0.8</v>
      </c>
      <c r="W48" s="81" t="n">
        <f aca="false">Serving!$C$7</f>
        <v>0.7</v>
      </c>
      <c r="X48" s="81" t="n">
        <f aca="false">Serving!$C$7</f>
        <v>0.7</v>
      </c>
      <c r="Y48" s="81" t="n">
        <f aca="false">Serving!$C$7</f>
        <v>0.7</v>
      </c>
      <c r="Z48" s="81" t="n">
        <f aca="false">Serving!$C$7</f>
        <v>0.7</v>
      </c>
      <c r="AA48" s="81" t="n">
        <f aca="false">Serving!$C$7</f>
        <v>0.7</v>
      </c>
      <c r="AB48" s="81" t="n">
        <f aca="false">Serving!$C$7</f>
        <v>0.7</v>
      </c>
      <c r="AC48" s="81" t="n">
        <f aca="false">Serving!$C$7</f>
        <v>0.7</v>
      </c>
      <c r="AD48" s="81" t="n">
        <f aca="false">Serving!$C$7</f>
        <v>0.7</v>
      </c>
      <c r="AE48" s="81" t="n">
        <f aca="false">Serving!$C$7</f>
        <v>0.7</v>
      </c>
      <c r="AF48" s="81" t="n">
        <f aca="false">Serving!$C$7</f>
        <v>0.7</v>
      </c>
      <c r="AG48" s="81" t="n">
        <f aca="false">Serving!$C$7</f>
        <v>0.7</v>
      </c>
      <c r="AH48" s="81" t="n">
        <f aca="false">Serving!$C$7</f>
        <v>0.7</v>
      </c>
    </row>
    <row r="49" customFormat="false" ht="15" hidden="false" customHeight="false" outlineLevel="0" collapsed="false">
      <c r="A49" s="44" t="s">
        <v>661</v>
      </c>
      <c r="B49" s="45" t="s">
        <v>236</v>
      </c>
      <c r="C49" s="57" t="n">
        <f aca="false">(1-C48^(C47+1))/(1-C48)</f>
        <v>2.533</v>
      </c>
      <c r="D49" s="57" t="n">
        <f aca="false">(1-D48^(D47+1))/(1-D48)</f>
        <v>2.533</v>
      </c>
      <c r="E49" s="57" t="n">
        <f aca="false">(1-E48^(E47+1))/(1-E48)</f>
        <v>2.533</v>
      </c>
      <c r="F49" s="57" t="n">
        <f aca="false">(1-F48^(F47+1))/(1-F48)</f>
        <v>2.533</v>
      </c>
      <c r="G49" s="57" t="n">
        <f aca="false">(1-G48^(G47+1))/(1-G48)</f>
        <v>2.533</v>
      </c>
      <c r="H49" s="57" t="n">
        <f aca="false">(1-H48^(H47+1))/(1-H48)</f>
        <v>2.533</v>
      </c>
      <c r="I49" s="57" t="n">
        <f aca="false">(1-I48^(I47+1))/(1-I48)</f>
        <v>2.533</v>
      </c>
      <c r="J49" s="57" t="n">
        <f aca="false">(1-J48^(J47+1))/(1-J48)</f>
        <v>2.533</v>
      </c>
      <c r="K49" s="57" t="n">
        <f aca="false">(1-K48^(K47+1))/(1-K48)</f>
        <v>2.533</v>
      </c>
      <c r="L49" s="57" t="n">
        <f aca="false">(1-L48^(L47+1))/(1-L48)</f>
        <v>2.533</v>
      </c>
      <c r="M49" s="57" t="n">
        <f aca="false">(1-M48^(M47+1))/(1-M48)</f>
        <v>2.533</v>
      </c>
      <c r="N49" s="57" t="n">
        <f aca="false">(1-N48^(N47+1))/(1-N48)</f>
        <v>2.533</v>
      </c>
      <c r="O49" s="57" t="n">
        <f aca="false">(1-O48^(O47+1))/(1-O48)</f>
        <v>2.533</v>
      </c>
      <c r="P49" s="57" t="n">
        <f aca="false">(1-P48^(P47+1))/(1-P48)</f>
        <v>2.533</v>
      </c>
      <c r="Q49" s="57" t="n">
        <f aca="false">(1-Q48^(Q47+1))/(1-Q48)</f>
        <v>2.533</v>
      </c>
      <c r="R49" s="57" t="n">
        <f aca="false">(1-R48^(R47+1))/(1-R48)</f>
        <v>2.533</v>
      </c>
      <c r="S49" s="57" t="n">
        <f aca="false">(1-S48^(S47+1))/(1-S48)</f>
        <v>2.176</v>
      </c>
      <c r="T49" s="57" t="n">
        <f aca="false">(1-T48^(T47+1))/(1-T48)</f>
        <v>2.176</v>
      </c>
      <c r="U49" s="57" t="n">
        <f aca="false">(1-U48^(U47+1))/(1-U48)</f>
        <v>2.952</v>
      </c>
      <c r="V49" s="57" t="n">
        <f aca="false">(1-V48^(V47+1))/(1-V48)</f>
        <v>2.952</v>
      </c>
      <c r="W49" s="57" t="n">
        <f aca="false">(1-W48^(W47+1))/(1-W48)</f>
        <v>2.533</v>
      </c>
      <c r="X49" s="57" t="n">
        <f aca="false">(1-X48^(X47+1))/(1-X48)</f>
        <v>2.533</v>
      </c>
      <c r="Y49" s="57" t="n">
        <f aca="false">(1-Y48^(Y47+1))/(1-Y48)</f>
        <v>2.533</v>
      </c>
      <c r="Z49" s="57" t="n">
        <f aca="false">(1-Z48^(Z47+1))/(1-Z48)</f>
        <v>2.533</v>
      </c>
      <c r="AA49" s="57" t="n">
        <f aca="false">(1-AA48^(AA47+1))/(1-AA48)</f>
        <v>2.533</v>
      </c>
      <c r="AB49" s="57" t="n">
        <f aca="false">(1-AB48^(AB47+1))/(1-AB48)</f>
        <v>2.533</v>
      </c>
      <c r="AC49" s="57" t="n">
        <f aca="false">(1-AC48^(AC47+1))/(1-AC48)</f>
        <v>2.533</v>
      </c>
      <c r="AD49" s="57" t="n">
        <f aca="false">(1-AD48^(AD47+1))/(1-AD48)</f>
        <v>2.533</v>
      </c>
      <c r="AE49" s="57" t="n">
        <f aca="false">(1-AE48^(AE47+1))/(1-AE48)</f>
        <v>2.533</v>
      </c>
      <c r="AF49" s="57" t="n">
        <f aca="false">(1-AF48^(AF47+1))/(1-AF48)</f>
        <v>2.533</v>
      </c>
      <c r="AG49" s="57" t="n">
        <f aca="false">(1-AG48^(AG47+1))/(1-AG48)</f>
        <v>2.533</v>
      </c>
      <c r="AH49" s="57" t="n">
        <f aca="false">(1-AH48^(AH47+1))/(1-AH48)</f>
        <v>2.533</v>
      </c>
    </row>
    <row r="50" customFormat="false" ht="15" hidden="false" customHeight="false" outlineLevel="0" collapsed="false">
      <c r="A50" s="44" t="s">
        <v>295</v>
      </c>
      <c r="B50" s="45" t="s">
        <v>61</v>
      </c>
      <c r="C50" s="79" t="n">
        <f aca="false">Serving!$C$18</f>
        <v>1</v>
      </c>
      <c r="D50" s="79" t="n">
        <f aca="false">Serving!$C$18</f>
        <v>1</v>
      </c>
      <c r="E50" s="79" t="n">
        <f aca="false">Serving!$C$18</f>
        <v>1</v>
      </c>
      <c r="F50" s="79" t="n">
        <f aca="false">Serving!$C$18</f>
        <v>1</v>
      </c>
      <c r="G50" s="79" t="n">
        <f aca="false">Serving!$C$18</f>
        <v>1</v>
      </c>
      <c r="H50" s="79" t="n">
        <f aca="false">Serving!$C$18</f>
        <v>1</v>
      </c>
      <c r="I50" s="79" t="n">
        <f aca="false">Serving!$C$18</f>
        <v>1</v>
      </c>
      <c r="J50" s="79" t="n">
        <f aca="false">Serving!$C$18</f>
        <v>1</v>
      </c>
      <c r="K50" s="79" t="n">
        <f aca="false">Serving!$C$18</f>
        <v>1</v>
      </c>
      <c r="L50" s="79" t="n">
        <f aca="false">Serving!$C$18</f>
        <v>1</v>
      </c>
      <c r="M50" s="79" t="n">
        <f aca="false">Serving!$C$18</f>
        <v>1</v>
      </c>
      <c r="N50" s="79" t="n">
        <f aca="false">Serving!$C$18</f>
        <v>1</v>
      </c>
      <c r="O50" s="79" t="n">
        <f aca="false">Serving!$C$18</f>
        <v>1</v>
      </c>
      <c r="P50" s="79" t="n">
        <f aca="false">Serving!$C$18</f>
        <v>1</v>
      </c>
      <c r="Q50" s="79" t="n">
        <f aca="false">Serving!$C$18</f>
        <v>1</v>
      </c>
      <c r="R50" s="79" t="n">
        <f aca="false">Serving!$C$18</f>
        <v>1</v>
      </c>
      <c r="S50" s="79" t="n">
        <f aca="false">Serving!$C$18</f>
        <v>1</v>
      </c>
      <c r="T50" s="79" t="n">
        <f aca="false">Serving!$C$18</f>
        <v>1</v>
      </c>
      <c r="U50" s="79" t="n">
        <f aca="false">Serving!$C$18</f>
        <v>1</v>
      </c>
      <c r="V50" s="79" t="n">
        <f aca="false">Serving!$C$18</f>
        <v>1</v>
      </c>
      <c r="W50" s="79" t="n">
        <f aca="false">Serving!$C$18</f>
        <v>1</v>
      </c>
      <c r="X50" s="79" t="n">
        <f aca="false">Serving!$C$18</f>
        <v>1</v>
      </c>
      <c r="Y50" s="79" t="n">
        <f aca="false">Serving!$C$18</f>
        <v>1</v>
      </c>
      <c r="Z50" s="79" t="n">
        <f aca="false">Serving!$C$18</f>
        <v>1</v>
      </c>
      <c r="AA50" s="61" t="n">
        <v>0.7</v>
      </c>
      <c r="AB50" s="61" t="n">
        <v>0.7</v>
      </c>
      <c r="AC50" s="79" t="n">
        <f aca="false">Serving!$C$18</f>
        <v>1</v>
      </c>
      <c r="AD50" s="79" t="n">
        <f aca="false">Serving!$C$18</f>
        <v>1</v>
      </c>
      <c r="AE50" s="79" t="n">
        <f aca="false">Serving!$C$18</f>
        <v>1</v>
      </c>
      <c r="AF50" s="79" t="n">
        <f aca="false">Serving!$C$18</f>
        <v>1</v>
      </c>
      <c r="AG50" s="79" t="n">
        <f aca="false">Serving!$C$18</f>
        <v>1</v>
      </c>
      <c r="AH50" s="79" t="n">
        <f aca="false">Serving!$C$18</f>
        <v>1</v>
      </c>
    </row>
    <row r="51" customFormat="false" ht="15" hidden="false" customHeight="false" outlineLevel="0" collapsed="false">
      <c r="A51" s="45" t="s">
        <v>662</v>
      </c>
      <c r="B51" s="45" t="s">
        <v>57</v>
      </c>
      <c r="C51" s="94" t="n">
        <f aca="false">INDEX(Calib!$C$72:$G$72,C$6)*C50</f>
        <v>0.3</v>
      </c>
      <c r="D51" s="94" t="n">
        <f aca="false">INDEX(Calib!$C$72:$G$72,D$6)*D50</f>
        <v>0.3</v>
      </c>
      <c r="E51" s="94" t="n">
        <f aca="false">INDEX(Calib!$C$72:$G$72,E$6)*E50</f>
        <v>0.3</v>
      </c>
      <c r="F51" s="94" t="n">
        <f aca="false">INDEX(Calib!$C$72:$G$72,F$6)*F50</f>
        <v>0.3</v>
      </c>
      <c r="G51" s="94" t="n">
        <f aca="false">INDEX(Calib!$C$72:$G$72,G$6)*G50</f>
        <v>0.3</v>
      </c>
      <c r="H51" s="94" t="n">
        <f aca="false">INDEX(Calib!$C$72:$G$72,H$6)*H50</f>
        <v>0.3</v>
      </c>
      <c r="I51" s="94" t="n">
        <f aca="false">INDEX(Calib!$C$72:$G$72,I$6)*I50</f>
        <v>0.3</v>
      </c>
      <c r="J51" s="94" t="n">
        <f aca="false">INDEX(Calib!$C$72:$G$72,J$6)*J50</f>
        <v>0.3</v>
      </c>
      <c r="K51" s="94" t="n">
        <f aca="false">INDEX(Calib!$C$72:$G$72,K$6)*K50</f>
        <v>0.3</v>
      </c>
      <c r="L51" s="94" t="n">
        <f aca="false">INDEX(Calib!$C$72:$G$72,L$6)*L50</f>
        <v>0.3</v>
      </c>
      <c r="M51" s="94" t="n">
        <f aca="false">INDEX(Calib!$C$72:$G$72,M$6)*M50</f>
        <v>0.3</v>
      </c>
      <c r="N51" s="94" t="n">
        <f aca="false">INDEX(Calib!$C$72:$G$72,N$6)*N50</f>
        <v>0.3</v>
      </c>
      <c r="O51" s="94" t="n">
        <f aca="false">INDEX(Calib!$C$72:$G$72,O$6)*O50</f>
        <v>0.3</v>
      </c>
      <c r="P51" s="94" t="n">
        <f aca="false">INDEX(Calib!$C$72:$G$72,P$6)*P50</f>
        <v>0.3</v>
      </c>
      <c r="Q51" s="94" t="n">
        <f aca="false">INDEX(Calib!$C$72:$G$72,Q$6)*Q50</f>
        <v>0.3</v>
      </c>
      <c r="R51" s="94" t="n">
        <f aca="false">INDEX(Calib!$C$72:$G$72,R$6)*R50</f>
        <v>0.3</v>
      </c>
      <c r="S51" s="94" t="n">
        <f aca="false">INDEX(Calib!$C$72:$G$72,S$6)*S50</f>
        <v>0.3</v>
      </c>
      <c r="T51" s="94" t="n">
        <f aca="false">INDEX(Calib!$C$72:$G$72,T$6)*T50</f>
        <v>0.3</v>
      </c>
      <c r="U51" s="94" t="n">
        <f aca="false">INDEX(Calib!$C$72:$G$72,U$6)*U50</f>
        <v>0.3</v>
      </c>
      <c r="V51" s="94" t="n">
        <f aca="false">INDEX(Calib!$C$72:$G$72,V$6)*V50</f>
        <v>0.3</v>
      </c>
      <c r="W51" s="94" t="n">
        <f aca="false">INDEX(Calib!$C$72:$G$72,W$6)*W50</f>
        <v>0.3</v>
      </c>
      <c r="X51" s="94" t="n">
        <f aca="false">INDEX(Calib!$C$72:$G$72,X$6)*X50</f>
        <v>0.3</v>
      </c>
      <c r="Y51" s="94" t="n">
        <f aca="false">INDEX(Calib!$C$72:$G$72,Y$6)*Y50</f>
        <v>0.3</v>
      </c>
      <c r="Z51" s="94" t="n">
        <f aca="false">INDEX(Calib!$C$72:$G$72,Z$6)*Z50</f>
        <v>0.3</v>
      </c>
      <c r="AA51" s="94" t="n">
        <f aca="false">INDEX(Calib!$C$72:$G$72,AA$6)*AA50</f>
        <v>0.21</v>
      </c>
      <c r="AB51" s="94" t="n">
        <f aca="false">INDEX(Calib!$C$72:$G$72,AB$6)*AB50</f>
        <v>0.21</v>
      </c>
      <c r="AC51" s="94" t="n">
        <f aca="false">INDEX(Calib!$C$72:$G$72,AC$6)*AC50</f>
        <v>0.3</v>
      </c>
      <c r="AD51" s="94" t="n">
        <f aca="false">INDEX(Calib!$C$72:$G$72,AD$6)*AD50</f>
        <v>0.3</v>
      </c>
      <c r="AE51" s="94" t="n">
        <f aca="false">INDEX(Calib!$C$72:$G$72,AE$6)*AE50</f>
        <v>0.3</v>
      </c>
      <c r="AF51" s="94" t="n">
        <f aca="false">INDEX(Calib!$C$72:$G$72,AF$6)*AF50</f>
        <v>0.3</v>
      </c>
      <c r="AG51" s="94" t="n">
        <f aca="false">INDEX(Calib!$C$72:$G$72,AG$6)*AG50</f>
        <v>0.3</v>
      </c>
      <c r="AH51" s="94" t="n">
        <f aca="false">INDEX(Calib!$C$72:$G$72,AH$6)*AH50</f>
        <v>0.3</v>
      </c>
    </row>
    <row r="52" customFormat="false" ht="15" hidden="false" customHeight="false" outlineLevel="0" collapsed="false">
      <c r="A52" s="45" t="s">
        <v>663</v>
      </c>
      <c r="B52" s="45" t="s">
        <v>61</v>
      </c>
      <c r="C52" s="79" t="n">
        <f aca="false">Tech_Registry!$E$20</f>
        <v>1</v>
      </c>
      <c r="D52" s="79" t="n">
        <f aca="false">Tech_Registry!$E$20</f>
        <v>1</v>
      </c>
      <c r="E52" s="61" t="n">
        <v>0.5</v>
      </c>
      <c r="F52" s="79" t="n">
        <f aca="false">Tech_Registry!$E$20</f>
        <v>1</v>
      </c>
      <c r="G52" s="61" t="n">
        <v>1.5</v>
      </c>
      <c r="H52" s="79" t="n">
        <f aca="false">Tech_Registry!$E$20</f>
        <v>1</v>
      </c>
      <c r="I52" s="79" t="n">
        <f aca="false">Tech_Registry!$E$20</f>
        <v>1</v>
      </c>
      <c r="J52" s="79" t="n">
        <f aca="false">Tech_Registry!$E$20</f>
        <v>1</v>
      </c>
      <c r="K52" s="79" t="n">
        <f aca="false">Tech_Registry!$E$20</f>
        <v>1</v>
      </c>
      <c r="L52" s="79" t="n">
        <f aca="false">Tech_Registry!$E$20</f>
        <v>1</v>
      </c>
      <c r="M52" s="79" t="n">
        <f aca="false">Tech_Registry!$E$20</f>
        <v>1</v>
      </c>
      <c r="N52" s="79" t="n">
        <f aca="false">Tech_Registry!$E$20</f>
        <v>1</v>
      </c>
      <c r="O52" s="79" t="n">
        <f aca="false">Tech_Registry!$E$20</f>
        <v>1</v>
      </c>
      <c r="P52" s="79" t="n">
        <f aca="false">Tech_Registry!$E$20</f>
        <v>1</v>
      </c>
      <c r="Q52" s="79" t="n">
        <f aca="false">Tech_Registry!$E$20</f>
        <v>1</v>
      </c>
      <c r="R52" s="79" t="n">
        <f aca="false">Tech_Registry!$E$20</f>
        <v>1</v>
      </c>
      <c r="S52" s="79" t="n">
        <f aca="false">Tech_Registry!$E$20</f>
        <v>1</v>
      </c>
      <c r="T52" s="79" t="n">
        <f aca="false">Tech_Registry!$E$20</f>
        <v>1</v>
      </c>
      <c r="U52" s="79" t="n">
        <f aca="false">Tech_Registry!$E$20</f>
        <v>1</v>
      </c>
      <c r="V52" s="79" t="n">
        <f aca="false">Tech_Registry!$E$20</f>
        <v>1</v>
      </c>
      <c r="W52" s="79" t="n">
        <f aca="false">Tech_Registry!$E$20</f>
        <v>1</v>
      </c>
      <c r="X52" s="79" t="n">
        <f aca="false">Tech_Registry!$E$20</f>
        <v>1</v>
      </c>
      <c r="Y52" s="79" t="n">
        <f aca="false">Tech_Registry!$E$20</f>
        <v>1</v>
      </c>
      <c r="Z52" s="79" t="n">
        <f aca="false">Tech_Registry!$E$20</f>
        <v>1</v>
      </c>
      <c r="AA52" s="79" t="n">
        <f aca="false">Tech_Registry!$E$20</f>
        <v>1</v>
      </c>
      <c r="AB52" s="79" t="n">
        <f aca="false">Tech_Registry!$E$20</f>
        <v>1</v>
      </c>
      <c r="AC52" s="79" t="n">
        <f aca="false">Tech_Registry!$E$20</f>
        <v>1</v>
      </c>
      <c r="AD52" s="79" t="n">
        <f aca="false">Tech_Registry!$E$20</f>
        <v>1</v>
      </c>
      <c r="AE52" s="79" t="n">
        <f aca="false">Tech_Registry!$E$20</f>
        <v>1</v>
      </c>
      <c r="AF52" s="79" t="n">
        <f aca="false">Tech_Registry!$E$20</f>
        <v>1</v>
      </c>
      <c r="AG52" s="79" t="n">
        <f aca="false">Tech_Registry!$E$20</f>
        <v>1</v>
      </c>
      <c r="AH52" s="79" t="n">
        <f aca="false">Tech_Registry!$E$20</f>
        <v>1</v>
      </c>
    </row>
    <row r="53" customFormat="false" ht="15" hidden="false" customHeight="false" outlineLevel="0" collapsed="false">
      <c r="A53" s="45" t="s">
        <v>664</v>
      </c>
      <c r="B53" s="45" t="s">
        <v>57</v>
      </c>
      <c r="C53" s="95" t="n">
        <f aca="false">INDEX(Calib!$C$70:$G$70,C$6)*C52*C50</f>
        <v>0.0360423794946733</v>
      </c>
      <c r="D53" s="95" t="n">
        <f aca="false">INDEX(Calib!$C$70:$G$70,D$6)*D52*D50</f>
        <v>0.0360423794946733</v>
      </c>
      <c r="E53" s="95" t="n">
        <f aca="false">INDEX(Calib!$C$70:$G$70,E$6)*E52*E50</f>
        <v>0.0180211897473367</v>
      </c>
      <c r="F53" s="95" t="n">
        <f aca="false">INDEX(Calib!$C$70:$G$70,F$6)*F52*F50</f>
        <v>0.0360423794946733</v>
      </c>
      <c r="G53" s="95" t="n">
        <f aca="false">INDEX(Calib!$C$70:$G$70,G$6)*G52*G50</f>
        <v>0.05406356924201</v>
      </c>
      <c r="H53" s="95" t="n">
        <f aca="false">INDEX(Calib!$C$70:$G$70,H$6)*H52*H50</f>
        <v>0.0360423794946733</v>
      </c>
      <c r="I53" s="95" t="n">
        <f aca="false">INDEX(Calib!$C$70:$G$70,I$6)*I52*I50</f>
        <v>0.0360423794946733</v>
      </c>
      <c r="J53" s="95" t="n">
        <f aca="false">INDEX(Calib!$C$70:$G$70,J$6)*J52*J50</f>
        <v>0.0360423794946733</v>
      </c>
      <c r="K53" s="95" t="n">
        <f aca="false">INDEX(Calib!$C$70:$G$70,K$6)*K52*K50</f>
        <v>0.0360423794946733</v>
      </c>
      <c r="L53" s="95" t="n">
        <f aca="false">INDEX(Calib!$C$70:$G$70,L$6)*L52*L50</f>
        <v>0.0360423794946733</v>
      </c>
      <c r="M53" s="95" t="n">
        <f aca="false">INDEX(Calib!$C$70:$G$70,M$6)*M52*M50</f>
        <v>0.0360423794946733</v>
      </c>
      <c r="N53" s="95" t="n">
        <f aca="false">INDEX(Calib!$C$70:$G$70,N$6)*N52*N50</f>
        <v>0.0360423794946733</v>
      </c>
      <c r="O53" s="95" t="n">
        <f aca="false">INDEX(Calib!$C$70:$G$70,O$6)*O52*O50</f>
        <v>0.0360423794946733</v>
      </c>
      <c r="P53" s="95" t="n">
        <f aca="false">INDEX(Calib!$C$70:$G$70,P$6)*P52*P50</f>
        <v>0.0360423794946733</v>
      </c>
      <c r="Q53" s="95" t="n">
        <f aca="false">INDEX(Calib!$C$70:$G$70,Q$6)*Q52*Q50</f>
        <v>0.0360423794946733</v>
      </c>
      <c r="R53" s="95" t="n">
        <f aca="false">INDEX(Calib!$C$70:$G$70,R$6)*R52*R50</f>
        <v>0.0360423794946733</v>
      </c>
      <c r="S53" s="95" t="n">
        <f aca="false">INDEX(Calib!$C$70:$G$70,S$6)*S52*S50</f>
        <v>0.0360423794946733</v>
      </c>
      <c r="T53" s="95" t="n">
        <f aca="false">INDEX(Calib!$C$70:$G$70,T$6)*T52*T50</f>
        <v>0.0360423794946733</v>
      </c>
      <c r="U53" s="95" t="n">
        <f aca="false">INDEX(Calib!$C$70:$G$70,U$6)*U52*U50</f>
        <v>0.0360423794946733</v>
      </c>
      <c r="V53" s="95" t="n">
        <f aca="false">INDEX(Calib!$C$70:$G$70,V$6)*V52*V50</f>
        <v>0.0360423794946733</v>
      </c>
      <c r="W53" s="95" t="n">
        <f aca="false">INDEX(Calib!$C$70:$G$70,W$6)*W52*W50</f>
        <v>0.0360423794946733</v>
      </c>
      <c r="X53" s="95" t="n">
        <f aca="false">INDEX(Calib!$C$70:$G$70,X$6)*X52*X50</f>
        <v>0.0360423794946733</v>
      </c>
      <c r="Y53" s="95" t="n">
        <f aca="false">INDEX(Calib!$C$70:$G$70,Y$6)*Y52*Y50</f>
        <v>0.0360423794946733</v>
      </c>
      <c r="Z53" s="95" t="n">
        <f aca="false">INDEX(Calib!$C$70:$G$70,Z$6)*Z52*Z50</f>
        <v>0.0360423794946733</v>
      </c>
      <c r="AA53" s="95" t="n">
        <f aca="false">INDEX(Calib!$C$70:$G$70,AA$6)*AA52*AA50</f>
        <v>0.0252296656462713</v>
      </c>
      <c r="AB53" s="95" t="n">
        <f aca="false">INDEX(Calib!$C$70:$G$70,AB$6)*AB52*AB50</f>
        <v>0.0252296656462713</v>
      </c>
      <c r="AC53" s="95" t="n">
        <f aca="false">INDEX(Calib!$C$70:$G$70,AC$6)*AC52*AC50</f>
        <v>0.0360423794946733</v>
      </c>
      <c r="AD53" s="95" t="n">
        <f aca="false">INDEX(Calib!$C$70:$G$70,AD$6)*AD52*AD50</f>
        <v>0.0360423794946733</v>
      </c>
      <c r="AE53" s="95" t="n">
        <f aca="false">INDEX(Calib!$C$70:$G$70,AE$6)*AE52*AE50</f>
        <v>0.0360423794946733</v>
      </c>
      <c r="AF53" s="95" t="n">
        <f aca="false">INDEX(Calib!$C$70:$G$70,AF$6)*AF52*AF50</f>
        <v>0.0360423794946733</v>
      </c>
      <c r="AG53" s="95" t="n">
        <f aca="false">INDEX(Calib!$C$70:$G$70,AG$6)*AG52*AG50</f>
        <v>0.0360423794946733</v>
      </c>
      <c r="AH53" s="95" t="n">
        <f aca="false">INDEX(Calib!$C$70:$G$70,AH$6)*AH52*AH50</f>
        <v>0.0360423794946733</v>
      </c>
    </row>
    <row r="54" customFormat="false" ht="15" hidden="false" customHeight="false" outlineLevel="0" collapsed="false">
      <c r="A54" s="44" t="s">
        <v>665</v>
      </c>
      <c r="B54" s="45" t="s">
        <v>61</v>
      </c>
      <c r="C54" s="79" t="n">
        <f aca="false">Tech_Registry!$E$21</f>
        <v>1</v>
      </c>
      <c r="D54" s="79" t="n">
        <f aca="false">Tech_Registry!$E$21</f>
        <v>1</v>
      </c>
      <c r="E54" s="79" t="n">
        <f aca="false">Tech_Registry!$E$21</f>
        <v>1</v>
      </c>
      <c r="F54" s="79" t="n">
        <f aca="false">Tech_Registry!$E$21</f>
        <v>1</v>
      </c>
      <c r="G54" s="79" t="n">
        <f aca="false">Tech_Registry!$E$21</f>
        <v>1</v>
      </c>
      <c r="H54" s="79" t="n">
        <f aca="false">Tech_Registry!$E$21</f>
        <v>1</v>
      </c>
      <c r="I54" s="61" t="n">
        <v>0.7</v>
      </c>
      <c r="J54" s="79" t="n">
        <f aca="false">Tech_Registry!$E$21</f>
        <v>1</v>
      </c>
      <c r="K54" s="61" t="n">
        <v>1.5</v>
      </c>
      <c r="L54" s="79" t="n">
        <f aca="false">Tech_Registry!$E$21</f>
        <v>1</v>
      </c>
      <c r="M54" s="79" t="n">
        <f aca="false">Tech_Registry!$E$21</f>
        <v>1</v>
      </c>
      <c r="N54" s="79" t="n">
        <f aca="false">Tech_Registry!$E$21</f>
        <v>1</v>
      </c>
      <c r="O54" s="79" t="n">
        <f aca="false">Tech_Registry!$E$21</f>
        <v>1</v>
      </c>
      <c r="P54" s="79" t="n">
        <f aca="false">Tech_Registry!$E$21</f>
        <v>1</v>
      </c>
      <c r="Q54" s="79" t="n">
        <f aca="false">Tech_Registry!$E$21</f>
        <v>1</v>
      </c>
      <c r="R54" s="79" t="n">
        <f aca="false">Tech_Registry!$E$21</f>
        <v>1</v>
      </c>
      <c r="S54" s="79" t="n">
        <f aca="false">Tech_Registry!$E$21</f>
        <v>1</v>
      </c>
      <c r="T54" s="79" t="n">
        <f aca="false">Tech_Registry!$E$21</f>
        <v>1</v>
      </c>
      <c r="U54" s="79" t="n">
        <f aca="false">Tech_Registry!$E$21</f>
        <v>1</v>
      </c>
      <c r="V54" s="79" t="n">
        <f aca="false">Tech_Registry!$E$21</f>
        <v>1</v>
      </c>
      <c r="W54" s="79" t="n">
        <f aca="false">Tech_Registry!$E$21</f>
        <v>1</v>
      </c>
      <c r="X54" s="79" t="n">
        <f aca="false">Tech_Registry!$E$21</f>
        <v>1</v>
      </c>
      <c r="Y54" s="79" t="n">
        <f aca="false">Tech_Registry!$E$21</f>
        <v>1</v>
      </c>
      <c r="Z54" s="79" t="n">
        <f aca="false">Tech_Registry!$E$21</f>
        <v>1</v>
      </c>
      <c r="AA54" s="79" t="n">
        <f aca="false">Tech_Registry!$E$21</f>
        <v>1</v>
      </c>
      <c r="AB54" s="79" t="n">
        <f aca="false">Tech_Registry!$E$21</f>
        <v>1</v>
      </c>
      <c r="AC54" s="79" t="n">
        <f aca="false">Tech_Registry!$E$21</f>
        <v>1</v>
      </c>
      <c r="AD54" s="79" t="n">
        <f aca="false">Tech_Registry!$E$21</f>
        <v>1</v>
      </c>
      <c r="AE54" s="79" t="n">
        <f aca="false">Tech_Registry!$E$21</f>
        <v>1</v>
      </c>
      <c r="AF54" s="79" t="n">
        <f aca="false">Tech_Registry!$E$21</f>
        <v>1</v>
      </c>
      <c r="AG54" s="79" t="n">
        <f aca="false">Tech_Registry!$E$21</f>
        <v>1</v>
      </c>
      <c r="AH54" s="79" t="n">
        <f aca="false">Tech_Registry!$E$21</f>
        <v>1</v>
      </c>
    </row>
    <row r="55" customFormat="false" ht="15" hidden="false" customHeight="false" outlineLevel="0" collapsed="false">
      <c r="A55" s="44" t="s">
        <v>666</v>
      </c>
      <c r="B55" s="45" t="s">
        <v>430</v>
      </c>
      <c r="C55" s="76" t="n">
        <f aca="false">INDEX(Calib!$C$71:$G$71,C$6)*C54/C50</f>
        <v>160.278560912864</v>
      </c>
      <c r="D55" s="76" t="n">
        <f aca="false">INDEX(Calib!$C$71:$G$71,D$6)*D54/D50</f>
        <v>160.278560912864</v>
      </c>
      <c r="E55" s="76" t="n">
        <f aca="false">INDEX(Calib!$C$71:$G$71,E$6)*E54/E50</f>
        <v>160.278560912864</v>
      </c>
      <c r="F55" s="76" t="n">
        <f aca="false">INDEX(Calib!$C$71:$G$71,F$6)*F54/F50</f>
        <v>160.278560912864</v>
      </c>
      <c r="G55" s="76" t="n">
        <f aca="false">INDEX(Calib!$C$71:$G$71,G$6)*G54/G50</f>
        <v>160.278560912864</v>
      </c>
      <c r="H55" s="76" t="n">
        <f aca="false">INDEX(Calib!$C$71:$G$71,H$6)*H54/H50</f>
        <v>160.278560912864</v>
      </c>
      <c r="I55" s="76" t="n">
        <f aca="false">INDEX(Calib!$C$71:$G$71,I$6)*I54/I50</f>
        <v>112.194992639005</v>
      </c>
      <c r="J55" s="76" t="n">
        <f aca="false">INDEX(Calib!$C$71:$G$71,J$6)*J54/J50</f>
        <v>160.278560912864</v>
      </c>
      <c r="K55" s="76" t="n">
        <f aca="false">INDEX(Calib!$C$71:$G$71,K$6)*K54/K50</f>
        <v>240.417841369295</v>
      </c>
      <c r="L55" s="76" t="n">
        <f aca="false">INDEX(Calib!$C$71:$G$71,L$6)*L54/L50</f>
        <v>160.278560912864</v>
      </c>
      <c r="M55" s="76" t="n">
        <f aca="false">INDEX(Calib!$C$71:$G$71,M$6)*M54/M50</f>
        <v>160.278560912864</v>
      </c>
      <c r="N55" s="76" t="n">
        <f aca="false">INDEX(Calib!$C$71:$G$71,N$6)*N54/N50</f>
        <v>160.278560912864</v>
      </c>
      <c r="O55" s="76" t="n">
        <f aca="false">INDEX(Calib!$C$71:$G$71,O$6)*O54/O50</f>
        <v>160.278560912864</v>
      </c>
      <c r="P55" s="76" t="n">
        <f aca="false">INDEX(Calib!$C$71:$G$71,P$6)*P54/P50</f>
        <v>160.278560912864</v>
      </c>
      <c r="Q55" s="76" t="n">
        <f aca="false">INDEX(Calib!$C$71:$G$71,Q$6)*Q54/Q50</f>
        <v>160.278560912864</v>
      </c>
      <c r="R55" s="76" t="n">
        <f aca="false">INDEX(Calib!$C$71:$G$71,R$6)*R54/R50</f>
        <v>160.278560912864</v>
      </c>
      <c r="S55" s="76" t="n">
        <f aca="false">INDEX(Calib!$C$71:$G$71,S$6)*S54/S50</f>
        <v>160.278560912864</v>
      </c>
      <c r="T55" s="76" t="n">
        <f aca="false">INDEX(Calib!$C$71:$G$71,T$6)*T54/T50</f>
        <v>160.278560912864</v>
      </c>
      <c r="U55" s="76" t="n">
        <f aca="false">INDEX(Calib!$C$71:$G$71,U$6)*U54/U50</f>
        <v>160.278560912864</v>
      </c>
      <c r="V55" s="76" t="n">
        <f aca="false">INDEX(Calib!$C$71:$G$71,V$6)*V54/V50</f>
        <v>160.278560912864</v>
      </c>
      <c r="W55" s="76" t="n">
        <f aca="false">INDEX(Calib!$C$71:$G$71,W$6)*W54/W50</f>
        <v>160.278560912864</v>
      </c>
      <c r="X55" s="76" t="n">
        <f aca="false">INDEX(Calib!$C$71:$G$71,X$6)*X54/X50</f>
        <v>160.278560912864</v>
      </c>
      <c r="Y55" s="76" t="n">
        <f aca="false">INDEX(Calib!$C$71:$G$71,Y$6)*Y54/Y50</f>
        <v>160.278560912864</v>
      </c>
      <c r="Z55" s="76" t="n">
        <f aca="false">INDEX(Calib!$C$71:$G$71,Z$6)*Z54/Z50</f>
        <v>160.278560912864</v>
      </c>
      <c r="AA55" s="76" t="n">
        <f aca="false">INDEX(Calib!$C$71:$G$71,AA$6)*AA54/AA50</f>
        <v>228.969372732662</v>
      </c>
      <c r="AB55" s="76" t="n">
        <f aca="false">INDEX(Calib!$C$71:$G$71,AB$6)*AB54/AB50</f>
        <v>228.969372732662</v>
      </c>
      <c r="AC55" s="76" t="n">
        <f aca="false">INDEX(Calib!$C$71:$G$71,AC$6)*AC54/AC50</f>
        <v>160.278560912864</v>
      </c>
      <c r="AD55" s="76" t="n">
        <f aca="false">INDEX(Calib!$C$71:$G$71,AD$6)*AD54/AD50</f>
        <v>160.278560912864</v>
      </c>
      <c r="AE55" s="76" t="n">
        <f aca="false">INDEX(Calib!$C$71:$G$71,AE$6)*AE54/AE50</f>
        <v>160.278560912864</v>
      </c>
      <c r="AF55" s="76" t="n">
        <f aca="false">INDEX(Calib!$C$71:$G$71,AF$6)*AF54/AF50</f>
        <v>160.278560912864</v>
      </c>
      <c r="AG55" s="76" t="n">
        <f aca="false">INDEX(Calib!$C$71:$G$71,AG$6)*AG54/AG50</f>
        <v>160.278560912864</v>
      </c>
      <c r="AH55" s="76" t="n">
        <f aca="false">INDEX(Calib!$C$71:$G$71,AH$6)*AH54/AH50</f>
        <v>160.278560912864</v>
      </c>
    </row>
    <row r="56" customFormat="false" ht="15" hidden="false" customHeight="false" outlineLevel="0" collapsed="false">
      <c r="A56" s="45" t="s">
        <v>667</v>
      </c>
      <c r="B56" s="45" t="s">
        <v>57</v>
      </c>
      <c r="C56" s="81" t="n">
        <f aca="false">Serving!$C$9</f>
        <v>0.1</v>
      </c>
      <c r="D56" s="81" t="n">
        <f aca="false">Serving!$C$9</f>
        <v>0.1</v>
      </c>
      <c r="E56" s="81" t="n">
        <f aca="false">Serving!$C$9</f>
        <v>0.1</v>
      </c>
      <c r="F56" s="81" t="n">
        <f aca="false">Serving!$C$9</f>
        <v>0.1</v>
      </c>
      <c r="G56" s="81" t="n">
        <f aca="false">Serving!$C$9</f>
        <v>0.1</v>
      </c>
      <c r="H56" s="81" t="n">
        <f aca="false">Serving!$C$9</f>
        <v>0.1</v>
      </c>
      <c r="I56" s="81" t="n">
        <f aca="false">Serving!$C$9</f>
        <v>0.1</v>
      </c>
      <c r="J56" s="81" t="n">
        <f aca="false">Serving!$C$9</f>
        <v>0.1</v>
      </c>
      <c r="K56" s="81" t="n">
        <f aca="false">Serving!$C$9</f>
        <v>0.1</v>
      </c>
      <c r="L56" s="81" t="n">
        <f aca="false">Serving!$C$9</f>
        <v>0.1</v>
      </c>
      <c r="M56" s="81" t="n">
        <f aca="false">Serving!$C$9</f>
        <v>0.1</v>
      </c>
      <c r="N56" s="81" t="n">
        <f aca="false">Serving!$C$9</f>
        <v>0.1</v>
      </c>
      <c r="O56" s="81" t="n">
        <f aca="false">Serving!$C$9</f>
        <v>0.1</v>
      </c>
      <c r="P56" s="81" t="n">
        <f aca="false">Serving!$C$9</f>
        <v>0.1</v>
      </c>
      <c r="Q56" s="81" t="n">
        <f aca="false">Serving!$C$9</f>
        <v>0.1</v>
      </c>
      <c r="R56" s="81" t="n">
        <f aca="false">Serving!$C$9</f>
        <v>0.1</v>
      </c>
      <c r="S56" s="81" t="n">
        <f aca="false">Serving!$C$9</f>
        <v>0.1</v>
      </c>
      <c r="T56" s="81" t="n">
        <f aca="false">Serving!$C$9</f>
        <v>0.1</v>
      </c>
      <c r="U56" s="81" t="n">
        <f aca="false">Serving!$C$9</f>
        <v>0.1</v>
      </c>
      <c r="V56" s="81" t="n">
        <f aca="false">Serving!$C$9</f>
        <v>0.1</v>
      </c>
      <c r="W56" s="81" t="n">
        <f aca="false">Serving!$C$9</f>
        <v>0.1</v>
      </c>
      <c r="X56" s="81" t="n">
        <f aca="false">Serving!$C$9</f>
        <v>0.1</v>
      </c>
      <c r="Y56" s="81" t="n">
        <f aca="false">Serving!$C$9</f>
        <v>0.1</v>
      </c>
      <c r="Z56" s="81" t="n">
        <f aca="false">Serving!$C$9</f>
        <v>0.1</v>
      </c>
      <c r="AA56" s="81" t="n">
        <f aca="false">Serving!$C$9</f>
        <v>0.1</v>
      </c>
      <c r="AB56" s="81" t="n">
        <f aca="false">Serving!$C$9</f>
        <v>0.1</v>
      </c>
      <c r="AC56" s="81" t="n">
        <f aca="false">Serving!$C$9</f>
        <v>0.1</v>
      </c>
      <c r="AD56" s="81" t="n">
        <f aca="false">Serving!$C$9</f>
        <v>0.1</v>
      </c>
      <c r="AE56" s="81" t="n">
        <f aca="false">Serving!$C$9</f>
        <v>0.1</v>
      </c>
      <c r="AF56" s="81" t="n">
        <f aca="false">Serving!$C$9</f>
        <v>0.1</v>
      </c>
      <c r="AG56" s="81" t="n">
        <f aca="false">Serving!$C$9</f>
        <v>0.1</v>
      </c>
      <c r="AH56" s="81" t="n">
        <f aca="false">Serving!$C$9</f>
        <v>0.1</v>
      </c>
    </row>
    <row r="57" customFormat="false" ht="15" hidden="false" customHeight="false" outlineLevel="0" collapsed="false">
      <c r="A57" s="44" t="s">
        <v>668</v>
      </c>
      <c r="B57" s="45" t="s">
        <v>57</v>
      </c>
      <c r="C57" s="81" t="n">
        <f aca="false">Serving!$C$10</f>
        <v>0.2</v>
      </c>
      <c r="D57" s="81" t="n">
        <f aca="false">Serving!$C$10</f>
        <v>0.2</v>
      </c>
      <c r="E57" s="81" t="n">
        <f aca="false">Serving!$C$10</f>
        <v>0.2</v>
      </c>
      <c r="F57" s="81" t="n">
        <f aca="false">Serving!$C$10</f>
        <v>0.2</v>
      </c>
      <c r="G57" s="81" t="n">
        <f aca="false">Serving!$C$10</f>
        <v>0.2</v>
      </c>
      <c r="H57" s="81" t="n">
        <f aca="false">Serving!$C$10</f>
        <v>0.2</v>
      </c>
      <c r="I57" s="81" t="n">
        <f aca="false">Serving!$C$10</f>
        <v>0.2</v>
      </c>
      <c r="J57" s="81" t="n">
        <f aca="false">Serving!$C$10</f>
        <v>0.2</v>
      </c>
      <c r="K57" s="81" t="n">
        <f aca="false">Serving!$C$10</f>
        <v>0.2</v>
      </c>
      <c r="L57" s="81" t="n">
        <f aca="false">Serving!$C$10</f>
        <v>0.2</v>
      </c>
      <c r="M57" s="81" t="n">
        <f aca="false">Serving!$C$10</f>
        <v>0.2</v>
      </c>
      <c r="N57" s="81" t="n">
        <f aca="false">Serving!$C$10</f>
        <v>0.2</v>
      </c>
      <c r="O57" s="81" t="n">
        <f aca="false">Serving!$C$10</f>
        <v>0.2</v>
      </c>
      <c r="P57" s="81" t="n">
        <f aca="false">Serving!$C$10</f>
        <v>0.2</v>
      </c>
      <c r="Q57" s="81" t="n">
        <f aca="false">Serving!$C$10</f>
        <v>0.2</v>
      </c>
      <c r="R57" s="81" t="n">
        <f aca="false">Serving!$C$10</f>
        <v>0.2</v>
      </c>
      <c r="S57" s="81" t="n">
        <f aca="false">Serving!$C$10</f>
        <v>0.2</v>
      </c>
      <c r="T57" s="81" t="n">
        <f aca="false">Serving!$C$10</f>
        <v>0.2</v>
      </c>
      <c r="U57" s="81" t="n">
        <f aca="false">Serving!$C$10</f>
        <v>0.2</v>
      </c>
      <c r="V57" s="81" t="n">
        <f aca="false">Serving!$C$10</f>
        <v>0.2</v>
      </c>
      <c r="W57" s="81" t="n">
        <f aca="false">Serving!$C$10</f>
        <v>0.2</v>
      </c>
      <c r="X57" s="81" t="n">
        <f aca="false">Serving!$C$10</f>
        <v>0.2</v>
      </c>
      <c r="Y57" s="81" t="n">
        <f aca="false">Serving!$C$10</f>
        <v>0.2</v>
      </c>
      <c r="Z57" s="81" t="n">
        <f aca="false">Serving!$C$10</f>
        <v>0.2</v>
      </c>
      <c r="AA57" s="81" t="n">
        <f aca="false">Serving!$C$10</f>
        <v>0.2</v>
      </c>
      <c r="AB57" s="81" t="n">
        <f aca="false">Serving!$C$10</f>
        <v>0.2</v>
      </c>
      <c r="AC57" s="81" t="n">
        <f aca="false">Serving!$C$10</f>
        <v>0.2</v>
      </c>
      <c r="AD57" s="81" t="n">
        <f aca="false">Serving!$C$10</f>
        <v>0.2</v>
      </c>
      <c r="AE57" s="81" t="n">
        <f aca="false">Serving!$C$10</f>
        <v>0.2</v>
      </c>
      <c r="AF57" s="81" t="n">
        <f aca="false">Serving!$C$10</f>
        <v>0.2</v>
      </c>
      <c r="AG57" s="81" t="n">
        <f aca="false">Serving!$C$10</f>
        <v>0.2</v>
      </c>
      <c r="AH57" s="81" t="n">
        <f aca="false">Serving!$C$10</f>
        <v>0.2</v>
      </c>
    </row>
    <row r="58" customFormat="false" ht="15" hidden="false" customHeight="false" outlineLevel="0" collapsed="false">
      <c r="A58" s="44" t="s">
        <v>669</v>
      </c>
      <c r="B58" s="45" t="s">
        <v>57</v>
      </c>
      <c r="C58" s="81" t="n">
        <f aca="false">Serving!$C$11</f>
        <v>0.4</v>
      </c>
      <c r="D58" s="81" t="n">
        <f aca="false">Serving!$C$11</f>
        <v>0.4</v>
      </c>
      <c r="E58" s="81" t="n">
        <f aca="false">Serving!$C$11</f>
        <v>0.4</v>
      </c>
      <c r="F58" s="81" t="n">
        <f aca="false">Serving!$C$11</f>
        <v>0.4</v>
      </c>
      <c r="G58" s="81" t="n">
        <f aca="false">Serving!$C$11</f>
        <v>0.4</v>
      </c>
      <c r="H58" s="81" t="n">
        <f aca="false">Serving!$C$11</f>
        <v>0.4</v>
      </c>
      <c r="I58" s="81" t="n">
        <f aca="false">Serving!$C$11</f>
        <v>0.4</v>
      </c>
      <c r="J58" s="81" t="n">
        <f aca="false">Serving!$C$11</f>
        <v>0.4</v>
      </c>
      <c r="K58" s="81" t="n">
        <f aca="false">Serving!$C$11</f>
        <v>0.4</v>
      </c>
      <c r="L58" s="81" t="n">
        <f aca="false">Serving!$C$11</f>
        <v>0.4</v>
      </c>
      <c r="M58" s="81" t="n">
        <f aca="false">Serving!$C$11</f>
        <v>0.4</v>
      </c>
      <c r="N58" s="81" t="n">
        <f aca="false">Serving!$C$11</f>
        <v>0.4</v>
      </c>
      <c r="O58" s="81" t="n">
        <f aca="false">Serving!$C$11</f>
        <v>0.4</v>
      </c>
      <c r="P58" s="81" t="n">
        <f aca="false">Serving!$C$11</f>
        <v>0.4</v>
      </c>
      <c r="Q58" s="81" t="n">
        <f aca="false">Serving!$C$11</f>
        <v>0.4</v>
      </c>
      <c r="R58" s="81" t="n">
        <f aca="false">Serving!$C$11</f>
        <v>0.4</v>
      </c>
      <c r="S58" s="81" t="n">
        <f aca="false">Serving!$C$11</f>
        <v>0.4</v>
      </c>
      <c r="T58" s="81" t="n">
        <f aca="false">Serving!$C$11</f>
        <v>0.4</v>
      </c>
      <c r="U58" s="81" t="n">
        <f aca="false">Serving!$C$11</f>
        <v>0.4</v>
      </c>
      <c r="V58" s="81" t="n">
        <f aca="false">Serving!$C$11</f>
        <v>0.4</v>
      </c>
      <c r="W58" s="81" t="n">
        <f aca="false">Serving!$C$11</f>
        <v>0.4</v>
      </c>
      <c r="X58" s="81" t="n">
        <f aca="false">Serving!$C$11</f>
        <v>0.4</v>
      </c>
      <c r="Y58" s="81" t="n">
        <f aca="false">Serving!$C$11</f>
        <v>0.4</v>
      </c>
      <c r="Z58" s="81" t="n">
        <f aca="false">Serving!$C$11</f>
        <v>0.4</v>
      </c>
      <c r="AA58" s="81" t="n">
        <f aca="false">Serving!$C$11</f>
        <v>0.4</v>
      </c>
      <c r="AB58" s="81" t="n">
        <f aca="false">Serving!$C$11</f>
        <v>0.4</v>
      </c>
      <c r="AC58" s="81" t="n">
        <f aca="false">Serving!$C$11</f>
        <v>0.4</v>
      </c>
      <c r="AD58" s="81" t="n">
        <f aca="false">Serving!$C$11</f>
        <v>0.4</v>
      </c>
      <c r="AE58" s="81" t="n">
        <f aca="false">Serving!$C$11</f>
        <v>0.4</v>
      </c>
      <c r="AF58" s="81" t="n">
        <f aca="false">Serving!$C$11</f>
        <v>0.4</v>
      </c>
      <c r="AG58" s="81" t="n">
        <f aca="false">Serving!$C$11</f>
        <v>0.4</v>
      </c>
      <c r="AH58" s="81" t="n">
        <f aca="false">Serving!$C$11</f>
        <v>0.4</v>
      </c>
    </row>
    <row r="59" customFormat="false" ht="15" hidden="false" customHeight="false" outlineLevel="0" collapsed="false">
      <c r="A59" s="45" t="s">
        <v>670</v>
      </c>
      <c r="B59" s="45" t="s">
        <v>213</v>
      </c>
      <c r="C59" s="93" t="n">
        <f aca="false">Serving!$C$12</f>
        <v>3</v>
      </c>
      <c r="D59" s="93" t="n">
        <f aca="false">Serving!$C$12</f>
        <v>3</v>
      </c>
      <c r="E59" s="93" t="n">
        <f aca="false">Serving!$C$12</f>
        <v>3</v>
      </c>
      <c r="F59" s="93" t="n">
        <f aca="false">Serving!$C$12</f>
        <v>3</v>
      </c>
      <c r="G59" s="93" t="n">
        <f aca="false">Serving!$C$12</f>
        <v>3</v>
      </c>
      <c r="H59" s="93" t="n">
        <f aca="false">Serving!$C$12</f>
        <v>3</v>
      </c>
      <c r="I59" s="93" t="n">
        <f aca="false">Serving!$C$12</f>
        <v>3</v>
      </c>
      <c r="J59" s="93" t="n">
        <f aca="false">Serving!$C$12</f>
        <v>3</v>
      </c>
      <c r="K59" s="93" t="n">
        <f aca="false">Serving!$C$12</f>
        <v>3</v>
      </c>
      <c r="L59" s="93" t="n">
        <f aca="false">Serving!$C$12</f>
        <v>3</v>
      </c>
      <c r="M59" s="93" t="n">
        <f aca="false">Serving!$C$12</f>
        <v>3</v>
      </c>
      <c r="N59" s="93" t="n">
        <f aca="false">Serving!$C$12</f>
        <v>3</v>
      </c>
      <c r="O59" s="93" t="n">
        <f aca="false">Serving!$C$12</f>
        <v>3</v>
      </c>
      <c r="P59" s="93" t="n">
        <f aca="false">Serving!$C$12</f>
        <v>3</v>
      </c>
      <c r="Q59" s="93" t="n">
        <f aca="false">Serving!$C$12</f>
        <v>3</v>
      </c>
      <c r="R59" s="93" t="n">
        <f aca="false">Serving!$C$12</f>
        <v>3</v>
      </c>
      <c r="S59" s="93" t="n">
        <f aca="false">Serving!$C$12</f>
        <v>3</v>
      </c>
      <c r="T59" s="93" t="n">
        <f aca="false">Serving!$C$12</f>
        <v>3</v>
      </c>
      <c r="U59" s="93" t="n">
        <f aca="false">Serving!$C$12</f>
        <v>3</v>
      </c>
      <c r="V59" s="93" t="n">
        <f aca="false">Serving!$C$12</f>
        <v>3</v>
      </c>
      <c r="W59" s="93" t="n">
        <f aca="false">Serving!$C$12</f>
        <v>3</v>
      </c>
      <c r="X59" s="93" t="n">
        <f aca="false">Serving!$C$12</f>
        <v>3</v>
      </c>
      <c r="Y59" s="93" t="n">
        <f aca="false">Serving!$C$12</f>
        <v>3</v>
      </c>
      <c r="Z59" s="93" t="n">
        <f aca="false">Serving!$C$12</f>
        <v>3</v>
      </c>
      <c r="AA59" s="93" t="n">
        <f aca="false">Serving!$C$12</f>
        <v>3</v>
      </c>
      <c r="AB59" s="93" t="n">
        <f aca="false">Serving!$C$12</f>
        <v>3</v>
      </c>
      <c r="AC59" s="93" t="n">
        <f aca="false">Serving!$C$12</f>
        <v>3</v>
      </c>
      <c r="AD59" s="93" t="n">
        <f aca="false">Serving!$C$12</f>
        <v>3</v>
      </c>
      <c r="AE59" s="93" t="n">
        <f aca="false">Serving!$C$12</f>
        <v>3</v>
      </c>
      <c r="AF59" s="93" t="n">
        <f aca="false">Serving!$C$12</f>
        <v>3</v>
      </c>
      <c r="AG59" s="93" t="n">
        <f aca="false">Serving!$C$12</f>
        <v>3</v>
      </c>
      <c r="AH59" s="93" t="n">
        <f aca="false">Serving!$C$12</f>
        <v>3</v>
      </c>
    </row>
    <row r="60" customFormat="false" ht="15" hidden="false" customHeight="false" outlineLevel="0" collapsed="false">
      <c r="A60" s="45" t="s">
        <v>671</v>
      </c>
      <c r="B60" s="45" t="s">
        <v>57</v>
      </c>
      <c r="C60" s="81" t="n">
        <f aca="false">Serving!$C$13</f>
        <v>0.7</v>
      </c>
      <c r="D60" s="81" t="n">
        <f aca="false">Serving!$C$13</f>
        <v>0.7</v>
      </c>
      <c r="E60" s="81" t="n">
        <f aca="false">Serving!$C$13</f>
        <v>0.7</v>
      </c>
      <c r="F60" s="81" t="n">
        <f aca="false">Serving!$C$13</f>
        <v>0.7</v>
      </c>
      <c r="G60" s="81" t="n">
        <f aca="false">Serving!$C$13</f>
        <v>0.7</v>
      </c>
      <c r="H60" s="81" t="n">
        <f aca="false">Serving!$C$13</f>
        <v>0.7</v>
      </c>
      <c r="I60" s="81" t="n">
        <f aca="false">Serving!$C$13</f>
        <v>0.7</v>
      </c>
      <c r="J60" s="81" t="n">
        <f aca="false">Serving!$C$13</f>
        <v>0.7</v>
      </c>
      <c r="K60" s="81" t="n">
        <f aca="false">Serving!$C$13</f>
        <v>0.7</v>
      </c>
      <c r="L60" s="81" t="n">
        <f aca="false">Serving!$C$13</f>
        <v>0.7</v>
      </c>
      <c r="M60" s="81" t="n">
        <f aca="false">Serving!$C$13</f>
        <v>0.7</v>
      </c>
      <c r="N60" s="81" t="n">
        <f aca="false">Serving!$C$13</f>
        <v>0.7</v>
      </c>
      <c r="O60" s="81" t="n">
        <f aca="false">Serving!$C$13</f>
        <v>0.7</v>
      </c>
      <c r="P60" s="81" t="n">
        <f aca="false">Serving!$C$13</f>
        <v>0.7</v>
      </c>
      <c r="Q60" s="81" t="n">
        <f aca="false">Serving!$C$13</f>
        <v>0.7</v>
      </c>
      <c r="R60" s="81" t="n">
        <f aca="false">Serving!$C$13</f>
        <v>0.7</v>
      </c>
      <c r="S60" s="81" t="n">
        <f aca="false">Serving!$C$13</f>
        <v>0.7</v>
      </c>
      <c r="T60" s="81" t="n">
        <f aca="false">Serving!$C$13</f>
        <v>0.7</v>
      </c>
      <c r="U60" s="81" t="n">
        <f aca="false">Serving!$C$13</f>
        <v>0.7</v>
      </c>
      <c r="V60" s="81" t="n">
        <f aca="false">Serving!$C$13</f>
        <v>0.7</v>
      </c>
      <c r="W60" s="81" t="n">
        <f aca="false">Serving!$C$13</f>
        <v>0.7</v>
      </c>
      <c r="X60" s="81" t="n">
        <f aca="false">Serving!$C$13</f>
        <v>0.7</v>
      </c>
      <c r="Y60" s="81" t="n">
        <f aca="false">Serving!$C$13</f>
        <v>0.7</v>
      </c>
      <c r="Z60" s="81" t="n">
        <f aca="false">Serving!$C$13</f>
        <v>0.7</v>
      </c>
      <c r="AA60" s="81" t="n">
        <f aca="false">Serving!$C$13</f>
        <v>0.7</v>
      </c>
      <c r="AB60" s="81" t="n">
        <f aca="false">Serving!$C$13</f>
        <v>0.7</v>
      </c>
      <c r="AC60" s="81" t="n">
        <f aca="false">Serving!$C$13</f>
        <v>0.7</v>
      </c>
      <c r="AD60" s="81" t="n">
        <f aca="false">Serving!$C$13</f>
        <v>0.7</v>
      </c>
      <c r="AE60" s="81" t="n">
        <f aca="false">Serving!$C$13</f>
        <v>0.7</v>
      </c>
      <c r="AF60" s="81" t="n">
        <f aca="false">Serving!$C$13</f>
        <v>0.7</v>
      </c>
      <c r="AG60" s="81" t="n">
        <f aca="false">Serving!$C$13</f>
        <v>0.7</v>
      </c>
      <c r="AH60" s="81" t="n">
        <f aca="false">Serving!$C$13</f>
        <v>0.7</v>
      </c>
    </row>
    <row r="61" customFormat="false" ht="15" hidden="false" customHeight="false" outlineLevel="0" collapsed="false">
      <c r="A61" s="45" t="s">
        <v>672</v>
      </c>
      <c r="B61" s="45" t="s">
        <v>57</v>
      </c>
      <c r="C61" s="81" t="n">
        <f aca="false">Serving!$C$14</f>
        <v>0.7</v>
      </c>
      <c r="D61" s="81" t="n">
        <f aca="false">Serving!$C$14</f>
        <v>0.7</v>
      </c>
      <c r="E61" s="81" t="n">
        <f aca="false">Serving!$C$14</f>
        <v>0.7</v>
      </c>
      <c r="F61" s="81" t="n">
        <f aca="false">Serving!$C$14</f>
        <v>0.7</v>
      </c>
      <c r="G61" s="81" t="n">
        <f aca="false">Serving!$C$14</f>
        <v>0.7</v>
      </c>
      <c r="H61" s="81" t="n">
        <f aca="false">Serving!$C$14</f>
        <v>0.7</v>
      </c>
      <c r="I61" s="81" t="n">
        <f aca="false">Serving!$C$14</f>
        <v>0.7</v>
      </c>
      <c r="J61" s="81" t="n">
        <f aca="false">Serving!$C$14</f>
        <v>0.7</v>
      </c>
      <c r="K61" s="81" t="n">
        <f aca="false">Serving!$C$14</f>
        <v>0.7</v>
      </c>
      <c r="L61" s="81" t="n">
        <f aca="false">Serving!$C$14</f>
        <v>0.7</v>
      </c>
      <c r="M61" s="81" t="n">
        <f aca="false">Serving!$C$14</f>
        <v>0.7</v>
      </c>
      <c r="N61" s="81" t="n">
        <f aca="false">Serving!$C$14</f>
        <v>0.7</v>
      </c>
      <c r="O61" s="81" t="n">
        <f aca="false">Serving!$C$14</f>
        <v>0.7</v>
      </c>
      <c r="P61" s="81" t="n">
        <f aca="false">Serving!$C$14</f>
        <v>0.7</v>
      </c>
      <c r="Q61" s="81" t="n">
        <f aca="false">Serving!$C$14</f>
        <v>0.7</v>
      </c>
      <c r="R61" s="81" t="n">
        <f aca="false">Serving!$C$14</f>
        <v>0.7</v>
      </c>
      <c r="S61" s="81" t="n">
        <f aca="false">Serving!$C$14</f>
        <v>0.7</v>
      </c>
      <c r="T61" s="81" t="n">
        <f aca="false">Serving!$C$14</f>
        <v>0.7</v>
      </c>
      <c r="U61" s="81" t="n">
        <f aca="false">Serving!$C$14</f>
        <v>0.7</v>
      </c>
      <c r="V61" s="81" t="n">
        <f aca="false">Serving!$C$14</f>
        <v>0.7</v>
      </c>
      <c r="W61" s="81" t="n">
        <f aca="false">Serving!$C$14</f>
        <v>0.7</v>
      </c>
      <c r="X61" s="81" t="n">
        <f aca="false">Serving!$C$14</f>
        <v>0.7</v>
      </c>
      <c r="Y61" s="81" t="n">
        <f aca="false">Serving!$C$14</f>
        <v>0.7</v>
      </c>
      <c r="Z61" s="81" t="n">
        <f aca="false">Serving!$C$14</f>
        <v>0.7</v>
      </c>
      <c r="AA61" s="81" t="n">
        <f aca="false">Serving!$C$14</f>
        <v>0.7</v>
      </c>
      <c r="AB61" s="81" t="n">
        <f aca="false">Serving!$C$14</f>
        <v>0.7</v>
      </c>
      <c r="AC61" s="81" t="n">
        <f aca="false">Serving!$C$14</f>
        <v>0.7</v>
      </c>
      <c r="AD61" s="81" t="n">
        <f aca="false">Serving!$C$14</f>
        <v>0.7</v>
      </c>
      <c r="AE61" s="81" t="n">
        <f aca="false">Serving!$C$14</f>
        <v>0.7</v>
      </c>
      <c r="AF61" s="81" t="n">
        <f aca="false">Serving!$C$14</f>
        <v>0.7</v>
      </c>
      <c r="AG61" s="81" t="n">
        <f aca="false">Serving!$C$14</f>
        <v>0.7</v>
      </c>
      <c r="AH61" s="81" t="n">
        <f aca="false">Serving!$C$14</f>
        <v>0.7</v>
      </c>
    </row>
    <row r="62" customFormat="false" ht="15" hidden="false" customHeight="false" outlineLevel="0" collapsed="false">
      <c r="A62" s="44" t="s">
        <v>673</v>
      </c>
      <c r="B62" s="45" t="s">
        <v>395</v>
      </c>
      <c r="C62" s="79" t="n">
        <f aca="false">Serving!$C$15</f>
        <v>0.1</v>
      </c>
      <c r="D62" s="79" t="n">
        <f aca="false">Serving!$C$15</f>
        <v>0.1</v>
      </c>
      <c r="E62" s="79" t="n">
        <f aca="false">Serving!$C$15</f>
        <v>0.1</v>
      </c>
      <c r="F62" s="79" t="n">
        <f aca="false">Serving!$C$15</f>
        <v>0.1</v>
      </c>
      <c r="G62" s="79" t="n">
        <f aca="false">Serving!$C$15</f>
        <v>0.1</v>
      </c>
      <c r="H62" s="79" t="n">
        <f aca="false">Serving!$C$15</f>
        <v>0.1</v>
      </c>
      <c r="I62" s="79" t="n">
        <f aca="false">Serving!$C$15</f>
        <v>0.1</v>
      </c>
      <c r="J62" s="79" t="n">
        <f aca="false">Serving!$C$15</f>
        <v>0.1</v>
      </c>
      <c r="K62" s="79" t="n">
        <f aca="false">Serving!$C$15</f>
        <v>0.1</v>
      </c>
      <c r="L62" s="79" t="n">
        <f aca="false">Serving!$C$15</f>
        <v>0.1</v>
      </c>
      <c r="M62" s="79" t="n">
        <f aca="false">Serving!$C$15</f>
        <v>0.1</v>
      </c>
      <c r="N62" s="79" t="n">
        <f aca="false">Serving!$C$15</f>
        <v>0.1</v>
      </c>
      <c r="O62" s="79" t="n">
        <f aca="false">Serving!$C$15</f>
        <v>0.1</v>
      </c>
      <c r="P62" s="79" t="n">
        <f aca="false">Serving!$C$15</f>
        <v>0.1</v>
      </c>
      <c r="Q62" s="79" t="n">
        <f aca="false">Serving!$C$15</f>
        <v>0.1</v>
      </c>
      <c r="R62" s="79" t="n">
        <f aca="false">Serving!$C$15</f>
        <v>0.1</v>
      </c>
      <c r="S62" s="79" t="n">
        <f aca="false">Serving!$C$15</f>
        <v>0.1</v>
      </c>
      <c r="T62" s="79" t="n">
        <f aca="false">Serving!$C$15</f>
        <v>0.1</v>
      </c>
      <c r="U62" s="79" t="n">
        <f aca="false">Serving!$C$15</f>
        <v>0.1</v>
      </c>
      <c r="V62" s="79" t="n">
        <f aca="false">Serving!$C$15</f>
        <v>0.1</v>
      </c>
      <c r="W62" s="79" t="n">
        <f aca="false">Serving!$C$15</f>
        <v>0.1</v>
      </c>
      <c r="X62" s="79" t="n">
        <f aca="false">Serving!$C$15</f>
        <v>0.1</v>
      </c>
      <c r="Y62" s="79" t="n">
        <f aca="false">Serving!$C$15</f>
        <v>0.1</v>
      </c>
      <c r="Z62" s="79" t="n">
        <f aca="false">Serving!$C$15</f>
        <v>0.1</v>
      </c>
      <c r="AA62" s="79" t="n">
        <f aca="false">Serving!$C$15</f>
        <v>0.1</v>
      </c>
      <c r="AB62" s="79" t="n">
        <f aca="false">Serving!$C$15</f>
        <v>0.1</v>
      </c>
      <c r="AC62" s="79" t="n">
        <f aca="false">Serving!$C$15</f>
        <v>0.1</v>
      </c>
      <c r="AD62" s="79" t="n">
        <f aca="false">Serving!$C$15</f>
        <v>0.1</v>
      </c>
      <c r="AE62" s="79" t="n">
        <f aca="false">Serving!$C$15</f>
        <v>0.1</v>
      </c>
      <c r="AF62" s="79" t="n">
        <f aca="false">Serving!$C$15</f>
        <v>0.1</v>
      </c>
      <c r="AG62" s="79" t="n">
        <f aca="false">Serving!$C$15</f>
        <v>0.1</v>
      </c>
      <c r="AH62" s="79" t="n">
        <f aca="false">Serving!$C$15</f>
        <v>0.1</v>
      </c>
    </row>
    <row r="63" customFormat="false" ht="15" hidden="false" customHeight="false" outlineLevel="0" collapsed="false">
      <c r="A63" s="72" t="s">
        <v>674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customFormat="false" ht="15" hidden="false" customHeight="false" outlineLevel="0" collapsed="false">
      <c r="A64" s="45" t="s">
        <v>675</v>
      </c>
      <c r="B64" s="45" t="s">
        <v>236</v>
      </c>
      <c r="C64" s="56" t="n">
        <f aca="false">C36*IF(C37=0,C45,MIN(C45,C37))+(1-C36)*(C45/C38+C39)</f>
        <v>2244</v>
      </c>
      <c r="D64" s="56" t="n">
        <f aca="false">D36*IF(D37=0,D45,MIN(D45,D37))+(1-D36)*(D45/D38+D39)</f>
        <v>2244</v>
      </c>
      <c r="E64" s="56" t="n">
        <f aca="false">E36*IF(E37=0,E45,MIN(E45,E37))+(1-E36)*(E45/E38+E39)</f>
        <v>2244</v>
      </c>
      <c r="F64" s="56" t="n">
        <f aca="false">F36*IF(F37=0,F45,MIN(F45,F37))+(1-F36)*(F45/F38+F39)</f>
        <v>2244</v>
      </c>
      <c r="G64" s="56" t="n">
        <f aca="false">G36*IF(G37=0,G45,MIN(G45,G37))+(1-G36)*(G45/G38+G39)</f>
        <v>2244</v>
      </c>
      <c r="H64" s="56" t="n">
        <f aca="false">H36*IF(H37=0,H45,MIN(H45,H37))+(1-H36)*(H45/H38+H39)</f>
        <v>2244</v>
      </c>
      <c r="I64" s="56" t="n">
        <f aca="false">I36*IF(I37=0,I45,MIN(I45,I37))+(1-I36)*(I45/I38+I39)</f>
        <v>2244</v>
      </c>
      <c r="J64" s="56" t="n">
        <f aca="false">J36*IF(J37=0,J45,MIN(J45,J37))+(1-J36)*(J45/J38+J39)</f>
        <v>2244</v>
      </c>
      <c r="K64" s="56" t="n">
        <f aca="false">K36*IF(K37=0,K45,MIN(K45,K37))+(1-K36)*(K45/K38+K39)</f>
        <v>2244</v>
      </c>
      <c r="L64" s="56" t="n">
        <f aca="false">L36*IF(L37=0,L45,MIN(L45,L37))+(1-L36)*(L45/L38+L39)</f>
        <v>2244</v>
      </c>
      <c r="M64" s="56" t="n">
        <f aca="false">M36*IF(M37=0,M45,MIN(M45,M37))+(1-M36)*(M45/M38+M39)</f>
        <v>2244</v>
      </c>
      <c r="N64" s="56" t="n">
        <f aca="false">N36*IF(N37=0,N45,MIN(N45,N37))+(1-N36)*(N45/N38+N39)</f>
        <v>2244</v>
      </c>
      <c r="O64" s="56" t="n">
        <f aca="false">O36*IF(O37=0,O45,MIN(O45,O37))+(1-O36)*(O45/O38+O39)</f>
        <v>2244</v>
      </c>
      <c r="P64" s="56" t="n">
        <f aca="false">P36*IF(P37=0,P45,MIN(P45,P37))+(1-P36)*(P45/P38+P39)</f>
        <v>2244</v>
      </c>
      <c r="Q64" s="56" t="n">
        <f aca="false">Q36*IF(Q37=0,Q45,MIN(Q45,Q37))+(1-Q36)*(Q45/Q38+Q39)</f>
        <v>2244</v>
      </c>
      <c r="R64" s="56" t="n">
        <f aca="false">R36*IF(R37=0,R45,MIN(R45,R37))+(1-R36)*(R45/R38+R39)</f>
        <v>2244</v>
      </c>
      <c r="S64" s="56" t="n">
        <f aca="false">S36*IF(S37=0,S45,MIN(S45,S37))+(1-S36)*(S45/S38+S39)</f>
        <v>2244</v>
      </c>
      <c r="T64" s="56" t="n">
        <f aca="false">T36*IF(T37=0,T45,MIN(T45,T37))+(1-T36)*(T45/T38+T39)</f>
        <v>2244</v>
      </c>
      <c r="U64" s="56" t="n">
        <f aca="false">U36*IF(U37=0,U45,MIN(U45,U37))+(1-U36)*(U45/U38+U39)</f>
        <v>2244</v>
      </c>
      <c r="V64" s="56" t="n">
        <f aca="false">V36*IF(V37=0,V45,MIN(V45,V37))+(1-V36)*(V45/V38+V39)</f>
        <v>2244</v>
      </c>
      <c r="W64" s="56" t="n">
        <f aca="false">W36*IF(W37=0,W45,MIN(W45,W37))+(1-W36)*(W45/W38+W39)</f>
        <v>2196</v>
      </c>
      <c r="X64" s="56" t="n">
        <f aca="false">X36*IF(X37=0,X45,MIN(X45,X37))+(1-X36)*(X45/X38+X39)</f>
        <v>2196</v>
      </c>
      <c r="Y64" s="56" t="n">
        <f aca="false">Y36*IF(Y37=0,Y45,MIN(Y45,Y37))+(1-Y36)*(Y45/Y38+Y39)</f>
        <v>2436</v>
      </c>
      <c r="Z64" s="56" t="n">
        <f aca="false">Z36*IF(Z37=0,Z45,MIN(Z45,Z37))+(1-Z36)*(Z45/Z38+Z39)</f>
        <v>2436</v>
      </c>
      <c r="AA64" s="56" t="n">
        <f aca="false">AA36*IF(AA37=0,AA45,MIN(AA45,AA37))+(1-AA36)*(AA45/AA38+AA39)</f>
        <v>2244</v>
      </c>
      <c r="AB64" s="56" t="n">
        <f aca="false">AB36*IF(AB37=0,AB45,MIN(AB45,AB37))+(1-AB36)*(AB45/AB38+AB39)</f>
        <v>2244</v>
      </c>
      <c r="AC64" s="56" t="n">
        <f aca="false">AC36*IF(AC37=0,AC45,MIN(AC45,AC37))+(1-AC36)*(AC45/AC38+AC39)</f>
        <v>34816</v>
      </c>
      <c r="AD64" s="56" t="n">
        <f aca="false">AD36*IF(AD37=0,AD45,MIN(AD45,AD37))+(1-AD36)*(AD45/AD38+AD39)</f>
        <v>34816</v>
      </c>
      <c r="AE64" s="56" t="n">
        <f aca="false">AE36*IF(AE37=0,AE45,MIN(AE45,AE37))+(1-AE36)*(AE45/AE38+AE39)</f>
        <v>34816</v>
      </c>
      <c r="AF64" s="56" t="n">
        <f aca="false">AF36*IF(AF37=0,AF45,MIN(AF45,AF37))+(1-AF36)*(AF45/AF38+AF39)</f>
        <v>34816</v>
      </c>
      <c r="AG64" s="56" t="n">
        <f aca="false">AG36*IF(AG37=0,AG45,MIN(AG45,AG37))+(1-AG36)*(AG45/AG38+AG39)</f>
        <v>34816</v>
      </c>
      <c r="AH64" s="56" t="n">
        <f aca="false">AH36*IF(AH37=0,AH45,MIN(AH45,AH37))+(1-AH36)*(AH45/AH38+AH39)</f>
        <v>34816</v>
      </c>
    </row>
    <row r="65" customFormat="false" ht="15" hidden="false" customHeight="false" outlineLevel="0" collapsed="false">
      <c r="A65" s="45" t="s">
        <v>408</v>
      </c>
      <c r="B65" s="45" t="s">
        <v>409</v>
      </c>
      <c r="C65" s="55" t="n">
        <f aca="false">(2*C28*1000000000+C35*C64)*C10/1000000000</f>
        <v>133.883319296</v>
      </c>
      <c r="D65" s="55" t="n">
        <f aca="false">(2*D28*1000000000+D35*D64)*D10/1000000000</f>
        <v>133.883319296</v>
      </c>
      <c r="E65" s="55" t="n">
        <f aca="false">(2*E28*1000000000+E35*E64)*E10/1000000000</f>
        <v>133.883319296</v>
      </c>
      <c r="F65" s="55" t="n">
        <f aca="false">(2*F28*1000000000+F35*F64)*F10/1000000000</f>
        <v>133.883319296</v>
      </c>
      <c r="G65" s="55" t="n">
        <f aca="false">(2*G28*1000000000+G35*G64)*G10/1000000000</f>
        <v>133.883319296</v>
      </c>
      <c r="H65" s="55" t="n">
        <f aca="false">(2*H28*1000000000+H35*H64)*H10/1000000000</f>
        <v>133.883319296</v>
      </c>
      <c r="I65" s="55" t="n">
        <f aca="false">(2*I28*1000000000+I35*I64)*I10/1000000000</f>
        <v>133.883319296</v>
      </c>
      <c r="J65" s="55" t="n">
        <f aca="false">(2*J28*1000000000+J35*J64)*J10/1000000000</f>
        <v>133.883319296</v>
      </c>
      <c r="K65" s="55" t="n">
        <f aca="false">(2*K28*1000000000+K35*K64)*K10/1000000000</f>
        <v>133.883319296</v>
      </c>
      <c r="L65" s="55" t="n">
        <f aca="false">(2*L28*1000000000+L35*L64)*L10/1000000000</f>
        <v>133.883319296</v>
      </c>
      <c r="M65" s="55" t="n">
        <f aca="false">(2*M28*1000000000+M35*M64)*M10/1000000000</f>
        <v>133.883319296</v>
      </c>
      <c r="N65" s="55" t="n">
        <f aca="false">(2*N28*1000000000+N35*N64)*N10/1000000000</f>
        <v>133.883319296</v>
      </c>
      <c r="O65" s="55" t="n">
        <f aca="false">(2*O28*1000000000+O35*O64)*O10/1000000000</f>
        <v>133.883319296</v>
      </c>
      <c r="P65" s="55" t="n">
        <f aca="false">(2*P28*1000000000+P35*P64)*P10/1000000000</f>
        <v>133.883319296</v>
      </c>
      <c r="Q65" s="55" t="n">
        <f aca="false">(2*Q28*1000000000+Q35*Q64)*Q10/1000000000</f>
        <v>133.883319296</v>
      </c>
      <c r="R65" s="55" t="n">
        <f aca="false">(2*R28*1000000000+R35*R64)*R10/1000000000</f>
        <v>133.883319296</v>
      </c>
      <c r="S65" s="55" t="n">
        <f aca="false">(2*S28*1000000000+S35*S64)*S10/1000000000</f>
        <v>133.883319296</v>
      </c>
      <c r="T65" s="55" t="n">
        <f aca="false">(2*T28*1000000000+T35*T64)*T10/1000000000</f>
        <v>133.883319296</v>
      </c>
      <c r="U65" s="55" t="n">
        <f aca="false">(2*U28*1000000000+U35*U64)*U10/1000000000</f>
        <v>133.883319296</v>
      </c>
      <c r="V65" s="55" t="n">
        <f aca="false">(2*V28*1000000000+V35*V64)*V10/1000000000</f>
        <v>133.883319296</v>
      </c>
      <c r="W65" s="55" t="n">
        <f aca="false">(2*W28*1000000000+W35*W64)*W10/1000000000</f>
        <v>133.115761664</v>
      </c>
      <c r="X65" s="55" t="n">
        <f aca="false">(2*X28*1000000000+X35*X64)*X10/1000000000</f>
        <v>133.115761664</v>
      </c>
      <c r="Y65" s="55" t="n">
        <f aca="false">(2*Y28*1000000000+Y35*Y64)*Y10/1000000000</f>
        <v>136.953549824</v>
      </c>
      <c r="Z65" s="55" t="n">
        <f aca="false">(2*Z28*1000000000+Z35*Z64)*Z10/1000000000</f>
        <v>136.953549824</v>
      </c>
      <c r="AA65" s="55" t="n">
        <f aca="false">(2*AA28*1000000000+AA35*AA64)*AA10/1000000000</f>
        <v>133.883319296</v>
      </c>
      <c r="AB65" s="55" t="n">
        <f aca="false">(2*AB28*1000000000+AB35*AB64)*AB10/1000000000</f>
        <v>133.883319296</v>
      </c>
      <c r="AC65" s="55" t="n">
        <f aca="false">(2*AC28*1000000000+AC35*AC64)*AC10/1000000000</f>
        <v>531.1276032</v>
      </c>
      <c r="AD65" s="55" t="n">
        <f aca="false">(2*AD28*1000000000+AD35*AD64)*AD10/1000000000</f>
        <v>531.1276032</v>
      </c>
      <c r="AE65" s="55" t="n">
        <f aca="false">(2*AE28*1000000000+AE35*AE64)*AE10/1000000000</f>
        <v>531.1276032</v>
      </c>
      <c r="AF65" s="55" t="n">
        <f aca="false">(2*AF28*1000000000+AF35*AF64)*AF10/1000000000</f>
        <v>531.1276032</v>
      </c>
      <c r="AG65" s="55" t="n">
        <f aca="false">(2*AG28*1000000000+AG35*AG64)*AG10/1000000000</f>
        <v>531.1276032</v>
      </c>
      <c r="AH65" s="55" t="n">
        <f aca="false">(2*AH28*1000000000+AH35*AH64)*AH10/1000000000</f>
        <v>531.1276032</v>
      </c>
    </row>
    <row r="66" customFormat="false" ht="15" hidden="false" customHeight="false" outlineLevel="0" collapsed="false">
      <c r="A66" s="45" t="s">
        <v>676</v>
      </c>
      <c r="B66" s="45" t="s">
        <v>236</v>
      </c>
      <c r="C66" s="56" t="n">
        <f aca="false">C36*IF(C37=0,C46,MIN(C46,C37))+(1-C36)*(C46/C38+C39)</f>
        <v>2208</v>
      </c>
      <c r="D66" s="56" t="n">
        <f aca="false">D36*IF(D37=0,D46,MIN(D46,D37))+(1-D36)*(D46/D38+D39)</f>
        <v>2208</v>
      </c>
      <c r="E66" s="56" t="n">
        <f aca="false">E36*IF(E37=0,E46,MIN(E46,E37))+(1-E36)*(E46/E38+E39)</f>
        <v>2208</v>
      </c>
      <c r="F66" s="56" t="n">
        <f aca="false">F36*IF(F37=0,F46,MIN(F46,F37))+(1-F36)*(F46/F38+F39)</f>
        <v>2208</v>
      </c>
      <c r="G66" s="56" t="n">
        <f aca="false">G36*IF(G37=0,G46,MIN(G46,G37))+(1-G36)*(G46/G38+G39)</f>
        <v>2208</v>
      </c>
      <c r="H66" s="56" t="n">
        <f aca="false">H36*IF(H37=0,H46,MIN(H46,H37))+(1-H36)*(H46/H38+H39)</f>
        <v>2208</v>
      </c>
      <c r="I66" s="56" t="n">
        <f aca="false">I36*IF(I37=0,I46,MIN(I46,I37))+(1-I36)*(I46/I38+I39)</f>
        <v>2208</v>
      </c>
      <c r="J66" s="56" t="n">
        <f aca="false">J36*IF(J37=0,J46,MIN(J46,J37))+(1-J36)*(J46/J38+J39)</f>
        <v>2208</v>
      </c>
      <c r="K66" s="56" t="n">
        <f aca="false">K36*IF(K37=0,K46,MIN(K46,K37))+(1-K36)*(K46/K38+K39)</f>
        <v>2208</v>
      </c>
      <c r="L66" s="56" t="n">
        <f aca="false">L36*IF(L37=0,L46,MIN(L46,L37))+(1-L36)*(L46/L38+L39)</f>
        <v>2208</v>
      </c>
      <c r="M66" s="56" t="n">
        <f aca="false">M36*IF(M37=0,M46,MIN(M46,M37))+(1-M36)*(M46/M38+M39)</f>
        <v>2208</v>
      </c>
      <c r="N66" s="56" t="n">
        <f aca="false">N36*IF(N37=0,N46,MIN(N46,N37))+(1-N36)*(N46/N38+N39)</f>
        <v>2208</v>
      </c>
      <c r="O66" s="56" t="n">
        <f aca="false">O36*IF(O37=0,O46,MIN(O46,O37))+(1-O36)*(O46/O38+O39)</f>
        <v>2208</v>
      </c>
      <c r="P66" s="56" t="n">
        <f aca="false">P36*IF(P37=0,P46,MIN(P46,P37))+(1-P36)*(P46/P38+P39)</f>
        <v>2208</v>
      </c>
      <c r="Q66" s="56" t="n">
        <f aca="false">Q36*IF(Q37=0,Q46,MIN(Q46,Q37))+(1-Q36)*(Q46/Q38+Q39)</f>
        <v>2208</v>
      </c>
      <c r="R66" s="56" t="n">
        <f aca="false">R36*IF(R37=0,R46,MIN(R46,R37))+(1-R36)*(R46/R38+R39)</f>
        <v>2208</v>
      </c>
      <c r="S66" s="56" t="n">
        <f aca="false">S36*IF(S37=0,S46,MIN(S46,S37))+(1-S36)*(S46/S38+S39)</f>
        <v>2208</v>
      </c>
      <c r="T66" s="56" t="n">
        <f aca="false">T36*IF(T37=0,T46,MIN(T46,T37))+(1-T36)*(T46/T38+T39)</f>
        <v>2208</v>
      </c>
      <c r="U66" s="56" t="n">
        <f aca="false">U36*IF(U37=0,U46,MIN(U46,U37))+(1-U36)*(U46/U38+U39)</f>
        <v>2208</v>
      </c>
      <c r="V66" s="56" t="n">
        <f aca="false">V36*IF(V37=0,V46,MIN(V46,V37))+(1-V36)*(V46/V38+V39)</f>
        <v>2208</v>
      </c>
      <c r="W66" s="56" t="n">
        <f aca="false">W36*IF(W37=0,W46,MIN(W46,W37))+(1-W36)*(W46/W38+W39)</f>
        <v>1096</v>
      </c>
      <c r="X66" s="56" t="n">
        <f aca="false">X36*IF(X37=0,X46,MIN(X46,X37))+(1-X36)*(X46/X38+X39)</f>
        <v>1096</v>
      </c>
      <c r="Y66" s="56" t="n">
        <f aca="false">Y36*IF(Y37=0,Y46,MIN(Y46,Y37))+(1-Y36)*(Y46/Y38+Y39)</f>
        <v>2304</v>
      </c>
      <c r="Z66" s="56" t="n">
        <f aca="false">Z36*IF(Z37=0,Z46,MIN(Z46,Z37))+(1-Z36)*(Z46/Z38+Z39)</f>
        <v>2304</v>
      </c>
      <c r="AA66" s="56" t="n">
        <f aca="false">AA36*IF(AA37=0,AA46,MIN(AA46,AA37))+(1-AA36)*(AA46/AA38+AA39)</f>
        <v>2208</v>
      </c>
      <c r="AB66" s="56" t="n">
        <f aca="false">AB36*IF(AB37=0,AB46,MIN(AB46,AB37))+(1-AB36)*(AB46/AB38+AB39)</f>
        <v>2208</v>
      </c>
      <c r="AC66" s="56" t="n">
        <f aca="false">AC36*IF(AC37=0,AC46,MIN(AC46,AC37))+(1-AC36)*(AC46/AC38+AC39)</f>
        <v>16384</v>
      </c>
      <c r="AD66" s="56" t="n">
        <f aca="false">AD36*IF(AD37=0,AD46,MIN(AD46,AD37))+(1-AD36)*(AD46/AD38+AD39)</f>
        <v>16384</v>
      </c>
      <c r="AE66" s="56" t="n">
        <f aca="false">AE36*IF(AE37=0,AE46,MIN(AE46,AE37))+(1-AE36)*(AE46/AE38+AE39)</f>
        <v>16384</v>
      </c>
      <c r="AF66" s="56" t="n">
        <f aca="false">AF36*IF(AF37=0,AF46,MIN(AF46,AF37))+(1-AF36)*(AF46/AF38+AF39)</f>
        <v>16384</v>
      </c>
      <c r="AG66" s="56" t="n">
        <f aca="false">AG36*IF(AG37=0,AG46,MIN(AG46,AG37))+(1-AG36)*(AG46/AG38+AG39)</f>
        <v>16384</v>
      </c>
      <c r="AH66" s="56" t="n">
        <f aca="false">AH36*IF(AH37=0,AH46,MIN(AH46,AH37))+(1-AH36)*(AH46/AH38+AH39)</f>
        <v>16384</v>
      </c>
    </row>
    <row r="67" customFormat="false" ht="15" hidden="false" customHeight="false" outlineLevel="0" collapsed="false">
      <c r="A67" s="45" t="s">
        <v>411</v>
      </c>
      <c r="B67" s="45" t="s">
        <v>409</v>
      </c>
      <c r="C67" s="55" t="n">
        <f aca="false">(2*C28*1000000000+C35*C66)*C10/1000000000</f>
        <v>133.307651072</v>
      </c>
      <c r="D67" s="55" t="n">
        <f aca="false">(2*D28*1000000000+D35*D66)*D10/1000000000</f>
        <v>133.307651072</v>
      </c>
      <c r="E67" s="55" t="n">
        <f aca="false">(2*E28*1000000000+E35*E66)*E10/1000000000</f>
        <v>133.307651072</v>
      </c>
      <c r="F67" s="55" t="n">
        <f aca="false">(2*F28*1000000000+F35*F66)*F10/1000000000</f>
        <v>133.307651072</v>
      </c>
      <c r="G67" s="55" t="n">
        <f aca="false">(2*G28*1000000000+G35*G66)*G10/1000000000</f>
        <v>133.307651072</v>
      </c>
      <c r="H67" s="55" t="n">
        <f aca="false">(2*H28*1000000000+H35*H66)*H10/1000000000</f>
        <v>133.307651072</v>
      </c>
      <c r="I67" s="55" t="n">
        <f aca="false">(2*I28*1000000000+I35*I66)*I10/1000000000</f>
        <v>133.307651072</v>
      </c>
      <c r="J67" s="55" t="n">
        <f aca="false">(2*J28*1000000000+J35*J66)*J10/1000000000</f>
        <v>133.307651072</v>
      </c>
      <c r="K67" s="55" t="n">
        <f aca="false">(2*K28*1000000000+K35*K66)*K10/1000000000</f>
        <v>133.307651072</v>
      </c>
      <c r="L67" s="55" t="n">
        <f aca="false">(2*L28*1000000000+L35*L66)*L10/1000000000</f>
        <v>133.307651072</v>
      </c>
      <c r="M67" s="55" t="n">
        <f aca="false">(2*M28*1000000000+M35*M66)*M10/1000000000</f>
        <v>133.307651072</v>
      </c>
      <c r="N67" s="55" t="n">
        <f aca="false">(2*N28*1000000000+N35*N66)*N10/1000000000</f>
        <v>133.307651072</v>
      </c>
      <c r="O67" s="55" t="n">
        <f aca="false">(2*O28*1000000000+O35*O66)*O10/1000000000</f>
        <v>133.307651072</v>
      </c>
      <c r="P67" s="55" t="n">
        <f aca="false">(2*P28*1000000000+P35*P66)*P10/1000000000</f>
        <v>133.307651072</v>
      </c>
      <c r="Q67" s="55" t="n">
        <f aca="false">(2*Q28*1000000000+Q35*Q66)*Q10/1000000000</f>
        <v>133.307651072</v>
      </c>
      <c r="R67" s="55" t="n">
        <f aca="false">(2*R28*1000000000+R35*R66)*R10/1000000000</f>
        <v>133.307651072</v>
      </c>
      <c r="S67" s="55" t="n">
        <f aca="false">(2*S28*1000000000+S35*S66)*S10/1000000000</f>
        <v>133.307651072</v>
      </c>
      <c r="T67" s="55" t="n">
        <f aca="false">(2*T28*1000000000+T35*T66)*T10/1000000000</f>
        <v>133.307651072</v>
      </c>
      <c r="U67" s="55" t="n">
        <f aca="false">(2*U28*1000000000+U35*U66)*U10/1000000000</f>
        <v>133.307651072</v>
      </c>
      <c r="V67" s="55" t="n">
        <f aca="false">(2*V28*1000000000+V35*V66)*V10/1000000000</f>
        <v>133.307651072</v>
      </c>
      <c r="W67" s="55" t="n">
        <f aca="false">(2*W28*1000000000+W35*W66)*W10/1000000000</f>
        <v>115.525899264</v>
      </c>
      <c r="X67" s="55" t="n">
        <f aca="false">(2*X28*1000000000+X35*X66)*X10/1000000000</f>
        <v>115.525899264</v>
      </c>
      <c r="Y67" s="55" t="n">
        <f aca="false">(2*Y28*1000000000+Y35*Y66)*Y10/1000000000</f>
        <v>134.842766336</v>
      </c>
      <c r="Z67" s="55" t="n">
        <f aca="false">(2*Z28*1000000000+Z35*Z66)*Z10/1000000000</f>
        <v>134.842766336</v>
      </c>
      <c r="AA67" s="55" t="n">
        <f aca="false">(2*AA28*1000000000+AA35*AA66)*AA10/1000000000</f>
        <v>133.307651072</v>
      </c>
      <c r="AB67" s="55" t="n">
        <f aca="false">(2*AB28*1000000000+AB35*AB66)*AB10/1000000000</f>
        <v>133.307651072</v>
      </c>
      <c r="AC67" s="55" t="n">
        <f aca="false">(2*AC28*1000000000+AC35*AC66)*AC10/1000000000</f>
        <v>440.5306368</v>
      </c>
      <c r="AD67" s="55" t="n">
        <f aca="false">(2*AD28*1000000000+AD35*AD66)*AD10/1000000000</f>
        <v>440.5306368</v>
      </c>
      <c r="AE67" s="55" t="n">
        <f aca="false">(2*AE28*1000000000+AE35*AE66)*AE10/1000000000</f>
        <v>440.5306368</v>
      </c>
      <c r="AF67" s="55" t="n">
        <f aca="false">(2*AF28*1000000000+AF35*AF66)*AF10/1000000000</f>
        <v>440.5306368</v>
      </c>
      <c r="AG67" s="55" t="n">
        <f aca="false">(2*AG28*1000000000+AG35*AG66)*AG10/1000000000</f>
        <v>440.5306368</v>
      </c>
      <c r="AH67" s="55" t="n">
        <f aca="false">(2*AH28*1000000000+AH35*AH66)*AH10/1000000000</f>
        <v>440.5306368</v>
      </c>
    </row>
    <row r="68" customFormat="false" ht="15" hidden="false" customHeight="false" outlineLevel="0" collapsed="false">
      <c r="A68" s="72" t="s">
        <v>677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</row>
    <row r="69" customFormat="false" ht="15" hidden="false" customHeight="false" outlineLevel="0" collapsed="false">
      <c r="A69" s="44" t="s">
        <v>412</v>
      </c>
      <c r="B69" s="45" t="s">
        <v>261</v>
      </c>
      <c r="C69" s="56" t="n">
        <f aca="false">C15*(1-C56)</f>
        <v>259.2</v>
      </c>
      <c r="D69" s="56" t="n">
        <f aca="false">D15*(1-D56)</f>
        <v>259.2</v>
      </c>
      <c r="E69" s="56" t="n">
        <f aca="false">E15*(1-E56)</f>
        <v>259.2</v>
      </c>
      <c r="F69" s="56" t="n">
        <f aca="false">F15*(1-F56)</f>
        <v>259.2</v>
      </c>
      <c r="G69" s="56" t="n">
        <f aca="false">G15*(1-G56)</f>
        <v>259.2</v>
      </c>
      <c r="H69" s="56" t="n">
        <f aca="false">H15*(1-H56)</f>
        <v>259.2</v>
      </c>
      <c r="I69" s="56" t="n">
        <f aca="false">I15*(1-I56)</f>
        <v>259.2</v>
      </c>
      <c r="J69" s="56" t="n">
        <f aca="false">J15*(1-J56)</f>
        <v>259.2</v>
      </c>
      <c r="K69" s="56" t="n">
        <f aca="false">K15*(1-K56)</f>
        <v>259.2</v>
      </c>
      <c r="L69" s="56" t="n">
        <f aca="false">L15*(1-L56)</f>
        <v>259.2</v>
      </c>
      <c r="M69" s="56" t="n">
        <f aca="false">M15*(1-M56)</f>
        <v>259.2</v>
      </c>
      <c r="N69" s="56" t="n">
        <f aca="false">N15*(1-N56)</f>
        <v>259.2</v>
      </c>
      <c r="O69" s="56" t="n">
        <f aca="false">O15*(1-O56)</f>
        <v>259.2</v>
      </c>
      <c r="P69" s="56" t="n">
        <f aca="false">P15*(1-P56)</f>
        <v>259.2</v>
      </c>
      <c r="Q69" s="56" t="n">
        <f aca="false">Q15*(1-Q56)</f>
        <v>259.2</v>
      </c>
      <c r="R69" s="56" t="n">
        <f aca="false">R15*(1-R56)</f>
        <v>259.2</v>
      </c>
      <c r="S69" s="56" t="n">
        <f aca="false">S15*(1-S56)</f>
        <v>259.2</v>
      </c>
      <c r="T69" s="56" t="n">
        <f aca="false">T15*(1-T56)</f>
        <v>259.2</v>
      </c>
      <c r="U69" s="56" t="n">
        <f aca="false">U15*(1-U56)</f>
        <v>259.2</v>
      </c>
      <c r="V69" s="56" t="n">
        <f aca="false">V15*(1-V56)</f>
        <v>259.2</v>
      </c>
      <c r="W69" s="56" t="n">
        <f aca="false">W15*(1-W56)</f>
        <v>259.2</v>
      </c>
      <c r="X69" s="56" t="n">
        <f aca="false">X15*(1-X56)</f>
        <v>259.2</v>
      </c>
      <c r="Y69" s="56" t="n">
        <f aca="false">Y15*(1-Y56)</f>
        <v>259.2</v>
      </c>
      <c r="Z69" s="56" t="n">
        <f aca="false">Z15*(1-Z56)</f>
        <v>259.2</v>
      </c>
      <c r="AA69" s="56" t="n">
        <f aca="false">AA15*(1-AA56)</f>
        <v>259.2</v>
      </c>
      <c r="AB69" s="56" t="n">
        <f aca="false">AB15*(1-AB56)</f>
        <v>259.2</v>
      </c>
      <c r="AC69" s="56" t="n">
        <f aca="false">AC15*(1-AC56)</f>
        <v>259.2</v>
      </c>
      <c r="AD69" s="56" t="n">
        <f aca="false">AD15*(1-AD56)</f>
        <v>259.2</v>
      </c>
      <c r="AE69" s="56" t="n">
        <f aca="false">AE15*(1-AE56)</f>
        <v>259.2</v>
      </c>
      <c r="AF69" s="56" t="n">
        <f aca="false">AF15*(1-AF56)</f>
        <v>259.2</v>
      </c>
      <c r="AG69" s="56" t="n">
        <f aca="false">AG15*(1-AG56)</f>
        <v>259.2</v>
      </c>
      <c r="AH69" s="56" t="n">
        <f aca="false">AH15*(1-AH56)</f>
        <v>259.2</v>
      </c>
    </row>
    <row r="70" customFormat="false" ht="15" hidden="false" customHeight="false" outlineLevel="0" collapsed="false">
      <c r="A70" s="44" t="s">
        <v>678</v>
      </c>
      <c r="B70" s="44"/>
      <c r="C70" s="96" t="n">
        <f aca="false">MAX(1,CEILING(C32*C20/(C57*C69),1))</f>
        <v>1</v>
      </c>
      <c r="D70" s="96" t="n">
        <f aca="false">MAX(1,CEILING(D32*D20/(D57*D69),1))</f>
        <v>1</v>
      </c>
      <c r="E70" s="96" t="n">
        <f aca="false">MAX(1,CEILING(E32*E20/(E57*E69),1))</f>
        <v>1</v>
      </c>
      <c r="F70" s="96" t="n">
        <f aca="false">MAX(1,CEILING(F32*F20/(F57*F69),1))</f>
        <v>1</v>
      </c>
      <c r="G70" s="96" t="n">
        <f aca="false">MAX(1,CEILING(G32*G20/(G57*G69),1))</f>
        <v>1</v>
      </c>
      <c r="H70" s="96" t="n">
        <f aca="false">MAX(1,CEILING(H32*H20/(H57*H69),1))</f>
        <v>1</v>
      </c>
      <c r="I70" s="96" t="n">
        <f aca="false">MAX(1,CEILING(I32*I20/(I57*I69),1))</f>
        <v>1</v>
      </c>
      <c r="J70" s="96" t="n">
        <f aca="false">MAX(1,CEILING(J32*J20/(J57*J69),1))</f>
        <v>1</v>
      </c>
      <c r="K70" s="96" t="n">
        <f aca="false">MAX(1,CEILING(K32*K20/(K57*K69),1))</f>
        <v>1</v>
      </c>
      <c r="L70" s="96" t="n">
        <f aca="false">MAX(1,CEILING(L32*L20/(L57*L69),1))</f>
        <v>1</v>
      </c>
      <c r="M70" s="96" t="n">
        <f aca="false">MAX(1,CEILING(M32*M20/(M57*M69),1))</f>
        <v>1</v>
      </c>
      <c r="N70" s="96" t="n">
        <f aca="false">MAX(1,CEILING(N32*N20/(N57*N69),1))</f>
        <v>1</v>
      </c>
      <c r="O70" s="96" t="n">
        <f aca="false">MAX(1,CEILING(O32*O20/(O57*O69),1))</f>
        <v>1</v>
      </c>
      <c r="P70" s="96" t="n">
        <f aca="false">MAX(1,CEILING(P32*P20/(P57*P69),1))</f>
        <v>1</v>
      </c>
      <c r="Q70" s="96" t="n">
        <f aca="false">MAX(1,CEILING(Q32*Q20/(Q57*Q69),1))</f>
        <v>1</v>
      </c>
      <c r="R70" s="96" t="n">
        <f aca="false">MAX(1,CEILING(R32*R20/(R57*R69),1))</f>
        <v>1</v>
      </c>
      <c r="S70" s="96" t="n">
        <f aca="false">MAX(1,CEILING(S32*S20/(S57*S69),1))</f>
        <v>1</v>
      </c>
      <c r="T70" s="96" t="n">
        <f aca="false">MAX(1,CEILING(T32*T20/(T57*T69),1))</f>
        <v>1</v>
      </c>
      <c r="U70" s="96" t="n">
        <f aca="false">MAX(1,CEILING(U32*U20/(U57*U69),1))</f>
        <v>1</v>
      </c>
      <c r="V70" s="96" t="n">
        <f aca="false">MAX(1,CEILING(V32*V20/(V57*V69),1))</f>
        <v>1</v>
      </c>
      <c r="W70" s="96" t="n">
        <f aca="false">MAX(1,CEILING(W32*W20/(W57*W69),1))</f>
        <v>1</v>
      </c>
      <c r="X70" s="96" t="n">
        <f aca="false">MAX(1,CEILING(X32*X20/(X57*X69),1))</f>
        <v>1</v>
      </c>
      <c r="Y70" s="96" t="n">
        <f aca="false">MAX(1,CEILING(Y32*Y20/(Y57*Y69),1))</f>
        <v>1</v>
      </c>
      <c r="Z70" s="96" t="n">
        <f aca="false">MAX(1,CEILING(Z32*Z20/(Z57*Z69),1))</f>
        <v>1</v>
      </c>
      <c r="AA70" s="96" t="n">
        <f aca="false">MAX(1,CEILING(AA32*AA20/(AA57*AA69),1))</f>
        <v>1</v>
      </c>
      <c r="AB70" s="96" t="n">
        <f aca="false">MAX(1,CEILING(AB32*AB20/(AB57*AB69),1))</f>
        <v>1</v>
      </c>
      <c r="AC70" s="96" t="n">
        <f aca="false">MAX(1,CEILING(AC32*AC20/(AC57*AC69),1))</f>
        <v>1</v>
      </c>
      <c r="AD70" s="96" t="n">
        <f aca="false">MAX(1,CEILING(AD32*AD20/(AD57*AD69),1))</f>
        <v>1</v>
      </c>
      <c r="AE70" s="96" t="n">
        <f aca="false">MAX(1,CEILING(AE32*AE20/(AE57*AE69),1))</f>
        <v>1</v>
      </c>
      <c r="AF70" s="96" t="n">
        <f aca="false">MAX(1,CEILING(AF32*AF20/(AF57*AF69),1))</f>
        <v>1</v>
      </c>
      <c r="AG70" s="96" t="n">
        <f aca="false">MAX(1,CEILING(AG32*AG20/(AG57*AG69),1))</f>
        <v>1</v>
      </c>
      <c r="AH70" s="96" t="n">
        <f aca="false">MAX(1,CEILING(AH32*AH20/(AH57*AH69),1))</f>
        <v>1</v>
      </c>
    </row>
    <row r="71" customFormat="false" ht="15" hidden="false" customHeight="false" outlineLevel="0" collapsed="false">
      <c r="A71" s="45" t="s">
        <v>679</v>
      </c>
      <c r="B71" s="45" t="s">
        <v>639</v>
      </c>
      <c r="C71" s="56" t="n">
        <f aca="false">MAX(C18,CEILING(C33*C19/(C58*C69),1))</f>
        <v>32</v>
      </c>
      <c r="D71" s="56" t="n">
        <f aca="false">MAX(D18,CEILING(D33*D19/(D58*D69),1))</f>
        <v>32</v>
      </c>
      <c r="E71" s="56" t="n">
        <f aca="false">MAX(E18,CEILING(E33*E19/(E58*E69),1))</f>
        <v>32</v>
      </c>
      <c r="F71" s="56" t="n">
        <f aca="false">MAX(F18,CEILING(F33*F19/(F58*F69),1))</f>
        <v>32</v>
      </c>
      <c r="G71" s="56" t="n">
        <f aca="false">MAX(G18,CEILING(G33*G19/(G58*G69),1))</f>
        <v>32</v>
      </c>
      <c r="H71" s="56" t="n">
        <f aca="false">MAX(H18,CEILING(H33*H19/(H58*H69),1))</f>
        <v>32</v>
      </c>
      <c r="I71" s="56" t="n">
        <f aca="false">MAX(I18,CEILING(I33*I19/(I58*I69),1))</f>
        <v>32</v>
      </c>
      <c r="J71" s="56" t="n">
        <f aca="false">MAX(J18,CEILING(J33*J19/(J58*J69),1))</f>
        <v>32</v>
      </c>
      <c r="K71" s="56" t="n">
        <f aca="false">MAX(K18,CEILING(K33*K19/(K58*K69),1))</f>
        <v>32</v>
      </c>
      <c r="L71" s="56" t="n">
        <f aca="false">MAX(L18,CEILING(L33*L19/(L58*L69),1))</f>
        <v>32</v>
      </c>
      <c r="M71" s="56" t="n">
        <f aca="false">MAX(M18,CEILING(M33*M19/(M58*M69),1))</f>
        <v>32</v>
      </c>
      <c r="N71" s="56" t="n">
        <f aca="false">MAX(N18,CEILING(N33*N19/(N58*N69),1))</f>
        <v>32</v>
      </c>
      <c r="O71" s="56" t="n">
        <f aca="false">MAX(O18,CEILING(O33*O19/(O58*O69),1))</f>
        <v>32</v>
      </c>
      <c r="P71" s="56" t="n">
        <f aca="false">MAX(P18,CEILING(P33*P19/(P58*P69),1))</f>
        <v>32</v>
      </c>
      <c r="Q71" s="56" t="n">
        <f aca="false">MAX(Q18,CEILING(Q33*Q19/(Q58*Q69),1))</f>
        <v>32</v>
      </c>
      <c r="R71" s="56" t="n">
        <f aca="false">MAX(R18,CEILING(R33*R19/(R58*R69),1))</f>
        <v>32</v>
      </c>
      <c r="S71" s="56" t="n">
        <f aca="false">MAX(S18,CEILING(S33*S19/(S58*S69),1))</f>
        <v>32</v>
      </c>
      <c r="T71" s="56" t="n">
        <f aca="false">MAX(T18,CEILING(T33*T19/(T58*T69),1))</f>
        <v>32</v>
      </c>
      <c r="U71" s="56" t="n">
        <f aca="false">MAX(U18,CEILING(U33*U19/(U58*U69),1))</f>
        <v>32</v>
      </c>
      <c r="V71" s="56" t="n">
        <f aca="false">MAX(V18,CEILING(V33*V19/(V58*V69),1))</f>
        <v>32</v>
      </c>
      <c r="W71" s="56" t="n">
        <f aca="false">MAX(W18,CEILING(W33*W19/(W58*W69),1))</f>
        <v>32</v>
      </c>
      <c r="X71" s="56" t="n">
        <f aca="false">MAX(X18,CEILING(X33*X19/(X58*X69),1))</f>
        <v>32</v>
      </c>
      <c r="Y71" s="56" t="n">
        <f aca="false">MAX(Y18,CEILING(Y33*Y19/(Y58*Y69),1))</f>
        <v>32</v>
      </c>
      <c r="Z71" s="56" t="n">
        <f aca="false">MAX(Z18,CEILING(Z33*Z19/(Z58*Z69),1))</f>
        <v>32</v>
      </c>
      <c r="AA71" s="56" t="n">
        <f aca="false">MAX(AA18,CEILING(AA33*AA19/(AA58*AA69),1))</f>
        <v>32</v>
      </c>
      <c r="AB71" s="56" t="n">
        <f aca="false">MAX(AB18,CEILING(AB33*AB19/(AB58*AB69),1))</f>
        <v>32</v>
      </c>
      <c r="AC71" s="56" t="n">
        <f aca="false">MAX(AC18,CEILING(AC33*AC19/(AC58*AC69),1))</f>
        <v>32</v>
      </c>
      <c r="AD71" s="56" t="n">
        <f aca="false">MAX(AD18,CEILING(AD33*AD19/(AD58*AD69),1))</f>
        <v>32</v>
      </c>
      <c r="AE71" s="56" t="n">
        <f aca="false">MAX(AE18,CEILING(AE33*AE19/(AE58*AE69),1))</f>
        <v>32</v>
      </c>
      <c r="AF71" s="56" t="n">
        <f aca="false">MAX(AF18,CEILING(AF33*AF19/(AF58*AF69),1))</f>
        <v>32</v>
      </c>
      <c r="AG71" s="56" t="n">
        <f aca="false">MAX(AG18,CEILING(AG33*AG19/(AG58*AG69),1))</f>
        <v>32</v>
      </c>
      <c r="AH71" s="56" t="n">
        <f aca="false">MAX(AH18,CEILING(AH33*AH19/(AH58*AH69),1))</f>
        <v>32</v>
      </c>
    </row>
    <row r="72" customFormat="false" ht="15" hidden="false" customHeight="false" outlineLevel="0" collapsed="false">
      <c r="A72" s="44" t="s">
        <v>415</v>
      </c>
      <c r="B72" s="45" t="s">
        <v>261</v>
      </c>
      <c r="C72" s="55" t="n">
        <f aca="false">C32*C20/C70+C33*C19/C71</f>
        <v>48.0463324652778</v>
      </c>
      <c r="D72" s="55" t="n">
        <f aca="false">D32*D20/D70+D33*D19/D71</f>
        <v>48.0463324652778</v>
      </c>
      <c r="E72" s="55" t="n">
        <f aca="false">E32*E20/E70+E33*E19/E71</f>
        <v>48.0463324652778</v>
      </c>
      <c r="F72" s="55" t="n">
        <f aca="false">F32*F20/F70+F33*F19/F71</f>
        <v>48.0463324652778</v>
      </c>
      <c r="G72" s="55" t="n">
        <f aca="false">G32*G20/G70+G33*G19/G71</f>
        <v>48.0463324652778</v>
      </c>
      <c r="H72" s="55" t="n">
        <f aca="false">H32*H20/H70+H33*H19/H71</f>
        <v>48.0463324652778</v>
      </c>
      <c r="I72" s="55" t="n">
        <f aca="false">I32*I20/I70+I33*I19/I71</f>
        <v>48.0463324652778</v>
      </c>
      <c r="J72" s="55" t="n">
        <f aca="false">J32*J20/J70+J33*J19/J71</f>
        <v>48.0463324652778</v>
      </c>
      <c r="K72" s="55" t="n">
        <f aca="false">K32*K20/K70+K33*K19/K71</f>
        <v>48.0463324652778</v>
      </c>
      <c r="L72" s="55" t="n">
        <f aca="false">L32*L20/L70+L33*L19/L71</f>
        <v>48.0463324652778</v>
      </c>
      <c r="M72" s="55" t="n">
        <f aca="false">M32*M20/M70+M33*M19/M71</f>
        <v>48.0463324652778</v>
      </c>
      <c r="N72" s="55" t="n">
        <f aca="false">N32*N20/N70+N33*N19/N71</f>
        <v>48.0463324652778</v>
      </c>
      <c r="O72" s="55" t="n">
        <f aca="false">O32*O20/O70+O33*O19/O71</f>
        <v>48.0463324652778</v>
      </c>
      <c r="P72" s="55" t="n">
        <f aca="false">P32*P20/P70+P33*P19/P71</f>
        <v>48.0463324652778</v>
      </c>
      <c r="Q72" s="55" t="n">
        <f aca="false">Q32*Q20/Q70+Q33*Q19/Q71</f>
        <v>48.0463324652778</v>
      </c>
      <c r="R72" s="55" t="n">
        <f aca="false">R32*R20/R70+R33*R19/R71</f>
        <v>48.0463324652778</v>
      </c>
      <c r="S72" s="55" t="n">
        <f aca="false">S32*S20/S70+S33*S19/S71</f>
        <v>48.0463324652778</v>
      </c>
      <c r="T72" s="55" t="n">
        <f aca="false">T32*T20/T70+T33*T19/T71</f>
        <v>48.0463324652778</v>
      </c>
      <c r="U72" s="55" t="n">
        <f aca="false">U32*U20/U70+U33*U19/U71</f>
        <v>48.0463324652778</v>
      </c>
      <c r="V72" s="55" t="n">
        <f aca="false">V32*V20/V70+V33*V19/V71</f>
        <v>48.0463324652778</v>
      </c>
      <c r="W72" s="55" t="n">
        <f aca="false">W32*W20/W70+W33*W19/W71</f>
        <v>48.0463324652778</v>
      </c>
      <c r="X72" s="55" t="n">
        <f aca="false">X32*X20/X70+X33*X19/X71</f>
        <v>48.0463324652778</v>
      </c>
      <c r="Y72" s="55" t="n">
        <f aca="false">Y32*Y20/Y70+Y33*Y19/Y71</f>
        <v>48.0463324652778</v>
      </c>
      <c r="Z72" s="55" t="n">
        <f aca="false">Z32*Z20/Z70+Z33*Z19/Z71</f>
        <v>48.0463324652778</v>
      </c>
      <c r="AA72" s="55" t="n">
        <f aca="false">AA32*AA20/AA70+AA33*AA19/AA71</f>
        <v>48.0463324652778</v>
      </c>
      <c r="AB72" s="55" t="n">
        <f aca="false">AB32*AB20/AB70+AB33*AB19/AB71</f>
        <v>48.0463324652778</v>
      </c>
      <c r="AC72" s="55" t="n">
        <f aca="false">AC32*AC20/AC70+AC33*AC19/AC71</f>
        <v>118.522476688508</v>
      </c>
      <c r="AD72" s="55" t="n">
        <f aca="false">AD32*AD20/AD70+AD33*AD19/AD71</f>
        <v>118.522476688508</v>
      </c>
      <c r="AE72" s="55" t="n">
        <f aca="false">AE32*AE20/AE70+AE33*AE19/AE71</f>
        <v>118.522476688508</v>
      </c>
      <c r="AF72" s="55" t="n">
        <f aca="false">AF32*AF20/AF70+AF33*AF19/AF71</f>
        <v>118.522476688508</v>
      </c>
      <c r="AG72" s="55" t="n">
        <f aca="false">AG32*AG20/AG70+AG33*AG19/AG71</f>
        <v>118.522476688508</v>
      </c>
      <c r="AH72" s="55" t="n">
        <f aca="false">AH32*AH20/AH70+AH33*AH19/AH71</f>
        <v>118.522476688508</v>
      </c>
    </row>
    <row r="73" customFormat="false" ht="15" hidden="false" customHeight="false" outlineLevel="0" collapsed="false">
      <c r="A73" s="44" t="s">
        <v>680</v>
      </c>
      <c r="B73" s="45" t="s">
        <v>57</v>
      </c>
      <c r="C73" s="67" t="n">
        <f aca="false">C72/C69</f>
        <v>0.185363936980238</v>
      </c>
      <c r="D73" s="67" t="n">
        <f aca="false">D72/D69</f>
        <v>0.185363936980238</v>
      </c>
      <c r="E73" s="67" t="n">
        <f aca="false">E72/E69</f>
        <v>0.185363936980238</v>
      </c>
      <c r="F73" s="67" t="n">
        <f aca="false">F72/F69</f>
        <v>0.185363936980238</v>
      </c>
      <c r="G73" s="67" t="n">
        <f aca="false">G72/G69</f>
        <v>0.185363936980238</v>
      </c>
      <c r="H73" s="67" t="n">
        <f aca="false">H72/H69</f>
        <v>0.185363936980238</v>
      </c>
      <c r="I73" s="67" t="n">
        <f aca="false">I72/I69</f>
        <v>0.185363936980238</v>
      </c>
      <c r="J73" s="67" t="n">
        <f aca="false">J72/J69</f>
        <v>0.185363936980238</v>
      </c>
      <c r="K73" s="67" t="n">
        <f aca="false">K72/K69</f>
        <v>0.185363936980238</v>
      </c>
      <c r="L73" s="67" t="n">
        <f aca="false">L72/L69</f>
        <v>0.185363936980238</v>
      </c>
      <c r="M73" s="67" t="n">
        <f aca="false">M72/M69</f>
        <v>0.185363936980238</v>
      </c>
      <c r="N73" s="67" t="n">
        <f aca="false">N72/N69</f>
        <v>0.185363936980238</v>
      </c>
      <c r="O73" s="67" t="n">
        <f aca="false">O72/O69</f>
        <v>0.185363936980238</v>
      </c>
      <c r="P73" s="67" t="n">
        <f aca="false">P72/P69</f>
        <v>0.185363936980238</v>
      </c>
      <c r="Q73" s="67" t="n">
        <f aca="false">Q72/Q69</f>
        <v>0.185363936980238</v>
      </c>
      <c r="R73" s="67" t="n">
        <f aca="false">R72/R69</f>
        <v>0.185363936980238</v>
      </c>
      <c r="S73" s="67" t="n">
        <f aca="false">S72/S69</f>
        <v>0.185363936980238</v>
      </c>
      <c r="T73" s="67" t="n">
        <f aca="false">T72/T69</f>
        <v>0.185363936980238</v>
      </c>
      <c r="U73" s="67" t="n">
        <f aca="false">U72/U69</f>
        <v>0.185363936980238</v>
      </c>
      <c r="V73" s="67" t="n">
        <f aca="false">V72/V69</f>
        <v>0.185363936980238</v>
      </c>
      <c r="W73" s="67" t="n">
        <f aca="false">W72/W69</f>
        <v>0.185363936980238</v>
      </c>
      <c r="X73" s="67" t="n">
        <f aca="false">X72/X69</f>
        <v>0.185363936980238</v>
      </c>
      <c r="Y73" s="67" t="n">
        <f aca="false">Y72/Y69</f>
        <v>0.185363936980238</v>
      </c>
      <c r="Z73" s="67" t="n">
        <f aca="false">Z72/Z69</f>
        <v>0.185363936980238</v>
      </c>
      <c r="AA73" s="67" t="n">
        <f aca="false">AA72/AA69</f>
        <v>0.185363936980238</v>
      </c>
      <c r="AB73" s="67" t="n">
        <f aca="false">AB72/AB69</f>
        <v>0.185363936980238</v>
      </c>
      <c r="AC73" s="67" t="n">
        <f aca="false">AC72/AC69</f>
        <v>0.45726264154517</v>
      </c>
      <c r="AD73" s="67" t="n">
        <f aca="false">AD72/AD69</f>
        <v>0.45726264154517</v>
      </c>
      <c r="AE73" s="67" t="n">
        <f aca="false">AE72/AE69</f>
        <v>0.45726264154517</v>
      </c>
      <c r="AF73" s="67" t="n">
        <f aca="false">AF72/AF69</f>
        <v>0.45726264154517</v>
      </c>
      <c r="AG73" s="67" t="n">
        <f aca="false">AG72/AG69</f>
        <v>0.45726264154517</v>
      </c>
      <c r="AH73" s="67" t="n">
        <f aca="false">AH72/AH69</f>
        <v>0.45726264154517</v>
      </c>
    </row>
    <row r="74" customFormat="false" ht="15" hidden="false" customHeight="false" outlineLevel="0" collapsed="false">
      <c r="A74" s="72" t="s">
        <v>681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</row>
    <row r="75" customFormat="false" ht="15" hidden="false" customHeight="false" outlineLevel="0" collapsed="false">
      <c r="A75" s="45" t="s">
        <v>682</v>
      </c>
      <c r="B75" s="45" t="s">
        <v>300</v>
      </c>
      <c r="C75" s="56" t="n">
        <f aca="false">C51*C14*1000000000000000/(C67*1000000000)</f>
        <v>78765.1715078897</v>
      </c>
      <c r="D75" s="56" t="n">
        <f aca="false">D51*D14*1000000000000000/(D67*1000000000)</f>
        <v>33756.5020748099</v>
      </c>
      <c r="E75" s="56" t="n">
        <f aca="false">E51*E14*1000000000000000/(E67*1000000000)</f>
        <v>78765.1715078897</v>
      </c>
      <c r="F75" s="56" t="n">
        <f aca="false">F51*F14*1000000000000000/(F67*1000000000)</f>
        <v>33756.5020748099</v>
      </c>
      <c r="G75" s="56" t="n">
        <f aca="false">G51*G14*1000000000000000/(G67*1000000000)</f>
        <v>78765.1715078897</v>
      </c>
      <c r="H75" s="56" t="n">
        <f aca="false">H51*H14*1000000000000000/(H67*1000000000)</f>
        <v>33756.5020748099</v>
      </c>
      <c r="I75" s="56" t="n">
        <f aca="false">I51*I14*1000000000000000/(I67*1000000000)</f>
        <v>78765.1715078897</v>
      </c>
      <c r="J75" s="56" t="n">
        <f aca="false">J51*J14*1000000000000000/(J67*1000000000)</f>
        <v>33756.5020748099</v>
      </c>
      <c r="K75" s="56" t="n">
        <f aca="false">K51*K14*1000000000000000/(K67*1000000000)</f>
        <v>78765.1715078897</v>
      </c>
      <c r="L75" s="56" t="n">
        <f aca="false">L51*L14*1000000000000000/(L67*1000000000)</f>
        <v>33756.5020748099</v>
      </c>
      <c r="M75" s="56" t="n">
        <f aca="false">M51*M14*1000000000000000/(M67*1000000000)</f>
        <v>112521.6735827</v>
      </c>
      <c r="N75" s="56" t="n">
        <f aca="false">N51*N14*1000000000000000/(N67*1000000000)</f>
        <v>33756.5020748099</v>
      </c>
      <c r="O75" s="56" t="n">
        <f aca="false">O51*O14*1000000000000000/(O67*1000000000)</f>
        <v>78765.1715078897</v>
      </c>
      <c r="P75" s="56" t="n">
        <f aca="false">P51*P14*1000000000000000/(P67*1000000000)</f>
        <v>33756.5020748099</v>
      </c>
      <c r="Q75" s="56" t="n">
        <f aca="false">Q51*Q14*1000000000000000/(Q67*1000000000)</f>
        <v>78765.1715078897</v>
      </c>
      <c r="R75" s="56" t="n">
        <f aca="false">R51*R14*1000000000000000/(R67*1000000000)</f>
        <v>33756.5020748099</v>
      </c>
      <c r="S75" s="56" t="n">
        <f aca="false">S51*S14*1000000000000000/(S67*1000000000)</f>
        <v>78765.1715078897</v>
      </c>
      <c r="T75" s="56" t="n">
        <f aca="false">T51*T14*1000000000000000/(T67*1000000000)</f>
        <v>33756.5020748099</v>
      </c>
      <c r="U75" s="56" t="n">
        <f aca="false">U51*U14*1000000000000000/(U67*1000000000)</f>
        <v>78765.1715078897</v>
      </c>
      <c r="V75" s="56" t="n">
        <f aca="false">V51*V14*1000000000000000/(V67*1000000000)</f>
        <v>33756.5020748099</v>
      </c>
      <c r="W75" s="56" t="n">
        <f aca="false">W51*W14*1000000000000000/(W67*1000000000)</f>
        <v>90888.7103835079</v>
      </c>
      <c r="X75" s="56" t="n">
        <f aca="false">X51*X14*1000000000000000/(X67*1000000000)</f>
        <v>38952.3044500748</v>
      </c>
      <c r="Y75" s="56" t="n">
        <f aca="false">Y51*Y14*1000000000000000/(Y67*1000000000)</f>
        <v>77868.4707033983</v>
      </c>
      <c r="Z75" s="56" t="n">
        <f aca="false">Z51*Z14*1000000000000000/(Z67*1000000000)</f>
        <v>33372.2017300278</v>
      </c>
      <c r="AA75" s="56" t="n">
        <f aca="false">AA51*AA14*1000000000000000/(AA67*1000000000)</f>
        <v>55135.6200555228</v>
      </c>
      <c r="AB75" s="56" t="n">
        <f aca="false">AB51*AB14*1000000000000000/(AB67*1000000000)</f>
        <v>23629.5514523669</v>
      </c>
      <c r="AC75" s="56" t="n">
        <f aca="false">AC51*AC14*1000000000000000/(AC67*1000000000)</f>
        <v>23834.8916576419</v>
      </c>
      <c r="AD75" s="56" t="n">
        <f aca="false">AD51*AD14*1000000000000000/(AD67*1000000000)</f>
        <v>10214.9535675608</v>
      </c>
      <c r="AE75" s="56" t="n">
        <f aca="false">AE51*AE14*1000000000000000/(AE67*1000000000)</f>
        <v>23834.8916576419</v>
      </c>
      <c r="AF75" s="56" t="n">
        <f aca="false">AF51*AF14*1000000000000000/(AF67*1000000000)</f>
        <v>10214.9535675608</v>
      </c>
      <c r="AG75" s="56" t="n">
        <f aca="false">AG51*AG14*1000000000000000/(AG67*1000000000)</f>
        <v>23834.8916576419</v>
      </c>
      <c r="AH75" s="56" t="n">
        <f aca="false">AH51*AH14*1000000000000000/(AH67*1000000000)</f>
        <v>10214.9535675608</v>
      </c>
    </row>
    <row r="76" customFormat="false" ht="15" hidden="false" customHeight="false" outlineLevel="0" collapsed="false">
      <c r="A76" s="45" t="s">
        <v>683</v>
      </c>
      <c r="B76" s="45" t="s">
        <v>303</v>
      </c>
      <c r="C76" s="57" t="n">
        <f aca="false">C43*C67*1000000000/(C51*C14*1000000000000000*C21)</f>
        <v>0.0520026798848488</v>
      </c>
      <c r="D76" s="57" t="n">
        <f aca="false">D43*D67*1000000000/(D51*D14*1000000000000000*D21)</f>
        <v>0.12133958639798</v>
      </c>
      <c r="E76" s="57" t="n">
        <f aca="false">E43*E67*1000000000/(E51*E14*1000000000000000*E21)</f>
        <v>0.0520026798848488</v>
      </c>
      <c r="F76" s="57" t="n">
        <f aca="false">F43*F67*1000000000/(F51*F14*1000000000000000*F21)</f>
        <v>0.12133958639798</v>
      </c>
      <c r="G76" s="57" t="n">
        <f aca="false">G43*G67*1000000000/(G51*G14*1000000000000000*G21)</f>
        <v>0.0520026798848488</v>
      </c>
      <c r="H76" s="57" t="n">
        <f aca="false">H43*H67*1000000000/(H51*H14*1000000000000000*H21)</f>
        <v>0.12133958639798</v>
      </c>
      <c r="I76" s="57" t="n">
        <f aca="false">I43*I67*1000000000/(I51*I14*1000000000000000*I21)</f>
        <v>0.0520026798848488</v>
      </c>
      <c r="J76" s="57" t="n">
        <f aca="false">J43*J67*1000000000/(J51*J14*1000000000000000*J21)</f>
        <v>0.12133958639798</v>
      </c>
      <c r="K76" s="57" t="n">
        <f aca="false">K43*K67*1000000000/(K51*K14*1000000000000000*K21)</f>
        <v>0.0520026798848488</v>
      </c>
      <c r="L76" s="57" t="n">
        <f aca="false">L43*L67*1000000000/(L51*L14*1000000000000000*L21)</f>
        <v>0.12133958639798</v>
      </c>
      <c r="M76" s="57" t="n">
        <f aca="false">M43*M67*1000000000/(M51*M14*1000000000000000*M21)</f>
        <v>0.0364018759193941</v>
      </c>
      <c r="N76" s="57" t="n">
        <f aca="false">N43*N67*1000000000/(N51*N14*1000000000000000*N21)</f>
        <v>0.12133958639798</v>
      </c>
      <c r="O76" s="57" t="n">
        <f aca="false">O43*O67*1000000000/(O51*O14*1000000000000000*O21)</f>
        <v>0.0520026798848488</v>
      </c>
      <c r="P76" s="57" t="n">
        <f aca="false">P43*P67*1000000000/(P51*P14*1000000000000000*P21)</f>
        <v>0.12133958639798</v>
      </c>
      <c r="Q76" s="57" t="n">
        <f aca="false">Q43*Q67*1000000000/(Q51*Q14*1000000000000000*Q21)</f>
        <v>0.0520026798848488</v>
      </c>
      <c r="R76" s="57" t="n">
        <f aca="false">R43*R67*1000000000/(R51*R14*1000000000000000*R21)</f>
        <v>0.12133958639798</v>
      </c>
      <c r="S76" s="57" t="n">
        <f aca="false">S43*S67*1000000000/(S51*S14*1000000000000000*S21)</f>
        <v>0.0520026798848488</v>
      </c>
      <c r="T76" s="57" t="n">
        <f aca="false">T43*T67*1000000000/(T51*T14*1000000000000000*T21)</f>
        <v>0.12133958639798</v>
      </c>
      <c r="U76" s="57" t="n">
        <f aca="false">U43*U67*1000000000/(U51*U14*1000000000000000*U21)</f>
        <v>0.0520026798848488</v>
      </c>
      <c r="V76" s="57" t="n">
        <f aca="false">V43*V67*1000000000/(V51*V14*1000000000000000*V21)</f>
        <v>0.12133958639798</v>
      </c>
      <c r="W76" s="57" t="n">
        <f aca="false">W43*W67*1000000000/(W51*W14*1000000000000000*W21)</f>
        <v>0.0112665257948891</v>
      </c>
      <c r="X76" s="57" t="n">
        <f aca="false">X43*X67*1000000000/(X51*X14*1000000000000000*X21)</f>
        <v>0.0262885601880747</v>
      </c>
      <c r="Y76" s="57" t="n">
        <f aca="false">Y43*Y67*1000000000/(Y51*Y14*1000000000000000*Y21)</f>
        <v>0.21040608415705</v>
      </c>
      <c r="Z76" s="57" t="n">
        <f aca="false">Z43*Z67*1000000000/(Z51*Z14*1000000000000000*Z21)</f>
        <v>0.490947529699783</v>
      </c>
      <c r="AA76" s="57" t="n">
        <f aca="false">AA43*AA67*1000000000/(AA51*AA14*1000000000000000*AA21)</f>
        <v>0.0742895426926411</v>
      </c>
      <c r="AB76" s="57" t="n">
        <f aca="false">AB43*AB67*1000000000/(AB51*AB14*1000000000000000*AB21)</f>
        <v>0.173342266282829</v>
      </c>
      <c r="AC76" s="57" t="n">
        <f aca="false">AC43*AC67*1000000000/(AC51*AC14*1000000000000000*AC21)</f>
        <v>0.343697807301486</v>
      </c>
      <c r="AD76" s="57" t="n">
        <f aca="false">AD43*AD67*1000000000/(AD51*AD14*1000000000000000*AD21)</f>
        <v>0.801961550370133</v>
      </c>
      <c r="AE76" s="57" t="n">
        <f aca="false">AE43*AE67*1000000000/(AE51*AE14*1000000000000000*AE21)</f>
        <v>0.343697807301486</v>
      </c>
      <c r="AF76" s="57" t="n">
        <f aca="false">AF43*AF67*1000000000/(AF51*AF14*1000000000000000*AF21)</f>
        <v>0.801961550370133</v>
      </c>
      <c r="AG76" s="57" t="n">
        <f aca="false">AG43*AG67*1000000000/(AG51*AG14*1000000000000000*AG21)</f>
        <v>0.343697807301486</v>
      </c>
      <c r="AH76" s="57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45" t="s">
        <v>684</v>
      </c>
      <c r="B77" s="44"/>
      <c r="C77" s="44" t="str">
        <f aca="false">IF(C76&lt;=C42,"是","否")</f>
        <v>是</v>
      </c>
      <c r="D77" s="44" t="str">
        <f aca="false">IF(D76&lt;=D42,"是","否")</f>
        <v>是</v>
      </c>
      <c r="E77" s="44" t="str">
        <f aca="false">IF(E76&lt;=E42,"是","否")</f>
        <v>是</v>
      </c>
      <c r="F77" s="44" t="str">
        <f aca="false">IF(F76&lt;=F42,"是","否")</f>
        <v>是</v>
      </c>
      <c r="G77" s="44" t="str">
        <f aca="false">IF(G76&lt;=G42,"是","否")</f>
        <v>是</v>
      </c>
      <c r="H77" s="44" t="str">
        <f aca="false">IF(H76&lt;=H42,"是","否")</f>
        <v>是</v>
      </c>
      <c r="I77" s="44" t="str">
        <f aca="false">IF(I76&lt;=I42,"是","否")</f>
        <v>是</v>
      </c>
      <c r="J77" s="44" t="str">
        <f aca="false">IF(J76&lt;=J42,"是","否")</f>
        <v>是</v>
      </c>
      <c r="K77" s="44" t="str">
        <f aca="false">IF(K76&lt;=K42,"是","否")</f>
        <v>是</v>
      </c>
      <c r="L77" s="44" t="str">
        <f aca="false">IF(L76&lt;=L42,"是","否")</f>
        <v>是</v>
      </c>
      <c r="M77" s="44" t="str">
        <f aca="false">IF(M76&lt;=M42,"是","否")</f>
        <v>是</v>
      </c>
      <c r="N77" s="44" t="str">
        <f aca="false">IF(N76&lt;=N42,"是","否")</f>
        <v>是</v>
      </c>
      <c r="O77" s="44" t="str">
        <f aca="false">IF(O76&lt;=O42,"是","否")</f>
        <v>是</v>
      </c>
      <c r="P77" s="44" t="str">
        <f aca="false">IF(P76&lt;=P42,"是","否")</f>
        <v>是</v>
      </c>
      <c r="Q77" s="44" t="str">
        <f aca="false">IF(Q76&lt;=Q42,"是","否")</f>
        <v>是</v>
      </c>
      <c r="R77" s="44" t="str">
        <f aca="false">IF(R76&lt;=R42,"是","否")</f>
        <v>是</v>
      </c>
      <c r="S77" s="44" t="str">
        <f aca="false">IF(S76&lt;=S42,"是","否")</f>
        <v>是</v>
      </c>
      <c r="T77" s="44" t="str">
        <f aca="false">IF(T76&lt;=T42,"是","否")</f>
        <v>是</v>
      </c>
      <c r="U77" s="44" t="str">
        <f aca="false">IF(U76&lt;=U42,"是","否")</f>
        <v>是</v>
      </c>
      <c r="V77" s="44" t="str">
        <f aca="false">IF(V76&lt;=V42,"是","否")</f>
        <v>是</v>
      </c>
      <c r="W77" s="44" t="str">
        <f aca="false">IF(W76&lt;=W42,"是","否")</f>
        <v>是</v>
      </c>
      <c r="X77" s="44" t="str">
        <f aca="false">IF(X76&lt;=X42,"是","否")</f>
        <v>是</v>
      </c>
      <c r="Y77" s="44" t="str">
        <f aca="false">IF(Y76&lt;=Y42,"是","否")</f>
        <v>是</v>
      </c>
      <c r="Z77" s="44" t="str">
        <f aca="false">IF(Z76&lt;=Z42,"是","否")</f>
        <v>是</v>
      </c>
      <c r="AA77" s="44" t="str">
        <f aca="false">IF(AA76&lt;=AA42,"是","否")</f>
        <v>是</v>
      </c>
      <c r="AB77" s="44" t="str">
        <f aca="false">IF(AB76&lt;=AB42,"是","否")</f>
        <v>是</v>
      </c>
      <c r="AC77" s="44" t="str">
        <f aca="false">IF(AC76&lt;=AC42,"是","否")</f>
        <v>是</v>
      </c>
      <c r="AD77" s="44" t="str">
        <f aca="false">IF(AD76&lt;=AD42,"是","否")</f>
        <v>是</v>
      </c>
      <c r="AE77" s="44" t="str">
        <f aca="false">IF(AE76&lt;=AE42,"是","否")</f>
        <v>是</v>
      </c>
      <c r="AF77" s="44" t="str">
        <f aca="false">IF(AF76&lt;=AF42,"是","否")</f>
        <v>是</v>
      </c>
      <c r="AG77" s="44" t="str">
        <f aca="false">IF(AG76&lt;=AG42,"是","否")</f>
        <v>是</v>
      </c>
      <c r="AH77" s="44" t="str">
        <f aca="false">IF(AH76&lt;=AH42,"是","否")</f>
        <v>是</v>
      </c>
    </row>
    <row r="78" customFormat="false" ht="15" hidden="false" customHeight="false" outlineLevel="0" collapsed="false">
      <c r="A78" s="72" t="s">
        <v>685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</row>
    <row r="79" customFormat="false" ht="15" hidden="false" customHeight="false" outlineLevel="0" collapsed="false">
      <c r="A79" s="44" t="s">
        <v>686</v>
      </c>
      <c r="B79" s="45" t="s">
        <v>420</v>
      </c>
      <c r="C79" s="52" t="n">
        <f aca="false">C72/C16+(C29+C47)*C55/1000</f>
        <v>12.4417521013904</v>
      </c>
      <c r="D79" s="52" t="n">
        <f aca="false">D72/D16+(D29+D47)*D55/1000</f>
        <v>16.263619456583</v>
      </c>
      <c r="E79" s="52" t="n">
        <f aca="false">E72/E16+(E29+E47)*E55/1000</f>
        <v>12.4417521013904</v>
      </c>
      <c r="F79" s="52" t="n">
        <f aca="false">F72/F16+(F29+F47)*F55/1000</f>
        <v>16.263619456583</v>
      </c>
      <c r="G79" s="52" t="n">
        <f aca="false">G72/G16+(G29+G47)*G55/1000</f>
        <v>12.4417521013904</v>
      </c>
      <c r="H79" s="52" t="n">
        <f aca="false">H72/H16+(H29+H47)*H55/1000</f>
        <v>16.263619456583</v>
      </c>
      <c r="I79" s="52" t="n">
        <f aca="false">I72/I16+(I29+I47)*I55/1000</f>
        <v>9.36440373186346</v>
      </c>
      <c r="J79" s="52" t="n">
        <f aca="false">J72/J16+(J29+J47)*J55/1000</f>
        <v>16.263619456583</v>
      </c>
      <c r="K79" s="52" t="n">
        <f aca="false">K72/K16+(K29+K47)*K55/1000</f>
        <v>17.5706660506021</v>
      </c>
      <c r="L79" s="52" t="n">
        <f aca="false">L72/L16+(L29+L47)*L55/1000</f>
        <v>16.263619456583</v>
      </c>
      <c r="M79" s="52" t="n">
        <f aca="false">M72/M16+(M29+M47)*M55/1000</f>
        <v>12.4417521013904</v>
      </c>
      <c r="N79" s="52" t="n">
        <f aca="false">N72/N16+(N29+N47)*N55/1000</f>
        <v>16.263619456583</v>
      </c>
      <c r="O79" s="52" t="n">
        <f aca="false">O72/O16+(O29+O47)*O55/1000</f>
        <v>12.4417521013904</v>
      </c>
      <c r="P79" s="52" t="n">
        <f aca="false">P72/P16+(P29+P47)*P55/1000</f>
        <v>16.263619456583</v>
      </c>
      <c r="Q79" s="52" t="n">
        <f aca="false">Q72/Q16+(Q29+Q47)*Q55/1000</f>
        <v>12.4417521013904</v>
      </c>
      <c r="R79" s="52" t="n">
        <f aca="false">R72/R16+(R29+R47)*R55/1000</f>
        <v>16.263619456583</v>
      </c>
      <c r="S79" s="52" t="n">
        <f aca="false">S72/S16+(S29+S47)*S55/1000</f>
        <v>12.4417521013904</v>
      </c>
      <c r="T79" s="52" t="n">
        <f aca="false">T72/T16+(T29+T47)*T55/1000</f>
        <v>16.263619456583</v>
      </c>
      <c r="U79" s="52" t="n">
        <f aca="false">U72/U16+(U29+U47)*U55/1000</f>
        <v>12.4417521013904</v>
      </c>
      <c r="V79" s="52" t="n">
        <f aca="false">V72/V16+(V29+V47)*V55/1000</f>
        <v>16.263619456583</v>
      </c>
      <c r="W79" s="52" t="n">
        <f aca="false">W72/W16+(W29+W47)*W55/1000</f>
        <v>12.4417521013904</v>
      </c>
      <c r="X79" s="52" t="n">
        <f aca="false">X72/X16+(X29+X47)*X55/1000</f>
        <v>16.263619456583</v>
      </c>
      <c r="Y79" s="52" t="n">
        <f aca="false">Y72/Y16+(Y29+Y47)*Y55/1000</f>
        <v>12.4417521013904</v>
      </c>
      <c r="Z79" s="52" t="n">
        <f aca="false">Z72/Z16+(Z29+Z47)*Z55/1000</f>
        <v>16.263619456583</v>
      </c>
      <c r="AA79" s="52" t="n">
        <f aca="false">AA72/AA16+(AA29+AA47)*AA55/1000</f>
        <v>16.8379640578576</v>
      </c>
      <c r="AB79" s="52" t="n">
        <f aca="false">AB72/AB16+(AB29+AB47)*AB55/1000</f>
        <v>20.6598314130501</v>
      </c>
      <c r="AC79" s="52" t="n">
        <f aca="false">AC72/AC16+(AC29+AC47)*AC55/1000</f>
        <v>21.896077078048</v>
      </c>
      <c r="AD79" s="52" t="n">
        <f aca="false">AD72/AD16+(AD29+AD47)*AD55/1000</f>
        <v>31.3240013600885</v>
      </c>
      <c r="AE79" s="52" t="n">
        <f aca="false">AE72/AE16+(AE29+AE47)*AE55/1000</f>
        <v>21.896077078048</v>
      </c>
      <c r="AF79" s="52" t="n">
        <f aca="false">AF72/AF16+(AF29+AF47)*AF55/1000</f>
        <v>31.3240013600885</v>
      </c>
      <c r="AG79" s="52" t="n">
        <f aca="false">AG72/AG16+(AG29+AG47)*AG55/1000</f>
        <v>21.896077078048</v>
      </c>
      <c r="AH79" s="52" t="n">
        <f aca="false">AH72/AH16+(AH29+AH47)*AH55/1000</f>
        <v>31.3240013600885</v>
      </c>
    </row>
    <row r="80" customFormat="false" ht="15" hidden="false" customHeight="false" outlineLevel="0" collapsed="false">
      <c r="A80" s="44" t="s">
        <v>687</v>
      </c>
      <c r="B80" s="45" t="s">
        <v>420</v>
      </c>
      <c r="C80" s="53" t="n">
        <f aca="false">(C47+1)*C65/(C14*C53)/1000</f>
        <v>0.424526654211247</v>
      </c>
      <c r="D80" s="53" t="n">
        <f aca="false">(D47+1)*D65/(D14*D53)/1000</f>
        <v>0.990562193159576</v>
      </c>
      <c r="E80" s="53" t="n">
        <f aca="false">(E47+1)*E65/(E14*E53)/1000</f>
        <v>0.849053308422494</v>
      </c>
      <c r="F80" s="53" t="n">
        <f aca="false">(F47+1)*F65/(F14*F53)/1000</f>
        <v>0.990562193159576</v>
      </c>
      <c r="G80" s="53" t="n">
        <f aca="false">(G47+1)*G65/(G14*G53)/1000</f>
        <v>0.283017769474164</v>
      </c>
      <c r="H80" s="53" t="n">
        <f aca="false">(H47+1)*H65/(H14*H53)/1000</f>
        <v>0.990562193159576</v>
      </c>
      <c r="I80" s="53" t="n">
        <f aca="false">(I47+1)*I65/(I14*I53)/1000</f>
        <v>0.424526654211247</v>
      </c>
      <c r="J80" s="53" t="n">
        <f aca="false">(J47+1)*J65/(J14*J53)/1000</f>
        <v>0.990562193159576</v>
      </c>
      <c r="K80" s="53" t="n">
        <f aca="false">(K47+1)*K65/(K14*K53)/1000</f>
        <v>0.424526654211247</v>
      </c>
      <c r="L80" s="53" t="n">
        <f aca="false">(L47+1)*L65/(L14*L53)/1000</f>
        <v>0.990562193159576</v>
      </c>
      <c r="M80" s="53" t="n">
        <f aca="false">(M47+1)*M65/(M14*M53)/1000</f>
        <v>0.297168657947873</v>
      </c>
      <c r="N80" s="53" t="n">
        <f aca="false">(N47+1)*N65/(N14*N53)/1000</f>
        <v>0.990562193159576</v>
      </c>
      <c r="O80" s="53" t="n">
        <f aca="false">(O47+1)*O65/(O14*O53)/1000</f>
        <v>0.424526654211247</v>
      </c>
      <c r="P80" s="53" t="n">
        <f aca="false">(P47+1)*P65/(P14*P53)/1000</f>
        <v>0.990562193159576</v>
      </c>
      <c r="Q80" s="53" t="n">
        <f aca="false">(Q47+1)*Q65/(Q14*Q53)/1000</f>
        <v>0.424526654211247</v>
      </c>
      <c r="R80" s="53" t="n">
        <f aca="false">(R47+1)*R65/(R14*R53)/1000</f>
        <v>0.990562193159576</v>
      </c>
      <c r="S80" s="53" t="n">
        <f aca="false">(S47+1)*S65/(S14*S53)/1000</f>
        <v>0.424526654211247</v>
      </c>
      <c r="T80" s="53" t="n">
        <f aca="false">(T47+1)*T65/(T14*T53)/1000</f>
        <v>0.990562193159576</v>
      </c>
      <c r="U80" s="53" t="n">
        <f aca="false">(U47+1)*U65/(U14*U53)/1000</f>
        <v>0.424526654211247</v>
      </c>
      <c r="V80" s="53" t="n">
        <f aca="false">(V47+1)*V65/(V14*V53)/1000</f>
        <v>0.990562193159576</v>
      </c>
      <c r="W80" s="53" t="n">
        <f aca="false">(W47+1)*W65/(W14*W53)/1000</f>
        <v>0.422092828435634</v>
      </c>
      <c r="X80" s="53" t="n">
        <f aca="false">(X47+1)*X65/(X14*X53)/1000</f>
        <v>0.984883266349812</v>
      </c>
      <c r="Y80" s="53" t="n">
        <f aca="false">(Y47+1)*Y65/(Y14*Y53)/1000</f>
        <v>0.4342619573137</v>
      </c>
      <c r="Z80" s="53" t="n">
        <f aca="false">(Z47+1)*Z65/(Z14*Z53)/1000</f>
        <v>1.01327790039863</v>
      </c>
      <c r="AA80" s="53" t="n">
        <f aca="false">(AA47+1)*AA65/(AA14*AA53)/1000</f>
        <v>0.60646664887321</v>
      </c>
      <c r="AB80" s="53" t="n">
        <f aca="false">(AB47+1)*AB65/(AB14*AB53)/1000</f>
        <v>1.41508884737082</v>
      </c>
      <c r="AC80" s="53" t="n">
        <f aca="false">(AC47+1)*AC65/(AC14*AC53)/1000</f>
        <v>1.68413679561701</v>
      </c>
      <c r="AD80" s="53" t="n">
        <f aca="false">(AD47+1)*AD65/(AD14*AD53)/1000</f>
        <v>3.92965252310636</v>
      </c>
      <c r="AE80" s="53" t="n">
        <f aca="false">(AE47+1)*AE65/(AE14*AE53)/1000</f>
        <v>1.68413679561701</v>
      </c>
      <c r="AF80" s="53" t="n">
        <f aca="false">(AF47+1)*AF65/(AF14*AF53)/1000</f>
        <v>3.92965252310636</v>
      </c>
      <c r="AG80" s="53" t="n">
        <f aca="false">(AG47+1)*AG65/(AG14*AG53)/1000</f>
        <v>1.68413679561701</v>
      </c>
      <c r="AH80" s="53" t="n">
        <f aca="false">(AH47+1)*AH65/(AH14*AH53)/1000</f>
        <v>3.92965252310636</v>
      </c>
    </row>
    <row r="81" customFormat="false" ht="15" hidden="false" customHeight="false" outlineLevel="0" collapsed="false">
      <c r="A81" s="44" t="s">
        <v>688</v>
      </c>
      <c r="B81" s="45" t="s">
        <v>420</v>
      </c>
      <c r="C81" s="53" t="n">
        <f aca="false">C34*C45/(C16*C60)/1000000000</f>
        <v>0.00448199480519481</v>
      </c>
      <c r="D81" s="53" t="n">
        <f aca="false">D34*D45/(D16*D60)/1000000000</f>
        <v>0.0123254857142857</v>
      </c>
      <c r="E81" s="53" t="n">
        <f aca="false">E34*E45/(E16*E60)/1000000000</f>
        <v>0.00448199480519481</v>
      </c>
      <c r="F81" s="53" t="n">
        <f aca="false">F34*F45/(F16*F60)/1000000000</f>
        <v>0.0123254857142857</v>
      </c>
      <c r="G81" s="53" t="n">
        <f aca="false">G34*G45/(G16*G60)/1000000000</f>
        <v>0.00448199480519481</v>
      </c>
      <c r="H81" s="53" t="n">
        <f aca="false">H34*H45/(H16*H60)/1000000000</f>
        <v>0.0123254857142857</v>
      </c>
      <c r="I81" s="53" t="n">
        <f aca="false">I34*I45/(I16*I60)/1000000000</f>
        <v>0.00448199480519481</v>
      </c>
      <c r="J81" s="53" t="n">
        <f aca="false">J34*J45/(J16*J60)/1000000000</f>
        <v>0.0123254857142857</v>
      </c>
      <c r="K81" s="53" t="n">
        <f aca="false">K34*K45/(K16*K60)/1000000000</f>
        <v>0.00448199480519481</v>
      </c>
      <c r="L81" s="53" t="n">
        <f aca="false">L34*L45/(L16*L60)/1000000000</f>
        <v>0.0123254857142857</v>
      </c>
      <c r="M81" s="53" t="n">
        <f aca="false">M34*M45/(M16*M60)/1000000000</f>
        <v>0.00448199480519481</v>
      </c>
      <c r="N81" s="53" t="n">
        <f aca="false">N34*N45/(N16*N60)/1000000000</f>
        <v>0.0123254857142857</v>
      </c>
      <c r="O81" s="53" t="n">
        <f aca="false">O34*O45/(O16*O60)/1000000000</f>
        <v>0.00448199480519481</v>
      </c>
      <c r="P81" s="53" t="n">
        <f aca="false">P34*P45/(P16*P60)/1000000000</f>
        <v>0.0123254857142857</v>
      </c>
      <c r="Q81" s="53" t="n">
        <f aca="false">Q34*Q45/(Q16*Q60)/1000000000</f>
        <v>0.00448199480519481</v>
      </c>
      <c r="R81" s="53" t="n">
        <f aca="false">R34*R45/(R16*R60)/1000000000</f>
        <v>0.0123254857142857</v>
      </c>
      <c r="S81" s="53" t="n">
        <f aca="false">S34*S45/(S16*S60)/1000000000</f>
        <v>0.00448199480519481</v>
      </c>
      <c r="T81" s="53" t="n">
        <f aca="false">T34*T45/(T16*T60)/1000000000</f>
        <v>0.0123254857142857</v>
      </c>
      <c r="U81" s="53" t="n">
        <f aca="false">U34*U45/(U16*U60)/1000000000</f>
        <v>0.00448199480519481</v>
      </c>
      <c r="V81" s="53" t="n">
        <f aca="false">V34*V45/(V16*V60)/1000000000</f>
        <v>0.0123254857142857</v>
      </c>
      <c r="W81" s="53" t="n">
        <f aca="false">W34*W45/(W16*W60)/1000000000</f>
        <v>0.00131823376623377</v>
      </c>
      <c r="X81" s="53" t="n">
        <f aca="false">X34*X45/(X16*X60)/1000000000</f>
        <v>0.00362514285714286</v>
      </c>
      <c r="Y81" s="53" t="n">
        <f aca="false">Y34*Y45/(Y16*Y60)/1000000000</f>
        <v>0.017137038961039</v>
      </c>
      <c r="Z81" s="53" t="n">
        <f aca="false">Z34*Z45/(Z16*Z60)/1000000000</f>
        <v>0.0471268571428572</v>
      </c>
      <c r="AA81" s="53" t="n">
        <f aca="false">AA34*AA45/(AA16*AA60)/1000000000</f>
        <v>0.00448199480519481</v>
      </c>
      <c r="AB81" s="53" t="n">
        <f aca="false">AB34*AB45/(AB16*AB60)/1000000000</f>
        <v>0.0123254857142857</v>
      </c>
      <c r="AC81" s="53" t="n">
        <f aca="false">AC34*AC45/(AC16*AC60)/1000000000</f>
        <v>0.0338574296103896</v>
      </c>
      <c r="AD81" s="53" t="n">
        <f aca="false">AD34*AD45/(AD16*AD60)/1000000000</f>
        <v>0.0931079314285714</v>
      </c>
      <c r="AE81" s="53" t="n">
        <f aca="false">AE34*AE45/(AE16*AE60)/1000000000</f>
        <v>0.130220883116883</v>
      </c>
      <c r="AF81" s="53" t="n">
        <f aca="false">AF34*AF45/(AF16*AF60)/1000000000</f>
        <v>0.358107428571429</v>
      </c>
      <c r="AG81" s="53" t="n">
        <f aca="false">AG34*AG45/(AG16*AG60)/1000000000</f>
        <v>0.463007584415584</v>
      </c>
      <c r="AH81" s="53" t="n">
        <f aca="false">AH34*AH45/(AH16*AH60)/1000000000</f>
        <v>1.27327085714286</v>
      </c>
    </row>
    <row r="82" customFormat="false" ht="15" hidden="false" customHeight="false" outlineLevel="0" collapsed="false">
      <c r="A82" s="44" t="s">
        <v>689</v>
      </c>
      <c r="B82" s="45" t="s">
        <v>420</v>
      </c>
      <c r="C82" s="53" t="n">
        <f aca="false">(C47+1)*C29*C31*C30*C59*(C71-1)/C71/(C17*C61)/1000000000</f>
        <v>0.0242048</v>
      </c>
      <c r="D82" s="53" t="n">
        <f aca="false">(D47+1)*D29*D31*D30*D59*(D71-1)/D71/(D17*D61)/1000000000</f>
        <v>0.0484096</v>
      </c>
      <c r="E82" s="53" t="n">
        <f aca="false">(E47+1)*E29*E31*E30*E59*(E71-1)/E71/(E17*E61)/1000000000</f>
        <v>0.0242048</v>
      </c>
      <c r="F82" s="53" t="n">
        <f aca="false">(F47+1)*F29*F31*F30*F59*(F71-1)/F71/(F17*F61)/1000000000</f>
        <v>0.0484096</v>
      </c>
      <c r="G82" s="53" t="n">
        <f aca="false">(G47+1)*G29*G31*G30*G59*(G71-1)/G71/(G17*G61)/1000000000</f>
        <v>0.0242048</v>
      </c>
      <c r="H82" s="53" t="n">
        <f aca="false">(H47+1)*H29*H31*H30*H59*(H71-1)/H71/(H17*H61)/1000000000</f>
        <v>0.0484096</v>
      </c>
      <c r="I82" s="53" t="n">
        <f aca="false">(I47+1)*I29*I31*I30*I59*(I71-1)/I71/(I17*I61)/1000000000</f>
        <v>0.0242048</v>
      </c>
      <c r="J82" s="53" t="n">
        <f aca="false">(J47+1)*J29*J31*J30*J59*(J71-1)/J71/(J17*J61)/1000000000</f>
        <v>0.0484096</v>
      </c>
      <c r="K82" s="53" t="n">
        <f aca="false">(K47+1)*K29*K31*K30*K59*(K71-1)/K71/(K17*K61)/1000000000</f>
        <v>0.0242048</v>
      </c>
      <c r="L82" s="53" t="n">
        <f aca="false">(L47+1)*L29*L31*L30*L59*(L71-1)/L71/(L17*L61)/1000000000</f>
        <v>0.0484096</v>
      </c>
      <c r="M82" s="53" t="n">
        <f aca="false">(M47+1)*M29*M31*M30*M59*(M71-1)/M71/(M17*M61)/1000000000</f>
        <v>0.0242048</v>
      </c>
      <c r="N82" s="53" t="n">
        <f aca="false">(N47+1)*N29*N31*N30*N59*(N71-1)/N71/(N17*N61)/1000000000</f>
        <v>0.0484096</v>
      </c>
      <c r="O82" s="53" t="n">
        <f aca="false">(O47+1)*O29*O31*O30*O59*(O71-1)/O71/(O17*O61)/1000000000</f>
        <v>0.0242048</v>
      </c>
      <c r="P82" s="53" t="n">
        <f aca="false">(P47+1)*P29*P31*P30*P59*(P71-1)/P71/(P17*P61)/1000000000</f>
        <v>0.0484096</v>
      </c>
      <c r="Q82" s="53" t="n">
        <f aca="false">(Q47+1)*Q29*Q31*Q30*Q59*(Q71-1)/Q71/(Q17*Q61)/1000000000</f>
        <v>0.0242048</v>
      </c>
      <c r="R82" s="53" t="n">
        <f aca="false">(R47+1)*R29*R31*R30*R59*(R71-1)/R71/(R17*R61)/1000000000</f>
        <v>0.0484096</v>
      </c>
      <c r="S82" s="53" t="n">
        <f aca="false">(S47+1)*S29*S31*S30*S59*(S71-1)/S71/(S17*S61)/1000000000</f>
        <v>0.0242048</v>
      </c>
      <c r="T82" s="53" t="n">
        <f aca="false">(T47+1)*T29*T31*T30*T59*(T71-1)/T71/(T17*T61)/1000000000</f>
        <v>0.0484096</v>
      </c>
      <c r="U82" s="53" t="n">
        <f aca="false">(U47+1)*U29*U31*U30*U59*(U71-1)/U71/(U17*U61)/1000000000</f>
        <v>0.0242048</v>
      </c>
      <c r="V82" s="53" t="n">
        <f aca="false">(V47+1)*V29*V31*V30*V59*(V71-1)/V71/(V17*V61)/1000000000</f>
        <v>0.0484096</v>
      </c>
      <c r="W82" s="53" t="n">
        <f aca="false">(W47+1)*W29*W31*W30*W59*(W71-1)/W71/(W17*W61)/1000000000</f>
        <v>0.0242048</v>
      </c>
      <c r="X82" s="53" t="n">
        <f aca="false">(X47+1)*X29*X31*X30*X59*(X71-1)/X71/(X17*X61)/1000000000</f>
        <v>0.0484096</v>
      </c>
      <c r="Y82" s="53" t="n">
        <f aca="false">(Y47+1)*Y29*Y31*Y30*Y59*(Y71-1)/Y71/(Y17*Y61)/1000000000</f>
        <v>0.0242048</v>
      </c>
      <c r="Z82" s="53" t="n">
        <f aca="false">(Z47+1)*Z29*Z31*Z30*Z59*(Z71-1)/Z71/(Z17*Z61)/1000000000</f>
        <v>0.0484096</v>
      </c>
      <c r="AA82" s="53" t="n">
        <f aca="false">(AA47+1)*AA29*AA31*AA30*AA59*(AA71-1)/AA71/(AA17*AA61)/1000000000</f>
        <v>0.0242048</v>
      </c>
      <c r="AB82" s="53" t="n">
        <f aca="false">(AB47+1)*AB29*AB31*AB30*AB59*(AB71-1)/AB71/(AB17*AB61)/1000000000</f>
        <v>0.0484096</v>
      </c>
      <c r="AC82" s="53" t="n">
        <f aca="false">(AC47+1)*AC29*AC31*AC30*AC59*(AC71-1)/AC71/(AC17*AC61)/1000000000</f>
        <v>0.181394285714286</v>
      </c>
      <c r="AD82" s="53" t="n">
        <f aca="false">(AD47+1)*AD29*AD31*AD30*AD59*(AD71-1)/AD71/(AD17*AD61)/1000000000</f>
        <v>0.362788571428571</v>
      </c>
      <c r="AE82" s="53" t="n">
        <f aca="false">(AE47+1)*AE29*AE31*AE30*AE59*(AE71-1)/AE71/(AE17*AE61)/1000000000</f>
        <v>0.181394285714286</v>
      </c>
      <c r="AF82" s="53" t="n">
        <f aca="false">(AF47+1)*AF29*AF31*AF30*AF59*(AF71-1)/AF71/(AF17*AF61)/1000000000</f>
        <v>0.362788571428571</v>
      </c>
      <c r="AG82" s="53" t="n">
        <f aca="false">(AG47+1)*AG29*AG31*AG30*AG59*(AG71-1)/AG71/(AG17*AG61)/1000000000</f>
        <v>0.181394285714286</v>
      </c>
      <c r="AH82" s="5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44" t="s">
        <v>690</v>
      </c>
      <c r="B83" s="45" t="s">
        <v>420</v>
      </c>
      <c r="C83" s="53" t="n">
        <f aca="false">MAX(C80,C81,C82)</f>
        <v>0.424526654211247</v>
      </c>
      <c r="D83" s="53" t="n">
        <f aca="false">MAX(D80,D81,D82)</f>
        <v>0.990562193159576</v>
      </c>
      <c r="E83" s="53" t="n">
        <f aca="false">MAX(E80,E81,E82)</f>
        <v>0.849053308422494</v>
      </c>
      <c r="F83" s="53" t="n">
        <f aca="false">MAX(F80,F81,F82)</f>
        <v>0.990562193159576</v>
      </c>
      <c r="G83" s="53" t="n">
        <f aca="false">MAX(G80,G81,G82)</f>
        <v>0.283017769474164</v>
      </c>
      <c r="H83" s="53" t="n">
        <f aca="false">MAX(H80,H81,H82)</f>
        <v>0.990562193159576</v>
      </c>
      <c r="I83" s="53" t="n">
        <f aca="false">MAX(I80,I81,I82)</f>
        <v>0.424526654211247</v>
      </c>
      <c r="J83" s="53" t="n">
        <f aca="false">MAX(J80,J81,J82)</f>
        <v>0.990562193159576</v>
      </c>
      <c r="K83" s="53" t="n">
        <f aca="false">MAX(K80,K81,K82)</f>
        <v>0.424526654211247</v>
      </c>
      <c r="L83" s="53" t="n">
        <f aca="false">MAX(L80,L81,L82)</f>
        <v>0.990562193159576</v>
      </c>
      <c r="M83" s="53" t="n">
        <f aca="false">MAX(M80,M81,M82)</f>
        <v>0.297168657947873</v>
      </c>
      <c r="N83" s="53" t="n">
        <f aca="false">MAX(N80,N81,N82)</f>
        <v>0.990562193159576</v>
      </c>
      <c r="O83" s="53" t="n">
        <f aca="false">MAX(O80,O81,O82)</f>
        <v>0.424526654211247</v>
      </c>
      <c r="P83" s="53" t="n">
        <f aca="false">MAX(P80,P81,P82)</f>
        <v>0.990562193159576</v>
      </c>
      <c r="Q83" s="53" t="n">
        <f aca="false">MAX(Q80,Q81,Q82)</f>
        <v>0.424526654211247</v>
      </c>
      <c r="R83" s="53" t="n">
        <f aca="false">MAX(R80,R81,R82)</f>
        <v>0.990562193159576</v>
      </c>
      <c r="S83" s="53" t="n">
        <f aca="false">MAX(S80,S81,S82)</f>
        <v>0.424526654211247</v>
      </c>
      <c r="T83" s="53" t="n">
        <f aca="false">MAX(T80,T81,T82)</f>
        <v>0.990562193159576</v>
      </c>
      <c r="U83" s="53" t="n">
        <f aca="false">MAX(U80,U81,U82)</f>
        <v>0.424526654211247</v>
      </c>
      <c r="V83" s="53" t="n">
        <f aca="false">MAX(V80,V81,V82)</f>
        <v>0.990562193159576</v>
      </c>
      <c r="W83" s="53" t="n">
        <f aca="false">MAX(W80,W81,W82)</f>
        <v>0.422092828435634</v>
      </c>
      <c r="X83" s="53" t="n">
        <f aca="false">MAX(X80,X81,X82)</f>
        <v>0.984883266349812</v>
      </c>
      <c r="Y83" s="53" t="n">
        <f aca="false">MAX(Y80,Y81,Y82)</f>
        <v>0.4342619573137</v>
      </c>
      <c r="Z83" s="53" t="n">
        <f aca="false">MAX(Z80,Z81,Z82)</f>
        <v>1.01327790039863</v>
      </c>
      <c r="AA83" s="53" t="n">
        <f aca="false">MAX(AA80,AA81,AA82)</f>
        <v>0.60646664887321</v>
      </c>
      <c r="AB83" s="53" t="n">
        <f aca="false">MAX(AB80,AB81,AB82)</f>
        <v>1.41508884737082</v>
      </c>
      <c r="AC83" s="53" t="n">
        <f aca="false">MAX(AC80,AC81,AC82)</f>
        <v>1.68413679561701</v>
      </c>
      <c r="AD83" s="53" t="n">
        <f aca="false">MAX(AD80,AD81,AD82)</f>
        <v>3.92965252310636</v>
      </c>
      <c r="AE83" s="53" t="n">
        <f aca="false">MAX(AE80,AE81,AE82)</f>
        <v>1.68413679561701</v>
      </c>
      <c r="AF83" s="53" t="n">
        <f aca="false">MAX(AF80,AF81,AF82)</f>
        <v>3.92965252310636</v>
      </c>
      <c r="AG83" s="53" t="n">
        <f aca="false">MAX(AG80,AG81,AG82)</f>
        <v>1.68413679561701</v>
      </c>
      <c r="AH83" s="53" t="n">
        <f aca="false">MAX(AH80,AH81,AH82)</f>
        <v>3.92965252310636</v>
      </c>
    </row>
    <row r="84" customFormat="false" ht="15" hidden="false" customHeight="false" outlineLevel="0" collapsed="false">
      <c r="A84" s="44" t="s">
        <v>691</v>
      </c>
      <c r="B84" s="44"/>
      <c r="C84" s="44" t="str">
        <f aca="false">IF(C83=C80,"算力",IF(C83=C81,"KV 頻寬","EP 通訊"))</f>
        <v>算力</v>
      </c>
      <c r="D84" s="44" t="str">
        <f aca="false">IF(D83=D80,"算力",IF(D83=D81,"KV 頻寬","EP 通訊"))</f>
        <v>算力</v>
      </c>
      <c r="E84" s="44" t="str">
        <f aca="false">IF(E83=E80,"算力",IF(E83=E81,"KV 頻寬","EP 通訊"))</f>
        <v>算力</v>
      </c>
      <c r="F84" s="44" t="str">
        <f aca="false">IF(F83=F80,"算力",IF(F83=F81,"KV 頻寬","EP 通訊"))</f>
        <v>算力</v>
      </c>
      <c r="G84" s="44" t="str">
        <f aca="false">IF(G83=G80,"算力",IF(G83=G81,"KV 頻寬","EP 通訊"))</f>
        <v>算力</v>
      </c>
      <c r="H84" s="44" t="str">
        <f aca="false">IF(H83=H80,"算力",IF(H83=H81,"KV 頻寬","EP 通訊"))</f>
        <v>算力</v>
      </c>
      <c r="I84" s="44" t="str">
        <f aca="false">IF(I83=I80,"算力",IF(I83=I81,"KV 頻寬","EP 通訊"))</f>
        <v>算力</v>
      </c>
      <c r="J84" s="44" t="str">
        <f aca="false">IF(J83=J80,"算力",IF(J83=J81,"KV 頻寬","EP 通訊"))</f>
        <v>算力</v>
      </c>
      <c r="K84" s="44" t="str">
        <f aca="false">IF(K83=K80,"算力",IF(K83=K81,"KV 頻寬","EP 通訊"))</f>
        <v>算力</v>
      </c>
      <c r="L84" s="44" t="str">
        <f aca="false">IF(L83=L80,"算力",IF(L83=L81,"KV 頻寬","EP 通訊"))</f>
        <v>算力</v>
      </c>
      <c r="M84" s="44" t="str">
        <f aca="false">IF(M83=M80,"算力",IF(M83=M81,"KV 頻寬","EP 通訊"))</f>
        <v>算力</v>
      </c>
      <c r="N84" s="44" t="str">
        <f aca="false">IF(N83=N80,"算力",IF(N83=N81,"KV 頻寬","EP 通訊"))</f>
        <v>算力</v>
      </c>
      <c r="O84" s="44" t="str">
        <f aca="false">IF(O83=O80,"算力",IF(O83=O81,"KV 頻寬","EP 通訊"))</f>
        <v>算力</v>
      </c>
      <c r="P84" s="44" t="str">
        <f aca="false">IF(P83=P80,"算力",IF(P83=P81,"KV 頻寬","EP 通訊"))</f>
        <v>算力</v>
      </c>
      <c r="Q84" s="44" t="str">
        <f aca="false">IF(Q83=Q80,"算力",IF(Q83=Q81,"KV 頻寬","EP 通訊"))</f>
        <v>算力</v>
      </c>
      <c r="R84" s="44" t="str">
        <f aca="false">IF(R83=R80,"算力",IF(R83=R81,"KV 頻寬","EP 通訊"))</f>
        <v>算力</v>
      </c>
      <c r="S84" s="44" t="str">
        <f aca="false">IF(S83=S80,"算力",IF(S83=S81,"KV 頻寬","EP 通訊"))</f>
        <v>算力</v>
      </c>
      <c r="T84" s="44" t="str">
        <f aca="false">IF(T83=T80,"算力",IF(T83=T81,"KV 頻寬","EP 通訊"))</f>
        <v>算力</v>
      </c>
      <c r="U84" s="44" t="str">
        <f aca="false">IF(U83=U80,"算力",IF(U83=U81,"KV 頻寬","EP 通訊"))</f>
        <v>算力</v>
      </c>
      <c r="V84" s="44" t="str">
        <f aca="false">IF(V83=V80,"算力",IF(V83=V81,"KV 頻寬","EP 通訊"))</f>
        <v>算力</v>
      </c>
      <c r="W84" s="44" t="str">
        <f aca="false">IF(W83=W80,"算力",IF(W83=W81,"KV 頻寬","EP 通訊"))</f>
        <v>算力</v>
      </c>
      <c r="X84" s="44" t="str">
        <f aca="false">IF(X83=X80,"算力",IF(X83=X81,"KV 頻寬","EP 通訊"))</f>
        <v>算力</v>
      </c>
      <c r="Y84" s="44" t="str">
        <f aca="false">IF(Y83=Y80,"算力",IF(Y83=Y81,"KV 頻寬","EP 通訊"))</f>
        <v>算力</v>
      </c>
      <c r="Z84" s="44" t="str">
        <f aca="false">IF(Z83=Z80,"算力",IF(Z83=Z81,"KV 頻寬","EP 通訊"))</f>
        <v>算力</v>
      </c>
      <c r="AA84" s="44" t="str">
        <f aca="false">IF(AA83=AA80,"算力",IF(AA83=AA81,"KV 頻寬","EP 通訊"))</f>
        <v>算力</v>
      </c>
      <c r="AB84" s="44" t="str">
        <f aca="false">IF(AB83=AB80,"算力",IF(AB83=AB81,"KV 頻寬","EP 通訊"))</f>
        <v>算力</v>
      </c>
      <c r="AC84" s="44" t="str">
        <f aca="false">IF(AC83=AC80,"算力",IF(AC83=AC81,"KV 頻寬","EP 通訊"))</f>
        <v>算力</v>
      </c>
      <c r="AD84" s="44" t="str">
        <f aca="false">IF(AD83=AD80,"算力",IF(AD83=AD81,"KV 頻寬","EP 通訊"))</f>
        <v>算力</v>
      </c>
      <c r="AE84" s="44" t="str">
        <f aca="false">IF(AE83=AE80,"算力",IF(AE83=AE81,"KV 頻寬","EP 通訊"))</f>
        <v>算力</v>
      </c>
      <c r="AF84" s="44" t="str">
        <f aca="false">IF(AF83=AF80,"算力",IF(AF83=AF81,"KV 頻寬","EP 通訊"))</f>
        <v>算力</v>
      </c>
      <c r="AG84" s="44" t="str">
        <f aca="false">IF(AG83=AG80,"算力",IF(AG83=AG81,"KV 頻寬","EP 通訊"))</f>
        <v>算力</v>
      </c>
      <c r="AH84" s="44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45" t="s">
        <v>692</v>
      </c>
      <c r="B85" s="44" t="s">
        <v>424</v>
      </c>
      <c r="C85" s="55" t="n">
        <f aca="false">(1000*C49/C41-C79)/C83</f>
        <v>62.4871922756589</v>
      </c>
      <c r="D85" s="55" t="n">
        <f aca="false">(1000*D49/D41-D79)/D83</f>
        <v>22.9219441943611</v>
      </c>
      <c r="E85" s="55" t="n">
        <f aca="false">(1000*E49/E41-E79)/E83</f>
        <v>31.2435961378294</v>
      </c>
      <c r="F85" s="55" t="n">
        <f aca="false">(1000*F49/F41-F79)/F83</f>
        <v>22.9219441943611</v>
      </c>
      <c r="G85" s="55" t="n">
        <f aca="false">(1000*G49/G41-G79)/G83</f>
        <v>93.7307884134883</v>
      </c>
      <c r="H85" s="55" t="n">
        <f aca="false">(1000*H49/H41-H79)/H83</f>
        <v>22.9219441943611</v>
      </c>
      <c r="I85" s="55" t="n">
        <f aca="false">(1000*I49/I41-I79)/I83</f>
        <v>69.736085458219</v>
      </c>
      <c r="J85" s="55" t="n">
        <f aca="false">(1000*J49/J41-J79)/J83</f>
        <v>22.9219441943611</v>
      </c>
      <c r="K85" s="55" t="n">
        <f aca="false">(1000*K49/K41-K79)/K83</f>
        <v>50.4057036380586</v>
      </c>
      <c r="L85" s="55" t="n">
        <f aca="false">(1000*L49/L41-L79)/L83</f>
        <v>22.9219441943611</v>
      </c>
      <c r="M85" s="55" t="n">
        <f aca="false">(1000*M49/M41-M79)/M83</f>
        <v>89.2674175366555</v>
      </c>
      <c r="N85" s="55" t="n">
        <f aca="false">(1000*N49/N41-N79)/N83</f>
        <v>22.9219441943611</v>
      </c>
      <c r="O85" s="55" t="n">
        <f aca="false">(1000*O49/O41-O79)/O83</f>
        <v>119.858782467142</v>
      </c>
      <c r="P85" s="55" t="n">
        <f aca="false">(1000*P49/P41-P79)/P83</f>
        <v>47.5097685621397</v>
      </c>
      <c r="Q85" s="55" t="n">
        <f aca="false">(1000*Q49/Q41-Q79)/Q83</f>
        <v>30.3591017684282</v>
      </c>
      <c r="R85" s="55" t="n">
        <f aca="false">(1000*R49/R41-R79)/R83</f>
        <v>9.15276254840512</v>
      </c>
      <c r="S85" s="55" t="n">
        <f aca="false">(1000*S49/S41-S79)/S83</f>
        <v>49.5497061653646</v>
      </c>
      <c r="T85" s="55" t="n">
        <f aca="false">(1000*T49/T41-T79)/T83</f>
        <v>17.3773072899493</v>
      </c>
      <c r="U85" s="55" t="n">
        <f aca="false">(1000*U49/U41-U79)/U83</f>
        <v>77.6715247132311</v>
      </c>
      <c r="V85" s="55" t="n">
        <f aca="false">(1000*V49/V41-V79)/V83</f>
        <v>29.429515239035</v>
      </c>
      <c r="W85" s="55" t="n">
        <f aca="false">(1000*W49/W41-W79)/W83</f>
        <v>62.8474991298877</v>
      </c>
      <c r="X85" s="55" t="n">
        <f aca="false">(1000*X49/X41-X79)/X83</f>
        <v>23.0541142168042</v>
      </c>
      <c r="Y85" s="55" t="n">
        <f aca="false">(1000*Y49/Y41-Y79)/Y83</f>
        <v>61.0863517309612</v>
      </c>
      <c r="Z85" s="55" t="n">
        <f aca="false">(1000*Z49/Z41-Z79)/Z83</f>
        <v>22.4080790706233</v>
      </c>
      <c r="AA85" s="55" t="n">
        <f aca="false">(1000*AA49/AA41-AA79)/AA83</f>
        <v>36.492141410401</v>
      </c>
      <c r="AB85" s="55" t="n">
        <f aca="false">(1000*AB49/AB41-AB79)/AB83</f>
        <v>12.9386924292413</v>
      </c>
      <c r="AC85" s="55" t="n">
        <f aca="false">(1000*AC49/AC41-AC79)/AC83</f>
        <v>14.3447185759317</v>
      </c>
      <c r="AD85" s="55" t="n">
        <f aca="false">(1000*AD49/AD41-AD79)/AD83</f>
        <v>3.74856148421301</v>
      </c>
      <c r="AE85" s="55" t="n">
        <f aca="false">(1000*AE49/AE41-AE79)/AE83</f>
        <v>14.3447185759317</v>
      </c>
      <c r="AF85" s="55" t="n">
        <f aca="false">(1000*AF49/AF41-AF79)/AF83</f>
        <v>3.74856148421301</v>
      </c>
      <c r="AG85" s="55" t="n">
        <f aca="false">(1000*AG49/AG41-AG79)/AG83</f>
        <v>14.3447185759317</v>
      </c>
      <c r="AH85" s="55" t="n">
        <f aca="false">(1000*AH49/AH41-AH79)/AH83</f>
        <v>3.74856148421301</v>
      </c>
    </row>
    <row r="86" customFormat="false" ht="15" hidden="false" customHeight="false" outlineLevel="0" collapsed="false">
      <c r="A86" s="45" t="s">
        <v>693</v>
      </c>
      <c r="B86" s="44" t="s">
        <v>424</v>
      </c>
      <c r="C86" s="56" t="n">
        <f aca="false">(C69-C72)*1000000000/(C34*C45)</f>
        <v>3059.19076406613</v>
      </c>
      <c r="D86" s="56" t="n">
        <f aca="false">(D69-D72)*1000000000/(D34*D45)</f>
        <v>3059.19076406613</v>
      </c>
      <c r="E86" s="56" t="n">
        <f aca="false">(E69-E72)*1000000000/(E34*E45)</f>
        <v>3059.19076406613</v>
      </c>
      <c r="F86" s="56" t="n">
        <f aca="false">(F69-F72)*1000000000/(F34*F45)</f>
        <v>3059.19076406613</v>
      </c>
      <c r="G86" s="56" t="n">
        <f aca="false">(G69-G72)*1000000000/(G34*G45)</f>
        <v>3059.19076406613</v>
      </c>
      <c r="H86" s="56" t="n">
        <f aca="false">(H69-H72)*1000000000/(H34*H45)</f>
        <v>3059.19076406613</v>
      </c>
      <c r="I86" s="56" t="n">
        <f aca="false">(I69-I72)*1000000000/(I34*I45)</f>
        <v>3059.19076406613</v>
      </c>
      <c r="J86" s="56" t="n">
        <f aca="false">(J69-J72)*1000000000/(J34*J45)</f>
        <v>3059.19076406613</v>
      </c>
      <c r="K86" s="56" t="n">
        <f aca="false">(K69-K72)*1000000000/(K34*K45)</f>
        <v>3059.19076406613</v>
      </c>
      <c r="L86" s="56" t="n">
        <f aca="false">(L69-L72)*1000000000/(L34*L45)</f>
        <v>3059.19076406613</v>
      </c>
      <c r="M86" s="56" t="n">
        <f aca="false">(M69-M72)*1000000000/(M34*M45)</f>
        <v>3059.19076406613</v>
      </c>
      <c r="N86" s="56" t="n">
        <f aca="false">(N69-N72)*1000000000/(N34*N45)</f>
        <v>3059.19076406613</v>
      </c>
      <c r="O86" s="56" t="n">
        <f aca="false">(O69-O72)*1000000000/(O34*O45)</f>
        <v>3059.19076406613</v>
      </c>
      <c r="P86" s="56" t="n">
        <f aca="false">(P69-P72)*1000000000/(P34*P45)</f>
        <v>3059.19076406613</v>
      </c>
      <c r="Q86" s="56" t="n">
        <f aca="false">(Q69-Q72)*1000000000/(Q34*Q45)</f>
        <v>3059.19076406613</v>
      </c>
      <c r="R86" s="56" t="n">
        <f aca="false">(R69-R72)*1000000000/(R34*R45)</f>
        <v>3059.19076406613</v>
      </c>
      <c r="S86" s="56" t="n">
        <f aca="false">(S69-S72)*1000000000/(S34*S45)</f>
        <v>3059.19076406613</v>
      </c>
      <c r="T86" s="56" t="n">
        <f aca="false">(T69-T72)*1000000000/(T34*T45)</f>
        <v>3059.19076406613</v>
      </c>
      <c r="U86" s="56" t="n">
        <f aca="false">(U69-U72)*1000000000/(U34*U45)</f>
        <v>3059.19076406613</v>
      </c>
      <c r="V86" s="56" t="n">
        <f aca="false">(V69-V72)*1000000000/(V34*V45)</f>
        <v>3059.19076406613</v>
      </c>
      <c r="W86" s="56" t="n">
        <f aca="false">(W69-W72)*1000000000/(W34*W45)</f>
        <v>10401.2485978248</v>
      </c>
      <c r="X86" s="56" t="n">
        <f aca="false">(X69-X72)*1000000000/(X34*X45)</f>
        <v>10401.2485978248</v>
      </c>
      <c r="Y86" s="56" t="n">
        <f aca="false">(Y69-Y72)*1000000000/(Y34*Y45)</f>
        <v>800.096045986525</v>
      </c>
      <c r="Z86" s="56" t="n">
        <f aca="false">(Z69-Z72)*1000000000/(Z34*Z45)</f>
        <v>800.096045986525</v>
      </c>
      <c r="AA86" s="56" t="n">
        <f aca="false">(AA69-AA72)*1000000000/(AA34*AA45)</f>
        <v>3059.19076406613</v>
      </c>
      <c r="AB86" s="56" t="n">
        <f aca="false">(AB69-AB72)*1000000000/(AB34*AB45)</f>
        <v>3059.19076406613</v>
      </c>
      <c r="AC86" s="56" t="n">
        <f aca="false">(AC69-AC72)*1000000000/(AC34*AC45)</f>
        <v>269.80500930681</v>
      </c>
      <c r="AD86" s="56" t="n">
        <f aca="false">(AD69-AD72)*1000000000/(AD34*AD45)</f>
        <v>269.80500930681</v>
      </c>
      <c r="AE86" s="56" t="n">
        <f aca="false">(AE69-AE72)*1000000000/(AE34*AE45)</f>
        <v>70.1493024197706</v>
      </c>
      <c r="AF86" s="56" t="n">
        <f aca="false">(AF69-AF72)*1000000000/(AF34*AF45)</f>
        <v>70.1493024197706</v>
      </c>
      <c r="AG86" s="56" t="n">
        <f aca="false">(AG69-AG72)*1000000000/(AG34*AG45)</f>
        <v>19.7294913055605</v>
      </c>
      <c r="AH86" s="56" t="n">
        <f aca="false">(AH69-AH72)*1000000000/(AH34*AH45)</f>
        <v>19.7294913055605</v>
      </c>
    </row>
    <row r="87" customFormat="false" ht="15" hidden="false" customHeight="false" outlineLevel="0" collapsed="false">
      <c r="A87" s="44" t="s">
        <v>694</v>
      </c>
      <c r="B87" s="44" t="s">
        <v>424</v>
      </c>
      <c r="C87" s="97" t="n">
        <f aca="false">MAX(0,MIN(C85,C86))</f>
        <v>62.4871922756589</v>
      </c>
      <c r="D87" s="97" t="n">
        <f aca="false">MAX(0,MIN(D85,D86))</f>
        <v>22.9219441943611</v>
      </c>
      <c r="E87" s="97" t="n">
        <f aca="false">MAX(0,MIN(E85,E86))</f>
        <v>31.2435961378294</v>
      </c>
      <c r="F87" s="97" t="n">
        <f aca="false">MAX(0,MIN(F85,F86))</f>
        <v>22.9219441943611</v>
      </c>
      <c r="G87" s="97" t="n">
        <f aca="false">MAX(0,MIN(G85,G86))</f>
        <v>93.7307884134883</v>
      </c>
      <c r="H87" s="97" t="n">
        <f aca="false">MAX(0,MIN(H85,H86))</f>
        <v>22.9219441943611</v>
      </c>
      <c r="I87" s="97" t="n">
        <f aca="false">MAX(0,MIN(I85,I86))</f>
        <v>69.736085458219</v>
      </c>
      <c r="J87" s="97" t="n">
        <f aca="false">MAX(0,MIN(J85,J86))</f>
        <v>22.9219441943611</v>
      </c>
      <c r="K87" s="97" t="n">
        <f aca="false">MAX(0,MIN(K85,K86))</f>
        <v>50.4057036380586</v>
      </c>
      <c r="L87" s="97" t="n">
        <f aca="false">MAX(0,MIN(L85,L86))</f>
        <v>22.9219441943611</v>
      </c>
      <c r="M87" s="97" t="n">
        <f aca="false">MAX(0,MIN(M85,M86))</f>
        <v>89.2674175366555</v>
      </c>
      <c r="N87" s="97" t="n">
        <f aca="false">MAX(0,MIN(N85,N86))</f>
        <v>22.9219441943611</v>
      </c>
      <c r="O87" s="97" t="n">
        <f aca="false">MAX(0,MIN(O85,O86))</f>
        <v>119.858782467142</v>
      </c>
      <c r="P87" s="97" t="n">
        <f aca="false">MAX(0,MIN(P85,P86))</f>
        <v>47.5097685621397</v>
      </c>
      <c r="Q87" s="97" t="n">
        <f aca="false">MAX(0,MIN(Q85,Q86))</f>
        <v>30.3591017684282</v>
      </c>
      <c r="R87" s="97" t="n">
        <f aca="false">MAX(0,MIN(R85,R86))</f>
        <v>9.15276254840512</v>
      </c>
      <c r="S87" s="97" t="n">
        <f aca="false">MAX(0,MIN(S85,S86))</f>
        <v>49.5497061653646</v>
      </c>
      <c r="T87" s="97" t="n">
        <f aca="false">MAX(0,MIN(T85,T86))</f>
        <v>17.3773072899493</v>
      </c>
      <c r="U87" s="97" t="n">
        <f aca="false">MAX(0,MIN(U85,U86))</f>
        <v>77.6715247132311</v>
      </c>
      <c r="V87" s="97" t="n">
        <f aca="false">MAX(0,MIN(V85,V86))</f>
        <v>29.429515239035</v>
      </c>
      <c r="W87" s="97" t="n">
        <f aca="false">MAX(0,MIN(W85,W86))</f>
        <v>62.8474991298877</v>
      </c>
      <c r="X87" s="97" t="n">
        <f aca="false">MAX(0,MIN(X85,X86))</f>
        <v>23.0541142168042</v>
      </c>
      <c r="Y87" s="97" t="n">
        <f aca="false">MAX(0,MIN(Y85,Y86))</f>
        <v>61.0863517309612</v>
      </c>
      <c r="Z87" s="97" t="n">
        <f aca="false">MAX(0,MIN(Z85,Z86))</f>
        <v>22.4080790706233</v>
      </c>
      <c r="AA87" s="97" t="n">
        <f aca="false">MAX(0,MIN(AA85,AA86))</f>
        <v>36.492141410401</v>
      </c>
      <c r="AB87" s="97" t="n">
        <f aca="false">MAX(0,MIN(AB85,AB86))</f>
        <v>12.9386924292413</v>
      </c>
      <c r="AC87" s="97" t="n">
        <f aca="false">MAX(0,MIN(AC85,AC86))</f>
        <v>14.3447185759317</v>
      </c>
      <c r="AD87" s="97" t="n">
        <f aca="false">MAX(0,MIN(AD85,AD86))</f>
        <v>3.74856148421301</v>
      </c>
      <c r="AE87" s="97" t="n">
        <f aca="false">MAX(0,MIN(AE85,AE86))</f>
        <v>14.3447185759317</v>
      </c>
      <c r="AF87" s="97" t="n">
        <f aca="false">MAX(0,MIN(AF85,AF86))</f>
        <v>3.74856148421301</v>
      </c>
      <c r="AG87" s="97" t="n">
        <f aca="false">MAX(0,MIN(AG85,AG86))</f>
        <v>14.3447185759317</v>
      </c>
      <c r="AH87" s="97" t="n">
        <f aca="false">MAX(0,MIN(AH85,AH86))</f>
        <v>3.74856148421301</v>
      </c>
    </row>
    <row r="88" customFormat="false" ht="15" hidden="false" customHeight="false" outlineLevel="0" collapsed="false">
      <c r="A88" s="45" t="s">
        <v>695</v>
      </c>
      <c r="B88" s="45" t="s">
        <v>300</v>
      </c>
      <c r="C88" s="51" t="n">
        <f aca="false">IF(C87&gt;0,C87*C49/((C79+C87*C83)/1000),0)</f>
        <v>4061.66749791783</v>
      </c>
      <c r="D88" s="51" t="n">
        <f aca="false">IF(D87&gt;0,D87*D49/((D79+D87*D83)/1000),0)</f>
        <v>1489.92637263347</v>
      </c>
      <c r="E88" s="51" t="n">
        <f aca="false">IF(E87&gt;0,E87*E49/((E79+E87*E83)/1000),0)</f>
        <v>2030.83374895891</v>
      </c>
      <c r="F88" s="51" t="n">
        <f aca="false">IF(F87&gt;0,F87*F49/((F79+F87*F83)/1000),0)</f>
        <v>1489.92637263347</v>
      </c>
      <c r="G88" s="51" t="n">
        <f aca="false">IF(G87&gt;0,G87*G49/((G79+G87*G83)/1000),0)</f>
        <v>6092.50124687674</v>
      </c>
      <c r="H88" s="51" t="n">
        <f aca="false">IF(H87&gt;0,H87*H49/((H79+H87*H83)/1000),0)</f>
        <v>1489.92637263347</v>
      </c>
      <c r="I88" s="51" t="n">
        <f aca="false">IF(I87&gt;0,I87*I49/((I79+I87*I83)/1000),0)</f>
        <v>4532.84555478424</v>
      </c>
      <c r="J88" s="51" t="n">
        <f aca="false">IF(J87&gt;0,J87*J49/((J79+J87*J83)/1000),0)</f>
        <v>1489.92637263347</v>
      </c>
      <c r="K88" s="51" t="n">
        <f aca="false">IF(K87&gt;0,K87*K49/((K79+K87*K83)/1000),0)</f>
        <v>3276.37073647381</v>
      </c>
      <c r="L88" s="51" t="n">
        <f aca="false">IF(L87&gt;0,L87*L49/((L79+L87*L83)/1000),0)</f>
        <v>1489.92637263347</v>
      </c>
      <c r="M88" s="51" t="n">
        <f aca="false">IF(M87&gt;0,M87*M49/((M79+M87*M83)/1000),0)</f>
        <v>5802.38213988261</v>
      </c>
      <c r="N88" s="51" t="n">
        <f aca="false">IF(N87&gt;0,N87*N49/((N79+N87*N83)/1000),0)</f>
        <v>1489.92637263347</v>
      </c>
      <c r="O88" s="51" t="n">
        <f aca="false">IF(O87&gt;0,O87*O49/((O79+O87*O83)/1000),0)</f>
        <v>4794.35129868569</v>
      </c>
      <c r="P88" s="51" t="n">
        <f aca="false">IF(P87&gt;0,P87*P49/((P79+P87*P83)/1000),0)</f>
        <v>1900.39074248559</v>
      </c>
      <c r="Q88" s="51" t="n">
        <f aca="false">IF(Q87&gt;0,Q87*Q49/((Q79+Q87*Q83)/1000),0)</f>
        <v>3035.91017684282</v>
      </c>
      <c r="R88" s="51" t="n">
        <f aca="false">IF(R87&gt;0,R87*R49/((R79+R87*R83)/1000),0)</f>
        <v>915.276254840512</v>
      </c>
      <c r="S88" s="51" t="n">
        <f aca="false">IF(S87&gt;0,S87*S49/((S79+S87*S83)/1000),0)</f>
        <v>3220.7309007487</v>
      </c>
      <c r="T88" s="51" t="n">
        <f aca="false">IF(T87&gt;0,T87*T49/((T79+T87*T83)/1000),0)</f>
        <v>1129.52497384671</v>
      </c>
      <c r="U88" s="51" t="n">
        <f aca="false">IF(U87&gt;0,U87*U49/((U79+U87*U83)/1000),0)</f>
        <v>5048.64910636002</v>
      </c>
      <c r="V88" s="51" t="n">
        <f aca="false">IF(V87&gt;0,V87*V49/((V79+V87*V83)/1000),0)</f>
        <v>1912.91849053727</v>
      </c>
      <c r="W88" s="51" t="n">
        <f aca="false">IF(W87&gt;0,W87*W49/((W79+W87*W83)/1000),0)</f>
        <v>4085.0874434427</v>
      </c>
      <c r="X88" s="51" t="n">
        <f aca="false">IF(X87&gt;0,X87*X49/((X79+X87*X83)/1000),0)</f>
        <v>1498.51742409227</v>
      </c>
      <c r="Y88" s="51" t="n">
        <f aca="false">IF(Y87&gt;0,Y87*Y49/((Y79+Y87*Y83)/1000),0)</f>
        <v>3970.61286251248</v>
      </c>
      <c r="Z88" s="51" t="n">
        <f aca="false">IF(Z87&gt;0,Z87*Z49/((Z79+Z87*Z83)/1000),0)</f>
        <v>1456.52513959052</v>
      </c>
      <c r="AA88" s="51" t="n">
        <f aca="false">IF(AA87&gt;0,AA87*AA49/((AA79+AA87*AA83)/1000),0)</f>
        <v>2371.98919167607</v>
      </c>
      <c r="AB88" s="51" t="n">
        <f aca="false">IF(AB87&gt;0,AB87*AB49/((AB79+AB87*AB83)/1000),0)</f>
        <v>841.015007900684</v>
      </c>
      <c r="AC88" s="51" t="n">
        <f aca="false">IF(AC87&gt;0,AC87*AC49/((AC79+AC87*AC83)/1000),0)</f>
        <v>788.959521676242</v>
      </c>
      <c r="AD88" s="51" t="n">
        <f aca="false">IF(AD87&gt;0,AD87*AD49/((AD79+AD87*AD83)/1000),0)</f>
        <v>206.170881631716</v>
      </c>
      <c r="AE88" s="51" t="n">
        <f aca="false">IF(AE87&gt;0,AE87*AE49/((AE79+AE87*AE83)/1000),0)</f>
        <v>788.959521676242</v>
      </c>
      <c r="AF88" s="51" t="n">
        <f aca="false">IF(AF87&gt;0,AF87*AF49/((AF79+AF87*AF83)/1000),0)</f>
        <v>206.170881631716</v>
      </c>
      <c r="AG88" s="51" t="n">
        <f aca="false">IF(AG87&gt;0,AG87*AG49/((AG79+AG87*AG83)/1000),0)</f>
        <v>788.959521676242</v>
      </c>
      <c r="AH88" s="51" t="n">
        <f aca="false">IF(AH87&gt;0,AH87*AH49/((AH79+AH87*AH83)/1000),0)</f>
        <v>206.170881631716</v>
      </c>
    </row>
    <row r="89" customFormat="false" ht="15" hidden="false" customHeight="false" outlineLevel="0" collapsed="false">
      <c r="A89" s="44" t="s">
        <v>696</v>
      </c>
      <c r="B89" s="45" t="s">
        <v>300</v>
      </c>
      <c r="C89" s="56" t="n">
        <f aca="false">IF(C87&gt;0,C49/((C79+C87*C83)/1000),0)</f>
        <v>65</v>
      </c>
      <c r="D89" s="56" t="n">
        <f aca="false">IF(D87&gt;0,D49/((D79+D87*D83)/1000),0)</f>
        <v>65</v>
      </c>
      <c r="E89" s="56" t="n">
        <f aca="false">IF(E87&gt;0,E49/((E79+E87*E83)/1000),0)</f>
        <v>65</v>
      </c>
      <c r="F89" s="56" t="n">
        <f aca="false">IF(F87&gt;0,F49/((F79+F87*F83)/1000),0)</f>
        <v>65</v>
      </c>
      <c r="G89" s="56" t="n">
        <f aca="false">IF(G87&gt;0,G49/((G79+G87*G83)/1000),0)</f>
        <v>65</v>
      </c>
      <c r="H89" s="56" t="n">
        <f aca="false">IF(H87&gt;0,H49/((H79+H87*H83)/1000),0)</f>
        <v>65</v>
      </c>
      <c r="I89" s="56" t="n">
        <f aca="false">IF(I87&gt;0,I49/((I79+I87*I83)/1000),0)</f>
        <v>65</v>
      </c>
      <c r="J89" s="56" t="n">
        <f aca="false">IF(J87&gt;0,J49/((J79+J87*J83)/1000),0)</f>
        <v>65</v>
      </c>
      <c r="K89" s="56" t="n">
        <f aca="false">IF(K87&gt;0,K49/((K79+K87*K83)/1000),0)</f>
        <v>65</v>
      </c>
      <c r="L89" s="56" t="n">
        <f aca="false">IF(L87&gt;0,L49/((L79+L87*L83)/1000),0)</f>
        <v>65</v>
      </c>
      <c r="M89" s="56" t="n">
        <f aca="false">IF(M87&gt;0,M49/((M79+M87*M83)/1000),0)</f>
        <v>65</v>
      </c>
      <c r="N89" s="56" t="n">
        <f aca="false">IF(N87&gt;0,N49/((N79+N87*N83)/1000),0)</f>
        <v>65</v>
      </c>
      <c r="O89" s="56" t="n">
        <f aca="false">IF(O87&gt;0,O49/((O79+O87*O83)/1000),0)</f>
        <v>40</v>
      </c>
      <c r="P89" s="56" t="n">
        <f aca="false">IF(P87&gt;0,P49/((P79+P87*P83)/1000),0)</f>
        <v>40</v>
      </c>
      <c r="Q89" s="56" t="n">
        <f aca="false">IF(Q87&gt;0,Q49/((Q79+Q87*Q83)/1000),0)</f>
        <v>100</v>
      </c>
      <c r="R89" s="56" t="n">
        <f aca="false">IF(R87&gt;0,R49/((R79+R87*R83)/1000),0)</f>
        <v>100</v>
      </c>
      <c r="S89" s="56" t="n">
        <f aca="false">IF(S87&gt;0,S49/((S79+S87*S83)/1000),0)</f>
        <v>65</v>
      </c>
      <c r="T89" s="56" t="n">
        <f aca="false">IF(T87&gt;0,T49/((T79+T87*T83)/1000),0)</f>
        <v>65</v>
      </c>
      <c r="U89" s="56" t="n">
        <f aca="false">IF(U87&gt;0,U49/((U79+U87*U83)/1000),0)</f>
        <v>65</v>
      </c>
      <c r="V89" s="56" t="n">
        <f aca="false">IF(V87&gt;0,V49/((V79+V87*V83)/1000),0)</f>
        <v>65</v>
      </c>
      <c r="W89" s="56" t="n">
        <f aca="false">IF(W87&gt;0,W49/((W79+W87*W83)/1000),0)</f>
        <v>65</v>
      </c>
      <c r="X89" s="56" t="n">
        <f aca="false">IF(X87&gt;0,X49/((X79+X87*X83)/1000),0)</f>
        <v>65</v>
      </c>
      <c r="Y89" s="56" t="n">
        <f aca="false">IF(Y87&gt;0,Y49/((Y79+Y87*Y83)/1000),0)</f>
        <v>65</v>
      </c>
      <c r="Z89" s="56" t="n">
        <f aca="false">IF(Z87&gt;0,Z49/((Z79+Z87*Z83)/1000),0)</f>
        <v>65</v>
      </c>
      <c r="AA89" s="56" t="n">
        <f aca="false">IF(AA87&gt;0,AA49/((AA79+AA87*AA83)/1000),0)</f>
        <v>65</v>
      </c>
      <c r="AB89" s="56" t="n">
        <f aca="false">IF(AB87&gt;0,AB49/((AB79+AB87*AB83)/1000),0)</f>
        <v>65</v>
      </c>
      <c r="AC89" s="56" t="n">
        <f aca="false">IF(AC87&gt;0,AC49/((AC79+AC87*AC83)/1000),0)</f>
        <v>55</v>
      </c>
      <c r="AD89" s="56" t="n">
        <f aca="false">IF(AD87&gt;0,AD49/((AD79+AD87*AD83)/1000),0)</f>
        <v>55</v>
      </c>
      <c r="AE89" s="56" t="n">
        <f aca="false">IF(AE87&gt;0,AE49/((AE79+AE87*AE83)/1000),0)</f>
        <v>55</v>
      </c>
      <c r="AF89" s="56" t="n">
        <f aca="false">IF(AF87&gt;0,AF49/((AF79+AF87*AF83)/1000),0)</f>
        <v>55</v>
      </c>
      <c r="AG89" s="56" t="n">
        <f aca="false">IF(AG87&gt;0,AG49/((AG79+AG87*AG83)/1000),0)</f>
        <v>55</v>
      </c>
      <c r="AH89" s="56" t="n">
        <f aca="false">IF(AH87&gt;0,AH49/((AH79+AH87*AH83)/1000),0)</f>
        <v>55</v>
      </c>
    </row>
    <row r="90" customFormat="false" ht="15" hidden="false" customHeight="false" outlineLevel="0" collapsed="false">
      <c r="A90" s="44" t="s">
        <v>697</v>
      </c>
      <c r="B90" s="44"/>
      <c r="C90" s="98" t="str">
        <f aca="false">IF(C87&lt;=0,"SLO 不可達",IF(C85&lt;=C86,"SLO（"&amp;C84&amp;"）","HBM 容量"))</f>
        <v>SLO（算力）</v>
      </c>
      <c r="D90" s="98" t="str">
        <f aca="false">IF(D87&lt;=0,"SLO 不可達",IF(D85&lt;=D86,"SLO（"&amp;D84&amp;"）","HBM 容量"))</f>
        <v>SLO（算力）</v>
      </c>
      <c r="E90" s="98" t="str">
        <f aca="false">IF(E87&lt;=0,"SLO 不可達",IF(E85&lt;=E86,"SLO（"&amp;E84&amp;"）","HBM 容量"))</f>
        <v>SLO（算力）</v>
      </c>
      <c r="F90" s="98" t="str">
        <f aca="false">IF(F87&lt;=0,"SLO 不可達",IF(F85&lt;=F86,"SLO（"&amp;F84&amp;"）","HBM 容量"))</f>
        <v>SLO（算力）</v>
      </c>
      <c r="G90" s="98" t="str">
        <f aca="false">IF(G87&lt;=0,"SLO 不可達",IF(G85&lt;=G86,"SLO（"&amp;G84&amp;"）","HBM 容量"))</f>
        <v>SLO（算力）</v>
      </c>
      <c r="H90" s="98" t="str">
        <f aca="false">IF(H87&lt;=0,"SLO 不可達",IF(H85&lt;=H86,"SLO（"&amp;H84&amp;"）","HBM 容量"))</f>
        <v>SLO（算力）</v>
      </c>
      <c r="I90" s="98" t="str">
        <f aca="false">IF(I87&lt;=0,"SLO 不可達",IF(I85&lt;=I86,"SLO（"&amp;I84&amp;"）","HBM 容量"))</f>
        <v>SLO（算力）</v>
      </c>
      <c r="J90" s="98" t="str">
        <f aca="false">IF(J87&lt;=0,"SLO 不可達",IF(J85&lt;=J86,"SLO（"&amp;J84&amp;"）","HBM 容量"))</f>
        <v>SLO（算力）</v>
      </c>
      <c r="K90" s="98" t="str">
        <f aca="false">IF(K87&lt;=0,"SLO 不可達",IF(K85&lt;=K86,"SLO（"&amp;K84&amp;"）","HBM 容量"))</f>
        <v>SLO（算力）</v>
      </c>
      <c r="L90" s="98" t="str">
        <f aca="false">IF(L87&lt;=0,"SLO 不可達",IF(L85&lt;=L86,"SLO（"&amp;L84&amp;"）","HBM 容量"))</f>
        <v>SLO（算力）</v>
      </c>
      <c r="M90" s="98" t="str">
        <f aca="false">IF(M87&lt;=0,"SLO 不可達",IF(M85&lt;=M86,"SLO（"&amp;M84&amp;"）","HBM 容量"))</f>
        <v>SLO（算力）</v>
      </c>
      <c r="N90" s="98" t="str">
        <f aca="false">IF(N87&lt;=0,"SLO 不可達",IF(N85&lt;=N86,"SLO（"&amp;N84&amp;"）","HBM 容量"))</f>
        <v>SLO（算力）</v>
      </c>
      <c r="O90" s="98" t="str">
        <f aca="false">IF(O87&lt;=0,"SLO 不可達",IF(O85&lt;=O86,"SLO（"&amp;O84&amp;"）","HBM 容量"))</f>
        <v>SLO（算力）</v>
      </c>
      <c r="P90" s="98" t="str">
        <f aca="false">IF(P87&lt;=0,"SLO 不可達",IF(P85&lt;=P86,"SLO（"&amp;P84&amp;"）","HBM 容量"))</f>
        <v>SLO（算力）</v>
      </c>
      <c r="Q90" s="98" t="str">
        <f aca="false">IF(Q87&lt;=0,"SLO 不可達",IF(Q85&lt;=Q86,"SLO（"&amp;Q84&amp;"）","HBM 容量"))</f>
        <v>SLO（算力）</v>
      </c>
      <c r="R90" s="98" t="str">
        <f aca="false">IF(R87&lt;=0,"SLO 不可達",IF(R85&lt;=R86,"SLO（"&amp;R84&amp;"）","HBM 容量"))</f>
        <v>SLO（算力）</v>
      </c>
      <c r="S90" s="98" t="str">
        <f aca="false">IF(S87&lt;=0,"SLO 不可達",IF(S85&lt;=S86,"SLO（"&amp;S84&amp;"）","HBM 容量"))</f>
        <v>SLO（算力）</v>
      </c>
      <c r="T90" s="98" t="str">
        <f aca="false">IF(T87&lt;=0,"SLO 不可達",IF(T85&lt;=T86,"SLO（"&amp;T84&amp;"）","HBM 容量"))</f>
        <v>SLO（算力）</v>
      </c>
      <c r="U90" s="98" t="str">
        <f aca="false">IF(U87&lt;=0,"SLO 不可達",IF(U85&lt;=U86,"SLO（"&amp;U84&amp;"）","HBM 容量"))</f>
        <v>SLO（算力）</v>
      </c>
      <c r="V90" s="98" t="str">
        <f aca="false">IF(V87&lt;=0,"SLO 不可達",IF(V85&lt;=V86,"SLO（"&amp;V84&amp;"）","HBM 容量"))</f>
        <v>SLO（算力）</v>
      </c>
      <c r="W90" s="98" t="str">
        <f aca="false">IF(W87&lt;=0,"SLO 不可達",IF(W85&lt;=W86,"SLO（"&amp;W84&amp;"）","HBM 容量"))</f>
        <v>SLO（算力）</v>
      </c>
      <c r="X90" s="98" t="str">
        <f aca="false">IF(X87&lt;=0,"SLO 不可達",IF(X85&lt;=X86,"SLO（"&amp;X84&amp;"）","HBM 容量"))</f>
        <v>SLO（算力）</v>
      </c>
      <c r="Y90" s="98" t="str">
        <f aca="false">IF(Y87&lt;=0,"SLO 不可達",IF(Y85&lt;=Y86,"SLO（"&amp;Y84&amp;"）","HBM 容量"))</f>
        <v>SLO（算力）</v>
      </c>
      <c r="Z90" s="98" t="str">
        <f aca="false">IF(Z87&lt;=0,"SLO 不可達",IF(Z85&lt;=Z86,"SLO（"&amp;Z84&amp;"）","HBM 容量"))</f>
        <v>SLO（算力）</v>
      </c>
      <c r="AA90" s="98" t="str">
        <f aca="false">IF(AA87&lt;=0,"SLO 不可達",IF(AA85&lt;=AA86,"SLO（"&amp;AA84&amp;"）","HBM 容量"))</f>
        <v>SLO（算力）</v>
      </c>
      <c r="AB90" s="98" t="str">
        <f aca="false">IF(AB87&lt;=0,"SLO 不可達",IF(AB85&lt;=AB86,"SLO（"&amp;AB84&amp;"）","HBM 容量"))</f>
        <v>SLO（算力）</v>
      </c>
      <c r="AC90" s="98" t="str">
        <f aca="false">IF(AC87&lt;=0,"SLO 不可達",IF(AC85&lt;=AC86,"SLO（"&amp;AC84&amp;"）","HBM 容量"))</f>
        <v>SLO（算力）</v>
      </c>
      <c r="AD90" s="98" t="str">
        <f aca="false">IF(AD87&lt;=0,"SLO 不可達",IF(AD85&lt;=AD86,"SLO（"&amp;AD84&amp;"）","HBM 容量"))</f>
        <v>SLO（算力）</v>
      </c>
      <c r="AE90" s="98" t="str">
        <f aca="false">IF(AE87&lt;=0,"SLO 不可達",IF(AE85&lt;=AE86,"SLO（"&amp;AE84&amp;"）","HBM 容量"))</f>
        <v>SLO（算力）</v>
      </c>
      <c r="AF90" s="98" t="str">
        <f aca="false">IF(AF87&lt;=0,"SLO 不可達",IF(AF85&lt;=AF86,"SLO（"&amp;AF84&amp;"）","HBM 容量"))</f>
        <v>SLO（算力）</v>
      </c>
      <c r="AG90" s="98" t="str">
        <f aca="false">IF(AG87&lt;=0,"SLO 不可達",IF(AG85&lt;=AG86,"SLO（"&amp;AG84&amp;"）","HBM 容量"))</f>
        <v>SLO（算力）</v>
      </c>
      <c r="AH90" s="98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45" t="s">
        <v>698</v>
      </c>
      <c r="B91" s="45" t="s">
        <v>57</v>
      </c>
      <c r="C91" s="67" t="n">
        <f aca="false">C87*C34*C45/1000000000/C69</f>
        <v>0.0166397992902352</v>
      </c>
      <c r="D91" s="67" t="n">
        <f aca="false">D87*D34*D45/1000000000/D69</f>
        <v>0.00610391564808262</v>
      </c>
      <c r="E91" s="67" t="n">
        <f aca="false">E87*E34*E45/1000000000/E69</f>
        <v>0.0083198996451176</v>
      </c>
      <c r="F91" s="67" t="n">
        <f aca="false">F87*F34*F45/1000000000/F69</f>
        <v>0.00610391564808262</v>
      </c>
      <c r="G91" s="67" t="n">
        <f aca="false">G87*G34*G45/1000000000/G69</f>
        <v>0.0249596989353528</v>
      </c>
      <c r="H91" s="67" t="n">
        <f aca="false">H87*H34*H45/1000000000/H69</f>
        <v>0.00610391564808262</v>
      </c>
      <c r="I91" s="67" t="n">
        <f aca="false">I87*I34*I45/1000000000/I69</f>
        <v>0.0185701168999951</v>
      </c>
      <c r="J91" s="67" t="n">
        <f aca="false">J87*J34*J45/1000000000/J69</f>
        <v>0.00610391564808262</v>
      </c>
      <c r="K91" s="67" t="n">
        <f aca="false">K87*K34*K45/1000000000/K69</f>
        <v>0.0134226032739687</v>
      </c>
      <c r="L91" s="67" t="n">
        <f aca="false">L87*L34*L45/1000000000/L69</f>
        <v>0.00610391564808262</v>
      </c>
      <c r="M91" s="67" t="n">
        <f aca="false">M87*M34*M45/1000000000/M69</f>
        <v>0.0237711418431931</v>
      </c>
      <c r="N91" s="67" t="n">
        <f aca="false">N87*N34*N45/1000000000/N69</f>
        <v>0.00610391564808262</v>
      </c>
      <c r="O91" s="67" t="n">
        <f aca="false">O87*O34*O45/1000000000/O69</f>
        <v>0.0319173579543614</v>
      </c>
      <c r="P91" s="67" t="n">
        <f aca="false">P87*P34*P45/1000000000/P69</f>
        <v>0.012651440789851</v>
      </c>
      <c r="Q91" s="67" t="n">
        <f aca="false">Q87*Q34*Q45/1000000000/Q69</f>
        <v>0.00808436643832454</v>
      </c>
      <c r="R91" s="67" t="n">
        <f aca="false">R87*R34*R45/1000000000/R69</f>
        <v>0.00243730156869233</v>
      </c>
      <c r="S91" s="67" t="n">
        <f aca="false">S87*S34*S45/1000000000/S69</f>
        <v>0.0131946585444994</v>
      </c>
      <c r="T91" s="67" t="n">
        <f aca="false">T87*T34*T45/1000000000/T69</f>
        <v>0.00462742675705298</v>
      </c>
      <c r="U91" s="67" t="n">
        <f aca="false">U87*U34*U45/1000000000/U69</f>
        <v>0.0206832557957347</v>
      </c>
      <c r="V91" s="67" t="n">
        <f aca="false">V87*V34*V45/1000000000/V69</f>
        <v>0.00783682557901097</v>
      </c>
      <c r="W91" s="67" t="n">
        <f aca="false">W87*W34*W45/1000000000/W69</f>
        <v>0.00492227820345689</v>
      </c>
      <c r="X91" s="67" t="n">
        <f aca="false">X87*X34*X45/1000000000/X69</f>
        <v>0.00180562099495563</v>
      </c>
      <c r="Y91" s="67" t="n">
        <f aca="false">Y87*Y34*Y45/1000000000/Y69</f>
        <v>0.0621964641969855</v>
      </c>
      <c r="Z91" s="67" t="n">
        <f aca="false">Z87*Z34*Z45/1000000000/Z69</f>
        <v>0.0228152974952154</v>
      </c>
      <c r="AA91" s="67" t="n">
        <f aca="false">AA87*AA34*AA45/1000000000/AA69</f>
        <v>0.00971754189340477</v>
      </c>
      <c r="AB91" s="67" t="n">
        <f aca="false">AB87*AB34*AB45/1000000000/AB69</f>
        <v>0.00344546197804646</v>
      </c>
      <c r="AC91" s="67" t="n">
        <f aca="false">AC87*AC34*AC45/1000000000/AC69</f>
        <v>0.0288557083787346</v>
      </c>
      <c r="AD91" s="67" t="n">
        <f aca="false">AD87*AD34*AD45/1000000000/AD69</f>
        <v>0.00754057296109637</v>
      </c>
      <c r="AE91" s="67" t="n">
        <f aca="false">AE87*AE34*AE45/1000000000/AE69</f>
        <v>0.110983493764364</v>
      </c>
      <c r="AF91" s="67" t="n">
        <f aca="false">AF87*AF34*AF45/1000000000/AF69</f>
        <v>0.0290022036965245</v>
      </c>
      <c r="AG91" s="67" t="n">
        <f aca="false">AG87*AG34*AG45/1000000000/AG69</f>
        <v>0.394607977828849</v>
      </c>
      <c r="AH91" s="67" t="n">
        <f aca="false">AH87*AH34*AH45/1000000000/AH69</f>
        <v>0.103118946476532</v>
      </c>
    </row>
    <row r="92" customFormat="false" ht="15" hidden="false" customHeight="false" outlineLevel="0" collapsed="false">
      <c r="A92" s="72" t="s">
        <v>699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customFormat="false" ht="15" hidden="false" customHeight="false" outlineLevel="0" collapsed="false">
      <c r="A93" s="44" t="s">
        <v>700</v>
      </c>
      <c r="B93" s="45" t="s">
        <v>701</v>
      </c>
      <c r="C93" s="99" t="n">
        <f aca="false">IF(C88&gt;0,C43/C75+C44/C88,0)</f>
        <v>0.712237124347245</v>
      </c>
      <c r="D93" s="99" t="n">
        <f aca="false">IF(D88&gt;0,D43/D75+D44/D88,0)</f>
        <v>1.85992291308805</v>
      </c>
      <c r="E93" s="99" t="n">
        <f aca="false">IF(E88&gt;0,E43/E75+E44/E88,0)</f>
        <v>1.21646352915509</v>
      </c>
      <c r="F93" s="99" t="n">
        <f aca="false">IF(F88&gt;0,F43/F75+F44/F88,0)</f>
        <v>1.85992291308805</v>
      </c>
      <c r="G93" s="99" t="n">
        <f aca="false">IF(G88&gt;0,G43/G75+G44/G88,0)</f>
        <v>0.544161656077962</v>
      </c>
      <c r="H93" s="99" t="n">
        <f aca="false">IF(H88&gt;0,H43/H75+H44/H88,0)</f>
        <v>1.85992291308805</v>
      </c>
      <c r="I93" s="99" t="n">
        <f aca="false">IF(I88&gt;0,I43/I75+I44/I88,0)</f>
        <v>0.659824039725965</v>
      </c>
      <c r="J93" s="99" t="n">
        <f aca="false">IF(J88&gt;0,J43/J75+J44/J88,0)</f>
        <v>1.85992291308805</v>
      </c>
      <c r="K93" s="99" t="n">
        <f aca="false">IF(K88&gt;0,K43/K75+K44/K88,0)</f>
        <v>0.833092605786541</v>
      </c>
      <c r="L93" s="99" t="n">
        <f aca="false">IF(L88&gt;0,L43/L75+L44/L88,0)</f>
        <v>1.85992291308805</v>
      </c>
      <c r="M93" s="99" t="n">
        <f aca="false">IF(M88&gt;0,M43/M75+M44/M88,0)</f>
        <v>0.498565987043072</v>
      </c>
      <c r="N93" s="99" t="n">
        <f aca="false">IF(N88&gt;0,N43/N75+N44/N88,0)</f>
        <v>1.85992291308805</v>
      </c>
      <c r="O93" s="99" t="n">
        <f aca="false">IF(O88&gt;0,O43/O75+O44/O88,0)</f>
        <v>0.635180084571414</v>
      </c>
      <c r="P93" s="99" t="n">
        <f aca="false">IF(P88&gt;0,P43/P75+P44/P88,0)</f>
        <v>1.56303145471334</v>
      </c>
      <c r="Q93" s="99" t="n">
        <f aca="false">IF(Q88&gt;0,Q43/Q75+Q44/Q88,0)</f>
        <v>0.882602483031492</v>
      </c>
      <c r="R93" s="99" t="n">
        <f aca="false">IF(R88&gt;0,R43/R75+R44/R88,0)</f>
        <v>2.7229341476178</v>
      </c>
      <c r="S93" s="99" t="n">
        <f aca="false">IF(S88&gt;0,S43/S75+S44/S88,0)</f>
        <v>0.843891227135952</v>
      </c>
      <c r="T93" s="99" t="n">
        <f aca="false">IF(T88&gt;0,T43/T75+T44/T88,0)</f>
        <v>2.29850993357792</v>
      </c>
      <c r="U93" s="99" t="n">
        <f aca="false">IF(U88&gt;0,U43/U75+U44/U88,0)</f>
        <v>0.61366378768787</v>
      </c>
      <c r="V93" s="99" t="n">
        <f aca="false">IF(V88&gt;0,V43/V75+V44/V88,0)</f>
        <v>1.55597374825071</v>
      </c>
      <c r="W93" s="99" t="n">
        <f aca="false">IF(W88&gt;0,W43/W75+W44/W88,0)</f>
        <v>0.546401760825615</v>
      </c>
      <c r="X93" s="99" t="n">
        <f aca="false">IF(X88&gt;0,X43/X75+X44/X88,0)</f>
        <v>1.47183838274055</v>
      </c>
      <c r="Y93" s="99" t="n">
        <f aca="false">IF(Y88&gt;0,Y43/Y75+Y44/Y88,0)</f>
        <v>1.35741373008322</v>
      </c>
      <c r="Z93" s="99" t="n">
        <f aca="false">IF(Z88&gt;0,Z43/Z75+Z44/Z88,0)</f>
        <v>3.36987638832674</v>
      </c>
      <c r="AA93" s="99" t="n">
        <f aca="false">IF(AA88&gt;0,AA43/AA75+AA44/AA88,0)</f>
        <v>1.16056851310558</v>
      </c>
      <c r="AB93" s="99" t="n">
        <f aca="false">IF(AB88&gt;0,AB43/AB75+AB44/AB88,0)</f>
        <v>3.12852180409629</v>
      </c>
      <c r="AC93" s="99" t="n">
        <f aca="false">IF(AC88&gt;0,AC43/AC75+AC44/AC88,0)</f>
        <v>6.56643907356878</v>
      </c>
      <c r="AD93" s="99" t="n">
        <f aca="false">IF(AD88&gt;0,AD43/AD75+AD44/AD88,0)</f>
        <v>23.0748612114697</v>
      </c>
      <c r="AE93" s="99" t="n">
        <f aca="false">IF(AE88&gt;0,AE43/AE75+AE44/AE88,0)</f>
        <v>6.56643907356878</v>
      </c>
      <c r="AF93" s="99" t="n">
        <f aca="false">IF(AF88&gt;0,AF43/AF75+AF44/AF88,0)</f>
        <v>23.0748612114697</v>
      </c>
      <c r="AG93" s="99" t="n">
        <f aca="false">IF(AG88&gt;0,AG43/AG75+AG44/AG88,0)</f>
        <v>6.56643907356878</v>
      </c>
      <c r="AH93" s="99" t="n">
        <f aca="false">IF(AH88&gt;0,AH43/AH75+AH44/AH88,0)</f>
        <v>23.0748612114697</v>
      </c>
    </row>
    <row r="94" customFormat="false" ht="15" hidden="false" customHeight="false" outlineLevel="0" collapsed="false">
      <c r="A94" s="45" t="s">
        <v>702</v>
      </c>
      <c r="B94" s="45" t="s">
        <v>57</v>
      </c>
      <c r="C94" s="67" t="n">
        <f aca="false">IF(C93&gt;0,(C43/C75)/C93,0)</f>
        <v>0.292052621842808</v>
      </c>
      <c r="D94" s="67" t="n">
        <f aca="false">IF(D93&gt;0,(D43/D75)/D93,0)</f>
        <v>0.260956162310016</v>
      </c>
      <c r="E94" s="67" t="n">
        <f aca="false">IF(E93&gt;0,(E43/E75)/E93,0)</f>
        <v>0.170996264626093</v>
      </c>
      <c r="F94" s="67" t="n">
        <f aca="false">IF(F93&gt;0,(F43/F75)/F93,0)</f>
        <v>0.260956162310016</v>
      </c>
      <c r="G94" s="67" t="n">
        <f aca="false">IF(G93&gt;0,(G43/G75)/G93,0)</f>
        <v>0.382259053382463</v>
      </c>
      <c r="H94" s="67" t="n">
        <f aca="false">IF(H93&gt;0,(H43/H75)/H93,0)</f>
        <v>0.260956162310016</v>
      </c>
      <c r="I94" s="67" t="n">
        <f aca="false">IF(I93&gt;0,(I43/I75)/I93,0)</f>
        <v>0.315251805050609</v>
      </c>
      <c r="J94" s="67" t="n">
        <f aca="false">IF(J93&gt;0,(J43/J75)/J93,0)</f>
        <v>0.260956162310016</v>
      </c>
      <c r="K94" s="67" t="n">
        <f aca="false">IF(K93&gt;0,(K43/K75)/K93,0)</f>
        <v>0.249684990713616</v>
      </c>
      <c r="L94" s="67" t="n">
        <f aca="false">IF(L93&gt;0,(L43/L75)/L93,0)</f>
        <v>0.260956162310016</v>
      </c>
      <c r="M94" s="67" t="n">
        <f aca="false">IF(M93&gt;0,(M43/M75)/M93,0)</f>
        <v>0.292052621842808</v>
      </c>
      <c r="N94" s="67" t="n">
        <f aca="false">IF(N93&gt;0,(N43/N75)/N93,0)</f>
        <v>0.260956162310016</v>
      </c>
      <c r="O94" s="67" t="n">
        <f aca="false">IF(O93&gt;0,(O43/O75)/O93,0)</f>
        <v>0.327483062822648</v>
      </c>
      <c r="P94" s="67" t="n">
        <f aca="false">IF(P93&gt;0,(P43/P75)/P93,0)</f>
        <v>0.310523722429462</v>
      </c>
      <c r="Q94" s="67" t="n">
        <f aca="false">IF(Q93&gt;0,(Q43/Q75)/Q93,0)</f>
        <v>0.235678828848222</v>
      </c>
      <c r="R94" s="67" t="n">
        <f aca="false">IF(R93&gt;0,(R43/R75)/R93,0)</f>
        <v>0.178248286326184</v>
      </c>
      <c r="S94" s="67" t="n">
        <f aca="false">IF(S93&gt;0,(S43/S75)/S93,0)</f>
        <v>0.246489965591127</v>
      </c>
      <c r="T94" s="67" t="n">
        <f aca="false">IF(T93&gt;0,(T43/T75)/T93,0)</f>
        <v>0.211162170109224</v>
      </c>
      <c r="U94" s="67" t="n">
        <f aca="false">IF(U93&gt;0,(U43/U75)/U93,0)</f>
        <v>0.338965283128612</v>
      </c>
      <c r="V94" s="67" t="n">
        <f aca="false">IF(V93&gt;0,(V43/V75)/V93,0)</f>
        <v>0.311932220024652</v>
      </c>
      <c r="W94" s="67" t="n">
        <f aca="false">IF(W93&gt;0,(W43/W75)/W93,0)</f>
        <v>0.0824779611095352</v>
      </c>
      <c r="X94" s="67" t="n">
        <f aca="false">IF(X93&gt;0,(X43/X75)/X93,0)</f>
        <v>0.0714441490216488</v>
      </c>
      <c r="Y94" s="67" t="n">
        <f aca="false">IF(Y93&gt;0,(Y43/Y75)/Y93,0)</f>
        <v>0.620020497786333</v>
      </c>
      <c r="Z94" s="67" t="n">
        <f aca="false">IF(Z93&gt;0,(Z43/Z75)/Z93,0)</f>
        <v>0.582748413443802</v>
      </c>
      <c r="AA94" s="67" t="n">
        <f aca="false">IF(AA93&gt;0,(AA43/AA75)/AA93,0)</f>
        <v>0.256045349684177</v>
      </c>
      <c r="AB94" s="67" t="n">
        <f aca="false">IF(AB93&gt;0,(AB43/AB75)/AB93,0)</f>
        <v>0.221628330741842</v>
      </c>
      <c r="AC94" s="67" t="n">
        <f aca="false">IF(AC93&gt;0,(AC43/AC75)/AC93,0)</f>
        <v>0.209366326833024</v>
      </c>
      <c r="AD94" s="67" t="n">
        <f aca="false">IF(AD93&gt;0,(AD43/AD75)/AD93,0)</f>
        <v>0.139019089739358</v>
      </c>
      <c r="AE94" s="67" t="n">
        <f aca="false">IF(AE93&gt;0,(AE43/AE75)/AE93,0)</f>
        <v>0.209366326833024</v>
      </c>
      <c r="AF94" s="67" t="n">
        <f aca="false">IF(AF93&gt;0,(AF43/AF75)/AF93,0)</f>
        <v>0.139019089739358</v>
      </c>
      <c r="AG94" s="67" t="n">
        <f aca="false">IF(AG93&gt;0,(AG43/AG75)/AG93,0)</f>
        <v>0.209366326833024</v>
      </c>
      <c r="AH94" s="67" t="n">
        <f aca="false">IF(AH93&gt;0,(AH43/AH75)/AH93,0)</f>
        <v>0.139019089739358</v>
      </c>
    </row>
    <row r="95" customFormat="false" ht="15" hidden="false" customHeight="false" outlineLevel="0" collapsed="false">
      <c r="A95" s="44" t="s">
        <v>703</v>
      </c>
      <c r="B95" s="45" t="s">
        <v>300</v>
      </c>
      <c r="C95" s="51" t="n">
        <f aca="false">IF(C93&gt;0,C22*(C43+C44)/C93,0)</f>
        <v>1863289.56275099</v>
      </c>
      <c r="D95" s="51" t="n">
        <f aca="false">IF(D93&gt;0,D22*(D43+D44)/D93,0)</f>
        <v>713526.345990651</v>
      </c>
      <c r="E95" s="51" t="n">
        <f aca="false">IF(E93&gt;0,E22*(E43+E44)/E93,0)</f>
        <v>1090952.5589491</v>
      </c>
      <c r="F95" s="51" t="n">
        <f aca="false">IF(F93&gt;0,F22*(F43+F44)/F93,0)</f>
        <v>713526.345990651</v>
      </c>
      <c r="G95" s="51" t="n">
        <f aca="false">IF(G93&gt;0,G22*(G43+G44)/G93,0)</f>
        <v>2438804.69190918</v>
      </c>
      <c r="H95" s="51" t="n">
        <f aca="false">IF(H93&gt;0,H22*(H43+H44)/H93,0)</f>
        <v>713526.345990651</v>
      </c>
      <c r="I95" s="51" t="n">
        <f aca="false">IF(I93&gt;0,I22*(I43+I44)/I93,0)</f>
        <v>2011299.86193162</v>
      </c>
      <c r="J95" s="51" t="n">
        <f aca="false">IF(J93&gt;0,J22*(J43+J44)/J93,0)</f>
        <v>713526.345990651</v>
      </c>
      <c r="K95" s="51" t="n">
        <f aca="false">IF(K93&gt;0,K22*(K43+K44)/K93,0)</f>
        <v>1592984.97043681</v>
      </c>
      <c r="L95" s="51" t="n">
        <f aca="false">IF(L93&gt;0,L22*(L43+L44)/L93,0)</f>
        <v>713526.345990651</v>
      </c>
      <c r="M95" s="51" t="n">
        <f aca="false">IF(M93&gt;0,M22*(M43+M44)/M93,0)</f>
        <v>2661842.23250141</v>
      </c>
      <c r="N95" s="51" t="n">
        <f aca="false">IF(N93&gt;0,N22*(N43+N44)/N93,0)</f>
        <v>713526.345990651</v>
      </c>
      <c r="O95" s="51" t="n">
        <f aca="false">IF(O93&gt;0,O22*(O43+O44)/O93,0)</f>
        <v>2089335.02834155</v>
      </c>
      <c r="P95" s="51" t="n">
        <f aca="false">IF(P93&gt;0,P22*(P43+P44)/P93,0)</f>
        <v>849057.769117892</v>
      </c>
      <c r="Q95" s="51" t="n">
        <f aca="false">IF(Q93&gt;0,Q22*(Q43+Q44)/Q93,0)</f>
        <v>1503625.95337571</v>
      </c>
      <c r="R95" s="51" t="n">
        <f aca="false">IF(R93&gt;0,R22*(R43+R44)/R93,0)</f>
        <v>487380.130423293</v>
      </c>
      <c r="S95" s="51" t="n">
        <f aca="false">IF(S93&gt;0,S22*(S43+S44)/S93,0)</f>
        <v>1572600.77759548</v>
      </c>
      <c r="T95" s="51" t="n">
        <f aca="false">IF(T93&gt;0,T22*(T43+T44)/T93,0)</f>
        <v>577375.794906483</v>
      </c>
      <c r="U95" s="51" t="n">
        <f aca="false">IF(U93&gt;0,U22*(U43+U44)/U93,0)</f>
        <v>2162591.35152848</v>
      </c>
      <c r="V95" s="51" t="n">
        <f aca="false">IF(V93&gt;0,V22*(V43+V44)/V93,0)</f>
        <v>852908.991229439</v>
      </c>
      <c r="W95" s="51" t="n">
        <f aca="false">IF(W93&gt;0,W22*(W43+W44)/W93,0)</f>
        <v>809602.076193131</v>
      </c>
      <c r="X95" s="51" t="n">
        <f aca="false">IF(X93&gt;0,X22*(X43+X44)/X93,0)</f>
        <v>300554.73833772</v>
      </c>
      <c r="Y95" s="51" t="n">
        <f aca="false">IF(Y93&gt;0,Y22*(Y43+Y44)/Y93,0)</f>
        <v>3584793.56157808</v>
      </c>
      <c r="Z95" s="51" t="n">
        <f aca="false">IF(Z93&gt;0,Z22*(Z43+Z44)/Z93,0)</f>
        <v>1443984.12263904</v>
      </c>
      <c r="AA95" s="51" t="n">
        <f aca="false">IF(AA93&gt;0,AA22*(AA43+AA44)/AA93,0)</f>
        <v>1143494.74849079</v>
      </c>
      <c r="AB95" s="51" t="n">
        <f aca="false">IF(AB93&gt;0,AB22*(AB43+AB44)/AB93,0)</f>
        <v>424195.22160989</v>
      </c>
      <c r="AC95" s="51" t="n">
        <f aca="false">IF(AC93&gt;0,AC22*(AC43+AC44)/AC93,0)</f>
        <v>404208.12106271</v>
      </c>
      <c r="AD95" s="51" t="n">
        <f aca="false">IF(AD93&gt;0,AD22*(AD43+AD44)/AD93,0)</f>
        <v>115025.957282061</v>
      </c>
      <c r="AE95" s="51" t="n">
        <f aca="false">IF(AE93&gt;0,AE22*(AE43+AE44)/AE93,0)</f>
        <v>404208.12106271</v>
      </c>
      <c r="AF95" s="51" t="n">
        <f aca="false">IF(AF93&gt;0,AF22*(AF43+AF44)/AF93,0)</f>
        <v>115025.957282061</v>
      </c>
      <c r="AG95" s="51" t="n">
        <f aca="false">IF(AG93&gt;0,AG22*(AG43+AG44)/AG93,0)</f>
        <v>404208.12106271</v>
      </c>
      <c r="AH95" s="51" t="n">
        <f aca="false">IF(AH93&gt;0,AH22*(AH43+AH44)/AH93,0)</f>
        <v>115025.957282061</v>
      </c>
    </row>
    <row r="96" customFormat="false" ht="15" hidden="false" customHeight="false" outlineLevel="0" collapsed="false">
      <c r="A96" s="44" t="s">
        <v>704</v>
      </c>
      <c r="B96" s="45" t="s">
        <v>300</v>
      </c>
      <c r="C96" s="56" t="n">
        <f aca="false">C95*C44/(C43+C44)</f>
        <v>207032.173638999</v>
      </c>
      <c r="D96" s="56" t="n">
        <f aca="false">D95*D44/(D43+D44)</f>
        <v>79280.7051100723</v>
      </c>
      <c r="E96" s="56" t="n">
        <f aca="false">E95*E44/(E43+E44)</f>
        <v>121216.950994344</v>
      </c>
      <c r="F96" s="56" t="n">
        <f aca="false">F95*F44/(F43+F44)</f>
        <v>79280.7051100723</v>
      </c>
      <c r="G96" s="56" t="n">
        <f aca="false">G95*G44/(G43+G44)</f>
        <v>270978.29910102</v>
      </c>
      <c r="H96" s="56" t="n">
        <f aca="false">H95*H44/(H43+H44)</f>
        <v>79280.7051100723</v>
      </c>
      <c r="I96" s="56" t="n">
        <f aca="false">I95*I44/(I43+I44)</f>
        <v>223477.762436847</v>
      </c>
      <c r="J96" s="56" t="n">
        <f aca="false">J95*J44/(J43+J44)</f>
        <v>79280.7051100723</v>
      </c>
      <c r="K96" s="56" t="n">
        <f aca="false">K95*K44/(K43+K44)</f>
        <v>176998.330048535</v>
      </c>
      <c r="L96" s="56" t="n">
        <f aca="false">L95*L44/(L43+L44)</f>
        <v>79280.7051100723</v>
      </c>
      <c r="M96" s="56" t="n">
        <f aca="false">M95*M44/(M43+M44)</f>
        <v>295760.248055713</v>
      </c>
      <c r="N96" s="56" t="n">
        <f aca="false">N95*N44/(N43+N44)</f>
        <v>79280.7051100723</v>
      </c>
      <c r="O96" s="56" t="n">
        <f aca="false">O95*O44/(O43+O44)</f>
        <v>232148.336482394</v>
      </c>
      <c r="P96" s="56" t="n">
        <f aca="false">P95*P44/(P43+P44)</f>
        <v>94339.7521242103</v>
      </c>
      <c r="Q96" s="56" t="n">
        <f aca="false">Q95*Q44/(Q43+Q44)</f>
        <v>167069.550375079</v>
      </c>
      <c r="R96" s="56" t="n">
        <f aca="false">R95*R44/(R43+R44)</f>
        <v>54153.3478248103</v>
      </c>
      <c r="S96" s="56" t="n">
        <f aca="false">S95*S44/(S43+S44)</f>
        <v>174733.419732831</v>
      </c>
      <c r="T96" s="56" t="n">
        <f aca="false">T95*T44/(T43+T44)</f>
        <v>64152.8661007203</v>
      </c>
      <c r="U96" s="56" t="n">
        <f aca="false">U95*U44/(U43+U44)</f>
        <v>240287.927947609</v>
      </c>
      <c r="V96" s="56" t="n">
        <f aca="false">V95*V44/(V43+V44)</f>
        <v>94767.6656921599</v>
      </c>
      <c r="W96" s="56" t="n">
        <f aca="false">W95*W44/(W43+W44)</f>
        <v>269867.358731044</v>
      </c>
      <c r="X96" s="56" t="n">
        <f aca="false">X95*X44/(X43+X44)</f>
        <v>100184.91277924</v>
      </c>
      <c r="Y96" s="56" t="n">
        <f aca="false">Y95*Y44/(Y43+Y44)</f>
        <v>108630.107926608</v>
      </c>
      <c r="Z96" s="56" t="n">
        <f aca="false">Z95*Z44/(Z43+Z44)</f>
        <v>43757.0946254255</v>
      </c>
      <c r="AA96" s="56" t="n">
        <f aca="false">AA95*AA44/(AA43+AA44)</f>
        <v>127054.972054532</v>
      </c>
      <c r="AB96" s="56" t="n">
        <f aca="false">AB95*AB44/(AB43+AB44)</f>
        <v>47132.8024010989</v>
      </c>
      <c r="AC96" s="56" t="n">
        <f aca="false">AC95*AC44/(AC43+AC44)</f>
        <v>44912.0134514122</v>
      </c>
      <c r="AD96" s="56" t="n">
        <f aca="false">AD95*AD44/(AD43+AD44)</f>
        <v>12780.661920229</v>
      </c>
      <c r="AE96" s="56" t="n">
        <f aca="false">AE95*AE44/(AE43+AE44)</f>
        <v>44912.0134514122</v>
      </c>
      <c r="AF96" s="56" t="n">
        <f aca="false">AF95*AF44/(AF43+AF44)</f>
        <v>12780.661920229</v>
      </c>
      <c r="AG96" s="56" t="n">
        <f aca="false">AG95*AG44/(AG43+AG44)</f>
        <v>44912.0134514122</v>
      </c>
      <c r="AH96" s="56" t="n">
        <f aca="false">AH95*AH44/(AH43+AH44)</f>
        <v>12780.661920229</v>
      </c>
    </row>
    <row r="97" customFormat="false" ht="15" hidden="false" customHeight="false" outlineLevel="0" collapsed="false">
      <c r="A97" s="44" t="s">
        <v>705</v>
      </c>
      <c r="B97" s="45" t="s">
        <v>300</v>
      </c>
      <c r="C97" s="56" t="n">
        <f aca="false">C95-C96</f>
        <v>1656257.38911199</v>
      </c>
      <c r="D97" s="56" t="n">
        <f aca="false">D95-D96</f>
        <v>634245.640880578</v>
      </c>
      <c r="E97" s="56" t="n">
        <f aca="false">E95-E96</f>
        <v>969735.607954753</v>
      </c>
      <c r="F97" s="56" t="n">
        <f aca="false">F95-F96</f>
        <v>634245.640880578</v>
      </c>
      <c r="G97" s="56" t="n">
        <f aca="false">G95-G96</f>
        <v>2167826.39280816</v>
      </c>
      <c r="H97" s="56" t="n">
        <f aca="false">H95-H96</f>
        <v>634245.640880578</v>
      </c>
      <c r="I97" s="56" t="n">
        <f aca="false">I95-I96</f>
        <v>1787822.09949478</v>
      </c>
      <c r="J97" s="56" t="n">
        <f aca="false">J95-J96</f>
        <v>634245.640880578</v>
      </c>
      <c r="K97" s="56" t="n">
        <f aca="false">K95-K96</f>
        <v>1415986.64038828</v>
      </c>
      <c r="L97" s="56" t="n">
        <f aca="false">L95-L96</f>
        <v>634245.640880578</v>
      </c>
      <c r="M97" s="56" t="n">
        <f aca="false">M95-M96</f>
        <v>2366081.9844457</v>
      </c>
      <c r="N97" s="56" t="n">
        <f aca="false">N95-N96</f>
        <v>634245.640880578</v>
      </c>
      <c r="O97" s="56" t="n">
        <f aca="false">O95-O96</f>
        <v>1857186.69185915</v>
      </c>
      <c r="P97" s="56" t="n">
        <f aca="false">P95-P96</f>
        <v>754718.016993682</v>
      </c>
      <c r="Q97" s="56" t="n">
        <f aca="false">Q95-Q96</f>
        <v>1336556.40300063</v>
      </c>
      <c r="R97" s="56" t="n">
        <f aca="false">R95-R96</f>
        <v>433226.782598482</v>
      </c>
      <c r="S97" s="56" t="n">
        <f aca="false">S95-S96</f>
        <v>1397867.35786265</v>
      </c>
      <c r="T97" s="56" t="n">
        <f aca="false">T95-T96</f>
        <v>513222.928805763</v>
      </c>
      <c r="U97" s="56" t="n">
        <f aca="false">U95-U96</f>
        <v>1922303.42358088</v>
      </c>
      <c r="V97" s="56" t="n">
        <f aca="false">V95-V96</f>
        <v>758141.325537279</v>
      </c>
      <c r="W97" s="56" t="n">
        <f aca="false">W95-W96</f>
        <v>539734.717462087</v>
      </c>
      <c r="X97" s="56" t="n">
        <f aca="false">X95-X96</f>
        <v>200369.82555848</v>
      </c>
      <c r="Y97" s="56" t="n">
        <f aca="false">Y95-Y96</f>
        <v>3476163.45365147</v>
      </c>
      <c r="Z97" s="56" t="n">
        <f aca="false">Z95-Z96</f>
        <v>1400227.02801362</v>
      </c>
      <c r="AA97" s="56" t="n">
        <f aca="false">AA95-AA96</f>
        <v>1016439.77643626</v>
      </c>
      <c r="AB97" s="56" t="n">
        <f aca="false">AB95-AB96</f>
        <v>377062.419208791</v>
      </c>
      <c r="AC97" s="56" t="n">
        <f aca="false">AC95-AC96</f>
        <v>359296.107611298</v>
      </c>
      <c r="AD97" s="56" t="n">
        <f aca="false">AD95-AD96</f>
        <v>102245.295361832</v>
      </c>
      <c r="AE97" s="56" t="n">
        <f aca="false">AE95-AE96</f>
        <v>359296.107611298</v>
      </c>
      <c r="AF97" s="56" t="n">
        <f aca="false">AF95-AF96</f>
        <v>102245.295361832</v>
      </c>
      <c r="AG97" s="56" t="n">
        <f aca="false">AG95-AG96</f>
        <v>359296.107611298</v>
      </c>
      <c r="AH97" s="56" t="n">
        <f aca="false">AH95-AH96</f>
        <v>102245.295361832</v>
      </c>
    </row>
    <row r="98" customFormat="false" ht="15" hidden="false" customHeight="false" outlineLevel="0" collapsed="false">
      <c r="A98" s="44" t="s">
        <v>706</v>
      </c>
      <c r="B98" s="45" t="s">
        <v>707</v>
      </c>
      <c r="C98" s="51" t="n">
        <f aca="false">C95*C25*8760*3600/1000000</f>
        <v>238098354985.508</v>
      </c>
      <c r="D98" s="51" t="n">
        <f aca="false">D95*D25*8760*3600/1000000</f>
        <v>151099364378.687</v>
      </c>
      <c r="E98" s="51" t="n">
        <f aca="false">E95*E25*8760*3600/1000000</f>
        <v>139406142150.824</v>
      </c>
      <c r="F98" s="51" t="n">
        <f aca="false">F95*F25*8760*3600/1000000</f>
        <v>151099364378.687</v>
      </c>
      <c r="G98" s="51" t="n">
        <f aca="false">G95*G25*8760*3600/1000000</f>
        <v>311639906583.922</v>
      </c>
      <c r="H98" s="51" t="n">
        <f aca="false">H95*H25*8760*3600/1000000</f>
        <v>151099364378.687</v>
      </c>
      <c r="I98" s="51" t="n">
        <f aca="false">I95*I25*8760*3600/1000000</f>
        <v>257011684110.688</v>
      </c>
      <c r="J98" s="51" t="n">
        <f aca="false">J95*J25*8760*3600/1000000</f>
        <v>151099364378.687</v>
      </c>
      <c r="K98" s="51" t="n">
        <f aca="false">K95*K25*8760*3600/1000000</f>
        <v>203557787560.221</v>
      </c>
      <c r="L98" s="51" t="n">
        <f aca="false">L95*L25*8760*3600/1000000</f>
        <v>151099364378.687</v>
      </c>
      <c r="M98" s="51" t="n">
        <f aca="false">M95*M25*8760*3600/1000000</f>
        <v>340140507122.155</v>
      </c>
      <c r="N98" s="51" t="n">
        <f aca="false">N95*N25*8760*3600/1000000</f>
        <v>151099364378.687</v>
      </c>
      <c r="O98" s="51" t="n">
        <f aca="false">O95*O25*8760*3600/1000000</f>
        <v>266983319826.712</v>
      </c>
      <c r="P98" s="51" t="n">
        <f aca="false">P95*P25*8760*3600/1000000</f>
        <v>179800073193.346</v>
      </c>
      <c r="Q98" s="51" t="n">
        <f aca="false">Q95*Q25*8760*3600/1000000</f>
        <v>192139146362.04</v>
      </c>
      <c r="R98" s="51" t="n">
        <f aca="false">R95*R25*8760*3600/1000000</f>
        <v>103209682910.189</v>
      </c>
      <c r="S98" s="51" t="n">
        <f aca="false">S95*S25*8760*3600/1000000</f>
        <v>200953016471.361</v>
      </c>
      <c r="T98" s="51" t="n">
        <f aca="false">T95*T25*8760*3600/1000000</f>
        <v>122267546402.767</v>
      </c>
      <c r="U98" s="51" t="n">
        <f aca="false">U95*U25*8760*3600/1000000</f>
        <v>276344296452.023</v>
      </c>
      <c r="V98" s="51" t="n">
        <f aca="false">V95*V25*8760*3600/1000000</f>
        <v>180615624316.869</v>
      </c>
      <c r="W98" s="51" t="n">
        <f aca="false">W95*W25*8760*3600/1000000</f>
        <v>103454088075.197</v>
      </c>
      <c r="X98" s="51" t="n">
        <f aca="false">X95*X25*8760*3600/1000000</f>
        <v>63646745742.4861</v>
      </c>
      <c r="Y98" s="51" t="n">
        <f aca="false">Y95*Y25*8760*3600/1000000</f>
        <v>458078801619.117</v>
      </c>
      <c r="Z98" s="51" t="n">
        <f aca="false">Z95*Z25*8760*3600/1000000</f>
        <v>305784200302.723</v>
      </c>
      <c r="AA98" s="51" t="n">
        <f aca="false">AA95*AA25*8760*3600/1000000</f>
        <v>146120186573.819</v>
      </c>
      <c r="AB98" s="51" t="n">
        <f aca="false">AB95*AB25*8760*3600/1000000</f>
        <v>89829378715.85</v>
      </c>
      <c r="AC98" s="51" t="n">
        <f aca="false">AC95*AC25*8760*3600/1000000</f>
        <v>51651278803.2379</v>
      </c>
      <c r="AD98" s="51" t="n">
        <f aca="false">AD95*AD25*8760*3600/1000000</f>
        <v>24358384424.1081</v>
      </c>
      <c r="AE98" s="51" t="n">
        <f aca="false">AE95*AE25*8760*3600/1000000</f>
        <v>51651278803.2379</v>
      </c>
      <c r="AF98" s="51" t="n">
        <f aca="false">AF95*AF25*8760*3600/1000000</f>
        <v>24358384424.1081</v>
      </c>
      <c r="AG98" s="51" t="n">
        <f aca="false">AG95*AG25*8760*3600/1000000</f>
        <v>51651278803.2379</v>
      </c>
      <c r="AH98" s="51" t="n">
        <f aca="false">AH95*AH25*8760*3600/1000000</f>
        <v>24358384424.1081</v>
      </c>
    </row>
    <row r="99" customFormat="false" ht="15" hidden="false" customHeight="false" outlineLevel="0" collapsed="false">
      <c r="A99" s="44" t="s">
        <v>708</v>
      </c>
      <c r="B99" s="45" t="s">
        <v>707</v>
      </c>
      <c r="C99" s="56" t="n">
        <f aca="false">C96*C25*8760*3600/1000000</f>
        <v>26455372776.1676</v>
      </c>
      <c r="D99" s="56" t="n">
        <f aca="false">D96*D25*8760*3600/1000000</f>
        <v>16788818264.2986</v>
      </c>
      <c r="E99" s="56" t="n">
        <f aca="false">E96*E25*8760*3600/1000000</f>
        <v>15489571350.0915</v>
      </c>
      <c r="F99" s="56" t="n">
        <f aca="false">F96*F25*8760*3600/1000000</f>
        <v>16788818264.2986</v>
      </c>
      <c r="G99" s="56" t="n">
        <f aca="false">G96*G25*8760*3600/1000000</f>
        <v>34626656287.1024</v>
      </c>
      <c r="H99" s="56" t="n">
        <f aca="false">H96*H25*8760*3600/1000000</f>
        <v>16788818264.2986</v>
      </c>
      <c r="I99" s="56" t="n">
        <f aca="false">I96*I25*8760*3600/1000000</f>
        <v>28556853790.0765</v>
      </c>
      <c r="J99" s="56" t="n">
        <f aca="false">J96*J25*8760*3600/1000000</f>
        <v>16788818264.2986</v>
      </c>
      <c r="K99" s="56" t="n">
        <f aca="false">K96*K25*8760*3600/1000000</f>
        <v>22617531951.1357</v>
      </c>
      <c r="L99" s="56" t="n">
        <f aca="false">L96*L25*8760*3600/1000000</f>
        <v>16788818264.2986</v>
      </c>
      <c r="M99" s="56" t="n">
        <f aca="false">M96*M25*8760*3600/1000000</f>
        <v>37793389680.2394</v>
      </c>
      <c r="N99" s="56" t="n">
        <f aca="false">N96*N25*8760*3600/1000000</f>
        <v>16788818264.2986</v>
      </c>
      <c r="O99" s="56" t="n">
        <f aca="false">O96*O25*8760*3600/1000000</f>
        <v>29664813314.0792</v>
      </c>
      <c r="P99" s="56" t="n">
        <f aca="false">P96*P25*8760*3600/1000000</f>
        <v>19977785910.3718</v>
      </c>
      <c r="Q99" s="56" t="n">
        <f aca="false">Q96*Q25*8760*3600/1000000</f>
        <v>21348794040.2267</v>
      </c>
      <c r="R99" s="56" t="n">
        <f aca="false">R96*R25*8760*3600/1000000</f>
        <v>11467742545.5766</v>
      </c>
      <c r="S99" s="56" t="n">
        <f aca="false">S96*S25*8760*3600/1000000</f>
        <v>22328112941.2623</v>
      </c>
      <c r="T99" s="56" t="n">
        <f aca="false">T96*T25*8760*3600/1000000</f>
        <v>13585282933.6408</v>
      </c>
      <c r="U99" s="56" t="n">
        <f aca="false">U96*U25*8760*3600/1000000</f>
        <v>30704921828.0025</v>
      </c>
      <c r="V99" s="56" t="n">
        <f aca="false">V96*V25*8760*3600/1000000</f>
        <v>20068402701.8743</v>
      </c>
      <c r="W99" s="56" t="n">
        <f aca="false">W96*W25*8760*3600/1000000</f>
        <v>34484696025.0658</v>
      </c>
      <c r="X99" s="56" t="n">
        <f aca="false">X96*X25*8760*3600/1000000</f>
        <v>21215581914.162</v>
      </c>
      <c r="Y99" s="56" t="n">
        <f aca="false">Y96*Y25*8760*3600/1000000</f>
        <v>13881175806.6399</v>
      </c>
      <c r="Z99" s="56" t="n">
        <f aca="false">Z96*Z25*8760*3600/1000000</f>
        <v>9266187887.96131</v>
      </c>
      <c r="AA99" s="56" t="n">
        <f aca="false">AA96*AA25*8760*3600/1000000</f>
        <v>16235576285.9799</v>
      </c>
      <c r="AB99" s="56" t="n">
        <f aca="false">AB96*AB25*8760*3600/1000000</f>
        <v>9981042079.53889</v>
      </c>
      <c r="AC99" s="56" t="n">
        <f aca="false">AC96*AC25*8760*3600/1000000</f>
        <v>5739030978.13754</v>
      </c>
      <c r="AD99" s="56" t="n">
        <f aca="false">AD96*AD25*8760*3600/1000000</f>
        <v>2706487158.23423</v>
      </c>
      <c r="AE99" s="56" t="n">
        <f aca="false">AE96*AE25*8760*3600/1000000</f>
        <v>5739030978.13754</v>
      </c>
      <c r="AF99" s="56" t="n">
        <f aca="false">AF96*AF25*8760*3600/1000000</f>
        <v>2706487158.23423</v>
      </c>
      <c r="AG99" s="56" t="n">
        <f aca="false">AG96*AG25*8760*3600/1000000</f>
        <v>5739030978.13754</v>
      </c>
      <c r="AH99" s="56" t="n">
        <f aca="false">AH96*AH25*8760*3600/1000000</f>
        <v>2706487158.23423</v>
      </c>
    </row>
    <row r="100" customFormat="false" ht="15" hidden="false" customHeight="false" outlineLevel="0" collapsed="false">
      <c r="A100" s="72" t="s">
        <v>709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</row>
    <row r="101" customFormat="false" ht="15" hidden="false" customHeight="false" outlineLevel="0" collapsed="false">
      <c r="A101" s="44" t="s">
        <v>710</v>
      </c>
      <c r="B101" s="45" t="s">
        <v>711</v>
      </c>
      <c r="C101" s="55" t="n">
        <f aca="false">1000000/C75</f>
        <v>12.6959667687619</v>
      </c>
      <c r="D101" s="55" t="n">
        <f aca="false">1000000/D75</f>
        <v>29.6239224604444</v>
      </c>
      <c r="E101" s="55" t="n">
        <f aca="false">1000000/E75</f>
        <v>12.6959667687619</v>
      </c>
      <c r="F101" s="55" t="n">
        <f aca="false">1000000/F75</f>
        <v>29.6239224604444</v>
      </c>
      <c r="G101" s="55" t="n">
        <f aca="false">1000000/G75</f>
        <v>12.6959667687619</v>
      </c>
      <c r="H101" s="55" t="n">
        <f aca="false">1000000/H75</f>
        <v>29.6239224604444</v>
      </c>
      <c r="I101" s="55" t="n">
        <f aca="false">1000000/I75</f>
        <v>12.6959667687619</v>
      </c>
      <c r="J101" s="55" t="n">
        <f aca="false">1000000/J75</f>
        <v>29.6239224604444</v>
      </c>
      <c r="K101" s="55" t="n">
        <f aca="false">1000000/K75</f>
        <v>12.6959667687619</v>
      </c>
      <c r="L101" s="55" t="n">
        <f aca="false">1000000/L75</f>
        <v>29.6239224604444</v>
      </c>
      <c r="M101" s="55" t="n">
        <f aca="false">1000000/M75</f>
        <v>8.88717673813333</v>
      </c>
      <c r="N101" s="55" t="n">
        <f aca="false">1000000/N75</f>
        <v>29.6239224604444</v>
      </c>
      <c r="O101" s="55" t="n">
        <f aca="false">1000000/O75</f>
        <v>12.6959667687619</v>
      </c>
      <c r="P101" s="55" t="n">
        <f aca="false">1000000/P75</f>
        <v>29.6239224604444</v>
      </c>
      <c r="Q101" s="55" t="n">
        <f aca="false">1000000/Q75</f>
        <v>12.6959667687619</v>
      </c>
      <c r="R101" s="55" t="n">
        <f aca="false">1000000/R75</f>
        <v>29.6239224604444</v>
      </c>
      <c r="S101" s="55" t="n">
        <f aca="false">1000000/S75</f>
        <v>12.6959667687619</v>
      </c>
      <c r="T101" s="55" t="n">
        <f aca="false">1000000/T75</f>
        <v>29.6239224604444</v>
      </c>
      <c r="U101" s="55" t="n">
        <f aca="false">1000000/U75</f>
        <v>12.6959667687619</v>
      </c>
      <c r="V101" s="55" t="n">
        <f aca="false">1000000/V75</f>
        <v>29.6239224604444</v>
      </c>
      <c r="W101" s="55" t="n">
        <f aca="false">1000000/W75</f>
        <v>11.0024665965714</v>
      </c>
      <c r="X101" s="55" t="n">
        <f aca="false">1000000/X75</f>
        <v>25.6724220586667</v>
      </c>
      <c r="Y101" s="55" t="n">
        <f aca="false">1000000/Y75</f>
        <v>12.8421682224762</v>
      </c>
      <c r="Z101" s="55" t="n">
        <f aca="false">1000000/Z75</f>
        <v>29.9650591857778</v>
      </c>
      <c r="AA101" s="55" t="n">
        <f aca="false">1000000/AA75</f>
        <v>18.1370953839456</v>
      </c>
      <c r="AB101" s="55" t="n">
        <f aca="false">1000000/AB75</f>
        <v>42.3198892292063</v>
      </c>
      <c r="AC101" s="55" t="n">
        <f aca="false">1000000/AC75</f>
        <v>41.9552987428571</v>
      </c>
      <c r="AD101" s="55" t="n">
        <f aca="false">1000000/AD75</f>
        <v>97.8956970666667</v>
      </c>
      <c r="AE101" s="55" t="n">
        <f aca="false">1000000/AE75</f>
        <v>41.9552987428571</v>
      </c>
      <c r="AF101" s="55" t="n">
        <f aca="false">1000000/AF75</f>
        <v>97.8956970666667</v>
      </c>
      <c r="AG101" s="55" t="n">
        <f aca="false">1000000/AG75</f>
        <v>41.9552987428571</v>
      </c>
      <c r="AH101" s="55" t="n">
        <f aca="false">1000000/AH75</f>
        <v>97.8956970666667</v>
      </c>
    </row>
    <row r="102" customFormat="false" ht="15" hidden="false" customHeight="false" outlineLevel="0" collapsed="false">
      <c r="A102" s="44" t="s">
        <v>712</v>
      </c>
      <c r="B102" s="45" t="s">
        <v>711</v>
      </c>
      <c r="C102" s="100" t="n">
        <f aca="false">1000000*C34/(C62*1000000000000)</f>
        <v>0.03965</v>
      </c>
      <c r="D102" s="100" t="n">
        <f aca="false">1000000*D34/(D62*1000000000000)</f>
        <v>0.03965</v>
      </c>
      <c r="E102" s="100" t="n">
        <f aca="false">1000000*E34/(E62*1000000000000)</f>
        <v>0.03965</v>
      </c>
      <c r="F102" s="100" t="n">
        <f aca="false">1000000*F34/(F62*1000000000000)</f>
        <v>0.03965</v>
      </c>
      <c r="G102" s="100" t="n">
        <f aca="false">1000000*G34/(G62*1000000000000)</f>
        <v>0.03965</v>
      </c>
      <c r="H102" s="100" t="n">
        <f aca="false">1000000*H34/(H62*1000000000000)</f>
        <v>0.03965</v>
      </c>
      <c r="I102" s="100" t="n">
        <f aca="false">1000000*I34/(I62*1000000000000)</f>
        <v>0.03965</v>
      </c>
      <c r="J102" s="100" t="n">
        <f aca="false">1000000*J34/(J62*1000000000000)</f>
        <v>0.03965</v>
      </c>
      <c r="K102" s="100" t="n">
        <f aca="false">1000000*K34/(K62*1000000000000)</f>
        <v>0.03965</v>
      </c>
      <c r="L102" s="100" t="n">
        <f aca="false">1000000*L34/(L62*1000000000000)</f>
        <v>0.03965</v>
      </c>
      <c r="M102" s="100" t="n">
        <f aca="false">1000000*M34/(M62*1000000000000)</f>
        <v>0.03965</v>
      </c>
      <c r="N102" s="100" t="n">
        <f aca="false">1000000*N34/(N62*1000000000000)</f>
        <v>0.03965</v>
      </c>
      <c r="O102" s="100" t="n">
        <f aca="false">1000000*O34/(O62*1000000000000)</f>
        <v>0.03965</v>
      </c>
      <c r="P102" s="100" t="n">
        <f aca="false">1000000*P34/(P62*1000000000000)</f>
        <v>0.03965</v>
      </c>
      <c r="Q102" s="100" t="n">
        <f aca="false">1000000*Q34/(Q62*1000000000000)</f>
        <v>0.03965</v>
      </c>
      <c r="R102" s="100" t="n">
        <f aca="false">1000000*R34/(R62*1000000000000)</f>
        <v>0.03965</v>
      </c>
      <c r="S102" s="100" t="n">
        <f aca="false">1000000*S34/(S62*1000000000000)</f>
        <v>0.03965</v>
      </c>
      <c r="T102" s="100" t="n">
        <f aca="false">1000000*T34/(T62*1000000000000)</f>
        <v>0.03965</v>
      </c>
      <c r="U102" s="100" t="n">
        <f aca="false">1000000*U34/(U62*1000000000000)</f>
        <v>0.03965</v>
      </c>
      <c r="V102" s="100" t="n">
        <f aca="false">1000000*V34/(V62*1000000000000)</f>
        <v>0.03965</v>
      </c>
      <c r="W102" s="100" t="n">
        <f aca="false">1000000*W34/(W62*1000000000000)</f>
        <v>0.03965</v>
      </c>
      <c r="X102" s="100" t="n">
        <f aca="false">1000000*X34/(X62*1000000000000)</f>
        <v>0.03965</v>
      </c>
      <c r="Y102" s="100" t="n">
        <f aca="false">1000000*Y34/(Y62*1000000000000)</f>
        <v>0.03965</v>
      </c>
      <c r="Z102" s="100" t="n">
        <f aca="false">1000000*Z34/(Z62*1000000000000)</f>
        <v>0.03965</v>
      </c>
      <c r="AA102" s="100" t="n">
        <f aca="false">1000000*AA34/(AA62*1000000000000)</f>
        <v>0.03965</v>
      </c>
      <c r="AB102" s="100" t="n">
        <f aca="false">1000000*AB34/(AB62*1000000000000)</f>
        <v>0.03965</v>
      </c>
      <c r="AC102" s="100" t="n">
        <f aca="false">1000000*AC34/(AC62*1000000000000)</f>
        <v>0.14976</v>
      </c>
      <c r="AD102" s="100" t="n">
        <f aca="false">1000000*AD34/(AD62*1000000000000)</f>
        <v>0.14976</v>
      </c>
      <c r="AE102" s="100" t="n">
        <f aca="false">1000000*AE34/(AE62*1000000000000)</f>
        <v>0.576</v>
      </c>
      <c r="AF102" s="100" t="n">
        <f aca="false">1000000*AF34/(AF62*1000000000000)</f>
        <v>0.576</v>
      </c>
      <c r="AG102" s="100" t="n">
        <f aca="false">1000000*AG34/(AG62*1000000000000)</f>
        <v>2.048</v>
      </c>
      <c r="AH102" s="100" t="n">
        <f aca="false">1000000*AH34/(AH62*1000000000000)</f>
        <v>2.048</v>
      </c>
    </row>
    <row r="103" customFormat="false" ht="15" hidden="false" customHeight="false" outlineLevel="0" collapsed="false">
      <c r="A103" s="45" t="s">
        <v>713</v>
      </c>
      <c r="B103" s="45" t="s">
        <v>711</v>
      </c>
      <c r="C103" s="55" t="n">
        <f aca="false">IF(C88&gt;0,1000000/C88,0)</f>
        <v>246.204299222583</v>
      </c>
      <c r="D103" s="55" t="n">
        <f aca="false">IF(D88&gt;0,1000000/D88,0)</f>
        <v>671.174105222717</v>
      </c>
      <c r="E103" s="55" t="n">
        <f aca="false">IF(E88&gt;0,1000000/E88,0)</f>
        <v>492.408598445166</v>
      </c>
      <c r="F103" s="55" t="n">
        <f aca="false">IF(F88&gt;0,1000000/F88,0)</f>
        <v>671.174105222717</v>
      </c>
      <c r="G103" s="55" t="n">
        <f aca="false">IF(G88&gt;0,1000000/G88,0)</f>
        <v>164.136199481722</v>
      </c>
      <c r="H103" s="55" t="n">
        <f aca="false">IF(H88&gt;0,1000000/H88,0)</f>
        <v>671.174105222717</v>
      </c>
      <c r="I103" s="55" t="n">
        <f aca="false">IF(I88&gt;0,1000000/I88,0)</f>
        <v>220.611972747349</v>
      </c>
      <c r="J103" s="55" t="n">
        <f aca="false">IF(J88&gt;0,1000000/J88,0)</f>
        <v>671.174105222717</v>
      </c>
      <c r="K103" s="55" t="n">
        <f aca="false">IF(K88&gt;0,1000000/K88,0)</f>
        <v>305.215764769114</v>
      </c>
      <c r="L103" s="55" t="n">
        <f aca="false">IF(L88&gt;0,1000000/L88,0)</f>
        <v>671.174105222717</v>
      </c>
      <c r="M103" s="55" t="n">
        <f aca="false">IF(M88&gt;0,1000000/M88,0)</f>
        <v>172.343009455808</v>
      </c>
      <c r="N103" s="55" t="n">
        <f aca="false">IF(N88&gt;0,1000000/N88,0)</f>
        <v>671.174105222717</v>
      </c>
      <c r="O103" s="55" t="n">
        <f aca="false">IF(O88&gt;0,1000000/O88,0)</f>
        <v>208.57879151954</v>
      </c>
      <c r="P103" s="55" t="n">
        <f aca="false">IF(P88&gt;0,1000000/P88,0)</f>
        <v>526.207572813191</v>
      </c>
      <c r="Q103" s="55" t="n">
        <f aca="false">IF(Q88&gt;0,1000000/Q88,0)</f>
        <v>329.390509517626</v>
      </c>
      <c r="R103" s="55" t="n">
        <f aca="false">IF(R88&gt;0,1000000/R88,0)</f>
        <v>1092.56630958295</v>
      </c>
      <c r="S103" s="55" t="n">
        <f aca="false">IF(S88&gt;0,1000000/S88,0)</f>
        <v>310.488529099881</v>
      </c>
      <c r="T103" s="55" t="n">
        <f aca="false">IF(T88&gt;0,1000000/T88,0)</f>
        <v>885.327923821289</v>
      </c>
      <c r="U103" s="55" t="n">
        <f aca="false">IF(U88&gt;0,1000000/U88,0)</f>
        <v>198.072787181873</v>
      </c>
      <c r="V103" s="55" t="n">
        <f aca="false">IF(V88&gt;0,1000000/V88,0)</f>
        <v>522.761427079486</v>
      </c>
      <c r="W103" s="55" t="n">
        <f aca="false">IF(W88&gt;0,1000000/W88,0)</f>
        <v>244.792801584989</v>
      </c>
      <c r="X103" s="55" t="n">
        <f aca="false">IF(X88&gt;0,1000000/X88,0)</f>
        <v>667.326241205203</v>
      </c>
      <c r="Y103" s="55" t="n">
        <f aca="false">IF(Y88&gt;0,1000000/Y88,0)</f>
        <v>251.850289772958</v>
      </c>
      <c r="Z103" s="55" t="n">
        <f aca="false">IF(Z88&gt;0,1000000/Z88,0)</f>
        <v>686.565561292775</v>
      </c>
      <c r="AA103" s="55" t="n">
        <f aca="false">IF(AA88&gt;0,1000000/AA88,0)</f>
        <v>421.587081218271</v>
      </c>
      <c r="AB103" s="55" t="n">
        <f aca="false">IF(AB88&gt;0,1000000/AB88,0)</f>
        <v>1189.03942332274</v>
      </c>
      <c r="AC103" s="55" t="n">
        <f aca="false">IF(AC88&gt;0,1000000/AC88,0)</f>
        <v>1267.49214950265</v>
      </c>
      <c r="AD103" s="55" t="n">
        <f aca="false">IF(AD88&gt;0,1000000/AD88,0)</f>
        <v>4850.34546142314</v>
      </c>
      <c r="AE103" s="55" t="n">
        <f aca="false">IF(AE88&gt;0,1000000/AE88,0)</f>
        <v>1267.49214950265</v>
      </c>
      <c r="AF103" s="55" t="n">
        <f aca="false">IF(AF88&gt;0,1000000/AF88,0)</f>
        <v>4850.34546142314</v>
      </c>
      <c r="AG103" s="55" t="n">
        <f aca="false">IF(AG88&gt;0,1000000/AG88,0)</f>
        <v>1267.49214950265</v>
      </c>
      <c r="AH103" s="55" t="n">
        <f aca="false">IF(AH88&gt;0,1000000/AH88,0)</f>
        <v>4850.34546142314</v>
      </c>
    </row>
    <row r="104" customFormat="false" ht="15" hidden="false" customHeight="false" outlineLevel="0" collapsed="false">
      <c r="A104" s="44" t="s">
        <v>714</v>
      </c>
      <c r="B104" s="45" t="s">
        <v>715</v>
      </c>
      <c r="C104" s="101" t="n">
        <f aca="false">INDEX(DC_Cost!$C$58:$Q$58,3*(C$6-1)+2)/3600*C101</f>
        <v>0.0166341950428717</v>
      </c>
      <c r="D104" s="101" t="n">
        <f aca="false">INDEX(DC_Cost!$C$58:$Q$58,3*(D$6-1)+2)/3600*D101</f>
        <v>0.0245838472139196</v>
      </c>
      <c r="E104" s="101" t="n">
        <f aca="false">INDEX(DC_Cost!$C$58:$Q$58,3*(E$6-1)+2)/3600*E101</f>
        <v>0.0166341950428717</v>
      </c>
      <c r="F104" s="101" t="n">
        <f aca="false">INDEX(DC_Cost!$C$58:$Q$58,3*(F$6-1)+2)/3600*F101</f>
        <v>0.0245838472139196</v>
      </c>
      <c r="G104" s="101" t="n">
        <f aca="false">INDEX(DC_Cost!$C$58:$Q$58,3*(G$6-1)+2)/3600*G101</f>
        <v>0.0166341950428717</v>
      </c>
      <c r="H104" s="101" t="n">
        <f aca="false">INDEX(DC_Cost!$C$58:$Q$58,3*(H$6-1)+2)/3600*H101</f>
        <v>0.0245838472139196</v>
      </c>
      <c r="I104" s="101" t="n">
        <f aca="false">INDEX(DC_Cost!$C$58:$Q$58,3*(I$6-1)+2)/3600*I101</f>
        <v>0.0166341950428717</v>
      </c>
      <c r="J104" s="101" t="n">
        <f aca="false">INDEX(DC_Cost!$C$58:$Q$58,3*(J$6-1)+2)/3600*J101</f>
        <v>0.0245838472139196</v>
      </c>
      <c r="K104" s="101" t="n">
        <f aca="false">INDEX(DC_Cost!$C$58:$Q$58,3*(K$6-1)+2)/3600*K101</f>
        <v>0.0166341950428717</v>
      </c>
      <c r="L104" s="101" t="n">
        <f aca="false">INDEX(DC_Cost!$C$58:$Q$58,3*(L$6-1)+2)/3600*L101</f>
        <v>0.0245838472139196</v>
      </c>
      <c r="M104" s="101" t="n">
        <f aca="false">INDEX(DC_Cost!$C$58:$Q$58,3*(M$6-1)+2)/3600*M101</f>
        <v>0.0116439365300102</v>
      </c>
      <c r="N104" s="101" t="n">
        <f aca="false">INDEX(DC_Cost!$C$58:$Q$58,3*(N$6-1)+2)/3600*N101</f>
        <v>0.0245838472139196</v>
      </c>
      <c r="O104" s="101" t="n">
        <f aca="false">INDEX(DC_Cost!$C$58:$Q$58,3*(O$6-1)+2)/3600*O101</f>
        <v>0.0166341950428717</v>
      </c>
      <c r="P104" s="101" t="n">
        <f aca="false">INDEX(DC_Cost!$C$58:$Q$58,3*(P$6-1)+2)/3600*P101</f>
        <v>0.0245838472139196</v>
      </c>
      <c r="Q104" s="101" t="n">
        <f aca="false">INDEX(DC_Cost!$C$58:$Q$58,3*(Q$6-1)+2)/3600*Q101</f>
        <v>0.0166341950428717</v>
      </c>
      <c r="R104" s="101" t="n">
        <f aca="false">INDEX(DC_Cost!$C$58:$Q$58,3*(R$6-1)+2)/3600*R101</f>
        <v>0.0245838472139196</v>
      </c>
      <c r="S104" s="101" t="n">
        <f aca="false">INDEX(DC_Cost!$C$58:$Q$58,3*(S$6-1)+2)/3600*S101</f>
        <v>0.0166341950428717</v>
      </c>
      <c r="T104" s="101" t="n">
        <f aca="false">INDEX(DC_Cost!$C$58:$Q$58,3*(T$6-1)+2)/3600*T101</f>
        <v>0.0245838472139196</v>
      </c>
      <c r="U104" s="101" t="n">
        <f aca="false">INDEX(DC_Cost!$C$58:$Q$58,3*(U$6-1)+2)/3600*U101</f>
        <v>0.0166341950428717</v>
      </c>
      <c r="V104" s="101" t="n">
        <f aca="false">INDEX(DC_Cost!$C$58:$Q$58,3*(V$6-1)+2)/3600*V101</f>
        <v>0.0245838472139196</v>
      </c>
      <c r="W104" s="101" t="n">
        <f aca="false">INDEX(DC_Cost!$C$58:$Q$58,3*(W$6-1)+2)/3600*W101</f>
        <v>0.0144153792029732</v>
      </c>
      <c r="X104" s="101" t="n">
        <f aca="false">INDEX(DC_Cost!$C$58:$Q$58,3*(X$6-1)+2)/3600*X101</f>
        <v>0.0213046365600044</v>
      </c>
      <c r="Y104" s="101" t="n">
        <f aca="false">INDEX(DC_Cost!$C$58:$Q$58,3*(Y$6-1)+2)/3600*Y101</f>
        <v>0.0168257474894816</v>
      </c>
      <c r="Z104" s="101" t="n">
        <f aca="false">INDEX(DC_Cost!$C$58:$Q$58,3*(Z$6-1)+2)/3600*Z101</f>
        <v>0.0248669445365598</v>
      </c>
      <c r="AA104" s="101" t="n">
        <f aca="false">INDEX(DC_Cost!$C$58:$Q$58,3*(AA$6-1)+2)/3600*AA101</f>
        <v>0.023763135775531</v>
      </c>
      <c r="AB104" s="101" t="n">
        <f aca="false">INDEX(DC_Cost!$C$58:$Q$58,3*(AB$6-1)+2)/3600*AB101</f>
        <v>0.0351197817341708</v>
      </c>
      <c r="AC104" s="101" t="n">
        <f aca="false">INDEX(DC_Cost!$C$58:$Q$58,3*(AC$6-1)+2)/3600*AC101</f>
        <v>0.054969632095114</v>
      </c>
      <c r="AD104" s="101" t="n">
        <f aca="false">INDEX(DC_Cost!$C$58:$Q$58,3*(AD$6-1)+2)/3600*AD101</f>
        <v>0.0812401822479987</v>
      </c>
      <c r="AE104" s="101" t="n">
        <f aca="false">INDEX(DC_Cost!$C$58:$Q$58,3*(AE$6-1)+2)/3600*AE101</f>
        <v>0.054969632095114</v>
      </c>
      <c r="AF104" s="101" t="n">
        <f aca="false">INDEX(DC_Cost!$C$58:$Q$58,3*(AF$6-1)+2)/3600*AF101</f>
        <v>0.0812401822479987</v>
      </c>
      <c r="AG104" s="101" t="n">
        <f aca="false">INDEX(DC_Cost!$C$58:$Q$58,3*(AG$6-1)+2)/3600*AG101</f>
        <v>0.054969632095114</v>
      </c>
      <c r="AH104" s="101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44" t="s">
        <v>716</v>
      </c>
      <c r="B105" s="45" t="s">
        <v>715</v>
      </c>
      <c r="C105" s="101" t="n">
        <f aca="false">IF(C103&gt;0,INDEX(DC_Cost!$C$58:$Q$58,3*(C$6-1)+2)/3600*C103,0)</f>
        <v>0.32257569732607</v>
      </c>
      <c r="D105" s="101" t="n">
        <f aca="false">IF(D103&gt;0,INDEX(DC_Cost!$C$58:$Q$58,3*(D$6-1)+2)/3600*D103,0)</f>
        <v>0.556983690420006</v>
      </c>
      <c r="E105" s="101" t="n">
        <f aca="false">IF(E103&gt;0,INDEX(DC_Cost!$C$58:$Q$58,3*(E$6-1)+2)/3600*E103,0)</f>
        <v>0.64515139465214</v>
      </c>
      <c r="F105" s="101" t="n">
        <f aca="false">IF(F103&gt;0,INDEX(DC_Cost!$C$58:$Q$58,3*(F$6-1)+2)/3600*F103,0)</f>
        <v>0.556983690420006</v>
      </c>
      <c r="G105" s="101" t="n">
        <f aca="false">IF(G103&gt;0,INDEX(DC_Cost!$C$58:$Q$58,3*(G$6-1)+2)/3600*G103,0)</f>
        <v>0.215050464884047</v>
      </c>
      <c r="H105" s="101" t="n">
        <f aca="false">IF(H103&gt;0,INDEX(DC_Cost!$C$58:$Q$58,3*(H$6-1)+2)/3600*H103,0)</f>
        <v>0.556983690420006</v>
      </c>
      <c r="I105" s="101" t="n">
        <f aca="false">IF(I103&gt;0,INDEX(DC_Cost!$C$58:$Q$58,3*(I$6-1)+2)/3600*I103,0)</f>
        <v>0.289044753370125</v>
      </c>
      <c r="J105" s="101" t="n">
        <f aca="false">IF(J103&gt;0,INDEX(DC_Cost!$C$58:$Q$58,3*(J$6-1)+2)/3600*J103,0)</f>
        <v>0.556983690420006</v>
      </c>
      <c r="K105" s="101" t="n">
        <f aca="false">IF(K103&gt;0,INDEX(DC_Cost!$C$58:$Q$58,3*(K$6-1)+2)/3600*K103,0)</f>
        <v>0.399892237731794</v>
      </c>
      <c r="L105" s="101" t="n">
        <f aca="false">IF(L103&gt;0,INDEX(DC_Cost!$C$58:$Q$58,3*(L$6-1)+2)/3600*L103,0)</f>
        <v>0.556983690420006</v>
      </c>
      <c r="M105" s="101" t="n">
        <f aca="false">IF(M103&gt;0,INDEX(DC_Cost!$C$58:$Q$58,3*(M$6-1)+2)/3600*M103,0)</f>
        <v>0.225802988128249</v>
      </c>
      <c r="N105" s="101" t="n">
        <f aca="false">IF(N103&gt;0,INDEX(DC_Cost!$C$58:$Q$58,3*(N$6-1)+2)/3600*N103,0)</f>
        <v>0.556983690420006</v>
      </c>
      <c r="O105" s="101" t="n">
        <f aca="false">IF(O103&gt;0,INDEX(DC_Cost!$C$58:$Q$58,3*(O$6-1)+2)/3600*O103,0)</f>
        <v>0.273278936778506</v>
      </c>
      <c r="P105" s="101" t="n">
        <f aca="false">IF(P103&gt;0,INDEX(DC_Cost!$C$58:$Q$58,3*(P$6-1)+2)/3600*P103,0)</f>
        <v>0.436681084016478</v>
      </c>
      <c r="Q105" s="101" t="n">
        <f aca="false">IF(Q103&gt;0,INDEX(DC_Cost!$C$58:$Q$58,3*(Q$6-1)+2)/3600*Q103,0)</f>
        <v>0.431565872877705</v>
      </c>
      <c r="R105" s="101" t="n">
        <f aca="false">IF(R103&gt;0,INDEX(DC_Cost!$C$58:$Q$58,3*(R$6-1)+2)/3600*R103,0)</f>
        <v>0.906682201242171</v>
      </c>
      <c r="S105" s="101" t="n">
        <f aca="false">IF(S103&gt;0,INDEX(DC_Cost!$C$58:$Q$58,3*(S$6-1)+2)/3600*S103,0)</f>
        <v>0.406800588382874</v>
      </c>
      <c r="T105" s="101" t="n">
        <f aca="false">IF(T103&gt;0,INDEX(DC_Cost!$C$58:$Q$58,3*(T$6-1)+2)/3600*T103,0)</f>
        <v>0.734702382593013</v>
      </c>
      <c r="U105" s="101" t="n">
        <f aca="false">IF(U103&gt;0,INDEX(DC_Cost!$C$58:$Q$58,3*(U$6-1)+2)/3600*U103,0)</f>
        <v>0.259514020056764</v>
      </c>
      <c r="V105" s="101" t="n">
        <f aca="false">IF(V103&gt;0,INDEX(DC_Cost!$C$58:$Q$58,3*(V$6-1)+2)/3600*V103,0)</f>
        <v>0.433821249357261</v>
      </c>
      <c r="W105" s="101" t="n">
        <f aca="false">IF(W103&gt;0,INDEX(DC_Cost!$C$58:$Q$58,3*(W$6-1)+2)/3600*W103,0)</f>
        <v>0.320726359860564</v>
      </c>
      <c r="X105" s="101" t="n">
        <f aca="false">IF(X103&gt;0,INDEX(DC_Cost!$C$58:$Q$58,3*(X$6-1)+2)/3600*X103,0)</f>
        <v>0.553790483941937</v>
      </c>
      <c r="Y105" s="101" t="n">
        <f aca="false">IF(Y103&gt;0,INDEX(DC_Cost!$C$58:$Q$58,3*(Y$6-1)+2)/3600*Y103,0)</f>
        <v>0.329973047188093</v>
      </c>
      <c r="Z105" s="101" t="n">
        <f aca="false">IF(Z103&gt;0,INDEX(DC_Cost!$C$58:$Q$58,3*(Z$6-1)+2)/3600*Z103,0)</f>
        <v>0.569756516332283</v>
      </c>
      <c r="AA105" s="101" t="n">
        <f aca="false">IF(AA103&gt;0,INDEX(DC_Cost!$C$58:$Q$58,3*(AA$6-1)+2)/3600*AA103,0)</f>
        <v>0.552361380922517</v>
      </c>
      <c r="AB105" s="101" t="n">
        <f aca="false">IF(AB103&gt;0,INDEX(DC_Cost!$C$58:$Q$58,3*(AB$6-1)+2)/3600*AB103,0)</f>
        <v>0.986741831819349</v>
      </c>
      <c r="AC105" s="101" t="n">
        <f aca="false">IF(AC103&gt;0,INDEX(DC_Cost!$C$58:$Q$58,3*(AC$6-1)+2)/3600*AC103,0)</f>
        <v>1.66066216257053</v>
      </c>
      <c r="AD105" s="101" t="n">
        <f aca="false">IF(AD103&gt;0,INDEX(DC_Cost!$C$58:$Q$58,3*(AD$6-1)+2)/3600*AD103,0)</f>
        <v>4.02513043023155</v>
      </c>
      <c r="AE105" s="101" t="n">
        <f aca="false">IF(AE103&gt;0,INDEX(DC_Cost!$C$58:$Q$58,3*(AE$6-1)+2)/3600*AE103,0)</f>
        <v>1.66066216257053</v>
      </c>
      <c r="AF105" s="101" t="n">
        <f aca="false">IF(AF103&gt;0,INDEX(DC_Cost!$C$58:$Q$58,3*(AF$6-1)+2)/3600*AF103,0)</f>
        <v>4.02513043023155</v>
      </c>
      <c r="AG105" s="101" t="n">
        <f aca="false">IF(AG103&gt;0,INDEX(DC_Cost!$C$58:$Q$58,3*(AG$6-1)+2)/3600*AG103,0)</f>
        <v>1.66066216257053</v>
      </c>
      <c r="AH105" s="101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72" t="s">
        <v>717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</row>
    <row r="107" customFormat="false" ht="15" hidden="false" customHeight="false" outlineLevel="0" collapsed="false">
      <c r="A107" s="44" t="s">
        <v>718</v>
      </c>
      <c r="B107" s="45" t="s">
        <v>719</v>
      </c>
      <c r="C107" s="102" t="n">
        <f aca="false">C23*Energy!$C$5/(C14*1000000000000000)*1000000000000</f>
        <v>0.0308571428571429</v>
      </c>
      <c r="D107" s="102" t="n">
        <f aca="false">D23*Energy!$C$5/(D14*1000000000000000)*1000000000000</f>
        <v>0.056</v>
      </c>
      <c r="E107" s="102" t="n">
        <f aca="false">E23*Energy!$C$5/(E14*1000000000000000)*1000000000000</f>
        <v>0.0308571428571429</v>
      </c>
      <c r="F107" s="102" t="n">
        <f aca="false">F23*Energy!$C$5/(F14*1000000000000000)*1000000000000</f>
        <v>0.056</v>
      </c>
      <c r="G107" s="102" t="n">
        <f aca="false">G23*Energy!$C$5/(G14*1000000000000000)*1000000000000</f>
        <v>0.0308571428571429</v>
      </c>
      <c r="H107" s="102" t="n">
        <f aca="false">H23*Energy!$C$5/(H14*1000000000000000)*1000000000000</f>
        <v>0.056</v>
      </c>
      <c r="I107" s="102" t="n">
        <f aca="false">I23*Energy!$C$5/(I14*1000000000000000)*1000000000000</f>
        <v>0.0308571428571429</v>
      </c>
      <c r="J107" s="102" t="n">
        <f aca="false">J23*Energy!$C$5/(J14*1000000000000000)*1000000000000</f>
        <v>0.056</v>
      </c>
      <c r="K107" s="102" t="n">
        <f aca="false">K23*Energy!$C$5/(K14*1000000000000000)*1000000000000</f>
        <v>0.0308571428571429</v>
      </c>
      <c r="L107" s="102" t="n">
        <f aca="false">L23*Energy!$C$5/(L14*1000000000000000)*1000000000000</f>
        <v>0.056</v>
      </c>
      <c r="M107" s="102" t="n">
        <f aca="false">M23*Energy!$C$5/(M14*1000000000000000)*1000000000000</f>
        <v>0.0216</v>
      </c>
      <c r="N107" s="102" t="n">
        <f aca="false">N23*Energy!$C$5/(N14*1000000000000000)*1000000000000</f>
        <v>0.056</v>
      </c>
      <c r="O107" s="102" t="n">
        <f aca="false">O23*Energy!$C$5/(O14*1000000000000000)*1000000000000</f>
        <v>0.0308571428571429</v>
      </c>
      <c r="P107" s="102" t="n">
        <f aca="false">P23*Energy!$C$5/(P14*1000000000000000)*1000000000000</f>
        <v>0.056</v>
      </c>
      <c r="Q107" s="102" t="n">
        <f aca="false">Q23*Energy!$C$5/(Q14*1000000000000000)*1000000000000</f>
        <v>0.0308571428571429</v>
      </c>
      <c r="R107" s="102" t="n">
        <f aca="false">R23*Energy!$C$5/(R14*1000000000000000)*1000000000000</f>
        <v>0.056</v>
      </c>
      <c r="S107" s="102" t="n">
        <f aca="false">S23*Energy!$C$5/(S14*1000000000000000)*1000000000000</f>
        <v>0.0308571428571429</v>
      </c>
      <c r="T107" s="102" t="n">
        <f aca="false">T23*Energy!$C$5/(T14*1000000000000000)*1000000000000</f>
        <v>0.056</v>
      </c>
      <c r="U107" s="102" t="n">
        <f aca="false">U23*Energy!$C$5/(U14*1000000000000000)*1000000000000</f>
        <v>0.0308571428571429</v>
      </c>
      <c r="V107" s="102" t="n">
        <f aca="false">V23*Energy!$C$5/(V14*1000000000000000)*1000000000000</f>
        <v>0.056</v>
      </c>
      <c r="W107" s="102" t="n">
        <f aca="false">W23*Energy!$C$5/(W14*1000000000000000)*1000000000000</f>
        <v>0.0308571428571429</v>
      </c>
      <c r="X107" s="102" t="n">
        <f aca="false">X23*Energy!$C$5/(X14*1000000000000000)*1000000000000</f>
        <v>0.056</v>
      </c>
      <c r="Y107" s="102" t="n">
        <f aca="false">Y23*Energy!$C$5/(Y14*1000000000000000)*1000000000000</f>
        <v>0.0308571428571429</v>
      </c>
      <c r="Z107" s="102" t="n">
        <f aca="false">Z23*Energy!$C$5/(Z14*1000000000000000)*1000000000000</f>
        <v>0.056</v>
      </c>
      <c r="AA107" s="102" t="n">
        <f aca="false">AA23*Energy!$C$5/(AA14*1000000000000000)*1000000000000</f>
        <v>0.0308571428571429</v>
      </c>
      <c r="AB107" s="102" t="n">
        <f aca="false">AB23*Energy!$C$5/(AB14*1000000000000000)*1000000000000</f>
        <v>0.056</v>
      </c>
      <c r="AC107" s="102" t="n">
        <f aca="false">AC23*Energy!$C$5/(AC14*1000000000000000)*1000000000000</f>
        <v>0.0308571428571429</v>
      </c>
      <c r="AD107" s="102" t="n">
        <f aca="false">AD23*Energy!$C$5/(AD14*1000000000000000)*1000000000000</f>
        <v>0.056</v>
      </c>
      <c r="AE107" s="102" t="n">
        <f aca="false">AE23*Energy!$C$5/(AE14*1000000000000000)*1000000000000</f>
        <v>0.0308571428571429</v>
      </c>
      <c r="AF107" s="102" t="n">
        <f aca="false">AF23*Energy!$C$5/(AF14*1000000000000000)*1000000000000</f>
        <v>0.056</v>
      </c>
      <c r="AG107" s="102" t="n">
        <f aca="false">AG23*Energy!$C$5/(AG14*1000000000000000)*1000000000000</f>
        <v>0.0308571428571429</v>
      </c>
      <c r="AH107" s="102" t="n">
        <f aca="false">AH23*Energy!$C$5/(AH14*1000000000000000)*1000000000000</f>
        <v>0.056</v>
      </c>
    </row>
    <row r="108" customFormat="false" ht="15" hidden="false" customHeight="false" outlineLevel="0" collapsed="false">
      <c r="A108" s="45" t="s">
        <v>720</v>
      </c>
      <c r="B108" s="45" t="s">
        <v>647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45" t="s">
        <v>721</v>
      </c>
      <c r="B109" s="45" t="s">
        <v>409</v>
      </c>
      <c r="C109" s="55" t="n">
        <f aca="false">(C47+1)*C65/C49</f>
        <v>211.422533432294</v>
      </c>
      <c r="D109" s="55" t="n">
        <f aca="false">(D47+1)*D65/D49</f>
        <v>211.422533432294</v>
      </c>
      <c r="E109" s="55" t="n">
        <f aca="false">(E47+1)*E65/E49</f>
        <v>211.422533432294</v>
      </c>
      <c r="F109" s="55" t="n">
        <f aca="false">(F47+1)*F65/F49</f>
        <v>211.422533432294</v>
      </c>
      <c r="G109" s="55" t="n">
        <f aca="false">(G47+1)*G65/G49</f>
        <v>211.422533432294</v>
      </c>
      <c r="H109" s="55" t="n">
        <f aca="false">(H47+1)*H65/H49</f>
        <v>211.422533432294</v>
      </c>
      <c r="I109" s="55" t="n">
        <f aca="false">(I47+1)*I65/I49</f>
        <v>211.422533432294</v>
      </c>
      <c r="J109" s="55" t="n">
        <f aca="false">(J47+1)*J65/J49</f>
        <v>211.422533432294</v>
      </c>
      <c r="K109" s="55" t="n">
        <f aca="false">(K47+1)*K65/K49</f>
        <v>211.422533432294</v>
      </c>
      <c r="L109" s="55" t="n">
        <f aca="false">(L47+1)*L65/L49</f>
        <v>211.422533432294</v>
      </c>
      <c r="M109" s="55" t="n">
        <f aca="false">(M47+1)*M65/M49</f>
        <v>211.422533432294</v>
      </c>
      <c r="N109" s="55" t="n">
        <f aca="false">(N47+1)*N65/N49</f>
        <v>211.422533432294</v>
      </c>
      <c r="O109" s="55" t="n">
        <f aca="false">(O47+1)*O65/O49</f>
        <v>211.422533432294</v>
      </c>
      <c r="P109" s="55" t="n">
        <f aca="false">(P47+1)*P65/P49</f>
        <v>211.422533432294</v>
      </c>
      <c r="Q109" s="55" t="n">
        <f aca="false">(Q47+1)*Q65/Q49</f>
        <v>211.422533432294</v>
      </c>
      <c r="R109" s="55" t="n">
        <f aca="false">(R47+1)*R65/R49</f>
        <v>211.422533432294</v>
      </c>
      <c r="S109" s="55" t="n">
        <f aca="false">(S47+1)*S65/S49</f>
        <v>246.109042823529</v>
      </c>
      <c r="T109" s="55" t="n">
        <f aca="false">(T47+1)*T65/T49</f>
        <v>246.109042823529</v>
      </c>
      <c r="U109" s="55" t="n">
        <f aca="false">(U47+1)*U65/U49</f>
        <v>181.413711783198</v>
      </c>
      <c r="V109" s="55" t="n">
        <f aca="false">(V47+1)*V65/V49</f>
        <v>181.413711783198</v>
      </c>
      <c r="W109" s="55" t="n">
        <f aca="false">(W47+1)*W65/W49</f>
        <v>210.210440843269</v>
      </c>
      <c r="X109" s="55" t="n">
        <f aca="false">(X47+1)*X65/X49</f>
        <v>210.210440843269</v>
      </c>
      <c r="Y109" s="55" t="n">
        <f aca="false">(Y47+1)*Y65/Y49</f>
        <v>216.270903788393</v>
      </c>
      <c r="Z109" s="55" t="n">
        <f aca="false">(Z47+1)*Z65/Z49</f>
        <v>216.270903788393</v>
      </c>
      <c r="AA109" s="55" t="n">
        <f aca="false">(AA47+1)*AA65/AA49</f>
        <v>211.422533432294</v>
      </c>
      <c r="AB109" s="55" t="n">
        <f aca="false">(AB47+1)*AB65/AB49</f>
        <v>211.422533432294</v>
      </c>
      <c r="AC109" s="55" t="n">
        <f aca="false">(AC47+1)*AC65/AC49</f>
        <v>838.732890959337</v>
      </c>
      <c r="AD109" s="55" t="n">
        <f aca="false">(AD47+1)*AD65/AD49</f>
        <v>838.732890959337</v>
      </c>
      <c r="AE109" s="55" t="n">
        <f aca="false">(AE47+1)*AE65/AE49</f>
        <v>838.732890959337</v>
      </c>
      <c r="AF109" s="55" t="n">
        <f aca="false">(AF47+1)*AF65/AF49</f>
        <v>838.732890959337</v>
      </c>
      <c r="AG109" s="55" t="n">
        <f aca="false">(AG47+1)*AG65/AG49</f>
        <v>838.732890959337</v>
      </c>
      <c r="AH109" s="55" t="n">
        <f aca="false">(AH47+1)*AH65/AH49</f>
        <v>838.732890959337</v>
      </c>
    </row>
    <row r="110" customFormat="false" ht="15" hidden="false" customHeight="false" outlineLevel="0" collapsed="false">
      <c r="A110" s="45" t="s">
        <v>722</v>
      </c>
      <c r="B110" s="45" t="s">
        <v>261</v>
      </c>
      <c r="C110" s="99" t="n">
        <f aca="false">IF(C87&gt;0,(C72+C87*C34*C45/1000000000)/(C87*C49),0)</f>
        <v>0.330802054861383</v>
      </c>
      <c r="D110" s="99" t="n">
        <f aca="false">IF(D87&gt;0,(D72+D87*D34*D45/1000000000)/(D87*D49),0)</f>
        <v>0.854760064392041</v>
      </c>
      <c r="E110" s="99" t="n">
        <f aca="false">IF(E87&gt;0,(E72+E87*E34*E45/1000000000)/(E87*E49),0)</f>
        <v>0.634354713749611</v>
      </c>
      <c r="F110" s="99" t="n">
        <f aca="false">IF(F87&gt;0,(F72+F87*F34*F45/1000000000)/(F87*F49),0)</f>
        <v>0.854760064392041</v>
      </c>
      <c r="G110" s="99" t="n">
        <f aca="false">IF(G87&gt;0,(G72+G87*G34*G45/1000000000)/(G87*G49),0)</f>
        <v>0.229617835231973</v>
      </c>
      <c r="H110" s="99" t="n">
        <f aca="false">IF(H87&gt;0,(H72+H87*H34*H45/1000000000)/(H87*H49),0)</f>
        <v>0.854760064392041</v>
      </c>
      <c r="I110" s="99" t="n">
        <f aca="false">IF(I87&gt;0,(I72+I87*I34*I45/1000000000)/(I87*I49),0)</f>
        <v>0.299248508586101</v>
      </c>
      <c r="J110" s="99" t="n">
        <f aca="false">IF(J87&gt;0,(J72+J87*J34*J45/1000000000)/(J87*J49),0)</f>
        <v>0.854760064392041</v>
      </c>
      <c r="K110" s="99" t="n">
        <f aca="false">IF(K87&gt;0,(K72+K87*K34*K45/1000000000)/(K87*K49),0)</f>
        <v>0.403559059219565</v>
      </c>
      <c r="L110" s="99" t="n">
        <f aca="false">IF(L87&gt;0,(L72+L87*L34*L45/1000000000)/(L87*L49),0)</f>
        <v>0.854760064392041</v>
      </c>
      <c r="M110" s="99" t="n">
        <f aca="false">IF(M87&gt;0,(M72+M87*M34*M45/1000000000)/(M87*M49),0)</f>
        <v>0.239736257194914</v>
      </c>
      <c r="N110" s="99" t="n">
        <f aca="false">IF(N87&gt;0,(N72+N87*N34*N45/1000000000)/(N87*N49),0)</f>
        <v>0.854760064392041</v>
      </c>
      <c r="O110" s="99" t="n">
        <f aca="false">IF(O87&gt;0,(O72+O87*O34*O45/1000000000)/(O87*O49),0)</f>
        <v>0.185503576195084</v>
      </c>
      <c r="P110" s="99" t="n">
        <f aca="false">IF(P87&gt;0,(P72+P87*P34*P45/1000000000)/(P87*P49),0)</f>
        <v>0.426496833622257</v>
      </c>
      <c r="Q110" s="99" t="n">
        <f aca="false">IF(Q87&gt;0,(Q72+Q87*Q34*Q45/1000000000)/(Q87*Q49),0)</f>
        <v>0.652042366016229</v>
      </c>
      <c r="R110" s="99" t="n">
        <f aca="false">IF(R87&gt;0,(R72+R87*R34*R45/1000000000)/(R87*R49),0)</f>
        <v>2.09964592777671</v>
      </c>
      <c r="S110" s="99" t="n">
        <f aca="false">IF(S87&gt;0,(S72+S87*S34*S45/1000000000)/(S87*S49),0)</f>
        <v>0.477335478504696</v>
      </c>
      <c r="T110" s="99" t="n">
        <f aca="false">IF(T87&gt;0,(T72+T87*T34*T45/1000000000)/(T87*T49),0)</f>
        <v>1.30234931294406</v>
      </c>
      <c r="U110" s="99" t="n">
        <f aca="false">IF(U87&gt;0,(U72+U87*U34*U45/1000000000)/(U87*U49),0)</f>
        <v>0.232928974946541</v>
      </c>
      <c r="V110" s="99" t="n">
        <f aca="false">IF(V87&gt;0,(V72+V87*V34*V45/1000000000)/(V87*V49),0)</f>
        <v>0.576427075256254</v>
      </c>
      <c r="W110" s="99" t="n">
        <f aca="false">IF(W87&gt;0,(W72+W87*W34*W45/1000000000)/(W87*W49),0)</f>
        <v>0.309826909377752</v>
      </c>
      <c r="X110" s="99" t="n">
        <f aca="false">IF(X87&gt;0,(X72+X87*X34*X45/1000000000)/(X87*X49),0)</f>
        <v>0.830781049784329</v>
      </c>
      <c r="Y110" s="99" t="n">
        <f aca="false">IF(Y87&gt;0,(Y72+Y87*Y34*Y45/1000000000)/(Y87*Y49),0)</f>
        <v>0.414702636795904</v>
      </c>
      <c r="Z110" s="99" t="n">
        <f aca="false">IF(Z87&gt;0,(Z72+Z87*Z34*Z45/1000000000)/(Z87*Z49),0)</f>
        <v>0.950676122822888</v>
      </c>
      <c r="AA110" s="99" t="n">
        <f aca="false">IF(AA87&gt;0,(AA72+AA87*AA34*AA45/1000000000)/(AA87*AA49),0)</f>
        <v>0.547036742745023</v>
      </c>
      <c r="AB110" s="99" t="n">
        <f aca="false">IF(AB87&gt;0,(AB72+AB87*AB34*AB45/1000000000)/(AB87*AB49),0)</f>
        <v>1.493251734731</v>
      </c>
      <c r="AC110" s="99" t="n">
        <f aca="false">IF(AC87&gt;0,(AC72+AC87*AC34*AC45/1000000000)/(AC87*AC49),0)</f>
        <v>3.46776604691125</v>
      </c>
      <c r="AD110" s="99" t="n">
        <f aca="false">IF(AD87&gt;0,(AD72+AD87*AD34*AD45/1000000000)/(AD87*AD49),0)</f>
        <v>12.6883249287605</v>
      </c>
      <c r="AE110" s="99" t="n">
        <f aca="false">IF(AE87&gt;0,(AE72+AE87*AE34*AE45/1000000000)/(AE87*AE49),0)</f>
        <v>4.05363149657568</v>
      </c>
      <c r="AF110" s="99" t="n">
        <f aca="false">IF(AF87&gt;0,(AF72+AF87*AF34*AF45/1000000000)/(AF87*AF49),0)</f>
        <v>13.274190378425</v>
      </c>
      <c r="AG110" s="99" t="n">
        <f aca="false">IF(AG87&gt;0,(AG72+AG87*AG34*AG45/1000000000)/(AG87*AG49),0)</f>
        <v>6.07689055697836</v>
      </c>
      <c r="AH110" s="99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45" t="s">
        <v>723</v>
      </c>
      <c r="B111" s="45" t="s">
        <v>261</v>
      </c>
      <c r="C111" s="53" t="n">
        <f aca="false">(C47+1)*C29*C31*C30*C59/C49/1000000000</f>
        <v>0.0124286837741808</v>
      </c>
      <c r="D111" s="53" t="n">
        <f aca="false">(D47+1)*D29*D31*D30*D59/D49/1000000000</f>
        <v>0.0124286837741808</v>
      </c>
      <c r="E111" s="53" t="n">
        <f aca="false">(E47+1)*E29*E31*E30*E59/E49/1000000000</f>
        <v>0.0124286837741808</v>
      </c>
      <c r="F111" s="53" t="n">
        <f aca="false">(F47+1)*F29*F31*F30*F59/F49/1000000000</f>
        <v>0.0124286837741808</v>
      </c>
      <c r="G111" s="53" t="n">
        <f aca="false">(G47+1)*G29*G31*G30*G59/G49/1000000000</f>
        <v>0.0124286837741808</v>
      </c>
      <c r="H111" s="53" t="n">
        <f aca="false">(H47+1)*H29*H31*H30*H59/H49/1000000000</f>
        <v>0.0124286837741808</v>
      </c>
      <c r="I111" s="53" t="n">
        <f aca="false">(I47+1)*I29*I31*I30*I59/I49/1000000000</f>
        <v>0.0124286837741808</v>
      </c>
      <c r="J111" s="53" t="n">
        <f aca="false">(J47+1)*J29*J31*J30*J59/J49/1000000000</f>
        <v>0.0124286837741808</v>
      </c>
      <c r="K111" s="53" t="n">
        <f aca="false">(K47+1)*K29*K31*K30*K59/K49/1000000000</f>
        <v>0.0124286837741808</v>
      </c>
      <c r="L111" s="53" t="n">
        <f aca="false">(L47+1)*L29*L31*L30*L59/L49/1000000000</f>
        <v>0.0124286837741808</v>
      </c>
      <c r="M111" s="53" t="n">
        <f aca="false">(M47+1)*M29*M31*M30*M59/M49/1000000000</f>
        <v>0.0124286837741808</v>
      </c>
      <c r="N111" s="53" t="n">
        <f aca="false">(N47+1)*N29*N31*N30*N59/N49/1000000000</f>
        <v>0.0124286837741808</v>
      </c>
      <c r="O111" s="53" t="n">
        <f aca="false">(O47+1)*O29*O31*O30*O59/O49/1000000000</f>
        <v>0.0124286837741808</v>
      </c>
      <c r="P111" s="53" t="n">
        <f aca="false">(P47+1)*P29*P31*P30*P59/P49/1000000000</f>
        <v>0.0124286837741808</v>
      </c>
      <c r="Q111" s="53" t="n">
        <f aca="false">(Q47+1)*Q29*Q31*Q30*Q59/Q49/1000000000</f>
        <v>0.0124286837741808</v>
      </c>
      <c r="R111" s="53" t="n">
        <f aca="false">(R47+1)*R29*R31*R30*R59/R49/1000000000</f>
        <v>0.0124286837741808</v>
      </c>
      <c r="S111" s="53" t="n">
        <f aca="false">(S47+1)*S29*S31*S30*S59/S49/1000000000</f>
        <v>0.0144677647058824</v>
      </c>
      <c r="T111" s="53" t="n">
        <f aca="false">(T47+1)*T29*T31*T30*T59/T49/1000000000</f>
        <v>0.0144677647058824</v>
      </c>
      <c r="U111" s="53" t="n">
        <f aca="false">(U47+1)*U29*U31*U30*U59/U49/1000000000</f>
        <v>0.0106645853658537</v>
      </c>
      <c r="V111" s="53" t="n">
        <f aca="false">(V47+1)*V29*V31*V30*V59/V49/1000000000</f>
        <v>0.0106645853658537</v>
      </c>
      <c r="W111" s="53" t="n">
        <f aca="false">(W47+1)*W29*W31*W30*W59/W49/1000000000</f>
        <v>0.0124286837741808</v>
      </c>
      <c r="X111" s="53" t="n">
        <f aca="false">(X47+1)*X29*X31*X30*X59/X49/1000000000</f>
        <v>0.0124286837741808</v>
      </c>
      <c r="Y111" s="53" t="n">
        <f aca="false">(Y47+1)*Y29*Y31*Y30*Y59/Y49/1000000000</f>
        <v>0.0124286837741808</v>
      </c>
      <c r="Z111" s="53" t="n">
        <f aca="false">(Z47+1)*Z29*Z31*Z30*Z59/Z49/1000000000</f>
        <v>0.0124286837741808</v>
      </c>
      <c r="AA111" s="53" t="n">
        <f aca="false">(AA47+1)*AA29*AA31*AA30*AA59/AA49/1000000000</f>
        <v>0.0124286837741808</v>
      </c>
      <c r="AB111" s="53" t="n">
        <f aca="false">(AB47+1)*AB29*AB31*AB30*AB59/AB49/1000000000</f>
        <v>0.0124286837741808</v>
      </c>
      <c r="AC111" s="53" t="n">
        <f aca="false">(AC47+1)*AC29*AC31*AC30*AC59/AC49/1000000000</f>
        <v>0.0931423608369523</v>
      </c>
      <c r="AD111" s="53" t="n">
        <f aca="false">(AD47+1)*AD29*AD31*AD30*AD59/AD49/1000000000</f>
        <v>0.0931423608369523</v>
      </c>
      <c r="AE111" s="53" t="n">
        <f aca="false">(AE47+1)*AE29*AE31*AE30*AE59/AE49/1000000000</f>
        <v>0.0931423608369523</v>
      </c>
      <c r="AF111" s="53" t="n">
        <f aca="false">(AF47+1)*AF29*AF31*AF30*AF59/AF49/1000000000</f>
        <v>0.0931423608369523</v>
      </c>
      <c r="AG111" s="53" t="n">
        <f aca="false">(AG47+1)*AG29*AG31*AG30*AG59/AG49/1000000000</f>
        <v>0.0931423608369523</v>
      </c>
      <c r="AH111" s="53" t="n">
        <f aca="false">(AH47+1)*AH29*AH31*AH30*AH59/AH49/1000000000</f>
        <v>0.0931423608369523</v>
      </c>
    </row>
    <row r="112" customFormat="false" ht="15" hidden="false" customHeight="false" outlineLevel="0" collapsed="false">
      <c r="A112" s="45" t="s">
        <v>724</v>
      </c>
      <c r="B112" s="45" t="s">
        <v>725</v>
      </c>
      <c r="C112" s="53" t="n">
        <f aca="false">(C109*C107+C110*C24+C111*C108)/1000</f>
        <v>0.0132642232523088</v>
      </c>
      <c r="D112" s="53" t="n">
        <f aca="false">(D109*D107+D110*D24+D111*D108)/1000</f>
        <v>0.0333329503197513</v>
      </c>
      <c r="E112" s="53" t="n">
        <f aca="false">(E109*E107+E110*E24+E111*E108)/1000</f>
        <v>0.0193352764300734</v>
      </c>
      <c r="F112" s="53" t="n">
        <f aca="false">(F109*F107+F110*F24+F111*F108)/1000</f>
        <v>0.0333329503197513</v>
      </c>
      <c r="G112" s="53" t="n">
        <f aca="false">(G109*G107+G110*G24+G111*G108)/1000</f>
        <v>0.0112405388597206</v>
      </c>
      <c r="H112" s="53" t="n">
        <f aca="false">(H109*H107+H110*H24+H111*H108)/1000</f>
        <v>0.0333329503197513</v>
      </c>
      <c r="I112" s="53" t="n">
        <f aca="false">(I109*I107+I110*I24+I111*I108)/1000</f>
        <v>0.0126331523268032</v>
      </c>
      <c r="J112" s="53" t="n">
        <f aca="false">(J109*J107+J110*J24+J111*J108)/1000</f>
        <v>0.0333329503197513</v>
      </c>
      <c r="K112" s="53" t="n">
        <f aca="false">(K109*K107+K110*K24+K111*K108)/1000</f>
        <v>0.0147193633394725</v>
      </c>
      <c r="L112" s="53" t="n">
        <f aca="false">(L109*L107+L110*L24+L111*L108)/1000</f>
        <v>0.0333329503197513</v>
      </c>
      <c r="M112" s="53" t="n">
        <f aca="false">(M109*M107+M110*M24+M111*M108)/1000</f>
        <v>0.00948573870377764</v>
      </c>
      <c r="N112" s="53" t="n">
        <f aca="false">(N109*N107+N110*N24+N111*N108)/1000</f>
        <v>0.0333329503197513</v>
      </c>
      <c r="O112" s="53" t="n">
        <f aca="false">(O109*O107+O110*O24+O111*O108)/1000</f>
        <v>0.0103582536789828</v>
      </c>
      <c r="P112" s="53" t="n">
        <f aca="false">(P109*P107+P110*P24+P111*P108)/1000</f>
        <v>0.0226263695505067</v>
      </c>
      <c r="Q112" s="53" t="n">
        <f aca="false">(Q109*Q107+Q110*Q24+Q111*Q108)/1000</f>
        <v>0.0196890294754057</v>
      </c>
      <c r="R112" s="53" t="n">
        <f aca="false">(R109*R107+R110*R24+R111*R108)/1000</f>
        <v>0.0644550969043679</v>
      </c>
      <c r="S112" s="53" t="n">
        <f aca="false">(S109*S107+S110*S24+S111*S108)/1000</f>
        <v>0.0172856091099931</v>
      </c>
      <c r="T112" s="53" t="n">
        <f aca="false">(T109*T107+T110*T24+T111*T108)/1000</f>
        <v>0.0464855168687779</v>
      </c>
      <c r="U112" s="53" t="n">
        <f aca="false">(U109*U107+U110*U24+U111*U108)/1000</f>
        <v>0.010363134173328</v>
      </c>
      <c r="V112" s="53" t="n">
        <f aca="false">(V109*V107+V110*V24+V111*V108)/1000</f>
        <v>0.024676490594924</v>
      </c>
      <c r="W112" s="53" t="n">
        <f aca="false">(W109*W107+W110*W24+W111*W108)/1000</f>
        <v>0.0128073186284606</v>
      </c>
      <c r="X112" s="53" t="n">
        <f aca="false">(X109*X107+X110*X24+X111*X108)/1000</f>
        <v>0.0326655977695731</v>
      </c>
      <c r="Y112" s="53" t="n">
        <f aca="false">(Y109*Y107+Y110*Y24+Y111*Y108)/1000</f>
        <v>0.0150918417477017</v>
      </c>
      <c r="Z112" s="53" t="n">
        <f aca="false">(Z109*Z107+Z110*Z24+Z111*Z108)/1000</f>
        <v>0.036002360520464</v>
      </c>
      <c r="AA112" s="53" t="n">
        <f aca="false">(AA109*AA107+AA110*AA24+AA111*AA108)/1000</f>
        <v>0.0175889170099816</v>
      </c>
      <c r="AB112" s="53" t="n">
        <f aca="false">(AB109*AB107+AB110*AB24+AB111*AB108)/1000</f>
        <v>0.0492952420782253</v>
      </c>
      <c r="AC112" s="53" t="n">
        <f aca="false">(AC109*AC107+AC110*AC24+AC111*AC108)/1000</f>
        <v>0.0961676451819112</v>
      </c>
      <c r="AD112" s="53" t="n">
        <f aca="false">(AD109*AD107+AD110*AD24+AD111*AD108)/1000</f>
        <v>0.365108588721106</v>
      </c>
      <c r="AE112" s="53" t="n">
        <f aca="false">(AE109*AE107+AE110*AE24+AE111*AE108)/1000</f>
        <v>0.1078849541752</v>
      </c>
      <c r="AF112" s="53" t="n">
        <f aca="false">(AF109*AF107+AF110*AF24+AF111*AF108)/1000</f>
        <v>0.379755224962717</v>
      </c>
      <c r="AG112" s="53" t="n">
        <f aca="false">(AG109*AG107+AG110*AG24+AG111*AG108)/1000</f>
        <v>0.148350135383254</v>
      </c>
      <c r="AH112" s="53" t="n">
        <f aca="false">(AH109*AH107+AH110*AH24+AH111*AH108)/1000</f>
        <v>0.430336701472784</v>
      </c>
    </row>
    <row r="113" customFormat="false" ht="15" hidden="false" customHeight="false" outlineLevel="0" collapsed="false">
      <c r="A113" s="45" t="s">
        <v>726</v>
      </c>
      <c r="B113" s="45" t="s">
        <v>725</v>
      </c>
      <c r="C113" s="53" t="n">
        <f aca="false">C67*C107/1000</f>
        <v>0.00411349323307886</v>
      </c>
      <c r="D113" s="53" t="n">
        <f aca="false">D67*D107/1000</f>
        <v>0.007465228460032</v>
      </c>
      <c r="E113" s="53" t="n">
        <f aca="false">E67*E107/1000</f>
        <v>0.00411349323307886</v>
      </c>
      <c r="F113" s="53" t="n">
        <f aca="false">F67*F107/1000</f>
        <v>0.007465228460032</v>
      </c>
      <c r="G113" s="53" t="n">
        <f aca="false">G67*G107/1000</f>
        <v>0.00411349323307886</v>
      </c>
      <c r="H113" s="53" t="n">
        <f aca="false">H67*H107/1000</f>
        <v>0.007465228460032</v>
      </c>
      <c r="I113" s="53" t="n">
        <f aca="false">I67*I107/1000</f>
        <v>0.00411349323307886</v>
      </c>
      <c r="J113" s="53" t="n">
        <f aca="false">J67*J107/1000</f>
        <v>0.007465228460032</v>
      </c>
      <c r="K113" s="53" t="n">
        <f aca="false">K67*K107/1000</f>
        <v>0.00411349323307886</v>
      </c>
      <c r="L113" s="53" t="n">
        <f aca="false">L67*L107/1000</f>
        <v>0.007465228460032</v>
      </c>
      <c r="M113" s="53" t="n">
        <f aca="false">M67*M107/1000</f>
        <v>0.0028794452631552</v>
      </c>
      <c r="N113" s="53" t="n">
        <f aca="false">N67*N107/1000</f>
        <v>0.007465228460032</v>
      </c>
      <c r="O113" s="53" t="n">
        <f aca="false">O67*O107/1000</f>
        <v>0.00411349323307886</v>
      </c>
      <c r="P113" s="53" t="n">
        <f aca="false">P67*P107/1000</f>
        <v>0.007465228460032</v>
      </c>
      <c r="Q113" s="53" t="n">
        <f aca="false">Q67*Q107/1000</f>
        <v>0.00411349323307886</v>
      </c>
      <c r="R113" s="53" t="n">
        <f aca="false">R67*R107/1000</f>
        <v>0.007465228460032</v>
      </c>
      <c r="S113" s="53" t="n">
        <f aca="false">S67*S107/1000</f>
        <v>0.00411349323307886</v>
      </c>
      <c r="T113" s="53" t="n">
        <f aca="false">T67*T107/1000</f>
        <v>0.007465228460032</v>
      </c>
      <c r="U113" s="53" t="n">
        <f aca="false">U67*U107/1000</f>
        <v>0.00411349323307886</v>
      </c>
      <c r="V113" s="53" t="n">
        <f aca="false">V67*V107/1000</f>
        <v>0.007465228460032</v>
      </c>
      <c r="W113" s="53" t="n">
        <f aca="false">W67*W107/1000</f>
        <v>0.00356479917728914</v>
      </c>
      <c r="X113" s="53" t="n">
        <f aca="false">X67*X107/1000</f>
        <v>0.006469450358784</v>
      </c>
      <c r="Y113" s="53" t="n">
        <f aca="false">Y67*Y107/1000</f>
        <v>0.00416086250408229</v>
      </c>
      <c r="Z113" s="53" t="n">
        <f aca="false">Z67*Z107/1000</f>
        <v>0.007551194914816</v>
      </c>
      <c r="AA113" s="53" t="n">
        <f aca="false">AA67*AA107/1000</f>
        <v>0.00411349323307886</v>
      </c>
      <c r="AB113" s="53" t="n">
        <f aca="false">AB67*AB107/1000</f>
        <v>0.007465228460032</v>
      </c>
      <c r="AC113" s="53" t="n">
        <f aca="false">AC67*AC107/1000</f>
        <v>0.0135935167926857</v>
      </c>
      <c r="AD113" s="53" t="n">
        <f aca="false">AD67*AD107/1000</f>
        <v>0.0246697156608</v>
      </c>
      <c r="AE113" s="53" t="n">
        <f aca="false">AE67*AE107/1000</f>
        <v>0.0135935167926857</v>
      </c>
      <c r="AF113" s="53" t="n">
        <f aca="false">AF67*AF107/1000</f>
        <v>0.0246697156608</v>
      </c>
      <c r="AG113" s="53" t="n">
        <f aca="false">AG67*AG107/1000</f>
        <v>0.0135935167926857</v>
      </c>
      <c r="AH113" s="53" t="n">
        <f aca="false">AH67*AH107/1000</f>
        <v>0.0246697156608</v>
      </c>
    </row>
    <row r="114" customFormat="false" ht="15" hidden="false" customHeight="false" outlineLevel="0" collapsed="false">
      <c r="A114" s="44" t="s">
        <v>727</v>
      </c>
      <c r="B114" s="45" t="s">
        <v>651</v>
      </c>
      <c r="C114" s="55" t="n">
        <f aca="false">(C97*C113+C96*C112)/1000</f>
        <v>9.55912453390747</v>
      </c>
      <c r="D114" s="55" t="n">
        <f aca="false">(D97*D113+D96*D112)/1000</f>
        <v>7.37744841370182</v>
      </c>
      <c r="E114" s="55" t="n">
        <f aca="false">(E97*E113+E96*E112)/1000</f>
        <v>6.33276411668379</v>
      </c>
      <c r="F114" s="55" t="n">
        <f aca="false">(F97*F113+F96*F112)/1000</f>
        <v>7.37744841370182</v>
      </c>
      <c r="G114" s="55" t="n">
        <f aca="false">(G97*G113+G96*G112)/1000</f>
        <v>11.9632812984921</v>
      </c>
      <c r="H114" s="55" t="n">
        <f aca="false">(H97*H113+H96*H112)/1000</f>
        <v>7.37744841370182</v>
      </c>
      <c r="I114" s="55" t="n">
        <f aca="false">(I97*I113+I96*I112)/1000</f>
        <v>10.1774227227384</v>
      </c>
      <c r="J114" s="55" t="n">
        <f aca="false">(J97*J113+J96*J112)/1000</f>
        <v>7.37744841370182</v>
      </c>
      <c r="K114" s="55" t="n">
        <f aca="false">(K97*K113+K96*K112)/1000</f>
        <v>8.42995419383149</v>
      </c>
      <c r="L114" s="55" t="n">
        <f aca="false">(L97*L113+L96*L112)/1000</f>
        <v>7.37744841370182</v>
      </c>
      <c r="M114" s="55" t="n">
        <f aca="false">(M97*M113+M96*M112)/1000</f>
        <v>9.61850799436997</v>
      </c>
      <c r="N114" s="55" t="n">
        <f aca="false">(N97*N113+N96*N112)/1000</f>
        <v>7.37744841370182</v>
      </c>
      <c r="O114" s="55" t="n">
        <f aca="false">(O97*O113+O96*O112)/1000</f>
        <v>10.0441762499652</v>
      </c>
      <c r="P114" s="55" t="n">
        <f aca="false">(P97*P113+P96*P112)/1000</f>
        <v>7.76870851462573</v>
      </c>
      <c r="Q114" s="55" t="n">
        <f aca="false">(Q97*Q113+Q96*Q112)/1000</f>
        <v>8.78735302114905</v>
      </c>
      <c r="R114" s="55" t="n">
        <f aca="false">(R97*R113+R96*R112)/1000</f>
        <v>6.72459618884637</v>
      </c>
      <c r="S114" s="55" t="n">
        <f aca="false">(S97*S113+S96*S112)/1000</f>
        <v>8.77049150926388</v>
      </c>
      <c r="T114" s="55" t="n">
        <f aca="false">(T97*T113+T96*T112)/1000</f>
        <v>6.81350555376724</v>
      </c>
      <c r="U114" s="55" t="n">
        <f aca="false">(U97*U113+U96*U112)/1000</f>
        <v>10.3975181623763</v>
      </c>
      <c r="V114" s="55" t="n">
        <f aca="false">(V97*V113+V96*V112)/1000</f>
        <v>7.99823161128276</v>
      </c>
      <c r="W114" s="55" t="n">
        <f aca="false">(W97*W113+W96*W112)/1000</f>
        <v>5.38032312745278</v>
      </c>
      <c r="X114" s="55" t="n">
        <f aca="false">(X97*X113+X96*X112)/1000</f>
        <v>4.56888270327521</v>
      </c>
      <c r="Y114" s="55" t="n">
        <f aca="false">(Y97*Y113+Y96*Y112)/1000</f>
        <v>16.1032665702237</v>
      </c>
      <c r="Z114" s="55" t="n">
        <f aca="false">(Z97*Z113+Z96*Z112)/1000</f>
        <v>12.148745909557</v>
      </c>
      <c r="AA114" s="55" t="n">
        <f aca="false">(AA97*AA113+AA96*AA112)/1000</f>
        <v>6.41587750137544</v>
      </c>
      <c r="AB114" s="55" t="n">
        <f aca="false">(AB97*AB113+AB96*AB112)/1000</f>
        <v>5.13828000727332</v>
      </c>
      <c r="AC114" s="55" t="n">
        <f aca="false">(AC97*AC113+AC96*AC112)/1000</f>
        <v>9.20318024636143</v>
      </c>
      <c r="AD114" s="55" t="n">
        <f aca="false">(AD97*AD113+AD96*AD112)/1000</f>
        <v>7.18869180084729</v>
      </c>
      <c r="AE114" s="55" t="n">
        <f aca="false">(AE97*AE113+AE96*AE112)/1000</f>
        <v>9.72942818548236</v>
      </c>
      <c r="AF114" s="55" t="n">
        <f aca="false">(AF97*AF113+AF96*AF112)/1000</f>
        <v>7.37588550691989</v>
      </c>
      <c r="AG114" s="55" t="n">
        <f aca="false">(AG97*AG113+AG96*AG112)/1000</f>
        <v>11.5468009482123</v>
      </c>
      <c r="AH114" s="55" t="n">
        <f aca="false">(AH97*AH113+AH96*AH112)/1000</f>
        <v>8.02235025762106</v>
      </c>
    </row>
    <row r="115" customFormat="false" ht="15" hidden="false" customHeight="false" outlineLevel="0" collapsed="false">
      <c r="A115" s="44" t="s">
        <v>728</v>
      </c>
      <c r="B115" s="45" t="s">
        <v>651</v>
      </c>
      <c r="C115" s="80" t="n">
        <f aca="false">C26*Inputs!$E$10</f>
        <v>181.6</v>
      </c>
      <c r="D115" s="80" t="n">
        <f aca="false">D26*Inputs!$E$10</f>
        <v>109.6</v>
      </c>
      <c r="E115" s="80" t="n">
        <f aca="false">E26*Inputs!$E$10</f>
        <v>181.6</v>
      </c>
      <c r="F115" s="80" t="n">
        <f aca="false">F26*Inputs!$E$10</f>
        <v>109.6</v>
      </c>
      <c r="G115" s="80" t="n">
        <f aca="false">G26*Inputs!$E$10</f>
        <v>181.6</v>
      </c>
      <c r="H115" s="80" t="n">
        <f aca="false">H26*Inputs!$E$10</f>
        <v>109.6</v>
      </c>
      <c r="I115" s="80" t="n">
        <f aca="false">I26*Inputs!$E$10</f>
        <v>181.6</v>
      </c>
      <c r="J115" s="80" t="n">
        <f aca="false">J26*Inputs!$E$10</f>
        <v>109.6</v>
      </c>
      <c r="K115" s="80" t="n">
        <f aca="false">K26*Inputs!$E$10</f>
        <v>181.6</v>
      </c>
      <c r="L115" s="80" t="n">
        <f aca="false">L26*Inputs!$E$10</f>
        <v>109.6</v>
      </c>
      <c r="M115" s="80" t="n">
        <f aca="false">M26*Inputs!$E$10</f>
        <v>181.6</v>
      </c>
      <c r="N115" s="80" t="n">
        <f aca="false">N26*Inputs!$E$10</f>
        <v>109.6</v>
      </c>
      <c r="O115" s="80" t="n">
        <f aca="false">O26*Inputs!$E$10</f>
        <v>181.6</v>
      </c>
      <c r="P115" s="80" t="n">
        <f aca="false">P26*Inputs!$E$10</f>
        <v>109.6</v>
      </c>
      <c r="Q115" s="80" t="n">
        <f aca="false">Q26*Inputs!$E$10</f>
        <v>181.6</v>
      </c>
      <c r="R115" s="80" t="n">
        <f aca="false">R26*Inputs!$E$10</f>
        <v>109.6</v>
      </c>
      <c r="S115" s="80" t="n">
        <f aca="false">S26*Inputs!$E$10</f>
        <v>181.6</v>
      </c>
      <c r="T115" s="80" t="n">
        <f aca="false">T26*Inputs!$E$10</f>
        <v>109.6</v>
      </c>
      <c r="U115" s="80" t="n">
        <f aca="false">U26*Inputs!$E$10</f>
        <v>181.6</v>
      </c>
      <c r="V115" s="80" t="n">
        <f aca="false">V26*Inputs!$E$10</f>
        <v>109.6</v>
      </c>
      <c r="W115" s="80" t="n">
        <f aca="false">W26*Inputs!$E$10</f>
        <v>181.6</v>
      </c>
      <c r="X115" s="80" t="n">
        <f aca="false">X26*Inputs!$E$10</f>
        <v>109.6</v>
      </c>
      <c r="Y115" s="80" t="n">
        <f aca="false">Y26*Inputs!$E$10</f>
        <v>181.6</v>
      </c>
      <c r="Z115" s="80" t="n">
        <f aca="false">Z26*Inputs!$E$10</f>
        <v>109.6</v>
      </c>
      <c r="AA115" s="80" t="n">
        <f aca="false">AA26*Inputs!$E$10</f>
        <v>181.6</v>
      </c>
      <c r="AB115" s="80" t="n">
        <f aca="false">AB26*Inputs!$E$10</f>
        <v>109.6</v>
      </c>
      <c r="AC115" s="80" t="n">
        <f aca="false">AC26*Inputs!$E$10</f>
        <v>181.6</v>
      </c>
      <c r="AD115" s="80" t="n">
        <f aca="false">AD26*Inputs!$E$10</f>
        <v>109.6</v>
      </c>
      <c r="AE115" s="80" t="n">
        <f aca="false">AE26*Inputs!$E$10</f>
        <v>181.6</v>
      </c>
      <c r="AF115" s="80" t="n">
        <f aca="false">AF26*Inputs!$E$10</f>
        <v>109.6</v>
      </c>
      <c r="AG115" s="80" t="n">
        <f aca="false">AG26*Inputs!$E$10</f>
        <v>181.6</v>
      </c>
      <c r="AH115" s="80" t="n">
        <f aca="false">AH26*Inputs!$E$10</f>
        <v>109.6</v>
      </c>
    </row>
    <row r="116" customFormat="false" ht="15" hidden="false" customHeight="false" outlineLevel="0" collapsed="false">
      <c r="A116" s="44" t="s">
        <v>729</v>
      </c>
      <c r="B116" s="45" t="s">
        <v>57</v>
      </c>
      <c r="C116" s="103" t="n">
        <f aca="false">IF(C115&gt;0,C114/C115,0)</f>
        <v>0.0526383509576403</v>
      </c>
      <c r="D116" s="103" t="n">
        <f aca="false">IF(D115&gt;0,D114/D115,0)</f>
        <v>0.0673124855264764</v>
      </c>
      <c r="E116" s="103" t="n">
        <f aca="false">IF(E115&gt;0,E114/E115,0)</f>
        <v>0.0348720491006817</v>
      </c>
      <c r="F116" s="103" t="n">
        <f aca="false">IF(F115&gt;0,F114/F115,0)</f>
        <v>0.0673124855264764</v>
      </c>
      <c r="G116" s="103" t="n">
        <f aca="false">IF(G115&gt;0,G114/G115,0)</f>
        <v>0.0658770996613002</v>
      </c>
      <c r="H116" s="103" t="n">
        <f aca="false">IF(H115&gt;0,H114/H115,0)</f>
        <v>0.0673124855264764</v>
      </c>
      <c r="I116" s="103" t="n">
        <f aca="false">IF(I115&gt;0,I114/I115,0)</f>
        <v>0.0560430766670618</v>
      </c>
      <c r="J116" s="103" t="n">
        <f aca="false">IF(J115&gt;0,J114/J115,0)</f>
        <v>0.0673124855264764</v>
      </c>
      <c r="K116" s="103" t="n">
        <f aca="false">IF(K115&gt;0,K114/K115,0)</f>
        <v>0.0464204526092042</v>
      </c>
      <c r="L116" s="103" t="n">
        <f aca="false">IF(L115&gt;0,L114/L115,0)</f>
        <v>0.0673124855264764</v>
      </c>
      <c r="M116" s="103" t="n">
        <f aca="false">IF(M115&gt;0,M114/M115,0)</f>
        <v>0.0529653523919051</v>
      </c>
      <c r="N116" s="103" t="n">
        <f aca="false">IF(N115&gt;0,N114/N115,0)</f>
        <v>0.0673124855264764</v>
      </c>
      <c r="O116" s="103" t="n">
        <f aca="false">IF(O115&gt;0,O114/O115,0)</f>
        <v>0.055309340583509</v>
      </c>
      <c r="P116" s="103" t="n">
        <f aca="false">IF(P115&gt;0,P114/P115,0)</f>
        <v>0.070882376958264</v>
      </c>
      <c r="Q116" s="103" t="n">
        <f aca="false">IF(Q115&gt;0,Q114/Q115,0)</f>
        <v>0.0483885078257106</v>
      </c>
      <c r="R116" s="103" t="n">
        <f aca="false">IF(R115&gt;0,R114/R115,0)</f>
        <v>0.0613558046427589</v>
      </c>
      <c r="S116" s="103" t="n">
        <f aca="false">IF(S115&gt;0,S114/S115,0)</f>
        <v>0.0482956580906602</v>
      </c>
      <c r="T116" s="103" t="n">
        <f aca="false">IF(T115&gt;0,T114/T115,0)</f>
        <v>0.0621670214759785</v>
      </c>
      <c r="U116" s="103" t="n">
        <f aca="false">IF(U115&gt;0,U114/U115,0)</f>
        <v>0.0572550559602219</v>
      </c>
      <c r="V116" s="103" t="n">
        <f aca="false">IF(V115&gt;0,V114/V115,0)</f>
        <v>0.0729765657963755</v>
      </c>
      <c r="W116" s="103" t="n">
        <f aca="false">IF(W115&gt;0,W114/W115,0)</f>
        <v>0.0296273299969867</v>
      </c>
      <c r="X116" s="103" t="n">
        <f aca="false">IF(X115&gt;0,X114/X115,0)</f>
        <v>0.0416868859787884</v>
      </c>
      <c r="Y116" s="103" t="n">
        <f aca="false">IF(Y115&gt;0,Y114/Y115,0)</f>
        <v>0.0886743753866945</v>
      </c>
      <c r="Z116" s="103" t="n">
        <f aca="false">IF(Z115&gt;0,Z114/Z115,0)</f>
        <v>0.110846221802527</v>
      </c>
      <c r="AA116" s="103" t="n">
        <f aca="false">IF(AA115&gt;0,AA114/AA115,0)</f>
        <v>0.0353297219238735</v>
      </c>
      <c r="AB116" s="103" t="n">
        <f aca="false">IF(AB115&gt;0,AB114/AB115,0)</f>
        <v>0.0468821168546836</v>
      </c>
      <c r="AC116" s="103" t="n">
        <f aca="false">IF(AC115&gt;0,AC114/AC115,0)</f>
        <v>0.0506783053213735</v>
      </c>
      <c r="AD116" s="103" t="n">
        <f aca="false">IF(AD115&gt;0,AD114/AD115,0)</f>
        <v>0.0655902536573658</v>
      </c>
      <c r="AE116" s="103" t="n">
        <f aca="false">IF(AE115&gt;0,AE114/AE115,0)</f>
        <v>0.053576146395828</v>
      </c>
      <c r="AF116" s="103" t="n">
        <f aca="false">IF(AF115&gt;0,AF114/AF115,0)</f>
        <v>0.0672982254281012</v>
      </c>
      <c r="AG116" s="103" t="n">
        <f aca="false">IF(AG115&gt;0,AG114/AG115,0)</f>
        <v>0.063583705661962</v>
      </c>
      <c r="AH116" s="103" t="n">
        <f aca="false">IF(AH115&gt;0,AH114/AH115,0)</f>
        <v>0.0731966264381484</v>
      </c>
    </row>
    <row r="117" customFormat="false" ht="15" hidden="false" customHeight="false" outlineLevel="0" collapsed="false">
      <c r="A117" s="45" t="s">
        <v>730</v>
      </c>
      <c r="B117" s="45" t="s">
        <v>731</v>
      </c>
      <c r="C117" s="104" t="n">
        <f aca="false">C95/(C115*1000)</f>
        <v>10.2604050812279</v>
      </c>
      <c r="D117" s="104" t="n">
        <f aca="false">D95/(D115*1000)</f>
        <v>6.51027687947674</v>
      </c>
      <c r="E117" s="104" t="n">
        <f aca="false">E95/(E115*1000)</f>
        <v>6.00744801183423</v>
      </c>
      <c r="F117" s="104" t="n">
        <f aca="false">F95/(F115*1000)</f>
        <v>6.51027687947674</v>
      </c>
      <c r="G117" s="104" t="n">
        <f aca="false">G95/(G115*1000)</f>
        <v>13.4295412550065</v>
      </c>
      <c r="H117" s="104" t="n">
        <f aca="false">H95/(H115*1000)</f>
        <v>6.51027687947674</v>
      </c>
      <c r="I117" s="104" t="n">
        <f aca="false">I95/(I115*1000)</f>
        <v>11.075439768346</v>
      </c>
      <c r="J117" s="104" t="n">
        <f aca="false">J95/(J115*1000)</f>
        <v>6.51027687947674</v>
      </c>
      <c r="K117" s="104" t="n">
        <f aca="false">K95/(K115*1000)</f>
        <v>8.77194366980623</v>
      </c>
      <c r="L117" s="104" t="n">
        <f aca="false">L95/(L115*1000)</f>
        <v>6.51027687947674</v>
      </c>
      <c r="M117" s="104" t="n">
        <f aca="false">M95/(M115*1000)</f>
        <v>14.6577215446113</v>
      </c>
      <c r="N117" s="104" t="n">
        <f aca="false">N95/(N115*1000)</f>
        <v>6.51027687947674</v>
      </c>
      <c r="O117" s="104" t="n">
        <f aca="false">O95/(O115*1000)</f>
        <v>11.5051488344799</v>
      </c>
      <c r="P117" s="104" t="n">
        <f aca="false">P95/(P115*1000)</f>
        <v>7.74687745545522</v>
      </c>
      <c r="Q117" s="104" t="n">
        <f aca="false">Q95/(Q115*1000)</f>
        <v>8.27987859788389</v>
      </c>
      <c r="R117" s="104" t="n">
        <f aca="false">R95/(R115*1000)</f>
        <v>4.44689900021252</v>
      </c>
      <c r="S117" s="104" t="n">
        <f aca="false">S95/(S115*1000)</f>
        <v>8.65969591186937</v>
      </c>
      <c r="T117" s="104" t="n">
        <f aca="false">T95/(T115*1000)</f>
        <v>5.26802732578908</v>
      </c>
      <c r="U117" s="104" t="n">
        <f aca="false">U95/(U115*1000)</f>
        <v>11.9085426846282</v>
      </c>
      <c r="V117" s="104" t="n">
        <f aca="false">V95/(V115*1000)</f>
        <v>7.78201634333429</v>
      </c>
      <c r="W117" s="104" t="n">
        <f aca="false">W95/(W115*1000)</f>
        <v>4.45816121251724</v>
      </c>
      <c r="X117" s="104" t="n">
        <f aca="false">X95/(X115*1000)</f>
        <v>2.74228775855584</v>
      </c>
      <c r="Y117" s="104" t="n">
        <f aca="false">Y95/(Y115*1000)</f>
        <v>19.7400526518617</v>
      </c>
      <c r="Z117" s="104" t="n">
        <f aca="false">Z95/(Z115*1000)</f>
        <v>13.1750376153197</v>
      </c>
      <c r="AA117" s="104" t="n">
        <f aca="false">AA95/(AA115*1000)</f>
        <v>6.29677724939862</v>
      </c>
      <c r="AB117" s="104" t="n">
        <f aca="false">AB95/(AB115*1000)</f>
        <v>3.87039435775447</v>
      </c>
      <c r="AC117" s="104" t="n">
        <f aca="false">AC95/(AC115*1000)</f>
        <v>2.22581564461845</v>
      </c>
      <c r="AD117" s="104" t="n">
        <f aca="false">AD95/(AD115*1000)</f>
        <v>1.04950690950785</v>
      </c>
      <c r="AE117" s="104" t="n">
        <f aca="false">AE95/(AE115*1000)</f>
        <v>2.22581564461845</v>
      </c>
      <c r="AF117" s="104" t="n">
        <f aca="false">AF95/(AF115*1000)</f>
        <v>1.04950690950785</v>
      </c>
      <c r="AG117" s="104" t="n">
        <f aca="false">AG95/(AG115*1000)</f>
        <v>2.22581564461845</v>
      </c>
      <c r="AH117" s="104" t="n">
        <f aca="false">AH95/(AH115*1000)</f>
        <v>1.04950690950785</v>
      </c>
    </row>
    <row r="118" customFormat="false" ht="15" hidden="false" customHeight="false" outlineLevel="0" collapsed="false">
      <c r="A118" s="44" t="s">
        <v>732</v>
      </c>
      <c r="B118" s="45" t="s">
        <v>725</v>
      </c>
      <c r="C118" s="99" t="n">
        <f aca="false">IF(C96&gt;0,C115*1000*(1-C94)/C96,0)</f>
        <v>0.620981954705848</v>
      </c>
      <c r="D118" s="99" t="n">
        <f aca="false">IF(D96&gt;0,D115*1000*(1-D94)/D96,0)</f>
        <v>1.02167613795014</v>
      </c>
      <c r="E118" s="99" t="n">
        <f aca="false">IF(E96&gt;0,E115*1000*(1-E94)/E96,0)</f>
        <v>1.2419639094117</v>
      </c>
      <c r="F118" s="99" t="n">
        <f aca="false">IF(F96&gt;0,F115*1000*(1-F94)/F96,0)</f>
        <v>1.02167613795014</v>
      </c>
      <c r="G118" s="99" t="n">
        <f aca="false">IF(G96&gt;0,G115*1000*(1-G94)/G96,0)</f>
        <v>0.413987969803899</v>
      </c>
      <c r="H118" s="99" t="n">
        <f aca="false">IF(H96&gt;0,H115*1000*(1-H94)/H96,0)</f>
        <v>1.02167613795014</v>
      </c>
      <c r="I118" s="99" t="n">
        <f aca="false">IF(I96&gt;0,I115*1000*(1-I94)/I96,0)</f>
        <v>0.556432420151646</v>
      </c>
      <c r="J118" s="99" t="n">
        <f aca="false">IF(J96&gt;0,J115*1000*(1-J94)/J96,0)</f>
        <v>1.02167613795014</v>
      </c>
      <c r="K118" s="99" t="n">
        <f aca="false">IF(K96&gt;0,K115*1000*(1-K94)/K96,0)</f>
        <v>0.769821984473211</v>
      </c>
      <c r="L118" s="99" t="n">
        <f aca="false">IF(L96&gt;0,L115*1000*(1-L94)/L96,0)</f>
        <v>1.02167613795014</v>
      </c>
      <c r="M118" s="99" t="n">
        <f aca="false">IF(M96&gt;0,M115*1000*(1-M94)/M96,0)</f>
        <v>0.434687368294094</v>
      </c>
      <c r="N118" s="99" t="n">
        <f aca="false">IF(N96&gt;0,N115*1000*(1-N94)/N96,0)</f>
        <v>1.02167613795014</v>
      </c>
      <c r="O118" s="99" t="n">
        <f aca="false">IF(O96&gt;0,O115*1000*(1-O94)/O96,0)</f>
        <v>0.526082063054841</v>
      </c>
      <c r="P118" s="99" t="n">
        <f aca="false">IF(P96&gt;0,P115*1000*(1-P94)/P96,0)</f>
        <v>0.801004860837858</v>
      </c>
      <c r="Q118" s="99" t="n">
        <f aca="false">IF(Q96&gt;0,Q115*1000*(1-Q94)/Q96,0)</f>
        <v>0.830796062894456</v>
      </c>
      <c r="R118" s="99" t="n">
        <f aca="false">IF(R96&gt;0,R115*1000*(1-R94)/R96,0)</f>
        <v>1.66312871569849</v>
      </c>
      <c r="S118" s="99" t="n">
        <f aca="false">IF(S96&gt;0,S115*1000*(1-S94)/S96,0)</f>
        <v>0.783121067840812</v>
      </c>
      <c r="T118" s="99" t="n">
        <f aca="false">IF(T96&gt;0,T115*1000*(1-T94)/T96,0)</f>
        <v>1.34766583959463</v>
      </c>
      <c r="U118" s="99" t="n">
        <f aca="false">IF(U96&gt;0,U115*1000*(1-U94)/U96,0)</f>
        <v>0.499583585447612</v>
      </c>
      <c r="V118" s="99" t="n">
        <f aca="false">IF(V96&gt;0,V115*1000*(1-V94)/V96,0)</f>
        <v>0.795759061220995</v>
      </c>
      <c r="W118" s="99" t="n">
        <f aca="false">IF(W96&gt;0,W115*1000*(1-W94)/W96,0)</f>
        <v>0.617421843997695</v>
      </c>
      <c r="X118" s="99" t="n">
        <f aca="false">IF(X96&gt;0,X115*1000*(1-X94)/X96,0)</f>
        <v>1.01581883383459</v>
      </c>
      <c r="Y118" s="99" t="n">
        <f aca="false">IF(Y96&gt;0,Y115*1000*(1-Y94)/Y96,0)</f>
        <v>0.63522239753846</v>
      </c>
      <c r="Z118" s="99" t="n">
        <f aca="false">IF(Z96&gt;0,Z115*1000*(1-Z94)/Z96,0)</f>
        <v>1.04510535441233</v>
      </c>
      <c r="AA118" s="99" t="n">
        <f aca="false">IF(AA96&gt;0,AA115*1000*(1-AA94)/AA96,0)</f>
        <v>1.06333630485053</v>
      </c>
      <c r="AB118" s="99" t="n">
        <f aca="false">IF(AB96&gt;0,AB115*1000*(1-AB94)/AB96,0)</f>
        <v>1.80998223328017</v>
      </c>
      <c r="AC118" s="99" t="n">
        <f aca="false">IF(AC96&gt;0,AC115*1000*(1-AC94)/AC96,0)</f>
        <v>3.19689686596779</v>
      </c>
      <c r="AD118" s="99" t="n">
        <f aca="false">IF(AD96&gt;0,AD115*1000*(1-AD94)/AD96,0)</f>
        <v>7.38330364683301</v>
      </c>
      <c r="AE118" s="99" t="n">
        <f aca="false">IF(AE96&gt;0,AE115*1000*(1-AE94)/AE96,0)</f>
        <v>3.19689686596779</v>
      </c>
      <c r="AF118" s="99" t="n">
        <f aca="false">IF(AF96&gt;0,AF115*1000*(1-AF94)/AF96,0)</f>
        <v>7.38330364683301</v>
      </c>
      <c r="AG118" s="99" t="n">
        <f aca="false">IF(AG96&gt;0,AG115*1000*(1-AG94)/AG96,0)</f>
        <v>3.19689686596779</v>
      </c>
      <c r="AH118" s="99" t="n">
        <f aca="false">IF(AH96&gt;0,AH115*1000*(1-AH94)/AH96,0)</f>
        <v>7.38330364683301</v>
      </c>
    </row>
    <row r="119" customFormat="false" ht="15" hidden="false" customHeight="false" outlineLevel="0" collapsed="false">
      <c r="A119" s="72" t="s">
        <v>753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</row>
    <row r="120" customFormat="false" ht="15" hidden="false" customHeight="false" outlineLevel="0" collapsed="false">
      <c r="A120" s="45" t="s">
        <v>754</v>
      </c>
      <c r="B120" s="45" t="s">
        <v>61</v>
      </c>
      <c r="C120" s="88" t="n">
        <f aca="false">IF(D98&gt;0,C98/D98,0)</f>
        <v>1.57577337247285</v>
      </c>
      <c r="E120" s="88" t="n">
        <f aca="false">IF(F98&gt;0,E98/F98,0)</f>
        <v>0.922612366531486</v>
      </c>
      <c r="G120" s="88" t="n">
        <f aca="false">IF(H98&gt;0,G98/H98,0)</f>
        <v>2.0624832398559</v>
      </c>
      <c r="I120" s="88" t="n">
        <f aca="false">IF(J98&gt;0,I98/J98,0)</f>
        <v>1.70094483962595</v>
      </c>
      <c r="K120" s="88" t="n">
        <f aca="false">IF(L98&gt;0,K98/L98,0)</f>
        <v>1.34717831803754</v>
      </c>
      <c r="M120" s="88" t="n">
        <f aca="false">IF(N98&gt;0,M98/N98,0)</f>
        <v>2.25110481781836</v>
      </c>
      <c r="O120" s="88" t="n">
        <f aca="false">IF(P98&gt;0,O98/P98,0)</f>
        <v>1.48488993961429</v>
      </c>
      <c r="Q120" s="88" t="n">
        <f aca="false">IF(R98&gt;0,Q98/R98,0)</f>
        <v>1.86163876241375</v>
      </c>
      <c r="S120" s="88" t="n">
        <f aca="false">IF(T98&gt;0,S98/T98,0)</f>
        <v>1.64355155872182</v>
      </c>
      <c r="U120" s="88" t="n">
        <f aca="false">IF(V98&gt;0,U98/V98,0)</f>
        <v>1.53001323942612</v>
      </c>
      <c r="W120" s="88" t="n">
        <f aca="false">IF(X98&gt;0,W98/X98,0)</f>
        <v>1.62544191173216</v>
      </c>
      <c r="Y120" s="88" t="n">
        <f aca="false">IF(Z98&gt;0,Y98/Z98,0)</f>
        <v>1.4980460114212</v>
      </c>
      <c r="AA120" s="88" t="n">
        <f aca="false">IF(AB98&gt;0,AA98/AB98,0)</f>
        <v>1.6266414024306</v>
      </c>
      <c r="AC120" s="88" t="n">
        <f aca="false">IF(AD98&gt;0,AC98/AD98,0)</f>
        <v>2.12047227369141</v>
      </c>
      <c r="AE120" s="88" t="n">
        <f aca="false">IF(AF98&gt;0,AE98/AF98,0)</f>
        <v>2.12047227369141</v>
      </c>
      <c r="AG120" s="88" t="n">
        <f aca="false">IF(AH98&gt;0,AG98/AH98,0)</f>
        <v>2.12047227369141</v>
      </c>
    </row>
    <row r="121" customFormat="false" ht="15" hidden="false" customHeight="false" outlineLevel="0" collapsed="false">
      <c r="A121" s="45" t="s">
        <v>755</v>
      </c>
      <c r="B121" s="45" t="s">
        <v>61</v>
      </c>
      <c r="C121" s="88" t="n">
        <f aca="false">IF(AND(D105&gt;0,C105&gt;0),C105/D105,0)</f>
        <v>0.57914747392841</v>
      </c>
      <c r="E121" s="88" t="n">
        <f aca="false">IF(AND(F105&gt;0,E105&gt;0),E105/F105,0)</f>
        <v>1.15829494785682</v>
      </c>
      <c r="G121" s="88" t="n">
        <f aca="false">IF(AND(H105&gt;0,G105&gt;0),G105/H105,0)</f>
        <v>0.386098315952273</v>
      </c>
      <c r="I121" s="88" t="n">
        <f aca="false">IF(AND(J105&gt;0,I105&gt;0),I105/J105,0)</f>
        <v>0.518946529928307</v>
      </c>
      <c r="K121" s="88" t="n">
        <f aca="false">IF(AND(L105&gt;0,K105&gt;0),K105/L105,0)</f>
        <v>0.7179604081948</v>
      </c>
      <c r="M121" s="88" t="n">
        <f aca="false">IF(AND(N105&gt;0,M105&gt;0),M105/N105,0)</f>
        <v>0.405403231749887</v>
      </c>
      <c r="O121" s="88" t="n">
        <f aca="false">IF(AND(P105&gt;0,O105&gt;0),O105/P105,0)</f>
        <v>0.625808963981125</v>
      </c>
      <c r="Q121" s="88" t="n">
        <f aca="false">IF(AND(R105&gt;0,Q105&gt;0),Q105/R105,0)</f>
        <v>0.475983616184868</v>
      </c>
      <c r="S121" s="88" t="n">
        <f aca="false">IF(AND(T105&gt;0,S105&gt;0),S105/T105,0)</f>
        <v>0.553694391118125</v>
      </c>
      <c r="U121" s="88" t="n">
        <f aca="false">IF(AND(V105&gt;0,U105&gt;0),U105/V105,0)</f>
        <v>0.598204952941455</v>
      </c>
      <c r="W121" s="88" t="n">
        <f aca="false">IF(AND(X105&gt;0,W105&gt;0),W105/X105,0)</f>
        <v>0.57914747392841</v>
      </c>
      <c r="Y121" s="88" t="n">
        <f aca="false">IF(AND(Z105&gt;0,Y105&gt;0),Y105/Z105,0)</f>
        <v>0.57914747392841</v>
      </c>
      <c r="AA121" s="88" t="n">
        <f aca="false">IF(AND(AB105&gt;0,AA105&gt;0),AA105/AB105,0)</f>
        <v>0.559783079130309</v>
      </c>
      <c r="AC121" s="88" t="n">
        <f aca="false">IF(AND(AD105&gt;0,AC105&gt;0),AC105/AD105,0)</f>
        <v>0.412573503233036</v>
      </c>
      <c r="AE121" s="88" t="n">
        <f aca="false">IF(AND(AF105&gt;0,AE105&gt;0),AE105/AF105,0)</f>
        <v>0.412573503233036</v>
      </c>
      <c r="AG121" s="88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1" t="s">
        <v>756</v>
      </c>
    </row>
    <row r="2" customFormat="false" ht="15" hidden="false" customHeight="false" outlineLevel="0" collapsed="false">
      <c r="A2" s="54" t="s">
        <v>757</v>
      </c>
    </row>
    <row r="4" customFormat="false" ht="15" hidden="false" customHeight="false" outlineLevel="0" collapsed="false">
      <c r="A4" s="9" t="s">
        <v>122</v>
      </c>
      <c r="C4" s="62" t="str">
        <f aca="false">DC_Cost!C4</f>
        <v>Hopper H100</v>
      </c>
      <c r="D4" s="62" t="str">
        <f aca="false">DC_Cost!D4</f>
        <v>Hopper H100</v>
      </c>
      <c r="E4" s="62" t="str">
        <f aca="false">DC_Cost!E4</f>
        <v>Hopper H100</v>
      </c>
      <c r="F4" s="62" t="str">
        <f aca="false">DC_Cost!F4</f>
        <v>GB200 NVL72</v>
      </c>
      <c r="G4" s="62" t="str">
        <f aca="false">DC_Cost!G4</f>
        <v>GB200 NVL72</v>
      </c>
      <c r="H4" s="62" t="str">
        <f aca="false">DC_Cost!H4</f>
        <v>GB200 NVL72</v>
      </c>
      <c r="I4" s="62" t="str">
        <f aca="false">DC_Cost!I4</f>
        <v>GB300 NVL72</v>
      </c>
      <c r="J4" s="62" t="str">
        <f aca="false">DC_Cost!J4</f>
        <v>GB300 NVL72</v>
      </c>
      <c r="K4" s="62" t="str">
        <f aca="false">DC_Cost!K4</f>
        <v>GB300 NVL72</v>
      </c>
      <c r="L4" s="62" t="str">
        <f aca="false">DC_Cost!L4</f>
        <v>VR200 NVL72</v>
      </c>
      <c r="M4" s="62" t="str">
        <f aca="false">DC_Cost!M4</f>
        <v>VR200 NVL72</v>
      </c>
      <c r="N4" s="62" t="str">
        <f aca="false">DC_Cost!N4</f>
        <v>VR200 NVL72</v>
      </c>
      <c r="O4" s="62" t="str">
        <f aca="false">DC_Cost!O4</f>
        <v>Rubin Ultra NVL576</v>
      </c>
      <c r="P4" s="62" t="str">
        <f aca="false">DC_Cost!P4</f>
        <v>Rubin Ultra NVL576</v>
      </c>
      <c r="Q4" s="62" t="str">
        <f aca="false">DC_Cost!Q4</f>
        <v>Rubin Ultra NVL576</v>
      </c>
    </row>
    <row r="5" customFormat="false" ht="15" hidden="false" customHeight="false" outlineLevel="0" collapsed="false">
      <c r="A5" s="9" t="s">
        <v>22</v>
      </c>
      <c r="C5" s="62" t="str">
        <f aca="false">DC_Cost!C5</f>
        <v>低成本</v>
      </c>
      <c r="D5" s="62" t="str">
        <f aca="false">DC_Cost!D5</f>
        <v>基準</v>
      </c>
      <c r="E5" s="62" t="str">
        <f aca="false">DC_Cost!E5</f>
        <v>高成本</v>
      </c>
      <c r="F5" s="62" t="str">
        <f aca="false">DC_Cost!F5</f>
        <v>低成本</v>
      </c>
      <c r="G5" s="62" t="str">
        <f aca="false">DC_Cost!G5</f>
        <v>基準</v>
      </c>
      <c r="H5" s="62" t="str">
        <f aca="false">DC_Cost!H5</f>
        <v>高成本</v>
      </c>
      <c r="I5" s="62" t="str">
        <f aca="false">DC_Cost!I5</f>
        <v>低成本</v>
      </c>
      <c r="J5" s="62" t="str">
        <f aca="false">DC_Cost!J5</f>
        <v>基準</v>
      </c>
      <c r="K5" s="62" t="str">
        <f aca="false">DC_Cost!K5</f>
        <v>高成本</v>
      </c>
      <c r="L5" s="62" t="str">
        <f aca="false">DC_Cost!L5</f>
        <v>低成本</v>
      </c>
      <c r="M5" s="62" t="str">
        <f aca="false">DC_Cost!M5</f>
        <v>基準</v>
      </c>
      <c r="N5" s="62" t="str">
        <f aca="false">DC_Cost!N5</f>
        <v>高成本</v>
      </c>
      <c r="O5" s="62" t="str">
        <f aca="false">DC_Cost!O5</f>
        <v>低成本</v>
      </c>
      <c r="P5" s="62" t="str">
        <f aca="false">DC_Cost!P5</f>
        <v>基準</v>
      </c>
      <c r="Q5" s="62" t="str">
        <f aca="false">DC_Cost!Q5</f>
        <v>高成本</v>
      </c>
    </row>
    <row r="6" customFormat="false" ht="15" hidden="false" customHeight="false" outlineLevel="0" collapsed="false">
      <c r="A6" s="9" t="s">
        <v>368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49" t="s">
        <v>758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customFormat="false" ht="15" hidden="false" customHeight="false" outlineLevel="0" collapsed="false">
      <c r="A8" s="44" t="s">
        <v>759</v>
      </c>
      <c r="B8" s="45" t="s">
        <v>760</v>
      </c>
      <c r="C8" s="77" t="n">
        <f aca="false">DC_Cost!C58</f>
        <v>1.11286669150028</v>
      </c>
      <c r="D8" s="77" t="n">
        <f aca="false">DC_Cost!D58</f>
        <v>1.60502925637165</v>
      </c>
      <c r="E8" s="77" t="n">
        <f aca="false">DC_Cost!E58</f>
        <v>2.76720095633376</v>
      </c>
      <c r="F8" s="77" t="n">
        <f aca="false">DC_Cost!F58</f>
        <v>1.54359016643037</v>
      </c>
      <c r="G8" s="77" t="n">
        <f aca="false">DC_Cost!G58</f>
        <v>2.07676472784428</v>
      </c>
      <c r="H8" s="77" t="n">
        <f aca="false">DC_Cost!H58</f>
        <v>3.37961397142862</v>
      </c>
      <c r="I8" s="77" t="n">
        <f aca="false">DC_Cost!I58</f>
        <v>2.04424655562441</v>
      </c>
      <c r="J8" s="77" t="n">
        <f aca="false">DC_Cost!J58</f>
        <v>2.98751288214055</v>
      </c>
      <c r="K8" s="77" t="n">
        <f aca="false">DC_Cost!K58</f>
        <v>5.6029441686335</v>
      </c>
      <c r="L8" s="77" t="n">
        <f aca="false">DC_Cost!L58</f>
        <v>3.41070829238845</v>
      </c>
      <c r="M8" s="77" t="n">
        <f aca="false">DC_Cost!M58</f>
        <v>4.71670281161092</v>
      </c>
      <c r="N8" s="77" t="n">
        <f aca="false">DC_Cost!N58</f>
        <v>8.09104040200768</v>
      </c>
      <c r="O8" s="77" t="n">
        <f aca="false">DC_Cost!O58</f>
        <v>5.63852017134344</v>
      </c>
      <c r="P8" s="77" t="n">
        <f aca="false">DC_Cost!P58</f>
        <v>8.6706876752155</v>
      </c>
      <c r="Q8" s="77" t="n">
        <f aca="false">DC_Cost!Q58</f>
        <v>15.9170129511363</v>
      </c>
    </row>
    <row r="9" customFormat="false" ht="15" hidden="false" customHeight="false" outlineLevel="0" collapsed="false">
      <c r="A9" s="44" t="s">
        <v>761</v>
      </c>
      <c r="B9" s="45" t="s">
        <v>760</v>
      </c>
      <c r="C9" s="77" t="n">
        <f aca="false">DC_Cost!C57</f>
        <v>0.858328487231628</v>
      </c>
      <c r="D9" s="77" t="n">
        <f aca="false">DC_Cost!D57</f>
        <v>1.19184547960247</v>
      </c>
      <c r="E9" s="77" t="n">
        <f aca="false">DC_Cost!E57</f>
        <v>2.058675041473</v>
      </c>
      <c r="F9" s="77" t="n">
        <f aca="false">DC_Cost!F57</f>
        <v>1.19000660844732</v>
      </c>
      <c r="G9" s="77" t="n">
        <f aca="false">DC_Cost!G57</f>
        <v>1.53851503181567</v>
      </c>
      <c r="H9" s="77" t="n">
        <f aca="false">DC_Cost!H57</f>
        <v>2.49778765005716</v>
      </c>
      <c r="I9" s="77" t="n">
        <f aca="false">DC_Cost!I57</f>
        <v>1.5850032907665</v>
      </c>
      <c r="J9" s="77" t="n">
        <f aca="false">DC_Cost!J57</f>
        <v>2.23024901025153</v>
      </c>
      <c r="K9" s="77" t="n">
        <f aca="false">DC_Cost!K57</f>
        <v>4.21566720031043</v>
      </c>
      <c r="L9" s="77" t="n">
        <f aca="false">DC_Cost!L57</f>
        <v>2.64488206576388</v>
      </c>
      <c r="M9" s="77" t="n">
        <f aca="false">DC_Cost!M57</f>
        <v>3.51747354574866</v>
      </c>
      <c r="N9" s="77" t="n">
        <f aca="false">DC_Cost!N57</f>
        <v>6.05995439820971</v>
      </c>
      <c r="O9" s="77" t="n">
        <f aca="false">DC_Cost!O57</f>
        <v>4.39178072269974</v>
      </c>
      <c r="P9" s="77" t="n">
        <f aca="false">DC_Cost!P57</f>
        <v>6.50608885234023</v>
      </c>
      <c r="Q9" s="77" t="n">
        <f aca="false">DC_Cost!Q57</f>
        <v>12.0607477651595</v>
      </c>
    </row>
    <row r="10" customFormat="false" ht="15" hidden="false" customHeight="false" outlineLevel="0" collapsed="false">
      <c r="A10" s="44" t="s">
        <v>762</v>
      </c>
      <c r="B10" s="45" t="s">
        <v>57</v>
      </c>
      <c r="C10" s="81" t="n">
        <f aca="false">Serving!$C$17</f>
        <v>0.6</v>
      </c>
      <c r="D10" s="81" t="n">
        <f aca="false">Serving!$C$17</f>
        <v>0.6</v>
      </c>
      <c r="E10" s="81" t="n">
        <f aca="false">Serving!$C$17</f>
        <v>0.6</v>
      </c>
      <c r="F10" s="81" t="n">
        <f aca="false">Serving!$C$17</f>
        <v>0.6</v>
      </c>
      <c r="G10" s="81" t="n">
        <f aca="false">Serving!$C$17</f>
        <v>0.6</v>
      </c>
      <c r="H10" s="81" t="n">
        <f aca="false">Serving!$C$17</f>
        <v>0.6</v>
      </c>
      <c r="I10" s="81" t="n">
        <f aca="false">Serving!$C$17</f>
        <v>0.6</v>
      </c>
      <c r="J10" s="81" t="n">
        <f aca="false">Serving!$C$17</f>
        <v>0.6</v>
      </c>
      <c r="K10" s="81" t="n">
        <f aca="false">Serving!$C$17</f>
        <v>0.6</v>
      </c>
      <c r="L10" s="81" t="n">
        <f aca="false">Serving!$C$17</f>
        <v>0.6</v>
      </c>
      <c r="M10" s="81" t="n">
        <f aca="false">Serving!$C$17</f>
        <v>0.6</v>
      </c>
      <c r="N10" s="81" t="n">
        <f aca="false">Serving!$C$17</f>
        <v>0.6</v>
      </c>
      <c r="O10" s="81" t="n">
        <f aca="false">Serving!$C$17</f>
        <v>0.6</v>
      </c>
      <c r="P10" s="81" t="n">
        <f aca="false">Serving!$C$17</f>
        <v>0.6</v>
      </c>
      <c r="Q10" s="81" t="n">
        <f aca="false">Serving!$C$17</f>
        <v>0.6</v>
      </c>
    </row>
    <row r="12" customFormat="false" ht="15" hidden="false" customHeight="false" outlineLevel="0" collapsed="false">
      <c r="A12" s="72" t="s">
        <v>204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customFormat="false" ht="15" hidden="false" customHeight="false" outlineLevel="0" collapsed="false">
      <c r="A13" s="45" t="s">
        <v>763</v>
      </c>
      <c r="B13" s="45" t="s">
        <v>701</v>
      </c>
      <c r="C13" s="80" t="n">
        <f aca="false">INDEX(Perf!$C$101:$Q$101,3*(C$6-1)+1)</f>
        <v>127.989261539498</v>
      </c>
      <c r="D13" s="80" t="n">
        <f aca="false">INDEX(Perf!$C$101:$Q$101,3*(D$6-1)+1)</f>
        <v>127.989261539498</v>
      </c>
      <c r="E13" s="80" t="n">
        <f aca="false">INDEX(Perf!$C$101:$Q$101,3*(E$6-1)+1)</f>
        <v>127.989261539498</v>
      </c>
      <c r="F13" s="80" t="n">
        <f aca="false">INDEX(Perf!$C$101:$Q$101,3*(F$6-1)+1)</f>
        <v>12.6645374293333</v>
      </c>
      <c r="G13" s="80" t="n">
        <f aca="false">INDEX(Perf!$C$101:$Q$101,3*(G$6-1)+1)</f>
        <v>12.6645374293333</v>
      </c>
      <c r="H13" s="80" t="n">
        <f aca="false">INDEX(Perf!$C$101:$Q$101,3*(H$6-1)+1)</f>
        <v>12.6645374293333</v>
      </c>
      <c r="I13" s="80" t="n">
        <f aca="false">INDEX(Perf!$C$101:$Q$101,3*(I$6-1)+1)</f>
        <v>8.44302495288889</v>
      </c>
      <c r="J13" s="80" t="n">
        <f aca="false">INDEX(Perf!$C$101:$Q$101,3*(J$6-1)+1)</f>
        <v>8.44302495288889</v>
      </c>
      <c r="K13" s="80" t="n">
        <f aca="false">INDEX(Perf!$C$101:$Q$101,3*(K$6-1)+1)</f>
        <v>8.44302495288889</v>
      </c>
      <c r="L13" s="80" t="n">
        <f aca="false">INDEX(Perf!$C$101:$Q$101,3*(L$6-1)+1)</f>
        <v>3.61843926552381</v>
      </c>
      <c r="M13" s="80" t="n">
        <f aca="false">INDEX(Perf!$C$101:$Q$101,3*(M$6-1)+1)</f>
        <v>3.61843926552381</v>
      </c>
      <c r="N13" s="80" t="n">
        <f aca="false">INDEX(Perf!$C$101:$Q$101,3*(N$6-1)+1)</f>
        <v>3.61843926552381</v>
      </c>
      <c r="O13" s="80" t="n">
        <f aca="false">INDEX(Perf!$C$101:$Q$101,3*(O$6-1)+1)</f>
        <v>1.73486814100457</v>
      </c>
      <c r="P13" s="80" t="n">
        <f aca="false">INDEX(Perf!$C$101:$Q$101,3*(P$6-1)+1)</f>
        <v>1.73486814100457</v>
      </c>
      <c r="Q13" s="80" t="n">
        <f aca="false">INDEX(Perf!$C$101:$Q$101,3*(Q$6-1)+1)</f>
        <v>1.73486814100457</v>
      </c>
    </row>
    <row r="14" customFormat="false" ht="15" hidden="false" customHeight="false" outlineLevel="0" collapsed="false">
      <c r="A14" s="45" t="s">
        <v>764</v>
      </c>
      <c r="B14" s="45" t="s">
        <v>701</v>
      </c>
      <c r="C14" s="75" t="n">
        <f aca="false">INDEX(Perf!$C$102:$Q$102,3*(C$6-1)+1)</f>
        <v>0.02795</v>
      </c>
      <c r="D14" s="75" t="n">
        <f aca="false">INDEX(Perf!$C$102:$Q$102,3*(D$6-1)+1)</f>
        <v>0.02795</v>
      </c>
      <c r="E14" s="75" t="n">
        <f aca="false">INDEX(Perf!$C$102:$Q$102,3*(E$6-1)+1)</f>
        <v>0.02795</v>
      </c>
      <c r="F14" s="75" t="n">
        <f aca="false">INDEX(Perf!$C$102:$Q$102,3*(F$6-1)+1)</f>
        <v>0.02795</v>
      </c>
      <c r="G14" s="75" t="n">
        <f aca="false">INDEX(Perf!$C$102:$Q$102,3*(G$6-1)+1)</f>
        <v>0.02795</v>
      </c>
      <c r="H14" s="75" t="n">
        <f aca="false">INDEX(Perf!$C$102:$Q$102,3*(H$6-1)+1)</f>
        <v>0.02795</v>
      </c>
      <c r="I14" s="75" t="n">
        <f aca="false">INDEX(Perf!$C$102:$Q$102,3*(I$6-1)+1)</f>
        <v>0.02795</v>
      </c>
      <c r="J14" s="75" t="n">
        <f aca="false">INDEX(Perf!$C$102:$Q$102,3*(J$6-1)+1)</f>
        <v>0.02795</v>
      </c>
      <c r="K14" s="75" t="n">
        <f aca="false">INDEX(Perf!$C$102:$Q$102,3*(K$6-1)+1)</f>
        <v>0.02795</v>
      </c>
      <c r="L14" s="75" t="n">
        <f aca="false">INDEX(Perf!$C$102:$Q$102,3*(L$6-1)+1)</f>
        <v>0.02795</v>
      </c>
      <c r="M14" s="75" t="n">
        <f aca="false">INDEX(Perf!$C$102:$Q$102,3*(M$6-1)+1)</f>
        <v>0.02795</v>
      </c>
      <c r="N14" s="75" t="n">
        <f aca="false">INDEX(Perf!$C$102:$Q$102,3*(N$6-1)+1)</f>
        <v>0.02795</v>
      </c>
      <c r="O14" s="75" t="n">
        <f aca="false">INDEX(Perf!$C$102:$Q$102,3*(O$6-1)+1)</f>
        <v>0.02795</v>
      </c>
      <c r="P14" s="75" t="n">
        <f aca="false">INDEX(Perf!$C$102:$Q$102,3*(P$6-1)+1)</f>
        <v>0.02795</v>
      </c>
      <c r="Q14" s="75" t="n">
        <f aca="false">INDEX(Perf!$C$102:$Q$102,3*(Q$6-1)+1)</f>
        <v>0.02795</v>
      </c>
    </row>
    <row r="15" customFormat="false" ht="15" hidden="false" customHeight="false" outlineLevel="0" collapsed="false">
      <c r="A15" s="45" t="s">
        <v>765</v>
      </c>
      <c r="B15" s="45" t="s">
        <v>701</v>
      </c>
      <c r="C15" s="80" t="n">
        <f aca="false">INDEX(Perf!$C$103:$Q$103,3*(C$6-1)+1)</f>
        <v>1679.36126872772</v>
      </c>
      <c r="D15" s="80" t="n">
        <f aca="false">INDEX(Perf!$C$103:$Q$103,3*(D$6-1)+1)</f>
        <v>1679.36126872772</v>
      </c>
      <c r="E15" s="80" t="n">
        <f aca="false">INDEX(Perf!$C$103:$Q$103,3*(E$6-1)+1)</f>
        <v>1679.36126872772</v>
      </c>
      <c r="F15" s="80" t="n">
        <f aca="false">INDEX(Perf!$C$103:$Q$103,3*(F$6-1)+1)</f>
        <v>285.736720044291</v>
      </c>
      <c r="G15" s="80" t="n">
        <f aca="false">INDEX(Perf!$C$103:$Q$103,3*(G$6-1)+1)</f>
        <v>285.736720044291</v>
      </c>
      <c r="H15" s="80" t="n">
        <f aca="false">INDEX(Perf!$C$103:$Q$103,3*(H$6-1)+1)</f>
        <v>285.736720044291</v>
      </c>
      <c r="I15" s="80" t="n">
        <f aca="false">INDEX(Perf!$C$103:$Q$103,3*(I$6-1)+1)</f>
        <v>190.491146696194</v>
      </c>
      <c r="J15" s="80" t="n">
        <f aca="false">INDEX(Perf!$C$103:$Q$103,3*(J$6-1)+1)</f>
        <v>190.491146696194</v>
      </c>
      <c r="K15" s="80" t="n">
        <f aca="false">INDEX(Perf!$C$103:$Q$103,3*(K$6-1)+1)</f>
        <v>190.491146696194</v>
      </c>
      <c r="L15" s="80" t="n">
        <f aca="false">INDEX(Perf!$C$103:$Q$103,3*(L$6-1)+1)</f>
        <v>76.5928924791547</v>
      </c>
      <c r="M15" s="80" t="n">
        <f aca="false">INDEX(Perf!$C$103:$Q$103,3*(M$6-1)+1)</f>
        <v>76.5928924791547</v>
      </c>
      <c r="N15" s="80" t="n">
        <f aca="false">INDEX(Perf!$C$103:$Q$103,3*(N$6-1)+1)</f>
        <v>76.5928924791547</v>
      </c>
      <c r="O15" s="80" t="n">
        <f aca="false">INDEX(Perf!$C$103:$Q$103,3*(O$6-1)+1)</f>
        <v>36.1156921495377</v>
      </c>
      <c r="P15" s="80" t="n">
        <f aca="false">INDEX(Perf!$C$103:$Q$103,3*(P$6-1)+1)</f>
        <v>36.1156921495377</v>
      </c>
      <c r="Q15" s="80" t="n">
        <f aca="false">INDEX(Perf!$C$103:$Q$103,3*(Q$6-1)+1)</f>
        <v>36.1156921495377</v>
      </c>
    </row>
    <row r="16" customFormat="false" ht="15" hidden="false" customHeight="false" outlineLevel="0" collapsed="false">
      <c r="A16" s="44" t="s">
        <v>766</v>
      </c>
      <c r="B16" s="45" t="s">
        <v>715</v>
      </c>
      <c r="C16" s="109" t="n">
        <f aca="false">C$8/3600*C13</f>
        <v>0.0395652738991736</v>
      </c>
      <c r="D16" s="109" t="n">
        <f aca="false">D$8/3600*D13</f>
        <v>0.0570629192423047</v>
      </c>
      <c r="E16" s="109" t="n">
        <f aca="false">E$8/3600*E13</f>
        <v>0.0983811130368197</v>
      </c>
      <c r="F16" s="109" t="n">
        <f aca="false">F$8/3600*F13</f>
        <v>0.00543023762175232</v>
      </c>
      <c r="G16" s="109" t="n">
        <f aca="false">G$8/3600*G13</f>
        <v>0.00730590684102865</v>
      </c>
      <c r="H16" s="109" t="n">
        <f aca="false">H$8/3600*H13</f>
        <v>0.0118892354549599</v>
      </c>
      <c r="I16" s="109" t="n">
        <f aca="false">I$8/3600*I13</f>
        <v>0.00479434018860947</v>
      </c>
      <c r="J16" s="109" t="n">
        <f aca="false">J$8/3600*J13</f>
        <v>0.00700656828083046</v>
      </c>
      <c r="K16" s="109" t="n">
        <f aca="false">K$8/3600*K13</f>
        <v>0.0131404992848378</v>
      </c>
      <c r="L16" s="109" t="n">
        <f aca="false">L$8/3600*L13</f>
        <v>0.00342817800234057</v>
      </c>
      <c r="M16" s="109" t="n">
        <f aca="false">M$8/3600*M13</f>
        <v>0.00474086184926097</v>
      </c>
      <c r="N16" s="109" t="n">
        <f aca="false">N$8/3600*N13</f>
        <v>0.00813248285821226</v>
      </c>
      <c r="O16" s="109" t="n">
        <f aca="false">O$8/3600*O13</f>
        <v>0.00271724694657648</v>
      </c>
      <c r="P16" s="109" t="n">
        <f aca="false">P$8/3600*P13</f>
        <v>0.0041784721689812</v>
      </c>
      <c r="Q16" s="109" t="n">
        <f aca="false">Q$8/3600*Q13</f>
        <v>0.00767053296357873</v>
      </c>
    </row>
    <row r="17" customFormat="false" ht="15" hidden="false" customHeight="false" outlineLevel="0" collapsed="false">
      <c r="A17" s="44" t="s">
        <v>767</v>
      </c>
      <c r="B17" s="45" t="s">
        <v>715</v>
      </c>
      <c r="C17" s="110" t="n">
        <f aca="false">C$8/3600*C14</f>
        <v>8.64017334095354E-006</v>
      </c>
      <c r="D17" s="110" t="n">
        <f aca="false">D$8/3600*D14</f>
        <v>1.24612688098854E-005</v>
      </c>
      <c r="E17" s="110" t="n">
        <f aca="false">E$8/3600*E14</f>
        <v>2.14842407582024E-005</v>
      </c>
      <c r="F17" s="110" t="n">
        <f aca="false">F$8/3600*F14</f>
        <v>1.19842625421469E-005</v>
      </c>
      <c r="G17" s="110" t="n">
        <f aca="false">G$8/3600*G14</f>
        <v>1.61237705953466E-005</v>
      </c>
      <c r="H17" s="110" t="n">
        <f aca="false">H$8/3600*H14</f>
        <v>2.62389473615083E-005</v>
      </c>
      <c r="I17" s="110" t="n">
        <f aca="false">I$8/3600*I14</f>
        <v>1.58713031193618E-005</v>
      </c>
      <c r="J17" s="110" t="n">
        <f aca="false">J$8/3600*J14</f>
        <v>2.31947180710634E-005</v>
      </c>
      <c r="K17" s="110" t="n">
        <f aca="false">K$8/3600*K14</f>
        <v>4.35006359759184E-005</v>
      </c>
      <c r="L17" s="110" t="n">
        <f aca="false">L$8/3600*L14</f>
        <v>2.64803602145159E-005</v>
      </c>
      <c r="M17" s="110" t="n">
        <f aca="false">M$8/3600*M14</f>
        <v>3.6619956551257E-005</v>
      </c>
      <c r="N17" s="110" t="n">
        <f aca="false">N$8/3600*N14</f>
        <v>6.28179386766985E-005</v>
      </c>
      <c r="O17" s="110" t="n">
        <f aca="false">O$8/3600*O14</f>
        <v>4.37768441080692E-005</v>
      </c>
      <c r="P17" s="110" t="n">
        <f aca="false">P$8/3600*P14</f>
        <v>6.73182557006314E-005</v>
      </c>
      <c r="Q17" s="110" t="n">
        <f aca="false">Q$8/3600*Q14</f>
        <v>0.000123577919995628</v>
      </c>
    </row>
    <row r="18" customFormat="false" ht="15" hidden="false" customHeight="false" outlineLevel="0" collapsed="false">
      <c r="A18" s="45" t="s">
        <v>768</v>
      </c>
      <c r="B18" s="45" t="s">
        <v>715</v>
      </c>
      <c r="C18" s="109" t="n">
        <f aca="false">IF(C15&gt;0,C$8/3600*C15,"SLO 不可達")</f>
        <v>0.519140338600757</v>
      </c>
      <c r="D18" s="109" t="n">
        <f aca="false">IF(D15&gt;0,D$8/3600*D15,"SLO 不可達")</f>
        <v>0.748728880090389</v>
      </c>
      <c r="E18" s="109" t="n">
        <f aca="false">IF(E15&gt;0,E$8/3600*E15,"SLO 不可達")</f>
        <v>1.29086947468145</v>
      </c>
      <c r="F18" s="109" t="n">
        <f aca="false">IF(F15&gt;0,F$8/3600*F15,"SLO 不可達")</f>
        <v>0.122516775346788</v>
      </c>
      <c r="G18" s="109" t="n">
        <f aca="false">IF(G15&gt;0,G$8/3600*G15,"SLO 不可達")</f>
        <v>0.164835539343861</v>
      </c>
      <c r="H18" s="109" t="n">
        <f aca="false">IF(H15&gt;0,H$8/3600*H15,"SLO 不可達")</f>
        <v>0.268244392003298</v>
      </c>
      <c r="I18" s="109" t="n">
        <f aca="false">IF(I15&gt;0,I$8/3600*I15,"SLO 不可達")</f>
        <v>0.108169686252955</v>
      </c>
      <c r="J18" s="109" t="n">
        <f aca="false">IF(J15&gt;0,J$8/3600*J15,"SLO 不可達")</f>
        <v>0.15808187630239</v>
      </c>
      <c r="K18" s="109" t="n">
        <f aca="false">IF(K15&gt;0,K$8/3600*K15,"SLO 不可達")</f>
        <v>0.296475349877152</v>
      </c>
      <c r="L18" s="109" t="n">
        <f aca="false">IF(L15&gt;0,L$8/3600*L15,"SLO 不可達")</f>
        <v>0.0725655593101862</v>
      </c>
      <c r="M18" s="109" t="n">
        <f aca="false">IF(M15&gt;0,M$8/3600*M15,"SLO 不可達")</f>
        <v>0.1003516420294</v>
      </c>
      <c r="N18" s="109" t="n">
        <f aca="false">IF(N15&gt;0,N$8/3600*N15,"SLO 不可達")</f>
        <v>0.172143385432075</v>
      </c>
      <c r="O18" s="109" t="n">
        <f aca="false">IF(O15&gt;0,O$8/3600*O15,"SLO 不可達")</f>
        <v>0.0565664051908884</v>
      </c>
      <c r="P18" s="109" t="n">
        <f aca="false">IF(P15&gt;0,P$8/3600*P15,"SLO 不可達")</f>
        <v>0.0869855241119093</v>
      </c>
      <c r="Q18" s="109" t="n">
        <f aca="false">IF(Q15&gt;0,Q$8/3600*Q15,"SLO 不可達")</f>
        <v>0.159681649912067</v>
      </c>
    </row>
    <row r="19" customFormat="false" ht="15" hidden="false" customHeight="false" outlineLevel="0" collapsed="false">
      <c r="A19" s="44" t="s">
        <v>769</v>
      </c>
      <c r="B19" s="45" t="s">
        <v>715</v>
      </c>
      <c r="C19" s="100" t="n">
        <f aca="false">C16/C$10</f>
        <v>0.0659421231652893</v>
      </c>
      <c r="D19" s="100" t="n">
        <f aca="false">D16/D$10</f>
        <v>0.0951048654038412</v>
      </c>
      <c r="E19" s="100" t="n">
        <f aca="false">E16/E$10</f>
        <v>0.163968521728033</v>
      </c>
      <c r="F19" s="100" t="n">
        <f aca="false">F16/F$10</f>
        <v>0.00905039603625387</v>
      </c>
      <c r="G19" s="100" t="n">
        <f aca="false">G16/G$10</f>
        <v>0.0121765114017144</v>
      </c>
      <c r="H19" s="100" t="n">
        <f aca="false">H16/H$10</f>
        <v>0.0198153924249331</v>
      </c>
      <c r="I19" s="100" t="n">
        <f aca="false">I16/I$10</f>
        <v>0.00799056698101578</v>
      </c>
      <c r="J19" s="100" t="n">
        <f aca="false">J16/J$10</f>
        <v>0.0116776138013841</v>
      </c>
      <c r="K19" s="100" t="n">
        <f aca="false">K16/K$10</f>
        <v>0.0219008321413963</v>
      </c>
      <c r="L19" s="100" t="n">
        <f aca="false">L16/L$10</f>
        <v>0.00571363000390095</v>
      </c>
      <c r="M19" s="100" t="n">
        <f aca="false">M16/M$10</f>
        <v>0.00790143641543495</v>
      </c>
      <c r="N19" s="100" t="n">
        <f aca="false">N16/N$10</f>
        <v>0.0135541380970204</v>
      </c>
      <c r="O19" s="100" t="n">
        <f aca="false">O16/O$10</f>
        <v>0.00452874491096081</v>
      </c>
      <c r="P19" s="100" t="n">
        <f aca="false">P16/P$10</f>
        <v>0.00696412028163533</v>
      </c>
      <c r="Q19" s="100" t="n">
        <f aca="false">Q16/Q$10</f>
        <v>0.0127842216059646</v>
      </c>
    </row>
    <row r="20" customFormat="false" ht="15" hidden="false" customHeight="false" outlineLevel="0" collapsed="false">
      <c r="A20" s="44" t="s">
        <v>770</v>
      </c>
      <c r="B20" s="45" t="s">
        <v>715</v>
      </c>
      <c r="C20" s="110" t="n">
        <f aca="false">C17/C$10</f>
        <v>1.44002889015892E-005</v>
      </c>
      <c r="D20" s="110" t="n">
        <f aca="false">D17/D$10</f>
        <v>2.07687813498091E-005</v>
      </c>
      <c r="E20" s="110" t="n">
        <f aca="false">E17/E$10</f>
        <v>3.58070679303373E-005</v>
      </c>
      <c r="F20" s="110" t="n">
        <f aca="false">F17/F$10</f>
        <v>1.99737709035782E-005</v>
      </c>
      <c r="G20" s="110" t="n">
        <f aca="false">G17/G$10</f>
        <v>2.68729509922443E-005</v>
      </c>
      <c r="H20" s="110" t="n">
        <f aca="false">H17/H$10</f>
        <v>4.37315789358471E-005</v>
      </c>
      <c r="I20" s="110" t="n">
        <f aca="false">I17/I$10</f>
        <v>2.64521718656029E-005</v>
      </c>
      <c r="J20" s="110" t="n">
        <f aca="false">J17/J$10</f>
        <v>3.86578634517724E-005</v>
      </c>
      <c r="K20" s="110" t="n">
        <f aca="false">K17/K$10</f>
        <v>7.2501059959864E-005</v>
      </c>
      <c r="L20" s="110" t="n">
        <f aca="false">L17/L$10</f>
        <v>4.41339336908599E-005</v>
      </c>
      <c r="M20" s="110" t="n">
        <f aca="false">M17/M$10</f>
        <v>6.10332609187616E-005</v>
      </c>
      <c r="N20" s="110" t="n">
        <f aca="false">N17/N$10</f>
        <v>0.000104696564461164</v>
      </c>
      <c r="O20" s="110" t="n">
        <f aca="false">O17/O$10</f>
        <v>7.2961406846782E-005</v>
      </c>
      <c r="P20" s="110" t="n">
        <f aca="false">P17/P$10</f>
        <v>0.000112197092834386</v>
      </c>
      <c r="Q20" s="110" t="n">
        <f aca="false">Q17/Q$10</f>
        <v>0.000205963199992713</v>
      </c>
    </row>
    <row r="21" customFormat="false" ht="15" hidden="false" customHeight="false" outlineLevel="0" collapsed="false">
      <c r="A21" s="45" t="s">
        <v>771</v>
      </c>
      <c r="B21" s="45" t="s">
        <v>715</v>
      </c>
      <c r="C21" s="109" t="n">
        <f aca="false">IF(ISNUMBER(C18),C18/C$10,C18)</f>
        <v>0.865233897667928</v>
      </c>
      <c r="D21" s="109" t="n">
        <f aca="false">IF(ISNUMBER(D18),D18/D$10,D18)</f>
        <v>1.24788146681732</v>
      </c>
      <c r="E21" s="109" t="n">
        <f aca="false">IF(ISNUMBER(E18),E18/E$10,E18)</f>
        <v>2.15144912446908</v>
      </c>
      <c r="F21" s="109" t="n">
        <f aca="false">IF(ISNUMBER(F18),F18/F$10,F18)</f>
        <v>0.20419462557798</v>
      </c>
      <c r="G21" s="109" t="n">
        <f aca="false">IF(ISNUMBER(G18),G18/G$10,G18)</f>
        <v>0.274725898906435</v>
      </c>
      <c r="H21" s="109" t="n">
        <f aca="false">IF(ISNUMBER(H18),H18/H$10,H18)</f>
        <v>0.447073986672163</v>
      </c>
      <c r="I21" s="109" t="n">
        <f aca="false">IF(ISNUMBER(I18),I18/I$10,I18)</f>
        <v>0.180282810421592</v>
      </c>
      <c r="J21" s="109" t="n">
        <f aca="false">IF(ISNUMBER(J18),J18/J$10,J18)</f>
        <v>0.263469793837317</v>
      </c>
      <c r="K21" s="109" t="n">
        <f aca="false">IF(ISNUMBER(K18),K18/K$10,K18)</f>
        <v>0.494125583128587</v>
      </c>
      <c r="L21" s="109" t="n">
        <f aca="false">IF(ISNUMBER(L18),L18/L$10,L18)</f>
        <v>0.12094259885031</v>
      </c>
      <c r="M21" s="109" t="n">
        <f aca="false">IF(ISNUMBER(M18),M18/M$10,M18)</f>
        <v>0.167252736715667</v>
      </c>
      <c r="N21" s="109" t="n">
        <f aca="false">IF(ISNUMBER(N18),N18/N$10,N18)</f>
        <v>0.286905642386792</v>
      </c>
      <c r="O21" s="109" t="n">
        <f aca="false">IF(ISNUMBER(O18),O18/O$10,O18)</f>
        <v>0.094277341984814</v>
      </c>
      <c r="P21" s="109" t="n">
        <f aca="false">IF(ISNUMBER(P18),P18/P$10,P18)</f>
        <v>0.144975873519849</v>
      </c>
      <c r="Q21" s="109" t="n">
        <f aca="false">IF(ISNUMBER(Q18),Q18/Q$10,Q18)</f>
        <v>0.266136083186779</v>
      </c>
    </row>
    <row r="22" customFormat="false" ht="15" hidden="false" customHeight="false" outlineLevel="0" collapsed="false">
      <c r="A22" s="45" t="s">
        <v>772</v>
      </c>
      <c r="B22" s="45" t="s">
        <v>715</v>
      </c>
      <c r="C22" s="100" t="n">
        <f aca="false">IF(C15&gt;0,C$9/3600*C15,"SLO 不可達")</f>
        <v>0.400401004806236</v>
      </c>
      <c r="D22" s="100" t="n">
        <f aca="false">IF(D15&gt;0,D$9/3600*D15,"SLO 不可達")</f>
        <v>0.55598309354239</v>
      </c>
      <c r="E22" s="100" t="n">
        <f aca="false">IF(E15&gt;0,E$9/3600*E15,"SLO 不可達")</f>
        <v>0.960349758207274</v>
      </c>
      <c r="F22" s="100" t="n">
        <f aca="false">IF(F15&gt;0,F$9/3600*F15,"SLO 不可達")</f>
        <v>0.0944523847579912</v>
      </c>
      <c r="G22" s="100" t="n">
        <f aca="false">IF(G15&gt;0,G$9/3600*G15,"SLO 不可達")</f>
        <v>0.122113955258291</v>
      </c>
      <c r="H22" s="100" t="n">
        <f aca="false">IF(H15&gt;0,H$9/3600*H15,"SLO 不可達")</f>
        <v>0.198252680692909</v>
      </c>
      <c r="I22" s="100" t="n">
        <f aca="false">IF(I15&gt;0,I$9/3600*I15,"SLO 不可達")</f>
        <v>0.083869192882042</v>
      </c>
      <c r="J22" s="100" t="n">
        <f aca="false">IF(J15&gt;0,J$9/3600*J15,"SLO 不可達")</f>
        <v>0.118011858716907</v>
      </c>
      <c r="K22" s="100" t="n">
        <f aca="false">IF(K15&gt;0,K$9/3600*K15,"SLO 不可達")</f>
        <v>0.223068688632408</v>
      </c>
      <c r="L22" s="100" t="n">
        <f aca="false">IF(L15&gt;0,L$9/3600*L15,"SLO 不可達")</f>
        <v>0.0562719910230825</v>
      </c>
      <c r="M22" s="100" t="n">
        <f aca="false">IF(M15&gt;0,M$9/3600*M15,"SLO 不可達")</f>
        <v>0.0748370758577218</v>
      </c>
      <c r="N22" s="100" t="n">
        <f aca="false">IF(N15&gt;0,N$9/3600*N15,"SLO 不可達")</f>
        <v>0.128930398791849</v>
      </c>
      <c r="O22" s="100" t="n">
        <f aca="false">IF(O15&gt;0,O$9/3600*O15,"SLO 不可達")</f>
        <v>0.0440589446025828</v>
      </c>
      <c r="P22" s="100" t="n">
        <f aca="false">IF(P15&gt;0,P$9/3600*P15,"SLO 不可達")</f>
        <v>0.0652699728024053</v>
      </c>
      <c r="Q22" s="100" t="n">
        <f aca="false">IF(Q15&gt;0,Q$9/3600*Q15,"SLO 不可達")</f>
        <v>0.120995070383257</v>
      </c>
    </row>
    <row r="23" customFormat="false" ht="15" hidden="false" customHeight="false" outlineLevel="0" collapsed="false">
      <c r="A23" s="44" t="s">
        <v>773</v>
      </c>
      <c r="B23" s="45" t="s">
        <v>715</v>
      </c>
      <c r="C23" s="75" t="n">
        <f aca="false">IF(ISNUMBER(C18),(Serving!$C$23*C16+Serving!$C$24*C18)/(Serving!$C$23+Serving!$C$24),C18)</f>
        <v>0.0928513921993495</v>
      </c>
      <c r="D23" s="75" t="n">
        <f aca="false">IF(ISNUMBER(D18),(Serving!$C$23*D16+Serving!$C$24*D18)/(Serving!$C$23+Serving!$C$24),D18)</f>
        <v>0.13391469266987</v>
      </c>
      <c r="E23" s="75" t="n">
        <f aca="false">IF(ISNUMBER(E18),(Serving!$C$23*E16+Serving!$C$24*E18)/(Serving!$C$23+Serving!$C$24),E18)</f>
        <v>0.230879819886223</v>
      </c>
      <c r="F23" s="75" t="n">
        <f aca="false">IF(ISNUMBER(F18),(Serving!$C$23*F16+Serving!$C$24*F18)/(Serving!$C$23+Serving!$C$24),F18)</f>
        <v>0.0184398529245341</v>
      </c>
      <c r="G23" s="75" t="n">
        <f aca="false">IF(ISNUMBER(G18),(Serving!$C$23*G16+Serving!$C$24*G18)/(Serving!$C$23+Serving!$C$24),G18)</f>
        <v>0.0248091993413433</v>
      </c>
      <c r="H23" s="75" t="n">
        <f aca="false">IF(ISNUMBER(H18),(Serving!$C$23*H16+Serving!$C$24*H18)/(Serving!$C$23+Serving!$C$24),H18)</f>
        <v>0.0403731417381086</v>
      </c>
      <c r="I23" s="75" t="n">
        <f aca="false">IF(ISNUMBER(I18),(Serving!$C$23*I16+Serving!$C$24*I18)/(Serving!$C$23+Serving!$C$24),I18)</f>
        <v>0.0162804897513146</v>
      </c>
      <c r="J23" s="75" t="n">
        <f aca="false">IF(ISNUMBER(J18),(Serving!$C$23*J16+Serving!$C$24*J18)/(Serving!$C$23+Serving!$C$24),J18)</f>
        <v>0.0237927136165593</v>
      </c>
      <c r="K23" s="75" t="n">
        <f aca="false">IF(ISNUMBER(K18),(Serving!$C$23*K16+Serving!$C$24*K18)/(Serving!$C$23+Serving!$C$24),K18)</f>
        <v>0.0446221493506505</v>
      </c>
      <c r="L23" s="75" t="n">
        <f aca="false">IF(ISNUMBER(L18),(Serving!$C$23*L16+Serving!$C$24*L18)/(Serving!$C$23+Serving!$C$24),L18)</f>
        <v>0.0111101092587679</v>
      </c>
      <c r="M23" s="75" t="n">
        <f aca="false">IF(ISNUMBER(M18),(Serving!$C$23*M16+Serving!$C$24*M18)/(Serving!$C$23+Serving!$C$24),M18)</f>
        <v>0.0153642818692765</v>
      </c>
      <c r="N23" s="75" t="n">
        <f aca="false">IF(ISNUMBER(N18),(Serving!$C$23*N16+Serving!$C$24*N18)/(Serving!$C$23+Serving!$C$24),N18)</f>
        <v>0.0263559164775304</v>
      </c>
      <c r="O23" s="75" t="n">
        <f aca="false">IF(ISNUMBER(O18),(Serving!$C$23*O16+Serving!$C$24*O18)/(Serving!$C$23+Serving!$C$24),O18)</f>
        <v>0.00870048675150003</v>
      </c>
      <c r="P23" s="75" t="n">
        <f aca="false">IF(ISNUMBER(P18),(Serving!$C$23*P16+Serving!$C$24*P18)/(Serving!$C$23+Serving!$C$24),P18)</f>
        <v>0.0133792557181954</v>
      </c>
      <c r="Q23" s="75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72" t="s">
        <v>205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customFormat="false" ht="15" hidden="false" customHeight="false" outlineLevel="0" collapsed="false">
      <c r="A26" s="45" t="s">
        <v>763</v>
      </c>
      <c r="B26" s="45" t="s">
        <v>701</v>
      </c>
      <c r="C26" s="80" t="n">
        <f aca="false">INDEX(Perf!$C$101:$Q$101,3*(C$6-1)+2)</f>
        <v>449.074115115378</v>
      </c>
      <c r="D26" s="80" t="n">
        <f aca="false">INDEX(Perf!$C$101:$Q$101,3*(D$6-1)+2)</f>
        <v>449.074115115378</v>
      </c>
      <c r="E26" s="80" t="n">
        <f aca="false">INDEX(Perf!$C$101:$Q$101,3*(E$6-1)+2)</f>
        <v>449.074115115378</v>
      </c>
      <c r="F26" s="80" t="n">
        <f aca="false">INDEX(Perf!$C$101:$Q$101,3*(F$6-1)+2)</f>
        <v>44.4358836906667</v>
      </c>
      <c r="G26" s="80" t="n">
        <f aca="false">INDEX(Perf!$C$101:$Q$101,3*(G$6-1)+2)</f>
        <v>44.4358836906667</v>
      </c>
      <c r="H26" s="80" t="n">
        <f aca="false">INDEX(Perf!$C$101:$Q$101,3*(H$6-1)+2)</f>
        <v>44.4358836906667</v>
      </c>
      <c r="I26" s="80" t="n">
        <f aca="false">INDEX(Perf!$C$101:$Q$101,3*(I$6-1)+2)</f>
        <v>29.6239224604444</v>
      </c>
      <c r="J26" s="80" t="n">
        <f aca="false">INDEX(Perf!$C$101:$Q$101,3*(J$6-1)+2)</f>
        <v>29.6239224604444</v>
      </c>
      <c r="K26" s="80" t="n">
        <f aca="false">INDEX(Perf!$C$101:$Q$101,3*(K$6-1)+2)</f>
        <v>29.6239224604444</v>
      </c>
      <c r="L26" s="80" t="n">
        <f aca="false">INDEX(Perf!$C$101:$Q$101,3*(L$6-1)+2)</f>
        <v>12.6959667687619</v>
      </c>
      <c r="M26" s="80" t="n">
        <f aca="false">INDEX(Perf!$C$101:$Q$101,3*(M$6-1)+2)</f>
        <v>12.6959667687619</v>
      </c>
      <c r="N26" s="80" t="n">
        <f aca="false">INDEX(Perf!$C$101:$Q$101,3*(N$6-1)+2)</f>
        <v>12.6959667687619</v>
      </c>
      <c r="O26" s="80" t="n">
        <f aca="false">INDEX(Perf!$C$101:$Q$101,3*(O$6-1)+2)</f>
        <v>6.08710735488584</v>
      </c>
      <c r="P26" s="80" t="n">
        <f aca="false">INDEX(Perf!$C$101:$Q$101,3*(P$6-1)+2)</f>
        <v>6.08710735488584</v>
      </c>
      <c r="Q26" s="80" t="n">
        <f aca="false">INDEX(Perf!$C$101:$Q$101,3*(Q$6-1)+2)</f>
        <v>6.08710735488584</v>
      </c>
    </row>
    <row r="27" customFormat="false" ht="15" hidden="false" customHeight="false" outlineLevel="0" collapsed="false">
      <c r="A27" s="45" t="s">
        <v>764</v>
      </c>
      <c r="B27" s="45" t="s">
        <v>701</v>
      </c>
      <c r="C27" s="75" t="n">
        <f aca="false">INDEX(Perf!$C$102:$Q$102,3*(C$6-1)+2)</f>
        <v>0.03965</v>
      </c>
      <c r="D27" s="75" t="n">
        <f aca="false">INDEX(Perf!$C$102:$Q$102,3*(D$6-1)+2)</f>
        <v>0.03965</v>
      </c>
      <c r="E27" s="75" t="n">
        <f aca="false">INDEX(Perf!$C$102:$Q$102,3*(E$6-1)+2)</f>
        <v>0.03965</v>
      </c>
      <c r="F27" s="75" t="n">
        <f aca="false">INDEX(Perf!$C$102:$Q$102,3*(F$6-1)+2)</f>
        <v>0.03965</v>
      </c>
      <c r="G27" s="75" t="n">
        <f aca="false">INDEX(Perf!$C$102:$Q$102,3*(G$6-1)+2)</f>
        <v>0.03965</v>
      </c>
      <c r="H27" s="75" t="n">
        <f aca="false">INDEX(Perf!$C$102:$Q$102,3*(H$6-1)+2)</f>
        <v>0.03965</v>
      </c>
      <c r="I27" s="75" t="n">
        <f aca="false">INDEX(Perf!$C$102:$Q$102,3*(I$6-1)+2)</f>
        <v>0.03965</v>
      </c>
      <c r="J27" s="75" t="n">
        <f aca="false">INDEX(Perf!$C$102:$Q$102,3*(J$6-1)+2)</f>
        <v>0.03965</v>
      </c>
      <c r="K27" s="75" t="n">
        <f aca="false">INDEX(Perf!$C$102:$Q$102,3*(K$6-1)+2)</f>
        <v>0.03965</v>
      </c>
      <c r="L27" s="75" t="n">
        <f aca="false">INDEX(Perf!$C$102:$Q$102,3*(L$6-1)+2)</f>
        <v>0.03965</v>
      </c>
      <c r="M27" s="75" t="n">
        <f aca="false">INDEX(Perf!$C$102:$Q$102,3*(M$6-1)+2)</f>
        <v>0.03965</v>
      </c>
      <c r="N27" s="75" t="n">
        <f aca="false">INDEX(Perf!$C$102:$Q$102,3*(N$6-1)+2)</f>
        <v>0.03965</v>
      </c>
      <c r="O27" s="75" t="n">
        <f aca="false">INDEX(Perf!$C$102:$Q$102,3*(O$6-1)+2)</f>
        <v>0.03965</v>
      </c>
      <c r="P27" s="75" t="n">
        <f aca="false">INDEX(Perf!$C$102:$Q$102,3*(P$6-1)+2)</f>
        <v>0.03965</v>
      </c>
      <c r="Q27" s="75" t="n">
        <f aca="false">INDEX(Perf!$C$102:$Q$102,3*(Q$6-1)+2)</f>
        <v>0.03965</v>
      </c>
    </row>
    <row r="28" customFormat="false" ht="15" hidden="false" customHeight="false" outlineLevel="0" collapsed="false">
      <c r="A28" s="45" t="s">
        <v>765</v>
      </c>
      <c r="B28" s="45" t="s">
        <v>701</v>
      </c>
      <c r="C28" s="80" t="n">
        <f aca="false">INDEX(Perf!$C$103:$Q$103,3*(C$6-1)+2)</f>
        <v>5839.13719465143</v>
      </c>
      <c r="D28" s="80" t="n">
        <f aca="false">INDEX(Perf!$C$103:$Q$103,3*(D$6-1)+2)</f>
        <v>5839.13719465143</v>
      </c>
      <c r="E28" s="80" t="n">
        <f aca="false">INDEX(Perf!$C$103:$Q$103,3*(E$6-1)+2)</f>
        <v>5839.13719465143</v>
      </c>
      <c r="F28" s="80" t="n">
        <f aca="false">INDEX(Perf!$C$103:$Q$103,3*(F$6-1)+2)</f>
        <v>1006.76115783408</v>
      </c>
      <c r="G28" s="80" t="n">
        <f aca="false">INDEX(Perf!$C$103:$Q$103,3*(G$6-1)+2)</f>
        <v>1006.76115783408</v>
      </c>
      <c r="H28" s="80" t="n">
        <f aca="false">INDEX(Perf!$C$103:$Q$103,3*(H$6-1)+2)</f>
        <v>1006.76115783408</v>
      </c>
      <c r="I28" s="80" t="n">
        <f aca="false">INDEX(Perf!$C$103:$Q$103,3*(I$6-1)+2)</f>
        <v>671.174105222717</v>
      </c>
      <c r="J28" s="80" t="n">
        <f aca="false">INDEX(Perf!$C$103:$Q$103,3*(J$6-1)+2)</f>
        <v>671.174105222717</v>
      </c>
      <c r="K28" s="80" t="n">
        <f aca="false">INDEX(Perf!$C$103:$Q$103,3*(K$6-1)+2)</f>
        <v>671.174105222717</v>
      </c>
      <c r="L28" s="80" t="n">
        <f aca="false">INDEX(Perf!$C$103:$Q$103,3*(L$6-1)+2)</f>
        <v>246.204299222583</v>
      </c>
      <c r="M28" s="80" t="n">
        <f aca="false">INDEX(Perf!$C$103:$Q$103,3*(M$6-1)+2)</f>
        <v>246.204299222583</v>
      </c>
      <c r="N28" s="80" t="n">
        <f aca="false">INDEX(Perf!$C$103:$Q$103,3*(N$6-1)+2)</f>
        <v>246.204299222583</v>
      </c>
      <c r="O28" s="80" t="n">
        <f aca="false">INDEX(Perf!$C$103:$Q$103,3*(O$6-1)+2)</f>
        <v>113.276139878051</v>
      </c>
      <c r="P28" s="80" t="n">
        <f aca="false">INDEX(Perf!$C$103:$Q$103,3*(P$6-1)+2)</f>
        <v>113.276139878051</v>
      </c>
      <c r="Q28" s="80" t="n">
        <f aca="false">INDEX(Perf!$C$103:$Q$103,3*(Q$6-1)+2)</f>
        <v>113.276139878051</v>
      </c>
    </row>
    <row r="29" customFormat="false" ht="15" hidden="false" customHeight="false" outlineLevel="0" collapsed="false">
      <c r="A29" s="44" t="s">
        <v>766</v>
      </c>
      <c r="B29" s="45" t="s">
        <v>715</v>
      </c>
      <c r="C29" s="109" t="n">
        <f aca="false">C$8/3600*C26</f>
        <v>0.138822117979685</v>
      </c>
      <c r="D29" s="109" t="n">
        <f aca="false">D$8/3600*D26</f>
        <v>0.200215859177609</v>
      </c>
      <c r="E29" s="109" t="n">
        <f aca="false">E$8/3600*E26</f>
        <v>0.345188422447781</v>
      </c>
      <c r="F29" s="109" t="n">
        <f aca="false">F$8/3600*F26</f>
        <v>0.0190529980837658</v>
      </c>
      <c r="G29" s="109" t="n">
        <f aca="false">G$8/3600*G26</f>
        <v>0.0256341321942687</v>
      </c>
      <c r="H29" s="109" t="n">
        <f aca="false">H$8/3600*H26</f>
        <v>0.041715592598265</v>
      </c>
      <c r="I29" s="109" t="n">
        <f aca="false">I$8/3600*I26</f>
        <v>0.0168218337371801</v>
      </c>
      <c r="J29" s="109" t="n">
        <f aca="false">J$8/3600*J26</f>
        <v>0.0245838472139196</v>
      </c>
      <c r="K29" s="109" t="n">
        <f aca="false">K$8/3600*K26</f>
        <v>0.0461058843338328</v>
      </c>
      <c r="L29" s="109" t="n">
        <f aca="false">L$8/3600*L26</f>
        <v>0.0120283997605846</v>
      </c>
      <c r="M29" s="109" t="n">
        <f aca="false">M$8/3600*M26</f>
        <v>0.0166341950428717</v>
      </c>
      <c r="N29" s="109" t="n">
        <f aca="false">N$8/3600*N26</f>
        <v>0.0285343277968332</v>
      </c>
      <c r="O29" s="109" t="n">
        <f aca="false">O$8/3600*O26</f>
        <v>0.00953396600157135</v>
      </c>
      <c r="P29" s="109" t="n">
        <f aca="false">P$8/3600*P26</f>
        <v>0.014660946311034</v>
      </c>
      <c r="Q29" s="109" t="n">
        <f aca="false">Q$8/3600*Q26</f>
        <v>0.0269134907229653</v>
      </c>
    </row>
    <row r="30" customFormat="false" ht="15" hidden="false" customHeight="false" outlineLevel="0" collapsed="false">
      <c r="A30" s="44" t="s">
        <v>767</v>
      </c>
      <c r="B30" s="45" t="s">
        <v>715</v>
      </c>
      <c r="C30" s="110" t="n">
        <f aca="false">C$8/3600*C27</f>
        <v>1.22569900883294E-005</v>
      </c>
      <c r="D30" s="110" t="n">
        <f aca="false">D$8/3600*D27</f>
        <v>1.76776138930933E-005</v>
      </c>
      <c r="E30" s="110" t="n">
        <f aca="false">E$8/3600*E27</f>
        <v>3.04776438662871E-005</v>
      </c>
      <c r="F30" s="110" t="n">
        <f aca="false">F$8/3600*F27</f>
        <v>1.70009305830457E-005</v>
      </c>
      <c r="G30" s="110" t="n">
        <f aca="false">G$8/3600*G27</f>
        <v>2.28732559608405E-005</v>
      </c>
      <c r="H30" s="110" t="n">
        <f aca="false">H$8/3600*H27</f>
        <v>3.72226927686513E-005</v>
      </c>
      <c r="I30" s="110" t="n">
        <f aca="false">I$8/3600*I27</f>
        <v>2.25151044251411E-005</v>
      </c>
      <c r="J30" s="110" t="n">
        <f aca="false">J$8/3600*J27</f>
        <v>3.29041349380202E-005</v>
      </c>
      <c r="K30" s="110" t="n">
        <f aca="false">K$8/3600*K27</f>
        <v>6.17102045239773E-005</v>
      </c>
      <c r="L30" s="110" t="n">
        <f aca="false">L$8/3600*L27</f>
        <v>3.75651621647784E-005</v>
      </c>
      <c r="M30" s="110" t="n">
        <f aca="false">M$8/3600*M27</f>
        <v>5.19492406889925E-005</v>
      </c>
      <c r="N30" s="110" t="n">
        <f aca="false">N$8/3600*N27</f>
        <v>8.91138199832235E-005</v>
      </c>
      <c r="O30" s="110" t="n">
        <f aca="false">O$8/3600*O27</f>
        <v>6.21020346649354E-005</v>
      </c>
      <c r="P30" s="110" t="n">
        <f aca="false">P$8/3600*P27</f>
        <v>9.54979906450818E-005</v>
      </c>
      <c r="Q30" s="110" t="n">
        <f aca="false">Q$8/3600*Q27</f>
        <v>0.000175308212086821</v>
      </c>
    </row>
    <row r="31" customFormat="false" ht="15" hidden="false" customHeight="false" outlineLevel="0" collapsed="false">
      <c r="A31" s="45" t="s">
        <v>768</v>
      </c>
      <c r="B31" s="45" t="s">
        <v>715</v>
      </c>
      <c r="C31" s="109" t="n">
        <f aca="false">IF(C28&gt;0,C$8/3600*C28,"SLO 不可達")</f>
        <v>1.80505035861887</v>
      </c>
      <c r="D31" s="109" t="n">
        <f aca="false">IF(D28&gt;0,D$8/3600*D28,"SLO 不可達")</f>
        <v>2.60332945260651</v>
      </c>
      <c r="E31" s="109" t="n">
        <f aca="false">IF(E28&gt;0,E$8/3600*E28,"SLO 不可達")</f>
        <v>4.48835167477874</v>
      </c>
      <c r="F31" s="109" t="n">
        <f aca="false">IF(F28&gt;0,F$8/3600*F28,"SLO 不可達")</f>
        <v>0.431674061993538</v>
      </c>
      <c r="G31" s="109" t="n">
        <f aca="false">IF(G28&gt;0,G$8/3600*G28,"SLO 不可達")</f>
        <v>0.580779461653743</v>
      </c>
      <c r="H31" s="109" t="n">
        <f aca="false">IF(H28&gt;0,H$8/3600*H28,"SLO 不可達")</f>
        <v>0.945128909696581</v>
      </c>
      <c r="I31" s="109" t="n">
        <f aca="false">IF(I28&gt;0,I$8/3600*I28,"SLO 不可達")</f>
        <v>0.381123709118288</v>
      </c>
      <c r="J31" s="109" t="n">
        <f aca="false">IF(J28&gt;0,J$8/3600*J28,"SLO 不可達")</f>
        <v>0.556983690420006</v>
      </c>
      <c r="K31" s="109" t="n">
        <f aca="false">IF(K28&gt;0,K$8/3600*K28,"SLO 不可達")</f>
        <v>1.04459751083206</v>
      </c>
      <c r="L31" s="109" t="n">
        <f aca="false">IF(L28&gt;0,L$8/3600*L28,"SLO 不可達")</f>
        <v>0.233258623605598</v>
      </c>
      <c r="M31" s="109" t="n">
        <f aca="false">IF(M28&gt;0,M$8/3600*M28,"SLO 不可達")</f>
        <v>0.32257569732607</v>
      </c>
      <c r="N31" s="109" t="n">
        <f aca="false">IF(N28&gt;0,N$8/3600*N28,"SLO 不可達")</f>
        <v>0.553346925599419</v>
      </c>
      <c r="O31" s="109" t="n">
        <f aca="false">IF(O28&gt;0,O$8/3600*O28,"SLO 不可達")</f>
        <v>0.177419388787309</v>
      </c>
      <c r="P31" s="109" t="n">
        <f aca="false">IF(P28&gt;0,P$8/3600*P28,"SLO 不可達")</f>
        <v>0.272828341649056</v>
      </c>
      <c r="Q31" s="109" t="n">
        <f aca="false">IF(Q28&gt;0,Q$8/3600*Q28,"SLO 不可達")</f>
        <v>0.50083827374824</v>
      </c>
    </row>
    <row r="32" customFormat="false" ht="15" hidden="false" customHeight="false" outlineLevel="0" collapsed="false">
      <c r="A32" s="44" t="s">
        <v>769</v>
      </c>
      <c r="B32" s="45" t="s">
        <v>715</v>
      </c>
      <c r="C32" s="100" t="n">
        <f aca="false">C29/C$10</f>
        <v>0.231370196632808</v>
      </c>
      <c r="D32" s="100" t="n">
        <f aca="false">D29/D$10</f>
        <v>0.333693098629348</v>
      </c>
      <c r="E32" s="100" t="n">
        <f aca="false">E29/E$10</f>
        <v>0.575314037412968</v>
      </c>
      <c r="F32" s="100" t="n">
        <f aca="false">F29/F$10</f>
        <v>0.0317549968062764</v>
      </c>
      <c r="G32" s="100" t="n">
        <f aca="false">G29/G$10</f>
        <v>0.0427235536571146</v>
      </c>
      <c r="H32" s="100" t="n">
        <f aca="false">H29/H$10</f>
        <v>0.069525987663775</v>
      </c>
      <c r="I32" s="100" t="n">
        <f aca="false">I29/I$10</f>
        <v>0.0280363895619668</v>
      </c>
      <c r="J32" s="100" t="n">
        <f aca="false">J29/J$10</f>
        <v>0.040973078689866</v>
      </c>
      <c r="K32" s="100" t="n">
        <f aca="false">K29/K$10</f>
        <v>0.076843140556388</v>
      </c>
      <c r="L32" s="100" t="n">
        <f aca="false">L29/L$10</f>
        <v>0.0200473329343076</v>
      </c>
      <c r="M32" s="100" t="n">
        <f aca="false">M29/M$10</f>
        <v>0.0277236584047861</v>
      </c>
      <c r="N32" s="100" t="n">
        <f aca="false">N29/N$10</f>
        <v>0.047557212994722</v>
      </c>
      <c r="O32" s="100" t="n">
        <f aca="false">O29/O$10</f>
        <v>0.0158899433359522</v>
      </c>
      <c r="P32" s="100" t="n">
        <f aca="false">P29/P$10</f>
        <v>0.0244349105183899</v>
      </c>
      <c r="Q32" s="100" t="n">
        <f aca="false">Q29/Q$10</f>
        <v>0.0448558178716088</v>
      </c>
    </row>
    <row r="33" customFormat="false" ht="15" hidden="false" customHeight="false" outlineLevel="0" collapsed="false">
      <c r="A33" s="44" t="s">
        <v>770</v>
      </c>
      <c r="B33" s="45" t="s">
        <v>715</v>
      </c>
      <c r="C33" s="110" t="n">
        <f aca="false">C30/C$10</f>
        <v>2.04283168138824E-005</v>
      </c>
      <c r="D33" s="110" t="n">
        <f aca="false">D30/D$10</f>
        <v>2.94626898218222E-005</v>
      </c>
      <c r="E33" s="110" t="n">
        <f aca="false">E30/E$10</f>
        <v>5.07960731104785E-005</v>
      </c>
      <c r="F33" s="110" t="n">
        <f aca="false">F30/F$10</f>
        <v>2.83348843050761E-005</v>
      </c>
      <c r="G33" s="110" t="n">
        <f aca="false">G30/G$10</f>
        <v>3.81220932680674E-005</v>
      </c>
      <c r="H33" s="110" t="n">
        <f aca="false">H30/H$10</f>
        <v>6.20378212810855E-005</v>
      </c>
      <c r="I33" s="110" t="n">
        <f aca="false">I30/I$10</f>
        <v>3.75251740419018E-005</v>
      </c>
      <c r="J33" s="110" t="n">
        <f aca="false">J30/J$10</f>
        <v>5.48402248967003E-005</v>
      </c>
      <c r="K33" s="110" t="n">
        <f aca="false">K30/K$10</f>
        <v>0.000102850340873295</v>
      </c>
      <c r="L33" s="110" t="n">
        <f aca="false">L30/L$10</f>
        <v>6.2608603607964E-005</v>
      </c>
      <c r="M33" s="110" t="n">
        <f aca="false">M30/M$10</f>
        <v>8.65820678149874E-005</v>
      </c>
      <c r="N33" s="110" t="n">
        <f aca="false">N30/N$10</f>
        <v>0.000148523033305373</v>
      </c>
      <c r="O33" s="110" t="n">
        <f aca="false">O30/O$10</f>
        <v>0.000103503391108226</v>
      </c>
      <c r="P33" s="110" t="n">
        <f aca="false">P30/P$10</f>
        <v>0.000159163317741803</v>
      </c>
      <c r="Q33" s="110" t="n">
        <f aca="false">Q30/Q$10</f>
        <v>0.000292180353478034</v>
      </c>
    </row>
    <row r="34" customFormat="false" ht="15" hidden="false" customHeight="false" outlineLevel="0" collapsed="false">
      <c r="A34" s="45" t="s">
        <v>771</v>
      </c>
      <c r="B34" s="45" t="s">
        <v>715</v>
      </c>
      <c r="C34" s="109" t="n">
        <f aca="false">IF(ISNUMBER(C31),C31/C$10,C31)</f>
        <v>3.00841726436479</v>
      </c>
      <c r="D34" s="109" t="n">
        <f aca="false">IF(ISNUMBER(D31),D31/D$10,D31)</f>
        <v>4.33888242101084</v>
      </c>
      <c r="E34" s="109" t="n">
        <f aca="false">IF(ISNUMBER(E31),E31/E$10,E31)</f>
        <v>7.48058612463123</v>
      </c>
      <c r="F34" s="109" t="n">
        <f aca="false">IF(ISNUMBER(F31),F31/F$10,F31)</f>
        <v>0.71945676998923</v>
      </c>
      <c r="G34" s="109" t="n">
        <f aca="false">IF(ISNUMBER(G31),G31/G$10,G31)</f>
        <v>0.967965769422905</v>
      </c>
      <c r="H34" s="109" t="n">
        <f aca="false">IF(ISNUMBER(H31),H31/H$10,H31)</f>
        <v>1.5752148494943</v>
      </c>
      <c r="I34" s="109" t="n">
        <f aca="false">IF(ISNUMBER(I31),I31/I$10,I31)</f>
        <v>0.635206181863813</v>
      </c>
      <c r="J34" s="109" t="n">
        <f aca="false">IF(ISNUMBER(J31),J31/J$10,J31)</f>
        <v>0.928306150700011</v>
      </c>
      <c r="K34" s="109" t="n">
        <f aca="false">IF(ISNUMBER(K31),K31/K$10,K31)</f>
        <v>1.74099585138677</v>
      </c>
      <c r="L34" s="109" t="n">
        <f aca="false">IF(ISNUMBER(L31),L31/L$10,L31)</f>
        <v>0.388764372675996</v>
      </c>
      <c r="M34" s="109" t="n">
        <f aca="false">IF(ISNUMBER(M31),M31/M$10,M31)</f>
        <v>0.537626162210117</v>
      </c>
      <c r="N34" s="109" t="n">
        <f aca="false">IF(ISNUMBER(N31),N31/N$10,N31)</f>
        <v>0.922244875999031</v>
      </c>
      <c r="O34" s="109" t="n">
        <f aca="false">IF(ISNUMBER(O31),O31/O$10,O31)</f>
        <v>0.295698981312181</v>
      </c>
      <c r="P34" s="109" t="n">
        <f aca="false">IF(ISNUMBER(P31),P31/P$10,P31)</f>
        <v>0.454713902748427</v>
      </c>
      <c r="Q34" s="109" t="n">
        <f aca="false">IF(ISNUMBER(Q31),Q31/Q$10,Q31)</f>
        <v>0.834730456247066</v>
      </c>
    </row>
    <row r="35" customFormat="false" ht="15" hidden="false" customHeight="false" outlineLevel="0" collapsed="false">
      <c r="A35" s="45" t="s">
        <v>772</v>
      </c>
      <c r="B35" s="45" t="s">
        <v>715</v>
      </c>
      <c r="C35" s="100" t="n">
        <f aca="false">IF(C28&gt;0,C$9/3600*C28,"SLO 不可達")</f>
        <v>1.39219383195086</v>
      </c>
      <c r="D35" s="100" t="n">
        <f aca="false">IF(D28&gt;0,D$9/3600*D28,"SLO 不可達")</f>
        <v>1.93315257506221</v>
      </c>
      <c r="E35" s="100" t="n">
        <f aca="false">IF(E28&gt;0,E$9/3600*E28,"SLO 不可達")</f>
        <v>3.33913500176821</v>
      </c>
      <c r="F35" s="100" t="n">
        <f aca="false">IF(F28&gt;0,F$9/3600*F28,"SLO 不可達")</f>
        <v>0.33279234193073</v>
      </c>
      <c r="G35" s="100" t="n">
        <f aca="false">IF(G28&gt;0,G$9/3600*G28,"SLO 不可達")</f>
        <v>0.430254770771076</v>
      </c>
      <c r="H35" s="100" t="n">
        <f aca="false">IF(H28&gt;0,H$9/3600*H28,"SLO 不可達")</f>
        <v>0.698520996276446</v>
      </c>
      <c r="I35" s="100" t="n">
        <f aca="false">IF(I28&gt;0,I$9/3600*I28,"SLO 不可達")</f>
        <v>0.295503657070907</v>
      </c>
      <c r="J35" s="100" t="n">
        <f aca="false">IF(J28&gt;0,J$9/3600*J28,"SLO 不可達")</f>
        <v>0.415801495522061</v>
      </c>
      <c r="K35" s="100" t="n">
        <f aca="false">IF(K28&gt;0,K$9/3600*K28,"SLO 不可達")</f>
        <v>0.785957405856976</v>
      </c>
      <c r="L35" s="100" t="n">
        <f aca="false">IF(L28&gt;0,L$9/3600*L28,"SLO 不可達")</f>
        <v>0.18088370431327</v>
      </c>
      <c r="M35" s="100" t="n">
        <f aca="false">IF(M28&gt;0,M$9/3600*M28,"SLO 不可達")</f>
        <v>0.240560308156951</v>
      </c>
      <c r="N35" s="100" t="n">
        <f aca="false">IF(N28&gt;0,N$9/3600*N28,"SLO 不可達")</f>
        <v>0.41444078498112</v>
      </c>
      <c r="O35" s="100" t="n">
        <f aca="false">IF(O28&gt;0,O$9/3600*O28,"SLO 不可達")</f>
        <v>0.138189990960629</v>
      </c>
      <c r="P35" s="100" t="n">
        <f aca="false">IF(P28&gt;0,P$9/3600*P28,"SLO 不可達")</f>
        <v>0.204717953026867</v>
      </c>
      <c r="Q35" s="100" t="n">
        <f aca="false">IF(Q28&gt;0,Q$9/3600*Q28,"SLO 不可達")</f>
        <v>0.379498597466694</v>
      </c>
    </row>
    <row r="36" customFormat="false" ht="15" hidden="false" customHeight="false" outlineLevel="0" collapsed="false">
      <c r="A36" s="44" t="s">
        <v>773</v>
      </c>
      <c r="B36" s="45" t="s">
        <v>715</v>
      </c>
      <c r="C36" s="75" t="n">
        <f aca="false">IF(ISNUMBER(C31),(Serving!$D$23*C29+Serving!$D$24*C31)/(Serving!$D$23+Serving!$D$24),C31)</f>
        <v>0.323958589161817</v>
      </c>
      <c r="D36" s="75" t="n">
        <f aca="false">IF(ISNUMBER(D31),(Serving!$D$23*D29+Serving!$D$24*D31)/(Serving!$D$23+Serving!$D$24),D31)</f>
        <v>0.467228480669709</v>
      </c>
      <c r="E36" s="75" t="n">
        <f aca="false">IF(ISNUMBER(E31),(Serving!$D$23*E29+Serving!$D$24*E31)/(Serving!$D$23+Serving!$D$24),E31)</f>
        <v>0.805539894928999</v>
      </c>
      <c r="F36" s="75" t="n">
        <f aca="false">IF(ISNUMBER(F31),(Serving!$D$23*F29+Serving!$D$24*F31)/(Serving!$D$23+Serving!$D$24),F31)</f>
        <v>0.0648997829626294</v>
      </c>
      <c r="G36" s="75" t="n">
        <f aca="false">IF(ISNUMBER(G31),(Serving!$D$23*G29+Serving!$D$24*G31)/(Serving!$D$23+Serving!$D$24),G31)</f>
        <v>0.0873169465786548</v>
      </c>
      <c r="H36" s="75" t="n">
        <f aca="false">IF(ISNUMBER(H31),(Serving!$D$23*H29+Serving!$D$24*H31)/(Serving!$D$23+Serving!$D$24),H31)</f>
        <v>0.142094850053633</v>
      </c>
      <c r="I36" s="75" t="n">
        <f aca="false">IF(ISNUMBER(I31),(Serving!$D$23*I29+Serving!$D$24*I31)/(Serving!$D$23+Serving!$D$24),I31)</f>
        <v>0.0572998198906365</v>
      </c>
      <c r="J36" s="75" t="n">
        <f aca="false">IF(ISNUMBER(J31),(Serving!$D$23*J29+Serving!$D$24*J31)/(Serving!$D$23+Serving!$D$24),J31)</f>
        <v>0.0837393853479292</v>
      </c>
      <c r="K36" s="75" t="n">
        <f aca="false">IF(ISNUMBER(K31),(Serving!$D$23*K29+Serving!$D$24*K31)/(Serving!$D$23+Serving!$D$24),K31)</f>
        <v>0.157049398389192</v>
      </c>
      <c r="L36" s="75" t="n">
        <f aca="false">IF(ISNUMBER(L31),(Serving!$D$23*L29+Serving!$D$24*L31)/(Serving!$D$23+Serving!$D$24),L31)</f>
        <v>0.0366095357433638</v>
      </c>
      <c r="M36" s="75" t="n">
        <f aca="false">IF(ISNUMBER(M31),(Serving!$D$23*M29+Serving!$D$24*M31)/(Serving!$D$23+Serving!$D$24),M31)</f>
        <v>0.0506276952965604</v>
      </c>
      <c r="N36" s="75" t="n">
        <f aca="false">IF(ISNUMBER(N31),(Serving!$D$23*N29+Serving!$D$24*N31)/(Serving!$D$23+Serving!$D$24),N31)</f>
        <v>0.0868468386637871</v>
      </c>
      <c r="O36" s="75" t="n">
        <f aca="false">IF(ISNUMBER(O31),(Serving!$D$23*O29+Serving!$D$24*O31)/(Serving!$D$23+Serving!$D$24),O31)</f>
        <v>0.0281879018666533</v>
      </c>
      <c r="P36" s="75" t="n">
        <f aca="false">IF(ISNUMBER(P31),(Serving!$D$23*P29+Serving!$D$24*P31)/(Serving!$D$23+Serving!$D$24),P31)</f>
        <v>0.0433462124597031</v>
      </c>
      <c r="Q36" s="75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72" t="s">
        <v>206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customFormat="false" ht="15" hidden="false" customHeight="false" outlineLevel="0" collapsed="false">
      <c r="A39" s="45" t="s">
        <v>763</v>
      </c>
      <c r="B39" s="45" t="s">
        <v>701</v>
      </c>
      <c r="C39" s="80" t="n">
        <f aca="false">INDEX(Perf!$C$101:$Q$101,3*(C$6-1)+3)</f>
        <v>1484.01764123295</v>
      </c>
      <c r="D39" s="80" t="n">
        <f aca="false">INDEX(Perf!$C$101:$Q$101,3*(D$6-1)+3)</f>
        <v>1484.01764123295</v>
      </c>
      <c r="E39" s="80" t="n">
        <f aca="false">INDEX(Perf!$C$101:$Q$101,3*(E$6-1)+3)</f>
        <v>1484.01764123295</v>
      </c>
      <c r="F39" s="80" t="n">
        <f aca="false">INDEX(Perf!$C$101:$Q$101,3*(F$6-1)+3)</f>
        <v>146.8435456</v>
      </c>
      <c r="G39" s="80" t="n">
        <f aca="false">INDEX(Perf!$C$101:$Q$101,3*(G$6-1)+3)</f>
        <v>146.8435456</v>
      </c>
      <c r="H39" s="80" t="n">
        <f aca="false">INDEX(Perf!$C$101:$Q$101,3*(H$6-1)+3)</f>
        <v>146.8435456</v>
      </c>
      <c r="I39" s="80" t="n">
        <f aca="false">INDEX(Perf!$C$101:$Q$101,3*(I$6-1)+3)</f>
        <v>97.8956970666667</v>
      </c>
      <c r="J39" s="80" t="n">
        <f aca="false">INDEX(Perf!$C$101:$Q$101,3*(J$6-1)+3)</f>
        <v>97.8956970666667</v>
      </c>
      <c r="K39" s="80" t="n">
        <f aca="false">INDEX(Perf!$C$101:$Q$101,3*(K$6-1)+3)</f>
        <v>97.8956970666667</v>
      </c>
      <c r="L39" s="80" t="n">
        <f aca="false">INDEX(Perf!$C$101:$Q$101,3*(L$6-1)+3)</f>
        <v>41.9552987428571</v>
      </c>
      <c r="M39" s="80" t="n">
        <f aca="false">INDEX(Perf!$C$101:$Q$101,3*(M$6-1)+3)</f>
        <v>41.9552987428571</v>
      </c>
      <c r="N39" s="80" t="n">
        <f aca="false">INDEX(Perf!$C$101:$Q$101,3*(N$6-1)+3)</f>
        <v>41.9552987428571</v>
      </c>
      <c r="O39" s="80" t="n">
        <f aca="false">INDEX(Perf!$C$101:$Q$101,3*(O$6-1)+3)</f>
        <v>20.1155541917808</v>
      </c>
      <c r="P39" s="80" t="n">
        <f aca="false">INDEX(Perf!$C$101:$Q$101,3*(P$6-1)+3)</f>
        <v>20.1155541917808</v>
      </c>
      <c r="Q39" s="80" t="n">
        <f aca="false">INDEX(Perf!$C$101:$Q$101,3*(Q$6-1)+3)</f>
        <v>20.1155541917808</v>
      </c>
    </row>
    <row r="40" customFormat="false" ht="15" hidden="false" customHeight="false" outlineLevel="0" collapsed="false">
      <c r="A40" s="45" t="s">
        <v>764</v>
      </c>
      <c r="B40" s="45" t="s">
        <v>701</v>
      </c>
      <c r="C40" s="75" t="n">
        <f aca="false">INDEX(Perf!$C$102:$Q$102,3*(C$6-1)+3)</f>
        <v>0.576</v>
      </c>
      <c r="D40" s="75" t="n">
        <f aca="false">INDEX(Perf!$C$102:$Q$102,3*(D$6-1)+3)</f>
        <v>0.576</v>
      </c>
      <c r="E40" s="75" t="n">
        <f aca="false">INDEX(Perf!$C$102:$Q$102,3*(E$6-1)+3)</f>
        <v>0.576</v>
      </c>
      <c r="F40" s="75" t="n">
        <f aca="false">INDEX(Perf!$C$102:$Q$102,3*(F$6-1)+3)</f>
        <v>0.576</v>
      </c>
      <c r="G40" s="75" t="n">
        <f aca="false">INDEX(Perf!$C$102:$Q$102,3*(G$6-1)+3)</f>
        <v>0.576</v>
      </c>
      <c r="H40" s="75" t="n">
        <f aca="false">INDEX(Perf!$C$102:$Q$102,3*(H$6-1)+3)</f>
        <v>0.576</v>
      </c>
      <c r="I40" s="75" t="n">
        <f aca="false">INDEX(Perf!$C$102:$Q$102,3*(I$6-1)+3)</f>
        <v>0.576</v>
      </c>
      <c r="J40" s="75" t="n">
        <f aca="false">INDEX(Perf!$C$102:$Q$102,3*(J$6-1)+3)</f>
        <v>0.576</v>
      </c>
      <c r="K40" s="75" t="n">
        <f aca="false">INDEX(Perf!$C$102:$Q$102,3*(K$6-1)+3)</f>
        <v>0.576</v>
      </c>
      <c r="L40" s="75" t="n">
        <f aca="false">INDEX(Perf!$C$102:$Q$102,3*(L$6-1)+3)</f>
        <v>0.576</v>
      </c>
      <c r="M40" s="75" t="n">
        <f aca="false">INDEX(Perf!$C$102:$Q$102,3*(M$6-1)+3)</f>
        <v>0.576</v>
      </c>
      <c r="N40" s="75" t="n">
        <f aca="false">INDEX(Perf!$C$102:$Q$102,3*(N$6-1)+3)</f>
        <v>0.576</v>
      </c>
      <c r="O40" s="75" t="n">
        <f aca="false">INDEX(Perf!$C$102:$Q$102,3*(O$6-1)+3)</f>
        <v>0.576</v>
      </c>
      <c r="P40" s="75" t="n">
        <f aca="false">INDEX(Perf!$C$102:$Q$102,3*(P$6-1)+3)</f>
        <v>0.576</v>
      </c>
      <c r="Q40" s="75" t="n">
        <f aca="false">INDEX(Perf!$C$102:$Q$102,3*(Q$6-1)+3)</f>
        <v>0.576</v>
      </c>
    </row>
    <row r="41" customFormat="false" ht="15" hidden="false" customHeight="false" outlineLevel="0" collapsed="false">
      <c r="A41" s="45" t="s">
        <v>765</v>
      </c>
      <c r="B41" s="45" t="s">
        <v>701</v>
      </c>
      <c r="C41" s="80" t="n">
        <f aca="false">INDEX(Perf!$C$103:$Q$103,3*(C$6-1)+3)</f>
        <v>39747.513954867</v>
      </c>
      <c r="D41" s="80" t="n">
        <f aca="false">INDEX(Perf!$C$103:$Q$103,3*(D$6-1)+3)</f>
        <v>39747.513954867</v>
      </c>
      <c r="E41" s="80" t="n">
        <f aca="false">INDEX(Perf!$C$103:$Q$103,3*(E$6-1)+3)</f>
        <v>39747.513954867</v>
      </c>
      <c r="F41" s="80" t="n">
        <f aca="false">INDEX(Perf!$C$103:$Q$103,3*(F$6-1)+3)</f>
        <v>5853.77586437634</v>
      </c>
      <c r="G41" s="80" t="n">
        <f aca="false">INDEX(Perf!$C$103:$Q$103,3*(G$6-1)+3)</f>
        <v>5853.77586437634</v>
      </c>
      <c r="H41" s="80" t="n">
        <f aca="false">INDEX(Perf!$C$103:$Q$103,3*(H$6-1)+3)</f>
        <v>5853.77586437634</v>
      </c>
      <c r="I41" s="80" t="n">
        <f aca="false">INDEX(Perf!$C$103:$Q$103,3*(I$6-1)+3)</f>
        <v>4850.34546142314</v>
      </c>
      <c r="J41" s="80" t="n">
        <f aca="false">INDEX(Perf!$C$103:$Q$103,3*(J$6-1)+3)</f>
        <v>4850.34546142314</v>
      </c>
      <c r="K41" s="80" t="n">
        <f aca="false">INDEX(Perf!$C$103:$Q$103,3*(K$6-1)+3)</f>
        <v>4850.34546142314</v>
      </c>
      <c r="L41" s="80" t="n">
        <f aca="false">INDEX(Perf!$C$103:$Q$103,3*(L$6-1)+3)</f>
        <v>1267.49214950265</v>
      </c>
      <c r="M41" s="80" t="n">
        <f aca="false">INDEX(Perf!$C$103:$Q$103,3*(M$6-1)+3)</f>
        <v>1267.49214950265</v>
      </c>
      <c r="N41" s="80" t="n">
        <f aca="false">INDEX(Perf!$C$103:$Q$103,3*(N$6-1)+3)</f>
        <v>1267.49214950265</v>
      </c>
      <c r="O41" s="80" t="n">
        <f aca="false">INDEX(Perf!$C$103:$Q$103,3*(O$6-1)+3)</f>
        <v>545.216475718512</v>
      </c>
      <c r="P41" s="80" t="n">
        <f aca="false">INDEX(Perf!$C$103:$Q$103,3*(P$6-1)+3)</f>
        <v>545.216475718512</v>
      </c>
      <c r="Q41" s="80" t="n">
        <f aca="false">INDEX(Perf!$C$103:$Q$103,3*(Q$6-1)+3)</f>
        <v>545.216475718512</v>
      </c>
    </row>
    <row r="42" customFormat="false" ht="15" hidden="false" customHeight="false" outlineLevel="0" collapsed="false">
      <c r="A42" s="44" t="s">
        <v>766</v>
      </c>
      <c r="B42" s="45" t="s">
        <v>715</v>
      </c>
      <c r="C42" s="109" t="n">
        <f aca="false">C$8/3600*C39</f>
        <v>0.458753834035265</v>
      </c>
      <c r="D42" s="109" t="n">
        <f aca="false">D$8/3600*D39</f>
        <v>0.661636591986257</v>
      </c>
      <c r="E42" s="109" t="n">
        <f aca="false">E$8/3600*E39</f>
        <v>1.14071528778777</v>
      </c>
      <c r="F42" s="109" t="n">
        <f aca="false">F$8/3600*F39</f>
        <v>0.062962848053314</v>
      </c>
      <c r="G42" s="109" t="n">
        <f aca="false">G$8/3600*G39</f>
        <v>0.0847109711149092</v>
      </c>
      <c r="H42" s="109" t="n">
        <f aca="false">H$8/3600*H39</f>
        <v>0.137854027312188</v>
      </c>
      <c r="I42" s="109" t="n">
        <f aca="false">I$8/3600*I39</f>
        <v>0.0555897059830512</v>
      </c>
      <c r="J42" s="109" t="n">
        <f aca="false">J$8/3600*J39</f>
        <v>0.0812401822479987</v>
      </c>
      <c r="K42" s="109" t="n">
        <f aca="false">K$8/3600*K39</f>
        <v>0.152362256948331</v>
      </c>
      <c r="L42" s="109" t="n">
        <f aca="false">L$8/3600*L39</f>
        <v>0.0397492459255272</v>
      </c>
      <c r="M42" s="109" t="n">
        <f aca="false">M$8/3600*M39</f>
        <v>0.054969632095114</v>
      </c>
      <c r="N42" s="109" t="n">
        <f aca="false">N$8/3600*N39</f>
        <v>0.0942950047796553</v>
      </c>
      <c r="O42" s="109" t="n">
        <f aca="false">O$8/3600*O39</f>
        <v>0.0315060994633634</v>
      </c>
      <c r="P42" s="109" t="n">
        <f aca="false">P$8/3600*P39</f>
        <v>0.0484488021696676</v>
      </c>
      <c r="Q42" s="109" t="n">
        <f aca="false">Q$8/3600*Q39</f>
        <v>0.0889387601638498</v>
      </c>
    </row>
    <row r="43" customFormat="false" ht="15" hidden="false" customHeight="false" outlineLevel="0" collapsed="false">
      <c r="A43" s="44" t="s">
        <v>767</v>
      </c>
      <c r="B43" s="45" t="s">
        <v>715</v>
      </c>
      <c r="C43" s="110" t="n">
        <f aca="false">C$8/3600*C40</f>
        <v>0.000178058670640044</v>
      </c>
      <c r="D43" s="110" t="n">
        <f aca="false">D$8/3600*D40</f>
        <v>0.000256804681019464</v>
      </c>
      <c r="E43" s="110" t="n">
        <f aca="false">E$8/3600*E40</f>
        <v>0.000442752153013402</v>
      </c>
      <c r="F43" s="110" t="n">
        <f aca="false">F$8/3600*F40</f>
        <v>0.00024697442662886</v>
      </c>
      <c r="G43" s="110" t="n">
        <f aca="false">G$8/3600*G40</f>
        <v>0.000332282356455085</v>
      </c>
      <c r="H43" s="110" t="n">
        <f aca="false">H$8/3600*H40</f>
        <v>0.000540738235428579</v>
      </c>
      <c r="I43" s="110" t="n">
        <f aca="false">I$8/3600*I40</f>
        <v>0.000327079448899906</v>
      </c>
      <c r="J43" s="110" t="n">
        <f aca="false">J$8/3600*J40</f>
        <v>0.000478002061142488</v>
      </c>
      <c r="K43" s="110" t="n">
        <f aca="false">K$8/3600*K40</f>
        <v>0.00089647106698136</v>
      </c>
      <c r="L43" s="110" t="n">
        <f aca="false">L$8/3600*L40</f>
        <v>0.000545713326782153</v>
      </c>
      <c r="M43" s="110" t="n">
        <f aca="false">M$8/3600*M40</f>
        <v>0.000754672449857747</v>
      </c>
      <c r="N43" s="110" t="n">
        <f aca="false">N$8/3600*N40</f>
        <v>0.00129456646432123</v>
      </c>
      <c r="O43" s="110" t="n">
        <f aca="false">O$8/3600*O40</f>
        <v>0.000902163227414951</v>
      </c>
      <c r="P43" s="110" t="n">
        <f aca="false">P$8/3600*P40</f>
        <v>0.00138731002803448</v>
      </c>
      <c r="Q43" s="110" t="n">
        <f aca="false">Q$8/3600*Q40</f>
        <v>0.00254672207218181</v>
      </c>
    </row>
    <row r="44" customFormat="false" ht="15" hidden="false" customHeight="false" outlineLevel="0" collapsed="false">
      <c r="A44" s="45" t="s">
        <v>768</v>
      </c>
      <c r="B44" s="45" t="s">
        <v>715</v>
      </c>
      <c r="C44" s="109" t="n">
        <f aca="false">IF(C41&gt;0,C$8/3600*C41,"SLO 不可達")</f>
        <v>12.2871345417539</v>
      </c>
      <c r="D44" s="109" t="n">
        <f aca="false">IF(D41&gt;0,D$8/3600*D41,"SLO 不可達")</f>
        <v>17.7210896571117</v>
      </c>
      <c r="E44" s="109" t="n">
        <f aca="false">IF(E41&gt;0,E$8/3600*E41,"SLO 不可達")</f>
        <v>30.5525996188327</v>
      </c>
      <c r="F44" s="109" t="n">
        <f aca="false">IF(F41&gt;0,F$8/3600*F41,"SLO 不可達")</f>
        <v>2.50995301687188</v>
      </c>
      <c r="G44" s="109" t="n">
        <f aca="false">IF(G41&gt;0,G$8/3600*G41,"SLO 不可達")</f>
        <v>3.37692089995637</v>
      </c>
      <c r="H44" s="109" t="n">
        <f aca="false">IF(H41&gt;0,H$8/3600*H41,"SLO 不可達")</f>
        <v>5.49541741579386</v>
      </c>
      <c r="I44" s="109" t="n">
        <f aca="false">IF(I41&gt;0,I$8/3600*I41,"SLO 不可達")</f>
        <v>2.75425055641743</v>
      </c>
      <c r="J44" s="109" t="n">
        <f aca="false">IF(J41&gt;0,J$8/3600*J41,"SLO 不可達")</f>
        <v>4.02513043023155</v>
      </c>
      <c r="K44" s="109" t="n">
        <f aca="false">IF(K41&gt;0,K$8/3600*K41,"SLO 不可達")</f>
        <v>7.54894856081632</v>
      </c>
      <c r="L44" s="109" t="n">
        <f aca="false">IF(L41&gt;0,L$8/3600*L41,"SLO 不可達")</f>
        <v>1.20084610690165</v>
      </c>
      <c r="M44" s="109" t="n">
        <f aca="false">IF(M41&gt;0,M$8/3600*M41,"SLO 不可達")</f>
        <v>1.66066216257053</v>
      </c>
      <c r="N44" s="109" t="n">
        <f aca="false">IF(N41&gt;0,N$8/3600*N41,"SLO 不可達")</f>
        <v>2.84870283079263</v>
      </c>
      <c r="O44" s="109" t="n">
        <f aca="false">IF(O41&gt;0,O$8/3600*O41,"SLO 不可達")</f>
        <v>0.853948360024336</v>
      </c>
      <c r="P44" s="109" t="n">
        <f aca="false">IF(P41&gt;0,P$8/3600*P41,"SLO 不可達")</f>
        <v>1.31316716009359</v>
      </c>
      <c r="Q44" s="109" t="n">
        <f aca="false">IF(Q41&gt;0,Q$8/3600*Q41,"SLO 不可達")</f>
        <v>2.4106160292179</v>
      </c>
    </row>
    <row r="45" customFormat="false" ht="15" hidden="false" customHeight="false" outlineLevel="0" collapsed="false">
      <c r="A45" s="44" t="s">
        <v>769</v>
      </c>
      <c r="B45" s="45" t="s">
        <v>715</v>
      </c>
      <c r="C45" s="100" t="n">
        <f aca="false">C42/C$10</f>
        <v>0.764589723392108</v>
      </c>
      <c r="D45" s="100" t="n">
        <f aca="false">D42/D$10</f>
        <v>1.10272765331043</v>
      </c>
      <c r="E45" s="100" t="n">
        <f aca="false">E42/E$10</f>
        <v>1.90119214631295</v>
      </c>
      <c r="F45" s="100" t="n">
        <f aca="false">F42/F$10</f>
        <v>0.104938080088857</v>
      </c>
      <c r="G45" s="100" t="n">
        <f aca="false">G42/G$10</f>
        <v>0.141184951858182</v>
      </c>
      <c r="H45" s="100" t="n">
        <f aca="false">H42/H$10</f>
        <v>0.229756712186979</v>
      </c>
      <c r="I45" s="100" t="n">
        <f aca="false">I42/I$10</f>
        <v>0.092649509971752</v>
      </c>
      <c r="J45" s="100" t="n">
        <f aca="false">J42/J$10</f>
        <v>0.135400303746665</v>
      </c>
      <c r="K45" s="100" t="n">
        <f aca="false">K42/K$10</f>
        <v>0.253937094913885</v>
      </c>
      <c r="L45" s="100" t="n">
        <f aca="false">L42/L$10</f>
        <v>0.0662487432092119</v>
      </c>
      <c r="M45" s="100" t="n">
        <f aca="false">M42/M$10</f>
        <v>0.0916160534918566</v>
      </c>
      <c r="N45" s="100" t="n">
        <f aca="false">N42/N$10</f>
        <v>0.157158341299426</v>
      </c>
      <c r="O45" s="100" t="n">
        <f aca="false">O42/O$10</f>
        <v>0.0525101657722724</v>
      </c>
      <c r="P45" s="100" t="n">
        <f aca="false">P42/P$10</f>
        <v>0.0807480036161127</v>
      </c>
      <c r="Q45" s="100" t="n">
        <f aca="false">Q42/Q$10</f>
        <v>0.14823126693975</v>
      </c>
    </row>
    <row r="46" customFormat="false" ht="15" hidden="false" customHeight="false" outlineLevel="0" collapsed="false">
      <c r="A46" s="44" t="s">
        <v>770</v>
      </c>
      <c r="B46" s="45" t="s">
        <v>715</v>
      </c>
      <c r="C46" s="110" t="n">
        <f aca="false">C43/C$10</f>
        <v>0.00029676445106674</v>
      </c>
      <c r="D46" s="110" t="n">
        <f aca="false">D43/D$10</f>
        <v>0.000428007801699106</v>
      </c>
      <c r="E46" s="110" t="n">
        <f aca="false">E43/E$10</f>
        <v>0.000737920255022336</v>
      </c>
      <c r="F46" s="110" t="n">
        <f aca="false">F43/F$10</f>
        <v>0.000411624044381433</v>
      </c>
      <c r="G46" s="110" t="n">
        <f aca="false">G43/G$10</f>
        <v>0.000553803927425141</v>
      </c>
      <c r="H46" s="110" t="n">
        <f aca="false">H43/H$10</f>
        <v>0.000901230392380964</v>
      </c>
      <c r="I46" s="110" t="n">
        <f aca="false">I43/I$10</f>
        <v>0.000545132414833177</v>
      </c>
      <c r="J46" s="110" t="n">
        <f aca="false">J43/J$10</f>
        <v>0.000796670101904146</v>
      </c>
      <c r="K46" s="110" t="n">
        <f aca="false">K43/K$10</f>
        <v>0.00149411844496893</v>
      </c>
      <c r="L46" s="110" t="n">
        <f aca="false">L43/L$10</f>
        <v>0.000909522211303588</v>
      </c>
      <c r="M46" s="110" t="n">
        <f aca="false">M43/M$10</f>
        <v>0.00125778741642958</v>
      </c>
      <c r="N46" s="110" t="n">
        <f aca="false">N43/N$10</f>
        <v>0.00215761077386871</v>
      </c>
      <c r="O46" s="110" t="n">
        <f aca="false">O43/O$10</f>
        <v>0.00150360537902492</v>
      </c>
      <c r="P46" s="110" t="n">
        <f aca="false">P43/P$10</f>
        <v>0.00231218338005747</v>
      </c>
      <c r="Q46" s="110" t="n">
        <f aca="false">Q43/Q$10</f>
        <v>0.00424453678696968</v>
      </c>
    </row>
    <row r="47" customFormat="false" ht="15" hidden="false" customHeight="false" outlineLevel="0" collapsed="false">
      <c r="A47" s="45" t="s">
        <v>771</v>
      </c>
      <c r="B47" s="45" t="s">
        <v>715</v>
      </c>
      <c r="C47" s="109" t="n">
        <f aca="false">IF(ISNUMBER(C44),C44/C$10,C44)</f>
        <v>20.4785575695898</v>
      </c>
      <c r="D47" s="109" t="n">
        <f aca="false">IF(ISNUMBER(D44),D44/D$10,D44)</f>
        <v>29.5351494285194</v>
      </c>
      <c r="E47" s="109" t="n">
        <f aca="false">IF(ISNUMBER(E44),E44/E$10,E44)</f>
        <v>50.9209993647211</v>
      </c>
      <c r="F47" s="109" t="n">
        <f aca="false">IF(ISNUMBER(F44),F44/F$10,F44)</f>
        <v>4.18325502811981</v>
      </c>
      <c r="G47" s="109" t="n">
        <f aca="false">IF(ISNUMBER(G44),G44/G$10,G44)</f>
        <v>5.62820149992728</v>
      </c>
      <c r="H47" s="109" t="n">
        <f aca="false">IF(ISNUMBER(H44),H44/H$10,H44)</f>
        <v>9.1590290263231</v>
      </c>
      <c r="I47" s="109" t="n">
        <f aca="false">IF(ISNUMBER(I44),I44/I$10,I44)</f>
        <v>4.59041759402906</v>
      </c>
      <c r="J47" s="109" t="n">
        <f aca="false">IF(ISNUMBER(J44),J44/J$10,J44)</f>
        <v>6.70855071705259</v>
      </c>
      <c r="K47" s="109" t="n">
        <f aca="false">IF(ISNUMBER(K44),K44/K$10,K44)</f>
        <v>12.5815809346939</v>
      </c>
      <c r="L47" s="109" t="n">
        <f aca="false">IF(ISNUMBER(L44),L44/L$10,L44)</f>
        <v>2.00141017816942</v>
      </c>
      <c r="M47" s="109" t="n">
        <f aca="false">IF(ISNUMBER(M44),M44/M$10,M44)</f>
        <v>2.76777027095088</v>
      </c>
      <c r="N47" s="109" t="n">
        <f aca="false">IF(ISNUMBER(N44),N44/N$10,N44)</f>
        <v>4.74783805132105</v>
      </c>
      <c r="O47" s="109" t="n">
        <f aca="false">IF(ISNUMBER(O44),O44/O$10,O44)</f>
        <v>1.42324726670723</v>
      </c>
      <c r="P47" s="109" t="n">
        <f aca="false">IF(ISNUMBER(P44),P44/P$10,P44)</f>
        <v>2.18861193348932</v>
      </c>
      <c r="Q47" s="109" t="n">
        <f aca="false">IF(ISNUMBER(Q44),Q44/Q$10,Q44)</f>
        <v>4.01769338202983</v>
      </c>
    </row>
    <row r="48" customFormat="false" ht="15" hidden="false" customHeight="false" outlineLevel="0" collapsed="false">
      <c r="A48" s="45" t="s">
        <v>772</v>
      </c>
      <c r="B48" s="45" t="s">
        <v>715</v>
      </c>
      <c r="C48" s="100" t="n">
        <f aca="false">IF(C41&gt;0,C$9/3600*C41,"SLO 不可達")</f>
        <v>9.47678431224973</v>
      </c>
      <c r="D48" s="100" t="n">
        <f aca="false">IF(D41&gt;0,D$9/3600*D41,"SLO 不可達")</f>
        <v>13.1591374534846</v>
      </c>
      <c r="E48" s="100" t="n">
        <f aca="false">IF(E41&gt;0,E$9/3600*E41,"SLO 不可達")</f>
        <v>22.7297819276346</v>
      </c>
      <c r="F48" s="100" t="n">
        <f aca="false">IF(F41&gt;0,F$9/3600*F41,"SLO 不可達")</f>
        <v>1.9350088786048</v>
      </c>
      <c r="G48" s="100" t="n">
        <f aca="false">IF(G41&gt;0,G$9/3600*G41,"SLO 不可達")</f>
        <v>2.50170060006188</v>
      </c>
      <c r="H48" s="100" t="n">
        <f aca="false">IF(H41&gt;0,H$9/3600*H41,"SLO 不可達")</f>
        <v>4.06152473895609</v>
      </c>
      <c r="I48" s="100" t="n">
        <f aca="false">IF(I41&gt;0,I$9/3600*I41,"SLO 不可達")</f>
        <v>2.13550375491945</v>
      </c>
      <c r="J48" s="100" t="n">
        <f aca="false">IF(J41&gt;0,J$9/3600*J41,"SLO 不可達")</f>
        <v>3.00485504575471</v>
      </c>
      <c r="K48" s="100" t="n">
        <f aca="false">IF(K41&gt;0,K$9/3600*K41,"SLO 不可達")</f>
        <v>5.6798450755267</v>
      </c>
      <c r="L48" s="100" t="n">
        <f aca="false">IF(L41&gt;0,L$9/3600*L41,"SLO 不可達")</f>
        <v>0.931213126310015</v>
      </c>
      <c r="M48" s="100" t="n">
        <f aca="false">IF(M41&gt;0,M$9/3600*M41,"SLO 不可達")</f>
        <v>1.23843614036657</v>
      </c>
      <c r="N48" s="100" t="n">
        <f aca="false">IF(N41&gt;0,N$9/3600*N41,"SLO 不可達")</f>
        <v>2.13359572946523</v>
      </c>
      <c r="O48" s="100" t="n">
        <f aca="false">IF(O41&gt;0,O$9/3600*O41,"SLO 不可達")</f>
        <v>0.665130891044125</v>
      </c>
      <c r="P48" s="100" t="n">
        <f aca="false">IF(P41&gt;0,P$9/3600*P41,"SLO 不可達")</f>
        <v>0.985340787440122</v>
      </c>
      <c r="Q48" s="100" t="n">
        <f aca="false">IF(Q41&gt;0,Q$9/3600*Q41,"SLO 不可達")</f>
        <v>1.82658844195838</v>
      </c>
    </row>
    <row r="49" customFormat="false" ht="15" hidden="false" customHeight="false" outlineLevel="0" collapsed="false">
      <c r="A49" s="44" t="s">
        <v>773</v>
      </c>
      <c r="B49" s="45" t="s">
        <v>715</v>
      </c>
      <c r="C49" s="75" t="n">
        <f aca="false">IF(ISNUMBER(C44),(Serving!$E$23*C42+Serving!$E$24*C44)/(Serving!$E$23+Serving!$E$24),C44)</f>
        <v>1.77301835711511</v>
      </c>
      <c r="D49" s="75" t="n">
        <f aca="false">IF(ISNUMBER(D44),(Serving!$E$23*D42+Serving!$E$24*D44)/(Serving!$E$23+Serving!$E$24),D44)</f>
        <v>2.55713137700019</v>
      </c>
      <c r="E49" s="75" t="n">
        <f aca="false">IF(ISNUMBER(E44),(Serving!$E$23*E42+Serving!$E$24*E44)/(Serving!$E$23+Serving!$E$24),E44)</f>
        <v>4.40870243568165</v>
      </c>
      <c r="F49" s="75" t="n">
        <f aca="false">IF(ISNUMBER(F44),(Serving!$E$23*F42+Serving!$E$24*F44)/(Serving!$E$23+Serving!$E$24),F44)</f>
        <v>0.334850644588711</v>
      </c>
      <c r="G49" s="75" t="n">
        <f aca="false">IF(ISNUMBER(G44),(Serving!$E$23*G42+Serving!$E$24*G44)/(Serving!$E$23+Serving!$E$24),G44)</f>
        <v>0.450512074319516</v>
      </c>
      <c r="H49" s="75" t="n">
        <f aca="false">IF(ISNUMBER(H44),(Serving!$E$23*H42+Serving!$E$24*H44)/(Serving!$E$23+Serving!$E$24),H44)</f>
        <v>0.733138848254595</v>
      </c>
      <c r="I49" s="75" t="n">
        <f aca="false">IF(ISNUMBER(I44),(Serving!$E$23*I42+Serving!$E$24*I44)/(Serving!$E$23+Serving!$E$24),I44)</f>
        <v>0.355440911586871</v>
      </c>
      <c r="J49" s="75" t="n">
        <f aca="false">IF(ISNUMBER(J44),(Serving!$E$23*J42+Serving!$E$24*J44)/(Serving!$E$23+Serving!$E$24),J44)</f>
        <v>0.519450209801727</v>
      </c>
      <c r="K49" s="75" t="n">
        <f aca="false">IF(ISNUMBER(K44),(Serving!$E$23*K42+Serving!$E$24*K44)/(Serving!$E$23+Serving!$E$24),K44)</f>
        <v>0.97420517960033</v>
      </c>
      <c r="L49" s="75" t="n">
        <f aca="false">IF(ISNUMBER(L44),(Serving!$E$23*L42+Serving!$E$24*L44)/(Serving!$E$23+Serving!$E$24),L44)</f>
        <v>0.168760008256208</v>
      </c>
      <c r="M49" s="75" t="n">
        <f aca="false">IF(ISNUMBER(M44),(Serving!$E$23*M42+Serving!$E$24*M44)/(Serving!$E$23+Serving!$E$24),M44)</f>
        <v>0.233379913259049</v>
      </c>
      <c r="N49" s="75" t="n">
        <f aca="false">IF(ISNUMBER(N44),(Serving!$E$23*N42+Serving!$E$24*N44)/(Serving!$E$23+Serving!$E$24),N44)</f>
        <v>0.400340318781097</v>
      </c>
      <c r="O49" s="75" t="n">
        <f aca="false">IF(ISNUMBER(O44),(Serving!$E$23*O42+Serving!$E$24*O44)/(Serving!$E$23+Serving!$E$24),O44)</f>
        <v>0.122888572859027</v>
      </c>
      <c r="P49" s="75" t="n">
        <f aca="false">IF(ISNUMBER(P44),(Serving!$E$23*P42+Serving!$E$24*P44)/(Serving!$E$23+Serving!$E$24),P44)</f>
        <v>0.188973064161215</v>
      </c>
      <c r="Q49" s="75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774</v>
      </c>
    </row>
    <row r="2" customFormat="false" ht="15" hidden="false" customHeight="true" outlineLevel="0" collapsed="false">
      <c r="A2" s="10" t="s">
        <v>775</v>
      </c>
    </row>
    <row r="4" customFormat="false" ht="15" hidden="false" customHeight="true" outlineLevel="0" collapsed="false">
      <c r="A4" s="19" t="s">
        <v>122</v>
      </c>
      <c r="C4" s="111" t="str">
        <f aca="false">Spec_Rack!C4</f>
        <v>Hopper H100</v>
      </c>
      <c r="D4" s="111" t="str">
        <f aca="false">Spec_Rack!C4</f>
        <v>Hopper H100</v>
      </c>
      <c r="E4" s="111" t="str">
        <f aca="false">Spec_Rack!C4</f>
        <v>Hopper H100</v>
      </c>
      <c r="F4" s="111" t="str">
        <f aca="false">Spec_Rack!D4</f>
        <v>GB200 NVL72</v>
      </c>
      <c r="G4" s="111" t="str">
        <f aca="false">Spec_Rack!D4</f>
        <v>GB200 NVL72</v>
      </c>
      <c r="H4" s="111" t="str">
        <f aca="false">Spec_Rack!D4</f>
        <v>GB200 NVL72</v>
      </c>
      <c r="I4" s="111" t="str">
        <f aca="false">Spec_Rack!E4</f>
        <v>GB300 NVL72</v>
      </c>
      <c r="J4" s="111" t="str">
        <f aca="false">Spec_Rack!E4</f>
        <v>GB300 NVL72</v>
      </c>
      <c r="K4" s="111" t="str">
        <f aca="false">Spec_Rack!E4</f>
        <v>GB300 NVL72</v>
      </c>
      <c r="L4" s="111" t="str">
        <f aca="false">Spec_Rack!F4</f>
        <v>VR200 NVL72</v>
      </c>
      <c r="M4" s="111" t="str">
        <f aca="false">Spec_Rack!F4</f>
        <v>VR200 NVL72</v>
      </c>
      <c r="N4" s="111" t="str">
        <f aca="false">Spec_Rack!F4</f>
        <v>VR200 NVL72</v>
      </c>
      <c r="O4" s="111" t="str">
        <f aca="false">Spec_Rack!G4</f>
        <v>Rubin Ultra NVL576</v>
      </c>
      <c r="P4" s="111" t="str">
        <f aca="false">Spec_Rack!G4</f>
        <v>Rubin Ultra NVL576</v>
      </c>
      <c r="Q4" s="111" t="str">
        <f aca="false">Spec_Rack!G4</f>
        <v>Rubin Ultra NVL576</v>
      </c>
    </row>
    <row r="5" customFormat="false" ht="15" hidden="false" customHeight="true" outlineLevel="0" collapsed="false">
      <c r="A5" s="19" t="s">
        <v>22</v>
      </c>
      <c r="C5" s="25" t="s">
        <v>42</v>
      </c>
      <c r="D5" s="25" t="s">
        <v>43</v>
      </c>
      <c r="E5" s="25" t="s">
        <v>44</v>
      </c>
      <c r="F5" s="25" t="s">
        <v>42</v>
      </c>
      <c r="G5" s="25" t="s">
        <v>43</v>
      </c>
      <c r="H5" s="25" t="s">
        <v>44</v>
      </c>
      <c r="I5" s="25" t="s">
        <v>42</v>
      </c>
      <c r="J5" s="25" t="s">
        <v>43</v>
      </c>
      <c r="K5" s="25" t="s">
        <v>44</v>
      </c>
      <c r="L5" s="25" t="s">
        <v>42</v>
      </c>
      <c r="M5" s="25" t="s">
        <v>43</v>
      </c>
      <c r="N5" s="25" t="s">
        <v>44</v>
      </c>
      <c r="O5" s="25" t="s">
        <v>42</v>
      </c>
      <c r="P5" s="25" t="s">
        <v>43</v>
      </c>
      <c r="Q5" s="25" t="s">
        <v>44</v>
      </c>
    </row>
    <row r="7" customFormat="false" ht="15" hidden="false" customHeight="true" outlineLevel="0" collapsed="false">
      <c r="A7" s="24" t="s">
        <v>776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777</v>
      </c>
      <c r="B8" s="15" t="s">
        <v>778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56</v>
      </c>
      <c r="B9" s="15" t="s">
        <v>57</v>
      </c>
      <c r="C9" s="112" t="n">
        <f aca="false">Inputs!$E$8</f>
        <v>0.08</v>
      </c>
      <c r="D9" s="112" t="n">
        <f aca="false">Inputs!$E$8</f>
        <v>0.08</v>
      </c>
      <c r="E9" s="112" t="n">
        <f aca="false">Inputs!$E$8</f>
        <v>0.08</v>
      </c>
      <c r="F9" s="112" t="n">
        <f aca="false">Inputs!$E$8</f>
        <v>0.08</v>
      </c>
      <c r="G9" s="112" t="n">
        <f aca="false">Inputs!$E$8</f>
        <v>0.08</v>
      </c>
      <c r="H9" s="112" t="n">
        <f aca="false">Inputs!$E$8</f>
        <v>0.08</v>
      </c>
      <c r="I9" s="112" t="n">
        <f aca="false">Inputs!$E$8</f>
        <v>0.08</v>
      </c>
      <c r="J9" s="112" t="n">
        <f aca="false">Inputs!$E$8</f>
        <v>0.08</v>
      </c>
      <c r="K9" s="112" t="n">
        <f aca="false">Inputs!$E$8</f>
        <v>0.08</v>
      </c>
      <c r="L9" s="112" t="n">
        <f aca="false">Inputs!$E$8</f>
        <v>0.08</v>
      </c>
      <c r="M9" s="112" t="n">
        <f aca="false">Inputs!$E$8</f>
        <v>0.08</v>
      </c>
      <c r="N9" s="112" t="n">
        <f aca="false">Inputs!$E$8</f>
        <v>0.08</v>
      </c>
      <c r="O9" s="112" t="n">
        <f aca="false">Inputs!$E$8</f>
        <v>0.08</v>
      </c>
      <c r="P9" s="112" t="n">
        <f aca="false">Inputs!$E$8</f>
        <v>0.08</v>
      </c>
      <c r="Q9" s="112" t="n">
        <f aca="false">Inputs!$E$8</f>
        <v>0.08</v>
      </c>
    </row>
    <row r="10" customFormat="false" ht="15" hidden="false" customHeight="true" outlineLevel="0" collapsed="false">
      <c r="A10" s="19" t="s">
        <v>779</v>
      </c>
      <c r="B10" s="15" t="s">
        <v>778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650</v>
      </c>
      <c r="B11" s="15" t="s">
        <v>651</v>
      </c>
      <c r="C11" s="113" t="n">
        <f aca="false">CHOOSE(Inputs!$E$6,Spec_Rack!C8,Spec_Rack!C9,Spec_Rack!C10)</f>
        <v>41</v>
      </c>
      <c r="D11" s="113" t="n">
        <f aca="false">CHOOSE(Inputs!$E$6,Spec_Rack!C8,Spec_Rack!C9,Spec_Rack!C10)</f>
        <v>41</v>
      </c>
      <c r="E11" s="113" t="n">
        <f aca="false">CHOOSE(Inputs!$E$6,Spec_Rack!C8,Spec_Rack!C9,Spec_Rack!C10)</f>
        <v>41</v>
      </c>
      <c r="F11" s="113" t="n">
        <f aca="false">CHOOSE(Inputs!$E$6,Spec_Rack!D8,Spec_Rack!D9,Spec_Rack!D10)</f>
        <v>130</v>
      </c>
      <c r="G11" s="113" t="n">
        <f aca="false">CHOOSE(Inputs!$E$6,Spec_Rack!D8,Spec_Rack!D9,Spec_Rack!D10)</f>
        <v>130</v>
      </c>
      <c r="H11" s="113" t="n">
        <f aca="false">CHOOSE(Inputs!$E$6,Spec_Rack!D8,Spec_Rack!D9,Spec_Rack!D10)</f>
        <v>130</v>
      </c>
      <c r="I11" s="113" t="n">
        <f aca="false">CHOOSE(Inputs!$E$6,Spec_Rack!E8,Spec_Rack!E9,Spec_Rack!E10)</f>
        <v>137</v>
      </c>
      <c r="J11" s="113" t="n">
        <f aca="false">CHOOSE(Inputs!$E$6,Spec_Rack!E8,Spec_Rack!E9,Spec_Rack!E10)</f>
        <v>137</v>
      </c>
      <c r="K11" s="113" t="n">
        <f aca="false">CHOOSE(Inputs!$E$6,Spec_Rack!E8,Spec_Rack!E9,Spec_Rack!E10)</f>
        <v>137</v>
      </c>
      <c r="L11" s="113" t="n">
        <f aca="false">CHOOSE(Inputs!$E$6,Spec_Rack!F8,Spec_Rack!F9,Spec_Rack!F10)</f>
        <v>227</v>
      </c>
      <c r="M11" s="113" t="n">
        <f aca="false">CHOOSE(Inputs!$E$6,Spec_Rack!F8,Spec_Rack!F9,Spec_Rack!F10)</f>
        <v>227</v>
      </c>
      <c r="N11" s="113" t="n">
        <f aca="false">CHOOSE(Inputs!$E$6,Spec_Rack!F8,Spec_Rack!F9,Spec_Rack!F10)</f>
        <v>227</v>
      </c>
      <c r="O11" s="113" t="n">
        <f aca="false">CHOOSE(Inputs!$E$6,Spec_Rack!G8,Spec_Rack!G9,Spec_Rack!G10)</f>
        <v>600</v>
      </c>
      <c r="P11" s="113" t="n">
        <f aca="false">CHOOSE(Inputs!$E$6,Spec_Rack!G8,Spec_Rack!G9,Spec_Rack!G10)</f>
        <v>600</v>
      </c>
      <c r="Q11" s="113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780</v>
      </c>
      <c r="B12" s="20" t="s">
        <v>649</v>
      </c>
      <c r="C12" s="114" t="n">
        <f aca="false">FLOOR(C10*1000/C11,1)</f>
        <v>22439</v>
      </c>
      <c r="D12" s="114" t="n">
        <f aca="false">FLOOR(D10*1000/D11,1)</f>
        <v>22439</v>
      </c>
      <c r="E12" s="114" t="n">
        <f aca="false">FLOOR(E10*1000/E11,1)</f>
        <v>22439</v>
      </c>
      <c r="F12" s="114" t="n">
        <f aca="false">FLOOR(F10*1000/F11,1)</f>
        <v>7076</v>
      </c>
      <c r="G12" s="114" t="n">
        <f aca="false">FLOOR(G10*1000/G11,1)</f>
        <v>7076</v>
      </c>
      <c r="H12" s="114" t="n">
        <f aca="false">FLOOR(H10*1000/H11,1)</f>
        <v>7076</v>
      </c>
      <c r="I12" s="114" t="n">
        <f aca="false">FLOOR(I10*1000/I11,1)</f>
        <v>6715</v>
      </c>
      <c r="J12" s="114" t="n">
        <f aca="false">FLOOR(J10*1000/J11,1)</f>
        <v>6715</v>
      </c>
      <c r="K12" s="114" t="n">
        <f aca="false">FLOOR(K10*1000/K11,1)</f>
        <v>6715</v>
      </c>
      <c r="L12" s="114" t="n">
        <f aca="false">FLOOR(L10*1000/L11,1)</f>
        <v>4052</v>
      </c>
      <c r="M12" s="114" t="n">
        <f aca="false">FLOOR(M10*1000/M11,1)</f>
        <v>4052</v>
      </c>
      <c r="N12" s="114" t="n">
        <f aca="false">FLOOR(N10*1000/N11,1)</f>
        <v>4052</v>
      </c>
      <c r="O12" s="114" t="n">
        <f aca="false">FLOOR(O10*1000/O11,1)</f>
        <v>1533</v>
      </c>
      <c r="P12" s="114" t="n">
        <f aca="false">FLOOR(P10*1000/P11,1)</f>
        <v>1533</v>
      </c>
      <c r="Q12" s="114" t="n">
        <f aca="false">FLOOR(Q10*1000/Q11,1)</f>
        <v>1533</v>
      </c>
    </row>
    <row r="13" customFormat="false" ht="15" hidden="false" customHeight="true" outlineLevel="0" collapsed="false">
      <c r="A13" s="14" t="s">
        <v>135</v>
      </c>
      <c r="B13" s="20" t="s">
        <v>643</v>
      </c>
      <c r="C13" s="113" t="n">
        <f aca="false">Spec_Rack!C6</f>
        <v>32</v>
      </c>
      <c r="D13" s="113" t="n">
        <f aca="false">Spec_Rack!C6</f>
        <v>32</v>
      </c>
      <c r="E13" s="113" t="n">
        <f aca="false">Spec_Rack!C6</f>
        <v>32</v>
      </c>
      <c r="F13" s="113" t="n">
        <f aca="false">Spec_Rack!D6</f>
        <v>72</v>
      </c>
      <c r="G13" s="113" t="n">
        <f aca="false">Spec_Rack!D6</f>
        <v>72</v>
      </c>
      <c r="H13" s="113" t="n">
        <f aca="false">Spec_Rack!D6</f>
        <v>72</v>
      </c>
      <c r="I13" s="113" t="n">
        <f aca="false">Spec_Rack!E6</f>
        <v>72</v>
      </c>
      <c r="J13" s="113" t="n">
        <f aca="false">Spec_Rack!E6</f>
        <v>72</v>
      </c>
      <c r="K13" s="113" t="n">
        <f aca="false">Spec_Rack!E6</f>
        <v>72</v>
      </c>
      <c r="L13" s="113" t="n">
        <f aca="false">Spec_Rack!F6</f>
        <v>72</v>
      </c>
      <c r="M13" s="113" t="n">
        <f aca="false">Spec_Rack!F6</f>
        <v>72</v>
      </c>
      <c r="N13" s="113" t="n">
        <f aca="false">Spec_Rack!F6</f>
        <v>72</v>
      </c>
      <c r="O13" s="113" t="n">
        <f aca="false">Spec_Rack!G6</f>
        <v>144</v>
      </c>
      <c r="P13" s="113" t="n">
        <f aca="false">Spec_Rack!G6</f>
        <v>144</v>
      </c>
      <c r="Q13" s="113" t="n">
        <f aca="false">Spec_Rack!G6</f>
        <v>144</v>
      </c>
    </row>
    <row r="14" customFormat="false" ht="15" hidden="false" customHeight="true" outlineLevel="0" collapsed="false">
      <c r="A14" s="19" t="s">
        <v>781</v>
      </c>
      <c r="B14" s="20" t="s">
        <v>643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60</v>
      </c>
      <c r="B15" s="15" t="s">
        <v>61</v>
      </c>
      <c r="C15" s="115" t="n">
        <f aca="false">Inputs!D9</f>
        <v>1.1</v>
      </c>
      <c r="D15" s="115" t="n">
        <f aca="false">Inputs!E9</f>
        <v>1.2</v>
      </c>
      <c r="E15" s="115" t="n">
        <f aca="false">Inputs!F9</f>
        <v>1.3</v>
      </c>
      <c r="F15" s="115" t="n">
        <f aca="false">Inputs!D9</f>
        <v>1.1</v>
      </c>
      <c r="G15" s="115" t="n">
        <f aca="false">Inputs!E9</f>
        <v>1.2</v>
      </c>
      <c r="H15" s="115" t="n">
        <f aca="false">Inputs!F9</f>
        <v>1.3</v>
      </c>
      <c r="I15" s="115" t="n">
        <f aca="false">Inputs!D9</f>
        <v>1.1</v>
      </c>
      <c r="J15" s="115" t="n">
        <f aca="false">Inputs!E9</f>
        <v>1.2</v>
      </c>
      <c r="K15" s="115" t="n">
        <f aca="false">Inputs!F9</f>
        <v>1.3</v>
      </c>
      <c r="L15" s="115" t="n">
        <f aca="false">Inputs!D9</f>
        <v>1.1</v>
      </c>
      <c r="M15" s="115" t="n">
        <f aca="false">Inputs!E9</f>
        <v>1.2</v>
      </c>
      <c r="N15" s="115" t="n">
        <f aca="false">Inputs!F9</f>
        <v>1.3</v>
      </c>
      <c r="O15" s="115" t="n">
        <f aca="false">Inputs!D9</f>
        <v>1.1</v>
      </c>
      <c r="P15" s="115" t="n">
        <f aca="false">Inputs!E9</f>
        <v>1.2</v>
      </c>
      <c r="Q15" s="115" t="n">
        <f aca="false">Inputs!F9</f>
        <v>1.3</v>
      </c>
    </row>
    <row r="16" customFormat="false" ht="15" hidden="false" customHeight="true" outlineLevel="0" collapsed="false">
      <c r="A16" s="19" t="s">
        <v>782</v>
      </c>
      <c r="B16" s="15" t="s">
        <v>778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783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784</v>
      </c>
      <c r="B18" s="15" t="s">
        <v>785</v>
      </c>
      <c r="C18" s="116" t="n">
        <f aca="false">Spec_Rack!C11</f>
        <v>0.9</v>
      </c>
      <c r="D18" s="116" t="n">
        <f aca="false">Spec_Rack!C12</f>
        <v>1.1</v>
      </c>
      <c r="E18" s="116" t="n">
        <f aca="false">Spec_Rack!C13</f>
        <v>1.3</v>
      </c>
      <c r="F18" s="116" t="n">
        <f aca="false">Spec_Rack!D11</f>
        <v>2.8</v>
      </c>
      <c r="G18" s="116" t="n">
        <f aca="false">Spec_Rack!D12</f>
        <v>3.1</v>
      </c>
      <c r="H18" s="116" t="n">
        <f aca="false">Spec_Rack!D13</f>
        <v>3.4</v>
      </c>
      <c r="I18" s="116" t="n">
        <f aca="false">Spec_Rack!E11</f>
        <v>4</v>
      </c>
      <c r="J18" s="116" t="n">
        <f aca="false">Spec_Rack!E12</f>
        <v>5</v>
      </c>
      <c r="K18" s="116" t="n">
        <f aca="false">Spec_Rack!E13</f>
        <v>6.5</v>
      </c>
      <c r="L18" s="116" t="n">
        <f aca="false">Spec_Rack!F11</f>
        <v>6.7</v>
      </c>
      <c r="M18" s="116" t="n">
        <f aca="false">Spec_Rack!F12</f>
        <v>7.8</v>
      </c>
      <c r="N18" s="116" t="n">
        <f aca="false">Spec_Rack!F13</f>
        <v>9.1</v>
      </c>
      <c r="O18" s="116" t="n">
        <f aca="false">Spec_Rack!G11</f>
        <v>23.4</v>
      </c>
      <c r="P18" s="116" t="n">
        <f aca="false">Spec_Rack!G12</f>
        <v>31.2</v>
      </c>
      <c r="Q18" s="116" t="n">
        <f aca="false">Spec_Rack!G13</f>
        <v>39</v>
      </c>
    </row>
    <row r="19" customFormat="false" ht="15" hidden="false" customHeight="true" outlineLevel="0" collapsed="false">
      <c r="A19" s="19" t="s">
        <v>786</v>
      </c>
      <c r="B19" s="15" t="s">
        <v>787</v>
      </c>
      <c r="C19" s="117" t="n">
        <f aca="false">C12*C18/1000</f>
        <v>20.1951</v>
      </c>
      <c r="D19" s="117" t="n">
        <f aca="false">D12*D18/1000</f>
        <v>24.6829</v>
      </c>
      <c r="E19" s="117" t="n">
        <f aca="false">E12*E18/1000</f>
        <v>29.1707</v>
      </c>
      <c r="F19" s="117" t="n">
        <f aca="false">F12*F18/1000</f>
        <v>19.8128</v>
      </c>
      <c r="G19" s="117" t="n">
        <f aca="false">G12*G18/1000</f>
        <v>21.9356</v>
      </c>
      <c r="H19" s="117" t="n">
        <f aca="false">H12*H18/1000</f>
        <v>24.0584</v>
      </c>
      <c r="I19" s="117" t="n">
        <f aca="false">I12*I18/1000</f>
        <v>26.86</v>
      </c>
      <c r="J19" s="117" t="n">
        <f aca="false">J12*J18/1000</f>
        <v>33.575</v>
      </c>
      <c r="K19" s="117" t="n">
        <f aca="false">K12*K18/1000</f>
        <v>43.6475</v>
      </c>
      <c r="L19" s="117" t="n">
        <f aca="false">L12*L18/1000</f>
        <v>27.1484</v>
      </c>
      <c r="M19" s="117" t="n">
        <f aca="false">M12*M18/1000</f>
        <v>31.6056</v>
      </c>
      <c r="N19" s="117" t="n">
        <f aca="false">N12*N18/1000</f>
        <v>36.8732</v>
      </c>
      <c r="O19" s="117" t="n">
        <f aca="false">O12*O18/1000</f>
        <v>35.8722</v>
      </c>
      <c r="P19" s="117" t="n">
        <f aca="false">P12*P18/1000</f>
        <v>47.8296</v>
      </c>
      <c r="Q19" s="117" t="n">
        <f aca="false">Q12*Q18/1000</f>
        <v>59.787</v>
      </c>
    </row>
    <row r="20" customFormat="false" ht="15" hidden="false" customHeight="true" outlineLevel="0" collapsed="false">
      <c r="A20" s="14" t="s">
        <v>71</v>
      </c>
      <c r="B20" s="15" t="s">
        <v>57</v>
      </c>
      <c r="C20" s="112" t="n">
        <f aca="false">Inputs!D13</f>
        <v>0.05</v>
      </c>
      <c r="D20" s="112" t="n">
        <f aca="false">Inputs!E13</f>
        <v>0.1</v>
      </c>
      <c r="E20" s="112" t="n">
        <f aca="false">Inputs!F13</f>
        <v>0.15</v>
      </c>
      <c r="F20" s="112" t="n">
        <f aca="false">Inputs!D13</f>
        <v>0.05</v>
      </c>
      <c r="G20" s="112" t="n">
        <f aca="false">Inputs!E13</f>
        <v>0.1</v>
      </c>
      <c r="H20" s="112" t="n">
        <f aca="false">Inputs!F13</f>
        <v>0.15</v>
      </c>
      <c r="I20" s="112" t="n">
        <f aca="false">Inputs!D13</f>
        <v>0.05</v>
      </c>
      <c r="J20" s="112" t="n">
        <f aca="false">Inputs!E13</f>
        <v>0.1</v>
      </c>
      <c r="K20" s="112" t="n">
        <f aca="false">Inputs!F13</f>
        <v>0.15</v>
      </c>
      <c r="L20" s="112" t="n">
        <f aca="false">Inputs!D13</f>
        <v>0.05</v>
      </c>
      <c r="M20" s="112" t="n">
        <f aca="false">Inputs!E13</f>
        <v>0.1</v>
      </c>
      <c r="N20" s="112" t="n">
        <f aca="false">Inputs!F13</f>
        <v>0.15</v>
      </c>
      <c r="O20" s="112" t="n">
        <f aca="false">Inputs!D13</f>
        <v>0.05</v>
      </c>
      <c r="P20" s="112" t="n">
        <f aca="false">Inputs!E13</f>
        <v>0.1</v>
      </c>
      <c r="Q20" s="112" t="n">
        <f aca="false">Inputs!F13</f>
        <v>0.15</v>
      </c>
    </row>
    <row r="21" customFormat="false" ht="15" hidden="false" customHeight="true" outlineLevel="0" collapsed="false">
      <c r="A21" s="14" t="s">
        <v>788</v>
      </c>
      <c r="B21" s="15" t="s">
        <v>787</v>
      </c>
      <c r="C21" s="117" t="n">
        <f aca="false">C19*C20</f>
        <v>1.009755</v>
      </c>
      <c r="D21" s="117" t="n">
        <f aca="false">D19*D20</f>
        <v>2.46829</v>
      </c>
      <c r="E21" s="117" t="n">
        <f aca="false">E19*E20</f>
        <v>4.375605</v>
      </c>
      <c r="F21" s="117" t="n">
        <f aca="false">F19*F20</f>
        <v>0.99064</v>
      </c>
      <c r="G21" s="117" t="n">
        <f aca="false">G19*G20</f>
        <v>2.19356</v>
      </c>
      <c r="H21" s="117" t="n">
        <f aca="false">H19*H20</f>
        <v>3.60876</v>
      </c>
      <c r="I21" s="117" t="n">
        <f aca="false">I19*I20</f>
        <v>1.343</v>
      </c>
      <c r="J21" s="117" t="n">
        <f aca="false">J19*J20</f>
        <v>3.3575</v>
      </c>
      <c r="K21" s="117" t="n">
        <f aca="false">K19*K20</f>
        <v>6.547125</v>
      </c>
      <c r="L21" s="117" t="n">
        <f aca="false">L19*L20</f>
        <v>1.35742</v>
      </c>
      <c r="M21" s="117" t="n">
        <f aca="false">M19*M20</f>
        <v>3.16056</v>
      </c>
      <c r="N21" s="117" t="n">
        <f aca="false">N19*N20</f>
        <v>5.53098</v>
      </c>
      <c r="O21" s="117" t="n">
        <f aca="false">O19*O20</f>
        <v>1.79361</v>
      </c>
      <c r="P21" s="117" t="n">
        <f aca="false">P19*P20</f>
        <v>4.78296</v>
      </c>
      <c r="Q21" s="117" t="n">
        <f aca="false">Q19*Q20</f>
        <v>8.96805</v>
      </c>
    </row>
    <row r="22" customFormat="false" ht="15" hidden="false" customHeight="true" outlineLevel="0" collapsed="false">
      <c r="A22" s="19" t="s">
        <v>789</v>
      </c>
      <c r="B22" s="15" t="s">
        <v>74</v>
      </c>
      <c r="C22" s="113" t="n">
        <f aca="false">Inputs!D14</f>
        <v>300</v>
      </c>
      <c r="D22" s="113" t="n">
        <f aca="false">Inputs!E14</f>
        <v>500</v>
      </c>
      <c r="E22" s="113" t="n">
        <f aca="false">Inputs!F14</f>
        <v>800</v>
      </c>
      <c r="F22" s="113" t="n">
        <f aca="false">Inputs!D14</f>
        <v>300</v>
      </c>
      <c r="G22" s="113" t="n">
        <f aca="false">Inputs!E14</f>
        <v>500</v>
      </c>
      <c r="H22" s="113" t="n">
        <f aca="false">Inputs!F14</f>
        <v>800</v>
      </c>
      <c r="I22" s="113" t="n">
        <f aca="false">Inputs!D14</f>
        <v>300</v>
      </c>
      <c r="J22" s="113" t="n">
        <f aca="false">Inputs!E14</f>
        <v>500</v>
      </c>
      <c r="K22" s="113" t="n">
        <f aca="false">Inputs!F14</f>
        <v>800</v>
      </c>
      <c r="L22" s="113" t="n">
        <f aca="false">Inputs!D14</f>
        <v>300</v>
      </c>
      <c r="M22" s="113" t="n">
        <f aca="false">Inputs!E14</f>
        <v>500</v>
      </c>
      <c r="N22" s="113" t="n">
        <f aca="false">Inputs!F14</f>
        <v>800</v>
      </c>
      <c r="O22" s="113" t="n">
        <f aca="false">Inputs!D14</f>
        <v>300</v>
      </c>
      <c r="P22" s="113" t="n">
        <f aca="false">Inputs!E14</f>
        <v>500</v>
      </c>
      <c r="Q22" s="113" t="n">
        <f aca="false">Inputs!F14</f>
        <v>800</v>
      </c>
    </row>
    <row r="23" customFormat="false" ht="15" hidden="false" customHeight="true" outlineLevel="0" collapsed="false">
      <c r="A23" s="19" t="s">
        <v>789</v>
      </c>
      <c r="B23" s="15" t="s">
        <v>787</v>
      </c>
      <c r="C23" s="117" t="n">
        <f aca="false">C14*C22/1000000000</f>
        <v>0.2154144</v>
      </c>
      <c r="D23" s="117" t="n">
        <f aca="false">D14*D22/1000000000</f>
        <v>0.359024</v>
      </c>
      <c r="E23" s="117" t="n">
        <f aca="false">E14*E22/1000000000</f>
        <v>0.5744384</v>
      </c>
      <c r="F23" s="117" t="n">
        <f aca="false">F14*F22/1000000000</f>
        <v>0.1528416</v>
      </c>
      <c r="G23" s="117" t="n">
        <f aca="false">G14*G22/1000000000</f>
        <v>0.254736</v>
      </c>
      <c r="H23" s="117" t="n">
        <f aca="false">H14*H22/1000000000</f>
        <v>0.4075776</v>
      </c>
      <c r="I23" s="117" t="n">
        <f aca="false">I14*I22/1000000000</f>
        <v>0.145044</v>
      </c>
      <c r="J23" s="117" t="n">
        <f aca="false">J14*J22/1000000000</f>
        <v>0.24174</v>
      </c>
      <c r="K23" s="117" t="n">
        <f aca="false">K14*K22/1000000000</f>
        <v>0.386784</v>
      </c>
      <c r="L23" s="117" t="n">
        <f aca="false">L14*L22/1000000000</f>
        <v>0.0875232</v>
      </c>
      <c r="M23" s="117" t="n">
        <f aca="false">M14*M22/1000000000</f>
        <v>0.145872</v>
      </c>
      <c r="N23" s="117" t="n">
        <f aca="false">N14*N22/1000000000</f>
        <v>0.2333952</v>
      </c>
      <c r="O23" s="117" t="n">
        <f aca="false">O14*O22/1000000000</f>
        <v>0.0662256</v>
      </c>
      <c r="P23" s="117" t="n">
        <f aca="false">P14*P22/1000000000</f>
        <v>0.110376</v>
      </c>
      <c r="Q23" s="117" t="n">
        <f aca="false">Q14*Q22/1000000000</f>
        <v>0.1766016</v>
      </c>
    </row>
    <row r="24" customFormat="false" ht="15" hidden="false" customHeight="true" outlineLevel="0" collapsed="false">
      <c r="A24" s="14" t="s">
        <v>790</v>
      </c>
      <c r="B24" s="15" t="s">
        <v>787</v>
      </c>
      <c r="C24" s="117" t="n">
        <f aca="false">C19+C21+C23</f>
        <v>21.4202694</v>
      </c>
      <c r="D24" s="117" t="n">
        <f aca="false">D19+D21+D23</f>
        <v>27.510214</v>
      </c>
      <c r="E24" s="117" t="n">
        <f aca="false">E19+E21+E23</f>
        <v>34.1207434</v>
      </c>
      <c r="F24" s="117" t="n">
        <f aca="false">F19+F21+F23</f>
        <v>20.9562816</v>
      </c>
      <c r="G24" s="117" t="n">
        <f aca="false">G19+G21+G23</f>
        <v>24.383896</v>
      </c>
      <c r="H24" s="117" t="n">
        <f aca="false">H19+H21+H23</f>
        <v>28.0747376</v>
      </c>
      <c r="I24" s="117" t="n">
        <f aca="false">I19+I21+I23</f>
        <v>28.348044</v>
      </c>
      <c r="J24" s="117" t="n">
        <f aca="false">J19+J21+J23</f>
        <v>37.17424</v>
      </c>
      <c r="K24" s="117" t="n">
        <f aca="false">K19+K21+K23</f>
        <v>50.581409</v>
      </c>
      <c r="L24" s="117" t="n">
        <f aca="false">L19+L21+L23</f>
        <v>28.5933432</v>
      </c>
      <c r="M24" s="117" t="n">
        <f aca="false">M19+M21+M23</f>
        <v>34.912032</v>
      </c>
      <c r="N24" s="117" t="n">
        <f aca="false">N19+N21+N23</f>
        <v>42.6375752</v>
      </c>
      <c r="O24" s="117" t="n">
        <f aca="false">O19+O21+O23</f>
        <v>37.7320356</v>
      </c>
      <c r="P24" s="117" t="n">
        <f aca="false">P19+P21+P23</f>
        <v>52.722936</v>
      </c>
      <c r="Q24" s="117" t="n">
        <f aca="false">Q19+Q21+Q23</f>
        <v>68.9316516</v>
      </c>
    </row>
    <row r="25" customFormat="false" ht="15" hidden="false" customHeight="true" outlineLevel="0" collapsed="false">
      <c r="A25" s="19" t="s">
        <v>77</v>
      </c>
      <c r="B25" s="15" t="s">
        <v>787</v>
      </c>
      <c r="C25" s="117" t="n">
        <f aca="false">C8*Inputs!D16/1000</f>
        <v>0.02</v>
      </c>
      <c r="D25" s="117" t="n">
        <f aca="false">D8*Inputs!E16/1000</f>
        <v>0.02</v>
      </c>
      <c r="E25" s="117" t="n">
        <f aca="false">E8*Inputs!F16/1000</f>
        <v>0.02</v>
      </c>
      <c r="F25" s="117" t="n">
        <f aca="false">F8*Inputs!D16/1000</f>
        <v>0.02</v>
      </c>
      <c r="G25" s="117" t="n">
        <f aca="false">G8*Inputs!E16/1000</f>
        <v>0.02</v>
      </c>
      <c r="H25" s="117" t="n">
        <f aca="false">H8*Inputs!F16/1000</f>
        <v>0.02</v>
      </c>
      <c r="I25" s="117" t="n">
        <f aca="false">I8*Inputs!D16/1000</f>
        <v>0.02</v>
      </c>
      <c r="J25" s="117" t="n">
        <f aca="false">J8*Inputs!E16/1000</f>
        <v>0.02</v>
      </c>
      <c r="K25" s="117" t="n">
        <f aca="false">K8*Inputs!F16/1000</f>
        <v>0.02</v>
      </c>
      <c r="L25" s="117" t="n">
        <f aca="false">L8*Inputs!D16/1000</f>
        <v>0.02</v>
      </c>
      <c r="M25" s="117" t="n">
        <f aca="false">M8*Inputs!E16/1000</f>
        <v>0.02</v>
      </c>
      <c r="N25" s="117" t="n">
        <f aca="false">N8*Inputs!F16/1000</f>
        <v>0.02</v>
      </c>
      <c r="O25" s="117" t="n">
        <f aca="false">O8*Inputs!D16/1000</f>
        <v>0.02</v>
      </c>
      <c r="P25" s="117" t="n">
        <f aca="false">P8*Inputs!E16/1000</f>
        <v>0.02</v>
      </c>
      <c r="Q25" s="117" t="n">
        <f aca="false">Q8*Inputs!F16/1000</f>
        <v>0.02</v>
      </c>
    </row>
    <row r="26" customFormat="false" ht="15" hidden="false" customHeight="true" outlineLevel="0" collapsed="false">
      <c r="A26" s="19" t="s">
        <v>791</v>
      </c>
      <c r="B26" s="15" t="s">
        <v>787</v>
      </c>
      <c r="C26" s="117" t="n">
        <f aca="false">C8*Inputs!D17/1000</f>
        <v>3</v>
      </c>
      <c r="D26" s="117" t="n">
        <f aca="false">D8*Inputs!E17/1000</f>
        <v>3.6</v>
      </c>
      <c r="E26" s="117" t="n">
        <f aca="false">E8*Inputs!F17/1000</f>
        <v>4.5</v>
      </c>
      <c r="F26" s="117" t="n">
        <f aca="false">F8*Inputs!D17/1000</f>
        <v>3</v>
      </c>
      <c r="G26" s="117" t="n">
        <f aca="false">G8*Inputs!E17/1000</f>
        <v>3.6</v>
      </c>
      <c r="H26" s="117" t="n">
        <f aca="false">H8*Inputs!F17/1000</f>
        <v>4.5</v>
      </c>
      <c r="I26" s="117" t="n">
        <f aca="false">I8*Inputs!D17/1000</f>
        <v>3</v>
      </c>
      <c r="J26" s="117" t="n">
        <f aca="false">J8*Inputs!E17/1000</f>
        <v>3.6</v>
      </c>
      <c r="K26" s="117" t="n">
        <f aca="false">K8*Inputs!F17/1000</f>
        <v>4.5</v>
      </c>
      <c r="L26" s="117" t="n">
        <f aca="false">L8*Inputs!D17/1000</f>
        <v>3</v>
      </c>
      <c r="M26" s="117" t="n">
        <f aca="false">M8*Inputs!E17/1000</f>
        <v>3.6</v>
      </c>
      <c r="N26" s="117" t="n">
        <f aca="false">N8*Inputs!F17/1000</f>
        <v>4.5</v>
      </c>
      <c r="O26" s="117" t="n">
        <f aca="false">O8*Inputs!D17/1000</f>
        <v>3</v>
      </c>
      <c r="P26" s="117" t="n">
        <f aca="false">P8*Inputs!E17/1000</f>
        <v>3.6</v>
      </c>
      <c r="Q26" s="117" t="n">
        <f aca="false">Q8*Inputs!F17/1000</f>
        <v>4.5</v>
      </c>
    </row>
    <row r="27" customFormat="false" ht="15" hidden="false" customHeight="true" outlineLevel="0" collapsed="false">
      <c r="A27" s="19" t="s">
        <v>792</v>
      </c>
      <c r="B27" s="15" t="s">
        <v>787</v>
      </c>
      <c r="C27" s="117" t="n">
        <f aca="false">C8*Inputs!D18/1000</f>
        <v>3.8</v>
      </c>
      <c r="D27" s="117" t="n">
        <f aca="false">D8*Inputs!E18/1000</f>
        <v>4.5</v>
      </c>
      <c r="E27" s="117" t="n">
        <f aca="false">E8*Inputs!F18/1000</f>
        <v>5.5</v>
      </c>
      <c r="F27" s="117" t="n">
        <f aca="false">F8*Inputs!D18/1000</f>
        <v>3.8</v>
      </c>
      <c r="G27" s="117" t="n">
        <f aca="false">G8*Inputs!E18/1000</f>
        <v>4.5</v>
      </c>
      <c r="H27" s="117" t="n">
        <f aca="false">H8*Inputs!F18/1000</f>
        <v>5.5</v>
      </c>
      <c r="I27" s="117" t="n">
        <f aca="false">I8*Inputs!D18/1000</f>
        <v>3.8</v>
      </c>
      <c r="J27" s="117" t="n">
        <f aca="false">J8*Inputs!E18/1000</f>
        <v>4.5</v>
      </c>
      <c r="K27" s="117" t="n">
        <f aca="false">K8*Inputs!F18/1000</f>
        <v>5.5</v>
      </c>
      <c r="L27" s="117" t="n">
        <f aca="false">L8*Inputs!D18/1000</f>
        <v>3.8</v>
      </c>
      <c r="M27" s="117" t="n">
        <f aca="false">M8*Inputs!E18/1000</f>
        <v>4.5</v>
      </c>
      <c r="N27" s="117" t="n">
        <f aca="false">N8*Inputs!F18/1000</f>
        <v>5.5</v>
      </c>
      <c r="O27" s="117" t="n">
        <f aca="false">O8*Inputs!D18/1000</f>
        <v>3.8</v>
      </c>
      <c r="P27" s="117" t="n">
        <f aca="false">P8*Inputs!E18/1000</f>
        <v>4.5</v>
      </c>
      <c r="Q27" s="117" t="n">
        <f aca="false">Q8*Inputs!F18/1000</f>
        <v>5.5</v>
      </c>
    </row>
    <row r="28" customFormat="false" ht="15" hidden="false" customHeight="true" outlineLevel="0" collapsed="false">
      <c r="A28" s="19" t="s">
        <v>793</v>
      </c>
      <c r="B28" s="15" t="s">
        <v>787</v>
      </c>
      <c r="C28" s="117" t="n">
        <f aca="false">C8*Inputs!D19/1000</f>
        <v>2</v>
      </c>
      <c r="D28" s="117" t="n">
        <f aca="false">D8*Inputs!E19/1000</f>
        <v>2.5</v>
      </c>
      <c r="E28" s="117" t="n">
        <f aca="false">E8*Inputs!F19/1000</f>
        <v>3.2</v>
      </c>
      <c r="F28" s="117" t="n">
        <f aca="false">F8*Inputs!D19/1000</f>
        <v>2</v>
      </c>
      <c r="G28" s="117" t="n">
        <f aca="false">G8*Inputs!E19/1000</f>
        <v>2.5</v>
      </c>
      <c r="H28" s="117" t="n">
        <f aca="false">H8*Inputs!F19/1000</f>
        <v>3.2</v>
      </c>
      <c r="I28" s="117" t="n">
        <f aca="false">I8*Inputs!D19/1000</f>
        <v>2</v>
      </c>
      <c r="J28" s="117" t="n">
        <f aca="false">J8*Inputs!E19/1000</f>
        <v>2.5</v>
      </c>
      <c r="K28" s="117" t="n">
        <f aca="false">K8*Inputs!F19/1000</f>
        <v>3.2</v>
      </c>
      <c r="L28" s="117" t="n">
        <f aca="false">L8*Inputs!D19/1000</f>
        <v>2</v>
      </c>
      <c r="M28" s="117" t="n">
        <f aca="false">M8*Inputs!E19/1000</f>
        <v>2.5</v>
      </c>
      <c r="N28" s="117" t="n">
        <f aca="false">N8*Inputs!F19/1000</f>
        <v>3.2</v>
      </c>
      <c r="O28" s="117" t="n">
        <f aca="false">O8*Inputs!D19/1000</f>
        <v>2</v>
      </c>
      <c r="P28" s="117" t="n">
        <f aca="false">P8*Inputs!E19/1000</f>
        <v>2.5</v>
      </c>
      <c r="Q28" s="117" t="n">
        <f aca="false">Q8*Inputs!F19/1000</f>
        <v>3.2</v>
      </c>
    </row>
    <row r="29" customFormat="false" ht="15" hidden="false" customHeight="true" outlineLevel="0" collapsed="false">
      <c r="A29" s="19" t="s">
        <v>794</v>
      </c>
      <c r="B29" s="15" t="s">
        <v>787</v>
      </c>
      <c r="C29" s="117" t="n">
        <f aca="false">C8*Inputs!D20/1000</f>
        <v>0.3</v>
      </c>
      <c r="D29" s="117" t="n">
        <f aca="false">D8*Inputs!E20/1000</f>
        <v>0.4</v>
      </c>
      <c r="E29" s="117" t="n">
        <f aca="false">E8*Inputs!F20/1000</f>
        <v>0.5</v>
      </c>
      <c r="F29" s="117" t="n">
        <f aca="false">F8*Inputs!D20/1000</f>
        <v>0.3</v>
      </c>
      <c r="G29" s="117" t="n">
        <f aca="false">G8*Inputs!E20/1000</f>
        <v>0.4</v>
      </c>
      <c r="H29" s="117" t="n">
        <f aca="false">H8*Inputs!F20/1000</f>
        <v>0.5</v>
      </c>
      <c r="I29" s="117" t="n">
        <f aca="false">I8*Inputs!D20/1000</f>
        <v>0.3</v>
      </c>
      <c r="J29" s="117" t="n">
        <f aca="false">J8*Inputs!E20/1000</f>
        <v>0.4</v>
      </c>
      <c r="K29" s="117" t="n">
        <f aca="false">K8*Inputs!F20/1000</f>
        <v>0.5</v>
      </c>
      <c r="L29" s="117" t="n">
        <f aca="false">L8*Inputs!D20/1000</f>
        <v>0.3</v>
      </c>
      <c r="M29" s="117" t="n">
        <f aca="false">M8*Inputs!E20/1000</f>
        <v>0.4</v>
      </c>
      <c r="N29" s="117" t="n">
        <f aca="false">N8*Inputs!F20/1000</f>
        <v>0.5</v>
      </c>
      <c r="O29" s="117" t="n">
        <f aca="false">O8*Inputs!D20/1000</f>
        <v>0.3</v>
      </c>
      <c r="P29" s="117" t="n">
        <f aca="false">P8*Inputs!E20/1000</f>
        <v>0.4</v>
      </c>
      <c r="Q29" s="117" t="n">
        <f aca="false">Q8*Inputs!F20/1000</f>
        <v>0.5</v>
      </c>
    </row>
    <row r="30" customFormat="false" ht="15" hidden="false" customHeight="true" outlineLevel="0" collapsed="false">
      <c r="A30" s="19" t="s">
        <v>795</v>
      </c>
      <c r="B30" s="15" t="s">
        <v>57</v>
      </c>
      <c r="C30" s="112" t="n">
        <f aca="false">Inputs!D21</f>
        <v>0.12</v>
      </c>
      <c r="D30" s="112" t="n">
        <f aca="false">Inputs!E21</f>
        <v>0.15</v>
      </c>
      <c r="E30" s="112" t="n">
        <f aca="false">Inputs!F21</f>
        <v>0.18</v>
      </c>
      <c r="F30" s="112" t="n">
        <f aca="false">Inputs!D21</f>
        <v>0.12</v>
      </c>
      <c r="G30" s="112" t="n">
        <f aca="false">Inputs!E21</f>
        <v>0.15</v>
      </c>
      <c r="H30" s="112" t="n">
        <f aca="false">Inputs!F21</f>
        <v>0.18</v>
      </c>
      <c r="I30" s="112" t="n">
        <f aca="false">Inputs!D21</f>
        <v>0.12</v>
      </c>
      <c r="J30" s="112" t="n">
        <f aca="false">Inputs!E21</f>
        <v>0.15</v>
      </c>
      <c r="K30" s="112" t="n">
        <f aca="false">Inputs!F21</f>
        <v>0.18</v>
      </c>
      <c r="L30" s="112" t="n">
        <f aca="false">Inputs!D21</f>
        <v>0.12</v>
      </c>
      <c r="M30" s="112" t="n">
        <f aca="false">Inputs!E21</f>
        <v>0.15</v>
      </c>
      <c r="N30" s="112" t="n">
        <f aca="false">Inputs!F21</f>
        <v>0.18</v>
      </c>
      <c r="O30" s="112" t="n">
        <f aca="false">Inputs!D21</f>
        <v>0.12</v>
      </c>
      <c r="P30" s="112" t="n">
        <f aca="false">Inputs!E21</f>
        <v>0.15</v>
      </c>
      <c r="Q30" s="112" t="n">
        <f aca="false">Inputs!F21</f>
        <v>0.18</v>
      </c>
    </row>
    <row r="31" customFormat="false" ht="15" hidden="false" customHeight="true" outlineLevel="0" collapsed="false">
      <c r="A31" s="19" t="s">
        <v>87</v>
      </c>
      <c r="B31" s="15" t="s">
        <v>787</v>
      </c>
      <c r="C31" s="117" t="n">
        <f aca="false">(C26+C27+C28+C29)*C30</f>
        <v>1.092</v>
      </c>
      <c r="D31" s="117" t="n">
        <f aca="false">(D26+D27+D28+D29)*D30</f>
        <v>1.65</v>
      </c>
      <c r="E31" s="117" t="n">
        <f aca="false">(E26+E27+E28+E29)*E30</f>
        <v>2.466</v>
      </c>
      <c r="F31" s="117" t="n">
        <f aca="false">(F26+F27+F28+F29)*F30</f>
        <v>1.092</v>
      </c>
      <c r="G31" s="117" t="n">
        <f aca="false">(G26+G27+G28+G29)*G30</f>
        <v>1.65</v>
      </c>
      <c r="H31" s="117" t="n">
        <f aca="false">(H26+H27+H28+H29)*H30</f>
        <v>2.466</v>
      </c>
      <c r="I31" s="117" t="n">
        <f aca="false">(I26+I27+I28+I29)*I30</f>
        <v>1.092</v>
      </c>
      <c r="J31" s="117" t="n">
        <f aca="false">(J26+J27+J28+J29)*J30</f>
        <v>1.65</v>
      </c>
      <c r="K31" s="117" t="n">
        <f aca="false">(K26+K27+K28+K29)*K30</f>
        <v>2.466</v>
      </c>
      <c r="L31" s="117" t="n">
        <f aca="false">(L26+L27+L28+L29)*L30</f>
        <v>1.092</v>
      </c>
      <c r="M31" s="117" t="n">
        <f aca="false">(M26+M27+M28+M29)*M30</f>
        <v>1.65</v>
      </c>
      <c r="N31" s="117" t="n">
        <f aca="false">(N26+N27+N28+N29)*N30</f>
        <v>2.466</v>
      </c>
      <c r="O31" s="117" t="n">
        <f aca="false">(O26+O27+O28+O29)*O30</f>
        <v>1.092</v>
      </c>
      <c r="P31" s="117" t="n">
        <f aca="false">(P26+P27+P28+P29)*P30</f>
        <v>1.65</v>
      </c>
      <c r="Q31" s="117" t="n">
        <f aca="false">(Q26+Q27+Q28+Q29)*Q30</f>
        <v>2.466</v>
      </c>
    </row>
    <row r="32" customFormat="false" ht="15" hidden="false" customHeight="true" outlineLevel="0" collapsed="false">
      <c r="A32" s="19" t="s">
        <v>796</v>
      </c>
      <c r="B32" s="15" t="s">
        <v>787</v>
      </c>
      <c r="C32" s="117" t="n">
        <f aca="false">C25+C26+C27+C28+C29+C31</f>
        <v>10.212</v>
      </c>
      <c r="D32" s="117" t="n">
        <f aca="false">D25+D26+D27+D28+D29+D31</f>
        <v>12.67</v>
      </c>
      <c r="E32" s="117" t="n">
        <f aca="false">E25+E26+E27+E28+E29+E31</f>
        <v>16.186</v>
      </c>
      <c r="F32" s="117" t="n">
        <f aca="false">F25+F26+F27+F28+F29+F31</f>
        <v>10.212</v>
      </c>
      <c r="G32" s="117" t="n">
        <f aca="false">G25+G26+G27+G28+G29+G31</f>
        <v>12.67</v>
      </c>
      <c r="H32" s="117" t="n">
        <f aca="false">H25+H26+H27+H28+H29+H31</f>
        <v>16.186</v>
      </c>
      <c r="I32" s="117" t="n">
        <f aca="false">I25+I26+I27+I28+I29+I31</f>
        <v>10.212</v>
      </c>
      <c r="J32" s="117" t="n">
        <f aca="false">J25+J26+J27+J28+J29+J31</f>
        <v>12.67</v>
      </c>
      <c r="K32" s="117" t="n">
        <f aca="false">K25+K26+K27+K28+K29+K31</f>
        <v>16.186</v>
      </c>
      <c r="L32" s="117" t="n">
        <f aca="false">L25+L26+L27+L28+L29+L31</f>
        <v>10.212</v>
      </c>
      <c r="M32" s="117" t="n">
        <f aca="false">M25+M26+M27+M28+M29+M31</f>
        <v>12.67</v>
      </c>
      <c r="N32" s="117" t="n">
        <f aca="false">N25+N26+N27+N28+N29+N31</f>
        <v>16.186</v>
      </c>
      <c r="O32" s="117" t="n">
        <f aca="false">O25+O26+O27+O28+O29+O31</f>
        <v>10.212</v>
      </c>
      <c r="P32" s="117" t="n">
        <f aca="false">P25+P26+P27+P28+P29+P31</f>
        <v>12.67</v>
      </c>
      <c r="Q32" s="117" t="n">
        <f aca="false">Q25+Q26+Q27+Q28+Q29+Q31</f>
        <v>16.186</v>
      </c>
    </row>
    <row r="33" customFormat="false" ht="15" hidden="false" customHeight="true" outlineLevel="0" collapsed="false">
      <c r="A33" s="19" t="s">
        <v>797</v>
      </c>
      <c r="B33" s="15" t="s">
        <v>787</v>
      </c>
      <c r="C33" s="118" t="n">
        <f aca="false">C24+C32</f>
        <v>31.6322694</v>
      </c>
      <c r="D33" s="118" t="n">
        <f aca="false">D24+D32</f>
        <v>40.180214</v>
      </c>
      <c r="E33" s="118" t="n">
        <f aca="false">E24+E32</f>
        <v>50.3067434</v>
      </c>
      <c r="F33" s="118" t="n">
        <f aca="false">F24+F32</f>
        <v>31.1682816</v>
      </c>
      <c r="G33" s="118" t="n">
        <f aca="false">G24+G32</f>
        <v>37.053896</v>
      </c>
      <c r="H33" s="118" t="n">
        <f aca="false">H24+H32</f>
        <v>44.2607376</v>
      </c>
      <c r="I33" s="118" t="n">
        <f aca="false">I24+I32</f>
        <v>38.560044</v>
      </c>
      <c r="J33" s="118" t="n">
        <f aca="false">J24+J32</f>
        <v>49.84424</v>
      </c>
      <c r="K33" s="118" t="n">
        <f aca="false">K24+K32</f>
        <v>66.767409</v>
      </c>
      <c r="L33" s="118" t="n">
        <f aca="false">L24+L32</f>
        <v>38.8053432</v>
      </c>
      <c r="M33" s="118" t="n">
        <f aca="false">M24+M32</f>
        <v>47.582032</v>
      </c>
      <c r="N33" s="118" t="n">
        <f aca="false">N24+N32</f>
        <v>58.8235752</v>
      </c>
      <c r="O33" s="118" t="n">
        <f aca="false">O24+O32</f>
        <v>47.9440356</v>
      </c>
      <c r="P33" s="118" t="n">
        <f aca="false">P24+P32</f>
        <v>65.392936</v>
      </c>
      <c r="Q33" s="118" t="n">
        <f aca="false">Q24+Q32</f>
        <v>85.1176516</v>
      </c>
    </row>
    <row r="34" customFormat="false" ht="15" hidden="false" customHeight="true" outlineLevel="0" collapsed="false">
      <c r="A34" s="19" t="s">
        <v>798</v>
      </c>
      <c r="B34" s="15" t="s">
        <v>799</v>
      </c>
      <c r="C34" s="119" t="n">
        <f aca="false">C33*1000000/C14</f>
        <v>44.0531404585766</v>
      </c>
      <c r="D34" s="119" t="n">
        <f aca="false">D33*1000000/D14</f>
        <v>55.9575599402826</v>
      </c>
      <c r="E34" s="119" t="n">
        <f aca="false">E33*1000000/E14</f>
        <v>70.0604185235527</v>
      </c>
      <c r="F34" s="119" t="n">
        <f aca="false">F33*1000000/F14</f>
        <v>61.1776144714528</v>
      </c>
      <c r="G34" s="119" t="n">
        <f aca="false">G33*1000000/G14</f>
        <v>72.72999497519</v>
      </c>
      <c r="H34" s="119" t="n">
        <f aca="false">H33*1000000/H14</f>
        <v>86.8757019031468</v>
      </c>
      <c r="I34" s="119" t="n">
        <f aca="false">I33*1000000/I14</f>
        <v>79.7551998014396</v>
      </c>
      <c r="J34" s="119" t="n">
        <f aca="false">J33*1000000/J14</f>
        <v>103.094729875072</v>
      </c>
      <c r="K34" s="119" t="n">
        <f aca="false">K33*1000000/K14</f>
        <v>138.097561429635</v>
      </c>
      <c r="L34" s="119" t="n">
        <f aca="false">L33*1000000/L14</f>
        <v>133.011623889437</v>
      </c>
      <c r="M34" s="119" t="n">
        <f aca="false">M33*1000000/M14</f>
        <v>163.095151914007</v>
      </c>
      <c r="N34" s="119" t="n">
        <f aca="false">N33*1000000/N14</f>
        <v>201.627369200395</v>
      </c>
      <c r="O34" s="119" t="n">
        <f aca="false">O33*1000000/O14</f>
        <v>217.185056534029</v>
      </c>
      <c r="P34" s="119" t="n">
        <f aca="false">P33*1000000/P14</f>
        <v>296.228056823947</v>
      </c>
      <c r="Q34" s="119" t="n">
        <f aca="false">Q33*1000000/Q14</f>
        <v>385.580432340364</v>
      </c>
    </row>
    <row r="35" customFormat="false" ht="15" hidden="false" customHeight="true" outlineLevel="0" collapsed="false">
      <c r="A35" s="19" t="s">
        <v>800</v>
      </c>
      <c r="B35" s="15" t="s">
        <v>785</v>
      </c>
      <c r="C35" s="119" t="n">
        <f aca="false">C33*1000/C8</f>
        <v>31.6322694</v>
      </c>
      <c r="D35" s="119" t="n">
        <f aca="false">D33*1000/D8</f>
        <v>40.180214</v>
      </c>
      <c r="E35" s="119" t="n">
        <f aca="false">E33*1000/E8</f>
        <v>50.3067434</v>
      </c>
      <c r="F35" s="119" t="n">
        <f aca="false">F33*1000/F8</f>
        <v>31.1682816</v>
      </c>
      <c r="G35" s="119" t="n">
        <f aca="false">G33*1000/G8</f>
        <v>37.053896</v>
      </c>
      <c r="H35" s="119" t="n">
        <f aca="false">H33*1000/H8</f>
        <v>44.2607376</v>
      </c>
      <c r="I35" s="119" t="n">
        <f aca="false">I33*1000/I8</f>
        <v>38.560044</v>
      </c>
      <c r="J35" s="119" t="n">
        <f aca="false">J33*1000/J8</f>
        <v>49.84424</v>
      </c>
      <c r="K35" s="119" t="n">
        <f aca="false">K33*1000/K8</f>
        <v>66.767409</v>
      </c>
      <c r="L35" s="119" t="n">
        <f aca="false">L33*1000/L8</f>
        <v>38.8053432</v>
      </c>
      <c r="M35" s="119" t="n">
        <f aca="false">M33*1000/M8</f>
        <v>47.582032</v>
      </c>
      <c r="N35" s="119" t="n">
        <f aca="false">N33*1000/N8</f>
        <v>58.8235752</v>
      </c>
      <c r="O35" s="119" t="n">
        <f aca="false">O33*1000/O8</f>
        <v>47.9440356</v>
      </c>
      <c r="P35" s="119" t="n">
        <f aca="false">P33*1000/P8</f>
        <v>65.392936</v>
      </c>
      <c r="Q35" s="119" t="n">
        <f aca="false">Q33*1000/Q8</f>
        <v>85.1176516</v>
      </c>
    </row>
    <row r="36" customFormat="false" ht="15" hidden="false" customHeight="true" outlineLevel="0" collapsed="false">
      <c r="A36" s="19" t="s">
        <v>801</v>
      </c>
      <c r="B36" s="15" t="s">
        <v>785</v>
      </c>
      <c r="C36" s="117" t="n">
        <f aca="false">C32*1000/C8</f>
        <v>10.212</v>
      </c>
      <c r="D36" s="117" t="n">
        <f aca="false">D32*1000/D8</f>
        <v>12.67</v>
      </c>
      <c r="E36" s="117" t="n">
        <f aca="false">E32*1000/E8</f>
        <v>16.186</v>
      </c>
      <c r="F36" s="117" t="n">
        <f aca="false">F32*1000/F8</f>
        <v>10.212</v>
      </c>
      <c r="G36" s="117" t="n">
        <f aca="false">G32*1000/G8</f>
        <v>12.67</v>
      </c>
      <c r="H36" s="117" t="n">
        <f aca="false">H32*1000/H8</f>
        <v>16.186</v>
      </c>
      <c r="I36" s="117" t="n">
        <f aca="false">I32*1000/I8</f>
        <v>10.212</v>
      </c>
      <c r="J36" s="117" t="n">
        <f aca="false">J32*1000/J8</f>
        <v>12.67</v>
      </c>
      <c r="K36" s="117" t="n">
        <f aca="false">K32*1000/K8</f>
        <v>16.186</v>
      </c>
      <c r="L36" s="117" t="n">
        <f aca="false">L32*1000/L8</f>
        <v>10.212</v>
      </c>
      <c r="M36" s="117" t="n">
        <f aca="false">M32*1000/M8</f>
        <v>12.67</v>
      </c>
      <c r="N36" s="117" t="n">
        <f aca="false">N32*1000/N8</f>
        <v>16.186</v>
      </c>
      <c r="O36" s="117" t="n">
        <f aca="false">O32*1000/O8</f>
        <v>10.212</v>
      </c>
      <c r="P36" s="117" t="n">
        <f aca="false">P32*1000/P8</f>
        <v>12.67</v>
      </c>
      <c r="Q36" s="117" t="n">
        <f aca="false">Q32*1000/Q8</f>
        <v>16.186</v>
      </c>
    </row>
    <row r="37" customFormat="false" ht="15" hidden="false" customHeight="true" outlineLevel="0" collapsed="false">
      <c r="A37" s="24" t="s">
        <v>802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803</v>
      </c>
      <c r="B38" s="20" t="s">
        <v>92</v>
      </c>
      <c r="C38" s="120" t="n">
        <f aca="false">Inputs!D23</f>
        <v>6</v>
      </c>
      <c r="D38" s="120" t="n">
        <f aca="false">Inputs!E23</f>
        <v>6</v>
      </c>
      <c r="E38" s="120" t="n">
        <f aca="false">Inputs!F23</f>
        <v>4</v>
      </c>
      <c r="F38" s="120" t="n">
        <f aca="false">Inputs!D23</f>
        <v>6</v>
      </c>
      <c r="G38" s="120" t="n">
        <f aca="false">Inputs!E23</f>
        <v>6</v>
      </c>
      <c r="H38" s="120" t="n">
        <f aca="false">Inputs!F23</f>
        <v>4</v>
      </c>
      <c r="I38" s="120" t="n">
        <f aca="false">Inputs!D23</f>
        <v>6</v>
      </c>
      <c r="J38" s="120" t="n">
        <f aca="false">Inputs!E23</f>
        <v>6</v>
      </c>
      <c r="K38" s="120" t="n">
        <f aca="false">Inputs!F23</f>
        <v>4</v>
      </c>
      <c r="L38" s="120" t="n">
        <f aca="false">Inputs!D23</f>
        <v>6</v>
      </c>
      <c r="M38" s="120" t="n">
        <f aca="false">Inputs!E23</f>
        <v>6</v>
      </c>
      <c r="N38" s="120" t="n">
        <f aca="false">Inputs!F23</f>
        <v>4</v>
      </c>
      <c r="O38" s="120" t="n">
        <f aca="false">Inputs!D23</f>
        <v>6</v>
      </c>
      <c r="P38" s="120" t="n">
        <f aca="false">Inputs!E23</f>
        <v>6</v>
      </c>
      <c r="Q38" s="120" t="n">
        <f aca="false">Inputs!F23</f>
        <v>4</v>
      </c>
    </row>
    <row r="39" customFormat="false" ht="15" hidden="false" customHeight="true" outlineLevel="0" collapsed="false">
      <c r="A39" s="14" t="s">
        <v>804</v>
      </c>
      <c r="B39" s="15" t="s">
        <v>787</v>
      </c>
      <c r="C39" s="117" t="n">
        <f aca="false">C24/C38</f>
        <v>3.5700449</v>
      </c>
      <c r="D39" s="117" t="n">
        <f aca="false">D24/D38</f>
        <v>4.58503566666667</v>
      </c>
      <c r="E39" s="117" t="n">
        <f aca="false">E24/E38</f>
        <v>8.53018585</v>
      </c>
      <c r="F39" s="117" t="n">
        <f aca="false">F24/F38</f>
        <v>3.4927136</v>
      </c>
      <c r="G39" s="117" t="n">
        <f aca="false">G24/G38</f>
        <v>4.06398266666667</v>
      </c>
      <c r="H39" s="117" t="n">
        <f aca="false">H24/H38</f>
        <v>7.0186844</v>
      </c>
      <c r="I39" s="117" t="n">
        <f aca="false">I24/I38</f>
        <v>4.724674</v>
      </c>
      <c r="J39" s="117" t="n">
        <f aca="false">J24/J38</f>
        <v>6.19570666666667</v>
      </c>
      <c r="K39" s="117" t="n">
        <f aca="false">K24/K38</f>
        <v>12.64535225</v>
      </c>
      <c r="L39" s="117" t="n">
        <f aca="false">L24/L38</f>
        <v>4.7655572</v>
      </c>
      <c r="M39" s="117" t="n">
        <f aca="false">M24/M38</f>
        <v>5.818672</v>
      </c>
      <c r="N39" s="117" t="n">
        <f aca="false">N24/N38</f>
        <v>10.6593938</v>
      </c>
      <c r="O39" s="117" t="n">
        <f aca="false">O24/O38</f>
        <v>6.2886726</v>
      </c>
      <c r="P39" s="117" t="n">
        <f aca="false">P24/P38</f>
        <v>8.787156</v>
      </c>
      <c r="Q39" s="117" t="n">
        <f aca="false">Q24/Q38</f>
        <v>17.2329129</v>
      </c>
    </row>
    <row r="40" customFormat="false" ht="15" hidden="false" customHeight="true" outlineLevel="0" collapsed="false">
      <c r="A40" s="19" t="s">
        <v>805</v>
      </c>
      <c r="B40" s="15" t="s">
        <v>787</v>
      </c>
      <c r="C40" s="117" t="n">
        <f aca="false">(C26/Inputs!D24+C27/Inputs!D25+C28/Inputs!D26+C29/Inputs!D27)*(1+C30)</f>
        <v>0.507733333333333</v>
      </c>
      <c r="D40" s="117" t="n">
        <f aca="false">(D26/Inputs!E24+D27/Inputs!E25+D28/Inputs!E26+D29/Inputs!E27)*(1+D30)</f>
        <v>0.634416666666667</v>
      </c>
      <c r="E40" s="117" t="n">
        <f aca="false">(E26/Inputs!F24+E27/Inputs!F25+E28/Inputs!F26+E29/Inputs!F27)*(1+E30)</f>
        <v>0.812233333333334</v>
      </c>
      <c r="F40" s="117" t="n">
        <f aca="false">(F26/Inputs!D24+F27/Inputs!D25+F28/Inputs!D26+F29/Inputs!D27)*(1+F30)</f>
        <v>0.507733333333333</v>
      </c>
      <c r="G40" s="117" t="n">
        <f aca="false">(G26/Inputs!E24+G27/Inputs!E25+G28/Inputs!E26+G29/Inputs!E27)*(1+G30)</f>
        <v>0.634416666666667</v>
      </c>
      <c r="H40" s="117" t="n">
        <f aca="false">(H26/Inputs!F24+H27/Inputs!F25+H28/Inputs!F26+H29/Inputs!F27)*(1+H30)</f>
        <v>0.812233333333334</v>
      </c>
      <c r="I40" s="117" t="n">
        <f aca="false">(I26/Inputs!D24+I27/Inputs!D25+I28/Inputs!D26+I29/Inputs!D27)*(1+I30)</f>
        <v>0.507733333333333</v>
      </c>
      <c r="J40" s="117" t="n">
        <f aca="false">(J26/Inputs!E24+J27/Inputs!E25+J28/Inputs!E26+J29/Inputs!E27)*(1+J30)</f>
        <v>0.634416666666667</v>
      </c>
      <c r="K40" s="117" t="n">
        <f aca="false">(K26/Inputs!F24+K27/Inputs!F25+K28/Inputs!F26+K29/Inputs!F27)*(1+K30)</f>
        <v>0.812233333333334</v>
      </c>
      <c r="L40" s="117" t="n">
        <f aca="false">(L26/Inputs!D24+L27/Inputs!D25+L28/Inputs!D26+L29/Inputs!D27)*(1+L30)</f>
        <v>0.507733333333333</v>
      </c>
      <c r="M40" s="117" t="n">
        <f aca="false">(M26/Inputs!E24+M27/Inputs!E25+M28/Inputs!E26+M29/Inputs!E27)*(1+M30)</f>
        <v>0.634416666666667</v>
      </c>
      <c r="N40" s="117" t="n">
        <f aca="false">(N26/Inputs!F24+N27/Inputs!F25+N28/Inputs!F26+N29/Inputs!F27)*(1+N30)</f>
        <v>0.812233333333334</v>
      </c>
      <c r="O40" s="117" t="n">
        <f aca="false">(O26/Inputs!D24+O27/Inputs!D25+O28/Inputs!D26+O29/Inputs!D27)*(1+O30)</f>
        <v>0.507733333333333</v>
      </c>
      <c r="P40" s="117" t="n">
        <f aca="false">(P26/Inputs!E24+P27/Inputs!E25+P28/Inputs!E26+P29/Inputs!E27)*(1+P30)</f>
        <v>0.634416666666667</v>
      </c>
      <c r="Q40" s="117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64</v>
      </c>
      <c r="B41" s="15" t="s">
        <v>57</v>
      </c>
      <c r="C41" s="112" t="n">
        <f aca="false">Inputs!D10</f>
        <v>0.7</v>
      </c>
      <c r="D41" s="112" t="n">
        <f aca="false">Inputs!E10</f>
        <v>0.8</v>
      </c>
      <c r="E41" s="112" t="n">
        <f aca="false">Inputs!F10</f>
        <v>0.9</v>
      </c>
      <c r="F41" s="112" t="n">
        <f aca="false">Inputs!D10</f>
        <v>0.7</v>
      </c>
      <c r="G41" s="112" t="n">
        <f aca="false">Inputs!E10</f>
        <v>0.8</v>
      </c>
      <c r="H41" s="112" t="n">
        <f aca="false">Inputs!F10</f>
        <v>0.9</v>
      </c>
      <c r="I41" s="112" t="n">
        <f aca="false">Inputs!D10</f>
        <v>0.7</v>
      </c>
      <c r="J41" s="112" t="n">
        <f aca="false">Inputs!E10</f>
        <v>0.8</v>
      </c>
      <c r="K41" s="112" t="n">
        <f aca="false">Inputs!F10</f>
        <v>0.9</v>
      </c>
      <c r="L41" s="112" t="n">
        <f aca="false">Inputs!D10</f>
        <v>0.7</v>
      </c>
      <c r="M41" s="112" t="n">
        <f aca="false">Inputs!E10</f>
        <v>0.8</v>
      </c>
      <c r="N41" s="112" t="n">
        <f aca="false">Inputs!F10</f>
        <v>0.9</v>
      </c>
      <c r="O41" s="112" t="n">
        <f aca="false">Inputs!D10</f>
        <v>0.7</v>
      </c>
      <c r="P41" s="112" t="n">
        <f aca="false">Inputs!E10</f>
        <v>0.8</v>
      </c>
      <c r="Q41" s="112" t="n">
        <f aca="false">Inputs!F10</f>
        <v>0.9</v>
      </c>
    </row>
    <row r="42" customFormat="false" ht="15" hidden="false" customHeight="true" outlineLevel="0" collapsed="false">
      <c r="A42" s="19" t="s">
        <v>66</v>
      </c>
      <c r="B42" s="15" t="s">
        <v>67</v>
      </c>
      <c r="C42" s="121" t="n">
        <f aca="false">Inputs!D11</f>
        <v>0.06</v>
      </c>
      <c r="D42" s="121" t="n">
        <f aca="false">Inputs!E11</f>
        <v>0.08</v>
      </c>
      <c r="E42" s="121" t="n">
        <f aca="false">Inputs!F11</f>
        <v>0.1</v>
      </c>
      <c r="F42" s="121" t="n">
        <f aca="false">Inputs!D11</f>
        <v>0.06</v>
      </c>
      <c r="G42" s="121" t="n">
        <f aca="false">Inputs!E11</f>
        <v>0.08</v>
      </c>
      <c r="H42" s="121" t="n">
        <f aca="false">Inputs!F11</f>
        <v>0.1</v>
      </c>
      <c r="I42" s="121" t="n">
        <f aca="false">Inputs!D11</f>
        <v>0.06</v>
      </c>
      <c r="J42" s="121" t="n">
        <f aca="false">Inputs!E11</f>
        <v>0.08</v>
      </c>
      <c r="K42" s="121" t="n">
        <f aca="false">Inputs!F11</f>
        <v>0.1</v>
      </c>
      <c r="L42" s="121" t="n">
        <f aca="false">Inputs!D11</f>
        <v>0.06</v>
      </c>
      <c r="M42" s="121" t="n">
        <f aca="false">Inputs!E11</f>
        <v>0.08</v>
      </c>
      <c r="N42" s="121" t="n">
        <f aca="false">Inputs!F11</f>
        <v>0.1</v>
      </c>
      <c r="O42" s="121" t="n">
        <f aca="false">Inputs!D11</f>
        <v>0.06</v>
      </c>
      <c r="P42" s="121" t="n">
        <f aca="false">Inputs!E11</f>
        <v>0.08</v>
      </c>
      <c r="Q42" s="121" t="n">
        <f aca="false">Inputs!F11</f>
        <v>0.1</v>
      </c>
    </row>
    <row r="43" customFormat="false" ht="15" hidden="false" customHeight="true" outlineLevel="0" collapsed="false">
      <c r="A43" s="19" t="s">
        <v>806</v>
      </c>
      <c r="B43" s="15" t="s">
        <v>787</v>
      </c>
      <c r="C43" s="117" t="n">
        <f aca="false">C8*1000*C41*C15*8760*C42/1000000000</f>
        <v>0.404712</v>
      </c>
      <c r="D43" s="117" t="n">
        <f aca="false">D8*1000*D41*D15*8760*D42/1000000000</f>
        <v>0.672768</v>
      </c>
      <c r="E43" s="117" t="n">
        <f aca="false">E8*1000*E41*E15*8760*E42/1000000000</f>
        <v>1.02492</v>
      </c>
      <c r="F43" s="117" t="n">
        <f aca="false">F8*1000*F41*F15*8760*F42/1000000000</f>
        <v>0.404712</v>
      </c>
      <c r="G43" s="117" t="n">
        <f aca="false">G8*1000*G41*G15*8760*G42/1000000000</f>
        <v>0.672768</v>
      </c>
      <c r="H43" s="117" t="n">
        <f aca="false">H8*1000*H41*H15*8760*H42/1000000000</f>
        <v>1.02492</v>
      </c>
      <c r="I43" s="117" t="n">
        <f aca="false">I8*1000*I41*I15*8760*I42/1000000000</f>
        <v>0.404712</v>
      </c>
      <c r="J43" s="117" t="n">
        <f aca="false">J8*1000*J41*J15*8760*J42/1000000000</f>
        <v>0.672768</v>
      </c>
      <c r="K43" s="117" t="n">
        <f aca="false">K8*1000*K41*K15*8760*K42/1000000000</f>
        <v>1.02492</v>
      </c>
      <c r="L43" s="117" t="n">
        <f aca="false">L8*1000*L41*L15*8760*L42/1000000000</f>
        <v>0.404712</v>
      </c>
      <c r="M43" s="117" t="n">
        <f aca="false">M8*1000*M41*M15*8760*M42/1000000000</f>
        <v>0.672768</v>
      </c>
      <c r="N43" s="117" t="n">
        <f aca="false">N8*1000*N41*N15*8760*N42/1000000000</f>
        <v>1.02492</v>
      </c>
      <c r="O43" s="117" t="n">
        <f aca="false">O8*1000*O41*O15*8760*O42/1000000000</f>
        <v>0.404712</v>
      </c>
      <c r="P43" s="117" t="n">
        <f aca="false">P8*1000*P41*P15*8760*P42/1000000000</f>
        <v>0.672768</v>
      </c>
      <c r="Q43" s="117" t="n">
        <f aca="false">Q8*1000*Q41*Q15*8760*Q42/1000000000</f>
        <v>1.02492</v>
      </c>
    </row>
    <row r="44" customFormat="false" ht="15" hidden="false" customHeight="true" outlineLevel="0" collapsed="false">
      <c r="A44" s="14" t="s">
        <v>103</v>
      </c>
      <c r="B44" s="15" t="s">
        <v>787</v>
      </c>
      <c r="C44" s="117" t="n">
        <f aca="false">C24*Inputs!D30</f>
        <v>0.428405388</v>
      </c>
      <c r="D44" s="117" t="n">
        <f aca="false">D24*Inputs!E30</f>
        <v>0.82530642</v>
      </c>
      <c r="E44" s="117" t="n">
        <f aca="false">E24*Inputs!F30</f>
        <v>1.364829736</v>
      </c>
      <c r="F44" s="117" t="n">
        <f aca="false">F24*Inputs!D30</f>
        <v>0.419125632</v>
      </c>
      <c r="G44" s="117" t="n">
        <f aca="false">G24*Inputs!E30</f>
        <v>0.73151688</v>
      </c>
      <c r="H44" s="117" t="n">
        <f aca="false">H24*Inputs!F30</f>
        <v>1.122989504</v>
      </c>
      <c r="I44" s="117" t="n">
        <f aca="false">I24*Inputs!D30</f>
        <v>0.56696088</v>
      </c>
      <c r="J44" s="117" t="n">
        <f aca="false">J24*Inputs!E30</f>
        <v>1.1152272</v>
      </c>
      <c r="K44" s="117" t="n">
        <f aca="false">K24*Inputs!F30</f>
        <v>2.02325636</v>
      </c>
      <c r="L44" s="117" t="n">
        <f aca="false">L24*Inputs!D30</f>
        <v>0.571866864</v>
      </c>
      <c r="M44" s="117" t="n">
        <f aca="false">M24*Inputs!E30</f>
        <v>1.04736096</v>
      </c>
      <c r="N44" s="117" t="n">
        <f aca="false">N24*Inputs!F30</f>
        <v>1.705503008</v>
      </c>
      <c r="O44" s="117" t="n">
        <f aca="false">O24*Inputs!D30</f>
        <v>0.754640712</v>
      </c>
      <c r="P44" s="117" t="n">
        <f aca="false">P24*Inputs!E30</f>
        <v>1.58168808</v>
      </c>
      <c r="Q44" s="117" t="n">
        <f aca="false">Q24*Inputs!F30</f>
        <v>2.757266064</v>
      </c>
    </row>
    <row r="45" customFormat="false" ht="15" hidden="false" customHeight="true" outlineLevel="0" collapsed="false">
      <c r="A45" s="19" t="s">
        <v>106</v>
      </c>
      <c r="B45" s="15" t="s">
        <v>787</v>
      </c>
      <c r="C45" s="117" t="n">
        <f aca="false">C32*Inputs!D31</f>
        <v>0.15318</v>
      </c>
      <c r="D45" s="117" t="n">
        <f aca="false">D32*Inputs!E31</f>
        <v>0.2534</v>
      </c>
      <c r="E45" s="117" t="n">
        <f aca="false">E32*Inputs!F31</f>
        <v>0.40465</v>
      </c>
      <c r="F45" s="117" t="n">
        <f aca="false">F32*Inputs!D31</f>
        <v>0.15318</v>
      </c>
      <c r="G45" s="117" t="n">
        <f aca="false">G32*Inputs!E31</f>
        <v>0.2534</v>
      </c>
      <c r="H45" s="117" t="n">
        <f aca="false">H32*Inputs!F31</f>
        <v>0.40465</v>
      </c>
      <c r="I45" s="117" t="n">
        <f aca="false">I32*Inputs!D31</f>
        <v>0.15318</v>
      </c>
      <c r="J45" s="117" t="n">
        <f aca="false">J32*Inputs!E31</f>
        <v>0.2534</v>
      </c>
      <c r="K45" s="117" t="n">
        <f aca="false">K32*Inputs!F31</f>
        <v>0.40465</v>
      </c>
      <c r="L45" s="117" t="n">
        <f aca="false">L32*Inputs!D31</f>
        <v>0.15318</v>
      </c>
      <c r="M45" s="117" t="n">
        <f aca="false">M32*Inputs!E31</f>
        <v>0.2534</v>
      </c>
      <c r="N45" s="117" t="n">
        <f aca="false">N32*Inputs!F31</f>
        <v>0.40465</v>
      </c>
      <c r="O45" s="117" t="n">
        <f aca="false">O32*Inputs!D31</f>
        <v>0.15318</v>
      </c>
      <c r="P45" s="117" t="n">
        <f aca="false">P32*Inputs!E31</f>
        <v>0.2534</v>
      </c>
      <c r="Q45" s="117" t="n">
        <f aca="false">Q32*Inputs!F31</f>
        <v>0.40465</v>
      </c>
    </row>
    <row r="46" customFormat="false" ht="15" hidden="false" customHeight="true" outlineLevel="0" collapsed="false">
      <c r="A46" s="19" t="s">
        <v>807</v>
      </c>
      <c r="B46" s="15" t="s">
        <v>787</v>
      </c>
      <c r="C46" s="117" t="n">
        <f aca="false">(Inputs!D32*C8/1000+Inputs!D33*C8/1000+Inputs!D34*C8)/1000</f>
        <v>0.24</v>
      </c>
      <c r="D46" s="117" t="n">
        <f aca="false">(Inputs!E32*D8/1000+Inputs!E33*D8/1000+Inputs!E34*D8)/1000</f>
        <v>0.325</v>
      </c>
      <c r="E46" s="117" t="n">
        <f aca="false">(Inputs!F32*E8/1000+Inputs!F33*E8/1000+Inputs!F34*E8)/1000</f>
        <v>0.41</v>
      </c>
      <c r="F46" s="117" t="n">
        <f aca="false">(Inputs!D32*F8/1000+Inputs!D33*F8/1000+Inputs!D34*F8)/1000</f>
        <v>0.24</v>
      </c>
      <c r="G46" s="117" t="n">
        <f aca="false">(Inputs!E32*G8/1000+Inputs!E33*G8/1000+Inputs!E34*G8)/1000</f>
        <v>0.325</v>
      </c>
      <c r="H46" s="117" t="n">
        <f aca="false">(Inputs!F32*H8/1000+Inputs!F33*H8/1000+Inputs!F34*H8)/1000</f>
        <v>0.41</v>
      </c>
      <c r="I46" s="117" t="n">
        <f aca="false">(Inputs!D32*I8/1000+Inputs!D33*I8/1000+Inputs!D34*I8)/1000</f>
        <v>0.24</v>
      </c>
      <c r="J46" s="117" t="n">
        <f aca="false">(Inputs!E32*J8/1000+Inputs!E33*J8/1000+Inputs!E34*J8)/1000</f>
        <v>0.325</v>
      </c>
      <c r="K46" s="117" t="n">
        <f aca="false">(Inputs!F32*K8/1000+Inputs!F33*K8/1000+Inputs!F34*K8)/1000</f>
        <v>0.41</v>
      </c>
      <c r="L46" s="117" t="n">
        <f aca="false">(Inputs!D32*L8/1000+Inputs!D33*L8/1000+Inputs!D34*L8)/1000</f>
        <v>0.24</v>
      </c>
      <c r="M46" s="117" t="n">
        <f aca="false">(Inputs!E32*M8/1000+Inputs!E33*M8/1000+Inputs!E34*M8)/1000</f>
        <v>0.325</v>
      </c>
      <c r="N46" s="117" t="n">
        <f aca="false">(Inputs!F32*N8/1000+Inputs!F33*N8/1000+Inputs!F34*N8)/1000</f>
        <v>0.41</v>
      </c>
      <c r="O46" s="117" t="n">
        <f aca="false">(Inputs!D32*O8/1000+Inputs!D33*O8/1000+Inputs!D34*O8)/1000</f>
        <v>0.24</v>
      </c>
      <c r="P46" s="117" t="n">
        <f aca="false">(Inputs!E32*P8/1000+Inputs!E33*P8/1000+Inputs!E34*P8)/1000</f>
        <v>0.325</v>
      </c>
      <c r="Q46" s="117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117</v>
      </c>
      <c r="B47" s="15" t="s">
        <v>787</v>
      </c>
      <c r="C47" s="117" t="n">
        <f aca="false">C33*Inputs!D35</f>
        <v>0.0948968082</v>
      </c>
      <c r="D47" s="117" t="n">
        <f aca="false">D33*Inputs!E35</f>
        <v>0.20090107</v>
      </c>
      <c r="E47" s="117" t="n">
        <f aca="false">E33*Inputs!F35</f>
        <v>0.4024539472</v>
      </c>
      <c r="F47" s="117" t="n">
        <f aca="false">F33*Inputs!D35</f>
        <v>0.0935048448</v>
      </c>
      <c r="G47" s="117" t="n">
        <f aca="false">G33*Inputs!E35</f>
        <v>0.18526948</v>
      </c>
      <c r="H47" s="117" t="n">
        <f aca="false">H33*Inputs!F35</f>
        <v>0.3540859008</v>
      </c>
      <c r="I47" s="117" t="n">
        <f aca="false">I33*Inputs!D35</f>
        <v>0.115680132</v>
      </c>
      <c r="J47" s="117" t="n">
        <f aca="false">J33*Inputs!E35</f>
        <v>0.2492212</v>
      </c>
      <c r="K47" s="117" t="n">
        <f aca="false">K33*Inputs!F35</f>
        <v>0.534139272</v>
      </c>
      <c r="L47" s="117" t="n">
        <f aca="false">L33*Inputs!D35</f>
        <v>0.1164160296</v>
      </c>
      <c r="M47" s="117" t="n">
        <f aca="false">M33*Inputs!E35</f>
        <v>0.23791016</v>
      </c>
      <c r="N47" s="117" t="n">
        <f aca="false">N33*Inputs!F35</f>
        <v>0.4705886016</v>
      </c>
      <c r="O47" s="117" t="n">
        <f aca="false">O33*Inputs!D35</f>
        <v>0.1438321068</v>
      </c>
      <c r="P47" s="117" t="n">
        <f aca="false">P33*Inputs!E35</f>
        <v>0.32696468</v>
      </c>
      <c r="Q47" s="117" t="n">
        <f aca="false">Q33*Inputs!F35</f>
        <v>0.6809412128</v>
      </c>
    </row>
    <row r="48" customFormat="false" ht="15" hidden="false" customHeight="true" outlineLevel="0" collapsed="false">
      <c r="A48" s="19" t="s">
        <v>808</v>
      </c>
      <c r="B48" s="15" t="s">
        <v>787</v>
      </c>
      <c r="C48" s="117" t="n">
        <f aca="false">C43+C44+C45+C46+C47</f>
        <v>1.3211941962</v>
      </c>
      <c r="D48" s="117" t="n">
        <f aca="false">D43+D44+D45+D46+D47</f>
        <v>2.27737549</v>
      </c>
      <c r="E48" s="117" t="n">
        <f aca="false">E43+E44+E45+E46+E47</f>
        <v>3.6068536832</v>
      </c>
      <c r="F48" s="117" t="n">
        <f aca="false">F43+F44+F45+F46+F47</f>
        <v>1.3105224768</v>
      </c>
      <c r="G48" s="117" t="n">
        <f aca="false">G43+G44+G45+G46+G47</f>
        <v>2.16795436</v>
      </c>
      <c r="H48" s="117" t="n">
        <f aca="false">H43+H44+H45+H46+H47</f>
        <v>3.3166454048</v>
      </c>
      <c r="I48" s="117" t="n">
        <f aca="false">I43+I44+I45+I46+I47</f>
        <v>1.480533012</v>
      </c>
      <c r="J48" s="117" t="n">
        <f aca="false">J43+J44+J45+J46+J47</f>
        <v>2.6156164</v>
      </c>
      <c r="K48" s="117" t="n">
        <f aca="false">K43+K44+K45+K46+K47</f>
        <v>4.396965632</v>
      </c>
      <c r="L48" s="117" t="n">
        <f aca="false">L43+L44+L45+L46+L47</f>
        <v>1.4861748936</v>
      </c>
      <c r="M48" s="117" t="n">
        <f aca="false">M43+M44+M45+M46+M47</f>
        <v>2.53643912</v>
      </c>
      <c r="N48" s="117" t="n">
        <f aca="false">N43+N44+N45+N46+N47</f>
        <v>4.0156616096</v>
      </c>
      <c r="O48" s="117" t="n">
        <f aca="false">O43+O44+O45+O46+O47</f>
        <v>1.6963648188</v>
      </c>
      <c r="P48" s="117" t="n">
        <f aca="false">P43+P44+P45+P46+P47</f>
        <v>3.15982076</v>
      </c>
      <c r="Q48" s="117" t="n">
        <f aca="false">Q43+Q44+Q45+Q46+Q47</f>
        <v>5.2777772768</v>
      </c>
    </row>
    <row r="49" customFormat="false" ht="15" hidden="false" customHeight="true" outlineLevel="0" collapsed="false">
      <c r="A49" s="19" t="s">
        <v>809</v>
      </c>
      <c r="B49" s="15" t="s">
        <v>787</v>
      </c>
      <c r="C49" s="118" t="n">
        <f aca="false">C39+C40+C48</f>
        <v>5.39897242953333</v>
      </c>
      <c r="D49" s="118" t="n">
        <f aca="false">D39+D40+D48</f>
        <v>7.49682782333333</v>
      </c>
      <c r="E49" s="118" t="n">
        <f aca="false">E39+E40+E48</f>
        <v>12.9492728665333</v>
      </c>
      <c r="F49" s="118" t="n">
        <f aca="false">F39+F40+F48</f>
        <v>5.31096941013333</v>
      </c>
      <c r="G49" s="118" t="n">
        <f aca="false">G39+G40+G48</f>
        <v>6.86635369333333</v>
      </c>
      <c r="H49" s="118" t="n">
        <f aca="false">H39+H40+H48</f>
        <v>11.1475631381333</v>
      </c>
      <c r="I49" s="118" t="n">
        <f aca="false">I39+I40+I48</f>
        <v>6.71294034533333</v>
      </c>
      <c r="J49" s="118" t="n">
        <f aca="false">J39+J40+J48</f>
        <v>9.44573973333333</v>
      </c>
      <c r="K49" s="118" t="n">
        <f aca="false">K39+K40+K48</f>
        <v>17.8545512153333</v>
      </c>
      <c r="L49" s="118" t="n">
        <f aca="false">L39+L40+L48</f>
        <v>6.75946542693333</v>
      </c>
      <c r="M49" s="118" t="n">
        <f aca="false">M39+M40+M48</f>
        <v>8.98952778666667</v>
      </c>
      <c r="N49" s="118" t="n">
        <f aca="false">N39+N40+N48</f>
        <v>15.4872887429333</v>
      </c>
      <c r="O49" s="118" t="n">
        <f aca="false">O39+O40+O48</f>
        <v>8.49277075213334</v>
      </c>
      <c r="P49" s="118" t="n">
        <f aca="false">P39+P40+P48</f>
        <v>12.5813934266667</v>
      </c>
      <c r="Q49" s="118" t="n">
        <f aca="false">Q39+Q40+Q48</f>
        <v>23.3229235101333</v>
      </c>
    </row>
    <row r="50" customFormat="false" ht="15" hidden="false" customHeight="true" outlineLevel="0" collapsed="false">
      <c r="A50" s="24" t="s">
        <v>810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811</v>
      </c>
      <c r="B51" s="15" t="s">
        <v>57</v>
      </c>
      <c r="C51" s="112" t="n">
        <f aca="false">Inputs!D28</f>
        <v>0.08</v>
      </c>
      <c r="D51" s="112" t="n">
        <f aca="false">Inputs!E28</f>
        <v>0.1</v>
      </c>
      <c r="E51" s="112" t="n">
        <f aca="false">Inputs!F28</f>
        <v>0.13</v>
      </c>
      <c r="F51" s="112" t="n">
        <f aca="false">Inputs!D28</f>
        <v>0.08</v>
      </c>
      <c r="G51" s="112" t="n">
        <f aca="false">Inputs!E28</f>
        <v>0.1</v>
      </c>
      <c r="H51" s="112" t="n">
        <f aca="false">Inputs!F28</f>
        <v>0.13</v>
      </c>
      <c r="I51" s="112" t="n">
        <f aca="false">Inputs!D28</f>
        <v>0.08</v>
      </c>
      <c r="J51" s="112" t="n">
        <f aca="false">Inputs!E28</f>
        <v>0.1</v>
      </c>
      <c r="K51" s="112" t="n">
        <f aca="false">Inputs!F28</f>
        <v>0.13</v>
      </c>
      <c r="L51" s="112" t="n">
        <f aca="false">Inputs!D28</f>
        <v>0.08</v>
      </c>
      <c r="M51" s="112" t="n">
        <f aca="false">Inputs!E28</f>
        <v>0.1</v>
      </c>
      <c r="N51" s="112" t="n">
        <f aca="false">Inputs!F28</f>
        <v>0.13</v>
      </c>
      <c r="O51" s="112" t="n">
        <f aca="false">Inputs!D28</f>
        <v>0.08</v>
      </c>
      <c r="P51" s="112" t="n">
        <f aca="false">Inputs!E28</f>
        <v>0.1</v>
      </c>
      <c r="Q51" s="112" t="n">
        <f aca="false">Inputs!F28</f>
        <v>0.13</v>
      </c>
    </row>
    <row r="52" customFormat="false" ht="15" hidden="false" customHeight="true" outlineLevel="0" collapsed="false">
      <c r="A52" s="14" t="s">
        <v>812</v>
      </c>
      <c r="B52" s="15" t="s">
        <v>61</v>
      </c>
      <c r="C52" s="122" t="n">
        <f aca="false">C51/(1-(1+C51)^(-C38))</f>
        <v>0.21631538622901</v>
      </c>
      <c r="D52" s="122" t="n">
        <f aca="false">D51/(1-(1+D51)^(-D38))</f>
        <v>0.229607380362667</v>
      </c>
      <c r="E52" s="122" t="n">
        <f aca="false">E51/(1-(1+E51)^(-E38))</f>
        <v>0.336194197406613</v>
      </c>
      <c r="F52" s="122" t="n">
        <f aca="false">F51/(1-(1+F51)^(-F38))</f>
        <v>0.21631538622901</v>
      </c>
      <c r="G52" s="122" t="n">
        <f aca="false">G51/(1-(1+G51)^(-G38))</f>
        <v>0.229607380362667</v>
      </c>
      <c r="H52" s="122" t="n">
        <f aca="false">H51/(1-(1+H51)^(-H38))</f>
        <v>0.336194197406613</v>
      </c>
      <c r="I52" s="122" t="n">
        <f aca="false">I51/(1-(1+I51)^(-I38))</f>
        <v>0.21631538622901</v>
      </c>
      <c r="J52" s="122" t="n">
        <f aca="false">J51/(1-(1+J51)^(-J38))</f>
        <v>0.229607380362667</v>
      </c>
      <c r="K52" s="122" t="n">
        <f aca="false">K51/(1-(1+K51)^(-K38))</f>
        <v>0.336194197406613</v>
      </c>
      <c r="L52" s="122" t="n">
        <f aca="false">L51/(1-(1+L51)^(-L38))</f>
        <v>0.21631538622901</v>
      </c>
      <c r="M52" s="122" t="n">
        <f aca="false">M51/(1-(1+M51)^(-M38))</f>
        <v>0.229607380362667</v>
      </c>
      <c r="N52" s="122" t="n">
        <f aca="false">N51/(1-(1+N51)^(-N38))</f>
        <v>0.336194197406613</v>
      </c>
      <c r="O52" s="122" t="n">
        <f aca="false">O51/(1-(1+O51)^(-O38))</f>
        <v>0.21631538622901</v>
      </c>
      <c r="P52" s="122" t="n">
        <f aca="false">P51/(1-(1+P51)^(-P38))</f>
        <v>0.229607380362667</v>
      </c>
      <c r="Q52" s="122" t="n">
        <f aca="false">Q51/(1-(1+Q51)^(-Q38))</f>
        <v>0.336194197406613</v>
      </c>
    </row>
    <row r="53" customFormat="false" ht="15" hidden="false" customHeight="true" outlineLevel="0" collapsed="false">
      <c r="A53" s="14" t="s">
        <v>813</v>
      </c>
      <c r="B53" s="15" t="s">
        <v>787</v>
      </c>
      <c r="C53" s="117" t="n">
        <f aca="false">C24*C52</f>
        <v>4.63353384839044</v>
      </c>
      <c r="D53" s="117" t="n">
        <f aca="false">D24*D52</f>
        <v>6.31654816975637</v>
      </c>
      <c r="E53" s="117" t="n">
        <f aca="false">E24*E52</f>
        <v>11.47119594228</v>
      </c>
      <c r="F53" s="117" t="n">
        <f aca="false">F24*F52</f>
        <v>4.53316614822789</v>
      </c>
      <c r="G53" s="117" t="n">
        <f aca="false">G24*G52</f>
        <v>5.59872248359572</v>
      </c>
      <c r="H53" s="117" t="n">
        <f aca="false">H24*H52</f>
        <v>9.43856387483327</v>
      </c>
      <c r="I53" s="117" t="n">
        <f aca="false">I24*I52</f>
        <v>6.13211808669696</v>
      </c>
      <c r="J53" s="117" t="n">
        <f aca="false">J24*J52</f>
        <v>8.53547986337308</v>
      </c>
      <c r="K53" s="117" t="n">
        <f aca="false">K24*K52</f>
        <v>17.0051762024507</v>
      </c>
      <c r="L53" s="117" t="n">
        <f aca="false">L24*L52</f>
        <v>6.18518007788663</v>
      </c>
      <c r="M53" s="117" t="n">
        <f aca="false">M24*M52</f>
        <v>8.01606021065761</v>
      </c>
      <c r="N53" s="117" t="n">
        <f aca="false">N24*N52</f>
        <v>14.3345053737281</v>
      </c>
      <c r="O53" s="117" t="n">
        <f aca="false">O24*O52</f>
        <v>8.16201985402074</v>
      </c>
      <c r="P53" s="117" t="n">
        <f aca="false">P24*P52</f>
        <v>12.1055752199886</v>
      </c>
      <c r="Q53" s="117" t="n">
        <f aca="false">Q24*Q52</f>
        <v>23.1744212855743</v>
      </c>
    </row>
    <row r="54" customFormat="false" ht="15" hidden="false" customHeight="true" outlineLevel="0" collapsed="false">
      <c r="A54" s="19" t="s">
        <v>814</v>
      </c>
      <c r="B54" s="15" t="s">
        <v>787</v>
      </c>
      <c r="C54" s="117" t="n">
        <f aca="false">(C26*C51/(1-(1+C51)^(-Inputs!D24))+C27*C51/(1-(1+C51)^(-Inputs!D25))+C28*C51/(1-(1+C51)^(-Inputs!D26))+C29*C51/(1-(1+C51)^(-Inputs!D27)))*(1+C30)+C25*C51</f>
        <v>1.04531526579147</v>
      </c>
      <c r="D54" s="117" t="n">
        <f aca="false">(D26*D51/(1-(1+D51)^(-Inputs!E24))+D27*D51/(1-(1+D51)^(-Inputs!E25))+D28*D51/(1-(1+D51)^(-Inputs!E26))+D29*D51/(1-(1+D51)^(-Inputs!E27)))*(1+D30)+D25*D51</f>
        <v>1.50187163616098</v>
      </c>
      <c r="E54" s="117" t="n">
        <f aca="false">(E26*E51/(1-(1+E51)^(-Inputs!F24))+E27*E51/(1-(1+E51)^(-Inputs!F25))+E28*E51/(1-(1+E51)^(-Inputs!F26))+E29*E51/(1-(1+E51)^(-Inputs!F27)))*(1+E30)+E25*E51</f>
        <v>2.32792243821144</v>
      </c>
      <c r="F54" s="117" t="n">
        <f aca="false">(F26*F51/(1-(1+F51)^(-Inputs!D24))+F27*F51/(1-(1+F51)^(-Inputs!D25))+F28*F51/(1-(1+F51)^(-Inputs!D26))+F29*F51/(1-(1+F51)^(-Inputs!D27)))*(1+F30)+F25*F51</f>
        <v>1.04531526579147</v>
      </c>
      <c r="G54" s="117" t="n">
        <f aca="false">(G26*G51/(1-(1+G51)^(-Inputs!E24))+G27*G51/(1-(1+G51)^(-Inputs!E25))+G28*G51/(1-(1+G51)^(-Inputs!E26))+G29*G51/(1-(1+G51)^(-Inputs!E27)))*(1+G30)+G25*G51</f>
        <v>1.50187163616098</v>
      </c>
      <c r="H54" s="117" t="n">
        <f aca="false">(H26*H51/(1-(1+H51)^(-Inputs!F24))+H27*H51/(1-(1+H51)^(-Inputs!F25))+H28*H51/(1-(1+H51)^(-Inputs!F26))+H29*H51/(1-(1+H51)^(-Inputs!F27)))*(1+H30)+H25*H51</f>
        <v>2.32792243821144</v>
      </c>
      <c r="I54" s="117" t="n">
        <f aca="false">(I26*I51/(1-(1+I51)^(-Inputs!D24))+I27*I51/(1-(1+I51)^(-Inputs!D25))+I28*I51/(1-(1+I51)^(-Inputs!D26))+I29*I51/(1-(1+I51)^(-Inputs!D27)))*(1+I30)+I25*I51</f>
        <v>1.04531526579147</v>
      </c>
      <c r="J54" s="117" t="n">
        <f aca="false">(J26*J51/(1-(1+J51)^(-Inputs!E24))+J27*J51/(1-(1+J51)^(-Inputs!E25))+J28*J51/(1-(1+J51)^(-Inputs!E26))+J29*J51/(1-(1+J51)^(-Inputs!E27)))*(1+J30)+J25*J51</f>
        <v>1.50187163616098</v>
      </c>
      <c r="K54" s="117" t="n">
        <f aca="false">(K26*K51/(1-(1+K51)^(-Inputs!F24))+K27*K51/(1-(1+K51)^(-Inputs!F25))+K28*K51/(1-(1+K51)^(-Inputs!F26))+K29*K51/(1-(1+K51)^(-Inputs!F27)))*(1+K30)+K25*K51</f>
        <v>2.32792243821144</v>
      </c>
      <c r="L54" s="117" t="n">
        <f aca="false">(L26*L51/(1-(1+L51)^(-Inputs!D24))+L27*L51/(1-(1+L51)^(-Inputs!D25))+L28*L51/(1-(1+L51)^(-Inputs!D26))+L29*L51/(1-(1+L51)^(-Inputs!D27)))*(1+L30)+L25*L51</f>
        <v>1.04531526579147</v>
      </c>
      <c r="M54" s="117" t="n">
        <f aca="false">(M26*M51/(1-(1+M51)^(-Inputs!E24))+M27*M51/(1-(1+M51)^(-Inputs!E25))+M28*M51/(1-(1+M51)^(-Inputs!E26))+M29*M51/(1-(1+M51)^(-Inputs!E27)))*(1+M30)+M25*M51</f>
        <v>1.50187163616098</v>
      </c>
      <c r="N54" s="117" t="n">
        <f aca="false">(N26*N51/(1-(1+N51)^(-Inputs!F24))+N27*N51/(1-(1+N51)^(-Inputs!F25))+N28*N51/(1-(1+N51)^(-Inputs!F26))+N29*N51/(1-(1+N51)^(-Inputs!F27)))*(1+N30)+N25*N51</f>
        <v>2.32792243821144</v>
      </c>
      <c r="O54" s="117" t="n">
        <f aca="false">(O26*O51/(1-(1+O51)^(-Inputs!D24))+O27*O51/(1-(1+O51)^(-Inputs!D25))+O28*O51/(1-(1+O51)^(-Inputs!D26))+O29*O51/(1-(1+O51)^(-Inputs!D27)))*(1+O30)+O25*O51</f>
        <v>1.04531526579147</v>
      </c>
      <c r="P54" s="117" t="n">
        <f aca="false">(P26*P51/(1-(1+P51)^(-Inputs!E24))+P27*P51/(1-(1+P51)^(-Inputs!E25))+P28*P51/(1-(1+P51)^(-Inputs!E26))+P29*P51/(1-(1+P51)^(-Inputs!E27)))*(1+P30)+P25*P51</f>
        <v>1.50187163616098</v>
      </c>
      <c r="Q54" s="117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815</v>
      </c>
      <c r="B55" s="15" t="s">
        <v>787</v>
      </c>
      <c r="C55" s="118" t="n">
        <f aca="false">C53+C54+C48</f>
        <v>7.0000433103819</v>
      </c>
      <c r="D55" s="118" t="n">
        <f aca="false">D53+D54+D48</f>
        <v>10.0957952959174</v>
      </c>
      <c r="E55" s="118" t="n">
        <f aca="false">E53+E54+E48</f>
        <v>17.4059720636914</v>
      </c>
      <c r="F55" s="118" t="n">
        <f aca="false">F53+F54+F48</f>
        <v>6.88900389081935</v>
      </c>
      <c r="G55" s="118" t="n">
        <f aca="false">G53+G54+G48</f>
        <v>9.2685484797567</v>
      </c>
      <c r="H55" s="118" t="n">
        <f aca="false">H53+H54+H48</f>
        <v>15.0831317178447</v>
      </c>
      <c r="I55" s="118" t="n">
        <f aca="false">I53+I54+I48</f>
        <v>8.65796636448843</v>
      </c>
      <c r="J55" s="118" t="n">
        <f aca="false">J53+J54+J48</f>
        <v>12.6529678995341</v>
      </c>
      <c r="K55" s="118" t="n">
        <f aca="false">K53+K54+K48</f>
        <v>23.7300642726621</v>
      </c>
      <c r="L55" s="118" t="n">
        <f aca="false">L53+L54+L48</f>
        <v>8.7166702372781</v>
      </c>
      <c r="M55" s="118" t="n">
        <f aca="false">M53+M54+M48</f>
        <v>12.0543709668186</v>
      </c>
      <c r="N55" s="118" t="n">
        <f aca="false">N53+N54+N48</f>
        <v>20.6780894215396</v>
      </c>
      <c r="O55" s="118" t="n">
        <f aca="false">O53+O54+O48</f>
        <v>10.9036999386122</v>
      </c>
      <c r="P55" s="118" t="n">
        <f aca="false">P53+P54+P48</f>
        <v>16.7672676161495</v>
      </c>
      <c r="Q55" s="118" t="n">
        <f aca="false">Q53+Q54+Q48</f>
        <v>30.7801210005857</v>
      </c>
    </row>
    <row r="56" customFormat="false" ht="15" hidden="false" customHeight="true" outlineLevel="0" collapsed="false">
      <c r="A56" s="24" t="s">
        <v>816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817</v>
      </c>
      <c r="B57" s="15" t="s">
        <v>760</v>
      </c>
      <c r="C57" s="117" t="n">
        <f aca="false">C49*1000000000/(C14*8760)</f>
        <v>0.858328487231628</v>
      </c>
      <c r="D57" s="117" t="n">
        <f aca="false">D49*1000000000/(D14*8760)</f>
        <v>1.19184547960247</v>
      </c>
      <c r="E57" s="117" t="n">
        <f aca="false">E49*1000000000/(E14*8760)</f>
        <v>2.058675041473</v>
      </c>
      <c r="F57" s="117" t="n">
        <f aca="false">F49*1000000000/(F14*8760)</f>
        <v>1.19000660844732</v>
      </c>
      <c r="G57" s="117" t="n">
        <f aca="false">G49*1000000000/(G14*8760)</f>
        <v>1.53851503181567</v>
      </c>
      <c r="H57" s="117" t="n">
        <f aca="false">H49*1000000000/(H14*8760)</f>
        <v>2.49778765005716</v>
      </c>
      <c r="I57" s="117" t="n">
        <f aca="false">I49*1000000000/(I14*8760)</f>
        <v>1.5850032907665</v>
      </c>
      <c r="J57" s="117" t="n">
        <f aca="false">J49*1000000000/(J14*8760)</f>
        <v>2.23024901025153</v>
      </c>
      <c r="K57" s="117" t="n">
        <f aca="false">K49*1000000000/(K14*8760)</f>
        <v>4.21566720031043</v>
      </c>
      <c r="L57" s="117" t="n">
        <f aca="false">L49*1000000000/(L14*8760)</f>
        <v>2.64488206576388</v>
      </c>
      <c r="M57" s="117" t="n">
        <f aca="false">M49*1000000000/(M14*8760)</f>
        <v>3.51747354574866</v>
      </c>
      <c r="N57" s="117" t="n">
        <f aca="false">N49*1000000000/(N14*8760)</f>
        <v>6.05995439820971</v>
      </c>
      <c r="O57" s="117" t="n">
        <f aca="false">O49*1000000000/(O14*8760)</f>
        <v>4.39178072269974</v>
      </c>
      <c r="P57" s="117" t="n">
        <f aca="false">P49*1000000000/(P14*8760)</f>
        <v>6.50608885234023</v>
      </c>
      <c r="Q57" s="117" t="n">
        <f aca="false">Q49*1000000000/(Q14*8760)</f>
        <v>12.0607477651595</v>
      </c>
    </row>
    <row r="58" customFormat="false" ht="15" hidden="false" customHeight="true" outlineLevel="0" collapsed="false">
      <c r="A58" s="19" t="s">
        <v>818</v>
      </c>
      <c r="B58" s="15" t="s">
        <v>760</v>
      </c>
      <c r="C58" s="118" t="n">
        <f aca="false">C55*1000000000/(C14*8760)</f>
        <v>1.11286669150028</v>
      </c>
      <c r="D58" s="118" t="n">
        <f aca="false">D55*1000000000/(D14*8760)</f>
        <v>1.60502925637165</v>
      </c>
      <c r="E58" s="118" t="n">
        <f aca="false">E55*1000000000/(E14*8760)</f>
        <v>2.76720095633376</v>
      </c>
      <c r="F58" s="118" t="n">
        <f aca="false">F55*1000000000/(F14*8760)</f>
        <v>1.54359016643037</v>
      </c>
      <c r="G58" s="118" t="n">
        <f aca="false">G55*1000000000/(G14*8760)</f>
        <v>2.07676472784428</v>
      </c>
      <c r="H58" s="118" t="n">
        <f aca="false">H55*1000000000/(H14*8760)</f>
        <v>3.37961397142862</v>
      </c>
      <c r="I58" s="118" t="n">
        <f aca="false">I55*1000000000/(I14*8760)</f>
        <v>2.04424655562441</v>
      </c>
      <c r="J58" s="118" t="n">
        <f aca="false">J55*1000000000/(J14*8760)</f>
        <v>2.98751288214055</v>
      </c>
      <c r="K58" s="118" t="n">
        <f aca="false">K55*1000000000/(K14*8760)</f>
        <v>5.6029441686335</v>
      </c>
      <c r="L58" s="118" t="n">
        <f aca="false">L55*1000000000/(L14*8760)</f>
        <v>3.41070829238845</v>
      </c>
      <c r="M58" s="118" t="n">
        <f aca="false">M55*1000000000/(M14*8760)</f>
        <v>4.71670281161092</v>
      </c>
      <c r="N58" s="118" t="n">
        <f aca="false">N55*1000000000/(N14*8760)</f>
        <v>8.09104040200768</v>
      </c>
      <c r="O58" s="118" t="n">
        <f aca="false">O55*1000000000/(O14*8760)</f>
        <v>5.63852017134344</v>
      </c>
      <c r="P58" s="118" t="n">
        <f aca="false">P55*1000000000/(P14*8760)</f>
        <v>8.6706876752155</v>
      </c>
      <c r="Q58" s="118" t="n">
        <f aca="false">Q55*1000000000/(Q14*8760)</f>
        <v>15.9170129511363</v>
      </c>
    </row>
    <row r="59" customFormat="false" ht="15" hidden="false" customHeight="true" outlineLevel="0" collapsed="false">
      <c r="A59" s="19" t="s">
        <v>819</v>
      </c>
      <c r="B59" s="15" t="s">
        <v>820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821</v>
      </c>
      <c r="B60" s="15" t="s">
        <v>822</v>
      </c>
      <c r="C60" s="117" t="n">
        <f aca="false">C8*C41*C15*8760/1000000</f>
        <v>6.7452</v>
      </c>
      <c r="D60" s="117" t="n">
        <f aca="false">D8*D41*D15*8760/1000000</f>
        <v>8.4096</v>
      </c>
      <c r="E60" s="117" t="n">
        <f aca="false">E8*E41*E15*8760/1000000</f>
        <v>10.2492</v>
      </c>
      <c r="F60" s="117" t="n">
        <f aca="false">F8*F41*F15*8760/1000000</f>
        <v>6.7452</v>
      </c>
      <c r="G60" s="117" t="n">
        <f aca="false">G8*G41*G15*8760/1000000</f>
        <v>8.4096</v>
      </c>
      <c r="H60" s="117" t="n">
        <f aca="false">H8*H41*H15*8760/1000000</f>
        <v>10.2492</v>
      </c>
      <c r="I60" s="117" t="n">
        <f aca="false">I8*I41*I15*8760/1000000</f>
        <v>6.7452</v>
      </c>
      <c r="J60" s="117" t="n">
        <f aca="false">J8*J41*J15*8760/1000000</f>
        <v>8.4096</v>
      </c>
      <c r="K60" s="117" t="n">
        <f aca="false">K8*K41*K15*8760/1000000</f>
        <v>10.2492</v>
      </c>
      <c r="L60" s="117" t="n">
        <f aca="false">L8*L41*L15*8760/1000000</f>
        <v>6.7452</v>
      </c>
      <c r="M60" s="117" t="n">
        <f aca="false">M8*M41*M15*8760/1000000</f>
        <v>8.4096</v>
      </c>
      <c r="N60" s="117" t="n">
        <f aca="false">N8*N41*N15*8760/1000000</f>
        <v>10.2492</v>
      </c>
      <c r="O60" s="117" t="n">
        <f aca="false">O8*O41*O15*8760/1000000</f>
        <v>6.7452</v>
      </c>
      <c r="P60" s="117" t="n">
        <f aca="false">P8*P41*P15*8760/1000000</f>
        <v>8.4096</v>
      </c>
      <c r="Q60" s="117" t="n">
        <f aca="false">Q8*Q41*Q15*8760/1000000</f>
        <v>10.2492</v>
      </c>
    </row>
    <row r="61" customFormat="false" ht="15" hidden="false" customHeight="true" outlineLevel="0" collapsed="false">
      <c r="A61" s="19" t="s">
        <v>823</v>
      </c>
      <c r="B61" s="15" t="s">
        <v>57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824</v>
      </c>
      <c r="B62" s="15" t="s">
        <v>57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1" t="s">
        <v>825</v>
      </c>
    </row>
    <row r="2" customFormat="false" ht="15" hidden="false" customHeight="false" outlineLevel="0" collapsed="false">
      <c r="A2" s="42" t="s">
        <v>826</v>
      </c>
    </row>
    <row r="4" customFormat="false" ht="15" hidden="false" customHeight="false" outlineLevel="0" collapsed="false">
      <c r="A4" s="9" t="s">
        <v>264</v>
      </c>
      <c r="B4" s="9" t="s">
        <v>41</v>
      </c>
      <c r="C4" s="9" t="s">
        <v>265</v>
      </c>
      <c r="D4" s="9" t="s">
        <v>45</v>
      </c>
      <c r="H4" s="9" t="s">
        <v>266</v>
      </c>
    </row>
    <row r="5" customFormat="false" ht="15" hidden="false" customHeight="false" outlineLevel="0" collapsed="false">
      <c r="A5" s="44" t="s">
        <v>827</v>
      </c>
      <c r="B5" s="44"/>
      <c r="C5" s="123" t="s">
        <v>828</v>
      </c>
      <c r="D5" s="42" t="s">
        <v>50</v>
      </c>
      <c r="H5" s="66" t="s">
        <v>829</v>
      </c>
    </row>
    <row r="6" customFormat="false" ht="26.85" hidden="false" customHeight="false" outlineLevel="0" collapsed="false">
      <c r="A6" s="44" t="s">
        <v>830</v>
      </c>
      <c r="B6" s="45" t="s">
        <v>57</v>
      </c>
      <c r="C6" s="47" t="n">
        <v>0.25</v>
      </c>
      <c r="D6" s="42" t="s">
        <v>62</v>
      </c>
      <c r="H6" s="66" t="s">
        <v>831</v>
      </c>
    </row>
    <row r="7" customFormat="false" ht="15" hidden="false" customHeight="false" outlineLevel="0" collapsed="false">
      <c r="A7" s="45" t="s">
        <v>832</v>
      </c>
      <c r="B7" s="45" t="s">
        <v>57</v>
      </c>
      <c r="C7" s="47" t="n">
        <v>0.9</v>
      </c>
      <c r="D7" s="42" t="s">
        <v>62</v>
      </c>
      <c r="H7" s="66" t="s">
        <v>833</v>
      </c>
    </row>
    <row r="8" customFormat="false" ht="15" hidden="false" customHeight="false" outlineLevel="0" collapsed="false">
      <c r="A8" s="45" t="s">
        <v>834</v>
      </c>
      <c r="B8" s="45" t="s">
        <v>61</v>
      </c>
      <c r="C8" s="59" t="n">
        <v>0.8</v>
      </c>
      <c r="D8" s="42" t="s">
        <v>58</v>
      </c>
      <c r="H8" s="74" t="s">
        <v>835</v>
      </c>
    </row>
    <row r="9" customFormat="false" ht="15" hidden="false" customHeight="false" outlineLevel="0" collapsed="false">
      <c r="A9" s="45" t="s">
        <v>836</v>
      </c>
      <c r="B9" s="45" t="s">
        <v>61</v>
      </c>
      <c r="C9" s="59" t="n">
        <v>0.6</v>
      </c>
      <c r="D9" s="42" t="s">
        <v>58</v>
      </c>
      <c r="H9" s="74" t="s">
        <v>837</v>
      </c>
    </row>
    <row r="10" customFormat="false" ht="15" hidden="false" customHeight="false" outlineLevel="0" collapsed="false">
      <c r="A10" s="44" t="s">
        <v>838</v>
      </c>
      <c r="B10" s="44" t="s">
        <v>53</v>
      </c>
      <c r="C10" s="48" t="n">
        <v>0</v>
      </c>
      <c r="D10" s="42" t="s">
        <v>58</v>
      </c>
      <c r="H10" s="66" t="s">
        <v>839</v>
      </c>
    </row>
    <row r="11" customFormat="false" ht="26.85" hidden="false" customHeight="false" outlineLevel="0" collapsed="false">
      <c r="A11" s="45" t="s">
        <v>840</v>
      </c>
      <c r="B11" s="45" t="s">
        <v>57</v>
      </c>
      <c r="C11" s="47" t="n">
        <v>0.85</v>
      </c>
      <c r="D11" s="42" t="s">
        <v>62</v>
      </c>
      <c r="H11" s="66" t="s">
        <v>841</v>
      </c>
    </row>
    <row r="12" customFormat="false" ht="15" hidden="false" customHeight="false" outlineLevel="0" collapsed="false">
      <c r="A12" s="45" t="s">
        <v>842</v>
      </c>
      <c r="B12" s="44" t="s">
        <v>328</v>
      </c>
      <c r="C12" s="48" t="n">
        <v>16</v>
      </c>
      <c r="D12" s="42" t="s">
        <v>62</v>
      </c>
      <c r="H12" s="66" t="s">
        <v>843</v>
      </c>
    </row>
    <row r="13" customFormat="false" ht="26.85" hidden="false" customHeight="false" outlineLevel="0" collapsed="false">
      <c r="A13" s="44" t="s">
        <v>844</v>
      </c>
      <c r="B13" s="45" t="s">
        <v>61</v>
      </c>
      <c r="C13" s="58" t="n">
        <v>8</v>
      </c>
      <c r="D13" s="42" t="s">
        <v>62</v>
      </c>
      <c r="H13" s="66" t="s">
        <v>845</v>
      </c>
    </row>
    <row r="14" customFormat="false" ht="15" hidden="false" customHeight="false" outlineLevel="0" collapsed="false">
      <c r="A14" s="44" t="s">
        <v>846</v>
      </c>
      <c r="B14" s="44"/>
      <c r="C14" s="90" t="s">
        <v>847</v>
      </c>
      <c r="D14" s="42" t="s">
        <v>50</v>
      </c>
      <c r="H14" s="66" t="s">
        <v>848</v>
      </c>
    </row>
    <row r="15" customFormat="false" ht="15" hidden="false" customHeight="false" outlineLevel="0" collapsed="false">
      <c r="A15" s="44" t="s">
        <v>849</v>
      </c>
      <c r="B15" s="44" t="s">
        <v>53</v>
      </c>
      <c r="C15" s="48" t="n">
        <v>3</v>
      </c>
      <c r="D15" s="42" t="s">
        <v>58</v>
      </c>
      <c r="H15" s="74" t="s">
        <v>850</v>
      </c>
    </row>
    <row r="16" customFormat="false" ht="15" hidden="false" customHeight="false" outlineLevel="0" collapsed="false">
      <c r="A16" s="44" t="s">
        <v>851</v>
      </c>
      <c r="B16" s="44" t="s">
        <v>852</v>
      </c>
      <c r="C16" s="48" t="n">
        <v>4</v>
      </c>
      <c r="D16" s="42" t="s">
        <v>50</v>
      </c>
      <c r="E16" s="62" t="str">
        <f aca="false">INDEX(Spec_Rack!$C$4:$G$4,$C$16)</f>
        <v>VR200 NVL72</v>
      </c>
      <c r="H16" s="66" t="s">
        <v>853</v>
      </c>
    </row>
    <row r="17" customFormat="false" ht="15" hidden="false" customHeight="false" outlineLevel="0" collapsed="false">
      <c r="A17" s="44" t="s">
        <v>854</v>
      </c>
      <c r="B17" s="44" t="s">
        <v>852</v>
      </c>
      <c r="C17" s="48" t="n">
        <v>3</v>
      </c>
      <c r="D17" s="42" t="s">
        <v>50</v>
      </c>
      <c r="E17" s="62" t="str">
        <f aca="false">INDEX(Spec_Rack!$C$4:$G$4,$C$17)</f>
        <v>GB300 NVL72</v>
      </c>
      <c r="H17" s="66" t="s">
        <v>855</v>
      </c>
    </row>
    <row r="19" customFormat="false" ht="15" hidden="false" customHeight="false" outlineLevel="0" collapsed="false">
      <c r="A19" s="49" t="s">
        <v>856</v>
      </c>
      <c r="B19" s="50"/>
      <c r="C19" s="50"/>
      <c r="D19" s="50"/>
      <c r="E19" s="50"/>
      <c r="F19" s="50"/>
      <c r="G19" s="50"/>
      <c r="H19" s="50"/>
    </row>
    <row r="20" customFormat="false" ht="15" hidden="false" customHeight="false" outlineLevel="0" collapsed="false">
      <c r="A20" s="9" t="s">
        <v>122</v>
      </c>
      <c r="C20" s="62" t="str">
        <f aca="false">Spec_Rack!C4</f>
        <v>Hopper H100</v>
      </c>
      <c r="D20" s="62" t="str">
        <f aca="false">Spec_Rack!D4</f>
        <v>GB200 NVL72</v>
      </c>
      <c r="E20" s="62" t="str">
        <f aca="false">Spec_Rack!E4</f>
        <v>GB300 NVL72</v>
      </c>
      <c r="F20" s="62" t="str">
        <f aca="false">Spec_Rack!F4</f>
        <v>VR200 NVL72</v>
      </c>
      <c r="G20" s="62" t="str">
        <f aca="false">Spec_Rack!G4</f>
        <v>Rubin Ultra NVL576</v>
      </c>
    </row>
    <row r="21" customFormat="false" ht="26.85" hidden="false" customHeight="false" outlineLevel="0" collapsed="false">
      <c r="A21" s="44" t="s">
        <v>857</v>
      </c>
      <c r="B21" s="45" t="s">
        <v>61</v>
      </c>
      <c r="C21" s="59" t="n">
        <v>0.8</v>
      </c>
      <c r="D21" s="59" t="n">
        <v>1</v>
      </c>
      <c r="E21" s="59" t="n">
        <v>1</v>
      </c>
      <c r="F21" s="59" t="n">
        <v>0.9</v>
      </c>
      <c r="G21" s="59" t="n">
        <v>0.9</v>
      </c>
      <c r="H21" s="66" t="s">
        <v>858</v>
      </c>
    </row>
    <row r="23" customFormat="false" ht="15" hidden="false" customHeight="false" outlineLevel="0" collapsed="false">
      <c r="A23" s="49" t="s">
        <v>859</v>
      </c>
      <c r="B23" s="50"/>
      <c r="C23" s="50"/>
      <c r="D23" s="50"/>
      <c r="E23" s="50"/>
      <c r="F23" s="50"/>
      <c r="G23" s="50"/>
      <c r="H23" s="50"/>
    </row>
    <row r="24" customFormat="false" ht="15" hidden="false" customHeight="false" outlineLevel="0" collapsed="false">
      <c r="A24" s="9" t="s">
        <v>298</v>
      </c>
      <c r="B24" s="9" t="s">
        <v>41</v>
      </c>
      <c r="C24" s="62" t="str">
        <f aca="false">Arch!C4</f>
        <v>Luna（低層）</v>
      </c>
      <c r="D24" s="62" t="str">
        <f aca="false">Arch!D4</f>
        <v>Sol（中層）</v>
      </c>
      <c r="E24" s="62" t="str">
        <f aca="false">Arch!E4</f>
        <v>Astra（頂層）</v>
      </c>
      <c r="H24" s="9" t="s">
        <v>266</v>
      </c>
    </row>
    <row r="25" customFormat="false" ht="24.6" hidden="false" customHeight="false" outlineLevel="0" collapsed="false">
      <c r="A25" s="44" t="s">
        <v>860</v>
      </c>
      <c r="B25" s="45" t="s">
        <v>861</v>
      </c>
      <c r="C25" s="89" t="n">
        <v>32</v>
      </c>
      <c r="D25" s="89" t="n">
        <v>33</v>
      </c>
      <c r="E25" s="89" t="n">
        <v>60</v>
      </c>
      <c r="H25" s="66" t="s">
        <v>862</v>
      </c>
    </row>
    <row r="26" customFormat="false" ht="15" hidden="false" customHeight="false" outlineLevel="0" collapsed="false">
      <c r="A26" s="44" t="s">
        <v>863</v>
      </c>
      <c r="B26" s="45" t="s">
        <v>236</v>
      </c>
      <c r="C26" s="46" t="n">
        <v>4096</v>
      </c>
      <c r="D26" s="46" t="n">
        <v>4096</v>
      </c>
      <c r="E26" s="46" t="n">
        <v>8192</v>
      </c>
      <c r="H26" s="66" t="s">
        <v>864</v>
      </c>
    </row>
    <row r="27" customFormat="false" ht="15" hidden="false" customHeight="false" outlineLevel="0" collapsed="false">
      <c r="A27" s="44" t="s">
        <v>865</v>
      </c>
      <c r="B27" s="45" t="s">
        <v>861</v>
      </c>
      <c r="C27" s="89" t="n">
        <v>1</v>
      </c>
      <c r="D27" s="89" t="n">
        <v>1</v>
      </c>
      <c r="E27" s="89" t="n">
        <v>2</v>
      </c>
      <c r="H27" s="66" t="s">
        <v>866</v>
      </c>
    </row>
    <row r="28" customFormat="false" ht="15" hidden="false" customHeight="false" outlineLevel="0" collapsed="false">
      <c r="A28" s="44" t="s">
        <v>867</v>
      </c>
      <c r="B28" s="45" t="s">
        <v>236</v>
      </c>
      <c r="C28" s="46" t="n">
        <v>131072</v>
      </c>
      <c r="D28" s="46" t="n">
        <v>131072</v>
      </c>
      <c r="E28" s="46" t="n">
        <v>131072</v>
      </c>
      <c r="H28" s="66" t="s">
        <v>58</v>
      </c>
    </row>
    <row r="29" customFormat="false" ht="15" hidden="false" customHeight="false" outlineLevel="0" collapsed="false">
      <c r="A29" s="45" t="s">
        <v>868</v>
      </c>
      <c r="B29" s="45" t="s">
        <v>861</v>
      </c>
      <c r="C29" s="124" t="n">
        <v>0.05</v>
      </c>
      <c r="D29" s="124" t="n">
        <v>0.05</v>
      </c>
      <c r="E29" s="124" t="n">
        <v>0.1</v>
      </c>
      <c r="H29" s="66" t="s">
        <v>869</v>
      </c>
    </row>
    <row r="30" customFormat="false" ht="15" hidden="false" customHeight="false" outlineLevel="0" collapsed="false">
      <c r="A30" s="45" t="s">
        <v>870</v>
      </c>
      <c r="B30" s="45" t="s">
        <v>236</v>
      </c>
      <c r="C30" s="46" t="n">
        <v>16384</v>
      </c>
      <c r="D30" s="46" t="n">
        <v>16384</v>
      </c>
      <c r="E30" s="46" t="n">
        <v>16384</v>
      </c>
      <c r="H30" s="66" t="s">
        <v>58</v>
      </c>
    </row>
    <row r="31" customFormat="false" ht="15" hidden="false" customHeight="false" outlineLevel="0" collapsed="false">
      <c r="A31" s="44" t="s">
        <v>871</v>
      </c>
      <c r="B31" s="45" t="s">
        <v>300</v>
      </c>
      <c r="C31" s="46" t="n">
        <v>20</v>
      </c>
      <c r="D31" s="46" t="n">
        <v>20</v>
      </c>
      <c r="E31" s="46" t="n">
        <v>20</v>
      </c>
      <c r="H31" s="74" t="s">
        <v>872</v>
      </c>
    </row>
    <row r="32" customFormat="false" ht="15" hidden="false" customHeight="false" outlineLevel="0" collapsed="false">
      <c r="A32" s="45" t="s">
        <v>873</v>
      </c>
      <c r="B32" s="45" t="s">
        <v>236</v>
      </c>
      <c r="C32" s="46" t="n">
        <v>4096</v>
      </c>
      <c r="D32" s="46" t="n">
        <v>8192</v>
      </c>
      <c r="E32" s="46" t="n">
        <v>16384</v>
      </c>
      <c r="H32" s="66" t="s">
        <v>58</v>
      </c>
    </row>
    <row r="33" customFormat="false" ht="15" hidden="false" customHeight="false" outlineLevel="0" collapsed="false">
      <c r="A33" s="45" t="s">
        <v>874</v>
      </c>
      <c r="B33" s="45" t="s">
        <v>236</v>
      </c>
      <c r="C33" s="46" t="n">
        <v>8192</v>
      </c>
      <c r="D33" s="46" t="n">
        <v>16384</v>
      </c>
      <c r="E33" s="46" t="n">
        <v>32768</v>
      </c>
      <c r="H33" s="66" t="s">
        <v>875</v>
      </c>
    </row>
    <row r="34" customFormat="false" ht="39.55" hidden="false" customHeight="false" outlineLevel="0" collapsed="false">
      <c r="A34" s="45" t="s">
        <v>876</v>
      </c>
      <c r="B34" s="45" t="s">
        <v>861</v>
      </c>
      <c r="C34" s="125" t="n">
        <v>2.36</v>
      </c>
      <c r="D34" s="125" t="n">
        <v>2.36</v>
      </c>
      <c r="E34" s="125" t="n">
        <v>9.6</v>
      </c>
      <c r="H34" s="66" t="s">
        <v>877</v>
      </c>
    </row>
    <row r="35" customFormat="false" ht="15" hidden="false" customHeight="false" outlineLevel="0" collapsed="false">
      <c r="A35" s="45" t="s">
        <v>878</v>
      </c>
      <c r="B35" s="45" t="s">
        <v>861</v>
      </c>
      <c r="C35" s="124" t="n">
        <v>0.2</v>
      </c>
      <c r="D35" s="124" t="n">
        <v>0.2</v>
      </c>
      <c r="E35" s="124" t="n">
        <v>0.2</v>
      </c>
      <c r="H35" s="66" t="s">
        <v>879</v>
      </c>
    </row>
    <row r="36" customFormat="false" ht="15" hidden="false" customHeight="false" outlineLevel="0" collapsed="false">
      <c r="A36" s="44" t="s">
        <v>880</v>
      </c>
      <c r="B36" s="44" t="s">
        <v>53</v>
      </c>
      <c r="C36" s="48" t="n">
        <v>1</v>
      </c>
      <c r="D36" s="48" t="n">
        <v>2</v>
      </c>
      <c r="E36" s="48" t="n">
        <v>3</v>
      </c>
      <c r="H36" s="66" t="s">
        <v>881</v>
      </c>
    </row>
    <row r="37" customFormat="false" ht="15" hidden="false" customHeight="false" outlineLevel="0" collapsed="false">
      <c r="A37" s="44" t="s">
        <v>882</v>
      </c>
      <c r="B37" s="45" t="s">
        <v>861</v>
      </c>
      <c r="C37" s="89" t="n">
        <v>1</v>
      </c>
      <c r="D37" s="89" t="n">
        <v>2</v>
      </c>
      <c r="E37" s="89" t="n">
        <v>3</v>
      </c>
      <c r="H37" s="66" t="s">
        <v>883</v>
      </c>
    </row>
    <row r="38" customFormat="false" ht="15" hidden="false" customHeight="false" outlineLevel="0" collapsed="false">
      <c r="A38" s="44" t="s">
        <v>884</v>
      </c>
      <c r="B38" s="45" t="s">
        <v>861</v>
      </c>
      <c r="C38" s="124" t="n">
        <v>0.02</v>
      </c>
      <c r="D38" s="124" t="n">
        <v>0.05</v>
      </c>
      <c r="E38" s="124" t="n">
        <v>0.1</v>
      </c>
      <c r="H38" s="66" t="s">
        <v>58</v>
      </c>
    </row>
    <row r="40" customFormat="false" ht="15" hidden="false" customHeight="false" outlineLevel="0" collapsed="false">
      <c r="A40" s="49" t="s">
        <v>885</v>
      </c>
      <c r="B40" s="50"/>
      <c r="C40" s="50"/>
      <c r="D40" s="50"/>
      <c r="E40" s="50"/>
      <c r="F40" s="50"/>
      <c r="G40" s="50"/>
      <c r="H40" s="50"/>
    </row>
    <row r="41" customFormat="false" ht="15" hidden="false" customHeight="false" outlineLevel="0" collapsed="false">
      <c r="A41" s="45" t="s">
        <v>886</v>
      </c>
      <c r="B41" s="45" t="s">
        <v>861</v>
      </c>
      <c r="C41" s="89" t="n">
        <v>14.8</v>
      </c>
      <c r="H41" s="66" t="s">
        <v>887</v>
      </c>
    </row>
    <row r="42" customFormat="false" ht="15" hidden="false" customHeight="false" outlineLevel="0" collapsed="false">
      <c r="A42" s="45" t="s">
        <v>888</v>
      </c>
      <c r="B42" s="45" t="s">
        <v>889</v>
      </c>
      <c r="C42" s="126" t="n">
        <v>2.664</v>
      </c>
      <c r="H42" s="66" t="s">
        <v>890</v>
      </c>
    </row>
    <row r="43" customFormat="false" ht="15" hidden="false" customHeight="false" outlineLevel="0" collapsed="false">
      <c r="A43" s="45" t="s">
        <v>891</v>
      </c>
      <c r="B43" s="45" t="s">
        <v>236</v>
      </c>
      <c r="C43" s="46" t="n">
        <v>4096</v>
      </c>
      <c r="H43" s="66" t="s">
        <v>892</v>
      </c>
    </row>
    <row r="44" customFormat="false" ht="15" hidden="false" customHeight="false" outlineLevel="0" collapsed="false">
      <c r="A44" s="45" t="s">
        <v>893</v>
      </c>
      <c r="B44" s="45" t="s">
        <v>61</v>
      </c>
      <c r="C44" s="127" t="n">
        <v>0.055</v>
      </c>
      <c r="H44" s="66" t="s">
        <v>894</v>
      </c>
    </row>
    <row r="45" customFormat="false" ht="15" hidden="false" customHeight="false" outlineLevel="0" collapsed="false">
      <c r="A45" s="45" t="s">
        <v>895</v>
      </c>
      <c r="B45" s="45" t="s">
        <v>61</v>
      </c>
      <c r="C45" s="58" t="n">
        <v>1</v>
      </c>
      <c r="H45" s="66" t="s">
        <v>896</v>
      </c>
    </row>
    <row r="46" customFormat="false" ht="15" hidden="false" customHeight="false" outlineLevel="0" collapsed="false">
      <c r="A46" s="44" t="s">
        <v>897</v>
      </c>
      <c r="B46" s="45" t="s">
        <v>259</v>
      </c>
      <c r="C46" s="128" t="n">
        <v>2E+026</v>
      </c>
      <c r="H46" s="66" t="s">
        <v>898</v>
      </c>
    </row>
    <row r="47" customFormat="false" ht="15" hidden="false" customHeight="false" outlineLevel="0" collapsed="false">
      <c r="A47" s="44" t="s">
        <v>899</v>
      </c>
      <c r="B47" s="45" t="s">
        <v>259</v>
      </c>
      <c r="C47" s="128" t="n">
        <v>5E+026</v>
      </c>
      <c r="H47" s="74" t="s">
        <v>83</v>
      </c>
    </row>
    <row r="48" customFormat="false" ht="15" hidden="false" customHeight="false" outlineLevel="0" collapsed="false">
      <c r="A48" s="44" t="s">
        <v>900</v>
      </c>
      <c r="B48" s="45" t="s">
        <v>259</v>
      </c>
      <c r="C48" s="128" t="n">
        <v>2E+027</v>
      </c>
      <c r="H48" s="7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1" t="s">
        <v>901</v>
      </c>
    </row>
    <row r="2" customFormat="false" ht="15" hidden="false" customHeight="false" outlineLevel="0" collapsed="false">
      <c r="A2" s="42" t="s">
        <v>902</v>
      </c>
    </row>
    <row r="3" customFormat="false" ht="15" hidden="false" customHeight="false" outlineLevel="0" collapsed="false">
      <c r="A3" s="9" t="s">
        <v>903</v>
      </c>
      <c r="R3" s="9" t="s">
        <v>904</v>
      </c>
      <c r="S3" s="9" t="s">
        <v>904</v>
      </c>
    </row>
    <row r="4" customFormat="false" ht="15" hidden="false" customHeight="false" outlineLevel="0" collapsed="false">
      <c r="A4" s="9" t="s">
        <v>122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  <c r="R4" s="62" t="str">
        <f aca="false">INDEX(Spec_Rack!$C$4:$G$4,R6)</f>
        <v>VR200 NVL72</v>
      </c>
      <c r="S4" s="62" t="str">
        <f aca="false">INDEX(Spec_Rack!$C$4:$G$4,S6)</f>
        <v>VR200 NVL72</v>
      </c>
    </row>
    <row r="5" customFormat="false" ht="15" hidden="false" customHeight="false" outlineLevel="0" collapsed="false">
      <c r="A5" s="9" t="s">
        <v>630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  <c r="R5" s="62" t="str">
        <f aca="false">INDEX(Arch!$C$4:$E$4,R7)</f>
        <v>Sol（中層）</v>
      </c>
      <c r="S5" s="62" t="str">
        <f aca="false">INDEX(Arch!$C$4:$E$4,S7)</f>
        <v>Astra（頂層）</v>
      </c>
    </row>
    <row r="6" customFormat="false" ht="15" hidden="false" customHeight="false" outlineLevel="0" collapsed="false">
      <c r="A6" s="9" t="s">
        <v>368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  <c r="R6" s="48" t="n">
        <v>4</v>
      </c>
      <c r="S6" s="48" t="n">
        <v>4</v>
      </c>
    </row>
    <row r="7" customFormat="false" ht="15" hidden="false" customHeight="false" outlineLevel="0" collapsed="false">
      <c r="A7" s="9" t="s">
        <v>631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  <c r="R7" s="48" t="n">
        <v>2</v>
      </c>
      <c r="S7" s="48" t="n">
        <v>3</v>
      </c>
    </row>
    <row r="9" customFormat="false" ht="15" hidden="false" customHeight="false" outlineLevel="0" collapsed="false">
      <c r="A9" s="72" t="s">
        <v>632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5" t="s">
        <v>633</v>
      </c>
      <c r="B10" s="45" t="s">
        <v>61</v>
      </c>
      <c r="C10" s="79" t="n">
        <f aca="false">Tech_Registry!$E$22</f>
        <v>1</v>
      </c>
      <c r="D10" s="79" t="n">
        <f aca="false">Tech_Registry!$E$22</f>
        <v>1</v>
      </c>
      <c r="E10" s="79" t="n">
        <f aca="false">Tech_Registry!$E$22</f>
        <v>1</v>
      </c>
      <c r="F10" s="79" t="n">
        <f aca="false">Tech_Registry!$E$22</f>
        <v>1</v>
      </c>
      <c r="G10" s="79" t="n">
        <f aca="false">Tech_Registry!$E$22</f>
        <v>1</v>
      </c>
      <c r="H10" s="79" t="n">
        <f aca="false">Tech_Registry!$E$22</f>
        <v>1</v>
      </c>
      <c r="I10" s="79" t="n">
        <f aca="false">Tech_Registry!$E$22</f>
        <v>1</v>
      </c>
      <c r="J10" s="79" t="n">
        <f aca="false">Tech_Registry!$E$22</f>
        <v>1</v>
      </c>
      <c r="K10" s="79" t="n">
        <f aca="false">Tech_Registry!$E$22</f>
        <v>1</v>
      </c>
      <c r="L10" s="79" t="n">
        <f aca="false">Tech_Registry!$E$22</f>
        <v>1</v>
      </c>
      <c r="M10" s="79" t="n">
        <f aca="false">Tech_Registry!$E$22</f>
        <v>1</v>
      </c>
      <c r="N10" s="79" t="n">
        <f aca="false">Tech_Registry!$E$22</f>
        <v>1</v>
      </c>
      <c r="O10" s="79" t="n">
        <f aca="false">Tech_Registry!$E$22</f>
        <v>1</v>
      </c>
      <c r="P10" s="79" t="n">
        <f aca="false">Tech_Registry!$E$22</f>
        <v>1</v>
      </c>
      <c r="Q10" s="79" t="n">
        <f aca="false">Tech_Registry!$E$22</f>
        <v>1</v>
      </c>
      <c r="R10" s="79" t="n">
        <f aca="false">Tech_Registry!$E$22</f>
        <v>1</v>
      </c>
      <c r="S10" s="79" t="n">
        <f aca="false">Tech_Registry!$E$22</f>
        <v>1</v>
      </c>
    </row>
    <row r="11" customFormat="false" ht="15" hidden="false" customHeight="false" outlineLevel="0" collapsed="false">
      <c r="A11" s="45" t="s">
        <v>634</v>
      </c>
      <c r="B11" s="45" t="s">
        <v>61</v>
      </c>
      <c r="C11" s="79" t="n">
        <f aca="false">Tech_Registry!$E$23</f>
        <v>1</v>
      </c>
      <c r="D11" s="79" t="n">
        <f aca="false">Tech_Registry!$E$23</f>
        <v>1</v>
      </c>
      <c r="E11" s="79" t="n">
        <f aca="false">Tech_Registry!$E$23</f>
        <v>1</v>
      </c>
      <c r="F11" s="79" t="n">
        <f aca="false">Tech_Registry!$E$23</f>
        <v>1</v>
      </c>
      <c r="G11" s="79" t="n">
        <f aca="false">Tech_Registry!$E$23</f>
        <v>1</v>
      </c>
      <c r="H11" s="79" t="n">
        <f aca="false">Tech_Registry!$E$23</f>
        <v>1</v>
      </c>
      <c r="I11" s="79" t="n">
        <f aca="false">Tech_Registry!$E$23</f>
        <v>1</v>
      </c>
      <c r="J11" s="79" t="n">
        <f aca="false">Tech_Registry!$E$23</f>
        <v>1</v>
      </c>
      <c r="K11" s="79" t="n">
        <f aca="false">Tech_Registry!$E$23</f>
        <v>1</v>
      </c>
      <c r="L11" s="79" t="n">
        <f aca="false">Tech_Registry!$E$23</f>
        <v>1</v>
      </c>
      <c r="M11" s="79" t="n">
        <f aca="false">Tech_Registry!$E$23</f>
        <v>1</v>
      </c>
      <c r="N11" s="79" t="n">
        <f aca="false">Tech_Registry!$E$23</f>
        <v>1</v>
      </c>
      <c r="O11" s="79" t="n">
        <f aca="false">Tech_Registry!$E$23</f>
        <v>1</v>
      </c>
      <c r="P11" s="79" t="n">
        <f aca="false">Tech_Registry!$E$23</f>
        <v>1</v>
      </c>
      <c r="Q11" s="79" t="n">
        <f aca="false">Tech_Registry!$E$23</f>
        <v>1</v>
      </c>
      <c r="R11" s="79" t="n">
        <f aca="false">Tech_Registry!$E$23</f>
        <v>1</v>
      </c>
      <c r="S11" s="79" t="n">
        <f aca="false">Tech_Registry!$E$23</f>
        <v>1</v>
      </c>
    </row>
    <row r="12" customFormat="false" ht="15" hidden="false" customHeight="false" outlineLevel="0" collapsed="false">
      <c r="A12" s="44" t="s">
        <v>635</v>
      </c>
      <c r="B12" s="45" t="s">
        <v>61</v>
      </c>
      <c r="C12" s="79" t="n">
        <f aca="false">Tech_Registry!$E$24</f>
        <v>1</v>
      </c>
      <c r="D12" s="79" t="n">
        <f aca="false">Tech_Registry!$E$24</f>
        <v>1</v>
      </c>
      <c r="E12" s="79" t="n">
        <f aca="false">Tech_Registry!$E$24</f>
        <v>1</v>
      </c>
      <c r="F12" s="79" t="n">
        <f aca="false">Tech_Registry!$E$24</f>
        <v>1</v>
      </c>
      <c r="G12" s="79" t="n">
        <f aca="false">Tech_Registry!$E$24</f>
        <v>1</v>
      </c>
      <c r="H12" s="79" t="n">
        <f aca="false">Tech_Registry!$E$24</f>
        <v>1</v>
      </c>
      <c r="I12" s="79" t="n">
        <f aca="false">Tech_Registry!$E$24</f>
        <v>1</v>
      </c>
      <c r="J12" s="79" t="n">
        <f aca="false">Tech_Registry!$E$24</f>
        <v>1</v>
      </c>
      <c r="K12" s="79" t="n">
        <f aca="false">Tech_Registry!$E$24</f>
        <v>1</v>
      </c>
      <c r="L12" s="79" t="n">
        <f aca="false">Tech_Registry!$E$24</f>
        <v>1</v>
      </c>
      <c r="M12" s="79" t="n">
        <f aca="false">Tech_Registry!$E$24</f>
        <v>1</v>
      </c>
      <c r="N12" s="79" t="n">
        <f aca="false">Tech_Registry!$E$24</f>
        <v>1</v>
      </c>
      <c r="O12" s="79" t="n">
        <f aca="false">Tech_Registry!$E$24</f>
        <v>1</v>
      </c>
      <c r="P12" s="79" t="n">
        <f aca="false">Tech_Registry!$E$24</f>
        <v>1</v>
      </c>
      <c r="Q12" s="79" t="n">
        <f aca="false">Tech_Registry!$E$24</f>
        <v>1</v>
      </c>
      <c r="R12" s="79" t="n">
        <f aca="false">Tech_Registry!$E$24</f>
        <v>1</v>
      </c>
      <c r="S12" s="79" t="n">
        <f aca="false">Tech_Registry!$E$24</f>
        <v>1</v>
      </c>
    </row>
    <row r="13" customFormat="false" ht="15" hidden="false" customHeight="false" outlineLevel="0" collapsed="false">
      <c r="A13" s="72" t="s">
        <v>636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customFormat="false" ht="15" hidden="false" customHeight="false" outlineLevel="0" collapsed="false">
      <c r="A14" s="44" t="s">
        <v>391</v>
      </c>
      <c r="B14" s="45" t="s">
        <v>392</v>
      </c>
      <c r="C14" s="75" t="n">
        <f aca="false">INDEX(Spec_Rack!$C$35:$G$35,C$6)</f>
        <v>1.979</v>
      </c>
      <c r="D14" s="75" t="n">
        <f aca="false">INDEX(Spec_Rack!$C$35:$G$35,D$6)</f>
        <v>1.979</v>
      </c>
      <c r="E14" s="75" t="n">
        <f aca="false">INDEX(Spec_Rack!$C$35:$G$35,E$6)</f>
        <v>1.979</v>
      </c>
      <c r="F14" s="75" t="n">
        <f aca="false">INDEX(Spec_Rack!$C$35:$G$35,F$6)</f>
        <v>10</v>
      </c>
      <c r="G14" s="75" t="n">
        <f aca="false">INDEX(Spec_Rack!$C$35:$G$35,G$6)</f>
        <v>10</v>
      </c>
      <c r="H14" s="75" t="n">
        <f aca="false">INDEX(Spec_Rack!$C$35:$G$35,H$6)</f>
        <v>10</v>
      </c>
      <c r="I14" s="75" t="n">
        <f aca="false">INDEX(Spec_Rack!$C$35:$G$35,I$6)</f>
        <v>15</v>
      </c>
      <c r="J14" s="75" t="n">
        <f aca="false">INDEX(Spec_Rack!$C$35:$G$35,J$6)</f>
        <v>15</v>
      </c>
      <c r="K14" s="75" t="n">
        <f aca="false">INDEX(Spec_Rack!$C$35:$G$35,K$6)</f>
        <v>15</v>
      </c>
      <c r="L14" s="75" t="n">
        <f aca="false">INDEX(Spec_Rack!$C$35:$G$35,L$6)</f>
        <v>35</v>
      </c>
      <c r="M14" s="75" t="n">
        <f aca="false">INDEX(Spec_Rack!$C$35:$G$35,M$6)</f>
        <v>35</v>
      </c>
      <c r="N14" s="75" t="n">
        <f aca="false">INDEX(Spec_Rack!$C$35:$G$35,N$6)</f>
        <v>35</v>
      </c>
      <c r="O14" s="75" t="n">
        <f aca="false">INDEX(Spec_Rack!$C$35:$G$35,O$6)</f>
        <v>73</v>
      </c>
      <c r="P14" s="75" t="n">
        <f aca="false">INDEX(Spec_Rack!$C$35:$G$35,P$6)</f>
        <v>73</v>
      </c>
      <c r="Q14" s="75" t="n">
        <f aca="false">INDEX(Spec_Rack!$C$35:$G$35,Q$6)</f>
        <v>73</v>
      </c>
      <c r="R14" s="107" t="n">
        <f aca="false">Spec_Rack!$F$40</f>
        <v>17.5</v>
      </c>
      <c r="S14" s="107" t="n">
        <f aca="false">Spec_Rack!$F$40</f>
        <v>17.5</v>
      </c>
    </row>
    <row r="15" customFormat="false" ht="15" hidden="false" customHeight="false" outlineLevel="0" collapsed="false">
      <c r="A15" s="45" t="s">
        <v>393</v>
      </c>
      <c r="B15" s="45" t="s">
        <v>637</v>
      </c>
      <c r="C15" s="76" t="n">
        <f aca="false">INDEX(Spec_Rack!$C$25:$G$25,C$6)</f>
        <v>80</v>
      </c>
      <c r="D15" s="76" t="n">
        <f aca="false">INDEX(Spec_Rack!$C$25:$G$25,D$6)</f>
        <v>80</v>
      </c>
      <c r="E15" s="76" t="n">
        <f aca="false">INDEX(Spec_Rack!$C$25:$G$25,E$6)</f>
        <v>80</v>
      </c>
      <c r="F15" s="76" t="n">
        <f aca="false">INDEX(Spec_Rack!$C$25:$G$25,F$6)</f>
        <v>186</v>
      </c>
      <c r="G15" s="76" t="n">
        <f aca="false">INDEX(Spec_Rack!$C$25:$G$25,G$6)</f>
        <v>186</v>
      </c>
      <c r="H15" s="76" t="n">
        <f aca="false">INDEX(Spec_Rack!$C$25:$G$25,H$6)</f>
        <v>186</v>
      </c>
      <c r="I15" s="76" t="n">
        <f aca="false">INDEX(Spec_Rack!$C$25:$G$25,I$6)</f>
        <v>288</v>
      </c>
      <c r="J15" s="76" t="n">
        <f aca="false">INDEX(Spec_Rack!$C$25:$G$25,J$6)</f>
        <v>288</v>
      </c>
      <c r="K15" s="76" t="n">
        <f aca="false">INDEX(Spec_Rack!$C$25:$G$25,K$6)</f>
        <v>288</v>
      </c>
      <c r="L15" s="76" t="n">
        <f aca="false">INDEX(Spec_Rack!$C$25:$G$25,L$6)</f>
        <v>288</v>
      </c>
      <c r="M15" s="76" t="n">
        <f aca="false">INDEX(Spec_Rack!$C$25:$G$25,M$6)</f>
        <v>288</v>
      </c>
      <c r="N15" s="76" t="n">
        <f aca="false">INDEX(Spec_Rack!$C$25:$G$25,N$6)</f>
        <v>288</v>
      </c>
      <c r="O15" s="76" t="n">
        <f aca="false">INDEX(Spec_Rack!$C$25:$G$25,O$6)</f>
        <v>1024</v>
      </c>
      <c r="P15" s="76" t="n">
        <f aca="false">INDEX(Spec_Rack!$C$25:$G$25,P$6)</f>
        <v>1024</v>
      </c>
      <c r="Q15" s="76" t="n">
        <f aca="false">INDEX(Spec_Rack!$C$25:$G$25,Q$6)</f>
        <v>1024</v>
      </c>
      <c r="R15" s="76" t="n">
        <f aca="false">INDEX(Spec_Rack!$C$25:$G$25,R$6)</f>
        <v>288</v>
      </c>
      <c r="S15" s="76" t="n">
        <f aca="false">INDEX(Spec_Rack!$C$25:$G$25,S$6)</f>
        <v>288</v>
      </c>
    </row>
    <row r="16" customFormat="false" ht="15" hidden="false" customHeight="false" outlineLevel="0" collapsed="false">
      <c r="A16" s="45" t="s">
        <v>394</v>
      </c>
      <c r="B16" s="45" t="s">
        <v>289</v>
      </c>
      <c r="C16" s="77" t="n">
        <f aca="false">INDEX(Spec_Rack!$C$26:$G$26,C$6)</f>
        <v>3.35</v>
      </c>
      <c r="D16" s="77" t="n">
        <f aca="false">INDEX(Spec_Rack!$C$26:$G$26,D$6)</f>
        <v>3.35</v>
      </c>
      <c r="E16" s="77" t="n">
        <f aca="false">INDEX(Spec_Rack!$C$26:$G$26,E$6)</f>
        <v>3.35</v>
      </c>
      <c r="F16" s="77" t="n">
        <f aca="false">INDEX(Spec_Rack!$C$26:$G$26,F$6)</f>
        <v>8</v>
      </c>
      <c r="G16" s="77" t="n">
        <f aca="false">INDEX(Spec_Rack!$C$26:$G$26,G$6)</f>
        <v>8</v>
      </c>
      <c r="H16" s="77" t="n">
        <f aca="false">INDEX(Spec_Rack!$C$26:$G$26,H$6)</f>
        <v>8</v>
      </c>
      <c r="I16" s="77" t="n">
        <f aca="false">INDEX(Spec_Rack!$C$26:$G$26,I$6)</f>
        <v>8</v>
      </c>
      <c r="J16" s="77" t="n">
        <f aca="false">INDEX(Spec_Rack!$C$26:$G$26,J$6)</f>
        <v>8</v>
      </c>
      <c r="K16" s="77" t="n">
        <f aca="false">INDEX(Spec_Rack!$C$26:$G$26,K$6)</f>
        <v>8</v>
      </c>
      <c r="L16" s="77" t="n">
        <f aca="false">INDEX(Spec_Rack!$C$26:$G$26,L$6)</f>
        <v>22</v>
      </c>
      <c r="M16" s="77" t="n">
        <f aca="false">INDEX(Spec_Rack!$C$26:$G$26,M$6)</f>
        <v>22</v>
      </c>
      <c r="N16" s="77" t="n">
        <f aca="false">INDEX(Spec_Rack!$C$26:$G$26,N$6)</f>
        <v>22</v>
      </c>
      <c r="O16" s="77" t="n">
        <f aca="false">INDEX(Spec_Rack!$C$26:$G$26,O$6)</f>
        <v>32</v>
      </c>
      <c r="P16" s="77" t="n">
        <f aca="false">INDEX(Spec_Rack!$C$26:$G$26,P$6)</f>
        <v>32</v>
      </c>
      <c r="Q16" s="77" t="n">
        <f aca="false">INDEX(Spec_Rack!$C$26:$G$26,Q$6)</f>
        <v>32</v>
      </c>
      <c r="R16" s="77" t="n">
        <f aca="false">INDEX(Spec_Rack!$C$26:$G$26,R$6)</f>
        <v>22</v>
      </c>
      <c r="S16" s="77" t="n">
        <f aca="false">INDEX(Spec_Rack!$C$26:$G$26,S$6)</f>
        <v>22</v>
      </c>
    </row>
    <row r="17" customFormat="false" ht="15" hidden="false" customHeight="false" outlineLevel="0" collapsed="false">
      <c r="A17" s="45" t="s">
        <v>638</v>
      </c>
      <c r="B17" s="45" t="s">
        <v>289</v>
      </c>
      <c r="C17" s="77" t="n">
        <f aca="false">INDEX(Spec_Rack!$C$27:$G$27,C$6)</f>
        <v>0.05</v>
      </c>
      <c r="D17" s="77" t="n">
        <f aca="false">INDEX(Spec_Rack!$C$27:$G$27,D$6)</f>
        <v>0.05</v>
      </c>
      <c r="E17" s="77" t="n">
        <f aca="false">INDEX(Spec_Rack!$C$27:$G$27,E$6)</f>
        <v>0.05</v>
      </c>
      <c r="F17" s="77" t="n">
        <f aca="false">INDEX(Spec_Rack!$C$27:$G$27,F$6)</f>
        <v>0.9</v>
      </c>
      <c r="G17" s="77" t="n">
        <f aca="false">INDEX(Spec_Rack!$C$27:$G$27,G$6)</f>
        <v>0.9</v>
      </c>
      <c r="H17" s="77" t="n">
        <f aca="false">INDEX(Spec_Rack!$C$27:$G$27,H$6)</f>
        <v>0.9</v>
      </c>
      <c r="I17" s="77" t="n">
        <f aca="false">INDEX(Spec_Rack!$C$27:$G$27,I$6)</f>
        <v>0.9</v>
      </c>
      <c r="J17" s="77" t="n">
        <f aca="false">INDEX(Spec_Rack!$C$27:$G$27,J$6)</f>
        <v>0.9</v>
      </c>
      <c r="K17" s="77" t="n">
        <f aca="false">INDEX(Spec_Rack!$C$27:$G$27,K$6)</f>
        <v>0.9</v>
      </c>
      <c r="L17" s="77" t="n">
        <f aca="false">INDEX(Spec_Rack!$C$27:$G$27,L$6)</f>
        <v>1.8</v>
      </c>
      <c r="M17" s="77" t="n">
        <f aca="false">INDEX(Spec_Rack!$C$27:$G$27,M$6)</f>
        <v>1.8</v>
      </c>
      <c r="N17" s="77" t="n">
        <f aca="false">INDEX(Spec_Rack!$C$27:$G$27,N$6)</f>
        <v>1.8</v>
      </c>
      <c r="O17" s="77" t="n">
        <f aca="false">INDEX(Spec_Rack!$C$27:$G$27,O$6)</f>
        <v>1.8</v>
      </c>
      <c r="P17" s="77" t="n">
        <f aca="false">INDEX(Spec_Rack!$C$27:$G$27,P$6)</f>
        <v>1.8</v>
      </c>
      <c r="Q17" s="77" t="n">
        <f aca="false">INDEX(Spec_Rack!$C$27:$G$27,Q$6)</f>
        <v>1.8</v>
      </c>
      <c r="R17" s="77" t="n">
        <f aca="false">INDEX(Spec_Rack!$C$27:$G$27,R$6)</f>
        <v>1.8</v>
      </c>
      <c r="S17" s="77" t="n">
        <f aca="false">INDEX(Spec_Rack!$C$27:$G$27,S$6)</f>
        <v>1.8</v>
      </c>
    </row>
    <row r="18" customFormat="false" ht="15" hidden="false" customHeight="false" outlineLevel="0" collapsed="false">
      <c r="A18" s="45" t="s">
        <v>181</v>
      </c>
      <c r="B18" s="45" t="s">
        <v>639</v>
      </c>
      <c r="C18" s="76" t="n">
        <f aca="false">INDEX(Spec_Rack!$C$29:$G$29,C$6)</f>
        <v>64</v>
      </c>
      <c r="D18" s="76" t="n">
        <f aca="false">INDEX(Spec_Rack!$C$29:$G$29,D$6)</f>
        <v>64</v>
      </c>
      <c r="E18" s="76" t="n">
        <f aca="false">INDEX(Spec_Rack!$C$29:$G$29,E$6)</f>
        <v>64</v>
      </c>
      <c r="F18" s="76" t="n">
        <f aca="false">INDEX(Spec_Rack!$C$29:$G$29,F$6)</f>
        <v>32</v>
      </c>
      <c r="G18" s="76" t="n">
        <f aca="false">INDEX(Spec_Rack!$C$29:$G$29,G$6)</f>
        <v>32</v>
      </c>
      <c r="H18" s="76" t="n">
        <f aca="false">INDEX(Spec_Rack!$C$29:$G$29,H$6)</f>
        <v>32</v>
      </c>
      <c r="I18" s="76" t="n">
        <f aca="false">INDEX(Spec_Rack!$C$29:$G$29,I$6)</f>
        <v>32</v>
      </c>
      <c r="J18" s="76" t="n">
        <f aca="false">INDEX(Spec_Rack!$C$29:$G$29,J$6)</f>
        <v>32</v>
      </c>
      <c r="K18" s="76" t="n">
        <f aca="false">INDEX(Spec_Rack!$C$29:$G$29,K$6)</f>
        <v>32</v>
      </c>
      <c r="L18" s="76" t="n">
        <f aca="false">INDEX(Spec_Rack!$C$29:$G$29,L$6)</f>
        <v>32</v>
      </c>
      <c r="M18" s="76" t="n">
        <f aca="false">INDEX(Spec_Rack!$C$29:$G$29,M$6)</f>
        <v>32</v>
      </c>
      <c r="N18" s="76" t="n">
        <f aca="false">INDEX(Spec_Rack!$C$29:$G$29,N$6)</f>
        <v>32</v>
      </c>
      <c r="O18" s="76" t="n">
        <f aca="false">INDEX(Spec_Rack!$C$29:$G$29,O$6)</f>
        <v>64</v>
      </c>
      <c r="P18" s="76" t="n">
        <f aca="false">INDEX(Spec_Rack!$C$29:$G$29,P$6)</f>
        <v>64</v>
      </c>
      <c r="Q18" s="76" t="n">
        <f aca="false">INDEX(Spec_Rack!$C$29:$G$29,Q$6)</f>
        <v>64</v>
      </c>
      <c r="R18" s="76" t="n">
        <f aca="false">INDEX(Spec_Rack!$C$29:$G$29,R$6)</f>
        <v>32</v>
      </c>
      <c r="S18" s="76" t="n">
        <f aca="false">INDEX(Spec_Rack!$C$29:$G$29,S$6)</f>
        <v>32</v>
      </c>
    </row>
    <row r="19" customFormat="false" ht="15" hidden="false" customHeight="false" outlineLevel="0" collapsed="false">
      <c r="A19" s="44" t="s">
        <v>640</v>
      </c>
      <c r="B19" s="45" t="s">
        <v>213</v>
      </c>
      <c r="C19" s="78" t="n">
        <f aca="false">INDEX(Spec_Rack!$C$30:$G$30,C$6)*C12</f>
        <v>1</v>
      </c>
      <c r="D19" s="78" t="n">
        <f aca="false">INDEX(Spec_Rack!$C$30:$G$30,D$6)*D12</f>
        <v>1</v>
      </c>
      <c r="E19" s="78" t="n">
        <f aca="false">INDEX(Spec_Rack!$C$30:$G$30,E$6)*E12</f>
        <v>1</v>
      </c>
      <c r="F19" s="78" t="n">
        <f aca="false">INDEX(Spec_Rack!$C$30:$G$30,F$6)*F12</f>
        <v>0.5625</v>
      </c>
      <c r="G19" s="78" t="n">
        <f aca="false">INDEX(Spec_Rack!$C$30:$G$30,G$6)*G12</f>
        <v>0.5625</v>
      </c>
      <c r="H19" s="78" t="n">
        <f aca="false">INDEX(Spec_Rack!$C$30:$G$30,H$6)*H12</f>
        <v>0.5625</v>
      </c>
      <c r="I19" s="78" t="n">
        <f aca="false">INDEX(Spec_Rack!$C$30:$G$30,I$6)*I12</f>
        <v>0.5625</v>
      </c>
      <c r="J19" s="78" t="n">
        <f aca="false">INDEX(Spec_Rack!$C$30:$G$30,J$6)*J12</f>
        <v>0.5625</v>
      </c>
      <c r="K19" s="78" t="n">
        <f aca="false">INDEX(Spec_Rack!$C$30:$G$30,K$6)*K12</f>
        <v>0.5625</v>
      </c>
      <c r="L19" s="78" t="n">
        <f aca="false">INDEX(Spec_Rack!$C$30:$G$30,L$6)*L12</f>
        <v>0.5625</v>
      </c>
      <c r="M19" s="78" t="n">
        <f aca="false">INDEX(Spec_Rack!$C$30:$G$30,M$6)*M12</f>
        <v>0.5625</v>
      </c>
      <c r="N19" s="78" t="n">
        <f aca="false">INDEX(Spec_Rack!$C$30:$G$30,N$6)*N12</f>
        <v>0.5625</v>
      </c>
      <c r="O19" s="78" t="n">
        <f aca="false">INDEX(Spec_Rack!$C$30:$G$30,O$6)*O12</f>
        <v>0.5625</v>
      </c>
      <c r="P19" s="78" t="n">
        <f aca="false">INDEX(Spec_Rack!$C$30:$G$30,P$6)*P12</f>
        <v>0.5625</v>
      </c>
      <c r="Q19" s="78" t="n">
        <f aca="false">INDEX(Spec_Rack!$C$30:$G$30,Q$6)*Q12</f>
        <v>0.5625</v>
      </c>
      <c r="R19" s="129" t="n">
        <v>1</v>
      </c>
      <c r="S19" s="129" t="n">
        <v>1</v>
      </c>
    </row>
    <row r="20" customFormat="false" ht="15" hidden="false" customHeight="false" outlineLevel="0" collapsed="false">
      <c r="A20" s="44" t="s">
        <v>641</v>
      </c>
      <c r="B20" s="45" t="s">
        <v>213</v>
      </c>
      <c r="C20" s="79" t="n">
        <f aca="false">INDEX(Spec_Rack!$C$31:$G$31,C$6)*C12</f>
        <v>1</v>
      </c>
      <c r="D20" s="79" t="n">
        <f aca="false">INDEX(Spec_Rack!$C$31:$G$31,D$6)*D12</f>
        <v>1</v>
      </c>
      <c r="E20" s="79" t="n">
        <f aca="false">INDEX(Spec_Rack!$C$31:$G$31,E$6)*E12</f>
        <v>1</v>
      </c>
      <c r="F20" s="79" t="n">
        <f aca="false">INDEX(Spec_Rack!$C$31:$G$31,F$6)*F12</f>
        <v>1</v>
      </c>
      <c r="G20" s="79" t="n">
        <f aca="false">INDEX(Spec_Rack!$C$31:$G$31,G$6)*G12</f>
        <v>1</v>
      </c>
      <c r="H20" s="79" t="n">
        <f aca="false">INDEX(Spec_Rack!$C$31:$G$31,H$6)*H12</f>
        <v>1</v>
      </c>
      <c r="I20" s="79" t="n">
        <f aca="false">INDEX(Spec_Rack!$C$31:$G$31,I$6)*I12</f>
        <v>1</v>
      </c>
      <c r="J20" s="79" t="n">
        <f aca="false">INDEX(Spec_Rack!$C$31:$G$31,J$6)*J12</f>
        <v>1</v>
      </c>
      <c r="K20" s="79" t="n">
        <f aca="false">INDEX(Spec_Rack!$C$31:$G$31,K$6)*K12</f>
        <v>1</v>
      </c>
      <c r="L20" s="79" t="n">
        <f aca="false">INDEX(Spec_Rack!$C$31:$G$31,L$6)*L12</f>
        <v>1</v>
      </c>
      <c r="M20" s="79" t="n">
        <f aca="false">INDEX(Spec_Rack!$C$31:$G$31,M$6)*M12</f>
        <v>1</v>
      </c>
      <c r="N20" s="79" t="n">
        <f aca="false">INDEX(Spec_Rack!$C$31:$G$31,N$6)*N12</f>
        <v>1</v>
      </c>
      <c r="O20" s="79" t="n">
        <f aca="false">INDEX(Spec_Rack!$C$31:$G$31,O$6)*O12</f>
        <v>1</v>
      </c>
      <c r="P20" s="79" t="n">
        <f aca="false">INDEX(Spec_Rack!$C$31:$G$31,P$6)*P12</f>
        <v>1</v>
      </c>
      <c r="Q20" s="79" t="n">
        <f aca="false">INDEX(Spec_Rack!$C$31:$G$31,Q$6)*Q12</f>
        <v>1</v>
      </c>
      <c r="R20" s="61" t="n">
        <v>1</v>
      </c>
      <c r="S20" s="61" t="n">
        <v>1</v>
      </c>
    </row>
    <row r="21" customFormat="false" ht="15" hidden="false" customHeight="false" outlineLevel="0" collapsed="false">
      <c r="A21" s="44" t="s">
        <v>642</v>
      </c>
      <c r="B21" s="45" t="s">
        <v>639</v>
      </c>
      <c r="C21" s="76" t="n">
        <f aca="false">INDEX(Spec_Rack!$C$32:$G$32,C$6)</f>
        <v>8</v>
      </c>
      <c r="D21" s="76" t="n">
        <f aca="false">INDEX(Spec_Rack!$C$32:$G$32,D$6)</f>
        <v>8</v>
      </c>
      <c r="E21" s="76" t="n">
        <f aca="false">INDEX(Spec_Rack!$C$32:$G$32,E$6)</f>
        <v>8</v>
      </c>
      <c r="F21" s="76" t="n">
        <f aca="false">INDEX(Spec_Rack!$C$32:$G$32,F$6)</f>
        <v>4</v>
      </c>
      <c r="G21" s="76" t="n">
        <f aca="false">INDEX(Spec_Rack!$C$32:$G$32,G$6)</f>
        <v>4</v>
      </c>
      <c r="H21" s="76" t="n">
        <f aca="false">INDEX(Spec_Rack!$C$32:$G$32,H$6)</f>
        <v>4</v>
      </c>
      <c r="I21" s="76" t="n">
        <f aca="false">INDEX(Spec_Rack!$C$32:$G$32,I$6)</f>
        <v>4</v>
      </c>
      <c r="J21" s="76" t="n">
        <f aca="false">INDEX(Spec_Rack!$C$32:$G$32,J$6)</f>
        <v>4</v>
      </c>
      <c r="K21" s="76" t="n">
        <f aca="false">INDEX(Spec_Rack!$C$32:$G$32,K$6)</f>
        <v>4</v>
      </c>
      <c r="L21" s="76" t="n">
        <f aca="false">INDEX(Spec_Rack!$C$32:$G$32,L$6)</f>
        <v>4</v>
      </c>
      <c r="M21" s="76" t="n">
        <f aca="false">INDEX(Spec_Rack!$C$32:$G$32,M$6)</f>
        <v>4</v>
      </c>
      <c r="N21" s="76" t="n">
        <f aca="false">INDEX(Spec_Rack!$C$32:$G$32,N$6)</f>
        <v>4</v>
      </c>
      <c r="O21" s="76" t="n">
        <f aca="false">INDEX(Spec_Rack!$C$32:$G$32,O$6)</f>
        <v>8</v>
      </c>
      <c r="P21" s="76" t="n">
        <f aca="false">INDEX(Spec_Rack!$C$32:$G$32,P$6)</f>
        <v>8</v>
      </c>
      <c r="Q21" s="76" t="n">
        <f aca="false">INDEX(Spec_Rack!$C$32:$G$32,Q$6)</f>
        <v>8</v>
      </c>
      <c r="R21" s="76" t="n">
        <f aca="false">INDEX(Spec_Rack!$C$32:$G$32,R$6)</f>
        <v>4</v>
      </c>
      <c r="S21" s="76" t="n">
        <f aca="false">INDEX(Spec_Rack!$C$32:$G$32,S$6)</f>
        <v>4</v>
      </c>
    </row>
    <row r="22" customFormat="false" ht="15" hidden="false" customHeight="false" outlineLevel="0" collapsed="false">
      <c r="A22" s="45" t="s">
        <v>135</v>
      </c>
      <c r="B22" s="44" t="s">
        <v>643</v>
      </c>
      <c r="C22" s="76" t="n">
        <f aca="false">INDEX(Spec_Rack!$C$6:$G$6,C$6)</f>
        <v>32</v>
      </c>
      <c r="D22" s="76" t="n">
        <f aca="false">INDEX(Spec_Rack!$C$6:$G$6,D$6)</f>
        <v>32</v>
      </c>
      <c r="E22" s="76" t="n">
        <f aca="false">INDEX(Spec_Rack!$C$6:$G$6,E$6)</f>
        <v>32</v>
      </c>
      <c r="F22" s="76" t="n">
        <f aca="false">INDEX(Spec_Rack!$C$6:$G$6,F$6)</f>
        <v>72</v>
      </c>
      <c r="G22" s="76" t="n">
        <f aca="false">INDEX(Spec_Rack!$C$6:$G$6,G$6)</f>
        <v>72</v>
      </c>
      <c r="H22" s="76" t="n">
        <f aca="false">INDEX(Spec_Rack!$C$6:$G$6,H$6)</f>
        <v>72</v>
      </c>
      <c r="I22" s="76" t="n">
        <f aca="false">INDEX(Spec_Rack!$C$6:$G$6,I$6)</f>
        <v>72</v>
      </c>
      <c r="J22" s="76" t="n">
        <f aca="false">INDEX(Spec_Rack!$C$6:$G$6,J$6)</f>
        <v>72</v>
      </c>
      <c r="K22" s="76" t="n">
        <f aca="false">INDEX(Spec_Rack!$C$6:$G$6,K$6)</f>
        <v>72</v>
      </c>
      <c r="L22" s="76" t="n">
        <f aca="false">INDEX(Spec_Rack!$C$6:$G$6,L$6)</f>
        <v>72</v>
      </c>
      <c r="M22" s="76" t="n">
        <f aca="false">INDEX(Spec_Rack!$C$6:$G$6,M$6)</f>
        <v>72</v>
      </c>
      <c r="N22" s="76" t="n">
        <f aca="false">INDEX(Spec_Rack!$C$6:$G$6,N$6)</f>
        <v>72</v>
      </c>
      <c r="O22" s="76" t="n">
        <f aca="false">INDEX(Spec_Rack!$C$6:$G$6,O$6)</f>
        <v>144</v>
      </c>
      <c r="P22" s="76" t="n">
        <f aca="false">INDEX(Spec_Rack!$C$6:$G$6,P$6)</f>
        <v>144</v>
      </c>
      <c r="Q22" s="76" t="n">
        <f aca="false">INDEX(Spec_Rack!$C$6:$G$6,Q$6)</f>
        <v>144</v>
      </c>
      <c r="R22" s="76" t="n">
        <f aca="false">INDEX(Spec_Rack!$C$6:$G$6,R$6)</f>
        <v>72</v>
      </c>
      <c r="S22" s="76" t="n">
        <f aca="false">INDEX(Spec_Rack!$C$6:$G$6,S$6)</f>
        <v>72</v>
      </c>
    </row>
    <row r="23" customFormat="false" ht="15" hidden="false" customHeight="false" outlineLevel="0" collapsed="false">
      <c r="A23" s="45" t="s">
        <v>644</v>
      </c>
      <c r="B23" s="45" t="s">
        <v>645</v>
      </c>
      <c r="C23" s="76" t="n">
        <f aca="false">INDEX(Spec_Rack!$C$33:$G$33,C$6)</f>
        <v>700</v>
      </c>
      <c r="D23" s="76" t="n">
        <f aca="false">INDEX(Spec_Rack!$C$33:$G$33,D$6)</f>
        <v>700</v>
      </c>
      <c r="E23" s="76" t="n">
        <f aca="false">INDEX(Spec_Rack!$C$33:$G$33,E$6)</f>
        <v>700</v>
      </c>
      <c r="F23" s="76" t="n">
        <f aca="false">INDEX(Spec_Rack!$C$33:$G$33,F$6)</f>
        <v>1200</v>
      </c>
      <c r="G23" s="76" t="n">
        <f aca="false">INDEX(Spec_Rack!$C$33:$G$33,G$6)</f>
        <v>1200</v>
      </c>
      <c r="H23" s="76" t="n">
        <f aca="false">INDEX(Spec_Rack!$C$33:$G$33,H$6)</f>
        <v>1200</v>
      </c>
      <c r="I23" s="76" t="n">
        <f aca="false">INDEX(Spec_Rack!$C$33:$G$33,I$6)</f>
        <v>1400</v>
      </c>
      <c r="J23" s="76" t="n">
        <f aca="false">INDEX(Spec_Rack!$C$33:$G$33,J$6)</f>
        <v>1400</v>
      </c>
      <c r="K23" s="76" t="n">
        <f aca="false">INDEX(Spec_Rack!$C$33:$G$33,K$6)</f>
        <v>1400</v>
      </c>
      <c r="L23" s="76" t="n">
        <f aca="false">INDEX(Spec_Rack!$C$33:$G$33,L$6)</f>
        <v>1800</v>
      </c>
      <c r="M23" s="76" t="n">
        <f aca="false">INDEX(Spec_Rack!$C$33:$G$33,M$6)</f>
        <v>1800</v>
      </c>
      <c r="N23" s="76" t="n">
        <f aca="false">INDEX(Spec_Rack!$C$33:$G$33,N$6)</f>
        <v>1800</v>
      </c>
      <c r="O23" s="76" t="n">
        <f aca="false">INDEX(Spec_Rack!$C$33:$G$33,O$6)</f>
        <v>3600</v>
      </c>
      <c r="P23" s="76" t="n">
        <f aca="false">INDEX(Spec_Rack!$C$33:$G$33,P$6)</f>
        <v>3600</v>
      </c>
      <c r="Q23" s="76" t="n">
        <f aca="false">INDEX(Spec_Rack!$C$33:$G$33,Q$6)</f>
        <v>3600</v>
      </c>
      <c r="R23" s="76" t="n">
        <f aca="false">INDEX(Spec_Rack!$C$33:$G$33,R$6)</f>
        <v>1800</v>
      </c>
      <c r="S23" s="76" t="n">
        <f aca="false">INDEX(Spec_Rack!$C$33:$G$33,S$6)</f>
        <v>1800</v>
      </c>
    </row>
    <row r="24" customFormat="false" ht="15" hidden="false" customHeight="false" outlineLevel="0" collapsed="false">
      <c r="A24" s="45" t="s">
        <v>646</v>
      </c>
      <c r="B24" s="45" t="s">
        <v>647</v>
      </c>
      <c r="C24" s="76" t="n">
        <f aca="false">INDEX(Spec_Rack!$C$34:$G$34,C$6)</f>
        <v>31</v>
      </c>
      <c r="D24" s="76" t="n">
        <f aca="false">INDEX(Spec_Rack!$C$34:$G$34,D$6)</f>
        <v>31</v>
      </c>
      <c r="E24" s="76" t="n">
        <f aca="false">INDEX(Spec_Rack!$C$34:$G$34,E$6)</f>
        <v>31</v>
      </c>
      <c r="F24" s="76" t="n">
        <f aca="false">INDEX(Spec_Rack!$C$34:$G$34,F$6)</f>
        <v>25</v>
      </c>
      <c r="G24" s="76" t="n">
        <f aca="false">INDEX(Spec_Rack!$C$34:$G$34,G$6)</f>
        <v>25</v>
      </c>
      <c r="H24" s="76" t="n">
        <f aca="false">INDEX(Spec_Rack!$C$34:$G$34,H$6)</f>
        <v>25</v>
      </c>
      <c r="I24" s="76" t="n">
        <f aca="false">INDEX(Spec_Rack!$C$34:$G$34,I$6)</f>
        <v>25</v>
      </c>
      <c r="J24" s="76" t="n">
        <f aca="false">INDEX(Spec_Rack!$C$34:$G$34,J$6)</f>
        <v>25</v>
      </c>
      <c r="K24" s="76" t="n">
        <f aca="false">INDEX(Spec_Rack!$C$34:$G$34,K$6)</f>
        <v>25</v>
      </c>
      <c r="L24" s="76" t="n">
        <f aca="false">INDEX(Spec_Rack!$C$34:$G$34,L$6)</f>
        <v>20</v>
      </c>
      <c r="M24" s="76" t="n">
        <f aca="false">INDEX(Spec_Rack!$C$34:$G$34,M$6)</f>
        <v>20</v>
      </c>
      <c r="N24" s="76" t="n">
        <f aca="false">INDEX(Spec_Rack!$C$34:$G$34,N$6)</f>
        <v>20</v>
      </c>
      <c r="O24" s="76" t="n">
        <f aca="false">INDEX(Spec_Rack!$C$34:$G$34,O$6)</f>
        <v>18</v>
      </c>
      <c r="P24" s="76" t="n">
        <f aca="false">INDEX(Spec_Rack!$C$34:$G$34,P$6)</f>
        <v>18</v>
      </c>
      <c r="Q24" s="76" t="n">
        <f aca="false">INDEX(Spec_Rack!$C$34:$G$34,Q$6)</f>
        <v>18</v>
      </c>
      <c r="R24" s="76" t="n">
        <f aca="false">INDEX(Spec_Rack!$C$34:$G$34,R$6)</f>
        <v>20</v>
      </c>
      <c r="S24" s="76" t="n">
        <f aca="false">INDEX(Spec_Rack!$C$34:$G$34,S$6)</f>
        <v>20</v>
      </c>
    </row>
    <row r="25" customFormat="false" ht="15" hidden="false" customHeight="false" outlineLevel="0" collapsed="false">
      <c r="A25" s="44" t="s">
        <v>648</v>
      </c>
      <c r="B25" s="44" t="s">
        <v>649</v>
      </c>
      <c r="C25" s="76" t="n">
        <f aca="false">INDEX(DC_Cost!$C$12:$Q$12,3*(C$6-1)+2)</f>
        <v>22439</v>
      </c>
      <c r="D25" s="76" t="n">
        <f aca="false">INDEX(DC_Cost!$C$12:$Q$12,3*(D$6-1)+2)</f>
        <v>22439</v>
      </c>
      <c r="E25" s="76" t="n">
        <f aca="false">INDEX(DC_Cost!$C$12:$Q$12,3*(E$6-1)+2)</f>
        <v>22439</v>
      </c>
      <c r="F25" s="76" t="n">
        <f aca="false">INDEX(DC_Cost!$C$12:$Q$12,3*(F$6-1)+2)</f>
        <v>7076</v>
      </c>
      <c r="G25" s="76" t="n">
        <f aca="false">INDEX(DC_Cost!$C$12:$Q$12,3*(G$6-1)+2)</f>
        <v>7076</v>
      </c>
      <c r="H25" s="76" t="n">
        <f aca="false">INDEX(DC_Cost!$C$12:$Q$12,3*(H$6-1)+2)</f>
        <v>7076</v>
      </c>
      <c r="I25" s="76" t="n">
        <f aca="false">INDEX(DC_Cost!$C$12:$Q$12,3*(I$6-1)+2)</f>
        <v>6715</v>
      </c>
      <c r="J25" s="76" t="n">
        <f aca="false">INDEX(DC_Cost!$C$12:$Q$12,3*(J$6-1)+2)</f>
        <v>6715</v>
      </c>
      <c r="K25" s="76" t="n">
        <f aca="false">INDEX(DC_Cost!$C$12:$Q$12,3*(K$6-1)+2)</f>
        <v>6715</v>
      </c>
      <c r="L25" s="76" t="n">
        <f aca="false">INDEX(DC_Cost!$C$12:$Q$12,3*(L$6-1)+2)</f>
        <v>4052</v>
      </c>
      <c r="M25" s="76" t="n">
        <f aca="false">INDEX(DC_Cost!$C$12:$Q$12,3*(M$6-1)+2)</f>
        <v>4052</v>
      </c>
      <c r="N25" s="76" t="n">
        <f aca="false">INDEX(DC_Cost!$C$12:$Q$12,3*(N$6-1)+2)</f>
        <v>4052</v>
      </c>
      <c r="O25" s="76" t="n">
        <f aca="false">INDEX(DC_Cost!$C$12:$Q$12,3*(O$6-1)+2)</f>
        <v>1533</v>
      </c>
      <c r="P25" s="76" t="n">
        <f aca="false">INDEX(DC_Cost!$C$12:$Q$12,3*(P$6-1)+2)</f>
        <v>1533</v>
      </c>
      <c r="Q25" s="76" t="n">
        <f aca="false">INDEX(DC_Cost!$C$12:$Q$12,3*(Q$6-1)+2)</f>
        <v>1533</v>
      </c>
      <c r="R25" s="76" t="n">
        <f aca="false">INDEX(DC_Cost!$C$12:$Q$12,3*(R$6-1)+2)</f>
        <v>4052</v>
      </c>
      <c r="S25" s="76" t="n">
        <f aca="false">INDEX(DC_Cost!$C$12:$Q$12,3*(S$6-1)+2)</f>
        <v>4052</v>
      </c>
    </row>
    <row r="26" customFormat="false" ht="15" hidden="false" customHeight="false" outlineLevel="0" collapsed="false">
      <c r="A26" s="44" t="s">
        <v>650</v>
      </c>
      <c r="B26" s="45" t="s">
        <v>651</v>
      </c>
      <c r="C26" s="76" t="n">
        <f aca="false">INDEX(DC_Cost!$C$11:$Q$11,3*(C$6-1)+2)</f>
        <v>41</v>
      </c>
      <c r="D26" s="76" t="n">
        <f aca="false">INDEX(DC_Cost!$C$11:$Q$11,3*(D$6-1)+2)</f>
        <v>41</v>
      </c>
      <c r="E26" s="76" t="n">
        <f aca="false">INDEX(DC_Cost!$C$11:$Q$11,3*(E$6-1)+2)</f>
        <v>41</v>
      </c>
      <c r="F26" s="76" t="n">
        <f aca="false">INDEX(DC_Cost!$C$11:$Q$11,3*(F$6-1)+2)</f>
        <v>130</v>
      </c>
      <c r="G26" s="76" t="n">
        <f aca="false">INDEX(DC_Cost!$C$11:$Q$11,3*(G$6-1)+2)</f>
        <v>130</v>
      </c>
      <c r="H26" s="76" t="n">
        <f aca="false">INDEX(DC_Cost!$C$11:$Q$11,3*(H$6-1)+2)</f>
        <v>130</v>
      </c>
      <c r="I26" s="76" t="n">
        <f aca="false">INDEX(DC_Cost!$C$11:$Q$11,3*(I$6-1)+2)</f>
        <v>137</v>
      </c>
      <c r="J26" s="76" t="n">
        <f aca="false">INDEX(DC_Cost!$C$11:$Q$11,3*(J$6-1)+2)</f>
        <v>137</v>
      </c>
      <c r="K26" s="76" t="n">
        <f aca="false">INDEX(DC_Cost!$C$11:$Q$11,3*(K$6-1)+2)</f>
        <v>137</v>
      </c>
      <c r="L26" s="76" t="n">
        <f aca="false">INDEX(DC_Cost!$C$11:$Q$11,3*(L$6-1)+2)</f>
        <v>227</v>
      </c>
      <c r="M26" s="76" t="n">
        <f aca="false">INDEX(DC_Cost!$C$11:$Q$11,3*(M$6-1)+2)</f>
        <v>227</v>
      </c>
      <c r="N26" s="76" t="n">
        <f aca="false">INDEX(DC_Cost!$C$11:$Q$11,3*(N$6-1)+2)</f>
        <v>227</v>
      </c>
      <c r="O26" s="76" t="n">
        <f aca="false">INDEX(DC_Cost!$C$11:$Q$11,3*(O$6-1)+2)</f>
        <v>600</v>
      </c>
      <c r="P26" s="76" t="n">
        <f aca="false">INDEX(DC_Cost!$C$11:$Q$11,3*(P$6-1)+2)</f>
        <v>600</v>
      </c>
      <c r="Q26" s="76" t="n">
        <f aca="false">INDEX(DC_Cost!$C$11:$Q$11,3*(Q$6-1)+2)</f>
        <v>600</v>
      </c>
      <c r="R26" s="76" t="n">
        <f aca="false">INDEX(DC_Cost!$C$11:$Q$11,3*(R$6-1)+2)</f>
        <v>227</v>
      </c>
      <c r="S26" s="76" t="n">
        <f aca="false">INDEX(DC_Cost!$C$11:$Q$11,3*(S$6-1)+2)</f>
        <v>227</v>
      </c>
    </row>
    <row r="27" customFormat="false" ht="15" hidden="false" customHeight="false" outlineLevel="0" collapsed="false">
      <c r="A27" s="72" t="s">
        <v>652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customFormat="false" ht="15" hidden="false" customHeight="false" outlineLevel="0" collapsed="false">
      <c r="A28" s="44" t="s">
        <v>216</v>
      </c>
      <c r="B28" s="45" t="s">
        <v>213</v>
      </c>
      <c r="C28" s="76" t="n">
        <f aca="false">INDEX(Arch!$C$7:$E$7,C$7)</f>
        <v>13</v>
      </c>
      <c r="D28" s="76" t="n">
        <f aca="false">INDEX(Arch!$C$7:$E$7,D$7)</f>
        <v>49</v>
      </c>
      <c r="E28" s="76" t="n">
        <f aca="false">INDEX(Arch!$C$7:$E$7,E$7)</f>
        <v>180</v>
      </c>
      <c r="F28" s="76" t="n">
        <f aca="false">INDEX(Arch!$C$7:$E$7,F$7)</f>
        <v>13</v>
      </c>
      <c r="G28" s="76" t="n">
        <f aca="false">INDEX(Arch!$C$7:$E$7,G$7)</f>
        <v>49</v>
      </c>
      <c r="H28" s="76" t="n">
        <f aca="false">INDEX(Arch!$C$7:$E$7,H$7)</f>
        <v>180</v>
      </c>
      <c r="I28" s="76" t="n">
        <f aca="false">INDEX(Arch!$C$7:$E$7,I$7)</f>
        <v>13</v>
      </c>
      <c r="J28" s="76" t="n">
        <f aca="false">INDEX(Arch!$C$7:$E$7,J$7)</f>
        <v>49</v>
      </c>
      <c r="K28" s="76" t="n">
        <f aca="false">INDEX(Arch!$C$7:$E$7,K$7)</f>
        <v>180</v>
      </c>
      <c r="L28" s="76" t="n">
        <f aca="false">INDEX(Arch!$C$7:$E$7,L$7)</f>
        <v>13</v>
      </c>
      <c r="M28" s="76" t="n">
        <f aca="false">INDEX(Arch!$C$7:$E$7,M$7)</f>
        <v>49</v>
      </c>
      <c r="N28" s="76" t="n">
        <f aca="false">INDEX(Arch!$C$7:$E$7,N$7)</f>
        <v>180</v>
      </c>
      <c r="O28" s="76" t="n">
        <f aca="false">INDEX(Arch!$C$7:$E$7,O$7)</f>
        <v>13</v>
      </c>
      <c r="P28" s="76" t="n">
        <f aca="false">INDEX(Arch!$C$7:$E$7,P$7)</f>
        <v>49</v>
      </c>
      <c r="Q28" s="76" t="n">
        <f aca="false">INDEX(Arch!$C$7:$E$7,Q$7)</f>
        <v>180</v>
      </c>
      <c r="R28" s="76" t="n">
        <f aca="false">INDEX(Arch!$C$7:$E$7,R$7)</f>
        <v>49</v>
      </c>
      <c r="S28" s="76" t="n">
        <f aca="false">INDEX(Arch!$C$7:$E$7,S$7)</f>
        <v>180</v>
      </c>
    </row>
    <row r="29" customFormat="false" ht="15" hidden="false" customHeight="false" outlineLevel="0" collapsed="false">
      <c r="A29" s="44" t="s">
        <v>218</v>
      </c>
      <c r="B29" s="44" t="s">
        <v>219</v>
      </c>
      <c r="C29" s="76" t="n">
        <f aca="false">INDEX(Arch!$C$8:$E$8,C$7)</f>
        <v>43</v>
      </c>
      <c r="D29" s="76" t="n">
        <f aca="false">INDEX(Arch!$C$8:$E$8,D$7)</f>
        <v>61</v>
      </c>
      <c r="E29" s="76" t="n">
        <f aca="false">INDEX(Arch!$C$8:$E$8,E$7)</f>
        <v>100</v>
      </c>
      <c r="F29" s="76" t="n">
        <f aca="false">INDEX(Arch!$C$8:$E$8,F$7)</f>
        <v>43</v>
      </c>
      <c r="G29" s="76" t="n">
        <f aca="false">INDEX(Arch!$C$8:$E$8,G$7)</f>
        <v>61</v>
      </c>
      <c r="H29" s="76" t="n">
        <f aca="false">INDEX(Arch!$C$8:$E$8,H$7)</f>
        <v>100</v>
      </c>
      <c r="I29" s="76" t="n">
        <f aca="false">INDEX(Arch!$C$8:$E$8,I$7)</f>
        <v>43</v>
      </c>
      <c r="J29" s="76" t="n">
        <f aca="false">INDEX(Arch!$C$8:$E$8,J$7)</f>
        <v>61</v>
      </c>
      <c r="K29" s="76" t="n">
        <f aca="false">INDEX(Arch!$C$8:$E$8,K$7)</f>
        <v>100</v>
      </c>
      <c r="L29" s="76" t="n">
        <f aca="false">INDEX(Arch!$C$8:$E$8,L$7)</f>
        <v>43</v>
      </c>
      <c r="M29" s="76" t="n">
        <f aca="false">INDEX(Arch!$C$8:$E$8,M$7)</f>
        <v>61</v>
      </c>
      <c r="N29" s="76" t="n">
        <f aca="false">INDEX(Arch!$C$8:$E$8,N$7)</f>
        <v>100</v>
      </c>
      <c r="O29" s="76" t="n">
        <f aca="false">INDEX(Arch!$C$8:$E$8,O$7)</f>
        <v>43</v>
      </c>
      <c r="P29" s="76" t="n">
        <f aca="false">INDEX(Arch!$C$8:$E$8,P$7)</f>
        <v>61</v>
      </c>
      <c r="Q29" s="76" t="n">
        <f aca="false">INDEX(Arch!$C$8:$E$8,Q$7)</f>
        <v>100</v>
      </c>
      <c r="R29" s="76" t="n">
        <f aca="false">INDEX(Arch!$C$8:$E$8,R$7)</f>
        <v>61</v>
      </c>
      <c r="S29" s="76" t="n">
        <f aca="false">INDEX(Arch!$C$8:$E$8,S$7)</f>
        <v>100</v>
      </c>
    </row>
    <row r="30" customFormat="false" ht="15" hidden="false" customHeight="false" outlineLevel="0" collapsed="false">
      <c r="A30" s="45" t="s">
        <v>221</v>
      </c>
      <c r="B30" s="44"/>
      <c r="C30" s="76" t="n">
        <f aca="false">INDEX(Arch!$C$9:$E$9,C$7)</f>
        <v>4096</v>
      </c>
      <c r="D30" s="76" t="n">
        <f aca="false">INDEX(Arch!$C$9:$E$9,D$7)</f>
        <v>7168</v>
      </c>
      <c r="E30" s="76" t="n">
        <f aca="false">INDEX(Arch!$C$9:$E$9,E$7)</f>
        <v>12288</v>
      </c>
      <c r="F30" s="76" t="n">
        <f aca="false">INDEX(Arch!$C$9:$E$9,F$7)</f>
        <v>4096</v>
      </c>
      <c r="G30" s="76" t="n">
        <f aca="false">INDEX(Arch!$C$9:$E$9,G$7)</f>
        <v>7168</v>
      </c>
      <c r="H30" s="76" t="n">
        <f aca="false">INDEX(Arch!$C$9:$E$9,H$7)</f>
        <v>12288</v>
      </c>
      <c r="I30" s="76" t="n">
        <f aca="false">INDEX(Arch!$C$9:$E$9,I$7)</f>
        <v>4096</v>
      </c>
      <c r="J30" s="76" t="n">
        <f aca="false">INDEX(Arch!$C$9:$E$9,J$7)</f>
        <v>7168</v>
      </c>
      <c r="K30" s="76" t="n">
        <f aca="false">INDEX(Arch!$C$9:$E$9,K$7)</f>
        <v>12288</v>
      </c>
      <c r="L30" s="76" t="n">
        <f aca="false">INDEX(Arch!$C$9:$E$9,L$7)</f>
        <v>4096</v>
      </c>
      <c r="M30" s="76" t="n">
        <f aca="false">INDEX(Arch!$C$9:$E$9,M$7)</f>
        <v>7168</v>
      </c>
      <c r="N30" s="76" t="n">
        <f aca="false">INDEX(Arch!$C$9:$E$9,N$7)</f>
        <v>12288</v>
      </c>
      <c r="O30" s="76" t="n">
        <f aca="false">INDEX(Arch!$C$9:$E$9,O$7)</f>
        <v>4096</v>
      </c>
      <c r="P30" s="76" t="n">
        <f aca="false">INDEX(Arch!$C$9:$E$9,P$7)</f>
        <v>7168</v>
      </c>
      <c r="Q30" s="76" t="n">
        <f aca="false">INDEX(Arch!$C$9:$E$9,Q$7)</f>
        <v>12288</v>
      </c>
      <c r="R30" s="76" t="n">
        <f aca="false">INDEX(Arch!$C$9:$E$9,R$7)</f>
        <v>7168</v>
      </c>
      <c r="S30" s="76" t="n">
        <f aca="false">INDEX(Arch!$C$9:$E$9,S$7)</f>
        <v>12288</v>
      </c>
    </row>
    <row r="31" customFormat="false" ht="15" hidden="false" customHeight="false" outlineLevel="0" collapsed="false">
      <c r="A31" s="44" t="s">
        <v>653</v>
      </c>
      <c r="B31" s="44"/>
      <c r="C31" s="76" t="n">
        <f aca="false">INDEX(Arch!$C$13:$E$13,C$7)</f>
        <v>6</v>
      </c>
      <c r="D31" s="76" t="n">
        <f aca="false">INDEX(Arch!$C$13:$E$13,D$7)</f>
        <v>6</v>
      </c>
      <c r="E31" s="76" t="n">
        <f aca="false">INDEX(Arch!$C$13:$E$13,E$7)</f>
        <v>16</v>
      </c>
      <c r="F31" s="76" t="n">
        <f aca="false">INDEX(Arch!$C$13:$E$13,F$7)</f>
        <v>6</v>
      </c>
      <c r="G31" s="76" t="n">
        <f aca="false">INDEX(Arch!$C$13:$E$13,G$7)</f>
        <v>6</v>
      </c>
      <c r="H31" s="76" t="n">
        <f aca="false">INDEX(Arch!$C$13:$E$13,H$7)</f>
        <v>16</v>
      </c>
      <c r="I31" s="76" t="n">
        <f aca="false">INDEX(Arch!$C$13:$E$13,I$7)</f>
        <v>6</v>
      </c>
      <c r="J31" s="76" t="n">
        <f aca="false">INDEX(Arch!$C$13:$E$13,J$7)</f>
        <v>6</v>
      </c>
      <c r="K31" s="76" t="n">
        <f aca="false">INDEX(Arch!$C$13:$E$13,K$7)</f>
        <v>16</v>
      </c>
      <c r="L31" s="76" t="n">
        <f aca="false">INDEX(Arch!$C$13:$E$13,L$7)</f>
        <v>6</v>
      </c>
      <c r="M31" s="76" t="n">
        <f aca="false">INDEX(Arch!$C$13:$E$13,M$7)</f>
        <v>6</v>
      </c>
      <c r="N31" s="76" t="n">
        <f aca="false">INDEX(Arch!$C$13:$E$13,N$7)</f>
        <v>16</v>
      </c>
      <c r="O31" s="76" t="n">
        <f aca="false">INDEX(Arch!$C$13:$E$13,O$7)</f>
        <v>6</v>
      </c>
      <c r="P31" s="76" t="n">
        <f aca="false">INDEX(Arch!$C$13:$E$13,P$7)</f>
        <v>6</v>
      </c>
      <c r="Q31" s="76" t="n">
        <f aca="false">INDEX(Arch!$C$13:$E$13,Q$7)</f>
        <v>16</v>
      </c>
      <c r="R31" s="76" t="n">
        <f aca="false">INDEX(Arch!$C$13:$E$13,R$7)</f>
        <v>6</v>
      </c>
      <c r="S31" s="76" t="n">
        <f aca="false">INDEX(Arch!$C$13:$E$13,S$7)</f>
        <v>16</v>
      </c>
    </row>
    <row r="32" customFormat="false" ht="15" hidden="false" customHeight="false" outlineLevel="0" collapsed="false">
      <c r="A32" s="44" t="s">
        <v>401</v>
      </c>
      <c r="B32" s="45" t="s">
        <v>213</v>
      </c>
      <c r="C32" s="80" t="n">
        <f aca="false">INDEX(Arch!$C$28:$E$28,C$7)</f>
        <v>5.412</v>
      </c>
      <c r="D32" s="80" t="n">
        <f aca="false">INDEX(Arch!$C$28:$E$28,D$7)</f>
        <v>20.2777777777778</v>
      </c>
      <c r="E32" s="80" t="n">
        <f aca="false">INDEX(Arch!$C$28:$E$28,E$7)</f>
        <v>49.0725806451613</v>
      </c>
      <c r="F32" s="80" t="n">
        <f aca="false">INDEX(Arch!$C$28:$E$28,F$7)</f>
        <v>5.412</v>
      </c>
      <c r="G32" s="80" t="n">
        <f aca="false">INDEX(Arch!$C$28:$E$28,G$7)</f>
        <v>20.2777777777778</v>
      </c>
      <c r="H32" s="80" t="n">
        <f aca="false">INDEX(Arch!$C$28:$E$28,H$7)</f>
        <v>49.0725806451613</v>
      </c>
      <c r="I32" s="80" t="n">
        <f aca="false">INDEX(Arch!$C$28:$E$28,I$7)</f>
        <v>5.412</v>
      </c>
      <c r="J32" s="80" t="n">
        <f aca="false">INDEX(Arch!$C$28:$E$28,J$7)</f>
        <v>20.2777777777778</v>
      </c>
      <c r="K32" s="80" t="n">
        <f aca="false">INDEX(Arch!$C$28:$E$28,K$7)</f>
        <v>49.0725806451613</v>
      </c>
      <c r="L32" s="80" t="n">
        <f aca="false">INDEX(Arch!$C$28:$E$28,L$7)</f>
        <v>5.412</v>
      </c>
      <c r="M32" s="80" t="n">
        <f aca="false">INDEX(Arch!$C$28:$E$28,M$7)</f>
        <v>20.2777777777778</v>
      </c>
      <c r="N32" s="80" t="n">
        <f aca="false">INDEX(Arch!$C$28:$E$28,N$7)</f>
        <v>49.0725806451613</v>
      </c>
      <c r="O32" s="80" t="n">
        <f aca="false">INDEX(Arch!$C$28:$E$28,O$7)</f>
        <v>5.412</v>
      </c>
      <c r="P32" s="80" t="n">
        <f aca="false">INDEX(Arch!$C$28:$E$28,P$7)</f>
        <v>20.2777777777778</v>
      </c>
      <c r="Q32" s="80" t="n">
        <f aca="false">INDEX(Arch!$C$28:$E$28,Q$7)</f>
        <v>49.0725806451613</v>
      </c>
      <c r="R32" s="80" t="n">
        <f aca="false">INDEX(Arch!$C$28:$E$28,R$7)</f>
        <v>20.2777777777778</v>
      </c>
      <c r="S32" s="80" t="n">
        <f aca="false">INDEX(Arch!$C$28:$E$28,S$7)</f>
        <v>49.0725806451613</v>
      </c>
    </row>
    <row r="33" customFormat="false" ht="15" hidden="false" customHeight="false" outlineLevel="0" collapsed="false">
      <c r="A33" s="44" t="s">
        <v>257</v>
      </c>
      <c r="B33" s="45" t="s">
        <v>213</v>
      </c>
      <c r="C33" s="76" t="n">
        <f aca="false">INDEX(Arch!$C$29:$E$29,C$7)</f>
        <v>278.588</v>
      </c>
      <c r="D33" s="76" t="n">
        <f aca="false">INDEX(Arch!$C$29:$E$29,D$7)</f>
        <v>1579.72222222222</v>
      </c>
      <c r="E33" s="76" t="n">
        <f aca="false">INDEX(Arch!$C$29:$E$29,E$7)</f>
        <v>3950.92741935484</v>
      </c>
      <c r="F33" s="76" t="n">
        <f aca="false">INDEX(Arch!$C$29:$E$29,F$7)</f>
        <v>278.588</v>
      </c>
      <c r="G33" s="76" t="n">
        <f aca="false">INDEX(Arch!$C$29:$E$29,G$7)</f>
        <v>1579.72222222222</v>
      </c>
      <c r="H33" s="76" t="n">
        <f aca="false">INDEX(Arch!$C$29:$E$29,H$7)</f>
        <v>3950.92741935484</v>
      </c>
      <c r="I33" s="76" t="n">
        <f aca="false">INDEX(Arch!$C$29:$E$29,I$7)</f>
        <v>278.588</v>
      </c>
      <c r="J33" s="76" t="n">
        <f aca="false">INDEX(Arch!$C$29:$E$29,J$7)</f>
        <v>1579.72222222222</v>
      </c>
      <c r="K33" s="76" t="n">
        <f aca="false">INDEX(Arch!$C$29:$E$29,K$7)</f>
        <v>3950.92741935484</v>
      </c>
      <c r="L33" s="76" t="n">
        <f aca="false">INDEX(Arch!$C$29:$E$29,L$7)</f>
        <v>278.588</v>
      </c>
      <c r="M33" s="76" t="n">
        <f aca="false">INDEX(Arch!$C$29:$E$29,M$7)</f>
        <v>1579.72222222222</v>
      </c>
      <c r="N33" s="76" t="n">
        <f aca="false">INDEX(Arch!$C$29:$E$29,N$7)</f>
        <v>3950.92741935484</v>
      </c>
      <c r="O33" s="76" t="n">
        <f aca="false">INDEX(Arch!$C$29:$E$29,O$7)</f>
        <v>278.588</v>
      </c>
      <c r="P33" s="76" t="n">
        <f aca="false">INDEX(Arch!$C$29:$E$29,P$7)</f>
        <v>1579.72222222222</v>
      </c>
      <c r="Q33" s="76" t="n">
        <f aca="false">INDEX(Arch!$C$29:$E$29,Q$7)</f>
        <v>3950.92741935484</v>
      </c>
      <c r="R33" s="76" t="n">
        <f aca="false">INDEX(Arch!$C$29:$E$29,R$7)</f>
        <v>1579.72222222222</v>
      </c>
      <c r="S33" s="76" t="n">
        <f aca="false">INDEX(Arch!$C$29:$E$29,S$7)</f>
        <v>3950.92741935484</v>
      </c>
    </row>
    <row r="34" customFormat="false" ht="15" hidden="false" customHeight="false" outlineLevel="0" collapsed="false">
      <c r="A34" s="45" t="s">
        <v>654</v>
      </c>
      <c r="B34" s="45" t="s">
        <v>213</v>
      </c>
      <c r="C34" s="76" t="n">
        <f aca="false">INDEX(Arch!$C$25:$E$25,C$7)*C11</f>
        <v>2795</v>
      </c>
      <c r="D34" s="76" t="n">
        <f aca="false">INDEX(Arch!$C$25:$E$25,D$7)*D11</f>
        <v>3965</v>
      </c>
      <c r="E34" s="76" t="n">
        <f aca="false">INDEX(Arch!$C$25:$E$25,E$7)*E11</f>
        <v>57600</v>
      </c>
      <c r="F34" s="76" t="n">
        <f aca="false">INDEX(Arch!$C$25:$E$25,F$7)*F11</f>
        <v>2795</v>
      </c>
      <c r="G34" s="76" t="n">
        <f aca="false">INDEX(Arch!$C$25:$E$25,G$7)*G11</f>
        <v>3965</v>
      </c>
      <c r="H34" s="76" t="n">
        <f aca="false">INDEX(Arch!$C$25:$E$25,H$7)*H11</f>
        <v>57600</v>
      </c>
      <c r="I34" s="76" t="n">
        <f aca="false">INDEX(Arch!$C$25:$E$25,I$7)*I11</f>
        <v>2795</v>
      </c>
      <c r="J34" s="76" t="n">
        <f aca="false">INDEX(Arch!$C$25:$E$25,J$7)*J11</f>
        <v>3965</v>
      </c>
      <c r="K34" s="76" t="n">
        <f aca="false">INDEX(Arch!$C$25:$E$25,K$7)*K11</f>
        <v>57600</v>
      </c>
      <c r="L34" s="76" t="n">
        <f aca="false">INDEX(Arch!$C$25:$E$25,L$7)*L11</f>
        <v>2795</v>
      </c>
      <c r="M34" s="76" t="n">
        <f aca="false">INDEX(Arch!$C$25:$E$25,M$7)*M11</f>
        <v>3965</v>
      </c>
      <c r="N34" s="76" t="n">
        <f aca="false">INDEX(Arch!$C$25:$E$25,N$7)*N11</f>
        <v>57600</v>
      </c>
      <c r="O34" s="76" t="n">
        <f aca="false">INDEX(Arch!$C$25:$E$25,O$7)*O11</f>
        <v>2795</v>
      </c>
      <c r="P34" s="76" t="n">
        <f aca="false">INDEX(Arch!$C$25:$E$25,P$7)*P11</f>
        <v>3965</v>
      </c>
      <c r="Q34" s="76" t="n">
        <f aca="false">INDEX(Arch!$C$25:$E$25,Q$7)*Q11</f>
        <v>57600</v>
      </c>
      <c r="R34" s="76" t="n">
        <f aca="false">INDEX(Arch!$C$25:$E$25,R$7)*R11</f>
        <v>3965</v>
      </c>
      <c r="S34" s="76" t="n">
        <f aca="false">INDEX(Arch!$C$25:$E$25,S$7)*S11</f>
        <v>57600</v>
      </c>
    </row>
    <row r="35" customFormat="false" ht="15" hidden="false" customHeight="false" outlineLevel="0" collapsed="false">
      <c r="A35" s="44" t="s">
        <v>403</v>
      </c>
      <c r="B35" s="45" t="s">
        <v>259</v>
      </c>
      <c r="C35" s="76" t="n">
        <f aca="false">INDEX(Arch!$C$30:$E$30,C$7)</f>
        <v>5636096</v>
      </c>
      <c r="D35" s="76" t="n">
        <f aca="false">INDEX(Arch!$C$30:$E$30,D$7)</f>
        <v>15990784</v>
      </c>
      <c r="E35" s="76" t="n">
        <f aca="false">INDEX(Arch!$C$30:$E$30,E$7)</f>
        <v>4915200</v>
      </c>
      <c r="F35" s="76" t="n">
        <f aca="false">INDEX(Arch!$C$30:$E$30,F$7)</f>
        <v>5636096</v>
      </c>
      <c r="G35" s="76" t="n">
        <f aca="false">INDEX(Arch!$C$30:$E$30,G$7)</f>
        <v>15990784</v>
      </c>
      <c r="H35" s="76" t="n">
        <f aca="false">INDEX(Arch!$C$30:$E$30,H$7)</f>
        <v>4915200</v>
      </c>
      <c r="I35" s="76" t="n">
        <f aca="false">INDEX(Arch!$C$30:$E$30,I$7)</f>
        <v>5636096</v>
      </c>
      <c r="J35" s="76" t="n">
        <f aca="false">INDEX(Arch!$C$30:$E$30,J$7)</f>
        <v>15990784</v>
      </c>
      <c r="K35" s="76" t="n">
        <f aca="false">INDEX(Arch!$C$30:$E$30,K$7)</f>
        <v>4915200</v>
      </c>
      <c r="L35" s="76" t="n">
        <f aca="false">INDEX(Arch!$C$30:$E$30,L$7)</f>
        <v>5636096</v>
      </c>
      <c r="M35" s="76" t="n">
        <f aca="false">INDEX(Arch!$C$30:$E$30,M$7)</f>
        <v>15990784</v>
      </c>
      <c r="N35" s="76" t="n">
        <f aca="false">INDEX(Arch!$C$30:$E$30,N$7)</f>
        <v>4915200</v>
      </c>
      <c r="O35" s="76" t="n">
        <f aca="false">INDEX(Arch!$C$30:$E$30,O$7)</f>
        <v>5636096</v>
      </c>
      <c r="P35" s="76" t="n">
        <f aca="false">INDEX(Arch!$C$30:$E$30,P$7)</f>
        <v>15990784</v>
      </c>
      <c r="Q35" s="76" t="n">
        <f aca="false">INDEX(Arch!$C$30:$E$30,Q$7)</f>
        <v>4915200</v>
      </c>
      <c r="R35" s="76" t="n">
        <f aca="false">INDEX(Arch!$C$30:$E$30,R$7)</f>
        <v>15990784</v>
      </c>
      <c r="S35" s="76" t="n">
        <f aca="false">INDEX(Arch!$C$30:$E$30,S$7)</f>
        <v>4915200</v>
      </c>
    </row>
    <row r="36" customFormat="false" ht="15" hidden="false" customHeight="false" outlineLevel="0" collapsed="false">
      <c r="A36" s="44" t="s">
        <v>233</v>
      </c>
      <c r="B36" s="45" t="s">
        <v>57</v>
      </c>
      <c r="C36" s="81" t="n">
        <f aca="false">INDEX(Arch!$C$16:$E$16,C$7)</f>
        <v>0.5</v>
      </c>
      <c r="D36" s="81" t="n">
        <f aca="false">INDEX(Arch!$C$16:$E$16,D$7)</f>
        <v>0.5</v>
      </c>
      <c r="E36" s="81" t="n">
        <f aca="false">INDEX(Arch!$C$16:$E$16,E$7)</f>
        <v>1</v>
      </c>
      <c r="F36" s="81" t="n">
        <f aca="false">INDEX(Arch!$C$16:$E$16,F$7)</f>
        <v>0.5</v>
      </c>
      <c r="G36" s="81" t="n">
        <f aca="false">INDEX(Arch!$C$16:$E$16,G$7)</f>
        <v>0.5</v>
      </c>
      <c r="H36" s="81" t="n">
        <f aca="false">INDEX(Arch!$C$16:$E$16,H$7)</f>
        <v>1</v>
      </c>
      <c r="I36" s="81" t="n">
        <f aca="false">INDEX(Arch!$C$16:$E$16,I$7)</f>
        <v>0.5</v>
      </c>
      <c r="J36" s="81" t="n">
        <f aca="false">INDEX(Arch!$C$16:$E$16,J$7)</f>
        <v>0.5</v>
      </c>
      <c r="K36" s="81" t="n">
        <f aca="false">INDEX(Arch!$C$16:$E$16,K$7)</f>
        <v>1</v>
      </c>
      <c r="L36" s="81" t="n">
        <f aca="false">INDEX(Arch!$C$16:$E$16,L$7)</f>
        <v>0.5</v>
      </c>
      <c r="M36" s="81" t="n">
        <f aca="false">INDEX(Arch!$C$16:$E$16,M$7)</f>
        <v>0.5</v>
      </c>
      <c r="N36" s="81" t="n">
        <f aca="false">INDEX(Arch!$C$16:$E$16,N$7)</f>
        <v>1</v>
      </c>
      <c r="O36" s="81" t="n">
        <f aca="false">INDEX(Arch!$C$16:$E$16,O$7)</f>
        <v>0.5</v>
      </c>
      <c r="P36" s="81" t="n">
        <f aca="false">INDEX(Arch!$C$16:$E$16,P$7)</f>
        <v>0.5</v>
      </c>
      <c r="Q36" s="81" t="n">
        <f aca="false">INDEX(Arch!$C$16:$E$16,Q$7)</f>
        <v>1</v>
      </c>
      <c r="R36" s="81" t="n">
        <f aca="false">INDEX(Arch!$C$16:$E$16,R$7)</f>
        <v>0.5</v>
      </c>
      <c r="S36" s="81" t="n">
        <f aca="false">INDEX(Arch!$C$16:$E$16,S$7)</f>
        <v>1</v>
      </c>
    </row>
    <row r="37" customFormat="false" ht="15" hidden="false" customHeight="false" outlineLevel="0" collapsed="false">
      <c r="A37" s="44" t="s">
        <v>655</v>
      </c>
      <c r="B37" s="45" t="s">
        <v>236</v>
      </c>
      <c r="C37" s="76" t="n">
        <f aca="false">INDEX(Arch!$C$17:$E$17,C$7)</f>
        <v>4224</v>
      </c>
      <c r="D37" s="76" t="n">
        <f aca="false">INDEX(Arch!$C$17:$E$17,D$7)</f>
        <v>4224</v>
      </c>
      <c r="E37" s="76" t="n">
        <f aca="false">INDEX(Arch!$C$17:$E$17,E$7)</f>
        <v>0</v>
      </c>
      <c r="F37" s="76" t="n">
        <f aca="false">INDEX(Arch!$C$17:$E$17,F$7)</f>
        <v>4224</v>
      </c>
      <c r="G37" s="76" t="n">
        <f aca="false">INDEX(Arch!$C$17:$E$17,G$7)</f>
        <v>4224</v>
      </c>
      <c r="H37" s="76" t="n">
        <f aca="false">INDEX(Arch!$C$17:$E$17,H$7)</f>
        <v>0</v>
      </c>
      <c r="I37" s="76" t="n">
        <f aca="false">INDEX(Arch!$C$17:$E$17,I$7)</f>
        <v>4224</v>
      </c>
      <c r="J37" s="76" t="n">
        <f aca="false">INDEX(Arch!$C$17:$E$17,J$7)</f>
        <v>4224</v>
      </c>
      <c r="K37" s="76" t="n">
        <f aca="false">INDEX(Arch!$C$17:$E$17,K$7)</f>
        <v>0</v>
      </c>
      <c r="L37" s="76" t="n">
        <f aca="false">INDEX(Arch!$C$17:$E$17,L$7)</f>
        <v>4224</v>
      </c>
      <c r="M37" s="76" t="n">
        <f aca="false">INDEX(Arch!$C$17:$E$17,M$7)</f>
        <v>4224</v>
      </c>
      <c r="N37" s="76" t="n">
        <f aca="false">INDEX(Arch!$C$17:$E$17,N$7)</f>
        <v>0</v>
      </c>
      <c r="O37" s="76" t="n">
        <f aca="false">INDEX(Arch!$C$17:$E$17,O$7)</f>
        <v>4224</v>
      </c>
      <c r="P37" s="76" t="n">
        <f aca="false">INDEX(Arch!$C$17:$E$17,P$7)</f>
        <v>4224</v>
      </c>
      <c r="Q37" s="76" t="n">
        <f aca="false">INDEX(Arch!$C$17:$E$17,Q$7)</f>
        <v>0</v>
      </c>
      <c r="R37" s="76" t="n">
        <f aca="false">INDEX(Arch!$C$17:$E$17,R$7)</f>
        <v>4224</v>
      </c>
      <c r="S37" s="76" t="n">
        <f aca="false">INDEX(Arch!$C$17:$E$17,S$7)</f>
        <v>0</v>
      </c>
    </row>
    <row r="38" customFormat="false" ht="15" hidden="false" customHeight="false" outlineLevel="0" collapsed="false">
      <c r="A38" s="44" t="s">
        <v>239</v>
      </c>
      <c r="B38" s="45" t="s">
        <v>61</v>
      </c>
      <c r="C38" s="76" t="n">
        <f aca="false">INDEX(Arch!$C$18:$E$18,C$7)</f>
        <v>128</v>
      </c>
      <c r="D38" s="76" t="n">
        <f aca="false">INDEX(Arch!$C$18:$E$18,D$7)</f>
        <v>128</v>
      </c>
      <c r="E38" s="76" t="n">
        <f aca="false">INDEX(Arch!$C$18:$E$18,E$7)</f>
        <v>1</v>
      </c>
      <c r="F38" s="76" t="n">
        <f aca="false">INDEX(Arch!$C$18:$E$18,F$7)</f>
        <v>128</v>
      </c>
      <c r="G38" s="76" t="n">
        <f aca="false">INDEX(Arch!$C$18:$E$18,G$7)</f>
        <v>128</v>
      </c>
      <c r="H38" s="76" t="n">
        <f aca="false">INDEX(Arch!$C$18:$E$18,H$7)</f>
        <v>1</v>
      </c>
      <c r="I38" s="76" t="n">
        <f aca="false">INDEX(Arch!$C$18:$E$18,I$7)</f>
        <v>128</v>
      </c>
      <c r="J38" s="76" t="n">
        <f aca="false">INDEX(Arch!$C$18:$E$18,J$7)</f>
        <v>128</v>
      </c>
      <c r="K38" s="76" t="n">
        <f aca="false">INDEX(Arch!$C$18:$E$18,K$7)</f>
        <v>1</v>
      </c>
      <c r="L38" s="76" t="n">
        <f aca="false">INDEX(Arch!$C$18:$E$18,L$7)</f>
        <v>128</v>
      </c>
      <c r="M38" s="76" t="n">
        <f aca="false">INDEX(Arch!$C$18:$E$18,M$7)</f>
        <v>128</v>
      </c>
      <c r="N38" s="76" t="n">
        <f aca="false">INDEX(Arch!$C$18:$E$18,N$7)</f>
        <v>1</v>
      </c>
      <c r="O38" s="76" t="n">
        <f aca="false">INDEX(Arch!$C$18:$E$18,O$7)</f>
        <v>128</v>
      </c>
      <c r="P38" s="76" t="n">
        <f aca="false">INDEX(Arch!$C$18:$E$18,P$7)</f>
        <v>128</v>
      </c>
      <c r="Q38" s="76" t="n">
        <f aca="false">INDEX(Arch!$C$18:$E$18,Q$7)</f>
        <v>1</v>
      </c>
      <c r="R38" s="76" t="n">
        <f aca="false">INDEX(Arch!$C$18:$E$18,R$7)</f>
        <v>128</v>
      </c>
      <c r="S38" s="76" t="n">
        <f aca="false">INDEX(Arch!$C$18:$E$18,S$7)</f>
        <v>1</v>
      </c>
    </row>
    <row r="39" customFormat="false" ht="15" hidden="false" customHeight="false" outlineLevel="0" collapsed="false">
      <c r="A39" s="44" t="s">
        <v>241</v>
      </c>
      <c r="B39" s="45" t="s">
        <v>236</v>
      </c>
      <c r="C39" s="76" t="n">
        <f aca="false">INDEX(Arch!$C$19:$E$19,C$7)</f>
        <v>128</v>
      </c>
      <c r="D39" s="76" t="n">
        <f aca="false">INDEX(Arch!$C$19:$E$19,D$7)</f>
        <v>128</v>
      </c>
      <c r="E39" s="76" t="n">
        <f aca="false">INDEX(Arch!$C$19:$E$19,E$7)</f>
        <v>0</v>
      </c>
      <c r="F39" s="76" t="n">
        <f aca="false">INDEX(Arch!$C$19:$E$19,F$7)</f>
        <v>128</v>
      </c>
      <c r="G39" s="76" t="n">
        <f aca="false">INDEX(Arch!$C$19:$E$19,G$7)</f>
        <v>128</v>
      </c>
      <c r="H39" s="76" t="n">
        <f aca="false">INDEX(Arch!$C$19:$E$19,H$7)</f>
        <v>0</v>
      </c>
      <c r="I39" s="76" t="n">
        <f aca="false">INDEX(Arch!$C$19:$E$19,I$7)</f>
        <v>128</v>
      </c>
      <c r="J39" s="76" t="n">
        <f aca="false">INDEX(Arch!$C$19:$E$19,J$7)</f>
        <v>128</v>
      </c>
      <c r="K39" s="76" t="n">
        <f aca="false">INDEX(Arch!$C$19:$E$19,K$7)</f>
        <v>0</v>
      </c>
      <c r="L39" s="76" t="n">
        <f aca="false">INDEX(Arch!$C$19:$E$19,L$7)</f>
        <v>128</v>
      </c>
      <c r="M39" s="76" t="n">
        <f aca="false">INDEX(Arch!$C$19:$E$19,M$7)</f>
        <v>128</v>
      </c>
      <c r="N39" s="76" t="n">
        <f aca="false">INDEX(Arch!$C$19:$E$19,N$7)</f>
        <v>0</v>
      </c>
      <c r="O39" s="76" t="n">
        <f aca="false">INDEX(Arch!$C$19:$E$19,O$7)</f>
        <v>128</v>
      </c>
      <c r="P39" s="76" t="n">
        <f aca="false">INDEX(Arch!$C$19:$E$19,P$7)</f>
        <v>128</v>
      </c>
      <c r="Q39" s="76" t="n">
        <f aca="false">INDEX(Arch!$C$19:$E$19,Q$7)</f>
        <v>0</v>
      </c>
      <c r="R39" s="76" t="n">
        <f aca="false">INDEX(Arch!$C$19:$E$19,R$7)</f>
        <v>128</v>
      </c>
      <c r="S39" s="76" t="n">
        <f aca="false">INDEX(Arch!$C$19:$E$19,S$7)</f>
        <v>0</v>
      </c>
    </row>
    <row r="40" customFormat="false" ht="15" hidden="false" customHeight="false" outlineLevel="0" collapsed="false">
      <c r="A40" s="72" t="s">
        <v>656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customFormat="false" ht="15" hidden="false" customHeight="false" outlineLevel="0" collapsed="false">
      <c r="A41" s="45" t="s">
        <v>299</v>
      </c>
      <c r="B41" s="45" t="s">
        <v>300</v>
      </c>
      <c r="C41" s="76" t="n">
        <f aca="false">INDEX(Train_In!$C$31:$E$31,C$7)</f>
        <v>20</v>
      </c>
      <c r="D41" s="76" t="n">
        <f aca="false">INDEX(Train_In!$C$31:$E$31,D$7)</f>
        <v>20</v>
      </c>
      <c r="E41" s="76" t="n">
        <f aca="false">INDEX(Train_In!$C$31:$E$31,E$7)</f>
        <v>20</v>
      </c>
      <c r="F41" s="76" t="n">
        <f aca="false">INDEX(Train_In!$C$31:$E$31,F$7)</f>
        <v>20</v>
      </c>
      <c r="G41" s="76" t="n">
        <f aca="false">INDEX(Train_In!$C$31:$E$31,G$7)</f>
        <v>20</v>
      </c>
      <c r="H41" s="76" t="n">
        <f aca="false">INDEX(Train_In!$C$31:$E$31,H$7)</f>
        <v>20</v>
      </c>
      <c r="I41" s="76" t="n">
        <f aca="false">INDEX(Train_In!$C$31:$E$31,I$7)</f>
        <v>20</v>
      </c>
      <c r="J41" s="76" t="n">
        <f aca="false">INDEX(Train_In!$C$31:$E$31,J$7)</f>
        <v>20</v>
      </c>
      <c r="K41" s="76" t="n">
        <f aca="false">INDEX(Train_In!$C$31:$E$31,K$7)</f>
        <v>20</v>
      </c>
      <c r="L41" s="76" t="n">
        <f aca="false">INDEX(Train_In!$C$31:$E$31,L$7)</f>
        <v>20</v>
      </c>
      <c r="M41" s="76" t="n">
        <f aca="false">INDEX(Train_In!$C$31:$E$31,M$7)</f>
        <v>20</v>
      </c>
      <c r="N41" s="76" t="n">
        <f aca="false">INDEX(Train_In!$C$31:$E$31,N$7)</f>
        <v>20</v>
      </c>
      <c r="O41" s="76" t="n">
        <f aca="false">INDEX(Train_In!$C$31:$E$31,O$7)</f>
        <v>20</v>
      </c>
      <c r="P41" s="76" t="n">
        <f aca="false">INDEX(Train_In!$C$31:$E$31,P$7)</f>
        <v>20</v>
      </c>
      <c r="Q41" s="76" t="n">
        <f aca="false">INDEX(Train_In!$C$31:$E$31,Q$7)</f>
        <v>20</v>
      </c>
      <c r="R41" s="76" t="n">
        <f aca="false">INDEX(Train_In!$C$31:$E$31,R$7)</f>
        <v>20</v>
      </c>
      <c r="S41" s="76" t="n">
        <f aca="false">INDEX(Train_In!$C$31:$E$31,S$7)</f>
        <v>20</v>
      </c>
    </row>
    <row r="42" customFormat="false" ht="15" hidden="false" customHeight="false" outlineLevel="0" collapsed="false">
      <c r="A42" s="45" t="s">
        <v>657</v>
      </c>
      <c r="B42" s="45" t="s">
        <v>303</v>
      </c>
      <c r="C42" s="93" t="n">
        <f aca="false">INDEX(Serving!$C$22:$E$22,C$7)</f>
        <v>2</v>
      </c>
      <c r="D42" s="93" t="n">
        <f aca="false">INDEX(Serving!$C$22:$E$22,D$7)</f>
        <v>3</v>
      </c>
      <c r="E42" s="93" t="n">
        <f aca="false">INDEX(Serving!$C$22:$E$22,E$7)</f>
        <v>5</v>
      </c>
      <c r="F42" s="93" t="n">
        <f aca="false">INDEX(Serving!$C$22:$E$22,F$7)</f>
        <v>2</v>
      </c>
      <c r="G42" s="93" t="n">
        <f aca="false">INDEX(Serving!$C$22:$E$22,G$7)</f>
        <v>3</v>
      </c>
      <c r="H42" s="93" t="n">
        <f aca="false">INDEX(Serving!$C$22:$E$22,H$7)</f>
        <v>5</v>
      </c>
      <c r="I42" s="93" t="n">
        <f aca="false">INDEX(Serving!$C$22:$E$22,I$7)</f>
        <v>2</v>
      </c>
      <c r="J42" s="93" t="n">
        <f aca="false">INDEX(Serving!$C$22:$E$22,J$7)</f>
        <v>3</v>
      </c>
      <c r="K42" s="93" t="n">
        <f aca="false">INDEX(Serving!$C$22:$E$22,K$7)</f>
        <v>5</v>
      </c>
      <c r="L42" s="93" t="n">
        <f aca="false">INDEX(Serving!$C$22:$E$22,L$7)</f>
        <v>2</v>
      </c>
      <c r="M42" s="93" t="n">
        <f aca="false">INDEX(Serving!$C$22:$E$22,M$7)</f>
        <v>3</v>
      </c>
      <c r="N42" s="93" t="n">
        <f aca="false">INDEX(Serving!$C$22:$E$22,N$7)</f>
        <v>5</v>
      </c>
      <c r="O42" s="93" t="n">
        <f aca="false">INDEX(Serving!$C$22:$E$22,O$7)</f>
        <v>2</v>
      </c>
      <c r="P42" s="93" t="n">
        <f aca="false">INDEX(Serving!$C$22:$E$22,P$7)</f>
        <v>3</v>
      </c>
      <c r="Q42" s="93" t="n">
        <f aca="false">INDEX(Serving!$C$22:$E$22,Q$7)</f>
        <v>5</v>
      </c>
      <c r="R42" s="93" t="n">
        <f aca="false">INDEX(Serving!$C$22:$E$22,R$7)</f>
        <v>3</v>
      </c>
      <c r="S42" s="93" t="n">
        <f aca="false">INDEX(Serving!$C$22:$E$22,S$7)</f>
        <v>5</v>
      </c>
    </row>
    <row r="43" customFormat="false" ht="15" hidden="false" customHeight="false" outlineLevel="0" collapsed="false">
      <c r="A43" s="44" t="s">
        <v>658</v>
      </c>
      <c r="B43" s="45" t="s">
        <v>236</v>
      </c>
      <c r="C43" s="76" t="n">
        <f aca="false">INDEX(Train_In!$C$32:$E$32,C$7)</f>
        <v>4096</v>
      </c>
      <c r="D43" s="76" t="n">
        <f aca="false">INDEX(Train_In!$C$32:$E$32,D$7)</f>
        <v>8192</v>
      </c>
      <c r="E43" s="76" t="n">
        <f aca="false">INDEX(Train_In!$C$32:$E$32,E$7)</f>
        <v>16384</v>
      </c>
      <c r="F43" s="76" t="n">
        <f aca="false">INDEX(Train_In!$C$32:$E$32,F$7)</f>
        <v>4096</v>
      </c>
      <c r="G43" s="76" t="n">
        <f aca="false">INDEX(Train_In!$C$32:$E$32,G$7)</f>
        <v>8192</v>
      </c>
      <c r="H43" s="76" t="n">
        <f aca="false">INDEX(Train_In!$C$32:$E$32,H$7)</f>
        <v>16384</v>
      </c>
      <c r="I43" s="76" t="n">
        <f aca="false">INDEX(Train_In!$C$32:$E$32,I$7)</f>
        <v>4096</v>
      </c>
      <c r="J43" s="76" t="n">
        <f aca="false">INDEX(Train_In!$C$32:$E$32,J$7)</f>
        <v>8192</v>
      </c>
      <c r="K43" s="76" t="n">
        <f aca="false">INDEX(Train_In!$C$32:$E$32,K$7)</f>
        <v>16384</v>
      </c>
      <c r="L43" s="76" t="n">
        <f aca="false">INDEX(Train_In!$C$32:$E$32,L$7)</f>
        <v>4096</v>
      </c>
      <c r="M43" s="76" t="n">
        <f aca="false">INDEX(Train_In!$C$32:$E$32,M$7)</f>
        <v>8192</v>
      </c>
      <c r="N43" s="76" t="n">
        <f aca="false">INDEX(Train_In!$C$32:$E$32,N$7)</f>
        <v>16384</v>
      </c>
      <c r="O43" s="76" t="n">
        <f aca="false">INDEX(Train_In!$C$32:$E$32,O$7)</f>
        <v>4096</v>
      </c>
      <c r="P43" s="76" t="n">
        <f aca="false">INDEX(Train_In!$C$32:$E$32,P$7)</f>
        <v>8192</v>
      </c>
      <c r="Q43" s="76" t="n">
        <f aca="false">INDEX(Train_In!$C$32:$E$32,Q$7)</f>
        <v>16384</v>
      </c>
      <c r="R43" s="76" t="n">
        <f aca="false">INDEX(Train_In!$C$32:$E$32,R$7)</f>
        <v>8192</v>
      </c>
      <c r="S43" s="76" t="n">
        <f aca="false">INDEX(Train_In!$C$32:$E$32,S$7)</f>
        <v>16384</v>
      </c>
    </row>
    <row r="44" customFormat="false" ht="15" hidden="false" customHeight="false" outlineLevel="0" collapsed="false">
      <c r="A44" s="44" t="s">
        <v>306</v>
      </c>
      <c r="B44" s="45" t="s">
        <v>236</v>
      </c>
      <c r="C44" s="76" t="n">
        <f aca="false">INDEX(Train_In!$C$33:$E$33,C$7)</f>
        <v>8192</v>
      </c>
      <c r="D44" s="76" t="n">
        <f aca="false">INDEX(Train_In!$C$33:$E$33,D$7)</f>
        <v>16384</v>
      </c>
      <c r="E44" s="76" t="n">
        <f aca="false">INDEX(Train_In!$C$33:$E$33,E$7)</f>
        <v>32768</v>
      </c>
      <c r="F44" s="76" t="n">
        <f aca="false">INDEX(Train_In!$C$33:$E$33,F$7)</f>
        <v>8192</v>
      </c>
      <c r="G44" s="76" t="n">
        <f aca="false">INDEX(Train_In!$C$33:$E$33,G$7)</f>
        <v>16384</v>
      </c>
      <c r="H44" s="76" t="n">
        <f aca="false">INDEX(Train_In!$C$33:$E$33,H$7)</f>
        <v>32768</v>
      </c>
      <c r="I44" s="76" t="n">
        <f aca="false">INDEX(Train_In!$C$33:$E$33,I$7)</f>
        <v>8192</v>
      </c>
      <c r="J44" s="76" t="n">
        <f aca="false">INDEX(Train_In!$C$33:$E$33,J$7)</f>
        <v>16384</v>
      </c>
      <c r="K44" s="76" t="n">
        <f aca="false">INDEX(Train_In!$C$33:$E$33,K$7)</f>
        <v>32768</v>
      </c>
      <c r="L44" s="76" t="n">
        <f aca="false">INDEX(Train_In!$C$33:$E$33,L$7)</f>
        <v>8192</v>
      </c>
      <c r="M44" s="76" t="n">
        <f aca="false">INDEX(Train_In!$C$33:$E$33,M$7)</f>
        <v>16384</v>
      </c>
      <c r="N44" s="76" t="n">
        <f aca="false">INDEX(Train_In!$C$33:$E$33,N$7)</f>
        <v>32768</v>
      </c>
      <c r="O44" s="76" t="n">
        <f aca="false">INDEX(Train_In!$C$33:$E$33,O$7)</f>
        <v>8192</v>
      </c>
      <c r="P44" s="76" t="n">
        <f aca="false">INDEX(Train_In!$C$33:$E$33,P$7)</f>
        <v>16384</v>
      </c>
      <c r="Q44" s="76" t="n">
        <f aca="false">INDEX(Train_In!$C$33:$E$33,Q$7)</f>
        <v>32768</v>
      </c>
      <c r="R44" s="76" t="n">
        <f aca="false">INDEX(Train_In!$C$33:$E$33,R$7)</f>
        <v>16384</v>
      </c>
      <c r="S44" s="76" t="n">
        <f aca="false">INDEX(Train_In!$C$33:$E$33,S$7)</f>
        <v>32768</v>
      </c>
    </row>
    <row r="45" customFormat="false" ht="15" hidden="false" customHeight="false" outlineLevel="0" collapsed="false">
      <c r="A45" s="45" t="s">
        <v>307</v>
      </c>
      <c r="B45" s="45" t="s">
        <v>236</v>
      </c>
      <c r="C45" s="56" t="n">
        <f aca="false">C43+C44/2</f>
        <v>8192</v>
      </c>
      <c r="D45" s="56" t="n">
        <f aca="false">D43+D44/2</f>
        <v>16384</v>
      </c>
      <c r="E45" s="56" t="n">
        <f aca="false">E43+E44/2</f>
        <v>32768</v>
      </c>
      <c r="F45" s="56" t="n">
        <f aca="false">F43+F44/2</f>
        <v>8192</v>
      </c>
      <c r="G45" s="56" t="n">
        <f aca="false">G43+G44/2</f>
        <v>16384</v>
      </c>
      <c r="H45" s="56" t="n">
        <f aca="false">H43+H44/2</f>
        <v>32768</v>
      </c>
      <c r="I45" s="56" t="n">
        <f aca="false">I43+I44/2</f>
        <v>8192</v>
      </c>
      <c r="J45" s="56" t="n">
        <f aca="false">J43+J44/2</f>
        <v>16384</v>
      </c>
      <c r="K45" s="56" t="n">
        <f aca="false">K43+K44/2</f>
        <v>32768</v>
      </c>
      <c r="L45" s="56" t="n">
        <f aca="false">L43+L44/2</f>
        <v>8192</v>
      </c>
      <c r="M45" s="56" t="n">
        <f aca="false">M43+M44/2</f>
        <v>16384</v>
      </c>
      <c r="N45" s="56" t="n">
        <f aca="false">N43+N44/2</f>
        <v>32768</v>
      </c>
      <c r="O45" s="56" t="n">
        <f aca="false">O43+O44/2</f>
        <v>8192</v>
      </c>
      <c r="P45" s="56" t="n">
        <f aca="false">P43+P44/2</f>
        <v>16384</v>
      </c>
      <c r="Q45" s="56" t="n">
        <f aca="false">Q43+Q44/2</f>
        <v>32768</v>
      </c>
      <c r="R45" s="56" t="n">
        <f aca="false">R43+R44/2</f>
        <v>16384</v>
      </c>
      <c r="S45" s="56" t="n">
        <f aca="false">S43+S44/2</f>
        <v>32768</v>
      </c>
    </row>
    <row r="46" customFormat="false" ht="15" hidden="false" customHeight="false" outlineLevel="0" collapsed="false">
      <c r="A46" s="45" t="s">
        <v>308</v>
      </c>
      <c r="B46" s="45" t="s">
        <v>236</v>
      </c>
      <c r="C46" s="56" t="n">
        <f aca="false">C43/2</f>
        <v>2048</v>
      </c>
      <c r="D46" s="56" t="n">
        <f aca="false">D43/2</f>
        <v>4096</v>
      </c>
      <c r="E46" s="56" t="n">
        <f aca="false">E43/2</f>
        <v>8192</v>
      </c>
      <c r="F46" s="56" t="n">
        <f aca="false">F43/2</f>
        <v>2048</v>
      </c>
      <c r="G46" s="56" t="n">
        <f aca="false">G43/2</f>
        <v>4096</v>
      </c>
      <c r="H46" s="56" t="n">
        <f aca="false">H43/2</f>
        <v>8192</v>
      </c>
      <c r="I46" s="56" t="n">
        <f aca="false">I43/2</f>
        <v>2048</v>
      </c>
      <c r="J46" s="56" t="n">
        <f aca="false">J43/2</f>
        <v>4096</v>
      </c>
      <c r="K46" s="56" t="n">
        <f aca="false">K43/2</f>
        <v>8192</v>
      </c>
      <c r="L46" s="56" t="n">
        <f aca="false">L43/2</f>
        <v>2048</v>
      </c>
      <c r="M46" s="56" t="n">
        <f aca="false">M43/2</f>
        <v>4096</v>
      </c>
      <c r="N46" s="56" t="n">
        <f aca="false">N43/2</f>
        <v>8192</v>
      </c>
      <c r="O46" s="56" t="n">
        <f aca="false">O43/2</f>
        <v>2048</v>
      </c>
      <c r="P46" s="56" t="n">
        <f aca="false">P43/2</f>
        <v>4096</v>
      </c>
      <c r="Q46" s="56" t="n">
        <f aca="false">Q43/2</f>
        <v>8192</v>
      </c>
      <c r="R46" s="56" t="n">
        <f aca="false">R43/2</f>
        <v>4096</v>
      </c>
      <c r="S46" s="56" t="n">
        <f aca="false">S43/2</f>
        <v>8192</v>
      </c>
    </row>
    <row r="47" customFormat="false" ht="15" hidden="false" customHeight="false" outlineLevel="0" collapsed="false">
      <c r="A47" s="45" t="s">
        <v>659</v>
      </c>
      <c r="B47" s="45" t="s">
        <v>236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44" t="s">
        <v>660</v>
      </c>
      <c r="B48" s="45" t="s">
        <v>57</v>
      </c>
      <c r="C48" s="81" t="n">
        <f aca="false">Serving!$C$7</f>
        <v>0.7</v>
      </c>
      <c r="D48" s="81" t="n">
        <f aca="false">Serving!$C$7</f>
        <v>0.7</v>
      </c>
      <c r="E48" s="81" t="n">
        <f aca="false">Serving!$C$7</f>
        <v>0.7</v>
      </c>
      <c r="F48" s="81" t="n">
        <f aca="false">Serving!$C$7</f>
        <v>0.7</v>
      </c>
      <c r="G48" s="81" t="n">
        <f aca="false">Serving!$C$7</f>
        <v>0.7</v>
      </c>
      <c r="H48" s="81" t="n">
        <f aca="false">Serving!$C$7</f>
        <v>0.7</v>
      </c>
      <c r="I48" s="81" t="n">
        <f aca="false">Serving!$C$7</f>
        <v>0.7</v>
      </c>
      <c r="J48" s="81" t="n">
        <f aca="false">Serving!$C$7</f>
        <v>0.7</v>
      </c>
      <c r="K48" s="81" t="n">
        <f aca="false">Serving!$C$7</f>
        <v>0.7</v>
      </c>
      <c r="L48" s="81" t="n">
        <f aca="false">Serving!$C$7</f>
        <v>0.7</v>
      </c>
      <c r="M48" s="81" t="n">
        <f aca="false">Serving!$C$7</f>
        <v>0.7</v>
      </c>
      <c r="N48" s="81" t="n">
        <f aca="false">Serving!$C$7</f>
        <v>0.7</v>
      </c>
      <c r="O48" s="81" t="n">
        <f aca="false">Serving!$C$7</f>
        <v>0.7</v>
      </c>
      <c r="P48" s="81" t="n">
        <f aca="false">Serving!$C$7</f>
        <v>0.7</v>
      </c>
      <c r="Q48" s="81" t="n">
        <f aca="false">Serving!$C$7</f>
        <v>0.7</v>
      </c>
      <c r="R48" s="81" t="n">
        <f aca="false">Serving!$C$7</f>
        <v>0.7</v>
      </c>
      <c r="S48" s="81" t="n">
        <f aca="false">Serving!$C$7</f>
        <v>0.7</v>
      </c>
    </row>
    <row r="49" customFormat="false" ht="15" hidden="false" customHeight="false" outlineLevel="0" collapsed="false">
      <c r="A49" s="44" t="s">
        <v>661</v>
      </c>
      <c r="B49" s="45" t="s">
        <v>236</v>
      </c>
      <c r="C49" s="57" t="n">
        <f aca="false">(1-C48^(C47+1))/(1-C48)</f>
        <v>2.533</v>
      </c>
      <c r="D49" s="57" t="n">
        <f aca="false">(1-D48^(D47+1))/(1-D48)</f>
        <v>2.533</v>
      </c>
      <c r="E49" s="57" t="n">
        <f aca="false">(1-E48^(E47+1))/(1-E48)</f>
        <v>2.533</v>
      </c>
      <c r="F49" s="57" t="n">
        <f aca="false">(1-F48^(F47+1))/(1-F48)</f>
        <v>2.533</v>
      </c>
      <c r="G49" s="57" t="n">
        <f aca="false">(1-G48^(G47+1))/(1-G48)</f>
        <v>2.533</v>
      </c>
      <c r="H49" s="57" t="n">
        <f aca="false">(1-H48^(H47+1))/(1-H48)</f>
        <v>2.533</v>
      </c>
      <c r="I49" s="57" t="n">
        <f aca="false">(1-I48^(I47+1))/(1-I48)</f>
        <v>2.533</v>
      </c>
      <c r="J49" s="57" t="n">
        <f aca="false">(1-J48^(J47+1))/(1-J48)</f>
        <v>2.533</v>
      </c>
      <c r="K49" s="57" t="n">
        <f aca="false">(1-K48^(K47+1))/(1-K48)</f>
        <v>2.533</v>
      </c>
      <c r="L49" s="57" t="n">
        <f aca="false">(1-L48^(L47+1))/(1-L48)</f>
        <v>2.533</v>
      </c>
      <c r="M49" s="57" t="n">
        <f aca="false">(1-M48^(M47+1))/(1-M48)</f>
        <v>2.533</v>
      </c>
      <c r="N49" s="57" t="n">
        <f aca="false">(1-N48^(N47+1))/(1-N48)</f>
        <v>2.533</v>
      </c>
      <c r="O49" s="57" t="n">
        <f aca="false">(1-O48^(O47+1))/(1-O48)</f>
        <v>2.533</v>
      </c>
      <c r="P49" s="57" t="n">
        <f aca="false">(1-P48^(P47+1))/(1-P48)</f>
        <v>2.533</v>
      </c>
      <c r="Q49" s="57" t="n">
        <f aca="false">(1-Q48^(Q47+1))/(1-Q48)</f>
        <v>2.533</v>
      </c>
      <c r="R49" s="57" t="n">
        <f aca="false">(1-R48^(R47+1))/(1-R48)</f>
        <v>2.533</v>
      </c>
      <c r="S49" s="57" t="n">
        <f aca="false">(1-S48^(S47+1))/(1-S48)</f>
        <v>2.533</v>
      </c>
    </row>
    <row r="50" customFormat="false" ht="15" hidden="false" customHeight="false" outlineLevel="0" collapsed="false">
      <c r="A50" s="44" t="s">
        <v>295</v>
      </c>
      <c r="B50" s="45" t="s">
        <v>61</v>
      </c>
      <c r="C50" s="79" t="n">
        <f aca="false">Serving!$C$18</f>
        <v>1</v>
      </c>
      <c r="D50" s="79" t="n">
        <f aca="false">Serving!$C$18</f>
        <v>1</v>
      </c>
      <c r="E50" s="79" t="n">
        <f aca="false">Serving!$C$18</f>
        <v>1</v>
      </c>
      <c r="F50" s="79" t="n">
        <f aca="false">Serving!$C$18</f>
        <v>1</v>
      </c>
      <c r="G50" s="79" t="n">
        <f aca="false">Serving!$C$18</f>
        <v>1</v>
      </c>
      <c r="H50" s="79" t="n">
        <f aca="false">Serving!$C$18</f>
        <v>1</v>
      </c>
      <c r="I50" s="79" t="n">
        <f aca="false">Serving!$C$18</f>
        <v>1</v>
      </c>
      <c r="J50" s="79" t="n">
        <f aca="false">Serving!$C$18</f>
        <v>1</v>
      </c>
      <c r="K50" s="79" t="n">
        <f aca="false">Serving!$C$18</f>
        <v>1</v>
      </c>
      <c r="L50" s="79" t="n">
        <f aca="false">Serving!$C$18</f>
        <v>1</v>
      </c>
      <c r="M50" s="79" t="n">
        <f aca="false">Serving!$C$18</f>
        <v>1</v>
      </c>
      <c r="N50" s="79" t="n">
        <f aca="false">Serving!$C$18</f>
        <v>1</v>
      </c>
      <c r="O50" s="79" t="n">
        <f aca="false">Serving!$C$18</f>
        <v>1</v>
      </c>
      <c r="P50" s="79" t="n">
        <f aca="false">Serving!$C$18</f>
        <v>1</v>
      </c>
      <c r="Q50" s="79" t="n">
        <f aca="false">Serving!$C$18</f>
        <v>1</v>
      </c>
      <c r="R50" s="79" t="n">
        <f aca="false">Serving!$C$18</f>
        <v>1</v>
      </c>
      <c r="S50" s="79" t="n">
        <f aca="false">Serving!$C$18</f>
        <v>1</v>
      </c>
    </row>
    <row r="51" customFormat="false" ht="15" hidden="false" customHeight="false" outlineLevel="0" collapsed="false">
      <c r="A51" s="45" t="s">
        <v>662</v>
      </c>
      <c r="B51" s="45" t="s">
        <v>57</v>
      </c>
      <c r="C51" s="94" t="n">
        <f aca="false">INDEX(Calib!$C$72:$G$72,C$6)*C50</f>
        <v>0.15</v>
      </c>
      <c r="D51" s="94" t="n">
        <f aca="false">INDEX(Calib!$C$72:$G$72,D$6)*D50</f>
        <v>0.15</v>
      </c>
      <c r="E51" s="94" t="n">
        <f aca="false">INDEX(Calib!$C$72:$G$72,E$6)*E50</f>
        <v>0.15</v>
      </c>
      <c r="F51" s="94" t="n">
        <f aca="false">INDEX(Calib!$C$72:$G$72,F$6)*F50</f>
        <v>0.3</v>
      </c>
      <c r="G51" s="94" t="n">
        <f aca="false">INDEX(Calib!$C$72:$G$72,G$6)*G50</f>
        <v>0.3</v>
      </c>
      <c r="H51" s="94" t="n">
        <f aca="false">INDEX(Calib!$C$72:$G$72,H$6)*H50</f>
        <v>0.3</v>
      </c>
      <c r="I51" s="94" t="n">
        <f aca="false">INDEX(Calib!$C$72:$G$72,I$6)*I50</f>
        <v>0.3</v>
      </c>
      <c r="J51" s="94" t="n">
        <f aca="false">INDEX(Calib!$C$72:$G$72,J$6)*J50</f>
        <v>0.3</v>
      </c>
      <c r="K51" s="94" t="n">
        <f aca="false">INDEX(Calib!$C$72:$G$72,K$6)*K50</f>
        <v>0.3</v>
      </c>
      <c r="L51" s="94" t="n">
        <f aca="false">INDEX(Calib!$C$72:$G$72,L$6)*L50</f>
        <v>0.3</v>
      </c>
      <c r="M51" s="94" t="n">
        <f aca="false">INDEX(Calib!$C$72:$G$72,M$6)*M50</f>
        <v>0.3</v>
      </c>
      <c r="N51" s="94" t="n">
        <f aca="false">INDEX(Calib!$C$72:$G$72,N$6)*N50</f>
        <v>0.3</v>
      </c>
      <c r="O51" s="94" t="n">
        <f aca="false">INDEX(Calib!$C$72:$G$72,O$6)*O50</f>
        <v>0.3</v>
      </c>
      <c r="P51" s="94" t="n">
        <f aca="false">INDEX(Calib!$C$72:$G$72,P$6)*P50</f>
        <v>0.3</v>
      </c>
      <c r="Q51" s="94" t="n">
        <f aca="false">INDEX(Calib!$C$72:$G$72,Q$6)*Q50</f>
        <v>0.3</v>
      </c>
      <c r="R51" s="94" t="n">
        <f aca="false">INDEX(Calib!$C$72:$G$72,R$6)*R50</f>
        <v>0.3</v>
      </c>
      <c r="S51" s="94" t="n">
        <f aca="false">INDEX(Calib!$C$72:$G$72,S$6)*S50</f>
        <v>0.3</v>
      </c>
    </row>
    <row r="52" customFormat="false" ht="15" hidden="false" customHeight="false" outlineLevel="0" collapsed="false">
      <c r="A52" s="45" t="s">
        <v>663</v>
      </c>
      <c r="B52" s="45" t="s">
        <v>61</v>
      </c>
      <c r="C52" s="79" t="n">
        <f aca="false">Tech_Registry!$E$20</f>
        <v>1</v>
      </c>
      <c r="D52" s="79" t="n">
        <f aca="false">Tech_Registry!$E$20</f>
        <v>1</v>
      </c>
      <c r="E52" s="79" t="n">
        <f aca="false">Tech_Registry!$E$20</f>
        <v>1</v>
      </c>
      <c r="F52" s="79" t="n">
        <f aca="false">Tech_Registry!$E$20</f>
        <v>1</v>
      </c>
      <c r="G52" s="79" t="n">
        <f aca="false">Tech_Registry!$E$20</f>
        <v>1</v>
      </c>
      <c r="H52" s="79" t="n">
        <f aca="false">Tech_Registry!$E$20</f>
        <v>1</v>
      </c>
      <c r="I52" s="79" t="n">
        <f aca="false">Tech_Registry!$E$20</f>
        <v>1</v>
      </c>
      <c r="J52" s="79" t="n">
        <f aca="false">Tech_Registry!$E$20</f>
        <v>1</v>
      </c>
      <c r="K52" s="79" t="n">
        <f aca="false">Tech_Registry!$E$20</f>
        <v>1</v>
      </c>
      <c r="L52" s="79" t="n">
        <f aca="false">Tech_Registry!$E$20</f>
        <v>1</v>
      </c>
      <c r="M52" s="79" t="n">
        <f aca="false">Tech_Registry!$E$20</f>
        <v>1</v>
      </c>
      <c r="N52" s="79" t="n">
        <f aca="false">Tech_Registry!$E$20</f>
        <v>1</v>
      </c>
      <c r="O52" s="79" t="n">
        <f aca="false">Tech_Registry!$E$20</f>
        <v>1</v>
      </c>
      <c r="P52" s="79" t="n">
        <f aca="false">Tech_Registry!$E$20</f>
        <v>1</v>
      </c>
      <c r="Q52" s="79" t="n">
        <f aca="false">Tech_Registry!$E$20</f>
        <v>1</v>
      </c>
      <c r="R52" s="79" t="n">
        <f aca="false">Tech_Registry!$E$20</f>
        <v>1</v>
      </c>
      <c r="S52" s="79" t="n">
        <f aca="false">Tech_Registry!$E$20</f>
        <v>1</v>
      </c>
    </row>
    <row r="53" customFormat="false" ht="15" hidden="false" customHeight="false" outlineLevel="0" collapsed="false">
      <c r="A53" s="45" t="s">
        <v>664</v>
      </c>
      <c r="B53" s="45" t="s">
        <v>57</v>
      </c>
      <c r="C53" s="95" t="n">
        <f aca="false">INDEX(Calib!$C$70:$G$70,C$6)*C52*C50</f>
        <v>0.05406356924201</v>
      </c>
      <c r="D53" s="95" t="n">
        <f aca="false">INDEX(Calib!$C$70:$G$70,D$6)*D52*D50</f>
        <v>0.05406356924201</v>
      </c>
      <c r="E53" s="95" t="n">
        <f aca="false">INDEX(Calib!$C$70:$G$70,E$6)*E52*E50</f>
        <v>0.05406356924201</v>
      </c>
      <c r="F53" s="95" t="n">
        <f aca="false">INDEX(Calib!$C$70:$G$70,F$6)*F52*F50</f>
        <v>0.0360423794946733</v>
      </c>
      <c r="G53" s="95" t="n">
        <f aca="false">INDEX(Calib!$C$70:$G$70,G$6)*G52*G50</f>
        <v>0.0360423794946733</v>
      </c>
      <c r="H53" s="95" t="n">
        <f aca="false">INDEX(Calib!$C$70:$G$70,H$6)*H52*H50</f>
        <v>0.0360423794946733</v>
      </c>
      <c r="I53" s="95" t="n">
        <f aca="false">INDEX(Calib!$C$70:$G$70,I$6)*I52*I50</f>
        <v>0.0360423794946733</v>
      </c>
      <c r="J53" s="95" t="n">
        <f aca="false">INDEX(Calib!$C$70:$G$70,J$6)*J52*J50</f>
        <v>0.0360423794946733</v>
      </c>
      <c r="K53" s="95" t="n">
        <f aca="false">INDEX(Calib!$C$70:$G$70,K$6)*K52*K50</f>
        <v>0.0360423794946733</v>
      </c>
      <c r="L53" s="95" t="n">
        <f aca="false">INDEX(Calib!$C$70:$G$70,L$6)*L52*L50</f>
        <v>0.0360423794946733</v>
      </c>
      <c r="M53" s="95" t="n">
        <f aca="false">INDEX(Calib!$C$70:$G$70,M$6)*M52*M50</f>
        <v>0.0360423794946733</v>
      </c>
      <c r="N53" s="95" t="n">
        <f aca="false">INDEX(Calib!$C$70:$G$70,N$6)*N52*N50</f>
        <v>0.0360423794946733</v>
      </c>
      <c r="O53" s="95" t="n">
        <f aca="false">INDEX(Calib!$C$70:$G$70,O$6)*O52*O50</f>
        <v>0.0360423794946733</v>
      </c>
      <c r="P53" s="95" t="n">
        <f aca="false">INDEX(Calib!$C$70:$G$70,P$6)*P52*P50</f>
        <v>0.0360423794946733</v>
      </c>
      <c r="Q53" s="95" t="n">
        <f aca="false">INDEX(Calib!$C$70:$G$70,Q$6)*Q52*Q50</f>
        <v>0.0360423794946733</v>
      </c>
      <c r="R53" s="95" t="n">
        <f aca="false">INDEX(Calib!$C$70:$G$70,R$6)*R52*R50</f>
        <v>0.0360423794946733</v>
      </c>
      <c r="S53" s="95" t="n">
        <f aca="false">INDEX(Calib!$C$70:$G$70,S$6)*S52*S50</f>
        <v>0.0360423794946733</v>
      </c>
    </row>
    <row r="54" customFormat="false" ht="15" hidden="false" customHeight="false" outlineLevel="0" collapsed="false">
      <c r="A54" s="44" t="s">
        <v>665</v>
      </c>
      <c r="B54" s="45" t="s">
        <v>61</v>
      </c>
      <c r="C54" s="79" t="n">
        <f aca="false">Tech_Registry!$E$21</f>
        <v>1</v>
      </c>
      <c r="D54" s="79" t="n">
        <f aca="false">Tech_Registry!$E$21</f>
        <v>1</v>
      </c>
      <c r="E54" s="79" t="n">
        <f aca="false">Tech_Registry!$E$21</f>
        <v>1</v>
      </c>
      <c r="F54" s="79" t="n">
        <f aca="false">Tech_Registry!$E$21</f>
        <v>1</v>
      </c>
      <c r="G54" s="79" t="n">
        <f aca="false">Tech_Registry!$E$21</f>
        <v>1</v>
      </c>
      <c r="H54" s="79" t="n">
        <f aca="false">Tech_Registry!$E$21</f>
        <v>1</v>
      </c>
      <c r="I54" s="79" t="n">
        <f aca="false">Tech_Registry!$E$21</f>
        <v>1</v>
      </c>
      <c r="J54" s="79" t="n">
        <f aca="false">Tech_Registry!$E$21</f>
        <v>1</v>
      </c>
      <c r="K54" s="79" t="n">
        <f aca="false">Tech_Registry!$E$21</f>
        <v>1</v>
      </c>
      <c r="L54" s="79" t="n">
        <f aca="false">Tech_Registry!$E$21</f>
        <v>1</v>
      </c>
      <c r="M54" s="79" t="n">
        <f aca="false">Tech_Registry!$E$21</f>
        <v>1</v>
      </c>
      <c r="N54" s="79" t="n">
        <f aca="false">Tech_Registry!$E$21</f>
        <v>1</v>
      </c>
      <c r="O54" s="79" t="n">
        <f aca="false">Tech_Registry!$E$21</f>
        <v>1</v>
      </c>
      <c r="P54" s="79" t="n">
        <f aca="false">Tech_Registry!$E$21</f>
        <v>1</v>
      </c>
      <c r="Q54" s="79" t="n">
        <f aca="false">Tech_Registry!$E$21</f>
        <v>1</v>
      </c>
      <c r="R54" s="79" t="n">
        <f aca="false">Tech_Registry!$E$21</f>
        <v>1</v>
      </c>
      <c r="S54" s="79" t="n">
        <f aca="false">Tech_Registry!$E$21</f>
        <v>1</v>
      </c>
    </row>
    <row r="55" customFormat="false" ht="15" hidden="false" customHeight="false" outlineLevel="0" collapsed="false">
      <c r="A55" s="44" t="s">
        <v>666</v>
      </c>
      <c r="B55" s="45" t="s">
        <v>430</v>
      </c>
      <c r="C55" s="76" t="n">
        <f aca="false">INDEX(Calib!$C$71:$G$71,C$6)*C54/C50</f>
        <v>240.417841369295</v>
      </c>
      <c r="D55" s="76" t="n">
        <f aca="false">INDEX(Calib!$C$71:$G$71,D$6)*D54/D50</f>
        <v>240.417841369295</v>
      </c>
      <c r="E55" s="76" t="n">
        <f aca="false">INDEX(Calib!$C$71:$G$71,E$6)*E54/E50</f>
        <v>240.417841369295</v>
      </c>
      <c r="F55" s="76" t="n">
        <f aca="false">INDEX(Calib!$C$71:$G$71,F$6)*F54/F50</f>
        <v>160.278560912864</v>
      </c>
      <c r="G55" s="76" t="n">
        <f aca="false">INDEX(Calib!$C$71:$G$71,G$6)*G54/G50</f>
        <v>160.278560912864</v>
      </c>
      <c r="H55" s="76" t="n">
        <f aca="false">INDEX(Calib!$C$71:$G$71,H$6)*H54/H50</f>
        <v>160.278560912864</v>
      </c>
      <c r="I55" s="76" t="n">
        <f aca="false">INDEX(Calib!$C$71:$G$71,I$6)*I54/I50</f>
        <v>160.278560912864</v>
      </c>
      <c r="J55" s="76" t="n">
        <f aca="false">INDEX(Calib!$C$71:$G$71,J$6)*J54/J50</f>
        <v>160.278560912864</v>
      </c>
      <c r="K55" s="76" t="n">
        <f aca="false">INDEX(Calib!$C$71:$G$71,K$6)*K54/K50</f>
        <v>160.278560912864</v>
      </c>
      <c r="L55" s="76" t="n">
        <f aca="false">INDEX(Calib!$C$71:$G$71,L$6)*L54/L50</f>
        <v>160.278560912864</v>
      </c>
      <c r="M55" s="76" t="n">
        <f aca="false">INDEX(Calib!$C$71:$G$71,M$6)*M54/M50</f>
        <v>160.278560912864</v>
      </c>
      <c r="N55" s="76" t="n">
        <f aca="false">INDEX(Calib!$C$71:$G$71,N$6)*N54/N50</f>
        <v>160.278560912864</v>
      </c>
      <c r="O55" s="76" t="n">
        <f aca="false">INDEX(Calib!$C$71:$G$71,O$6)*O54/O50</f>
        <v>160.278560912864</v>
      </c>
      <c r="P55" s="76" t="n">
        <f aca="false">INDEX(Calib!$C$71:$G$71,P$6)*P54/P50</f>
        <v>160.278560912864</v>
      </c>
      <c r="Q55" s="76" t="n">
        <f aca="false">INDEX(Calib!$C$71:$G$71,Q$6)*Q54/Q50</f>
        <v>160.278560912864</v>
      </c>
      <c r="R55" s="76" t="n">
        <f aca="false">INDEX(Calib!$C$71:$G$71,R$6)*R54/R50</f>
        <v>160.278560912864</v>
      </c>
      <c r="S55" s="76" t="n">
        <f aca="false">INDEX(Calib!$C$71:$G$71,S$6)*S54/S50</f>
        <v>160.278560912864</v>
      </c>
    </row>
    <row r="56" customFormat="false" ht="15" hidden="false" customHeight="false" outlineLevel="0" collapsed="false">
      <c r="A56" s="45" t="s">
        <v>667</v>
      </c>
      <c r="B56" s="45" t="s">
        <v>57</v>
      </c>
      <c r="C56" s="81" t="n">
        <f aca="false">Serving!$C$9</f>
        <v>0.1</v>
      </c>
      <c r="D56" s="81" t="n">
        <f aca="false">Serving!$C$9</f>
        <v>0.1</v>
      </c>
      <c r="E56" s="81" t="n">
        <f aca="false">Serving!$C$9</f>
        <v>0.1</v>
      </c>
      <c r="F56" s="81" t="n">
        <f aca="false">Serving!$C$9</f>
        <v>0.1</v>
      </c>
      <c r="G56" s="81" t="n">
        <f aca="false">Serving!$C$9</f>
        <v>0.1</v>
      </c>
      <c r="H56" s="81" t="n">
        <f aca="false">Serving!$C$9</f>
        <v>0.1</v>
      </c>
      <c r="I56" s="81" t="n">
        <f aca="false">Serving!$C$9</f>
        <v>0.1</v>
      </c>
      <c r="J56" s="81" t="n">
        <f aca="false">Serving!$C$9</f>
        <v>0.1</v>
      </c>
      <c r="K56" s="81" t="n">
        <f aca="false">Serving!$C$9</f>
        <v>0.1</v>
      </c>
      <c r="L56" s="81" t="n">
        <f aca="false">Serving!$C$9</f>
        <v>0.1</v>
      </c>
      <c r="M56" s="81" t="n">
        <f aca="false">Serving!$C$9</f>
        <v>0.1</v>
      </c>
      <c r="N56" s="81" t="n">
        <f aca="false">Serving!$C$9</f>
        <v>0.1</v>
      </c>
      <c r="O56" s="81" t="n">
        <f aca="false">Serving!$C$9</f>
        <v>0.1</v>
      </c>
      <c r="P56" s="81" t="n">
        <f aca="false">Serving!$C$9</f>
        <v>0.1</v>
      </c>
      <c r="Q56" s="81" t="n">
        <f aca="false">Serving!$C$9</f>
        <v>0.1</v>
      </c>
      <c r="R56" s="81" t="n">
        <f aca="false">Serving!$C$9</f>
        <v>0.1</v>
      </c>
      <c r="S56" s="81" t="n">
        <f aca="false">Serving!$C$9</f>
        <v>0.1</v>
      </c>
    </row>
    <row r="57" customFormat="false" ht="15" hidden="false" customHeight="false" outlineLevel="0" collapsed="false">
      <c r="A57" s="44" t="s">
        <v>668</v>
      </c>
      <c r="B57" s="45" t="s">
        <v>57</v>
      </c>
      <c r="C57" s="81" t="n">
        <f aca="false">Serving!$C$10</f>
        <v>0.2</v>
      </c>
      <c r="D57" s="81" t="n">
        <f aca="false">Serving!$C$10</f>
        <v>0.2</v>
      </c>
      <c r="E57" s="81" t="n">
        <f aca="false">Serving!$C$10</f>
        <v>0.2</v>
      </c>
      <c r="F57" s="81" t="n">
        <f aca="false">Serving!$C$10</f>
        <v>0.2</v>
      </c>
      <c r="G57" s="81" t="n">
        <f aca="false">Serving!$C$10</f>
        <v>0.2</v>
      </c>
      <c r="H57" s="81" t="n">
        <f aca="false">Serving!$C$10</f>
        <v>0.2</v>
      </c>
      <c r="I57" s="81" t="n">
        <f aca="false">Serving!$C$10</f>
        <v>0.2</v>
      </c>
      <c r="J57" s="81" t="n">
        <f aca="false">Serving!$C$10</f>
        <v>0.2</v>
      </c>
      <c r="K57" s="81" t="n">
        <f aca="false">Serving!$C$10</f>
        <v>0.2</v>
      </c>
      <c r="L57" s="81" t="n">
        <f aca="false">Serving!$C$10</f>
        <v>0.2</v>
      </c>
      <c r="M57" s="81" t="n">
        <f aca="false">Serving!$C$10</f>
        <v>0.2</v>
      </c>
      <c r="N57" s="81" t="n">
        <f aca="false">Serving!$C$10</f>
        <v>0.2</v>
      </c>
      <c r="O57" s="81" t="n">
        <f aca="false">Serving!$C$10</f>
        <v>0.2</v>
      </c>
      <c r="P57" s="81" t="n">
        <f aca="false">Serving!$C$10</f>
        <v>0.2</v>
      </c>
      <c r="Q57" s="81" t="n">
        <f aca="false">Serving!$C$10</f>
        <v>0.2</v>
      </c>
      <c r="R57" s="81" t="n">
        <f aca="false">Serving!$C$10</f>
        <v>0.2</v>
      </c>
      <c r="S57" s="81" t="n">
        <f aca="false">Serving!$C$10</f>
        <v>0.2</v>
      </c>
    </row>
    <row r="58" customFormat="false" ht="15" hidden="false" customHeight="false" outlineLevel="0" collapsed="false">
      <c r="A58" s="44" t="s">
        <v>669</v>
      </c>
      <c r="B58" s="45" t="s">
        <v>57</v>
      </c>
      <c r="C58" s="81" t="n">
        <f aca="false">Serving!$C$11</f>
        <v>0.4</v>
      </c>
      <c r="D58" s="81" t="n">
        <f aca="false">Serving!$C$11</f>
        <v>0.4</v>
      </c>
      <c r="E58" s="81" t="n">
        <f aca="false">Serving!$C$11</f>
        <v>0.4</v>
      </c>
      <c r="F58" s="81" t="n">
        <f aca="false">Serving!$C$11</f>
        <v>0.4</v>
      </c>
      <c r="G58" s="81" t="n">
        <f aca="false">Serving!$C$11</f>
        <v>0.4</v>
      </c>
      <c r="H58" s="81" t="n">
        <f aca="false">Serving!$C$11</f>
        <v>0.4</v>
      </c>
      <c r="I58" s="81" t="n">
        <f aca="false">Serving!$C$11</f>
        <v>0.4</v>
      </c>
      <c r="J58" s="81" t="n">
        <f aca="false">Serving!$C$11</f>
        <v>0.4</v>
      </c>
      <c r="K58" s="81" t="n">
        <f aca="false">Serving!$C$11</f>
        <v>0.4</v>
      </c>
      <c r="L58" s="81" t="n">
        <f aca="false">Serving!$C$11</f>
        <v>0.4</v>
      </c>
      <c r="M58" s="81" t="n">
        <f aca="false">Serving!$C$11</f>
        <v>0.4</v>
      </c>
      <c r="N58" s="81" t="n">
        <f aca="false">Serving!$C$11</f>
        <v>0.4</v>
      </c>
      <c r="O58" s="81" t="n">
        <f aca="false">Serving!$C$11</f>
        <v>0.4</v>
      </c>
      <c r="P58" s="81" t="n">
        <f aca="false">Serving!$C$11</f>
        <v>0.4</v>
      </c>
      <c r="Q58" s="81" t="n">
        <f aca="false">Serving!$C$11</f>
        <v>0.4</v>
      </c>
      <c r="R58" s="81" t="n">
        <f aca="false">Serving!$C$11</f>
        <v>0.4</v>
      </c>
      <c r="S58" s="81" t="n">
        <f aca="false">Serving!$C$11</f>
        <v>0.4</v>
      </c>
    </row>
    <row r="59" customFormat="false" ht="15" hidden="false" customHeight="false" outlineLevel="0" collapsed="false">
      <c r="A59" s="45" t="s">
        <v>670</v>
      </c>
      <c r="B59" s="45" t="s">
        <v>213</v>
      </c>
      <c r="C59" s="93" t="n">
        <f aca="false">Serving!$C$12</f>
        <v>3</v>
      </c>
      <c r="D59" s="93" t="n">
        <f aca="false">Serving!$C$12</f>
        <v>3</v>
      </c>
      <c r="E59" s="93" t="n">
        <f aca="false">Serving!$C$12</f>
        <v>3</v>
      </c>
      <c r="F59" s="93" t="n">
        <f aca="false">Serving!$C$12</f>
        <v>3</v>
      </c>
      <c r="G59" s="93" t="n">
        <f aca="false">Serving!$C$12</f>
        <v>3</v>
      </c>
      <c r="H59" s="93" t="n">
        <f aca="false">Serving!$C$12</f>
        <v>3</v>
      </c>
      <c r="I59" s="93" t="n">
        <f aca="false">Serving!$C$12</f>
        <v>3</v>
      </c>
      <c r="J59" s="93" t="n">
        <f aca="false">Serving!$C$12</f>
        <v>3</v>
      </c>
      <c r="K59" s="93" t="n">
        <f aca="false">Serving!$C$12</f>
        <v>3</v>
      </c>
      <c r="L59" s="93" t="n">
        <f aca="false">Serving!$C$12</f>
        <v>3</v>
      </c>
      <c r="M59" s="93" t="n">
        <f aca="false">Serving!$C$12</f>
        <v>3</v>
      </c>
      <c r="N59" s="93" t="n">
        <f aca="false">Serving!$C$12</f>
        <v>3</v>
      </c>
      <c r="O59" s="93" t="n">
        <f aca="false">Serving!$C$12</f>
        <v>3</v>
      </c>
      <c r="P59" s="93" t="n">
        <f aca="false">Serving!$C$12</f>
        <v>3</v>
      </c>
      <c r="Q59" s="93" t="n">
        <f aca="false">Serving!$C$12</f>
        <v>3</v>
      </c>
      <c r="R59" s="93" t="n">
        <f aca="false">Serving!$C$12</f>
        <v>3</v>
      </c>
      <c r="S59" s="93" t="n">
        <f aca="false">Serving!$C$12</f>
        <v>3</v>
      </c>
    </row>
    <row r="60" customFormat="false" ht="15" hidden="false" customHeight="false" outlineLevel="0" collapsed="false">
      <c r="A60" s="45" t="s">
        <v>671</v>
      </c>
      <c r="B60" s="45" t="s">
        <v>57</v>
      </c>
      <c r="C60" s="81" t="n">
        <f aca="false">Serving!$C$13</f>
        <v>0.7</v>
      </c>
      <c r="D60" s="81" t="n">
        <f aca="false">Serving!$C$13</f>
        <v>0.7</v>
      </c>
      <c r="E60" s="81" t="n">
        <f aca="false">Serving!$C$13</f>
        <v>0.7</v>
      </c>
      <c r="F60" s="81" t="n">
        <f aca="false">Serving!$C$13</f>
        <v>0.7</v>
      </c>
      <c r="G60" s="81" t="n">
        <f aca="false">Serving!$C$13</f>
        <v>0.7</v>
      </c>
      <c r="H60" s="81" t="n">
        <f aca="false">Serving!$C$13</f>
        <v>0.7</v>
      </c>
      <c r="I60" s="81" t="n">
        <f aca="false">Serving!$C$13</f>
        <v>0.7</v>
      </c>
      <c r="J60" s="81" t="n">
        <f aca="false">Serving!$C$13</f>
        <v>0.7</v>
      </c>
      <c r="K60" s="81" t="n">
        <f aca="false">Serving!$C$13</f>
        <v>0.7</v>
      </c>
      <c r="L60" s="81" t="n">
        <f aca="false">Serving!$C$13</f>
        <v>0.7</v>
      </c>
      <c r="M60" s="81" t="n">
        <f aca="false">Serving!$C$13</f>
        <v>0.7</v>
      </c>
      <c r="N60" s="81" t="n">
        <f aca="false">Serving!$C$13</f>
        <v>0.7</v>
      </c>
      <c r="O60" s="81" t="n">
        <f aca="false">Serving!$C$13</f>
        <v>0.7</v>
      </c>
      <c r="P60" s="81" t="n">
        <f aca="false">Serving!$C$13</f>
        <v>0.7</v>
      </c>
      <c r="Q60" s="81" t="n">
        <f aca="false">Serving!$C$13</f>
        <v>0.7</v>
      </c>
      <c r="R60" s="81" t="n">
        <f aca="false">Serving!$C$13</f>
        <v>0.7</v>
      </c>
      <c r="S60" s="81" t="n">
        <f aca="false">Serving!$C$13</f>
        <v>0.7</v>
      </c>
    </row>
    <row r="61" customFormat="false" ht="15" hidden="false" customHeight="false" outlineLevel="0" collapsed="false">
      <c r="A61" s="45" t="s">
        <v>672</v>
      </c>
      <c r="B61" s="45" t="s">
        <v>57</v>
      </c>
      <c r="C61" s="81" t="n">
        <f aca="false">Serving!$C$14</f>
        <v>0.7</v>
      </c>
      <c r="D61" s="81" t="n">
        <f aca="false">Serving!$C$14</f>
        <v>0.7</v>
      </c>
      <c r="E61" s="81" t="n">
        <f aca="false">Serving!$C$14</f>
        <v>0.7</v>
      </c>
      <c r="F61" s="81" t="n">
        <f aca="false">Serving!$C$14</f>
        <v>0.7</v>
      </c>
      <c r="G61" s="81" t="n">
        <f aca="false">Serving!$C$14</f>
        <v>0.7</v>
      </c>
      <c r="H61" s="81" t="n">
        <f aca="false">Serving!$C$14</f>
        <v>0.7</v>
      </c>
      <c r="I61" s="81" t="n">
        <f aca="false">Serving!$C$14</f>
        <v>0.7</v>
      </c>
      <c r="J61" s="81" t="n">
        <f aca="false">Serving!$C$14</f>
        <v>0.7</v>
      </c>
      <c r="K61" s="81" t="n">
        <f aca="false">Serving!$C$14</f>
        <v>0.7</v>
      </c>
      <c r="L61" s="81" t="n">
        <f aca="false">Serving!$C$14</f>
        <v>0.7</v>
      </c>
      <c r="M61" s="81" t="n">
        <f aca="false">Serving!$C$14</f>
        <v>0.7</v>
      </c>
      <c r="N61" s="81" t="n">
        <f aca="false">Serving!$C$14</f>
        <v>0.7</v>
      </c>
      <c r="O61" s="81" t="n">
        <f aca="false">Serving!$C$14</f>
        <v>0.7</v>
      </c>
      <c r="P61" s="81" t="n">
        <f aca="false">Serving!$C$14</f>
        <v>0.7</v>
      </c>
      <c r="Q61" s="81" t="n">
        <f aca="false">Serving!$C$14</f>
        <v>0.7</v>
      </c>
      <c r="R61" s="81" t="n">
        <f aca="false">Serving!$C$14</f>
        <v>0.7</v>
      </c>
      <c r="S61" s="81" t="n">
        <f aca="false">Serving!$C$14</f>
        <v>0.7</v>
      </c>
    </row>
    <row r="62" customFormat="false" ht="15" hidden="false" customHeight="false" outlineLevel="0" collapsed="false">
      <c r="A62" s="44" t="s">
        <v>673</v>
      </c>
      <c r="B62" s="45" t="s">
        <v>395</v>
      </c>
      <c r="C62" s="79" t="n">
        <f aca="false">Serving!$C$15</f>
        <v>0.1</v>
      </c>
      <c r="D62" s="79" t="n">
        <f aca="false">Serving!$C$15</f>
        <v>0.1</v>
      </c>
      <c r="E62" s="79" t="n">
        <f aca="false">Serving!$C$15</f>
        <v>0.1</v>
      </c>
      <c r="F62" s="79" t="n">
        <f aca="false">Serving!$C$15</f>
        <v>0.1</v>
      </c>
      <c r="G62" s="79" t="n">
        <f aca="false">Serving!$C$15</f>
        <v>0.1</v>
      </c>
      <c r="H62" s="79" t="n">
        <f aca="false">Serving!$C$15</f>
        <v>0.1</v>
      </c>
      <c r="I62" s="79" t="n">
        <f aca="false">Serving!$C$15</f>
        <v>0.1</v>
      </c>
      <c r="J62" s="79" t="n">
        <f aca="false">Serving!$C$15</f>
        <v>0.1</v>
      </c>
      <c r="K62" s="79" t="n">
        <f aca="false">Serving!$C$15</f>
        <v>0.1</v>
      </c>
      <c r="L62" s="79" t="n">
        <f aca="false">Serving!$C$15</f>
        <v>0.1</v>
      </c>
      <c r="M62" s="79" t="n">
        <f aca="false">Serving!$C$15</f>
        <v>0.1</v>
      </c>
      <c r="N62" s="79" t="n">
        <f aca="false">Serving!$C$15</f>
        <v>0.1</v>
      </c>
      <c r="O62" s="79" t="n">
        <f aca="false">Serving!$C$15</f>
        <v>0.1</v>
      </c>
      <c r="P62" s="79" t="n">
        <f aca="false">Serving!$C$15</f>
        <v>0.1</v>
      </c>
      <c r="Q62" s="79" t="n">
        <f aca="false">Serving!$C$15</f>
        <v>0.1</v>
      </c>
      <c r="R62" s="79" t="n">
        <f aca="false">Serving!$C$15</f>
        <v>0.1</v>
      </c>
      <c r="S62" s="79" t="n">
        <f aca="false">Serving!$C$15</f>
        <v>0.1</v>
      </c>
    </row>
    <row r="63" customFormat="false" ht="15" hidden="false" customHeight="false" outlineLevel="0" collapsed="false">
      <c r="A63" s="72" t="s">
        <v>674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customFormat="false" ht="15" hidden="false" customHeight="false" outlineLevel="0" collapsed="false">
      <c r="A64" s="45" t="s">
        <v>675</v>
      </c>
      <c r="B64" s="45" t="s">
        <v>236</v>
      </c>
      <c r="C64" s="56" t="n">
        <f aca="false">C36*IF(C37=0,C45,MIN(C45,C37))+(1-C36)*(C45/C38+C39)</f>
        <v>2208</v>
      </c>
      <c r="D64" s="56" t="n">
        <f aca="false">D36*IF(D37=0,D45,MIN(D45,D37))+(1-D36)*(D45/D38+D39)</f>
        <v>2240</v>
      </c>
      <c r="E64" s="56" t="n">
        <f aca="false">E36*IF(E37=0,E45,MIN(E45,E37))+(1-E36)*(E45/E38+E39)</f>
        <v>32768</v>
      </c>
      <c r="F64" s="56" t="n">
        <f aca="false">F36*IF(F37=0,F45,MIN(F45,F37))+(1-F36)*(F45/F38+F39)</f>
        <v>2208</v>
      </c>
      <c r="G64" s="56" t="n">
        <f aca="false">G36*IF(G37=0,G45,MIN(G45,G37))+(1-G36)*(G45/G38+G39)</f>
        <v>2240</v>
      </c>
      <c r="H64" s="56" t="n">
        <f aca="false">H36*IF(H37=0,H45,MIN(H45,H37))+(1-H36)*(H45/H38+H39)</f>
        <v>32768</v>
      </c>
      <c r="I64" s="56" t="n">
        <f aca="false">I36*IF(I37=0,I45,MIN(I45,I37))+(1-I36)*(I45/I38+I39)</f>
        <v>2208</v>
      </c>
      <c r="J64" s="56" t="n">
        <f aca="false">J36*IF(J37=0,J45,MIN(J45,J37))+(1-J36)*(J45/J38+J39)</f>
        <v>2240</v>
      </c>
      <c r="K64" s="56" t="n">
        <f aca="false">K36*IF(K37=0,K45,MIN(K45,K37))+(1-K36)*(K45/K38+K39)</f>
        <v>32768</v>
      </c>
      <c r="L64" s="56" t="n">
        <f aca="false">L36*IF(L37=0,L45,MIN(L45,L37))+(1-L36)*(L45/L38+L39)</f>
        <v>2208</v>
      </c>
      <c r="M64" s="56" t="n">
        <f aca="false">M36*IF(M37=0,M45,MIN(M45,M37))+(1-M36)*(M45/M38+M39)</f>
        <v>2240</v>
      </c>
      <c r="N64" s="56" t="n">
        <f aca="false">N36*IF(N37=0,N45,MIN(N45,N37))+(1-N36)*(N45/N38+N39)</f>
        <v>32768</v>
      </c>
      <c r="O64" s="56" t="n">
        <f aca="false">O36*IF(O37=0,O45,MIN(O45,O37))+(1-O36)*(O45/O38+O39)</f>
        <v>2208</v>
      </c>
      <c r="P64" s="56" t="n">
        <f aca="false">P36*IF(P37=0,P45,MIN(P45,P37))+(1-P36)*(P45/P38+P39)</f>
        <v>2240</v>
      </c>
      <c r="Q64" s="56" t="n">
        <f aca="false">Q36*IF(Q37=0,Q45,MIN(Q45,Q37))+(1-Q36)*(Q45/Q38+Q39)</f>
        <v>32768</v>
      </c>
      <c r="R64" s="56" t="n">
        <f aca="false">R36*IF(R37=0,R45,MIN(R45,R37))+(1-R36)*(R45/R38+R39)</f>
        <v>2240</v>
      </c>
      <c r="S64" s="56" t="n">
        <f aca="false">S36*IF(S37=0,S45,MIN(S45,S37))+(1-S36)*(S45/S38+S39)</f>
        <v>32768</v>
      </c>
    </row>
    <row r="65" customFormat="false" ht="15" hidden="false" customHeight="false" outlineLevel="0" collapsed="false">
      <c r="A65" s="45" t="s">
        <v>408</v>
      </c>
      <c r="B65" s="45" t="s">
        <v>409</v>
      </c>
      <c r="C65" s="55" t="n">
        <f aca="false">(2*C28*1000000000+C35*C64)*C10/1000000000</f>
        <v>38.444499968</v>
      </c>
      <c r="D65" s="55" t="n">
        <f aca="false">(2*D28*1000000000+D35*D64)*D10/1000000000</f>
        <v>133.81935616</v>
      </c>
      <c r="E65" s="55" t="n">
        <f aca="false">(2*E28*1000000000+E35*E64)*E10/1000000000</f>
        <v>521.0612736</v>
      </c>
      <c r="F65" s="55" t="n">
        <f aca="false">(2*F28*1000000000+F35*F64)*F10/1000000000</f>
        <v>38.444499968</v>
      </c>
      <c r="G65" s="55" t="n">
        <f aca="false">(2*G28*1000000000+G35*G64)*G10/1000000000</f>
        <v>133.81935616</v>
      </c>
      <c r="H65" s="55" t="n">
        <f aca="false">(2*H28*1000000000+H35*H64)*H10/1000000000</f>
        <v>521.0612736</v>
      </c>
      <c r="I65" s="55" t="n">
        <f aca="false">(2*I28*1000000000+I35*I64)*I10/1000000000</f>
        <v>38.444499968</v>
      </c>
      <c r="J65" s="55" t="n">
        <f aca="false">(2*J28*1000000000+J35*J64)*J10/1000000000</f>
        <v>133.81935616</v>
      </c>
      <c r="K65" s="55" t="n">
        <f aca="false">(2*K28*1000000000+K35*K64)*K10/1000000000</f>
        <v>521.0612736</v>
      </c>
      <c r="L65" s="55" t="n">
        <f aca="false">(2*L28*1000000000+L35*L64)*L10/1000000000</f>
        <v>38.444499968</v>
      </c>
      <c r="M65" s="55" t="n">
        <f aca="false">(2*M28*1000000000+M35*M64)*M10/1000000000</f>
        <v>133.81935616</v>
      </c>
      <c r="N65" s="55" t="n">
        <f aca="false">(2*N28*1000000000+N35*N64)*N10/1000000000</f>
        <v>521.0612736</v>
      </c>
      <c r="O65" s="55" t="n">
        <f aca="false">(2*O28*1000000000+O35*O64)*O10/1000000000</f>
        <v>38.444499968</v>
      </c>
      <c r="P65" s="55" t="n">
        <f aca="false">(2*P28*1000000000+P35*P64)*P10/1000000000</f>
        <v>133.81935616</v>
      </c>
      <c r="Q65" s="55" t="n">
        <f aca="false">(2*Q28*1000000000+Q35*Q64)*Q10/1000000000</f>
        <v>521.0612736</v>
      </c>
      <c r="R65" s="55" t="n">
        <f aca="false">(2*R28*1000000000+R35*R64)*R10/1000000000</f>
        <v>133.81935616</v>
      </c>
      <c r="S65" s="55" t="n">
        <f aca="false">(2*S28*1000000000+S35*S64)*S10/1000000000</f>
        <v>521.0612736</v>
      </c>
    </row>
    <row r="66" customFormat="false" ht="15" hidden="false" customHeight="false" outlineLevel="0" collapsed="false">
      <c r="A66" s="45" t="s">
        <v>676</v>
      </c>
      <c r="B66" s="45" t="s">
        <v>236</v>
      </c>
      <c r="C66" s="56" t="n">
        <f aca="false">C36*IF(C37=0,C46,MIN(C46,C37))+(1-C36)*(C46/C38+C39)</f>
        <v>1096</v>
      </c>
      <c r="D66" s="56" t="n">
        <f aca="false">D36*IF(D37=0,D46,MIN(D46,D37))+(1-D36)*(D46/D38+D39)</f>
        <v>2128</v>
      </c>
      <c r="E66" s="56" t="n">
        <f aca="false">E36*IF(E37=0,E46,MIN(E46,E37))+(1-E36)*(E46/E38+E39)</f>
        <v>8192</v>
      </c>
      <c r="F66" s="56" t="n">
        <f aca="false">F36*IF(F37=0,F46,MIN(F46,F37))+(1-F36)*(F46/F38+F39)</f>
        <v>1096</v>
      </c>
      <c r="G66" s="56" t="n">
        <f aca="false">G36*IF(G37=0,G46,MIN(G46,G37))+(1-G36)*(G46/G38+G39)</f>
        <v>2128</v>
      </c>
      <c r="H66" s="56" t="n">
        <f aca="false">H36*IF(H37=0,H46,MIN(H46,H37))+(1-H36)*(H46/H38+H39)</f>
        <v>8192</v>
      </c>
      <c r="I66" s="56" t="n">
        <f aca="false">I36*IF(I37=0,I46,MIN(I46,I37))+(1-I36)*(I46/I38+I39)</f>
        <v>1096</v>
      </c>
      <c r="J66" s="56" t="n">
        <f aca="false">J36*IF(J37=0,J46,MIN(J46,J37))+(1-J36)*(J46/J38+J39)</f>
        <v>2128</v>
      </c>
      <c r="K66" s="56" t="n">
        <f aca="false">K36*IF(K37=0,K46,MIN(K46,K37))+(1-K36)*(K46/K38+K39)</f>
        <v>8192</v>
      </c>
      <c r="L66" s="56" t="n">
        <f aca="false">L36*IF(L37=0,L46,MIN(L46,L37))+(1-L36)*(L46/L38+L39)</f>
        <v>1096</v>
      </c>
      <c r="M66" s="56" t="n">
        <f aca="false">M36*IF(M37=0,M46,MIN(M46,M37))+(1-M36)*(M46/M38+M39)</f>
        <v>2128</v>
      </c>
      <c r="N66" s="56" t="n">
        <f aca="false">N36*IF(N37=0,N46,MIN(N46,N37))+(1-N36)*(N46/N38+N39)</f>
        <v>8192</v>
      </c>
      <c r="O66" s="56" t="n">
        <f aca="false">O36*IF(O37=0,O46,MIN(O46,O37))+(1-O36)*(O46/O38+O39)</f>
        <v>1096</v>
      </c>
      <c r="P66" s="56" t="n">
        <f aca="false">P36*IF(P37=0,P46,MIN(P46,P37))+(1-P36)*(P46/P38+P39)</f>
        <v>2128</v>
      </c>
      <c r="Q66" s="56" t="n">
        <f aca="false">Q36*IF(Q37=0,Q46,MIN(Q46,Q37))+(1-Q36)*(Q46/Q38+Q39)</f>
        <v>8192</v>
      </c>
      <c r="R66" s="56" t="n">
        <f aca="false">R36*IF(R37=0,R46,MIN(R46,R37))+(1-R36)*(R46/R38+R39)</f>
        <v>2128</v>
      </c>
      <c r="S66" s="56" t="n">
        <f aca="false">S36*IF(S37=0,S46,MIN(S46,S37))+(1-S36)*(S46/S38+S39)</f>
        <v>8192</v>
      </c>
    </row>
    <row r="67" customFormat="false" ht="15" hidden="false" customHeight="false" outlineLevel="0" collapsed="false">
      <c r="A67" s="45" t="s">
        <v>411</v>
      </c>
      <c r="B67" s="45" t="s">
        <v>409</v>
      </c>
      <c r="C67" s="55" t="n">
        <f aca="false">(2*C28*1000000000+C35*C66)*C10/1000000000</f>
        <v>32.177161216</v>
      </c>
      <c r="D67" s="55" t="n">
        <f aca="false">(2*D28*1000000000+D35*D66)*D10/1000000000</f>
        <v>132.028388352</v>
      </c>
      <c r="E67" s="55" t="n">
        <f aca="false">(2*E28*1000000000+E35*E66)*E10/1000000000</f>
        <v>400.2653184</v>
      </c>
      <c r="F67" s="55" t="n">
        <f aca="false">(2*F28*1000000000+F35*F66)*F10/1000000000</f>
        <v>32.177161216</v>
      </c>
      <c r="G67" s="55" t="n">
        <f aca="false">(2*G28*1000000000+G35*G66)*G10/1000000000</f>
        <v>132.028388352</v>
      </c>
      <c r="H67" s="55" t="n">
        <f aca="false">(2*H28*1000000000+H35*H66)*H10/1000000000</f>
        <v>400.2653184</v>
      </c>
      <c r="I67" s="55" t="n">
        <f aca="false">(2*I28*1000000000+I35*I66)*I10/1000000000</f>
        <v>32.177161216</v>
      </c>
      <c r="J67" s="55" t="n">
        <f aca="false">(2*J28*1000000000+J35*J66)*J10/1000000000</f>
        <v>132.028388352</v>
      </c>
      <c r="K67" s="55" t="n">
        <f aca="false">(2*K28*1000000000+K35*K66)*K10/1000000000</f>
        <v>400.2653184</v>
      </c>
      <c r="L67" s="55" t="n">
        <f aca="false">(2*L28*1000000000+L35*L66)*L10/1000000000</f>
        <v>32.177161216</v>
      </c>
      <c r="M67" s="55" t="n">
        <f aca="false">(2*M28*1000000000+M35*M66)*M10/1000000000</f>
        <v>132.028388352</v>
      </c>
      <c r="N67" s="55" t="n">
        <f aca="false">(2*N28*1000000000+N35*N66)*N10/1000000000</f>
        <v>400.2653184</v>
      </c>
      <c r="O67" s="55" t="n">
        <f aca="false">(2*O28*1000000000+O35*O66)*O10/1000000000</f>
        <v>32.177161216</v>
      </c>
      <c r="P67" s="55" t="n">
        <f aca="false">(2*P28*1000000000+P35*P66)*P10/1000000000</f>
        <v>132.028388352</v>
      </c>
      <c r="Q67" s="55" t="n">
        <f aca="false">(2*Q28*1000000000+Q35*Q66)*Q10/1000000000</f>
        <v>400.2653184</v>
      </c>
      <c r="R67" s="55" t="n">
        <f aca="false">(2*R28*1000000000+R35*R66)*R10/1000000000</f>
        <v>132.028388352</v>
      </c>
      <c r="S67" s="55" t="n">
        <f aca="false">(2*S28*1000000000+S35*S66)*S10/1000000000</f>
        <v>400.2653184</v>
      </c>
    </row>
    <row r="68" customFormat="false" ht="15" hidden="false" customHeight="false" outlineLevel="0" collapsed="false">
      <c r="A68" s="72" t="s">
        <v>677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</row>
    <row r="69" customFormat="false" ht="15" hidden="false" customHeight="false" outlineLevel="0" collapsed="false">
      <c r="A69" s="44" t="s">
        <v>412</v>
      </c>
      <c r="B69" s="45" t="s">
        <v>261</v>
      </c>
      <c r="C69" s="56" t="n">
        <f aca="false">C15*(1-C56)</f>
        <v>72</v>
      </c>
      <c r="D69" s="56" t="n">
        <f aca="false">D15*(1-D56)</f>
        <v>72</v>
      </c>
      <c r="E69" s="56" t="n">
        <f aca="false">E15*(1-E56)</f>
        <v>72</v>
      </c>
      <c r="F69" s="56" t="n">
        <f aca="false">F15*(1-F56)</f>
        <v>167.4</v>
      </c>
      <c r="G69" s="56" t="n">
        <f aca="false">G15*(1-G56)</f>
        <v>167.4</v>
      </c>
      <c r="H69" s="56" t="n">
        <f aca="false">H15*(1-H56)</f>
        <v>167.4</v>
      </c>
      <c r="I69" s="56" t="n">
        <f aca="false">I15*(1-I56)</f>
        <v>259.2</v>
      </c>
      <c r="J69" s="56" t="n">
        <f aca="false">J15*(1-J56)</f>
        <v>259.2</v>
      </c>
      <c r="K69" s="56" t="n">
        <f aca="false">K15*(1-K56)</f>
        <v>259.2</v>
      </c>
      <c r="L69" s="56" t="n">
        <f aca="false">L15*(1-L56)</f>
        <v>259.2</v>
      </c>
      <c r="M69" s="56" t="n">
        <f aca="false">M15*(1-M56)</f>
        <v>259.2</v>
      </c>
      <c r="N69" s="56" t="n">
        <f aca="false">N15*(1-N56)</f>
        <v>259.2</v>
      </c>
      <c r="O69" s="56" t="n">
        <f aca="false">O15*(1-O56)</f>
        <v>921.6</v>
      </c>
      <c r="P69" s="56" t="n">
        <f aca="false">P15*(1-P56)</f>
        <v>921.6</v>
      </c>
      <c r="Q69" s="56" t="n">
        <f aca="false">Q15*(1-Q56)</f>
        <v>921.6</v>
      </c>
      <c r="R69" s="56" t="n">
        <f aca="false">R15*(1-R56)</f>
        <v>259.2</v>
      </c>
      <c r="S69" s="56" t="n">
        <f aca="false">S15*(1-S56)</f>
        <v>259.2</v>
      </c>
    </row>
    <row r="70" customFormat="false" ht="15" hidden="false" customHeight="false" outlineLevel="0" collapsed="false">
      <c r="A70" s="44" t="s">
        <v>678</v>
      </c>
      <c r="B70" s="44"/>
      <c r="C70" s="96" t="n">
        <f aca="false">MAX(1,CEILING(C32*C20/(C57*C69),1))</f>
        <v>1</v>
      </c>
      <c r="D70" s="96" t="n">
        <f aca="false">MAX(1,CEILING(D32*D20/(D57*D69),1))</f>
        <v>2</v>
      </c>
      <c r="E70" s="96" t="n">
        <f aca="false">MAX(1,CEILING(E32*E20/(E57*E69),1))</f>
        <v>4</v>
      </c>
      <c r="F70" s="96" t="n">
        <f aca="false">MAX(1,CEILING(F32*F20/(F57*F69),1))</f>
        <v>1</v>
      </c>
      <c r="G70" s="96" t="n">
        <f aca="false">MAX(1,CEILING(G32*G20/(G57*G69),1))</f>
        <v>1</v>
      </c>
      <c r="H70" s="96" t="n">
        <f aca="false">MAX(1,CEILING(H32*H20/(H57*H69),1))</f>
        <v>2</v>
      </c>
      <c r="I70" s="96" t="n">
        <f aca="false">MAX(1,CEILING(I32*I20/(I57*I69),1))</f>
        <v>1</v>
      </c>
      <c r="J70" s="96" t="n">
        <f aca="false">MAX(1,CEILING(J32*J20/(J57*J69),1))</f>
        <v>1</v>
      </c>
      <c r="K70" s="96" t="n">
        <f aca="false">MAX(1,CEILING(K32*K20/(K57*K69),1))</f>
        <v>1</v>
      </c>
      <c r="L70" s="96" t="n">
        <f aca="false">MAX(1,CEILING(L32*L20/(L57*L69),1))</f>
        <v>1</v>
      </c>
      <c r="M70" s="96" t="n">
        <f aca="false">MAX(1,CEILING(M32*M20/(M57*M69),1))</f>
        <v>1</v>
      </c>
      <c r="N70" s="96" t="n">
        <f aca="false">MAX(1,CEILING(N32*N20/(N57*N69),1))</f>
        <v>1</v>
      </c>
      <c r="O70" s="96" t="n">
        <f aca="false">MAX(1,CEILING(O32*O20/(O57*O69),1))</f>
        <v>1</v>
      </c>
      <c r="P70" s="96" t="n">
        <f aca="false">MAX(1,CEILING(P32*P20/(P57*P69),1))</f>
        <v>1</v>
      </c>
      <c r="Q70" s="96" t="n">
        <f aca="false">MAX(1,CEILING(Q32*Q20/(Q57*Q69),1))</f>
        <v>1</v>
      </c>
      <c r="R70" s="96" t="n">
        <f aca="false">MAX(1,CEILING(R32*R20/(R57*R69),1))</f>
        <v>1</v>
      </c>
      <c r="S70" s="96" t="n">
        <f aca="false">MAX(1,CEILING(S32*S20/(S57*S69),1))</f>
        <v>1</v>
      </c>
    </row>
    <row r="71" customFormat="false" ht="15" hidden="false" customHeight="false" outlineLevel="0" collapsed="false">
      <c r="A71" s="45" t="s">
        <v>679</v>
      </c>
      <c r="B71" s="45" t="s">
        <v>639</v>
      </c>
      <c r="C71" s="56" t="n">
        <f aca="false">MAX(C18,CEILING(C33*C19/(C58*C69),1))</f>
        <v>64</v>
      </c>
      <c r="D71" s="56" t="n">
        <f aca="false">MAX(D18,CEILING(D33*D19/(D58*D69),1))</f>
        <v>64</v>
      </c>
      <c r="E71" s="56" t="n">
        <f aca="false">MAX(E18,CEILING(E33*E19/(E58*E69),1))</f>
        <v>138</v>
      </c>
      <c r="F71" s="56" t="n">
        <f aca="false">MAX(F18,CEILING(F33*F19/(F58*F69),1))</f>
        <v>32</v>
      </c>
      <c r="G71" s="56" t="n">
        <f aca="false">MAX(G18,CEILING(G33*G19/(G58*G69),1))</f>
        <v>32</v>
      </c>
      <c r="H71" s="56" t="n">
        <f aca="false">MAX(H18,CEILING(H33*H19/(H58*H69),1))</f>
        <v>34</v>
      </c>
      <c r="I71" s="56" t="n">
        <f aca="false">MAX(I18,CEILING(I33*I19/(I58*I69),1))</f>
        <v>32</v>
      </c>
      <c r="J71" s="56" t="n">
        <f aca="false">MAX(J18,CEILING(J33*J19/(J58*J69),1))</f>
        <v>32</v>
      </c>
      <c r="K71" s="56" t="n">
        <f aca="false">MAX(K18,CEILING(K33*K19/(K58*K69),1))</f>
        <v>32</v>
      </c>
      <c r="L71" s="56" t="n">
        <f aca="false">MAX(L18,CEILING(L33*L19/(L58*L69),1))</f>
        <v>32</v>
      </c>
      <c r="M71" s="56" t="n">
        <f aca="false">MAX(M18,CEILING(M33*M19/(M58*M69),1))</f>
        <v>32</v>
      </c>
      <c r="N71" s="56" t="n">
        <f aca="false">MAX(N18,CEILING(N33*N19/(N58*N69),1))</f>
        <v>32</v>
      </c>
      <c r="O71" s="56" t="n">
        <f aca="false">MAX(O18,CEILING(O33*O19/(O58*O69),1))</f>
        <v>64</v>
      </c>
      <c r="P71" s="56" t="n">
        <f aca="false">MAX(P18,CEILING(P33*P19/(P58*P69),1))</f>
        <v>64</v>
      </c>
      <c r="Q71" s="56" t="n">
        <f aca="false">MAX(Q18,CEILING(Q33*Q19/(Q58*Q69),1))</f>
        <v>64</v>
      </c>
      <c r="R71" s="56" t="n">
        <f aca="false">MAX(R18,CEILING(R33*R19/(R58*R69),1))</f>
        <v>32</v>
      </c>
      <c r="S71" s="56" t="n">
        <f aca="false">MAX(S18,CEILING(S33*S19/(S58*S69),1))</f>
        <v>39</v>
      </c>
    </row>
    <row r="72" customFormat="false" ht="15" hidden="false" customHeight="false" outlineLevel="0" collapsed="false">
      <c r="A72" s="44" t="s">
        <v>415</v>
      </c>
      <c r="B72" s="45" t="s">
        <v>261</v>
      </c>
      <c r="C72" s="55" t="n">
        <f aca="false">C32*C20/C70+C33*C19/C71</f>
        <v>9.7649375</v>
      </c>
      <c r="D72" s="55" t="n">
        <f aca="false">D32*D20/D70+D33*D19/D71</f>
        <v>34.8220486111111</v>
      </c>
      <c r="E72" s="55" t="n">
        <f aca="false">E32*E20/E70+E33*E19/E71</f>
        <v>40.898053997195</v>
      </c>
      <c r="F72" s="55" t="n">
        <f aca="false">F32*F20/F70+F33*F19/F71</f>
        <v>10.3090546875</v>
      </c>
      <c r="G72" s="55" t="n">
        <f aca="false">G32*G20/G70+G33*G19/G71</f>
        <v>48.0463324652778</v>
      </c>
      <c r="H72" s="55" t="n">
        <f aca="false">H32*H20/H70+H33*H19/H71</f>
        <v>89.9008983633776</v>
      </c>
      <c r="I72" s="55" t="n">
        <f aca="false">I32*I20/I70+I33*I19/I71</f>
        <v>10.3090546875</v>
      </c>
      <c r="J72" s="55" t="n">
        <f aca="false">J32*J20/J70+J33*J19/J71</f>
        <v>48.0463324652778</v>
      </c>
      <c r="K72" s="55" t="n">
        <f aca="false">K32*K20/K70+K33*K19/K71</f>
        <v>118.522476688508</v>
      </c>
      <c r="L72" s="55" t="n">
        <f aca="false">L32*L20/L70+L33*L19/L71</f>
        <v>10.3090546875</v>
      </c>
      <c r="M72" s="55" t="n">
        <f aca="false">M32*M20/M70+M33*M19/M71</f>
        <v>48.0463324652778</v>
      </c>
      <c r="N72" s="55" t="n">
        <f aca="false">N32*N20/N70+N33*N19/N71</f>
        <v>118.522476688508</v>
      </c>
      <c r="O72" s="55" t="n">
        <f aca="false">O32*O20/O70+O33*O19/O71</f>
        <v>7.86052734375</v>
      </c>
      <c r="P72" s="55" t="n">
        <f aca="false">P32*P20/P70+P33*P19/P71</f>
        <v>34.1620551215278</v>
      </c>
      <c r="Q72" s="55" t="n">
        <f aca="false">Q32*Q20/Q70+Q33*Q19/Q71</f>
        <v>83.7975286668347</v>
      </c>
      <c r="R72" s="55" t="n">
        <f aca="false">R32*R20/R70+R33*R19/R71</f>
        <v>69.6440972222222</v>
      </c>
      <c r="S72" s="55" t="n">
        <f aca="false">S32*S20/S70+S33*S19/S71</f>
        <v>150.37841191067</v>
      </c>
    </row>
    <row r="73" customFormat="false" ht="15" hidden="false" customHeight="false" outlineLevel="0" collapsed="false">
      <c r="A73" s="44" t="s">
        <v>680</v>
      </c>
      <c r="B73" s="45" t="s">
        <v>57</v>
      </c>
      <c r="C73" s="67" t="n">
        <f aca="false">C72/C69</f>
        <v>0.135624131944444</v>
      </c>
      <c r="D73" s="67" t="n">
        <f aca="false">D72/D69</f>
        <v>0.48363956404321</v>
      </c>
      <c r="E73" s="67" t="n">
        <f aca="false">E72/E69</f>
        <v>0.568028527738819</v>
      </c>
      <c r="F73" s="67" t="n">
        <f aca="false">F72/F69</f>
        <v>0.0615833613351255</v>
      </c>
      <c r="G73" s="67" t="n">
        <f aca="false">G72/G69</f>
        <v>0.287015128227466</v>
      </c>
      <c r="H73" s="67" t="n">
        <f aca="false">H72/H69</f>
        <v>0.537042403604406</v>
      </c>
      <c r="I73" s="67" t="n">
        <f aca="false">I72/I69</f>
        <v>0.0397725875289352</v>
      </c>
      <c r="J73" s="67" t="n">
        <f aca="false">J72/J69</f>
        <v>0.185363936980238</v>
      </c>
      <c r="K73" s="67" t="n">
        <f aca="false">K72/K69</f>
        <v>0.45726264154517</v>
      </c>
      <c r="L73" s="67" t="n">
        <f aca="false">L72/L69</f>
        <v>0.0397725875289352</v>
      </c>
      <c r="M73" s="67" t="n">
        <f aca="false">M72/M69</f>
        <v>0.185363936980238</v>
      </c>
      <c r="N73" s="67" t="n">
        <f aca="false">N72/N69</f>
        <v>0.45726264154517</v>
      </c>
      <c r="O73" s="67" t="n">
        <f aca="false">O72/O69</f>
        <v>0.00852921803792318</v>
      </c>
      <c r="P73" s="67" t="n">
        <f aca="false">P72/P69</f>
        <v>0.0370682021717966</v>
      </c>
      <c r="Q73" s="67" t="n">
        <f aca="false">Q72/Q69</f>
        <v>0.0909261378763397</v>
      </c>
      <c r="R73" s="67" t="n">
        <f aca="false">R72/R69</f>
        <v>0.268688646690672</v>
      </c>
      <c r="S73" s="67" t="n">
        <f aca="false">S72/S69</f>
        <v>0.580163626198573</v>
      </c>
    </row>
    <row r="74" customFormat="false" ht="15" hidden="false" customHeight="false" outlineLevel="0" collapsed="false">
      <c r="A74" s="72" t="s">
        <v>681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customFormat="false" ht="15" hidden="false" customHeight="false" outlineLevel="0" collapsed="false">
      <c r="A75" s="45" t="s">
        <v>682</v>
      </c>
      <c r="B75" s="45" t="s">
        <v>300</v>
      </c>
      <c r="C75" s="56" t="n">
        <f aca="false">C51*C14*1000000000000000/(C67*1000000000)</f>
        <v>9225.48754401592</v>
      </c>
      <c r="D75" s="56" t="n">
        <f aca="false">D51*D14*1000000000000000/(D67*1000000000)</f>
        <v>2248.38009238263</v>
      </c>
      <c r="E75" s="56" t="n">
        <f aca="false">E51*E14*1000000000000000/(E67*1000000000)</f>
        <v>741.633077746063</v>
      </c>
      <c r="F75" s="56" t="n">
        <f aca="false">F51*F14*1000000000000000/(F67*1000000000)</f>
        <v>93233.8306621113</v>
      </c>
      <c r="G75" s="56" t="n">
        <f aca="false">G51*G14*1000000000000000/(G67*1000000000)</f>
        <v>22722.3859765804</v>
      </c>
      <c r="H75" s="56" t="n">
        <f aca="false">H51*H14*1000000000000000/(H67*1000000000)</f>
        <v>7495.02857752464</v>
      </c>
      <c r="I75" s="56" t="n">
        <f aca="false">I51*I14*1000000000000000/(I67*1000000000)</f>
        <v>139850.745993167</v>
      </c>
      <c r="J75" s="56" t="n">
        <f aca="false">J51*J14*1000000000000000/(J67*1000000000)</f>
        <v>34083.5789648707</v>
      </c>
      <c r="K75" s="56" t="n">
        <f aca="false">K51*K14*1000000000000000/(K67*1000000000)</f>
        <v>11242.542866287</v>
      </c>
      <c r="L75" s="56" t="n">
        <f aca="false">L51*L14*1000000000000000/(L67*1000000000)</f>
        <v>326318.40731739</v>
      </c>
      <c r="M75" s="56" t="n">
        <f aca="false">M51*M14*1000000000000000/(M67*1000000000)</f>
        <v>79528.3509180315</v>
      </c>
      <c r="N75" s="56" t="n">
        <f aca="false">N51*N14*1000000000000000/(N67*1000000000)</f>
        <v>26232.6000213363</v>
      </c>
      <c r="O75" s="56" t="n">
        <f aca="false">O51*O14*1000000000000000/(O67*1000000000)</f>
        <v>680606.963833413</v>
      </c>
      <c r="P75" s="56" t="n">
        <f aca="false">P51*P14*1000000000000000/(P67*1000000000)</f>
        <v>165873.417629037</v>
      </c>
      <c r="Q75" s="56" t="n">
        <f aca="false">Q51*Q14*1000000000000000/(Q67*1000000000)</f>
        <v>54713.7086159299</v>
      </c>
      <c r="R75" s="56" t="n">
        <f aca="false">R51*R14*1000000000000000/(R67*1000000000)</f>
        <v>39764.1754590158</v>
      </c>
      <c r="S75" s="56" t="n">
        <f aca="false">S51*S14*1000000000000000/(S67*1000000000)</f>
        <v>13116.3000106681</v>
      </c>
    </row>
    <row r="76" customFormat="false" ht="15" hidden="false" customHeight="false" outlineLevel="0" collapsed="false">
      <c r="A76" s="45" t="s">
        <v>683</v>
      </c>
      <c r="B76" s="45" t="s">
        <v>303</v>
      </c>
      <c r="C76" s="57" t="n">
        <f aca="false">C43*C67*1000000000/(C51*C14*1000000000000000*C21)</f>
        <v>0.0554984219053125</v>
      </c>
      <c r="D76" s="57" t="n">
        <f aca="false">D43*D67*1000000000/(D51*D14*1000000000000000*D21)</f>
        <v>0.455439008497383</v>
      </c>
      <c r="E76" s="57" t="n">
        <f aca="false">E43*E67*1000000000/(E51*E14*1000000000000000*E21)</f>
        <v>2.76147337740677</v>
      </c>
      <c r="F76" s="57" t="n">
        <f aca="false">F43*F67*1000000000/(F51*F14*1000000000000000*F21)</f>
        <v>0.0109831376950613</v>
      </c>
      <c r="G76" s="57" t="n">
        <f aca="false">G43*G67*1000000000/(G51*G14*1000000000000000*G21)</f>
        <v>0.090131379781632</v>
      </c>
      <c r="H76" s="57" t="n">
        <f aca="false">H43*H67*1000000000/(H51*H14*1000000000000000*H21)</f>
        <v>0.5464955813888</v>
      </c>
      <c r="I76" s="57" t="n">
        <f aca="false">I43*I67*1000000000/(I51*I14*1000000000000000*I21)</f>
        <v>0.00732209179670756</v>
      </c>
      <c r="J76" s="57" t="n">
        <f aca="false">J43*J67*1000000000/(J51*J14*1000000000000000*J21)</f>
        <v>0.060087586521088</v>
      </c>
      <c r="K76" s="57" t="n">
        <f aca="false">K43*K67*1000000000/(K51*K14*1000000000000000*K21)</f>
        <v>0.364330387592533</v>
      </c>
      <c r="L76" s="57" t="n">
        <f aca="false">L43*L67*1000000000/(L51*L14*1000000000000000*L21)</f>
        <v>0.0031380393414461</v>
      </c>
      <c r="M76" s="57" t="n">
        <f aca="false">M43*M67*1000000000/(M51*M14*1000000000000000*M21)</f>
        <v>0.025751822794752</v>
      </c>
      <c r="N76" s="57" t="n">
        <f aca="false">N43*N67*1000000000/(N51*N14*1000000000000000*N21)</f>
        <v>0.156141594682514</v>
      </c>
      <c r="O76" s="57" t="n">
        <f aca="false">O43*O67*1000000000/(O51*O14*1000000000000000*O21)</f>
        <v>0.000752269705141187</v>
      </c>
      <c r="P76" s="57" t="n">
        <f aca="false">P43*P67*1000000000/(P51*P14*1000000000000000*P21)</f>
        <v>0.00617338217682411</v>
      </c>
      <c r="Q76" s="57" t="n">
        <f aca="false">Q43*Q67*1000000000/(Q51*Q14*1000000000000000*Q21)</f>
        <v>0.0374312042047123</v>
      </c>
      <c r="R76" s="57" t="n">
        <f aca="false">R43*R67*1000000000/(R51*R14*1000000000000000*R21)</f>
        <v>0.051503645589504</v>
      </c>
      <c r="S76" s="57" t="n">
        <f aca="false">S43*S67*1000000000/(S51*S14*1000000000000000*S21)</f>
        <v>0.312283189365029</v>
      </c>
    </row>
    <row r="77" customFormat="false" ht="15" hidden="false" customHeight="false" outlineLevel="0" collapsed="false">
      <c r="A77" s="45" t="s">
        <v>684</v>
      </c>
      <c r="B77" s="44"/>
      <c r="C77" s="44" t="str">
        <f aca="false">IF(C76&lt;=C42,"是","否")</f>
        <v>是</v>
      </c>
      <c r="D77" s="44" t="str">
        <f aca="false">IF(D76&lt;=D42,"是","否")</f>
        <v>是</v>
      </c>
      <c r="E77" s="44" t="str">
        <f aca="false">IF(E76&lt;=E42,"是","否")</f>
        <v>是</v>
      </c>
      <c r="F77" s="44" t="str">
        <f aca="false">IF(F76&lt;=F42,"是","否")</f>
        <v>是</v>
      </c>
      <c r="G77" s="44" t="str">
        <f aca="false">IF(G76&lt;=G42,"是","否")</f>
        <v>是</v>
      </c>
      <c r="H77" s="44" t="str">
        <f aca="false">IF(H76&lt;=H42,"是","否")</f>
        <v>是</v>
      </c>
      <c r="I77" s="44" t="str">
        <f aca="false">IF(I76&lt;=I42,"是","否")</f>
        <v>是</v>
      </c>
      <c r="J77" s="44" t="str">
        <f aca="false">IF(J76&lt;=J42,"是","否")</f>
        <v>是</v>
      </c>
      <c r="K77" s="44" t="str">
        <f aca="false">IF(K76&lt;=K42,"是","否")</f>
        <v>是</v>
      </c>
      <c r="L77" s="44" t="str">
        <f aca="false">IF(L76&lt;=L42,"是","否")</f>
        <v>是</v>
      </c>
      <c r="M77" s="44" t="str">
        <f aca="false">IF(M76&lt;=M42,"是","否")</f>
        <v>是</v>
      </c>
      <c r="N77" s="44" t="str">
        <f aca="false">IF(N76&lt;=N42,"是","否")</f>
        <v>是</v>
      </c>
      <c r="O77" s="44" t="str">
        <f aca="false">IF(O76&lt;=O42,"是","否")</f>
        <v>是</v>
      </c>
      <c r="P77" s="44" t="str">
        <f aca="false">IF(P76&lt;=P42,"是","否")</f>
        <v>是</v>
      </c>
      <c r="Q77" s="44" t="str">
        <f aca="false">IF(Q76&lt;=Q42,"是","否")</f>
        <v>是</v>
      </c>
      <c r="R77" s="44" t="str">
        <f aca="false">IF(R76&lt;=R42,"是","否")</f>
        <v>是</v>
      </c>
      <c r="S77" s="44" t="str">
        <f aca="false">IF(S76&lt;=S42,"是","否")</f>
        <v>是</v>
      </c>
    </row>
    <row r="78" customFormat="false" ht="15" hidden="false" customHeight="false" outlineLevel="0" collapsed="false">
      <c r="A78" s="72" t="s">
        <v>685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</row>
    <row r="79" customFormat="false" ht="15" hidden="false" customHeight="false" outlineLevel="0" collapsed="false">
      <c r="A79" s="44" t="s">
        <v>686</v>
      </c>
      <c r="B79" s="45" t="s">
        <v>420</v>
      </c>
      <c r="C79" s="52" t="n">
        <f aca="false">C72/C16+(C29+C47)*C55/1000</f>
        <v>13.9741274194055</v>
      </c>
      <c r="D79" s="52" t="n">
        <f aca="false">D72/D16+(D29+D47)*D55/1000</f>
        <v>25.781383224086</v>
      </c>
      <c r="E79" s="52" t="n">
        <f aca="false">E72/E16+(E29+E47)*E55/1000</f>
        <v>36.9714119885583</v>
      </c>
      <c r="F79" s="52" t="n">
        <f aca="false">F72/F16+(F29+F47)*F55/1000</f>
        <v>8.66144563792923</v>
      </c>
      <c r="G79" s="52" t="n">
        <f aca="false">G72/G16+(G29+G47)*G55/1000</f>
        <v>16.263619456583</v>
      </c>
      <c r="H79" s="52" t="n">
        <f aca="false">H72/H16+(H29+H47)*H55/1000</f>
        <v>27.7463040694472</v>
      </c>
      <c r="I79" s="52" t="n">
        <f aca="false">I72/I16+(I29+I47)*I55/1000</f>
        <v>8.66144563792923</v>
      </c>
      <c r="J79" s="52" t="n">
        <f aca="false">J72/J16+(J29+J47)*J55/1000</f>
        <v>16.263619456583</v>
      </c>
      <c r="K79" s="52" t="n">
        <f aca="false">K72/K16+(K29+K47)*K55/1000</f>
        <v>31.3240013600885</v>
      </c>
      <c r="L79" s="52" t="n">
        <f aca="false">L72/L16+(L29+L47)*L55/1000</f>
        <v>7.84140719687809</v>
      </c>
      <c r="M79" s="52" t="n">
        <f aca="false">M72/M16+(M29+M47)*M55/1000</f>
        <v>12.4417521013904</v>
      </c>
      <c r="N79" s="52" t="n">
        <f aca="false">N72/N16+(N29+N47)*N55/1000</f>
        <v>21.896077078048</v>
      </c>
      <c r="O79" s="52" t="n">
        <f aca="false">O72/O16+(O29+O47)*O55/1000</f>
        <v>7.61845528148391</v>
      </c>
      <c r="P79" s="52" t="n">
        <f aca="false">P72/P16+(P29+P47)*P55/1000</f>
        <v>11.325392120971</v>
      </c>
      <c r="Q79" s="52" t="n">
        <f aca="false">Q72/Q16+(Q29+Q47)*Q55/1000</f>
        <v>19.1273645448635</v>
      </c>
      <c r="R79" s="52" t="n">
        <f aca="false">R72/R16+(R29+R47)*R55/1000</f>
        <v>13.4234686812516</v>
      </c>
      <c r="S79" s="52" t="n">
        <f aca="false">S72/S16+(S29+S47)*S55/1000</f>
        <v>23.3440741336009</v>
      </c>
    </row>
    <row r="80" customFormat="false" ht="15" hidden="false" customHeight="false" outlineLevel="0" collapsed="false">
      <c r="A80" s="44" t="s">
        <v>687</v>
      </c>
      <c r="B80" s="45" t="s">
        <v>420</v>
      </c>
      <c r="C80" s="53" t="n">
        <f aca="false">(C47+1)*C65/(C14*C53)/1000</f>
        <v>1.43728766876026</v>
      </c>
      <c r="D80" s="53" t="n">
        <f aca="false">(D47+1)*D65/(D14*D53)/1000</f>
        <v>5.00297599423326</v>
      </c>
      <c r="E80" s="53" t="n">
        <f aca="false">(E47+1)*E65/(E14*E53)/1000</f>
        <v>19.4804183651021</v>
      </c>
      <c r="F80" s="53" t="n">
        <f aca="false">(F47+1)*F65/(F14*F53)/1000</f>
        <v>0.426658844471483</v>
      </c>
      <c r="G80" s="53" t="n">
        <f aca="false">(G47+1)*G65/(G14*G53)/1000</f>
        <v>1.48513342388814</v>
      </c>
      <c r="H80" s="53" t="n">
        <f aca="false">(H47+1)*H65/(H14*H53)/1000</f>
        <v>5.78276219168057</v>
      </c>
      <c r="I80" s="53" t="n">
        <f aca="false">(I47+1)*I65/(I14*I53)/1000</f>
        <v>0.284439229647656</v>
      </c>
      <c r="J80" s="53" t="n">
        <f aca="false">(J47+1)*J65/(J14*J53)/1000</f>
        <v>0.990088949258762</v>
      </c>
      <c r="K80" s="53" t="n">
        <f aca="false">(K47+1)*K65/(K14*K53)/1000</f>
        <v>3.85517479445372</v>
      </c>
      <c r="L80" s="53" t="n">
        <f aca="false">(L47+1)*L65/(L14*L53)/1000</f>
        <v>0.121902526991852</v>
      </c>
      <c r="M80" s="53" t="n">
        <f aca="false">(M47+1)*M65/(M14*M53)/1000</f>
        <v>0.424323835396612</v>
      </c>
      <c r="N80" s="53" t="n">
        <f aca="false">(N47+1)*N65/(N14*N53)/1000</f>
        <v>1.65221776905159</v>
      </c>
      <c r="O80" s="53" t="n">
        <f aca="false">(O47+1)*O65/(O14*O53)/1000</f>
        <v>0.0584464170508881</v>
      </c>
      <c r="P80" s="53" t="n">
        <f aca="false">(P47+1)*P65/(P14*P53)/1000</f>
        <v>0.203442934779198</v>
      </c>
      <c r="Q80" s="53" t="n">
        <f aca="false">(Q47+1)*Q65/(Q14*Q53)/1000</f>
        <v>0.792159204339804</v>
      </c>
      <c r="R80" s="53" t="n">
        <f aca="false">(R47+1)*R65/(R14*R53)/1000</f>
        <v>0.848647670793225</v>
      </c>
      <c r="S80" s="53" t="n">
        <f aca="false">(S47+1)*S65/(S14*S53)/1000</f>
        <v>3.30443553810318</v>
      </c>
    </row>
    <row r="81" customFormat="false" ht="15" hidden="false" customHeight="false" outlineLevel="0" collapsed="false">
      <c r="A81" s="44" t="s">
        <v>688</v>
      </c>
      <c r="B81" s="45" t="s">
        <v>420</v>
      </c>
      <c r="C81" s="53" t="n">
        <f aca="false">C34*C45/(C16*C60)/1000000000</f>
        <v>0.00976402558635395</v>
      </c>
      <c r="D81" s="53" t="n">
        <f aca="false">D34*D45/(D16*D60)/1000000000</f>
        <v>0.0277025842217484</v>
      </c>
      <c r="E81" s="53" t="n">
        <f aca="false">E34*E45/(E16*E60)/1000000000</f>
        <v>0.80487710021322</v>
      </c>
      <c r="F81" s="53" t="n">
        <f aca="false">F34*F45/(F16*F60)/1000000000</f>
        <v>0.00408868571428572</v>
      </c>
      <c r="G81" s="53" t="n">
        <f aca="false">G34*G45/(G16*G60)/1000000000</f>
        <v>0.0116004571428571</v>
      </c>
      <c r="H81" s="53" t="n">
        <f aca="false">H34*H45/(H16*H60)/1000000000</f>
        <v>0.337042285714286</v>
      </c>
      <c r="I81" s="53" t="n">
        <f aca="false">I34*I45/(I16*I60)/1000000000</f>
        <v>0.00408868571428572</v>
      </c>
      <c r="J81" s="53" t="n">
        <f aca="false">J34*J45/(J16*J60)/1000000000</f>
        <v>0.0116004571428571</v>
      </c>
      <c r="K81" s="53" t="n">
        <f aca="false">K34*K45/(K16*K60)/1000000000</f>
        <v>0.337042285714286</v>
      </c>
      <c r="L81" s="53" t="n">
        <f aca="false">L34*L45/(L16*L60)/1000000000</f>
        <v>0.00148679480519481</v>
      </c>
      <c r="M81" s="53" t="n">
        <f aca="false">M34*M45/(M16*M60)/1000000000</f>
        <v>0.00421834805194805</v>
      </c>
      <c r="N81" s="53" t="n">
        <f aca="false">N34*N45/(N16*N60)/1000000000</f>
        <v>0.122560831168831</v>
      </c>
      <c r="O81" s="53" t="n">
        <f aca="false">O34*O45/(O16*O60)/1000000000</f>
        <v>0.00102217142857143</v>
      </c>
      <c r="P81" s="53" t="n">
        <f aca="false">P34*P45/(P16*P60)/1000000000</f>
        <v>0.00290011428571429</v>
      </c>
      <c r="Q81" s="53" t="n">
        <f aca="false">Q34*Q45/(Q16*Q60)/1000000000</f>
        <v>0.0842605714285714</v>
      </c>
      <c r="R81" s="53" t="n">
        <f aca="false">R34*R45/(R16*R60)/1000000000</f>
        <v>0.00421834805194805</v>
      </c>
      <c r="S81" s="53" t="n">
        <f aca="false">S34*S45/(S16*S60)/1000000000</f>
        <v>0.122560831168831</v>
      </c>
    </row>
    <row r="82" customFormat="false" ht="15" hidden="false" customHeight="false" outlineLevel="0" collapsed="false">
      <c r="A82" s="44" t="s">
        <v>689</v>
      </c>
      <c r="B82" s="45" t="s">
        <v>420</v>
      </c>
      <c r="C82" s="53" t="n">
        <f aca="false">(C47+1)*C29*C31*C30*C59*(C71-1)/C71/(C17*C61)/1000000000</f>
        <v>0.3566592</v>
      </c>
      <c r="D82" s="53" t="n">
        <f aca="false">(D47+1)*D29*D31*D30*D59*(D71-1)/D71/(D17*D61)/1000000000</f>
        <v>0.8854272</v>
      </c>
      <c r="E82" s="53" t="n">
        <f aca="false">(E47+1)*E29*E31*E30*E59*(E71-1)/E71/(E17*E61)/1000000000</f>
        <v>6.69199900621118</v>
      </c>
      <c r="F82" s="53" t="n">
        <f aca="false">(F47+1)*F29*F31*F30*F59*(F71-1)/F71/(F17*F61)/1000000000</f>
        <v>0.0194998857142857</v>
      </c>
      <c r="G82" s="53" t="n">
        <f aca="false">(G47+1)*G29*G31*G30*G59*(G71-1)/G71/(G17*G61)/1000000000</f>
        <v>0.0484096</v>
      </c>
      <c r="H82" s="53" t="n">
        <f aca="false">(H47+1)*H29*H31*H30*H59*(H71-1)/H71/(H17*H61)/1000000000</f>
        <v>0.363476974789916</v>
      </c>
      <c r="I82" s="53" t="n">
        <f aca="false">(I47+1)*I29*I31*I30*I59*(I71-1)/I71/(I17*I61)/1000000000</f>
        <v>0.0194998857142857</v>
      </c>
      <c r="J82" s="53" t="n">
        <f aca="false">(J47+1)*J29*J31*J30*J59*(J71-1)/J71/(J17*J61)/1000000000</f>
        <v>0.0484096</v>
      </c>
      <c r="K82" s="53" t="n">
        <f aca="false">(K47+1)*K29*K31*K30*K59*(K71-1)/K71/(K17*K61)/1000000000</f>
        <v>0.362788571428571</v>
      </c>
      <c r="L82" s="53" t="n">
        <f aca="false">(L47+1)*L29*L31*L30*L59*(L71-1)/L71/(L17*L61)/1000000000</f>
        <v>0.00974994285714286</v>
      </c>
      <c r="M82" s="53" t="n">
        <f aca="false">(M47+1)*M29*M31*M30*M59*(M71-1)/M71/(M17*M61)/1000000000</f>
        <v>0.0242048</v>
      </c>
      <c r="N82" s="53" t="n">
        <f aca="false">(N47+1)*N29*N31*N30*N59*(N71-1)/N71/(N17*N61)/1000000000</f>
        <v>0.181394285714286</v>
      </c>
      <c r="O82" s="53" t="n">
        <f aca="false">(O47+1)*O29*O31*O30*O59*(O71-1)/O71/(O17*O61)/1000000000</f>
        <v>0.0099072</v>
      </c>
      <c r="P82" s="53" t="n">
        <f aca="false">(P47+1)*P29*P31*P30*P59*(P71-1)/P71/(P17*P61)/1000000000</f>
        <v>0.0245952</v>
      </c>
      <c r="Q82" s="53" t="n">
        <f aca="false">(Q47+1)*Q29*Q31*Q30*Q59*(Q71-1)/Q71/(Q17*Q61)/1000000000</f>
        <v>0.18432</v>
      </c>
      <c r="R82" s="53" t="n">
        <f aca="false">(R47+1)*R29*R31*R30*R59*(R71-1)/R71/(R17*R61)/1000000000</f>
        <v>0.0242048</v>
      </c>
      <c r="S82" s="5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44" t="s">
        <v>690</v>
      </c>
      <c r="B83" s="45" t="s">
        <v>420</v>
      </c>
      <c r="C83" s="53" t="n">
        <f aca="false">MAX(C80,C81,C82)</f>
        <v>1.43728766876026</v>
      </c>
      <c r="D83" s="53" t="n">
        <f aca="false">MAX(D80,D81,D82)</f>
        <v>5.00297599423326</v>
      </c>
      <c r="E83" s="53" t="n">
        <f aca="false">MAX(E80,E81,E82)</f>
        <v>19.4804183651021</v>
      </c>
      <c r="F83" s="53" t="n">
        <f aca="false">MAX(F80,F81,F82)</f>
        <v>0.426658844471483</v>
      </c>
      <c r="G83" s="53" t="n">
        <f aca="false">MAX(G80,G81,G82)</f>
        <v>1.48513342388814</v>
      </c>
      <c r="H83" s="53" t="n">
        <f aca="false">MAX(H80,H81,H82)</f>
        <v>5.78276219168057</v>
      </c>
      <c r="I83" s="53" t="n">
        <f aca="false">MAX(I80,I81,I82)</f>
        <v>0.284439229647656</v>
      </c>
      <c r="J83" s="53" t="n">
        <f aca="false">MAX(J80,J81,J82)</f>
        <v>0.990088949258762</v>
      </c>
      <c r="K83" s="53" t="n">
        <f aca="false">MAX(K80,K81,K82)</f>
        <v>3.85517479445372</v>
      </c>
      <c r="L83" s="53" t="n">
        <f aca="false">MAX(L80,L81,L82)</f>
        <v>0.121902526991852</v>
      </c>
      <c r="M83" s="53" t="n">
        <f aca="false">MAX(M80,M81,M82)</f>
        <v>0.424323835396612</v>
      </c>
      <c r="N83" s="53" t="n">
        <f aca="false">MAX(N80,N81,N82)</f>
        <v>1.65221776905159</v>
      </c>
      <c r="O83" s="53" t="n">
        <f aca="false">MAX(O80,O81,O82)</f>
        <v>0.0584464170508881</v>
      </c>
      <c r="P83" s="53" t="n">
        <f aca="false">MAX(P80,P81,P82)</f>
        <v>0.203442934779198</v>
      </c>
      <c r="Q83" s="53" t="n">
        <f aca="false">MAX(Q80,Q81,Q82)</f>
        <v>0.792159204339804</v>
      </c>
      <c r="R83" s="53" t="n">
        <f aca="false">MAX(R80,R81,R82)</f>
        <v>0.848647670793225</v>
      </c>
      <c r="S83" s="53" t="n">
        <f aca="false">MAX(S80,S81,S82)</f>
        <v>3.30443553810318</v>
      </c>
    </row>
    <row r="84" customFormat="false" ht="15" hidden="false" customHeight="false" outlineLevel="0" collapsed="false">
      <c r="A84" s="44" t="s">
        <v>691</v>
      </c>
      <c r="B84" s="44"/>
      <c r="C84" s="44" t="str">
        <f aca="false">IF(C83=C80,"算力",IF(C83=C81,"KV 頻寬","EP 通訊"))</f>
        <v>算力</v>
      </c>
      <c r="D84" s="44" t="str">
        <f aca="false">IF(D83=D80,"算力",IF(D83=D81,"KV 頻寬","EP 通訊"))</f>
        <v>算力</v>
      </c>
      <c r="E84" s="44" t="str">
        <f aca="false">IF(E83=E80,"算力",IF(E83=E81,"KV 頻寬","EP 通訊"))</f>
        <v>算力</v>
      </c>
      <c r="F84" s="44" t="str">
        <f aca="false">IF(F83=F80,"算力",IF(F83=F81,"KV 頻寬","EP 通訊"))</f>
        <v>算力</v>
      </c>
      <c r="G84" s="44" t="str">
        <f aca="false">IF(G83=G80,"算力",IF(G83=G81,"KV 頻寬","EP 通訊"))</f>
        <v>算力</v>
      </c>
      <c r="H84" s="44" t="str">
        <f aca="false">IF(H83=H80,"算力",IF(H83=H81,"KV 頻寬","EP 通訊"))</f>
        <v>算力</v>
      </c>
      <c r="I84" s="44" t="str">
        <f aca="false">IF(I83=I80,"算力",IF(I83=I81,"KV 頻寬","EP 通訊"))</f>
        <v>算力</v>
      </c>
      <c r="J84" s="44" t="str">
        <f aca="false">IF(J83=J80,"算力",IF(J83=J81,"KV 頻寬","EP 通訊"))</f>
        <v>算力</v>
      </c>
      <c r="K84" s="44" t="str">
        <f aca="false">IF(K83=K80,"算力",IF(K83=K81,"KV 頻寬","EP 通訊"))</f>
        <v>算力</v>
      </c>
      <c r="L84" s="44" t="str">
        <f aca="false">IF(L83=L80,"算力",IF(L83=L81,"KV 頻寬","EP 通訊"))</f>
        <v>算力</v>
      </c>
      <c r="M84" s="44" t="str">
        <f aca="false">IF(M83=M80,"算力",IF(M83=M81,"KV 頻寬","EP 通訊"))</f>
        <v>算力</v>
      </c>
      <c r="N84" s="44" t="str">
        <f aca="false">IF(N83=N80,"算力",IF(N83=N81,"KV 頻寬","EP 通訊"))</f>
        <v>算力</v>
      </c>
      <c r="O84" s="44" t="str">
        <f aca="false">IF(O83=O80,"算力",IF(O83=O81,"KV 頻寬","EP 通訊"))</f>
        <v>算力</v>
      </c>
      <c r="P84" s="44" t="str">
        <f aca="false">IF(P83=P80,"算力",IF(P83=P81,"KV 頻寬","EP 通訊"))</f>
        <v>算力</v>
      </c>
      <c r="Q84" s="44" t="str">
        <f aca="false">IF(Q83=Q80,"算力",IF(Q83=Q81,"KV 頻寬","EP 通訊"))</f>
        <v>算力</v>
      </c>
      <c r="R84" s="44" t="str">
        <f aca="false">IF(R83=R80,"算力",IF(R83=R81,"KV 頻寬","EP 通訊"))</f>
        <v>算力</v>
      </c>
      <c r="S84" s="44" t="str">
        <f aca="false">IF(S83=S80,"算力",IF(S83=S81,"KV 頻寬","EP 通訊"))</f>
        <v>算力</v>
      </c>
    </row>
    <row r="85" customFormat="false" ht="15" hidden="false" customHeight="false" outlineLevel="0" collapsed="false">
      <c r="A85" s="45" t="s">
        <v>692</v>
      </c>
      <c r="B85" s="44" t="s">
        <v>424</v>
      </c>
      <c r="C85" s="55" t="n">
        <f aca="false">(1000*C49/C41-C79)/C83</f>
        <v>78.3947953006399</v>
      </c>
      <c r="D85" s="55" t="n">
        <f aca="false">(1000*D49/D41-D79)/D83</f>
        <v>20.1617231208348</v>
      </c>
      <c r="E85" s="55" t="n">
        <f aca="false">(1000*E49/E41-E79)/E83</f>
        <v>4.60352474627007</v>
      </c>
      <c r="F85" s="55" t="n">
        <f aca="false">(1000*F49/F41-F79)/F83</f>
        <v>276.540744182222</v>
      </c>
      <c r="G85" s="55" t="n">
        <f aca="false">(1000*G49/G41-G79)/G83</f>
        <v>74.3275848269718</v>
      </c>
      <c r="H85" s="55" t="n">
        <f aca="false">(1000*H49/H41-H79)/H83</f>
        <v>17.1031926702505</v>
      </c>
      <c r="I85" s="55" t="n">
        <f aca="false">(1000*I49/I41-I79)/I83</f>
        <v>414.811116273332</v>
      </c>
      <c r="J85" s="55" t="n">
        <f aca="false">(1000*J49/J41-J79)/J83</f>
        <v>111.491377240458</v>
      </c>
      <c r="K85" s="55" t="n">
        <f aca="false">(1000*K49/K41-K79)/K83</f>
        <v>24.7267643420613</v>
      </c>
      <c r="L85" s="55" t="n">
        <f aca="false">(1000*L49/L41-L79)/L83</f>
        <v>974.619605802452</v>
      </c>
      <c r="M85" s="55" t="n">
        <f aca="false">(1000*M49/M41-M79)/M83</f>
        <v>269.153505816754</v>
      </c>
      <c r="N85" s="55" t="n">
        <f aca="false">(1000*N49/N41-N79)/N83</f>
        <v>63.4020072197159</v>
      </c>
      <c r="O85" s="55" t="n">
        <f aca="false">(1000*O49/O41-O79)/O83</f>
        <v>2036.59267282163</v>
      </c>
      <c r="P85" s="55" t="n">
        <f aca="false">(1000*P49/P41-P79)/P83</f>
        <v>566.86464931404</v>
      </c>
      <c r="Q85" s="55" t="n">
        <f aca="false">(1000*Q49/Q41-Q79)/Q83</f>
        <v>135.733618780264</v>
      </c>
      <c r="R85" s="55" t="n">
        <f aca="false">(1000*R49/R41-R79)/R83</f>
        <v>133.419951783897</v>
      </c>
      <c r="S85" s="55" t="n">
        <f aca="false">(1000*S49/S41-S79)/S83</f>
        <v>31.2628056063393</v>
      </c>
    </row>
    <row r="86" customFormat="false" ht="15" hidden="false" customHeight="false" outlineLevel="0" collapsed="false">
      <c r="A86" s="45" t="s">
        <v>693</v>
      </c>
      <c r="B86" s="44" t="s">
        <v>424</v>
      </c>
      <c r="C86" s="56" t="n">
        <f aca="false">(C69-C72)*1000000000/(C34*C45)</f>
        <v>2718.08712981468</v>
      </c>
      <c r="D86" s="56" t="n">
        <f aca="false">(D69-D72)*1000000000/(D34*D45)</f>
        <v>572.29812662692</v>
      </c>
      <c r="E86" s="56" t="n">
        <f aca="false">(E69-E72)*1000000000/(E34*E45)</f>
        <v>16.4784039406273</v>
      </c>
      <c r="F86" s="56" t="n">
        <f aca="false">(F69-F72)*1000000000/(F34*F45)</f>
        <v>6860.87326841406</v>
      </c>
      <c r="G86" s="56" t="n">
        <f aca="false">(G69-G72)*1000000000/(G34*G45)</f>
        <v>1837.26853644195</v>
      </c>
      <c r="H86" s="56" t="n">
        <f aca="false">(H69-H72)*1000000000/(H34*H45)</f>
        <v>41.0605015418913</v>
      </c>
      <c r="I86" s="56" t="n">
        <f aca="false">(I69-I72)*1000000000/(I34*I45)</f>
        <v>10870.1951601851</v>
      </c>
      <c r="J86" s="56" t="n">
        <f aca="false">(J69-J72)*1000000000/(J34*J45)</f>
        <v>3250.39018682026</v>
      </c>
      <c r="K86" s="56" t="n">
        <f aca="false">(K69-K72)*1000000000/(K34*K45)</f>
        <v>74.5336338210063</v>
      </c>
      <c r="L86" s="56" t="n">
        <f aca="false">(L69-L72)*1000000000/(L34*L45)</f>
        <v>10870.1951601851</v>
      </c>
      <c r="M86" s="56" t="n">
        <f aca="false">(M69-M72)*1000000000/(M34*M45)</f>
        <v>3250.39018682026</v>
      </c>
      <c r="N86" s="56" t="n">
        <f aca="false">(N69-N72)*1000000000/(N34*N45)</f>
        <v>74.5336338210063</v>
      </c>
      <c r="O86" s="56" t="n">
        <f aca="false">(O69-O72)*1000000000/(O34*O45)</f>
        <v>39907.1423866668</v>
      </c>
      <c r="P86" s="56" t="n">
        <f aca="false">(P69-P72)*1000000000/(P34*P45)</f>
        <v>13660.7600574619</v>
      </c>
      <c r="Q86" s="56" t="n">
        <f aca="false">(Q69-Q72)*1000000000/(Q34*Q45)</f>
        <v>443.883721740069</v>
      </c>
      <c r="R86" s="56" t="n">
        <f aca="false">(R69-R72)*1000000000/(R34*R45)</f>
        <v>2917.92538314035</v>
      </c>
      <c r="S86" s="56" t="n">
        <f aca="false">(S69-S72)*1000000000/(S34*S45)</f>
        <v>57.6557520174079</v>
      </c>
    </row>
    <row r="87" customFormat="false" ht="15" hidden="false" customHeight="false" outlineLevel="0" collapsed="false">
      <c r="A87" s="44" t="s">
        <v>694</v>
      </c>
      <c r="B87" s="44" t="s">
        <v>424</v>
      </c>
      <c r="C87" s="97" t="n">
        <f aca="false">MAX(0,MIN(C85,C86))</f>
        <v>78.3947953006399</v>
      </c>
      <c r="D87" s="97" t="n">
        <f aca="false">MAX(0,MIN(D85,D86))</f>
        <v>20.1617231208348</v>
      </c>
      <c r="E87" s="97" t="n">
        <f aca="false">MAX(0,MIN(E85,E86))</f>
        <v>4.60352474627007</v>
      </c>
      <c r="F87" s="97" t="n">
        <f aca="false">MAX(0,MIN(F85,F86))</f>
        <v>276.540744182222</v>
      </c>
      <c r="G87" s="97" t="n">
        <f aca="false">MAX(0,MIN(G85,G86))</f>
        <v>74.3275848269718</v>
      </c>
      <c r="H87" s="97" t="n">
        <f aca="false">MAX(0,MIN(H85,H86))</f>
        <v>17.1031926702505</v>
      </c>
      <c r="I87" s="97" t="n">
        <f aca="false">MAX(0,MIN(I85,I86))</f>
        <v>414.811116273332</v>
      </c>
      <c r="J87" s="97" t="n">
        <f aca="false">MAX(0,MIN(J85,J86))</f>
        <v>111.491377240458</v>
      </c>
      <c r="K87" s="97" t="n">
        <f aca="false">MAX(0,MIN(K85,K86))</f>
        <v>24.7267643420613</v>
      </c>
      <c r="L87" s="97" t="n">
        <f aca="false">MAX(0,MIN(L85,L86))</f>
        <v>974.619605802452</v>
      </c>
      <c r="M87" s="97" t="n">
        <f aca="false">MAX(0,MIN(M85,M86))</f>
        <v>269.153505816754</v>
      </c>
      <c r="N87" s="97" t="n">
        <f aca="false">MAX(0,MIN(N85,N86))</f>
        <v>63.4020072197159</v>
      </c>
      <c r="O87" s="97" t="n">
        <f aca="false">MAX(0,MIN(O85,O86))</f>
        <v>2036.59267282163</v>
      </c>
      <c r="P87" s="97" t="n">
        <f aca="false">MAX(0,MIN(P85,P86))</f>
        <v>566.86464931404</v>
      </c>
      <c r="Q87" s="97" t="n">
        <f aca="false">MAX(0,MIN(Q85,Q86))</f>
        <v>135.733618780264</v>
      </c>
      <c r="R87" s="55" t="n">
        <f aca="false">MAX(0,MIN(R85,R86))</f>
        <v>133.419951783897</v>
      </c>
      <c r="S87" s="55" t="n">
        <f aca="false">MAX(0,MIN(S85,S86))</f>
        <v>31.2628056063393</v>
      </c>
    </row>
    <row r="88" customFormat="false" ht="15" hidden="false" customHeight="false" outlineLevel="0" collapsed="false">
      <c r="A88" s="45" t="s">
        <v>695</v>
      </c>
      <c r="B88" s="45" t="s">
        <v>300</v>
      </c>
      <c r="C88" s="51" t="n">
        <f aca="false">IF(C87&gt;0,C87*C49/((C79+C87*C83)/1000),0)</f>
        <v>1567.8959060128</v>
      </c>
      <c r="D88" s="51" t="n">
        <f aca="false">IF(D87&gt;0,D87*D49/((D79+D87*D83)/1000),0)</f>
        <v>403.234462416695</v>
      </c>
      <c r="E88" s="51" t="n">
        <f aca="false">IF(E87&gt;0,E87*E49/((E79+E87*E83)/1000),0)</f>
        <v>92.0704949254014</v>
      </c>
      <c r="F88" s="51" t="n">
        <f aca="false">IF(F87&gt;0,F87*F49/((F79+F87*F83)/1000),0)</f>
        <v>5530.81488364443</v>
      </c>
      <c r="G88" s="51" t="n">
        <f aca="false">IF(G87&gt;0,G87*G49/((G79+G87*G83)/1000),0)</f>
        <v>1486.55169653944</v>
      </c>
      <c r="H88" s="51" t="n">
        <f aca="false">IF(H87&gt;0,H87*H49/((H79+H87*H83)/1000),0)</f>
        <v>342.06385340501</v>
      </c>
      <c r="I88" s="51" t="n">
        <f aca="false">IF(I87&gt;0,I87*I49/((I79+I87*I83)/1000),0)</f>
        <v>8296.22232546665</v>
      </c>
      <c r="J88" s="51" t="n">
        <f aca="false">IF(J87&gt;0,J87*J49/((J79+J87*J83)/1000),0)</f>
        <v>2229.82754480915</v>
      </c>
      <c r="K88" s="51" t="n">
        <f aca="false">IF(K87&gt;0,K87*K49/((K79+K87*K83)/1000),0)</f>
        <v>494.535286841225</v>
      </c>
      <c r="L88" s="51" t="n">
        <f aca="false">IF(L87&gt;0,L87*L49/((L79+L87*L83)/1000),0)</f>
        <v>19492.392116049</v>
      </c>
      <c r="M88" s="51" t="n">
        <f aca="false">IF(M87&gt;0,M87*M49/((M79+M87*M83)/1000),0)</f>
        <v>5383.07011633508</v>
      </c>
      <c r="N88" s="51" t="n">
        <f aca="false">IF(N87&gt;0,N87*N49/((N79+N87*N83)/1000),0)</f>
        <v>1268.04014439432</v>
      </c>
      <c r="O88" s="51" t="n">
        <f aca="false">IF(O87&gt;0,O87*O49/((O79+O87*O83)/1000),0)</f>
        <v>40731.8534564327</v>
      </c>
      <c r="P88" s="51" t="n">
        <f aca="false">IF(P87&gt;0,P87*P49/((P79+P87*P83)/1000),0)</f>
        <v>11337.2929862808</v>
      </c>
      <c r="Q88" s="51" t="n">
        <f aca="false">IF(Q87&gt;0,Q87*Q49/((Q79+Q87*Q83)/1000),0)</f>
        <v>2714.67237560528</v>
      </c>
      <c r="R88" s="56" t="n">
        <f aca="false">IF(R87&gt;0,R87*R49/((R79+R87*R83)/1000),0)</f>
        <v>2668.39903567794</v>
      </c>
      <c r="S88" s="56" t="n">
        <f aca="false">IF(S87&gt;0,S87*S49/((S79+S87*S83)/1000),0)</f>
        <v>625.256112126786</v>
      </c>
    </row>
    <row r="89" customFormat="false" ht="15" hidden="false" customHeight="false" outlineLevel="0" collapsed="false">
      <c r="A89" s="44" t="s">
        <v>696</v>
      </c>
      <c r="B89" s="45" t="s">
        <v>300</v>
      </c>
      <c r="C89" s="56" t="n">
        <f aca="false">IF(C87&gt;0,C49/((C79+C87*C83)/1000),0)</f>
        <v>20</v>
      </c>
      <c r="D89" s="56" t="n">
        <f aca="false">IF(D87&gt;0,D49/((D79+D87*D83)/1000),0)</f>
        <v>20</v>
      </c>
      <c r="E89" s="56" t="n">
        <f aca="false">IF(E87&gt;0,E49/((E79+E87*E83)/1000),0)</f>
        <v>20</v>
      </c>
      <c r="F89" s="56" t="n">
        <f aca="false">IF(F87&gt;0,F49/((F79+F87*F83)/1000),0)</f>
        <v>20</v>
      </c>
      <c r="G89" s="56" t="n">
        <f aca="false">IF(G87&gt;0,G49/((G79+G87*G83)/1000),0)</f>
        <v>20</v>
      </c>
      <c r="H89" s="56" t="n">
        <f aca="false">IF(H87&gt;0,H49/((H79+H87*H83)/1000),0)</f>
        <v>20</v>
      </c>
      <c r="I89" s="56" t="n">
        <f aca="false">IF(I87&gt;0,I49/((I79+I87*I83)/1000),0)</f>
        <v>20</v>
      </c>
      <c r="J89" s="56" t="n">
        <f aca="false">IF(J87&gt;0,J49/((J79+J87*J83)/1000),0)</f>
        <v>20</v>
      </c>
      <c r="K89" s="56" t="n">
        <f aca="false">IF(K87&gt;0,K49/((K79+K87*K83)/1000),0)</f>
        <v>20</v>
      </c>
      <c r="L89" s="56" t="n">
        <f aca="false">IF(L87&gt;0,L49/((L79+L87*L83)/1000),0)</f>
        <v>20</v>
      </c>
      <c r="M89" s="56" t="n">
        <f aca="false">IF(M87&gt;0,M49/((M79+M87*M83)/1000),0)</f>
        <v>20</v>
      </c>
      <c r="N89" s="56" t="n">
        <f aca="false">IF(N87&gt;0,N49/((N79+N87*N83)/1000),0)</f>
        <v>20</v>
      </c>
      <c r="O89" s="56" t="n">
        <f aca="false">IF(O87&gt;0,O49/((O79+O87*O83)/1000),0)</f>
        <v>20</v>
      </c>
      <c r="P89" s="56" t="n">
        <f aca="false">IF(P87&gt;0,P49/((P79+P87*P83)/1000),0)</f>
        <v>20</v>
      </c>
      <c r="Q89" s="56" t="n">
        <f aca="false">IF(Q87&gt;0,Q49/((Q79+Q87*Q83)/1000),0)</f>
        <v>20</v>
      </c>
      <c r="R89" s="56" t="n">
        <f aca="false">IF(R87&gt;0,R49/((R79+R87*R83)/1000),0)</f>
        <v>20</v>
      </c>
      <c r="S89" s="56" t="n">
        <f aca="false">IF(S87&gt;0,S49/((S79+S87*S83)/1000),0)</f>
        <v>20</v>
      </c>
    </row>
    <row r="90" customFormat="false" ht="15" hidden="false" customHeight="false" outlineLevel="0" collapsed="false">
      <c r="A90" s="44" t="s">
        <v>697</v>
      </c>
      <c r="B90" s="44"/>
      <c r="C90" s="98" t="str">
        <f aca="false">IF(C87&lt;=0,"SLO 不可達",IF(C85&lt;=C86,"SLO（"&amp;C84&amp;"）","HBM 容量"))</f>
        <v>SLO（算力）</v>
      </c>
      <c r="D90" s="98" t="str">
        <f aca="false">IF(D87&lt;=0,"SLO 不可達",IF(D85&lt;=D86,"SLO（"&amp;D84&amp;"）","HBM 容量"))</f>
        <v>SLO（算力）</v>
      </c>
      <c r="E90" s="98" t="str">
        <f aca="false">IF(E87&lt;=0,"SLO 不可達",IF(E85&lt;=E86,"SLO（"&amp;E84&amp;"）","HBM 容量"))</f>
        <v>SLO（算力）</v>
      </c>
      <c r="F90" s="98" t="str">
        <f aca="false">IF(F87&lt;=0,"SLO 不可達",IF(F85&lt;=F86,"SLO（"&amp;F84&amp;"）","HBM 容量"))</f>
        <v>SLO（算力）</v>
      </c>
      <c r="G90" s="98" t="str">
        <f aca="false">IF(G87&lt;=0,"SLO 不可達",IF(G85&lt;=G86,"SLO（"&amp;G84&amp;"）","HBM 容量"))</f>
        <v>SLO（算力）</v>
      </c>
      <c r="H90" s="98" t="str">
        <f aca="false">IF(H87&lt;=0,"SLO 不可達",IF(H85&lt;=H86,"SLO（"&amp;H84&amp;"）","HBM 容量"))</f>
        <v>SLO（算力）</v>
      </c>
      <c r="I90" s="98" t="str">
        <f aca="false">IF(I87&lt;=0,"SLO 不可達",IF(I85&lt;=I86,"SLO（"&amp;I84&amp;"）","HBM 容量"))</f>
        <v>SLO（算力）</v>
      </c>
      <c r="J90" s="98" t="str">
        <f aca="false">IF(J87&lt;=0,"SLO 不可達",IF(J85&lt;=J86,"SLO（"&amp;J84&amp;"）","HBM 容量"))</f>
        <v>SLO（算力）</v>
      </c>
      <c r="K90" s="98" t="str">
        <f aca="false">IF(K87&lt;=0,"SLO 不可達",IF(K85&lt;=K86,"SLO（"&amp;K84&amp;"）","HBM 容量"))</f>
        <v>SLO（算力）</v>
      </c>
      <c r="L90" s="98" t="str">
        <f aca="false">IF(L87&lt;=0,"SLO 不可達",IF(L85&lt;=L86,"SLO（"&amp;L84&amp;"）","HBM 容量"))</f>
        <v>SLO（算力）</v>
      </c>
      <c r="M90" s="98" t="str">
        <f aca="false">IF(M87&lt;=0,"SLO 不可達",IF(M85&lt;=M86,"SLO（"&amp;M84&amp;"）","HBM 容量"))</f>
        <v>SLO（算力）</v>
      </c>
      <c r="N90" s="98" t="str">
        <f aca="false">IF(N87&lt;=0,"SLO 不可達",IF(N85&lt;=N86,"SLO（"&amp;N84&amp;"）","HBM 容量"))</f>
        <v>SLO（算力）</v>
      </c>
      <c r="O90" s="98" t="str">
        <f aca="false">IF(O87&lt;=0,"SLO 不可達",IF(O85&lt;=O86,"SLO（"&amp;O84&amp;"）","HBM 容量"))</f>
        <v>SLO（算力）</v>
      </c>
      <c r="P90" s="98" t="str">
        <f aca="false">IF(P87&lt;=0,"SLO 不可達",IF(P85&lt;=P86,"SLO（"&amp;P84&amp;"）","HBM 容量"))</f>
        <v>SLO（算力）</v>
      </c>
      <c r="Q90" s="98" t="str">
        <f aca="false">IF(Q87&lt;=0,"SLO 不可達",IF(Q85&lt;=Q86,"SLO（"&amp;Q84&amp;"）","HBM 容量"))</f>
        <v>SLO（算力）</v>
      </c>
      <c r="R90" s="44" t="str">
        <f aca="false">IF(R87&lt;=0,"SLO 不可達",IF(R85&lt;=R86,"SLO（"&amp;R84&amp;"）","HBM 容量"))</f>
        <v>SLO（算力）</v>
      </c>
      <c r="S90" s="44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45" t="s">
        <v>698</v>
      </c>
      <c r="B91" s="45" t="s">
        <v>57</v>
      </c>
      <c r="C91" s="67" t="n">
        <f aca="false">C87*C34*C45/1000000000/C69</f>
        <v>0.0249302417482284</v>
      </c>
      <c r="D91" s="67" t="n">
        <f aca="false">D87*D34*D45/1000000000/D69</f>
        <v>0.0181910714991752</v>
      </c>
      <c r="E91" s="67" t="n">
        <f aca="false">E87*E34*E45/1000000000/E69</f>
        <v>0.120678639108622</v>
      </c>
      <c r="F91" s="67" t="n">
        <f aca="false">F87*F34*F45/1000000000/F69</f>
        <v>0.0378246945332881</v>
      </c>
      <c r="G91" s="67" t="n">
        <f aca="false">G87*G34*G45/1000000000/G69</f>
        <v>0.0288441468875582</v>
      </c>
      <c r="H91" s="67" t="n">
        <f aca="false">H87*H34*H45/1000000000/H69</f>
        <v>0.192838681262372</v>
      </c>
      <c r="I91" s="67" t="n">
        <f aca="false">I87*I34*I45/1000000000/I69</f>
        <v>0.0366426728291228</v>
      </c>
      <c r="J91" s="67" t="n">
        <f aca="false">J87*J34*J45/1000000000/J69</f>
        <v>0.027942767297322</v>
      </c>
      <c r="K91" s="67" t="n">
        <f aca="false">K87*K34*K45/1000000000/K69</f>
        <v>0.18005480310237</v>
      </c>
      <c r="L91" s="67" t="n">
        <f aca="false">L87*L34*L45/1000000000/L69</f>
        <v>0.0860938049807124</v>
      </c>
      <c r="M91" s="67" t="n">
        <f aca="false">M87*M34*M45/1000000000/M69</f>
        <v>0.0674571788998119</v>
      </c>
      <c r="N91" s="67" t="n">
        <f aca="false">N87*N34*N45/1000000000/N69</f>
        <v>0.461679327239034</v>
      </c>
      <c r="O91" s="67" t="n">
        <f aca="false">O87*O34*O45/1000000000/O69</f>
        <v>0.0505980135158797</v>
      </c>
      <c r="P91" s="67" t="n">
        <f aca="false">P87*P34*P45/1000000000/P69</f>
        <v>0.0399576592805363</v>
      </c>
      <c r="Q91" s="67" t="n">
        <f aca="false">Q87*Q34*Q45/1000000000/Q69</f>
        <v>0.277982451261981</v>
      </c>
      <c r="R91" s="67" t="n">
        <f aca="false">R87*R34*R45/1000000000/R69</f>
        <v>0.0334386636688214</v>
      </c>
      <c r="S91" s="67" t="n">
        <f aca="false">S87*S34*S45/1000000000/S69</f>
        <v>0.227648803135228</v>
      </c>
    </row>
    <row r="92" customFormat="false" ht="15" hidden="false" customHeight="false" outlineLevel="0" collapsed="false">
      <c r="A92" s="72" t="s">
        <v>699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</row>
    <row r="93" customFormat="false" ht="15" hidden="false" customHeight="false" outlineLevel="0" collapsed="false">
      <c r="A93" s="44" t="s">
        <v>700</v>
      </c>
      <c r="B93" s="45" t="s">
        <v>701</v>
      </c>
      <c r="C93" s="99" t="n">
        <f aca="false">IF(C88&gt;0,C43/C75+C44/C88,0)</f>
        <v>5.66882402963015</v>
      </c>
      <c r="D93" s="99" t="n">
        <f aca="false">IF(D88&gt;0,D43/D75+D44/D88,0)</f>
        <v>44.274959841084</v>
      </c>
      <c r="E93" s="99" t="n">
        <f aca="false">IF(E88&gt;0,E43/E75+E44/E88,0)</f>
        <v>377.992991053725</v>
      </c>
      <c r="F93" s="99" t="n">
        <f aca="false">IF(F88&gt;0,F43/F75+F44/F88,0)</f>
        <v>1.52508861409836</v>
      </c>
      <c r="G93" s="99" t="n">
        <f aca="false">IF(G88&gt;0,G43/G75+G44/G88,0)</f>
        <v>11.3820056587951</v>
      </c>
      <c r="H93" s="99" t="n">
        <f aca="false">IF(H88&gt;0,H43/H75+H44/H88,0)</f>
        <v>97.980962338255</v>
      </c>
      <c r="I93" s="99" t="n">
        <f aca="false">IF(I88&gt;0,I43/I75+I44/I88,0)</f>
        <v>1.01672574273224</v>
      </c>
      <c r="J93" s="99" t="n">
        <f aca="false">IF(J88&gt;0,J43/J75+J44/J88,0)</f>
        <v>7.58800377253006</v>
      </c>
      <c r="K93" s="99" t="n">
        <f aca="false">IF(K88&gt;0,K43/K75+K44/K88,0)</f>
        <v>67.7175073690627</v>
      </c>
      <c r="L93" s="99" t="n">
        <f aca="false">IF(L88&gt;0,L43/L75+L44/L88,0)</f>
        <v>0.432818687570414</v>
      </c>
      <c r="M93" s="99" t="n">
        <f aca="false">IF(M88&gt;0,M43/M75+M44/M88,0)</f>
        <v>3.14662360044503</v>
      </c>
      <c r="N93" s="99" t="n">
        <f aca="false">IF(N88&gt;0,N43/N75+N44/N88,0)</f>
        <v>26.4660195415964</v>
      </c>
      <c r="O93" s="99" t="n">
        <f aca="false">IF(O88&gt;0,O43/O75+O44/O88,0)</f>
        <v>0.207138394135211</v>
      </c>
      <c r="P93" s="99" t="n">
        <f aca="false">IF(P88&gt;0,P43/P75+P44/P88,0)</f>
        <v>1.4945292108216</v>
      </c>
      <c r="Q93" s="99" t="n">
        <f aca="false">IF(Q88&gt;0,Q43/Q75+Q44/Q88,0)</f>
        <v>12.3701511644969</v>
      </c>
      <c r="R93" s="99" t="n">
        <f aca="false">IF(R88&gt;0,R43/R75+R44/R88,0)</f>
        <v>6.34602579542513</v>
      </c>
      <c r="S93" s="99" t="n">
        <f aca="false">IF(S88&gt;0,S43/S75+S44/S88,0)</f>
        <v>53.6564573152974</v>
      </c>
    </row>
    <row r="94" customFormat="false" ht="15" hidden="false" customHeight="false" outlineLevel="0" collapsed="false">
      <c r="A94" s="45" t="s">
        <v>702</v>
      </c>
      <c r="B94" s="45" t="s">
        <v>57</v>
      </c>
      <c r="C94" s="67" t="n">
        <f aca="false">IF(C93&gt;0,(C43/C75)/C93,0)</f>
        <v>0.0783208956428775</v>
      </c>
      <c r="D94" s="67" t="n">
        <f aca="false">IF(D93&gt;0,(D43/D75)/D93,0)</f>
        <v>0.0822928373296488</v>
      </c>
      <c r="E94" s="67" t="n">
        <f aca="false">IF(E93&gt;0,(E43/E75)/E93,0)</f>
        <v>0.058444964700719</v>
      </c>
      <c r="F94" s="67" t="n">
        <f aca="false">IF(F93&gt;0,(F43/F75)/F93,0)</f>
        <v>0.0288065561398336</v>
      </c>
      <c r="G94" s="67" t="n">
        <f aca="false">IF(G93&gt;0,(G43/G75)/G93,0)</f>
        <v>0.0316750430402346</v>
      </c>
      <c r="H94" s="67" t="n">
        <f aca="false">IF(H93&gt;0,(H43/H75)/H93,0)</f>
        <v>0.022310276133119</v>
      </c>
      <c r="I94" s="67" t="n">
        <f aca="false">IF(I93&gt;0,(I43/I75)/I93,0)</f>
        <v>0.0288065561398336</v>
      </c>
      <c r="J94" s="67" t="n">
        <f aca="false">IF(J93&gt;0,(J43/J75)/J93,0)</f>
        <v>0.0316750430402346</v>
      </c>
      <c r="K94" s="67" t="n">
        <f aca="false">IF(K93&gt;0,(K43/K75)/K93,0)</f>
        <v>0.0215206023817103</v>
      </c>
      <c r="L94" s="67" t="n">
        <f aca="false">IF(L93&gt;0,(L43/L75)/L93,0)</f>
        <v>0.0290009598158636</v>
      </c>
      <c r="M94" s="67" t="n">
        <f aca="false">IF(M93&gt;0,(M43/M75)/M93,0)</f>
        <v>0.0327358159916043</v>
      </c>
      <c r="N94" s="67" t="n">
        <f aca="false">IF(N93&gt;0,(N43/N75)/N93,0)</f>
        <v>0.0235988029007699</v>
      </c>
      <c r="O94" s="67" t="n">
        <f aca="false">IF(O93&gt;0,(O43/O75)/O93,0)</f>
        <v>0.0290538007994844</v>
      </c>
      <c r="P94" s="67" t="n">
        <f aca="false">IF(P93&gt;0,(P43/P75)/P93,0)</f>
        <v>0.033045227257514</v>
      </c>
      <c r="Q94" s="67" t="n">
        <f aca="false">IF(Q93&gt;0,(Q43/Q75)/Q93,0)</f>
        <v>0.024207435273478</v>
      </c>
      <c r="R94" s="67" t="n">
        <f aca="false">IF(R93&gt;0,(R43/R75)/R93,0)</f>
        <v>0.032463558926365</v>
      </c>
      <c r="S94" s="67" t="n">
        <f aca="false">IF(S93&gt;0,(S43/S75)/S93,0)</f>
        <v>0.023280194406424</v>
      </c>
    </row>
    <row r="95" customFormat="false" ht="15" hidden="false" customHeight="false" outlineLevel="0" collapsed="false">
      <c r="A95" s="44" t="s">
        <v>703</v>
      </c>
      <c r="B95" s="45" t="s">
        <v>300</v>
      </c>
      <c r="C95" s="51" t="n">
        <f aca="false">IF(C93&gt;0,C22*(C43+C44)/C93,0)</f>
        <v>69364.6509301956</v>
      </c>
      <c r="D95" s="51" t="n">
        <f aca="false">IF(D93&gt;0,D22*(D43+D44)/D93,0)</f>
        <v>17762.4554109758</v>
      </c>
      <c r="E95" s="51" t="n">
        <f aca="false">IF(E93&gt;0,E22*(E43+E44)/E93,0)</f>
        <v>4161.09302877641</v>
      </c>
      <c r="F95" s="51" t="n">
        <f aca="false">IF(F93&gt;0,F22*(F43+F44)/F93,0)</f>
        <v>580121.044653568</v>
      </c>
      <c r="G95" s="51" t="n">
        <f aca="false">IF(G93&gt;0,G22*(G43+G44)/G93,0)</f>
        <v>155462.231617562</v>
      </c>
      <c r="H95" s="51" t="n">
        <f aca="false">IF(H93&gt;0,H22*(H43+H44)/H93,0)</f>
        <v>36118.6899530816</v>
      </c>
      <c r="I95" s="51" t="n">
        <f aca="false">IF(I93&gt;0,I22*(I43+I44)/I93,0)</f>
        <v>870181.566980352</v>
      </c>
      <c r="J95" s="51" t="n">
        <f aca="false">IF(J93&gt;0,J22*(J43+J44)/J93,0)</f>
        <v>233193.347426342</v>
      </c>
      <c r="K95" s="51" t="n">
        <f aca="false">IF(K93&gt;0,K22*(K43+K44)/K93,0)</f>
        <v>52260.3996734942</v>
      </c>
      <c r="L95" s="51" t="n">
        <f aca="false">IF(L93&gt;0,L22*(L43+L44)/L93,0)</f>
        <v>2044126.15584226</v>
      </c>
      <c r="M95" s="51" t="n">
        <f aca="false">IF(M93&gt;0,M22*(M43+M44)/M93,0)</f>
        <v>562339.899741978</v>
      </c>
      <c r="N95" s="51" t="n">
        <f aca="false">IF(N93&gt;0,N22*(N43+N44)/N93,0)</f>
        <v>133716.518815301</v>
      </c>
      <c r="O95" s="51" t="n">
        <f aca="false">IF(O93&gt;0,O22*(O43+O44)/O93,0)</f>
        <v>8542462.67278178</v>
      </c>
      <c r="P95" s="51" t="n">
        <f aca="false">IF(P93&gt;0,P22*(P43+P44)/P93,0)</f>
        <v>2367932.30562185</v>
      </c>
      <c r="Q95" s="51" t="n">
        <f aca="false">IF(Q93&gt;0,Q22*(Q43+Q44)/Q93,0)</f>
        <v>572174.73787337</v>
      </c>
      <c r="R95" s="56" t="n">
        <f aca="false">IF(R93&gt;0,R22*(R43+R44)/R93,0)</f>
        <v>278831.517085168</v>
      </c>
      <c r="S95" s="56" t="n">
        <f aca="false">IF(S93&gt;0,S22*(S43+S44)/S93,0)</f>
        <v>65955.6030545284</v>
      </c>
    </row>
    <row r="96" customFormat="false" ht="15" hidden="false" customHeight="false" outlineLevel="0" collapsed="false">
      <c r="A96" s="44" t="s">
        <v>704</v>
      </c>
      <c r="B96" s="45" t="s">
        <v>300</v>
      </c>
      <c r="C96" s="56" t="n">
        <f aca="false">C95*C44/(C43+C44)</f>
        <v>46243.1006201304</v>
      </c>
      <c r="D96" s="56" t="n">
        <f aca="false">D95*D44/(D43+D44)</f>
        <v>11841.6369406506</v>
      </c>
      <c r="E96" s="56" t="n">
        <f aca="false">E95*E44/(E43+E44)</f>
        <v>2774.06201918427</v>
      </c>
      <c r="F96" s="56" t="n">
        <f aca="false">F95*F44/(F43+F44)</f>
        <v>386747.363102379</v>
      </c>
      <c r="G96" s="56" t="n">
        <f aca="false">G95*G44/(G43+G44)</f>
        <v>103641.487745041</v>
      </c>
      <c r="H96" s="56" t="n">
        <f aca="false">H95*H44/(H43+H44)</f>
        <v>24079.1266353877</v>
      </c>
      <c r="I96" s="56" t="n">
        <f aca="false">I95*I44/(I43+I44)</f>
        <v>580121.044653568</v>
      </c>
      <c r="J96" s="56" t="n">
        <f aca="false">J95*J44/(J43+J44)</f>
        <v>155462.231617562</v>
      </c>
      <c r="K96" s="56" t="n">
        <f aca="false">K95*K44/(K43+K44)</f>
        <v>34840.2664489961</v>
      </c>
      <c r="L96" s="56" t="n">
        <f aca="false">L95*L44/(L43+L44)</f>
        <v>1362750.7705615</v>
      </c>
      <c r="M96" s="56" t="n">
        <f aca="false">M95*M44/(M43+M44)</f>
        <v>374893.266494652</v>
      </c>
      <c r="N96" s="56" t="n">
        <f aca="false">N95*N44/(N43+N44)</f>
        <v>89144.3458768675</v>
      </c>
      <c r="O96" s="56" t="n">
        <f aca="false">O95*O44/(O43+O44)</f>
        <v>5694975.11518786</v>
      </c>
      <c r="P96" s="56" t="n">
        <f aca="false">P95*P44/(P43+P44)</f>
        <v>1578621.53708123</v>
      </c>
      <c r="Q96" s="56" t="n">
        <f aca="false">Q95*Q44/(Q43+Q44)</f>
        <v>381449.825248913</v>
      </c>
      <c r="R96" s="56" t="n">
        <f aca="false">R95*R44/(R43+R44)</f>
        <v>185887.678056779</v>
      </c>
      <c r="S96" s="56" t="n">
        <f aca="false">S95*S44/(S43+S44)</f>
        <v>43970.4020363522</v>
      </c>
    </row>
    <row r="97" customFormat="false" ht="15" hidden="false" customHeight="false" outlineLevel="0" collapsed="false">
      <c r="A97" s="44" t="s">
        <v>705</v>
      </c>
      <c r="B97" s="45" t="s">
        <v>300</v>
      </c>
      <c r="C97" s="56" t="n">
        <f aca="false">C95-C96</f>
        <v>23121.5503100652</v>
      </c>
      <c r="D97" s="56" t="n">
        <f aca="false">D95-D96</f>
        <v>5920.81847032528</v>
      </c>
      <c r="E97" s="56" t="n">
        <f aca="false">E95-E96</f>
        <v>1387.03100959214</v>
      </c>
      <c r="F97" s="56" t="n">
        <f aca="false">F95-F96</f>
        <v>193373.681551189</v>
      </c>
      <c r="G97" s="56" t="n">
        <f aca="false">G95-G96</f>
        <v>51820.7438725206</v>
      </c>
      <c r="H97" s="56" t="n">
        <f aca="false">H95-H96</f>
        <v>12039.5633176939</v>
      </c>
      <c r="I97" s="56" t="n">
        <f aca="false">I95-I96</f>
        <v>290060.522326784</v>
      </c>
      <c r="J97" s="56" t="n">
        <f aca="false">J95-J96</f>
        <v>77731.1158087808</v>
      </c>
      <c r="K97" s="56" t="n">
        <f aca="false">K95-K96</f>
        <v>17420.1332244981</v>
      </c>
      <c r="L97" s="56" t="n">
        <f aca="false">L95-L96</f>
        <v>681375.385280752</v>
      </c>
      <c r="M97" s="56" t="n">
        <f aca="false">M95-M96</f>
        <v>187446.633247326</v>
      </c>
      <c r="N97" s="56" t="n">
        <f aca="false">N95-N96</f>
        <v>44572.1729384337</v>
      </c>
      <c r="O97" s="56" t="n">
        <f aca="false">O95-O96</f>
        <v>2847487.55759393</v>
      </c>
      <c r="P97" s="56" t="n">
        <f aca="false">P95-P96</f>
        <v>789310.768540617</v>
      </c>
      <c r="Q97" s="56" t="n">
        <f aca="false">Q95-Q96</f>
        <v>190724.912624457</v>
      </c>
      <c r="R97" s="56" t="n">
        <f aca="false">R95-R96</f>
        <v>92943.8390283894</v>
      </c>
      <c r="S97" s="56" t="n">
        <f aca="false">S95-S96</f>
        <v>21985.2010181761</v>
      </c>
    </row>
    <row r="98" customFormat="false" ht="15" hidden="false" customHeight="false" outlineLevel="0" collapsed="false">
      <c r="A98" s="44" t="s">
        <v>706</v>
      </c>
      <c r="B98" s="45" t="s">
        <v>707</v>
      </c>
      <c r="C98" s="51" t="n">
        <f aca="false">C95*C25*8760*3600/1000000</f>
        <v>49084945212.4937</v>
      </c>
      <c r="D98" s="51" t="n">
        <f aca="false">D95*D25*8760*3600/1000000</f>
        <v>12569358296.9877</v>
      </c>
      <c r="E98" s="51" t="n">
        <f aca="false">E95*E25*8760*3600/1000000</f>
        <v>2944540491.48351</v>
      </c>
      <c r="F98" s="51" t="n">
        <f aca="false">F95*F25*8760*3600/1000000</f>
        <v>129453277841.443</v>
      </c>
      <c r="G98" s="51" t="n">
        <f aca="false">G95*G25*8760*3600/1000000</f>
        <v>34691200481.1981</v>
      </c>
      <c r="H98" s="51" t="n">
        <f aca="false">H95*H25*8760*3600/1000000</f>
        <v>8059840009.00606</v>
      </c>
      <c r="I98" s="51" t="n">
        <f aca="false">I95*I25*8760*3600/1000000</f>
        <v>184273338193.603</v>
      </c>
      <c r="J98" s="51" t="n">
        <f aca="false">J95*J25*8760*3600/1000000</f>
        <v>49382011990.7954</v>
      </c>
      <c r="K98" s="51" t="n">
        <f aca="false">K95*K25*8760*3600/1000000</f>
        <v>11066883818.9537</v>
      </c>
      <c r="L98" s="51" t="n">
        <f aca="false">L95*L25*8760*3600/1000000</f>
        <v>261206355049.999</v>
      </c>
      <c r="M98" s="51" t="n">
        <f aca="false">M95*M25*8760*3600/1000000</f>
        <v>71857969769.1218</v>
      </c>
      <c r="N98" s="51" t="n">
        <f aca="false">N95*N25*8760*3600/1000000</f>
        <v>17086814524.58</v>
      </c>
      <c r="O98" s="51" t="n">
        <f aca="false">O95*O25*8760*3600/1000000</f>
        <v>412982692667.282</v>
      </c>
      <c r="P98" s="51" t="n">
        <f aca="false">P95*P25*8760*3600/1000000</f>
        <v>114476948520.409</v>
      </c>
      <c r="Q98" s="51" t="n">
        <f aca="false">Q95*Q25*8760*3600/1000000</f>
        <v>27661609183.9699</v>
      </c>
      <c r="R98" s="56" t="n">
        <f aca="false">R95*R25*8760*3600/1000000</f>
        <v>35630170888.777</v>
      </c>
      <c r="S98" s="56" t="n">
        <f aca="false">S95*S25*8760*3600/1000000</f>
        <v>8428062338.40266</v>
      </c>
    </row>
    <row r="99" customFormat="false" ht="15" hidden="false" customHeight="false" outlineLevel="0" collapsed="false">
      <c r="A99" s="44" t="s">
        <v>708</v>
      </c>
      <c r="B99" s="45" t="s">
        <v>707</v>
      </c>
      <c r="C99" s="56" t="n">
        <f aca="false">C96*C25*8760*3600/1000000</f>
        <v>32723296808.3292</v>
      </c>
      <c r="D99" s="56" t="n">
        <f aca="false">D96*D25*8760*3600/1000000</f>
        <v>8379572197.99182</v>
      </c>
      <c r="E99" s="56" t="n">
        <f aca="false">E96*E25*8760*3600/1000000</f>
        <v>1963026994.32234</v>
      </c>
      <c r="F99" s="56" t="n">
        <f aca="false">F96*F25*8760*3600/1000000</f>
        <v>86302185227.6288</v>
      </c>
      <c r="G99" s="56" t="n">
        <f aca="false">G96*G25*8760*3600/1000000</f>
        <v>23127466987.4654</v>
      </c>
      <c r="H99" s="56" t="n">
        <f aca="false">H96*H25*8760*3600/1000000</f>
        <v>5373226672.67071</v>
      </c>
      <c r="I99" s="56" t="n">
        <f aca="false">I96*I25*8760*3600/1000000</f>
        <v>122848892129.069</v>
      </c>
      <c r="J99" s="56" t="n">
        <f aca="false">J96*J25*8760*3600/1000000</f>
        <v>32921341327.1969</v>
      </c>
      <c r="K99" s="56" t="n">
        <f aca="false">K96*K25*8760*3600/1000000</f>
        <v>7377922545.96916</v>
      </c>
      <c r="L99" s="56" t="n">
        <f aca="false">L96*L25*8760*3600/1000000</f>
        <v>174137570033.333</v>
      </c>
      <c r="M99" s="56" t="n">
        <f aca="false">M96*M25*8760*3600/1000000</f>
        <v>47905313179.4145</v>
      </c>
      <c r="N99" s="56" t="n">
        <f aca="false">N96*N25*8760*3600/1000000</f>
        <v>11391209683.0534</v>
      </c>
      <c r="O99" s="56" t="n">
        <f aca="false">O96*O25*8760*3600/1000000</f>
        <v>275321795111.521</v>
      </c>
      <c r="P99" s="56" t="n">
        <f aca="false">P96*P25*8760*3600/1000000</f>
        <v>76317965680.2727</v>
      </c>
      <c r="Q99" s="56" t="n">
        <f aca="false">Q96*Q25*8760*3600/1000000</f>
        <v>18441072789.3132</v>
      </c>
      <c r="R99" s="56" t="n">
        <f aca="false">R96*R25*8760*3600/1000000</f>
        <v>23753447259.1846</v>
      </c>
      <c r="S99" s="56" t="n">
        <f aca="false">S96*S25*8760*3600/1000000</f>
        <v>5618708225.60177</v>
      </c>
    </row>
    <row r="100" customFormat="false" ht="15" hidden="false" customHeight="false" outlineLevel="0" collapsed="false">
      <c r="A100" s="72" t="s">
        <v>709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</row>
    <row r="101" customFormat="false" ht="15" hidden="false" customHeight="false" outlineLevel="0" collapsed="false">
      <c r="A101" s="44" t="s">
        <v>710</v>
      </c>
      <c r="B101" s="45" t="s">
        <v>711</v>
      </c>
      <c r="C101" s="55" t="n">
        <f aca="false">1000000/C75</f>
        <v>108.395355283813</v>
      </c>
      <c r="D101" s="55" t="n">
        <f aca="false">1000000/D75</f>
        <v>444.764656735725</v>
      </c>
      <c r="E101" s="55" t="n">
        <f aca="false">1000000/E75</f>
        <v>1348.3756725619</v>
      </c>
      <c r="F101" s="55" t="n">
        <f aca="false">1000000/F75</f>
        <v>10.7257204053333</v>
      </c>
      <c r="G101" s="55" t="n">
        <f aca="false">1000000/G75</f>
        <v>44.009462784</v>
      </c>
      <c r="H101" s="55" t="n">
        <f aca="false">1000000/H75</f>
        <v>133.4217728</v>
      </c>
      <c r="I101" s="55" t="n">
        <f aca="false">1000000/I75</f>
        <v>7.15048027022222</v>
      </c>
      <c r="J101" s="55" t="n">
        <f aca="false">1000000/J75</f>
        <v>29.339641856</v>
      </c>
      <c r="K101" s="55" t="n">
        <f aca="false">1000000/K75</f>
        <v>88.9478485333333</v>
      </c>
      <c r="L101" s="55" t="n">
        <f aca="false">1000000/L75</f>
        <v>3.06449154438095</v>
      </c>
      <c r="M101" s="55" t="n">
        <f aca="false">1000000/M75</f>
        <v>12.574132224</v>
      </c>
      <c r="N101" s="55" t="n">
        <f aca="false">1000000/N75</f>
        <v>38.1205065142857</v>
      </c>
      <c r="O101" s="55" t="n">
        <f aca="false">1000000/O75</f>
        <v>1.46927676785388</v>
      </c>
      <c r="P101" s="55" t="n">
        <f aca="false">1000000/P75</f>
        <v>6.02869353205479</v>
      </c>
      <c r="Q101" s="55" t="n">
        <f aca="false">1000000/Q75</f>
        <v>18.2769551780822</v>
      </c>
      <c r="R101" s="55" t="n">
        <f aca="false">1000000/R75</f>
        <v>25.148264448</v>
      </c>
      <c r="S101" s="55" t="n">
        <f aca="false">1000000/S75</f>
        <v>76.2410130285714</v>
      </c>
    </row>
    <row r="102" customFormat="false" ht="15" hidden="false" customHeight="false" outlineLevel="0" collapsed="false">
      <c r="A102" s="44" t="s">
        <v>712</v>
      </c>
      <c r="B102" s="45" t="s">
        <v>711</v>
      </c>
      <c r="C102" s="100" t="n">
        <f aca="false">1000000*C34/(C62*1000000000000)</f>
        <v>0.02795</v>
      </c>
      <c r="D102" s="100" t="n">
        <f aca="false">1000000*D34/(D62*1000000000000)</f>
        <v>0.03965</v>
      </c>
      <c r="E102" s="100" t="n">
        <f aca="false">1000000*E34/(E62*1000000000000)</f>
        <v>0.576</v>
      </c>
      <c r="F102" s="100" t="n">
        <f aca="false">1000000*F34/(F62*1000000000000)</f>
        <v>0.02795</v>
      </c>
      <c r="G102" s="100" t="n">
        <f aca="false">1000000*G34/(G62*1000000000000)</f>
        <v>0.03965</v>
      </c>
      <c r="H102" s="100" t="n">
        <f aca="false">1000000*H34/(H62*1000000000000)</f>
        <v>0.576</v>
      </c>
      <c r="I102" s="100" t="n">
        <f aca="false">1000000*I34/(I62*1000000000000)</f>
        <v>0.02795</v>
      </c>
      <c r="J102" s="100" t="n">
        <f aca="false">1000000*J34/(J62*1000000000000)</f>
        <v>0.03965</v>
      </c>
      <c r="K102" s="100" t="n">
        <f aca="false">1000000*K34/(K62*1000000000000)</f>
        <v>0.576</v>
      </c>
      <c r="L102" s="100" t="n">
        <f aca="false">1000000*L34/(L62*1000000000000)</f>
        <v>0.02795</v>
      </c>
      <c r="M102" s="100" t="n">
        <f aca="false">1000000*M34/(M62*1000000000000)</f>
        <v>0.03965</v>
      </c>
      <c r="N102" s="100" t="n">
        <f aca="false">1000000*N34/(N62*1000000000000)</f>
        <v>0.576</v>
      </c>
      <c r="O102" s="100" t="n">
        <f aca="false">1000000*O34/(O62*1000000000000)</f>
        <v>0.02795</v>
      </c>
      <c r="P102" s="100" t="n">
        <f aca="false">1000000*P34/(P62*1000000000000)</f>
        <v>0.03965</v>
      </c>
      <c r="Q102" s="100" t="n">
        <f aca="false">1000000*Q34/(Q62*1000000000000)</f>
        <v>0.576</v>
      </c>
      <c r="R102" s="100" t="n">
        <f aca="false">1000000*R34/(R62*1000000000000)</f>
        <v>0.03965</v>
      </c>
      <c r="S102" s="100" t="n">
        <f aca="false">1000000*S34/(S62*1000000000000)</f>
        <v>0.576</v>
      </c>
    </row>
    <row r="103" customFormat="false" ht="15" hidden="false" customHeight="false" outlineLevel="0" collapsed="false">
      <c r="A103" s="45" t="s">
        <v>713</v>
      </c>
      <c r="B103" s="45" t="s">
        <v>711</v>
      </c>
      <c r="C103" s="55" t="n">
        <f aca="false">IF(C88&gt;0,1000000/C88,0)</f>
        <v>637.797443162555</v>
      </c>
      <c r="D103" s="55" t="n">
        <f aca="false">IF(D88&gt;0,1000000/D88,0)</f>
        <v>2479.94676349518</v>
      </c>
      <c r="E103" s="55" t="n">
        <f aca="false">IF(E88&gt;0,1000000/E88,0)</f>
        <v>10861.2427989035</v>
      </c>
      <c r="F103" s="55" t="n">
        <f aca="false">IF(F88&gt;0,1000000/F88,0)</f>
        <v>180.805183510512</v>
      </c>
      <c r="G103" s="55" t="n">
        <f aca="false">IF(G88&gt;0,1000000/G88,0)</f>
        <v>672.697762430943</v>
      </c>
      <c r="H103" s="55" t="n">
        <f aca="false">IF(H88&gt;0,1000000/H88,0)</f>
        <v>2923.43078652038</v>
      </c>
      <c r="I103" s="55" t="n">
        <f aca="false">IF(I88&gt;0,1000000/I88,0)</f>
        <v>120.536789007008</v>
      </c>
      <c r="J103" s="55" t="n">
        <f aca="false">IF(J88&gt;0,1000000/J88,0)</f>
        <v>448.465174953962</v>
      </c>
      <c r="K103" s="55" t="n">
        <f aca="false">IF(K88&gt;0,1000000/K88,0)</f>
        <v>2022.10039729897</v>
      </c>
      <c r="L103" s="55" t="n">
        <f aca="false">IF(L88&gt;0,1000000/L88,0)</f>
        <v>51.3020666753698</v>
      </c>
      <c r="M103" s="55" t="n">
        <f aca="false">IF(M88&gt;0,1000000/M88,0)</f>
        <v>185.7675970011</v>
      </c>
      <c r="N103" s="55" t="n">
        <f aca="false">IF(N88&gt;0,1000000/N88,0)</f>
        <v>788.618565761301</v>
      </c>
      <c r="O103" s="55" t="n">
        <f aca="false">IF(O88&gt;0,1000000/O88,0)</f>
        <v>24.5508101189064</v>
      </c>
      <c r="P103" s="55" t="n">
        <f aca="false">IF(P88&gt;0,1000000/P88,0)</f>
        <v>88.2044771366583</v>
      </c>
      <c r="Q103" s="55" t="n">
        <f aca="false">IF(Q88&gt;0,1000000/Q88,0)</f>
        <v>368.368576991554</v>
      </c>
      <c r="R103" s="55" t="n">
        <f aca="false">IF(R88&gt;0,1000000/R88,0)</f>
        <v>374.756543766303</v>
      </c>
      <c r="S103" s="55" t="n">
        <f aca="false">IF(S88&gt;0,1000000/S88,0)</f>
        <v>1599.34462151603</v>
      </c>
    </row>
    <row r="104" customFormat="false" ht="15" hidden="false" customHeight="false" outlineLevel="0" collapsed="false">
      <c r="A104" s="44" t="s">
        <v>714</v>
      </c>
      <c r="B104" s="45" t="s">
        <v>715</v>
      </c>
      <c r="C104" s="101" t="n">
        <f aca="false">INDEX(DC_Cost!$C$58:$Q$58,3*(C$6-1)+2)/3600*C101</f>
        <v>0.0483271434681444</v>
      </c>
      <c r="D104" s="101" t="n">
        <f aca="false">INDEX(DC_Cost!$C$58:$Q$58,3*(D$6-1)+2)/3600*D101</f>
        <v>0.19829452396137</v>
      </c>
      <c r="E104" s="101" t="n">
        <f aca="false">INDEX(DC_Cost!$C$58:$Q$58,3*(E$6-1)+2)/3600*E101</f>
        <v>0.60116177862268</v>
      </c>
      <c r="F104" s="101" t="n">
        <f aca="false">INDEX(DC_Cost!$C$58:$Q$58,3*(F$6-1)+2)/3600*F101</f>
        <v>0.00618744383847664</v>
      </c>
      <c r="G104" s="101" t="n">
        <f aca="false">INDEX(DC_Cost!$C$58:$Q$58,3*(G$6-1)+2)/3600*G101</f>
        <v>0.0253881388892185</v>
      </c>
      <c r="H104" s="101" t="n">
        <f aca="false">INDEX(DC_Cost!$C$58:$Q$58,3*(H$6-1)+2)/3600*H101</f>
        <v>0.0769682310215259</v>
      </c>
      <c r="I104" s="101" t="n">
        <f aca="false">INDEX(DC_Cost!$C$58:$Q$58,3*(I$6-1)+2)/3600*I101</f>
        <v>0.00593393108910576</v>
      </c>
      <c r="J104" s="101" t="n">
        <f aca="false">INDEX(DC_Cost!$C$58:$Q$58,3*(J$6-1)+2)/3600*J101</f>
        <v>0.0243479327783861</v>
      </c>
      <c r="K104" s="101" t="n">
        <f aca="false">INDEX(DC_Cost!$C$58:$Q$58,3*(K$6-1)+2)/3600*K101</f>
        <v>0.0738146787033388</v>
      </c>
      <c r="L104" s="101" t="n">
        <f aca="false">INDEX(DC_Cost!$C$58:$Q$58,3*(L$6-1)+2)/3600*L101</f>
        <v>0.00401508218987209</v>
      </c>
      <c r="M104" s="101" t="n">
        <f aca="false">INDEX(DC_Cost!$C$58:$Q$58,3*(M$6-1)+2)/3600*M101</f>
        <v>0.0164745680040301</v>
      </c>
      <c r="N104" s="101" t="n">
        <f aca="false">INDEX(DC_Cost!$C$58:$Q$58,3*(N$6-1)+2)/3600*N101</f>
        <v>0.0499453056266566</v>
      </c>
      <c r="O104" s="101" t="n">
        <f aca="false">INDEX(DC_Cost!$C$58:$Q$58,3*(O$6-1)+2)/3600*O101</f>
        <v>0.00353878887847531</v>
      </c>
      <c r="P104" s="101" t="n">
        <f aca="false">INDEX(DC_Cost!$C$58:$Q$58,3*(P$6-1)+2)/3600*P101</f>
        <v>0.0145202551961219</v>
      </c>
      <c r="Q104" s="101" t="n">
        <f aca="false">INDEX(DC_Cost!$C$58:$Q$58,3*(Q$6-1)+2)/3600*Q101</f>
        <v>0.0440204916675176</v>
      </c>
      <c r="R104" s="75" t="n">
        <f aca="false">INDEX(DC_Cost!$C$58:$Q$58,3*(R$6-1)+2)/3600*R101</f>
        <v>0.0329491360080601</v>
      </c>
      <c r="S104" s="75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44" t="s">
        <v>716</v>
      </c>
      <c r="B105" s="45" t="s">
        <v>715</v>
      </c>
      <c r="C105" s="101" t="n">
        <f aca="false">IF(C103&gt;0,INDEX(DC_Cost!$C$58:$Q$58,3*(C$6-1)+2)/3600*C103,0)</f>
        <v>0.284356543309704</v>
      </c>
      <c r="D105" s="101" t="n">
        <f aca="false">IF(D103&gt;0,INDEX(DC_Cost!$C$58:$Q$58,3*(D$6-1)+2)/3600*D103,0)</f>
        <v>1.10566308601498</v>
      </c>
      <c r="E105" s="101" t="n">
        <f aca="false">IF(E103&gt;0,INDEX(DC_Cost!$C$58:$Q$58,3*(E$6-1)+2)/3600*E103,0)</f>
        <v>4.84239234799891</v>
      </c>
      <c r="F105" s="101" t="n">
        <f aca="false">IF(F103&gt;0,INDEX(DC_Cost!$C$58:$Q$58,3*(F$6-1)+2)/3600*F103,0)</f>
        <v>0.104302729923901</v>
      </c>
      <c r="G105" s="101" t="n">
        <f aca="false">IF(G103&gt;0,INDEX(DC_Cost!$C$58:$Q$58,3*(G$6-1)+2)/3600*G103,0)</f>
        <v>0.388065273754542</v>
      </c>
      <c r="H105" s="101" t="n">
        <f aca="false">IF(H103&gt;0,INDEX(DC_Cost!$C$58:$Q$58,3*(H$6-1)+2)/3600*H103,0)</f>
        <v>1.68646609492766</v>
      </c>
      <c r="I105" s="101" t="n">
        <f aca="false">IF(I103&gt;0,INDEX(DC_Cost!$C$58:$Q$58,3*(I$6-1)+2)/3600*I103,0)</f>
        <v>0.100029224980637</v>
      </c>
      <c r="J105" s="101" t="n">
        <f aca="false">IF(J103&gt;0,INDEX(DC_Cost!$C$58:$Q$58,3*(J$6-1)+2)/3600*J103,0)</f>
        <v>0.372165413157327</v>
      </c>
      <c r="K105" s="101" t="n">
        <f aca="false">IF(K103&gt;0,INDEX(DC_Cost!$C$58:$Q$58,3*(K$6-1)+2)/3600*K103,0)</f>
        <v>1.67806971830894</v>
      </c>
      <c r="L105" s="101" t="n">
        <f aca="false">IF(L103&gt;0,INDEX(DC_Cost!$C$58:$Q$58,3*(L$6-1)+2)/3600*L103,0)</f>
        <v>0.0672157228136576</v>
      </c>
      <c r="M105" s="101" t="n">
        <f aca="false">IF(M103&gt;0,INDEX(DC_Cost!$C$58:$Q$58,3*(M$6-1)+2)/3600*M103,0)</f>
        <v>0.243391818633692</v>
      </c>
      <c r="N105" s="101" t="n">
        <f aca="false">IF(N103&gt;0,INDEX(DC_Cost!$C$58:$Q$58,3*(N$6-1)+2)/3600*N103,0)</f>
        <v>1.03324427955969</v>
      </c>
      <c r="O105" s="101" t="n">
        <f aca="false">IF(O103&gt;0,INDEX(DC_Cost!$C$58:$Q$58,3*(O$6-1)+2)/3600*O103,0)</f>
        <v>0.0591312240873771</v>
      </c>
      <c r="P105" s="101" t="n">
        <f aca="false">IF(P103&gt;0,INDEX(DC_Cost!$C$58:$Q$58,3*(P$6-1)+2)/3600*P103,0)</f>
        <v>0.212442631335458</v>
      </c>
      <c r="Q105" s="101" t="n">
        <f aca="false">IF(Q103&gt;0,INDEX(DC_Cost!$C$58:$Q$58,3*(Q$6-1)+2)/3600*Q103,0)</f>
        <v>0.887224689015927</v>
      </c>
      <c r="R105" s="75" t="n">
        <f aca="false">IF(R103&gt;0,INDEX(DC_Cost!$C$58:$Q$58,3*(R$6-1)+2)/3600*R103,0)</f>
        <v>0.491004234347809</v>
      </c>
      <c r="S105" s="75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72" t="s">
        <v>717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</row>
    <row r="107" customFormat="false" ht="15" hidden="false" customHeight="false" outlineLevel="0" collapsed="false">
      <c r="A107" s="44" t="s">
        <v>718</v>
      </c>
      <c r="B107" s="45" t="s">
        <v>719</v>
      </c>
      <c r="C107" s="102" t="n">
        <f aca="false">C23*Energy!$C$5/(C14*1000000000000000)*1000000000000</f>
        <v>0.212228398180899</v>
      </c>
      <c r="D107" s="102" t="n">
        <f aca="false">D23*Energy!$C$5/(D14*1000000000000000)*1000000000000</f>
        <v>0.212228398180899</v>
      </c>
      <c r="E107" s="102" t="n">
        <f aca="false">E23*Energy!$C$5/(E14*1000000000000000)*1000000000000</f>
        <v>0.212228398180899</v>
      </c>
      <c r="F107" s="102" t="n">
        <f aca="false">F23*Energy!$C$5/(F14*1000000000000000)*1000000000000</f>
        <v>0.072</v>
      </c>
      <c r="G107" s="102" t="n">
        <f aca="false">G23*Energy!$C$5/(G14*1000000000000000)*1000000000000</f>
        <v>0.072</v>
      </c>
      <c r="H107" s="102" t="n">
        <f aca="false">H23*Energy!$C$5/(H14*1000000000000000)*1000000000000</f>
        <v>0.072</v>
      </c>
      <c r="I107" s="102" t="n">
        <f aca="false">I23*Energy!$C$5/(I14*1000000000000000)*1000000000000</f>
        <v>0.056</v>
      </c>
      <c r="J107" s="102" t="n">
        <f aca="false">J23*Energy!$C$5/(J14*1000000000000000)*1000000000000</f>
        <v>0.056</v>
      </c>
      <c r="K107" s="102" t="n">
        <f aca="false">K23*Energy!$C$5/(K14*1000000000000000)*1000000000000</f>
        <v>0.056</v>
      </c>
      <c r="L107" s="102" t="n">
        <f aca="false">L23*Energy!$C$5/(L14*1000000000000000)*1000000000000</f>
        <v>0.0308571428571429</v>
      </c>
      <c r="M107" s="102" t="n">
        <f aca="false">M23*Energy!$C$5/(M14*1000000000000000)*1000000000000</f>
        <v>0.0308571428571429</v>
      </c>
      <c r="N107" s="102" t="n">
        <f aca="false">N23*Energy!$C$5/(N14*1000000000000000)*1000000000000</f>
        <v>0.0308571428571429</v>
      </c>
      <c r="O107" s="102" t="n">
        <f aca="false">O23*Energy!$C$5/(O14*1000000000000000)*1000000000000</f>
        <v>0.0295890410958904</v>
      </c>
      <c r="P107" s="102" t="n">
        <f aca="false">P23*Energy!$C$5/(P14*1000000000000000)*1000000000000</f>
        <v>0.0295890410958904</v>
      </c>
      <c r="Q107" s="102" t="n">
        <f aca="false">Q23*Energy!$C$5/(Q14*1000000000000000)*1000000000000</f>
        <v>0.0295890410958904</v>
      </c>
      <c r="R107" s="102" t="n">
        <f aca="false">R23*Energy!$C$5/(R14*1000000000000000)*1000000000000</f>
        <v>0.0617142857142857</v>
      </c>
      <c r="S107" s="102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45" t="s">
        <v>720</v>
      </c>
      <c r="B108" s="45" t="s">
        <v>647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45" t="s">
        <v>721</v>
      </c>
      <c r="B109" s="45" t="s">
        <v>409</v>
      </c>
      <c r="C109" s="55" t="n">
        <f aca="false">(C47+1)*C65/C49</f>
        <v>60.7098301902882</v>
      </c>
      <c r="D109" s="55" t="n">
        <f aca="false">(D47+1)*D65/D49</f>
        <v>211.321525716542</v>
      </c>
      <c r="E109" s="55" t="n">
        <f aca="false">(E47+1)*E65/E49</f>
        <v>822.836594709831</v>
      </c>
      <c r="F109" s="55" t="n">
        <f aca="false">(F47+1)*F65/F49</f>
        <v>60.7098301902882</v>
      </c>
      <c r="G109" s="55" t="n">
        <f aca="false">(G47+1)*G65/G49</f>
        <v>211.321525716542</v>
      </c>
      <c r="H109" s="55" t="n">
        <f aca="false">(H47+1)*H65/H49</f>
        <v>822.836594709831</v>
      </c>
      <c r="I109" s="55" t="n">
        <f aca="false">(I47+1)*I65/I49</f>
        <v>60.7098301902882</v>
      </c>
      <c r="J109" s="55" t="n">
        <f aca="false">(J47+1)*J65/J49</f>
        <v>211.321525716542</v>
      </c>
      <c r="K109" s="55" t="n">
        <f aca="false">(K47+1)*K65/K49</f>
        <v>822.836594709831</v>
      </c>
      <c r="L109" s="55" t="n">
        <f aca="false">(L47+1)*L65/L49</f>
        <v>60.7098301902882</v>
      </c>
      <c r="M109" s="55" t="n">
        <f aca="false">(M47+1)*M65/M49</f>
        <v>211.321525716542</v>
      </c>
      <c r="N109" s="55" t="n">
        <f aca="false">(N47+1)*N65/N49</f>
        <v>822.836594709831</v>
      </c>
      <c r="O109" s="55" t="n">
        <f aca="false">(O47+1)*O65/O49</f>
        <v>60.7098301902882</v>
      </c>
      <c r="P109" s="55" t="n">
        <f aca="false">(P47+1)*P65/P49</f>
        <v>211.321525716542</v>
      </c>
      <c r="Q109" s="55" t="n">
        <f aca="false">(Q47+1)*Q65/Q49</f>
        <v>822.836594709831</v>
      </c>
      <c r="R109" s="55" t="n">
        <f aca="false">(R47+1)*R65/R49</f>
        <v>211.321525716542</v>
      </c>
      <c r="S109" s="55" t="n">
        <f aca="false">(S47+1)*S65/S49</f>
        <v>822.836594709831</v>
      </c>
    </row>
    <row r="110" customFormat="false" ht="15" hidden="false" customHeight="false" outlineLevel="0" collapsed="false">
      <c r="A110" s="45" t="s">
        <v>722</v>
      </c>
      <c r="B110" s="45" t="s">
        <v>261</v>
      </c>
      <c r="C110" s="99" t="n">
        <f aca="false">IF(C87&gt;0,(C72+C87*C34*C45/1000000000)/(C87*C49),0)</f>
        <v>0.0582146401116633</v>
      </c>
      <c r="D110" s="99" t="n">
        <f aca="false">IF(D87&gt;0,(D72+D87*D34*D45/1000000000)/(D87*D49),0)</f>
        <v>0.707500629699145</v>
      </c>
      <c r="E110" s="99" t="n">
        <f aca="false">IF(E87&gt;0,(E72+E87*E34*E45/1000000000)/(E87*E49),0)</f>
        <v>4.25247164995027</v>
      </c>
      <c r="F110" s="99" t="n">
        <f aca="false">IF(F87&gt;0,(F72+F87*F34*F45/1000000000)/(F87*F49),0)</f>
        <v>0.0237565142091855</v>
      </c>
      <c r="G110" s="99" t="n">
        <f aca="false">IF(G87&gt;0,(G72+G87*G34*G45/1000000000)/(G87*G49),0)</f>
        <v>0.280843176805413</v>
      </c>
      <c r="H110" s="99" t="n">
        <f aca="false">IF(H87&gt;0,(H72+H87*H34*H45/1000000000)/(H87*H49),0)</f>
        <v>2.82029920261617</v>
      </c>
      <c r="I110" s="99" t="n">
        <f aca="false">IF(I87&gt;0,(I72+I87*I34*I45/1000000000)/(I87*I49),0)</f>
        <v>0.018850788391069</v>
      </c>
      <c r="J110" s="99" t="n">
        <f aca="false">IF(J87&gt;0,(J72+J87*J34*J45/1000000000)/(J87*J49),0)</f>
        <v>0.195777614646167</v>
      </c>
      <c r="K110" s="99" t="n">
        <f aca="false">IF(K87&gt;0,(K72+K87*K34*K45/1000000000)/(K87*K49),0)</f>
        <v>2.63747482985148</v>
      </c>
      <c r="L110" s="99" t="n">
        <f aca="false">IF(L87&gt;0,(L72+L87*L34*L45/1000000000)/(L87*L49),0)</f>
        <v>0.0132152215628753</v>
      </c>
      <c r="M110" s="99" t="n">
        <f aca="false">IF(M87&gt;0,(M72+M87*M34*M45/1000000000)/(M87*M49),0)</f>
        <v>0.0961198557188361</v>
      </c>
      <c r="N110" s="99" t="n">
        <f aca="false">IF(N87&gt;0,(N72+N87*N34*N45/1000000000)/(N87*N49),0)</f>
        <v>1.48314935315096</v>
      </c>
      <c r="O110" s="99" t="n">
        <f aca="false">IF(O87&gt;0,(O72+O87*O34*O45/1000000000)/(O87*O49),0)</f>
        <v>0.0105630818338009</v>
      </c>
      <c r="P110" s="99" t="n">
        <f aca="false">IF(P87&gt;0,(P72+P87*P34*P45/1000000000)/(P87*P49),0)</f>
        <v>0.0494384067106834</v>
      </c>
      <c r="Q110" s="99" t="n">
        <f aca="false">IF(Q87&gt;0,(Q72+Q87*Q34*Q45/1000000000)/(Q87*Q49),0)</f>
        <v>0.988868664748606</v>
      </c>
      <c r="R110" s="99" t="n">
        <f aca="false">IF(R87&gt;0,(R72+R87*R34*R45/1000000000)/(R87*R49),0)</f>
        <v>0.231722930665017</v>
      </c>
      <c r="S110" s="99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45" t="s">
        <v>723</v>
      </c>
      <c r="B111" s="45" t="s">
        <v>261</v>
      </c>
      <c r="C111" s="53" t="n">
        <f aca="false">(C47+1)*C29*C31*C30*C59/C49/1000000000</f>
        <v>0.00500640189498618</v>
      </c>
      <c r="D111" s="53" t="n">
        <f aca="false">(D47+1)*D29*D31*D30*D59/D49/1000000000</f>
        <v>0.0124286837741808</v>
      </c>
      <c r="E111" s="53" t="n">
        <f aca="false">(E47+1)*E29*E31*E30*E59/E49/1000000000</f>
        <v>0.0931423608369523</v>
      </c>
      <c r="F111" s="53" t="n">
        <f aca="false">(F47+1)*F29*F31*F30*F59/F49/1000000000</f>
        <v>0.00500640189498618</v>
      </c>
      <c r="G111" s="53" t="n">
        <f aca="false">(G47+1)*G29*G31*G30*G59/G49/1000000000</f>
        <v>0.0124286837741808</v>
      </c>
      <c r="H111" s="53" t="n">
        <f aca="false">(H47+1)*H29*H31*H30*H59/H49/1000000000</f>
        <v>0.0931423608369523</v>
      </c>
      <c r="I111" s="53" t="n">
        <f aca="false">(I47+1)*I29*I31*I30*I59/I49/1000000000</f>
        <v>0.00500640189498618</v>
      </c>
      <c r="J111" s="53" t="n">
        <f aca="false">(J47+1)*J29*J31*J30*J59/J49/1000000000</f>
        <v>0.0124286837741808</v>
      </c>
      <c r="K111" s="53" t="n">
        <f aca="false">(K47+1)*K29*K31*K30*K59/K49/1000000000</f>
        <v>0.0931423608369523</v>
      </c>
      <c r="L111" s="53" t="n">
        <f aca="false">(L47+1)*L29*L31*L30*L59/L49/1000000000</f>
        <v>0.00500640189498618</v>
      </c>
      <c r="M111" s="53" t="n">
        <f aca="false">(M47+1)*M29*M31*M30*M59/M49/1000000000</f>
        <v>0.0124286837741808</v>
      </c>
      <c r="N111" s="53" t="n">
        <f aca="false">(N47+1)*N29*N31*N30*N59/N49/1000000000</f>
        <v>0.0931423608369523</v>
      </c>
      <c r="O111" s="53" t="n">
        <f aca="false">(O47+1)*O29*O31*O30*O59/O49/1000000000</f>
        <v>0.00500640189498618</v>
      </c>
      <c r="P111" s="53" t="n">
        <f aca="false">(P47+1)*P29*P31*P30*P59/P49/1000000000</f>
        <v>0.0124286837741808</v>
      </c>
      <c r="Q111" s="53" t="n">
        <f aca="false">(Q47+1)*Q29*Q31*Q30*Q59/Q49/1000000000</f>
        <v>0.0931423608369523</v>
      </c>
      <c r="R111" s="53" t="n">
        <f aca="false">(R47+1)*R29*R31*R30*R59/R49/1000000000</f>
        <v>0.0124286837741808</v>
      </c>
      <c r="S111" s="53" t="n">
        <f aca="false">(S47+1)*S29*S31*S30*S59/S49/1000000000</f>
        <v>0.0931423608369523</v>
      </c>
    </row>
    <row r="112" customFormat="false" ht="15" hidden="false" customHeight="false" outlineLevel="0" collapsed="false">
      <c r="A112" s="45" t="s">
        <v>724</v>
      </c>
      <c r="B112" s="45" t="s">
        <v>725</v>
      </c>
      <c r="C112" s="53" t="n">
        <f aca="false">(C109*C107+C110*C24+C111*C108)/1000</f>
        <v>0.0148892599343803</v>
      </c>
      <c r="D112" s="53" t="n">
        <f aca="false">(D109*D107+D110*D24+D111*D108)/1000</f>
        <v>0.0672780957756061</v>
      </c>
      <c r="E112" s="53" t="n">
        <f aca="false">(E109*E107+E110*E24+E111*E108)/1000</f>
        <v>0.31018160804183</v>
      </c>
      <c r="F112" s="53" t="n">
        <f aca="false">(F109*F107+F110*F24+F111*F108)/1000</f>
        <v>0.00501508464788025</v>
      </c>
      <c r="G112" s="53" t="n">
        <f aca="false">(G109*G107+G110*G24+G111*G108)/1000</f>
        <v>0.0223605161094681</v>
      </c>
      <c r="H112" s="53" t="n">
        <f aca="false">(H109*H107+H110*H24+H111*H108)/1000</f>
        <v>0.130683138492882</v>
      </c>
      <c r="I112" s="53" t="n">
        <f aca="false">(I109*I107+I110*I24+I111*I108)/1000</f>
        <v>0.00392108421938273</v>
      </c>
      <c r="J112" s="53" t="n">
        <f aca="false">(J109*J107+J110*J24+J111*J108)/1000</f>
        <v>0.0168527326440223</v>
      </c>
      <c r="K112" s="53" t="n">
        <f aca="false">(K109*K107+K110*K24+K111*K108)/1000</f>
        <v>0.112947143658407</v>
      </c>
      <c r="L112" s="53" t="n">
        <f aca="false">(L109*L107+L110*L24+L111*L108)/1000</f>
        <v>0.00218770035322198</v>
      </c>
      <c r="M112" s="53" t="n">
        <f aca="false">(M109*M107+M110*M24+M111*M108)/1000</f>
        <v>0.00856746245994325</v>
      </c>
      <c r="N112" s="53" t="n">
        <f aca="false">(N109*N107+N110*N24+N111*N108)/1000</f>
        <v>0.0559847970224348</v>
      </c>
      <c r="O112" s="53" t="n">
        <f aca="false">(O109*O107+O110*O24+O111*O108)/1000</f>
        <v>0.00203654515238324</v>
      </c>
      <c r="P112" s="53" t="n">
        <f aca="false">(P109*P107+P110*P24+P111*P108)/1000</f>
        <v>0.00726697946740713</v>
      </c>
      <c r="Q112" s="53" t="n">
        <f aca="false">(Q109*Q107+Q110*Q24+Q111*Q108)/1000</f>
        <v>0.0430780053899161</v>
      </c>
      <c r="R112" s="53" t="n">
        <f aca="false">(R109*R107+R110*R24+R111*R108)/1000</f>
        <v>0.0178003024666916</v>
      </c>
      <c r="S112" s="53" t="n">
        <f aca="false">(S109*S107+S110*S24+S111*S108)/1000</f>
        <v>0.104594745742985</v>
      </c>
    </row>
    <row r="113" customFormat="false" ht="15" hidden="false" customHeight="false" outlineLevel="0" collapsed="false">
      <c r="A113" s="45" t="s">
        <v>726</v>
      </c>
      <c r="B113" s="45" t="s">
        <v>725</v>
      </c>
      <c r="C113" s="53" t="n">
        <f aca="false">C67*C107/1000</f>
        <v>0.00682890738288024</v>
      </c>
      <c r="D113" s="53" t="n">
        <f aca="false">D67*D107/1000</f>
        <v>0.0280201733743507</v>
      </c>
      <c r="E113" s="53" t="n">
        <f aca="false">E67*E107/1000</f>
        <v>0.0849476673713997</v>
      </c>
      <c r="F113" s="53" t="n">
        <f aca="false">F67*F107/1000</f>
        <v>0.002316755607552</v>
      </c>
      <c r="G113" s="53" t="n">
        <f aca="false">G67*G107/1000</f>
        <v>0.009506043961344</v>
      </c>
      <c r="H113" s="53" t="n">
        <f aca="false">H67*H107/1000</f>
        <v>0.0288191029248</v>
      </c>
      <c r="I113" s="53" t="n">
        <f aca="false">I67*I107/1000</f>
        <v>0.001801921028096</v>
      </c>
      <c r="J113" s="53" t="n">
        <f aca="false">J67*J107/1000</f>
        <v>0.007393589747712</v>
      </c>
      <c r="K113" s="53" t="n">
        <f aca="false">K67*K107/1000</f>
        <v>0.0224148578304</v>
      </c>
      <c r="L113" s="53" t="n">
        <f aca="false">L67*L107/1000</f>
        <v>0.000992895260379429</v>
      </c>
      <c r="M113" s="53" t="n">
        <f aca="false">M67*M107/1000</f>
        <v>0.004074018840576</v>
      </c>
      <c r="N113" s="53" t="n">
        <f aca="false">N67*N107/1000</f>
        <v>0.0123510441106286</v>
      </c>
      <c r="O113" s="53" t="n">
        <f aca="false">O67*O107/1000</f>
        <v>0.000952091345569315</v>
      </c>
      <c r="P113" s="53" t="n">
        <f aca="false">P67*P107/1000</f>
        <v>0.00390659340877151</v>
      </c>
      <c r="Q113" s="53" t="n">
        <f aca="false">Q67*Q107/1000</f>
        <v>0.0118434669553973</v>
      </c>
      <c r="R113" s="53" t="n">
        <f aca="false">R67*R107/1000</f>
        <v>0.008148037681152</v>
      </c>
      <c r="S113" s="53" t="n">
        <f aca="false">S67*S107/1000</f>
        <v>0.0247020882212571</v>
      </c>
    </row>
    <row r="114" customFormat="false" ht="15" hidden="false" customHeight="false" outlineLevel="0" collapsed="false">
      <c r="A114" s="44" t="s">
        <v>727</v>
      </c>
      <c r="B114" s="45" t="s">
        <v>651</v>
      </c>
      <c r="C114" s="55" t="n">
        <f aca="false">(C97*C113+C96*C112)/1000</f>
        <v>0.846420470920865</v>
      </c>
      <c r="D114" s="55" t="n">
        <f aca="false">(D97*D113+D96*D112)/1000</f>
        <v>0.962585144289615</v>
      </c>
      <c r="E114" s="55" t="n">
        <f aca="false">(E97*E113+E96*E112)/1000</f>
        <v>0.978288066754993</v>
      </c>
      <c r="F114" s="55" t="n">
        <f aca="false">(F97*F113+F96*F112)/1000</f>
        <v>2.3875703243896</v>
      </c>
      <c r="G114" s="55" t="n">
        <f aca="false">(G97*G113+G96*G112)/1000</f>
        <v>2.81008742569396</v>
      </c>
      <c r="H114" s="55" t="n">
        <f aca="false">(H97*H113+H96*H112)/1000</f>
        <v>3.49370525530228</v>
      </c>
      <c r="I114" s="55" t="n">
        <f aca="false">(I97*I113+I96*I112)/1000</f>
        <v>2.79736962812407</v>
      </c>
      <c r="J114" s="55" t="n">
        <f aca="false">(J97*J113+J96*J112)/1000</f>
        <v>3.19467540661585</v>
      </c>
      <c r="K114" s="55" t="n">
        <f aca="false">(K97*K113+K96*K112)/1000</f>
        <v>4.32557838932569</v>
      </c>
      <c r="L114" s="55" t="n">
        <f aca="false">(L97*L113+L96*L112)/1000</f>
        <v>3.65782473269539</v>
      </c>
      <c r="M114" s="55" t="n">
        <f aca="false">(M97*M113+M96*M112)/1000</f>
        <v>3.97554510263058</v>
      </c>
      <c r="N114" s="55" t="n">
        <f aca="false">(N97*N113+N96*N112)/1000</f>
        <v>5.54124098368331</v>
      </c>
      <c r="O114" s="55" t="n">
        <f aca="false">(O97*O113+O96*O112)/1000</f>
        <v>14.3091422239805</v>
      </c>
      <c r="P114" s="55" t="n">
        <f aca="false">(P97*P113+P96*P112)/1000</f>
        <v>14.5553265426291</v>
      </c>
      <c r="Q114" s="55" t="n">
        <f aca="false">(Q97*Q113+Q96*Q112)/1000</f>
        <v>18.690941828294</v>
      </c>
      <c r="R114" s="55" t="n">
        <f aca="false">(R97*R113+R96*R112)/1000</f>
        <v>4.0661667968759</v>
      </c>
      <c r="S114" s="55" t="n">
        <f aca="false">(S97*S113+S96*S112)/1000</f>
        <v>5.14215339632215</v>
      </c>
    </row>
    <row r="115" customFormat="false" ht="15" hidden="false" customHeight="false" outlineLevel="0" collapsed="false">
      <c r="A115" s="44" t="s">
        <v>728</v>
      </c>
      <c r="B115" s="45" t="s">
        <v>651</v>
      </c>
      <c r="C115" s="80" t="n">
        <f aca="false">C26*Inputs!$E$10</f>
        <v>32.8</v>
      </c>
      <c r="D115" s="80" t="n">
        <f aca="false">D26*Inputs!$E$10</f>
        <v>32.8</v>
      </c>
      <c r="E115" s="80" t="n">
        <f aca="false">E26*Inputs!$E$10</f>
        <v>32.8</v>
      </c>
      <c r="F115" s="80" t="n">
        <f aca="false">F26*Inputs!$E$10</f>
        <v>104</v>
      </c>
      <c r="G115" s="80" t="n">
        <f aca="false">G26*Inputs!$E$10</f>
        <v>104</v>
      </c>
      <c r="H115" s="80" t="n">
        <f aca="false">H26*Inputs!$E$10</f>
        <v>104</v>
      </c>
      <c r="I115" s="80" t="n">
        <f aca="false">I26*Inputs!$E$10</f>
        <v>109.6</v>
      </c>
      <c r="J115" s="80" t="n">
        <f aca="false">J26*Inputs!$E$10</f>
        <v>109.6</v>
      </c>
      <c r="K115" s="80" t="n">
        <f aca="false">K26*Inputs!$E$10</f>
        <v>109.6</v>
      </c>
      <c r="L115" s="80" t="n">
        <f aca="false">L26*Inputs!$E$10</f>
        <v>181.6</v>
      </c>
      <c r="M115" s="80" t="n">
        <f aca="false">M26*Inputs!$E$10</f>
        <v>181.6</v>
      </c>
      <c r="N115" s="80" t="n">
        <f aca="false">N26*Inputs!$E$10</f>
        <v>181.6</v>
      </c>
      <c r="O115" s="80" t="n">
        <f aca="false">O26*Inputs!$E$10</f>
        <v>480</v>
      </c>
      <c r="P115" s="80" t="n">
        <f aca="false">P26*Inputs!$E$10</f>
        <v>480</v>
      </c>
      <c r="Q115" s="80" t="n">
        <f aca="false">Q26*Inputs!$E$10</f>
        <v>480</v>
      </c>
      <c r="R115" s="80" t="n">
        <f aca="false">R26*Inputs!$E$10</f>
        <v>181.6</v>
      </c>
      <c r="S115" s="80" t="n">
        <f aca="false">S26*Inputs!$E$10</f>
        <v>181.6</v>
      </c>
    </row>
    <row r="116" customFormat="false" ht="15" hidden="false" customHeight="false" outlineLevel="0" collapsed="false">
      <c r="A116" s="44" t="s">
        <v>729</v>
      </c>
      <c r="B116" s="45" t="s">
        <v>57</v>
      </c>
      <c r="C116" s="103" t="n">
        <f aca="false">IF(C115&gt;0,C114/C115,0)</f>
        <v>0.0258055021622215</v>
      </c>
      <c r="D116" s="103" t="n">
        <f aca="false">IF(D115&gt;0,D114/D115,0)</f>
        <v>0.0293471080576102</v>
      </c>
      <c r="E116" s="103" t="n">
        <f aca="false">IF(E115&gt;0,E114/E115,0)</f>
        <v>0.0298258556937498</v>
      </c>
      <c r="F116" s="103" t="n">
        <f aca="false">IF(F115&gt;0,F114/F115,0)</f>
        <v>0.0229574069652846</v>
      </c>
      <c r="G116" s="103" t="n">
        <f aca="false">IF(G115&gt;0,G114/G115,0)</f>
        <v>0.0270200714009035</v>
      </c>
      <c r="H116" s="103" t="n">
        <f aca="false">IF(H115&gt;0,H114/H115,0)</f>
        <v>0.0335933197625219</v>
      </c>
      <c r="I116" s="103" t="n">
        <f aca="false">IF(I115&gt;0,I114/I115,0)</f>
        <v>0.0255234455120809</v>
      </c>
      <c r="J116" s="103" t="n">
        <f aca="false">IF(J115&gt;0,J114/J115,0)</f>
        <v>0.0291484982355461</v>
      </c>
      <c r="K116" s="103" t="n">
        <f aca="false">IF(K115&gt;0,K114/K115,0)</f>
        <v>0.0394669561069862</v>
      </c>
      <c r="L116" s="103" t="n">
        <f aca="false">IF(L115&gt;0,L114/L115,0)</f>
        <v>0.020142206677838</v>
      </c>
      <c r="M116" s="103" t="n">
        <f aca="false">IF(M115&gt;0,M114/M115,0)</f>
        <v>0.0218917681862917</v>
      </c>
      <c r="N116" s="103" t="n">
        <f aca="false">IF(N115&gt;0,N114/N115,0)</f>
        <v>0.0305134415401063</v>
      </c>
      <c r="O116" s="103" t="n">
        <f aca="false">IF(O115&gt;0,O114/O115,0)</f>
        <v>0.0298107129666261</v>
      </c>
      <c r="P116" s="103" t="n">
        <f aca="false">IF(P115&gt;0,P114/P115,0)</f>
        <v>0.0303235969638107</v>
      </c>
      <c r="Q116" s="103" t="n">
        <f aca="false">IF(Q115&gt;0,Q114/Q115,0)</f>
        <v>0.0389394621422792</v>
      </c>
      <c r="R116" s="67" t="n">
        <f aca="false">IF(R115&gt;0,R114/R115,0)</f>
        <v>0.0223907863264091</v>
      </c>
      <c r="S116" s="67" t="n">
        <f aca="false">IF(S115&gt;0,S114/S115,0)</f>
        <v>0.0283158226669722</v>
      </c>
    </row>
    <row r="117" customFormat="false" ht="15" hidden="false" customHeight="false" outlineLevel="0" collapsed="false">
      <c r="A117" s="45" t="s">
        <v>730</v>
      </c>
      <c r="B117" s="45" t="s">
        <v>731</v>
      </c>
      <c r="C117" s="104" t="n">
        <f aca="false">C95/(C115*1000)</f>
        <v>2.11477594299377</v>
      </c>
      <c r="D117" s="104" t="n">
        <f aca="false">D95/(D115*1000)</f>
        <v>0.541538274724873</v>
      </c>
      <c r="E117" s="104" t="n">
        <f aca="false">E95/(E115*1000)</f>
        <v>0.126862592340744</v>
      </c>
      <c r="F117" s="104" t="n">
        <f aca="false">F95/(F115*1000)</f>
        <v>5.57808696782277</v>
      </c>
      <c r="G117" s="104" t="n">
        <f aca="false">G95/(G115*1000)</f>
        <v>1.49482915016886</v>
      </c>
      <c r="H117" s="104" t="n">
        <f aca="false">H95/(H115*1000)</f>
        <v>0.347295095702708</v>
      </c>
      <c r="I117" s="104" t="n">
        <f aca="false">I95/(I115*1000)</f>
        <v>7.93961283741197</v>
      </c>
      <c r="J117" s="104" t="n">
        <f aca="false">J95/(J115*1000)</f>
        <v>2.12767652761261</v>
      </c>
      <c r="K117" s="104" t="n">
        <f aca="false">K95/(K115*1000)</f>
        <v>0.476828464174217</v>
      </c>
      <c r="L117" s="104" t="n">
        <f aca="false">L95/(L115*1000)</f>
        <v>11.2562012986908</v>
      </c>
      <c r="M117" s="104" t="n">
        <f aca="false">M95/(M115*1000)</f>
        <v>3.09658535100208</v>
      </c>
      <c r="N117" s="104" t="n">
        <f aca="false">N95/(N115*1000)</f>
        <v>0.736324442815535</v>
      </c>
      <c r="O117" s="104" t="n">
        <f aca="false">O95/(O115*1000)</f>
        <v>17.7967972349621</v>
      </c>
      <c r="P117" s="104" t="n">
        <f aca="false">P95/(P115*1000)</f>
        <v>4.93319230337885</v>
      </c>
      <c r="Q117" s="104" t="n">
        <f aca="false">Q95/(Q115*1000)</f>
        <v>1.19203070390285</v>
      </c>
      <c r="R117" s="52" t="n">
        <f aca="false">R95/(R115*1000)</f>
        <v>1.53541584298</v>
      </c>
      <c r="S117" s="52" t="n">
        <f aca="false">S95/(S115*1000)</f>
        <v>0.363191646776037</v>
      </c>
    </row>
    <row r="118" customFormat="false" ht="15" hidden="false" customHeight="false" outlineLevel="0" collapsed="false">
      <c r="A118" s="44" t="s">
        <v>732</v>
      </c>
      <c r="B118" s="45" t="s">
        <v>725</v>
      </c>
      <c r="C118" s="99" t="n">
        <f aca="false">IF(C96&gt;0,C115*1000*(1-C94)/C96,0)</f>
        <v>0.653742379241619</v>
      </c>
      <c r="D118" s="99" t="n">
        <f aca="false">IF(D96&gt;0,D115*1000*(1-D94)/D96,0)</f>
        <v>2.54194543258256</v>
      </c>
      <c r="E118" s="99" t="n">
        <f aca="false">IF(E96&gt;0,E115*1000*(1-E94)/E96,0)</f>
        <v>11.1327738688761</v>
      </c>
      <c r="F118" s="99" t="n">
        <f aca="false">IF(F96&gt;0,F115*1000*(1-F94)/F96,0)</f>
        <v>0.261163042848517</v>
      </c>
      <c r="G118" s="99" t="n">
        <f aca="false">IF(G96&gt;0,G115*1000*(1-G94)/G96,0)</f>
        <v>0.971674545733584</v>
      </c>
      <c r="H118" s="99" t="n">
        <f aca="false">IF(H96&gt;0,H115*1000*(1-H94)/H96,0)</f>
        <v>4.22273335830722</v>
      </c>
      <c r="I118" s="99" t="n">
        <f aca="false">IF(I96&gt;0,I115*1000*(1-I94)/I96,0)</f>
        <v>0.183483778821778</v>
      </c>
      <c r="J118" s="99" t="n">
        <f aca="false">IF(J96&gt;0,J115*1000*(1-J94)/J96,0)</f>
        <v>0.682663655207698</v>
      </c>
      <c r="K118" s="99" t="n">
        <f aca="false">IF(K96&gt;0,K115*1000*(1-K94)/K96,0)</f>
        <v>3.07808616033287</v>
      </c>
      <c r="L118" s="99" t="n">
        <f aca="false">IF(L96&gt;0,L115*1000*(1-L94)/L96,0)</f>
        <v>0.129395212614544</v>
      </c>
      <c r="M118" s="99" t="n">
        <f aca="false">IF(M96&gt;0,M115*1000*(1-M94)/M96,0)</f>
        <v>0.468547161324997</v>
      </c>
      <c r="N118" s="99" t="n">
        <f aca="false">IF(N96&gt;0,N115*1000*(1-N94)/N96,0)</f>
        <v>1.98907127142017</v>
      </c>
      <c r="O118" s="99" t="n">
        <f aca="false">IF(O96&gt;0,O115*1000*(1-O94)/O96,0)</f>
        <v>0.0818360337296881</v>
      </c>
      <c r="P118" s="99" t="n">
        <f aca="false">IF(P96&gt;0,P115*1000*(1-P94)/P96,0)</f>
        <v>0.294014923788861</v>
      </c>
      <c r="Q118" s="99" t="n">
        <f aca="false">IF(Q96&gt;0,Q115*1000*(1-Q94)/Q96,0)</f>
        <v>1.22789525663851</v>
      </c>
      <c r="R118" s="99" t="n">
        <f aca="false">IF(R96&gt;0,R115*1000*(1-R94)/R96,0)</f>
        <v>0.945219282610565</v>
      </c>
      <c r="S118" s="99" t="n">
        <f aca="false">IF(S96&gt;0,S115*1000*(1-S94)/S96,0)</f>
        <v>4.03390254537932</v>
      </c>
    </row>
    <row r="119" customFormat="false" ht="15" hidden="false" customHeight="false" outlineLevel="0" collapsed="false">
      <c r="A119" s="72" t="s">
        <v>905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</row>
    <row r="120" customFormat="false" ht="15" hidden="false" customHeight="false" outlineLevel="0" collapsed="false">
      <c r="A120" s="45" t="s">
        <v>906</v>
      </c>
      <c r="B120" s="45" t="s">
        <v>57</v>
      </c>
      <c r="C120" s="87" t="n">
        <f aca="false">IF(C88&gt;0,C88*C65*1000000000/(C14*1000000000000000),0)</f>
        <v>0.0304582991958243</v>
      </c>
      <c r="D120" s="87" t="n">
        <f aca="false">IF(D88&gt;0,D88*D65*1000000000/(D14*1000000000000000),0)</f>
        <v>0.027266587237052</v>
      </c>
      <c r="E120" s="87" t="n">
        <f aca="false">IF(E88&gt;0,E88*E65*1000000000/(E14*1000000000000000),0)</f>
        <v>0.0242417227624113</v>
      </c>
      <c r="F120" s="87" t="n">
        <f aca="false">IF(F88&gt;0,F88*F65*1000000000/(F14*1000000000000000),0)</f>
        <v>0.0212629412617282</v>
      </c>
      <c r="G120" s="87" t="n">
        <f aca="false">IF(G88&gt;0,G88*G65*1000000000/(G14*1000000000000000),0)</f>
        <v>0.0198929390929463</v>
      </c>
      <c r="H120" s="87" t="n">
        <f aca="false">IF(H88&gt;0,H88*H65*1000000000/(H14*1000000000000000),0)</f>
        <v>0.0178236227107738</v>
      </c>
      <c r="I120" s="87" t="n">
        <f aca="false">IF(I88&gt;0,I88*I65*1000000000/(I14*1000000000000000),0)</f>
        <v>0.0212629412617282</v>
      </c>
      <c r="J120" s="87" t="n">
        <f aca="false">IF(J88&gt;0,J88*J65*1000000000/(J14*1000000000000000),0)</f>
        <v>0.0198929390929463</v>
      </c>
      <c r="K120" s="87" t="n">
        <f aca="false">IF(K88&gt;0,K88*K65*1000000000/(K14*1000000000000000),0)</f>
        <v>0.017178879093442</v>
      </c>
      <c r="L120" s="87" t="n">
        <f aca="false">IF(L88&gt;0,L88*L65*1000000000/(L14*1000000000000000),0)</f>
        <v>0.0214107219451912</v>
      </c>
      <c r="M120" s="87" t="n">
        <f aca="false">IF(M88&gt;0,M88*M65*1000000000/(M14*1000000000000000),0)</f>
        <v>0.0205816850609171</v>
      </c>
      <c r="N120" s="87" t="n">
        <f aca="false">IF(N88&gt;0,N88*N65*1000000000/(N14*1000000000000000),0)</f>
        <v>0.0188779032175437</v>
      </c>
      <c r="O120" s="87" t="n">
        <f aca="false">IF(O88&gt;0,O88*O65*1000000000/(O14*1000000000000000),0)</f>
        <v>0.0214509005329097</v>
      </c>
      <c r="P120" s="87" t="n">
        <f aca="false">IF(P88&gt;0,P88*P65*1000000000/(P14*1000000000000000),0)</f>
        <v>0.0207828664112518</v>
      </c>
      <c r="Q120" s="87" t="n">
        <f aca="false">IF(Q88&gt;0,Q88*Q65*1000000000/(Q14*1000000000000000),0)</f>
        <v>0.0193768581567072</v>
      </c>
      <c r="R120" s="87" t="n">
        <f aca="false">IF(R88&gt;0,R88*R65*1000000000/(R14*1000000000000000),0)</f>
        <v>0.0204047680532792</v>
      </c>
      <c r="S120" s="87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45" t="s">
        <v>907</v>
      </c>
      <c r="B121" s="45" t="s">
        <v>57</v>
      </c>
      <c r="C121" s="130" t="n">
        <f aca="false">IF(C88&gt;0,C88*C65*1000000000/(INDEX(Spec_Rack!$C$40:$G$40,C$6)*1000000000000000),0)</f>
        <v>0.0304582991958243</v>
      </c>
      <c r="D121" s="130" t="n">
        <f aca="false">IF(D88&gt;0,D88*D65*1000000000/(INDEX(Spec_Rack!$C$40:$G$40,D$6)*1000000000000000),0)</f>
        <v>0.027266587237052</v>
      </c>
      <c r="E121" s="130" t="n">
        <f aca="false">IF(E88&gt;0,E88*E65*1000000000/(INDEX(Spec_Rack!$C$40:$G$40,E$6)*1000000000000000),0)</f>
        <v>0.0242417227624113</v>
      </c>
      <c r="F121" s="130" t="n">
        <f aca="false">IF(F88&gt;0,F88*F65*1000000000/(INDEX(Spec_Rack!$C$40:$G$40,F$6)*1000000000000000),0)</f>
        <v>0.0425258825234565</v>
      </c>
      <c r="G121" s="130" t="n">
        <f aca="false">IF(G88&gt;0,G88*G65*1000000000/(INDEX(Spec_Rack!$C$40:$G$40,G$6)*1000000000000000),0)</f>
        <v>0.0397858781858926</v>
      </c>
      <c r="H121" s="130" t="n">
        <f aca="false">IF(H88&gt;0,H88*H65*1000000000/(INDEX(Spec_Rack!$C$40:$G$40,H$6)*1000000000000000),0)</f>
        <v>0.0356472454215476</v>
      </c>
      <c r="I121" s="130" t="n">
        <f aca="false">IF(I88&gt;0,I88*I65*1000000000/(INDEX(Spec_Rack!$C$40:$G$40,I$6)*1000000000000000),0)</f>
        <v>0.0637888237851847</v>
      </c>
      <c r="J121" s="130" t="n">
        <f aca="false">IF(J88&gt;0,J88*J65*1000000000/(INDEX(Spec_Rack!$C$40:$G$40,J$6)*1000000000000000),0)</f>
        <v>0.0596788172788389</v>
      </c>
      <c r="K121" s="130" t="n">
        <f aca="false">IF(K88&gt;0,K88*K65*1000000000/(INDEX(Spec_Rack!$C$40:$G$40,K$6)*1000000000000000),0)</f>
        <v>0.0515366372803261</v>
      </c>
      <c r="L121" s="130" t="n">
        <f aca="false">IF(L88&gt;0,L88*L65*1000000000/(INDEX(Spec_Rack!$C$40:$G$40,L$6)*1000000000000000),0)</f>
        <v>0.0428214438903823</v>
      </c>
      <c r="M121" s="130" t="n">
        <f aca="false">IF(M88&gt;0,M88*M65*1000000000/(INDEX(Spec_Rack!$C$40:$G$40,M$6)*1000000000000000),0)</f>
        <v>0.0411633701218341</v>
      </c>
      <c r="N121" s="130" t="n">
        <f aca="false">IF(N88&gt;0,N88*N65*1000000000/(INDEX(Spec_Rack!$C$40:$G$40,N$6)*1000000000000000),0)</f>
        <v>0.0377558064350875</v>
      </c>
      <c r="O121" s="130" t="n">
        <f aca="false">IF(O88&gt;0,O88*O65*1000000000/(INDEX(Spec_Rack!$C$40:$G$40,O$6)*1000000000000000),0)</f>
        <v>0.0451272547234123</v>
      </c>
      <c r="P121" s="130" t="n">
        <f aca="false">IF(P88&gt;0,P88*P65*1000000000/(INDEX(Spec_Rack!$C$40:$G$40,P$6)*1000000000000000),0)</f>
        <v>0.0437218803464374</v>
      </c>
      <c r="Q121" s="130" t="n">
        <f aca="false">IF(Q88&gt;0,Q88*Q65*1000000000/(INDEX(Spec_Rack!$C$40:$G$40,Q$6)*1000000000000000),0)</f>
        <v>0.0407639955458106</v>
      </c>
      <c r="R121" s="130" t="n">
        <f aca="false">IF(R88&gt;0,R88*R65*1000000000/(INDEX(Spec_Rack!$C$40:$G$40,R$6)*1000000000000000),0)</f>
        <v>0.0204047680532792</v>
      </c>
      <c r="S121" s="130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1" t="s">
        <v>908</v>
      </c>
    </row>
    <row r="2" customFormat="false" ht="15" hidden="false" customHeight="false" outlineLevel="0" collapsed="false">
      <c r="A2" s="54" t="s">
        <v>909</v>
      </c>
    </row>
    <row r="4" customFormat="false" ht="15" hidden="false" customHeight="false" outlineLevel="0" collapsed="false">
      <c r="A4" s="9" t="s">
        <v>122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</row>
    <row r="5" customFormat="false" ht="15" hidden="false" customHeight="false" outlineLevel="0" collapsed="false">
      <c r="A5" s="9" t="s">
        <v>630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</row>
    <row r="6" customFormat="false" ht="15" hidden="false" customHeight="false" outlineLevel="0" collapsed="false">
      <c r="A6" s="9" t="s">
        <v>368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9" t="s">
        <v>631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</row>
    <row r="9" customFormat="false" ht="15" hidden="false" customHeight="false" outlineLevel="0" collapsed="false">
      <c r="A9" s="72" t="s">
        <v>910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5" t="s">
        <v>911</v>
      </c>
      <c r="B10" s="45" t="s">
        <v>392</v>
      </c>
      <c r="C10" s="75" t="n">
        <f aca="false">INDEX(Spec_Rack!$C$40:$G$40,C$6)</f>
        <v>1.979</v>
      </c>
      <c r="D10" s="75" t="n">
        <f aca="false">INDEX(Spec_Rack!$C$40:$G$40,D$6)</f>
        <v>1.979</v>
      </c>
      <c r="E10" s="75" t="n">
        <f aca="false">INDEX(Spec_Rack!$C$40:$G$40,E$6)</f>
        <v>1.979</v>
      </c>
      <c r="F10" s="75" t="n">
        <f aca="false">INDEX(Spec_Rack!$C$40:$G$40,F$6)</f>
        <v>5</v>
      </c>
      <c r="G10" s="75" t="n">
        <f aca="false">INDEX(Spec_Rack!$C$40:$G$40,G$6)</f>
        <v>5</v>
      </c>
      <c r="H10" s="75" t="n">
        <f aca="false">INDEX(Spec_Rack!$C$40:$G$40,H$6)</f>
        <v>5</v>
      </c>
      <c r="I10" s="75" t="n">
        <f aca="false">INDEX(Spec_Rack!$C$40:$G$40,I$6)</f>
        <v>5</v>
      </c>
      <c r="J10" s="75" t="n">
        <f aca="false">INDEX(Spec_Rack!$C$40:$G$40,J$6)</f>
        <v>5</v>
      </c>
      <c r="K10" s="75" t="n">
        <f aca="false">INDEX(Spec_Rack!$C$40:$G$40,K$6)</f>
        <v>5</v>
      </c>
      <c r="L10" s="75" t="n">
        <f aca="false">INDEX(Spec_Rack!$C$40:$G$40,L$6)</f>
        <v>17.5</v>
      </c>
      <c r="M10" s="75" t="n">
        <f aca="false">INDEX(Spec_Rack!$C$40:$G$40,M$6)</f>
        <v>17.5</v>
      </c>
      <c r="N10" s="75" t="n">
        <f aca="false">INDEX(Spec_Rack!$C$40:$G$40,N$6)</f>
        <v>17.5</v>
      </c>
      <c r="O10" s="75" t="n">
        <f aca="false">INDEX(Spec_Rack!$C$40:$G$40,O$6)</f>
        <v>34.7</v>
      </c>
      <c r="P10" s="75" t="n">
        <f aca="false">INDEX(Spec_Rack!$C$40:$G$40,P$6)</f>
        <v>34.7</v>
      </c>
      <c r="Q10" s="75" t="n">
        <f aca="false">INDEX(Spec_Rack!$C$40:$G$40,Q$6)</f>
        <v>34.7</v>
      </c>
    </row>
    <row r="11" customFormat="false" ht="15" hidden="false" customHeight="false" outlineLevel="0" collapsed="false">
      <c r="A11" s="44" t="s">
        <v>912</v>
      </c>
      <c r="B11" s="45" t="s">
        <v>61</v>
      </c>
      <c r="C11" s="79" t="n">
        <f aca="false">Tech_Registry!$E$25</f>
        <v>1</v>
      </c>
      <c r="D11" s="79" t="n">
        <f aca="false">Tech_Registry!$E$25</f>
        <v>1</v>
      </c>
      <c r="E11" s="79" t="n">
        <f aca="false">Tech_Registry!$E$25</f>
        <v>1</v>
      </c>
      <c r="F11" s="79" t="n">
        <f aca="false">Tech_Registry!$E$25</f>
        <v>1</v>
      </c>
      <c r="G11" s="79" t="n">
        <f aca="false">Tech_Registry!$E$25</f>
        <v>1</v>
      </c>
      <c r="H11" s="79" t="n">
        <f aca="false">Tech_Registry!$E$25</f>
        <v>1</v>
      </c>
      <c r="I11" s="79" t="n">
        <f aca="false">Tech_Registry!$E$25</f>
        <v>1</v>
      </c>
      <c r="J11" s="79" t="n">
        <f aca="false">Tech_Registry!$E$25</f>
        <v>1</v>
      </c>
      <c r="K11" s="79" t="n">
        <f aca="false">Tech_Registry!$E$25</f>
        <v>1</v>
      </c>
      <c r="L11" s="79" t="n">
        <f aca="false">Tech_Registry!$E$25</f>
        <v>1</v>
      </c>
      <c r="M11" s="79" t="n">
        <f aca="false">Tech_Registry!$E$25</f>
        <v>1</v>
      </c>
      <c r="N11" s="79" t="n">
        <f aca="false">Tech_Registry!$E$25</f>
        <v>1</v>
      </c>
      <c r="O11" s="79" t="n">
        <f aca="false">Tech_Registry!$E$25</f>
        <v>1</v>
      </c>
      <c r="P11" s="79" t="n">
        <f aca="false">Tech_Registry!$E$25</f>
        <v>1</v>
      </c>
      <c r="Q11" s="79" t="n">
        <f aca="false">Tech_Registry!$E$25</f>
        <v>1</v>
      </c>
    </row>
    <row r="12" customFormat="false" ht="15" hidden="false" customHeight="false" outlineLevel="0" collapsed="false">
      <c r="A12" s="44" t="s">
        <v>913</v>
      </c>
      <c r="B12" s="45" t="s">
        <v>392</v>
      </c>
      <c r="C12" s="100" t="n">
        <f aca="false">C10*C11</f>
        <v>1.979</v>
      </c>
      <c r="D12" s="100" t="n">
        <f aca="false">D10*D11</f>
        <v>1.979</v>
      </c>
      <c r="E12" s="100" t="n">
        <f aca="false">E10*E11</f>
        <v>1.979</v>
      </c>
      <c r="F12" s="100" t="n">
        <f aca="false">F10*F11</f>
        <v>5</v>
      </c>
      <c r="G12" s="100" t="n">
        <f aca="false">G10*G11</f>
        <v>5</v>
      </c>
      <c r="H12" s="100" t="n">
        <f aca="false">H10*H11</f>
        <v>5</v>
      </c>
      <c r="I12" s="100" t="n">
        <f aca="false">I10*I11</f>
        <v>5</v>
      </c>
      <c r="J12" s="100" t="n">
        <f aca="false">J10*J11</f>
        <v>5</v>
      </c>
      <c r="K12" s="100" t="n">
        <f aca="false">K10*K11</f>
        <v>5</v>
      </c>
      <c r="L12" s="100" t="n">
        <f aca="false">L10*L11</f>
        <v>17.5</v>
      </c>
      <c r="M12" s="100" t="n">
        <f aca="false">M10*M11</f>
        <v>17.5</v>
      </c>
      <c r="N12" s="100" t="n">
        <f aca="false">N10*N11</f>
        <v>17.5</v>
      </c>
      <c r="O12" s="100" t="n">
        <f aca="false">O10*O11</f>
        <v>34.7</v>
      </c>
      <c r="P12" s="100" t="n">
        <f aca="false">P10*P11</f>
        <v>34.7</v>
      </c>
      <c r="Q12" s="100" t="n">
        <f aca="false">Q10*Q11</f>
        <v>34.7</v>
      </c>
    </row>
    <row r="13" customFormat="false" ht="15" hidden="false" customHeight="false" outlineLevel="0" collapsed="false">
      <c r="A13" s="44" t="s">
        <v>914</v>
      </c>
      <c r="B13" s="45" t="s">
        <v>57</v>
      </c>
      <c r="C13" s="81" t="n">
        <f aca="false">Train_In!$C$6</f>
        <v>0.25</v>
      </c>
      <c r="D13" s="81" t="n">
        <f aca="false">Train_In!$C$6</f>
        <v>0.25</v>
      </c>
      <c r="E13" s="81" t="n">
        <f aca="false">Train_In!$C$6</f>
        <v>0.25</v>
      </c>
      <c r="F13" s="81" t="n">
        <f aca="false">Train_In!$C$6</f>
        <v>0.25</v>
      </c>
      <c r="G13" s="81" t="n">
        <f aca="false">Train_In!$C$6</f>
        <v>0.25</v>
      </c>
      <c r="H13" s="81" t="n">
        <f aca="false">Train_In!$C$6</f>
        <v>0.25</v>
      </c>
      <c r="I13" s="81" t="n">
        <f aca="false">Train_In!$C$6</f>
        <v>0.25</v>
      </c>
      <c r="J13" s="81" t="n">
        <f aca="false">Train_In!$C$6</f>
        <v>0.25</v>
      </c>
      <c r="K13" s="81" t="n">
        <f aca="false">Train_In!$C$6</f>
        <v>0.25</v>
      </c>
      <c r="L13" s="81" t="n">
        <f aca="false">Train_In!$C$6</f>
        <v>0.25</v>
      </c>
      <c r="M13" s="81" t="n">
        <f aca="false">Train_In!$C$6</f>
        <v>0.25</v>
      </c>
      <c r="N13" s="81" t="n">
        <f aca="false">Train_In!$C$6</f>
        <v>0.25</v>
      </c>
      <c r="O13" s="81" t="n">
        <f aca="false">Train_In!$C$6</f>
        <v>0.25</v>
      </c>
      <c r="P13" s="81" t="n">
        <f aca="false">Train_In!$C$6</f>
        <v>0.25</v>
      </c>
      <c r="Q13" s="81" t="n">
        <f aca="false">Train_In!$C$6</f>
        <v>0.25</v>
      </c>
    </row>
    <row r="14" customFormat="false" ht="15" hidden="false" customHeight="false" outlineLevel="0" collapsed="false">
      <c r="A14" s="45" t="s">
        <v>915</v>
      </c>
      <c r="B14" s="45" t="s">
        <v>61</v>
      </c>
      <c r="C14" s="79" t="n">
        <f aca="false">INDEX(Train_In!$C$21:$G$21,C$6)</f>
        <v>0.8</v>
      </c>
      <c r="D14" s="79" t="n">
        <f aca="false">INDEX(Train_In!$C$21:$G$21,D$6)</f>
        <v>0.8</v>
      </c>
      <c r="E14" s="79" t="n">
        <f aca="false">INDEX(Train_In!$C$21:$G$21,E$6)</f>
        <v>0.8</v>
      </c>
      <c r="F14" s="79" t="n">
        <f aca="false">INDEX(Train_In!$C$21:$G$21,F$6)</f>
        <v>1</v>
      </c>
      <c r="G14" s="79" t="n">
        <f aca="false">INDEX(Train_In!$C$21:$G$21,G$6)</f>
        <v>1</v>
      </c>
      <c r="H14" s="79" t="n">
        <f aca="false">INDEX(Train_In!$C$21:$G$21,H$6)</f>
        <v>1</v>
      </c>
      <c r="I14" s="79" t="n">
        <f aca="false">INDEX(Train_In!$C$21:$G$21,I$6)</f>
        <v>1</v>
      </c>
      <c r="J14" s="79" t="n">
        <f aca="false">INDEX(Train_In!$C$21:$G$21,J$6)</f>
        <v>1</v>
      </c>
      <c r="K14" s="79" t="n">
        <f aca="false">INDEX(Train_In!$C$21:$G$21,K$6)</f>
        <v>1</v>
      </c>
      <c r="L14" s="79" t="n">
        <f aca="false">INDEX(Train_In!$C$21:$G$21,L$6)</f>
        <v>0.9</v>
      </c>
      <c r="M14" s="79" t="n">
        <f aca="false">INDEX(Train_In!$C$21:$G$21,M$6)</f>
        <v>0.9</v>
      </c>
      <c r="N14" s="79" t="n">
        <f aca="false">INDEX(Train_In!$C$21:$G$21,N$6)</f>
        <v>0.9</v>
      </c>
      <c r="O14" s="79" t="n">
        <f aca="false">INDEX(Train_In!$C$21:$G$21,O$6)</f>
        <v>0.9</v>
      </c>
      <c r="P14" s="79" t="n">
        <f aca="false">INDEX(Train_In!$C$21:$G$21,P$6)</f>
        <v>0.9</v>
      </c>
      <c r="Q14" s="79" t="n">
        <f aca="false">INDEX(Train_In!$C$21:$G$21,Q$6)</f>
        <v>0.9</v>
      </c>
    </row>
    <row r="15" customFormat="false" ht="15" hidden="false" customHeight="false" outlineLevel="0" collapsed="false">
      <c r="A15" s="44" t="s">
        <v>916</v>
      </c>
      <c r="B15" s="45" t="s">
        <v>61</v>
      </c>
      <c r="C15" s="79" t="n">
        <f aca="false">Tech_Registry!$E$26</f>
        <v>1</v>
      </c>
      <c r="D15" s="79" t="n">
        <f aca="false">Tech_Registry!$E$26</f>
        <v>1</v>
      </c>
      <c r="E15" s="79" t="n">
        <f aca="false">Tech_Registry!$E$26</f>
        <v>1</v>
      </c>
      <c r="F15" s="79" t="n">
        <f aca="false">Tech_Registry!$E$26</f>
        <v>1</v>
      </c>
      <c r="G15" s="79" t="n">
        <f aca="false">Tech_Registry!$E$26</f>
        <v>1</v>
      </c>
      <c r="H15" s="79" t="n">
        <f aca="false">Tech_Registry!$E$26</f>
        <v>1</v>
      </c>
      <c r="I15" s="79" t="n">
        <f aca="false">Tech_Registry!$E$26</f>
        <v>1</v>
      </c>
      <c r="J15" s="79" t="n">
        <f aca="false">Tech_Registry!$E$26</f>
        <v>1</v>
      </c>
      <c r="K15" s="79" t="n">
        <f aca="false">Tech_Registry!$E$26</f>
        <v>1</v>
      </c>
      <c r="L15" s="79" t="n">
        <f aca="false">Tech_Registry!$E$26</f>
        <v>1</v>
      </c>
      <c r="M15" s="79" t="n">
        <f aca="false">Tech_Registry!$E$26</f>
        <v>1</v>
      </c>
      <c r="N15" s="79" t="n">
        <f aca="false">Tech_Registry!$E$26</f>
        <v>1</v>
      </c>
      <c r="O15" s="79" t="n">
        <f aca="false">Tech_Registry!$E$26</f>
        <v>1</v>
      </c>
      <c r="P15" s="79" t="n">
        <f aca="false">Tech_Registry!$E$26</f>
        <v>1</v>
      </c>
      <c r="Q15" s="79" t="n">
        <f aca="false">Tech_Registry!$E$26</f>
        <v>1</v>
      </c>
    </row>
    <row r="16" customFormat="false" ht="15" hidden="false" customHeight="false" outlineLevel="0" collapsed="false">
      <c r="A16" s="44" t="s">
        <v>917</v>
      </c>
      <c r="B16" s="45" t="s">
        <v>57</v>
      </c>
      <c r="C16" s="87" t="n">
        <f aca="false">C13*C14*C15</f>
        <v>0.2</v>
      </c>
      <c r="D16" s="87" t="n">
        <f aca="false">D13*D14*D15</f>
        <v>0.2</v>
      </c>
      <c r="E16" s="87" t="n">
        <f aca="false">E13*E14*E15</f>
        <v>0.2</v>
      </c>
      <c r="F16" s="87" t="n">
        <f aca="false">F13*F14*F15</f>
        <v>0.25</v>
      </c>
      <c r="G16" s="87" t="n">
        <f aca="false">G13*G14*G15</f>
        <v>0.25</v>
      </c>
      <c r="H16" s="87" t="n">
        <f aca="false">H13*H14*H15</f>
        <v>0.25</v>
      </c>
      <c r="I16" s="87" t="n">
        <f aca="false">I13*I14*I15</f>
        <v>0.25</v>
      </c>
      <c r="J16" s="87" t="n">
        <f aca="false">J13*J14*J15</f>
        <v>0.25</v>
      </c>
      <c r="K16" s="87" t="n">
        <f aca="false">K13*K14*K15</f>
        <v>0.25</v>
      </c>
      <c r="L16" s="87" t="n">
        <f aca="false">L13*L14*L15</f>
        <v>0.225</v>
      </c>
      <c r="M16" s="87" t="n">
        <f aca="false">M13*M14*M15</f>
        <v>0.225</v>
      </c>
      <c r="N16" s="87" t="n">
        <f aca="false">N13*N14*N15</f>
        <v>0.225</v>
      </c>
      <c r="O16" s="87" t="n">
        <f aca="false">O13*O14*O15</f>
        <v>0.225</v>
      </c>
      <c r="P16" s="87" t="n">
        <f aca="false">P13*P14*P15</f>
        <v>0.225</v>
      </c>
      <c r="Q16" s="87" t="n">
        <f aca="false">Q13*Q14*Q15</f>
        <v>0.225</v>
      </c>
    </row>
    <row r="17" customFormat="false" ht="15" hidden="false" customHeight="false" outlineLevel="0" collapsed="false">
      <c r="A17" s="45" t="s">
        <v>918</v>
      </c>
      <c r="B17" s="45" t="s">
        <v>57</v>
      </c>
      <c r="C17" s="81" t="n">
        <f aca="false">Train_In!$C$7</f>
        <v>0.9</v>
      </c>
      <c r="D17" s="81" t="n">
        <f aca="false">Train_In!$C$7</f>
        <v>0.9</v>
      </c>
      <c r="E17" s="81" t="n">
        <f aca="false">Train_In!$C$7</f>
        <v>0.9</v>
      </c>
      <c r="F17" s="81" t="n">
        <f aca="false">Train_In!$C$7</f>
        <v>0.9</v>
      </c>
      <c r="G17" s="81" t="n">
        <f aca="false">Train_In!$C$7</f>
        <v>0.9</v>
      </c>
      <c r="H17" s="81" t="n">
        <f aca="false">Train_In!$C$7</f>
        <v>0.9</v>
      </c>
      <c r="I17" s="81" t="n">
        <f aca="false">Train_In!$C$7</f>
        <v>0.9</v>
      </c>
      <c r="J17" s="81" t="n">
        <f aca="false">Train_In!$C$7</f>
        <v>0.9</v>
      </c>
      <c r="K17" s="81" t="n">
        <f aca="false">Train_In!$C$7</f>
        <v>0.9</v>
      </c>
      <c r="L17" s="81" t="n">
        <f aca="false">Train_In!$C$7</f>
        <v>0.9</v>
      </c>
      <c r="M17" s="81" t="n">
        <f aca="false">Train_In!$C$7</f>
        <v>0.9</v>
      </c>
      <c r="N17" s="81" t="n">
        <f aca="false">Train_In!$C$7</f>
        <v>0.9</v>
      </c>
      <c r="O17" s="81" t="n">
        <f aca="false">Train_In!$C$7</f>
        <v>0.9</v>
      </c>
      <c r="P17" s="81" t="n">
        <f aca="false">Train_In!$C$7</f>
        <v>0.9</v>
      </c>
      <c r="Q17" s="81" t="n">
        <f aca="false">Train_In!$C$7</f>
        <v>0.9</v>
      </c>
    </row>
    <row r="18" customFormat="false" ht="15" hidden="false" customHeight="false" outlineLevel="0" collapsed="false">
      <c r="A18" s="44" t="s">
        <v>919</v>
      </c>
      <c r="B18" s="44" t="s">
        <v>643</v>
      </c>
      <c r="C18" s="76" t="n">
        <f aca="false">INDEX(DC_Cost!$C$14:$Q$14,3*(C$6-1)+2)</f>
        <v>718048</v>
      </c>
      <c r="D18" s="76" t="n">
        <f aca="false">INDEX(DC_Cost!$C$14:$Q$14,3*(D$6-1)+2)</f>
        <v>718048</v>
      </c>
      <c r="E18" s="76" t="n">
        <f aca="false">INDEX(DC_Cost!$C$14:$Q$14,3*(E$6-1)+2)</f>
        <v>718048</v>
      </c>
      <c r="F18" s="76" t="n">
        <f aca="false">INDEX(DC_Cost!$C$14:$Q$14,3*(F$6-1)+2)</f>
        <v>509472</v>
      </c>
      <c r="G18" s="76" t="n">
        <f aca="false">INDEX(DC_Cost!$C$14:$Q$14,3*(G$6-1)+2)</f>
        <v>509472</v>
      </c>
      <c r="H18" s="76" t="n">
        <f aca="false">INDEX(DC_Cost!$C$14:$Q$14,3*(H$6-1)+2)</f>
        <v>509472</v>
      </c>
      <c r="I18" s="76" t="n">
        <f aca="false">INDEX(DC_Cost!$C$14:$Q$14,3*(I$6-1)+2)</f>
        <v>483480</v>
      </c>
      <c r="J18" s="76" t="n">
        <f aca="false">INDEX(DC_Cost!$C$14:$Q$14,3*(J$6-1)+2)</f>
        <v>483480</v>
      </c>
      <c r="K18" s="76" t="n">
        <f aca="false">INDEX(DC_Cost!$C$14:$Q$14,3*(K$6-1)+2)</f>
        <v>483480</v>
      </c>
      <c r="L18" s="76" t="n">
        <f aca="false">INDEX(DC_Cost!$C$14:$Q$14,3*(L$6-1)+2)</f>
        <v>291744</v>
      </c>
      <c r="M18" s="76" t="n">
        <f aca="false">INDEX(DC_Cost!$C$14:$Q$14,3*(M$6-1)+2)</f>
        <v>291744</v>
      </c>
      <c r="N18" s="76" t="n">
        <f aca="false">INDEX(DC_Cost!$C$14:$Q$14,3*(N$6-1)+2)</f>
        <v>291744</v>
      </c>
      <c r="O18" s="76" t="n">
        <f aca="false">INDEX(DC_Cost!$C$14:$Q$14,3*(O$6-1)+2)</f>
        <v>220752</v>
      </c>
      <c r="P18" s="76" t="n">
        <f aca="false">INDEX(DC_Cost!$C$14:$Q$14,3*(P$6-1)+2)</f>
        <v>220752</v>
      </c>
      <c r="Q18" s="76" t="n">
        <f aca="false">INDEX(DC_Cost!$C$14:$Q$14,3*(Q$6-1)+2)</f>
        <v>220752</v>
      </c>
    </row>
    <row r="19" customFormat="false" ht="15" hidden="false" customHeight="false" outlineLevel="0" collapsed="false">
      <c r="A19" s="44" t="s">
        <v>920</v>
      </c>
      <c r="B19" s="45" t="s">
        <v>760</v>
      </c>
      <c r="C19" s="77" t="n">
        <f aca="false">INDEX(DC_Cost!$C$58:$Q$58,3*(C$6-1)+2)</f>
        <v>1.60502925637165</v>
      </c>
      <c r="D19" s="77" t="n">
        <f aca="false">INDEX(DC_Cost!$C$58:$Q$58,3*(D$6-1)+2)</f>
        <v>1.60502925637165</v>
      </c>
      <c r="E19" s="77" t="n">
        <f aca="false">INDEX(DC_Cost!$C$58:$Q$58,3*(E$6-1)+2)</f>
        <v>1.60502925637165</v>
      </c>
      <c r="F19" s="77" t="n">
        <f aca="false">INDEX(DC_Cost!$C$58:$Q$58,3*(F$6-1)+2)</f>
        <v>2.07676472784428</v>
      </c>
      <c r="G19" s="77" t="n">
        <f aca="false">INDEX(DC_Cost!$C$58:$Q$58,3*(G$6-1)+2)</f>
        <v>2.07676472784428</v>
      </c>
      <c r="H19" s="77" t="n">
        <f aca="false">INDEX(DC_Cost!$C$58:$Q$58,3*(H$6-1)+2)</f>
        <v>2.07676472784428</v>
      </c>
      <c r="I19" s="77" t="n">
        <f aca="false">INDEX(DC_Cost!$C$58:$Q$58,3*(I$6-1)+2)</f>
        <v>2.98751288214055</v>
      </c>
      <c r="J19" s="77" t="n">
        <f aca="false">INDEX(DC_Cost!$C$58:$Q$58,3*(J$6-1)+2)</f>
        <v>2.98751288214055</v>
      </c>
      <c r="K19" s="77" t="n">
        <f aca="false">INDEX(DC_Cost!$C$58:$Q$58,3*(K$6-1)+2)</f>
        <v>2.98751288214055</v>
      </c>
      <c r="L19" s="77" t="n">
        <f aca="false">INDEX(DC_Cost!$C$58:$Q$58,3*(L$6-1)+2)</f>
        <v>4.71670281161092</v>
      </c>
      <c r="M19" s="77" t="n">
        <f aca="false">INDEX(DC_Cost!$C$58:$Q$58,3*(M$6-1)+2)</f>
        <v>4.71670281161092</v>
      </c>
      <c r="N19" s="77" t="n">
        <f aca="false">INDEX(DC_Cost!$C$58:$Q$58,3*(N$6-1)+2)</f>
        <v>4.71670281161092</v>
      </c>
      <c r="O19" s="77" t="n">
        <f aca="false">INDEX(DC_Cost!$C$58:$Q$58,3*(O$6-1)+2)</f>
        <v>8.6706876752155</v>
      </c>
      <c r="P19" s="77" t="n">
        <f aca="false">INDEX(DC_Cost!$C$58:$Q$58,3*(P$6-1)+2)</f>
        <v>8.6706876752155</v>
      </c>
      <c r="Q19" s="77" t="n">
        <f aca="false">INDEX(DC_Cost!$C$58:$Q$58,3*(Q$6-1)+2)</f>
        <v>8.6706876752155</v>
      </c>
    </row>
    <row r="20" customFormat="false" ht="15" hidden="false" customHeight="false" outlineLevel="0" collapsed="false">
      <c r="A20" s="44" t="s">
        <v>921</v>
      </c>
      <c r="B20" s="45" t="s">
        <v>760</v>
      </c>
      <c r="C20" s="77" t="n">
        <f aca="false">INDEX(DC_Cost!$C$57:$Q$57,3*(C$6-1)+2)</f>
        <v>1.19184547960247</v>
      </c>
      <c r="D20" s="77" t="n">
        <f aca="false">INDEX(DC_Cost!$C$57:$Q$57,3*(D$6-1)+2)</f>
        <v>1.19184547960247</v>
      </c>
      <c r="E20" s="77" t="n">
        <f aca="false">INDEX(DC_Cost!$C$57:$Q$57,3*(E$6-1)+2)</f>
        <v>1.19184547960247</v>
      </c>
      <c r="F20" s="77" t="n">
        <f aca="false">INDEX(DC_Cost!$C$57:$Q$57,3*(F$6-1)+2)</f>
        <v>1.53851503181567</v>
      </c>
      <c r="G20" s="77" t="n">
        <f aca="false">INDEX(DC_Cost!$C$57:$Q$57,3*(G$6-1)+2)</f>
        <v>1.53851503181567</v>
      </c>
      <c r="H20" s="77" t="n">
        <f aca="false">INDEX(DC_Cost!$C$57:$Q$57,3*(H$6-1)+2)</f>
        <v>1.53851503181567</v>
      </c>
      <c r="I20" s="77" t="n">
        <f aca="false">INDEX(DC_Cost!$C$57:$Q$57,3*(I$6-1)+2)</f>
        <v>2.23024901025153</v>
      </c>
      <c r="J20" s="77" t="n">
        <f aca="false">INDEX(DC_Cost!$C$57:$Q$57,3*(J$6-1)+2)</f>
        <v>2.23024901025153</v>
      </c>
      <c r="K20" s="77" t="n">
        <f aca="false">INDEX(DC_Cost!$C$57:$Q$57,3*(K$6-1)+2)</f>
        <v>2.23024901025153</v>
      </c>
      <c r="L20" s="77" t="n">
        <f aca="false">INDEX(DC_Cost!$C$57:$Q$57,3*(L$6-1)+2)</f>
        <v>3.51747354574866</v>
      </c>
      <c r="M20" s="77" t="n">
        <f aca="false">INDEX(DC_Cost!$C$57:$Q$57,3*(M$6-1)+2)</f>
        <v>3.51747354574866</v>
      </c>
      <c r="N20" s="77" t="n">
        <f aca="false">INDEX(DC_Cost!$C$57:$Q$57,3*(N$6-1)+2)</f>
        <v>3.51747354574866</v>
      </c>
      <c r="O20" s="77" t="n">
        <f aca="false">INDEX(DC_Cost!$C$57:$Q$57,3*(O$6-1)+2)</f>
        <v>6.50608885234023</v>
      </c>
      <c r="P20" s="77" t="n">
        <f aca="false">INDEX(DC_Cost!$C$57:$Q$57,3*(P$6-1)+2)</f>
        <v>6.50608885234023</v>
      </c>
      <c r="Q20" s="77" t="n">
        <f aca="false">INDEX(DC_Cost!$C$57:$Q$57,3*(Q$6-1)+2)</f>
        <v>6.50608885234023</v>
      </c>
    </row>
    <row r="21" customFormat="false" ht="15" hidden="false" customHeight="false" outlineLevel="0" collapsed="false">
      <c r="A21" s="72" t="s">
        <v>652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</row>
    <row r="22" customFormat="false" ht="15" hidden="false" customHeight="false" outlineLevel="0" collapsed="false">
      <c r="A22" s="44" t="s">
        <v>216</v>
      </c>
      <c r="B22" s="45" t="s">
        <v>213</v>
      </c>
      <c r="C22" s="76" t="n">
        <f aca="false">INDEX(Arch!$C$7:$E$7,C$7)</f>
        <v>13</v>
      </c>
      <c r="D22" s="76" t="n">
        <f aca="false">INDEX(Arch!$C$7:$E$7,D$7)</f>
        <v>49</v>
      </c>
      <c r="E22" s="76" t="n">
        <f aca="false">INDEX(Arch!$C$7:$E$7,E$7)</f>
        <v>180</v>
      </c>
      <c r="F22" s="76" t="n">
        <f aca="false">INDEX(Arch!$C$7:$E$7,F$7)</f>
        <v>13</v>
      </c>
      <c r="G22" s="76" t="n">
        <f aca="false">INDEX(Arch!$C$7:$E$7,G$7)</f>
        <v>49</v>
      </c>
      <c r="H22" s="76" t="n">
        <f aca="false">INDEX(Arch!$C$7:$E$7,H$7)</f>
        <v>180</v>
      </c>
      <c r="I22" s="76" t="n">
        <f aca="false">INDEX(Arch!$C$7:$E$7,I$7)</f>
        <v>13</v>
      </c>
      <c r="J22" s="76" t="n">
        <f aca="false">INDEX(Arch!$C$7:$E$7,J$7)</f>
        <v>49</v>
      </c>
      <c r="K22" s="76" t="n">
        <f aca="false">INDEX(Arch!$C$7:$E$7,K$7)</f>
        <v>180</v>
      </c>
      <c r="L22" s="76" t="n">
        <f aca="false">INDEX(Arch!$C$7:$E$7,L$7)</f>
        <v>13</v>
      </c>
      <c r="M22" s="76" t="n">
        <f aca="false">INDEX(Arch!$C$7:$E$7,M$7)</f>
        <v>49</v>
      </c>
      <c r="N22" s="76" t="n">
        <f aca="false">INDEX(Arch!$C$7:$E$7,N$7)</f>
        <v>180</v>
      </c>
      <c r="O22" s="76" t="n">
        <f aca="false">INDEX(Arch!$C$7:$E$7,O$7)</f>
        <v>13</v>
      </c>
      <c r="P22" s="76" t="n">
        <f aca="false">INDEX(Arch!$C$7:$E$7,P$7)</f>
        <v>49</v>
      </c>
      <c r="Q22" s="76" t="n">
        <f aca="false">INDEX(Arch!$C$7:$E$7,Q$7)</f>
        <v>180</v>
      </c>
    </row>
    <row r="23" customFormat="false" ht="15" hidden="false" customHeight="false" outlineLevel="0" collapsed="false">
      <c r="A23" s="44" t="s">
        <v>403</v>
      </c>
      <c r="B23" s="45" t="s">
        <v>259</v>
      </c>
      <c r="C23" s="76" t="n">
        <f aca="false">INDEX(Arch!$C$30:$E$30,C$7)</f>
        <v>5636096</v>
      </c>
      <c r="D23" s="76" t="n">
        <f aca="false">INDEX(Arch!$C$30:$E$30,D$7)</f>
        <v>15990784</v>
      </c>
      <c r="E23" s="76" t="n">
        <f aca="false">INDEX(Arch!$C$30:$E$30,E$7)</f>
        <v>4915200</v>
      </c>
      <c r="F23" s="76" t="n">
        <f aca="false">INDEX(Arch!$C$30:$E$30,F$7)</f>
        <v>5636096</v>
      </c>
      <c r="G23" s="76" t="n">
        <f aca="false">INDEX(Arch!$C$30:$E$30,G$7)</f>
        <v>15990784</v>
      </c>
      <c r="H23" s="76" t="n">
        <f aca="false">INDEX(Arch!$C$30:$E$30,H$7)</f>
        <v>4915200</v>
      </c>
      <c r="I23" s="76" t="n">
        <f aca="false">INDEX(Arch!$C$30:$E$30,I$7)</f>
        <v>5636096</v>
      </c>
      <c r="J23" s="76" t="n">
        <f aca="false">INDEX(Arch!$C$30:$E$30,J$7)</f>
        <v>15990784</v>
      </c>
      <c r="K23" s="76" t="n">
        <f aca="false">INDEX(Arch!$C$30:$E$30,K$7)</f>
        <v>4915200</v>
      </c>
      <c r="L23" s="76" t="n">
        <f aca="false">INDEX(Arch!$C$30:$E$30,L$7)</f>
        <v>5636096</v>
      </c>
      <c r="M23" s="76" t="n">
        <f aca="false">INDEX(Arch!$C$30:$E$30,M$7)</f>
        <v>15990784</v>
      </c>
      <c r="N23" s="76" t="n">
        <f aca="false">INDEX(Arch!$C$30:$E$30,N$7)</f>
        <v>4915200</v>
      </c>
      <c r="O23" s="76" t="n">
        <f aca="false">INDEX(Arch!$C$30:$E$30,O$7)</f>
        <v>5636096</v>
      </c>
      <c r="P23" s="76" t="n">
        <f aca="false">INDEX(Arch!$C$30:$E$30,P$7)</f>
        <v>15990784</v>
      </c>
      <c r="Q23" s="76" t="n">
        <f aca="false">INDEX(Arch!$C$30:$E$30,Q$7)</f>
        <v>4915200</v>
      </c>
    </row>
    <row r="24" customFormat="false" ht="15" hidden="false" customHeight="false" outlineLevel="0" collapsed="false">
      <c r="A24" s="44" t="s">
        <v>233</v>
      </c>
      <c r="B24" s="45" t="s">
        <v>57</v>
      </c>
      <c r="C24" s="81" t="n">
        <f aca="false">INDEX(Arch!$C$16:$E$16,C$7)</f>
        <v>0.5</v>
      </c>
      <c r="D24" s="81" t="n">
        <f aca="false">INDEX(Arch!$C$16:$E$16,D$7)</f>
        <v>0.5</v>
      </c>
      <c r="E24" s="81" t="n">
        <f aca="false">INDEX(Arch!$C$16:$E$16,E$7)</f>
        <v>1</v>
      </c>
      <c r="F24" s="81" t="n">
        <f aca="false">INDEX(Arch!$C$16:$E$16,F$7)</f>
        <v>0.5</v>
      </c>
      <c r="G24" s="81" t="n">
        <f aca="false">INDEX(Arch!$C$16:$E$16,G$7)</f>
        <v>0.5</v>
      </c>
      <c r="H24" s="81" t="n">
        <f aca="false">INDEX(Arch!$C$16:$E$16,H$7)</f>
        <v>1</v>
      </c>
      <c r="I24" s="81" t="n">
        <f aca="false">INDEX(Arch!$C$16:$E$16,I$7)</f>
        <v>0.5</v>
      </c>
      <c r="J24" s="81" t="n">
        <f aca="false">INDEX(Arch!$C$16:$E$16,J$7)</f>
        <v>0.5</v>
      </c>
      <c r="K24" s="81" t="n">
        <f aca="false">INDEX(Arch!$C$16:$E$16,K$7)</f>
        <v>1</v>
      </c>
      <c r="L24" s="81" t="n">
        <f aca="false">INDEX(Arch!$C$16:$E$16,L$7)</f>
        <v>0.5</v>
      </c>
      <c r="M24" s="81" t="n">
        <f aca="false">INDEX(Arch!$C$16:$E$16,M$7)</f>
        <v>0.5</v>
      </c>
      <c r="N24" s="81" t="n">
        <f aca="false">INDEX(Arch!$C$16:$E$16,N$7)</f>
        <v>1</v>
      </c>
      <c r="O24" s="81" t="n">
        <f aca="false">INDEX(Arch!$C$16:$E$16,O$7)</f>
        <v>0.5</v>
      </c>
      <c r="P24" s="81" t="n">
        <f aca="false">INDEX(Arch!$C$16:$E$16,P$7)</f>
        <v>0.5</v>
      </c>
      <c r="Q24" s="81" t="n">
        <f aca="false">INDEX(Arch!$C$16:$E$16,Q$7)</f>
        <v>1</v>
      </c>
    </row>
    <row r="25" customFormat="false" ht="15" hidden="false" customHeight="false" outlineLevel="0" collapsed="false">
      <c r="A25" s="44" t="s">
        <v>655</v>
      </c>
      <c r="B25" s="45" t="s">
        <v>236</v>
      </c>
      <c r="C25" s="76" t="n">
        <f aca="false">INDEX(Arch!$C$17:$E$17,C$7)</f>
        <v>4224</v>
      </c>
      <c r="D25" s="76" t="n">
        <f aca="false">INDEX(Arch!$C$17:$E$17,D$7)</f>
        <v>4224</v>
      </c>
      <c r="E25" s="76" t="n">
        <f aca="false">INDEX(Arch!$C$17:$E$17,E$7)</f>
        <v>0</v>
      </c>
      <c r="F25" s="76" t="n">
        <f aca="false">INDEX(Arch!$C$17:$E$17,F$7)</f>
        <v>4224</v>
      </c>
      <c r="G25" s="76" t="n">
        <f aca="false">INDEX(Arch!$C$17:$E$17,G$7)</f>
        <v>4224</v>
      </c>
      <c r="H25" s="76" t="n">
        <f aca="false">INDEX(Arch!$C$17:$E$17,H$7)</f>
        <v>0</v>
      </c>
      <c r="I25" s="76" t="n">
        <f aca="false">INDEX(Arch!$C$17:$E$17,I$7)</f>
        <v>4224</v>
      </c>
      <c r="J25" s="76" t="n">
        <f aca="false">INDEX(Arch!$C$17:$E$17,J$7)</f>
        <v>4224</v>
      </c>
      <c r="K25" s="76" t="n">
        <f aca="false">INDEX(Arch!$C$17:$E$17,K$7)</f>
        <v>0</v>
      </c>
      <c r="L25" s="76" t="n">
        <f aca="false">INDEX(Arch!$C$17:$E$17,L$7)</f>
        <v>4224</v>
      </c>
      <c r="M25" s="76" t="n">
        <f aca="false">INDEX(Arch!$C$17:$E$17,M$7)</f>
        <v>4224</v>
      </c>
      <c r="N25" s="76" t="n">
        <f aca="false">INDEX(Arch!$C$17:$E$17,N$7)</f>
        <v>0</v>
      </c>
      <c r="O25" s="76" t="n">
        <f aca="false">INDEX(Arch!$C$17:$E$17,O$7)</f>
        <v>4224</v>
      </c>
      <c r="P25" s="76" t="n">
        <f aca="false">INDEX(Arch!$C$17:$E$17,P$7)</f>
        <v>4224</v>
      </c>
      <c r="Q25" s="76" t="n">
        <f aca="false">INDEX(Arch!$C$17:$E$17,Q$7)</f>
        <v>0</v>
      </c>
    </row>
    <row r="26" customFormat="false" ht="15" hidden="false" customHeight="false" outlineLevel="0" collapsed="false">
      <c r="A26" s="44" t="s">
        <v>239</v>
      </c>
      <c r="B26" s="45" t="s">
        <v>61</v>
      </c>
      <c r="C26" s="76" t="n">
        <f aca="false">INDEX(Arch!$C$18:$E$18,C$7)</f>
        <v>128</v>
      </c>
      <c r="D26" s="76" t="n">
        <f aca="false">INDEX(Arch!$C$18:$E$18,D$7)</f>
        <v>128</v>
      </c>
      <c r="E26" s="76" t="n">
        <f aca="false">INDEX(Arch!$C$18:$E$18,E$7)</f>
        <v>1</v>
      </c>
      <c r="F26" s="76" t="n">
        <f aca="false">INDEX(Arch!$C$18:$E$18,F$7)</f>
        <v>128</v>
      </c>
      <c r="G26" s="76" t="n">
        <f aca="false">INDEX(Arch!$C$18:$E$18,G$7)</f>
        <v>128</v>
      </c>
      <c r="H26" s="76" t="n">
        <f aca="false">INDEX(Arch!$C$18:$E$18,H$7)</f>
        <v>1</v>
      </c>
      <c r="I26" s="76" t="n">
        <f aca="false">INDEX(Arch!$C$18:$E$18,I$7)</f>
        <v>128</v>
      </c>
      <c r="J26" s="76" t="n">
        <f aca="false">INDEX(Arch!$C$18:$E$18,J$7)</f>
        <v>128</v>
      </c>
      <c r="K26" s="76" t="n">
        <f aca="false">INDEX(Arch!$C$18:$E$18,K$7)</f>
        <v>1</v>
      </c>
      <c r="L26" s="76" t="n">
        <f aca="false">INDEX(Arch!$C$18:$E$18,L$7)</f>
        <v>128</v>
      </c>
      <c r="M26" s="76" t="n">
        <f aca="false">INDEX(Arch!$C$18:$E$18,M$7)</f>
        <v>128</v>
      </c>
      <c r="N26" s="76" t="n">
        <f aca="false">INDEX(Arch!$C$18:$E$18,N$7)</f>
        <v>1</v>
      </c>
      <c r="O26" s="76" t="n">
        <f aca="false">INDEX(Arch!$C$18:$E$18,O$7)</f>
        <v>128</v>
      </c>
      <c r="P26" s="76" t="n">
        <f aca="false">INDEX(Arch!$C$18:$E$18,P$7)</f>
        <v>128</v>
      </c>
      <c r="Q26" s="76" t="n">
        <f aca="false">INDEX(Arch!$C$18:$E$18,Q$7)</f>
        <v>1</v>
      </c>
    </row>
    <row r="27" customFormat="false" ht="15" hidden="false" customHeight="false" outlineLevel="0" collapsed="false">
      <c r="A27" s="44" t="s">
        <v>241</v>
      </c>
      <c r="B27" s="45" t="s">
        <v>236</v>
      </c>
      <c r="C27" s="76" t="n">
        <f aca="false">INDEX(Arch!$C$19:$E$19,C$7)</f>
        <v>128</v>
      </c>
      <c r="D27" s="76" t="n">
        <f aca="false">INDEX(Arch!$C$19:$E$19,D$7)</f>
        <v>128</v>
      </c>
      <c r="E27" s="76" t="n">
        <f aca="false">INDEX(Arch!$C$19:$E$19,E$7)</f>
        <v>0</v>
      </c>
      <c r="F27" s="76" t="n">
        <f aca="false">INDEX(Arch!$C$19:$E$19,F$7)</f>
        <v>128</v>
      </c>
      <c r="G27" s="76" t="n">
        <f aca="false">INDEX(Arch!$C$19:$E$19,G$7)</f>
        <v>128</v>
      </c>
      <c r="H27" s="76" t="n">
        <f aca="false">INDEX(Arch!$C$19:$E$19,H$7)</f>
        <v>0</v>
      </c>
      <c r="I27" s="76" t="n">
        <f aca="false">INDEX(Arch!$C$19:$E$19,I$7)</f>
        <v>128</v>
      </c>
      <c r="J27" s="76" t="n">
        <f aca="false">INDEX(Arch!$C$19:$E$19,J$7)</f>
        <v>128</v>
      </c>
      <c r="K27" s="76" t="n">
        <f aca="false">INDEX(Arch!$C$19:$E$19,K$7)</f>
        <v>0</v>
      </c>
      <c r="L27" s="76" t="n">
        <f aca="false">INDEX(Arch!$C$19:$E$19,L$7)</f>
        <v>128</v>
      </c>
      <c r="M27" s="76" t="n">
        <f aca="false">INDEX(Arch!$C$19:$E$19,M$7)</f>
        <v>128</v>
      </c>
      <c r="N27" s="76" t="n">
        <f aca="false">INDEX(Arch!$C$19:$E$19,N$7)</f>
        <v>0</v>
      </c>
      <c r="O27" s="76" t="n">
        <f aca="false">INDEX(Arch!$C$19:$E$19,O$7)</f>
        <v>128</v>
      </c>
      <c r="P27" s="76" t="n">
        <f aca="false">INDEX(Arch!$C$19:$E$19,P$7)</f>
        <v>128</v>
      </c>
      <c r="Q27" s="76" t="n">
        <f aca="false">INDEX(Arch!$C$19:$E$19,Q$7)</f>
        <v>0</v>
      </c>
    </row>
    <row r="28" customFormat="false" ht="15" hidden="false" customHeight="false" outlineLevel="0" collapsed="false">
      <c r="A28" s="45" t="s">
        <v>633</v>
      </c>
      <c r="B28" s="45" t="s">
        <v>61</v>
      </c>
      <c r="C28" s="79" t="n">
        <f aca="false">Tech_Registry!$E$22</f>
        <v>1</v>
      </c>
      <c r="D28" s="79" t="n">
        <f aca="false">Tech_Registry!$E$22</f>
        <v>1</v>
      </c>
      <c r="E28" s="79" t="n">
        <f aca="false">Tech_Registry!$E$22</f>
        <v>1</v>
      </c>
      <c r="F28" s="79" t="n">
        <f aca="false">Tech_Registry!$E$22</f>
        <v>1</v>
      </c>
      <c r="G28" s="79" t="n">
        <f aca="false">Tech_Registry!$E$22</f>
        <v>1</v>
      </c>
      <c r="H28" s="79" t="n">
        <f aca="false">Tech_Registry!$E$22</f>
        <v>1</v>
      </c>
      <c r="I28" s="79" t="n">
        <f aca="false">Tech_Registry!$E$22</f>
        <v>1</v>
      </c>
      <c r="J28" s="79" t="n">
        <f aca="false">Tech_Registry!$E$22</f>
        <v>1</v>
      </c>
      <c r="K28" s="79" t="n">
        <f aca="false">Tech_Registry!$E$22</f>
        <v>1</v>
      </c>
      <c r="L28" s="79" t="n">
        <f aca="false">Tech_Registry!$E$22</f>
        <v>1</v>
      </c>
      <c r="M28" s="79" t="n">
        <f aca="false">Tech_Registry!$E$22</f>
        <v>1</v>
      </c>
      <c r="N28" s="79" t="n">
        <f aca="false">Tech_Registry!$E$22</f>
        <v>1</v>
      </c>
      <c r="O28" s="79" t="n">
        <f aca="false">Tech_Registry!$E$22</f>
        <v>1</v>
      </c>
      <c r="P28" s="79" t="n">
        <f aca="false">Tech_Registry!$E$22</f>
        <v>1</v>
      </c>
      <c r="Q28" s="79" t="n">
        <f aca="false">Tech_Registry!$E$22</f>
        <v>1</v>
      </c>
    </row>
    <row r="29" customFormat="false" ht="15" hidden="false" customHeight="false" outlineLevel="0" collapsed="false">
      <c r="A29" s="72" t="s">
        <v>922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</row>
    <row r="30" customFormat="false" ht="15" hidden="false" customHeight="false" outlineLevel="0" collapsed="false">
      <c r="A30" s="44" t="s">
        <v>923</v>
      </c>
      <c r="B30" s="45" t="s">
        <v>61</v>
      </c>
      <c r="C30" s="79" t="n">
        <f aca="false">Tech_Registry!$E$27</f>
        <v>1</v>
      </c>
      <c r="D30" s="79" t="n">
        <f aca="false">Tech_Registry!$E$27</f>
        <v>1</v>
      </c>
      <c r="E30" s="79" t="n">
        <f aca="false">Tech_Registry!$E$27</f>
        <v>1</v>
      </c>
      <c r="F30" s="79" t="n">
        <f aca="false">Tech_Registry!$E$27</f>
        <v>1</v>
      </c>
      <c r="G30" s="79" t="n">
        <f aca="false">Tech_Registry!$E$27</f>
        <v>1</v>
      </c>
      <c r="H30" s="79" t="n">
        <f aca="false">Tech_Registry!$E$27</f>
        <v>1</v>
      </c>
      <c r="I30" s="79" t="n">
        <f aca="false">Tech_Registry!$E$27</f>
        <v>1</v>
      </c>
      <c r="J30" s="79" t="n">
        <f aca="false">Tech_Registry!$E$27</f>
        <v>1</v>
      </c>
      <c r="K30" s="79" t="n">
        <f aca="false">Tech_Registry!$E$27</f>
        <v>1</v>
      </c>
      <c r="L30" s="79" t="n">
        <f aca="false">Tech_Registry!$E$27</f>
        <v>1</v>
      </c>
      <c r="M30" s="79" t="n">
        <f aca="false">Tech_Registry!$E$27</f>
        <v>1</v>
      </c>
      <c r="N30" s="79" t="n">
        <f aca="false">Tech_Registry!$E$27</f>
        <v>1</v>
      </c>
      <c r="O30" s="79" t="n">
        <f aca="false">Tech_Registry!$E$27</f>
        <v>1</v>
      </c>
      <c r="P30" s="79" t="n">
        <f aca="false">Tech_Registry!$E$27</f>
        <v>1</v>
      </c>
      <c r="Q30" s="79" t="n">
        <f aca="false">Tech_Registry!$E$27</f>
        <v>1</v>
      </c>
    </row>
    <row r="31" customFormat="false" ht="15" hidden="false" customHeight="false" outlineLevel="0" collapsed="false">
      <c r="A31" s="44" t="s">
        <v>860</v>
      </c>
      <c r="B31" s="45" t="s">
        <v>861</v>
      </c>
      <c r="C31" s="80" t="n">
        <f aca="false">INDEX(Train_In!$C$25:$E$25,C$7)*C30</f>
        <v>32</v>
      </c>
      <c r="D31" s="80" t="n">
        <f aca="false">INDEX(Train_In!$C$25:$E$25,D$7)*D30</f>
        <v>33</v>
      </c>
      <c r="E31" s="80" t="n">
        <f aca="false">INDEX(Train_In!$C$25:$E$25,E$7)*E30</f>
        <v>60</v>
      </c>
      <c r="F31" s="80" t="n">
        <f aca="false">INDEX(Train_In!$C$25:$E$25,F$7)*F30</f>
        <v>32</v>
      </c>
      <c r="G31" s="80" t="n">
        <f aca="false">INDEX(Train_In!$C$25:$E$25,G$7)*G30</f>
        <v>33</v>
      </c>
      <c r="H31" s="80" t="n">
        <f aca="false">INDEX(Train_In!$C$25:$E$25,H$7)*H30</f>
        <v>60</v>
      </c>
      <c r="I31" s="80" t="n">
        <f aca="false">INDEX(Train_In!$C$25:$E$25,I$7)*I30</f>
        <v>32</v>
      </c>
      <c r="J31" s="80" t="n">
        <f aca="false">INDEX(Train_In!$C$25:$E$25,J$7)*J30</f>
        <v>33</v>
      </c>
      <c r="K31" s="80" t="n">
        <f aca="false">INDEX(Train_In!$C$25:$E$25,K$7)*K30</f>
        <v>60</v>
      </c>
      <c r="L31" s="80" t="n">
        <f aca="false">INDEX(Train_In!$C$25:$E$25,L$7)*L30</f>
        <v>32</v>
      </c>
      <c r="M31" s="80" t="n">
        <f aca="false">INDEX(Train_In!$C$25:$E$25,M$7)*M30</f>
        <v>33</v>
      </c>
      <c r="N31" s="80" t="n">
        <f aca="false">INDEX(Train_In!$C$25:$E$25,N$7)*N30</f>
        <v>60</v>
      </c>
      <c r="O31" s="80" t="n">
        <f aca="false">INDEX(Train_In!$C$25:$E$25,O$7)*O30</f>
        <v>32</v>
      </c>
      <c r="P31" s="80" t="n">
        <f aca="false">INDEX(Train_In!$C$25:$E$25,P$7)*P30</f>
        <v>33</v>
      </c>
      <c r="Q31" s="80" t="n">
        <f aca="false">INDEX(Train_In!$C$25:$E$25,Q$7)*Q30</f>
        <v>60</v>
      </c>
    </row>
    <row r="32" customFormat="false" ht="15" hidden="false" customHeight="false" outlineLevel="0" collapsed="false">
      <c r="A32" s="44" t="s">
        <v>924</v>
      </c>
      <c r="B32" s="45" t="s">
        <v>236</v>
      </c>
      <c r="C32" s="76" t="n">
        <f aca="false">INDEX(Train_In!$C$26:$E$26,C$7)</f>
        <v>4096</v>
      </c>
      <c r="D32" s="76" t="n">
        <f aca="false">INDEX(Train_In!$C$26:$E$26,D$7)</f>
        <v>4096</v>
      </c>
      <c r="E32" s="76" t="n">
        <f aca="false">INDEX(Train_In!$C$26:$E$26,E$7)</f>
        <v>8192</v>
      </c>
      <c r="F32" s="76" t="n">
        <f aca="false">INDEX(Train_In!$C$26:$E$26,F$7)</f>
        <v>4096</v>
      </c>
      <c r="G32" s="76" t="n">
        <f aca="false">INDEX(Train_In!$C$26:$E$26,G$7)</f>
        <v>4096</v>
      </c>
      <c r="H32" s="76" t="n">
        <f aca="false">INDEX(Train_In!$C$26:$E$26,H$7)</f>
        <v>8192</v>
      </c>
      <c r="I32" s="76" t="n">
        <f aca="false">INDEX(Train_In!$C$26:$E$26,I$7)</f>
        <v>4096</v>
      </c>
      <c r="J32" s="76" t="n">
        <f aca="false">INDEX(Train_In!$C$26:$E$26,J$7)</f>
        <v>4096</v>
      </c>
      <c r="K32" s="76" t="n">
        <f aca="false">INDEX(Train_In!$C$26:$E$26,K$7)</f>
        <v>8192</v>
      </c>
      <c r="L32" s="76" t="n">
        <f aca="false">INDEX(Train_In!$C$26:$E$26,L$7)</f>
        <v>4096</v>
      </c>
      <c r="M32" s="76" t="n">
        <f aca="false">INDEX(Train_In!$C$26:$E$26,M$7)</f>
        <v>4096</v>
      </c>
      <c r="N32" s="76" t="n">
        <f aca="false">INDEX(Train_In!$C$26:$E$26,N$7)</f>
        <v>8192</v>
      </c>
      <c r="O32" s="76" t="n">
        <f aca="false">INDEX(Train_In!$C$26:$E$26,O$7)</f>
        <v>4096</v>
      </c>
      <c r="P32" s="76" t="n">
        <f aca="false">INDEX(Train_In!$C$26:$E$26,P$7)</f>
        <v>4096</v>
      </c>
      <c r="Q32" s="76" t="n">
        <f aca="false">INDEX(Train_In!$C$26:$E$26,Q$7)</f>
        <v>8192</v>
      </c>
    </row>
    <row r="33" customFormat="false" ht="15" hidden="false" customHeight="false" outlineLevel="0" collapsed="false">
      <c r="A33" s="44" t="s">
        <v>925</v>
      </c>
      <c r="B33" s="45" t="s">
        <v>236</v>
      </c>
      <c r="C33" s="56" t="n">
        <f aca="false">C32/2</f>
        <v>2048</v>
      </c>
      <c r="D33" s="56" t="n">
        <f aca="false">D32/2</f>
        <v>2048</v>
      </c>
      <c r="E33" s="56" t="n">
        <f aca="false">E32/2</f>
        <v>4096</v>
      </c>
      <c r="F33" s="56" t="n">
        <f aca="false">F32/2</f>
        <v>2048</v>
      </c>
      <c r="G33" s="56" t="n">
        <f aca="false">G32/2</f>
        <v>2048</v>
      </c>
      <c r="H33" s="56" t="n">
        <f aca="false">H32/2</f>
        <v>4096</v>
      </c>
      <c r="I33" s="56" t="n">
        <f aca="false">I32/2</f>
        <v>2048</v>
      </c>
      <c r="J33" s="56" t="n">
        <f aca="false">J32/2</f>
        <v>2048</v>
      </c>
      <c r="K33" s="56" t="n">
        <f aca="false">K32/2</f>
        <v>4096</v>
      </c>
      <c r="L33" s="56" t="n">
        <f aca="false">L32/2</f>
        <v>2048</v>
      </c>
      <c r="M33" s="56" t="n">
        <f aca="false">M32/2</f>
        <v>2048</v>
      </c>
      <c r="N33" s="56" t="n">
        <f aca="false">N32/2</f>
        <v>4096</v>
      </c>
      <c r="O33" s="56" t="n">
        <f aca="false">O32/2</f>
        <v>2048</v>
      </c>
      <c r="P33" s="56" t="n">
        <f aca="false">P32/2</f>
        <v>2048</v>
      </c>
      <c r="Q33" s="56" t="n">
        <f aca="false">Q32/2</f>
        <v>4096</v>
      </c>
    </row>
    <row r="34" customFormat="false" ht="15" hidden="false" customHeight="false" outlineLevel="0" collapsed="false">
      <c r="A34" s="44" t="s">
        <v>926</v>
      </c>
      <c r="B34" s="45" t="s">
        <v>409</v>
      </c>
      <c r="C34" s="55" t="n">
        <f aca="false">3*(2*C22*1000000000+C23*C33)*C28/1000000000</f>
        <v>112.628173824</v>
      </c>
      <c r="D34" s="55" t="n">
        <f aca="false">3*(2*D22*1000000000+D23*D33)*D28/1000000000</f>
        <v>392.247376896</v>
      </c>
      <c r="E34" s="55" t="n">
        <f aca="false">3*(2*E22*1000000000+E23*E33)*E28/1000000000</f>
        <v>1140.3979776</v>
      </c>
      <c r="F34" s="55" t="n">
        <f aca="false">3*(2*F22*1000000000+F23*F33)*F28/1000000000</f>
        <v>112.628173824</v>
      </c>
      <c r="G34" s="55" t="n">
        <f aca="false">3*(2*G22*1000000000+G23*G33)*G28/1000000000</f>
        <v>392.247376896</v>
      </c>
      <c r="H34" s="55" t="n">
        <f aca="false">3*(2*H22*1000000000+H23*H33)*H28/1000000000</f>
        <v>1140.3979776</v>
      </c>
      <c r="I34" s="55" t="n">
        <f aca="false">3*(2*I22*1000000000+I23*I33)*I28/1000000000</f>
        <v>112.628173824</v>
      </c>
      <c r="J34" s="55" t="n">
        <f aca="false">3*(2*J22*1000000000+J23*J33)*J28/1000000000</f>
        <v>392.247376896</v>
      </c>
      <c r="K34" s="55" t="n">
        <f aca="false">3*(2*K22*1000000000+K23*K33)*K28/1000000000</f>
        <v>1140.3979776</v>
      </c>
      <c r="L34" s="55" t="n">
        <f aca="false">3*(2*L22*1000000000+L23*L33)*L28/1000000000</f>
        <v>112.628173824</v>
      </c>
      <c r="M34" s="55" t="n">
        <f aca="false">3*(2*M22*1000000000+M23*M33)*M28/1000000000</f>
        <v>392.247376896</v>
      </c>
      <c r="N34" s="55" t="n">
        <f aca="false">3*(2*N22*1000000000+N23*N33)*N28/1000000000</f>
        <v>1140.3979776</v>
      </c>
      <c r="O34" s="55" t="n">
        <f aca="false">3*(2*O22*1000000000+O23*O33)*O28/1000000000</f>
        <v>112.628173824</v>
      </c>
      <c r="P34" s="55" t="n">
        <f aca="false">3*(2*P22*1000000000+P23*P33)*P28/1000000000</f>
        <v>392.247376896</v>
      </c>
      <c r="Q34" s="55" t="n">
        <f aca="false">3*(2*Q22*1000000000+Q23*Q33)*Q28/1000000000</f>
        <v>1140.3979776</v>
      </c>
    </row>
    <row r="35" customFormat="false" ht="15" hidden="false" customHeight="false" outlineLevel="0" collapsed="false">
      <c r="A35" s="44" t="s">
        <v>927</v>
      </c>
      <c r="B35" s="45" t="s">
        <v>259</v>
      </c>
      <c r="C35" s="131" t="n">
        <f aca="false">C34*1000000000*C31*1000000000000</f>
        <v>3.604101562368E+024</v>
      </c>
      <c r="D35" s="131" t="n">
        <f aca="false">D34*1000000000*D31*1000000000000</f>
        <v>1.2944163437568E+025</v>
      </c>
      <c r="E35" s="131" t="n">
        <f aca="false">E34*1000000000*E31*1000000000000</f>
        <v>6.8423878656E+025</v>
      </c>
      <c r="F35" s="131" t="n">
        <f aca="false">F34*1000000000*F31*1000000000000</f>
        <v>3.604101562368E+024</v>
      </c>
      <c r="G35" s="131" t="n">
        <f aca="false">G34*1000000000*G31*1000000000000</f>
        <v>1.2944163437568E+025</v>
      </c>
      <c r="H35" s="131" t="n">
        <f aca="false">H34*1000000000*H31*1000000000000</f>
        <v>6.8423878656E+025</v>
      </c>
      <c r="I35" s="131" t="n">
        <f aca="false">I34*1000000000*I31*1000000000000</f>
        <v>3.604101562368E+024</v>
      </c>
      <c r="J35" s="131" t="n">
        <f aca="false">J34*1000000000*J31*1000000000000</f>
        <v>1.2944163437568E+025</v>
      </c>
      <c r="K35" s="131" t="n">
        <f aca="false">K34*1000000000*K31*1000000000000</f>
        <v>6.8423878656E+025</v>
      </c>
      <c r="L35" s="131" t="n">
        <f aca="false">L34*1000000000*L31*1000000000000</f>
        <v>3.604101562368E+024</v>
      </c>
      <c r="M35" s="131" t="n">
        <f aca="false">M34*1000000000*M31*1000000000000</f>
        <v>1.2944163437568E+025</v>
      </c>
      <c r="N35" s="131" t="n">
        <f aca="false">N34*1000000000*N31*1000000000000</f>
        <v>6.8423878656E+025</v>
      </c>
      <c r="O35" s="131" t="n">
        <f aca="false">O34*1000000000*O31*1000000000000</f>
        <v>3.604101562368E+024</v>
      </c>
      <c r="P35" s="131" t="n">
        <f aca="false">P34*1000000000*P31*1000000000000</f>
        <v>1.2944163437568E+025</v>
      </c>
      <c r="Q35" s="131" t="n">
        <f aca="false">Q34*1000000000*Q31*1000000000000</f>
        <v>6.8423878656E+025</v>
      </c>
    </row>
    <row r="36" customFormat="false" ht="15" hidden="false" customHeight="false" outlineLevel="0" collapsed="false">
      <c r="A36" s="44" t="s">
        <v>928</v>
      </c>
      <c r="B36" s="45" t="s">
        <v>929</v>
      </c>
      <c r="C36" s="51" t="n">
        <f aca="false">C35/(C12*1000000000000000*C16*1*C17)/3600</f>
        <v>2810452.31284038</v>
      </c>
      <c r="D36" s="51" t="n">
        <f aca="false">D35/(D12*1000000000000000*D16*1*D17)/3600</f>
        <v>10093764.9623267</v>
      </c>
      <c r="E36" s="51" t="n">
        <f aca="false">E35/(E12*1000000000000000*E16*1*E17)/3600</f>
        <v>53356445.3427657</v>
      </c>
      <c r="F36" s="51" t="n">
        <f aca="false">F35/(F12*1000000000000000*F16*1*F17)/3600</f>
        <v>889901.620337778</v>
      </c>
      <c r="G36" s="51" t="n">
        <f aca="false">G35/(G12*1000000000000000*G16*1*G17)/3600</f>
        <v>3196089.73767111</v>
      </c>
      <c r="H36" s="51" t="n">
        <f aca="false">H35/(H12*1000000000000000*H16*1*H17)/3600</f>
        <v>16894784.8533333</v>
      </c>
      <c r="I36" s="51" t="n">
        <f aca="false">I35/(I12*1000000000000000*I16*1*I17)/3600</f>
        <v>889901.620337778</v>
      </c>
      <c r="J36" s="51" t="n">
        <f aca="false">J35/(J12*1000000000000000*J16*1*J17)/3600</f>
        <v>3196089.73767111</v>
      </c>
      <c r="K36" s="51" t="n">
        <f aca="false">K35/(K12*1000000000000000*K16*1*K17)/3600</f>
        <v>16894784.8533333</v>
      </c>
      <c r="L36" s="51" t="n">
        <f aca="false">L35/(L12*1000000000000000*L16*1*L17)/3600</f>
        <v>282508.450900882</v>
      </c>
      <c r="M36" s="51" t="n">
        <f aca="false">M35/(M12*1000000000000000*M16*1*M17)/3600</f>
        <v>1014631.66275273</v>
      </c>
      <c r="N36" s="51" t="n">
        <f aca="false">N35/(N12*1000000000000000*N16*1*N17)/3600</f>
        <v>5363423.76296296</v>
      </c>
      <c r="O36" s="51" t="n">
        <f aca="false">O35/(O12*1000000000000000*O16*1*O17)/3600</f>
        <v>142475.443537909</v>
      </c>
      <c r="P36" s="51" t="n">
        <f aca="false">P35/(P12*1000000000000000*P16*1*P17)/3600</f>
        <v>511701.847209592</v>
      </c>
      <c r="Q36" s="51" t="n">
        <f aca="false">Q35/(Q12*1000000000000000*Q16*1*Q17)/3600</f>
        <v>2704896.71042801</v>
      </c>
    </row>
    <row r="37" customFormat="false" ht="15" hidden="false" customHeight="false" outlineLevel="0" collapsed="false">
      <c r="A37" s="72" t="s">
        <v>930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customFormat="false" ht="15" hidden="false" customHeight="false" outlineLevel="0" collapsed="false">
      <c r="A38" s="44" t="s">
        <v>931</v>
      </c>
      <c r="B38" s="45" t="s">
        <v>861</v>
      </c>
      <c r="C38" s="80" t="n">
        <f aca="false">INDEX(Train_In!$C$27:$E$27,C$7)</f>
        <v>1</v>
      </c>
      <c r="D38" s="80" t="n">
        <f aca="false">INDEX(Train_In!$C$27:$E$27,D$7)</f>
        <v>1</v>
      </c>
      <c r="E38" s="80" t="n">
        <f aca="false">INDEX(Train_In!$C$27:$E$27,E$7)</f>
        <v>2</v>
      </c>
      <c r="F38" s="80" t="n">
        <f aca="false">INDEX(Train_In!$C$27:$E$27,F$7)</f>
        <v>1</v>
      </c>
      <c r="G38" s="80" t="n">
        <f aca="false">INDEX(Train_In!$C$27:$E$27,G$7)</f>
        <v>1</v>
      </c>
      <c r="H38" s="80" t="n">
        <f aca="false">INDEX(Train_In!$C$27:$E$27,H$7)</f>
        <v>2</v>
      </c>
      <c r="I38" s="80" t="n">
        <f aca="false">INDEX(Train_In!$C$27:$E$27,I$7)</f>
        <v>1</v>
      </c>
      <c r="J38" s="80" t="n">
        <f aca="false">INDEX(Train_In!$C$27:$E$27,J$7)</f>
        <v>1</v>
      </c>
      <c r="K38" s="80" t="n">
        <f aca="false">INDEX(Train_In!$C$27:$E$27,K$7)</f>
        <v>2</v>
      </c>
      <c r="L38" s="80" t="n">
        <f aca="false">INDEX(Train_In!$C$27:$E$27,L$7)</f>
        <v>1</v>
      </c>
      <c r="M38" s="80" t="n">
        <f aca="false">INDEX(Train_In!$C$27:$E$27,M$7)</f>
        <v>1</v>
      </c>
      <c r="N38" s="80" t="n">
        <f aca="false">INDEX(Train_In!$C$27:$E$27,N$7)</f>
        <v>2</v>
      </c>
      <c r="O38" s="80" t="n">
        <f aca="false">INDEX(Train_In!$C$27:$E$27,O$7)</f>
        <v>1</v>
      </c>
      <c r="P38" s="80" t="n">
        <f aca="false">INDEX(Train_In!$C$27:$E$27,P$7)</f>
        <v>1</v>
      </c>
      <c r="Q38" s="80" t="n">
        <f aca="false">INDEX(Train_In!$C$27:$E$27,Q$7)</f>
        <v>2</v>
      </c>
    </row>
    <row r="39" customFormat="false" ht="15" hidden="false" customHeight="false" outlineLevel="0" collapsed="false">
      <c r="A39" s="44" t="s">
        <v>924</v>
      </c>
      <c r="B39" s="45" t="s">
        <v>236</v>
      </c>
      <c r="C39" s="76" t="n">
        <f aca="false">INDEX(Train_In!$C$28:$E$28,C$7)</f>
        <v>131072</v>
      </c>
      <c r="D39" s="76" t="n">
        <f aca="false">INDEX(Train_In!$C$28:$E$28,D$7)</f>
        <v>131072</v>
      </c>
      <c r="E39" s="76" t="n">
        <f aca="false">INDEX(Train_In!$C$28:$E$28,E$7)</f>
        <v>131072</v>
      </c>
      <c r="F39" s="76" t="n">
        <f aca="false">INDEX(Train_In!$C$28:$E$28,F$7)</f>
        <v>131072</v>
      </c>
      <c r="G39" s="76" t="n">
        <f aca="false">INDEX(Train_In!$C$28:$E$28,G$7)</f>
        <v>131072</v>
      </c>
      <c r="H39" s="76" t="n">
        <f aca="false">INDEX(Train_In!$C$28:$E$28,H$7)</f>
        <v>131072</v>
      </c>
      <c r="I39" s="76" t="n">
        <f aca="false">INDEX(Train_In!$C$28:$E$28,I$7)</f>
        <v>131072</v>
      </c>
      <c r="J39" s="76" t="n">
        <f aca="false">INDEX(Train_In!$C$28:$E$28,J$7)</f>
        <v>131072</v>
      </c>
      <c r="K39" s="76" t="n">
        <f aca="false">INDEX(Train_In!$C$28:$E$28,K$7)</f>
        <v>131072</v>
      </c>
      <c r="L39" s="76" t="n">
        <f aca="false">INDEX(Train_In!$C$28:$E$28,L$7)</f>
        <v>131072</v>
      </c>
      <c r="M39" s="76" t="n">
        <f aca="false">INDEX(Train_In!$C$28:$E$28,M$7)</f>
        <v>131072</v>
      </c>
      <c r="N39" s="76" t="n">
        <f aca="false">INDEX(Train_In!$C$28:$E$28,N$7)</f>
        <v>131072</v>
      </c>
      <c r="O39" s="76" t="n">
        <f aca="false">INDEX(Train_In!$C$28:$E$28,O$7)</f>
        <v>131072</v>
      </c>
      <c r="P39" s="76" t="n">
        <f aca="false">INDEX(Train_In!$C$28:$E$28,P$7)</f>
        <v>131072</v>
      </c>
      <c r="Q39" s="76" t="n">
        <f aca="false">INDEX(Train_In!$C$28:$E$28,Q$7)</f>
        <v>131072</v>
      </c>
    </row>
    <row r="40" customFormat="false" ht="15" hidden="false" customHeight="false" outlineLevel="0" collapsed="false">
      <c r="A40" s="44" t="s">
        <v>932</v>
      </c>
      <c r="B40" s="45" t="s">
        <v>236</v>
      </c>
      <c r="C40" s="56" t="n">
        <f aca="false">C24*IF(C25=0,C39/2,MIN(C39/2,C25))+(1-C24)*(C39/2/C26+C27)</f>
        <v>2432</v>
      </c>
      <c r="D40" s="56" t="n">
        <f aca="false">D24*IF(D25=0,D39/2,MIN(D39/2,D25))+(1-D24)*(D39/2/D26+D27)</f>
        <v>2432</v>
      </c>
      <c r="E40" s="56" t="n">
        <f aca="false">E24*IF(E25=0,E39/2,MIN(E39/2,E25))+(1-E24)*(E39/2/E26+E27)</f>
        <v>65536</v>
      </c>
      <c r="F40" s="56" t="n">
        <f aca="false">F24*IF(F25=0,F39/2,MIN(F39/2,F25))+(1-F24)*(F39/2/F26+F27)</f>
        <v>2432</v>
      </c>
      <c r="G40" s="56" t="n">
        <f aca="false">G24*IF(G25=0,G39/2,MIN(G39/2,G25))+(1-G24)*(G39/2/G26+G27)</f>
        <v>2432</v>
      </c>
      <c r="H40" s="56" t="n">
        <f aca="false">H24*IF(H25=0,H39/2,MIN(H39/2,H25))+(1-H24)*(H39/2/H26+H27)</f>
        <v>65536</v>
      </c>
      <c r="I40" s="56" t="n">
        <f aca="false">I24*IF(I25=0,I39/2,MIN(I39/2,I25))+(1-I24)*(I39/2/I26+I27)</f>
        <v>2432</v>
      </c>
      <c r="J40" s="56" t="n">
        <f aca="false">J24*IF(J25=0,J39/2,MIN(J39/2,J25))+(1-J24)*(J39/2/J26+J27)</f>
        <v>2432</v>
      </c>
      <c r="K40" s="56" t="n">
        <f aca="false">K24*IF(K25=0,K39/2,MIN(K39/2,K25))+(1-K24)*(K39/2/K26+K27)</f>
        <v>65536</v>
      </c>
      <c r="L40" s="56" t="n">
        <f aca="false">L24*IF(L25=0,L39/2,MIN(L39/2,L25))+(1-L24)*(L39/2/L26+L27)</f>
        <v>2432</v>
      </c>
      <c r="M40" s="56" t="n">
        <f aca="false">M24*IF(M25=0,M39/2,MIN(M39/2,M25))+(1-M24)*(M39/2/M26+M27)</f>
        <v>2432</v>
      </c>
      <c r="N40" s="56" t="n">
        <f aca="false">N24*IF(N25=0,N39/2,MIN(N39/2,N25))+(1-N24)*(N39/2/N26+N27)</f>
        <v>65536</v>
      </c>
      <c r="O40" s="56" t="n">
        <f aca="false">O24*IF(O25=0,O39/2,MIN(O39/2,O25))+(1-O24)*(O39/2/O26+O27)</f>
        <v>2432</v>
      </c>
      <c r="P40" s="56" t="n">
        <f aca="false">P24*IF(P25=0,P39/2,MIN(P39/2,P25))+(1-P24)*(P39/2/P26+P27)</f>
        <v>2432</v>
      </c>
      <c r="Q40" s="56" t="n">
        <f aca="false">Q24*IF(Q25=0,Q39/2,MIN(Q39/2,Q25))+(1-Q24)*(Q39/2/Q26+Q27)</f>
        <v>65536</v>
      </c>
    </row>
    <row r="41" customFormat="false" ht="15" hidden="false" customHeight="false" outlineLevel="0" collapsed="false">
      <c r="A41" s="44" t="s">
        <v>926</v>
      </c>
      <c r="B41" s="45" t="s">
        <v>409</v>
      </c>
      <c r="C41" s="55" t="n">
        <f aca="false">3*(2*C22*1000000000+C23*C40)*C28/1000000000</f>
        <v>119.120956416</v>
      </c>
      <c r="D41" s="55" t="n">
        <f aca="false">3*(2*D22*1000000000+D23*D40)*D28/1000000000</f>
        <v>410.668760064</v>
      </c>
      <c r="E41" s="55" t="n">
        <f aca="false">3*(2*E22*1000000000+E23*E40)*E28/1000000000</f>
        <v>2046.3676416</v>
      </c>
      <c r="F41" s="55" t="n">
        <f aca="false">3*(2*F22*1000000000+F23*F40)*F28/1000000000</f>
        <v>119.120956416</v>
      </c>
      <c r="G41" s="55" t="n">
        <f aca="false">3*(2*G22*1000000000+G23*G40)*G28/1000000000</f>
        <v>410.668760064</v>
      </c>
      <c r="H41" s="55" t="n">
        <f aca="false">3*(2*H22*1000000000+H23*H40)*H28/1000000000</f>
        <v>2046.3676416</v>
      </c>
      <c r="I41" s="55" t="n">
        <f aca="false">3*(2*I22*1000000000+I23*I40)*I28/1000000000</f>
        <v>119.120956416</v>
      </c>
      <c r="J41" s="55" t="n">
        <f aca="false">3*(2*J22*1000000000+J23*J40)*J28/1000000000</f>
        <v>410.668760064</v>
      </c>
      <c r="K41" s="55" t="n">
        <f aca="false">3*(2*K22*1000000000+K23*K40)*K28/1000000000</f>
        <v>2046.3676416</v>
      </c>
      <c r="L41" s="55" t="n">
        <f aca="false">3*(2*L22*1000000000+L23*L40)*L28/1000000000</f>
        <v>119.120956416</v>
      </c>
      <c r="M41" s="55" t="n">
        <f aca="false">3*(2*M22*1000000000+M23*M40)*M28/1000000000</f>
        <v>410.668760064</v>
      </c>
      <c r="N41" s="55" t="n">
        <f aca="false">3*(2*N22*1000000000+N23*N40)*N28/1000000000</f>
        <v>2046.3676416</v>
      </c>
      <c r="O41" s="55" t="n">
        <f aca="false">3*(2*O22*1000000000+O23*O40)*O28/1000000000</f>
        <v>119.120956416</v>
      </c>
      <c r="P41" s="55" t="n">
        <f aca="false">3*(2*P22*1000000000+P23*P40)*P28/1000000000</f>
        <v>410.668760064</v>
      </c>
      <c r="Q41" s="55" t="n">
        <f aca="false">3*(2*Q22*1000000000+Q23*Q40)*Q28/1000000000</f>
        <v>2046.3676416</v>
      </c>
    </row>
    <row r="42" customFormat="false" ht="15" hidden="false" customHeight="false" outlineLevel="0" collapsed="false">
      <c r="A42" s="44" t="s">
        <v>933</v>
      </c>
      <c r="B42" s="45" t="s">
        <v>259</v>
      </c>
      <c r="C42" s="131" t="n">
        <f aca="false">C41*1000000000*C38*1000000000000</f>
        <v>1.19120956416E+023</v>
      </c>
      <c r="D42" s="131" t="n">
        <f aca="false">D41*1000000000*D38*1000000000000</f>
        <v>4.10668760064E+023</v>
      </c>
      <c r="E42" s="131" t="n">
        <f aca="false">E41*1000000000*E38*1000000000000</f>
        <v>4.0927352832E+024</v>
      </c>
      <c r="F42" s="131" t="n">
        <f aca="false">F41*1000000000*F38*1000000000000</f>
        <v>1.19120956416E+023</v>
      </c>
      <c r="G42" s="131" t="n">
        <f aca="false">G41*1000000000*G38*1000000000000</f>
        <v>4.10668760064E+023</v>
      </c>
      <c r="H42" s="131" t="n">
        <f aca="false">H41*1000000000*H38*1000000000000</f>
        <v>4.0927352832E+024</v>
      </c>
      <c r="I42" s="131" t="n">
        <f aca="false">I41*1000000000*I38*1000000000000</f>
        <v>1.19120956416E+023</v>
      </c>
      <c r="J42" s="131" t="n">
        <f aca="false">J41*1000000000*J38*1000000000000</f>
        <v>4.10668760064E+023</v>
      </c>
      <c r="K42" s="131" t="n">
        <f aca="false">K41*1000000000*K38*1000000000000</f>
        <v>4.0927352832E+024</v>
      </c>
      <c r="L42" s="131" t="n">
        <f aca="false">L41*1000000000*L38*1000000000000</f>
        <v>1.19120956416E+023</v>
      </c>
      <c r="M42" s="131" t="n">
        <f aca="false">M41*1000000000*M38*1000000000000</f>
        <v>4.10668760064E+023</v>
      </c>
      <c r="N42" s="131" t="n">
        <f aca="false">N41*1000000000*N38*1000000000000</f>
        <v>4.0927352832E+024</v>
      </c>
      <c r="O42" s="131" t="n">
        <f aca="false">O41*1000000000*O38*1000000000000</f>
        <v>1.19120956416E+023</v>
      </c>
      <c r="P42" s="131" t="n">
        <f aca="false">P41*1000000000*P38*1000000000000</f>
        <v>4.10668760064E+023</v>
      </c>
      <c r="Q42" s="131" t="n">
        <f aca="false">Q41*1000000000*Q38*1000000000000</f>
        <v>4.0927352832E+024</v>
      </c>
    </row>
    <row r="43" customFormat="false" ht="15" hidden="false" customHeight="false" outlineLevel="0" collapsed="false">
      <c r="A43" s="44" t="s">
        <v>934</v>
      </c>
      <c r="B43" s="45" t="s">
        <v>929</v>
      </c>
      <c r="C43" s="56" t="n">
        <f aca="false">C42/(C12*1000000000000000*C16*1*C17)/3600</f>
        <v>92889.6596485318</v>
      </c>
      <c r="D43" s="56" t="n">
        <f aca="false">D42/(D12*1000000000000000*D16*1*D17)/3600</f>
        <v>320236.52679056</v>
      </c>
      <c r="E43" s="56" t="n">
        <f aca="false">E42/(E12*1000000000000000*E16*1*E17)/3600</f>
        <v>3191485.35174892</v>
      </c>
      <c r="F43" s="56" t="n">
        <f aca="false">F42/(F12*1000000000000000*F16*1*F17)/3600</f>
        <v>29412.5818311111</v>
      </c>
      <c r="G43" s="56" t="n">
        <f aca="false">G42/(G12*1000000000000000*G16*1*G17)/3600</f>
        <v>101399.693842963</v>
      </c>
      <c r="H43" s="56" t="n">
        <f aca="false">H42/(H12*1000000000000000*H16*1*H17)/3600</f>
        <v>1010551.92177778</v>
      </c>
      <c r="I43" s="56" t="n">
        <f aca="false">I42/(I12*1000000000000000*I16*1*I17)/3600</f>
        <v>29412.5818311111</v>
      </c>
      <c r="J43" s="56" t="n">
        <f aca="false">J42/(J12*1000000000000000*J16*1*J17)/3600</f>
        <v>101399.693842963</v>
      </c>
      <c r="K43" s="56" t="n">
        <f aca="false">K42/(K12*1000000000000000*K16*1*K17)/3600</f>
        <v>1010551.92177778</v>
      </c>
      <c r="L43" s="56" t="n">
        <f aca="false">L42/(L12*1000000000000000*L16*1*L17)/3600</f>
        <v>9337.3275654321</v>
      </c>
      <c r="M43" s="56" t="n">
        <f aca="false">M42/(M12*1000000000000000*M16*1*M17)/3600</f>
        <v>32190.378997766</v>
      </c>
      <c r="N43" s="56" t="n">
        <f aca="false">N42/(N12*1000000000000000*N16*1*N17)/3600</f>
        <v>320810.133897707</v>
      </c>
      <c r="O43" s="56" t="n">
        <f aca="false">O42/(O12*1000000000000000*O16*1*O17)/3600</f>
        <v>4709.02687017469</v>
      </c>
      <c r="P43" s="56" t="n">
        <f aca="false">P42/(P12*1000000000000000*P16*1*P17)/3600</f>
        <v>16234.3409931097</v>
      </c>
      <c r="Q43" s="56" t="n">
        <f aca="false">Q42/(Q12*1000000000000000*Q16*1*Q17)/3600</f>
        <v>161791.854271178</v>
      </c>
    </row>
    <row r="44" customFormat="false" ht="15" hidden="false" customHeight="false" outlineLevel="0" collapsed="false">
      <c r="A44" s="72" t="s">
        <v>935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</row>
    <row r="45" customFormat="false" ht="15" hidden="false" customHeight="false" outlineLevel="0" collapsed="false">
      <c r="A45" s="45" t="s">
        <v>868</v>
      </c>
      <c r="B45" s="45" t="s">
        <v>861</v>
      </c>
      <c r="C45" s="77" t="n">
        <f aca="false">INDEX(Train_In!$C$29:$E$29,C$7)</f>
        <v>0.05</v>
      </c>
      <c r="D45" s="77" t="n">
        <f aca="false">INDEX(Train_In!$C$29:$E$29,D$7)</f>
        <v>0.05</v>
      </c>
      <c r="E45" s="77" t="n">
        <f aca="false">INDEX(Train_In!$C$29:$E$29,E$7)</f>
        <v>0.1</v>
      </c>
      <c r="F45" s="77" t="n">
        <f aca="false">INDEX(Train_In!$C$29:$E$29,F$7)</f>
        <v>0.05</v>
      </c>
      <c r="G45" s="77" t="n">
        <f aca="false">INDEX(Train_In!$C$29:$E$29,G$7)</f>
        <v>0.05</v>
      </c>
      <c r="H45" s="77" t="n">
        <f aca="false">INDEX(Train_In!$C$29:$E$29,H$7)</f>
        <v>0.1</v>
      </c>
      <c r="I45" s="77" t="n">
        <f aca="false">INDEX(Train_In!$C$29:$E$29,I$7)</f>
        <v>0.05</v>
      </c>
      <c r="J45" s="77" t="n">
        <f aca="false">INDEX(Train_In!$C$29:$E$29,J$7)</f>
        <v>0.05</v>
      </c>
      <c r="K45" s="77" t="n">
        <f aca="false">INDEX(Train_In!$C$29:$E$29,K$7)</f>
        <v>0.1</v>
      </c>
      <c r="L45" s="77" t="n">
        <f aca="false">INDEX(Train_In!$C$29:$E$29,L$7)</f>
        <v>0.05</v>
      </c>
      <c r="M45" s="77" t="n">
        <f aca="false">INDEX(Train_In!$C$29:$E$29,M$7)</f>
        <v>0.05</v>
      </c>
      <c r="N45" s="77" t="n">
        <f aca="false">INDEX(Train_In!$C$29:$E$29,N$7)</f>
        <v>0.1</v>
      </c>
      <c r="O45" s="77" t="n">
        <f aca="false">INDEX(Train_In!$C$29:$E$29,O$7)</f>
        <v>0.05</v>
      </c>
      <c r="P45" s="77" t="n">
        <f aca="false">INDEX(Train_In!$C$29:$E$29,P$7)</f>
        <v>0.05</v>
      </c>
      <c r="Q45" s="77" t="n">
        <f aca="false">INDEX(Train_In!$C$29:$E$29,Q$7)</f>
        <v>0.1</v>
      </c>
    </row>
    <row r="46" customFormat="false" ht="15" hidden="false" customHeight="false" outlineLevel="0" collapsed="false">
      <c r="A46" s="44" t="s">
        <v>924</v>
      </c>
      <c r="B46" s="45" t="s">
        <v>236</v>
      </c>
      <c r="C46" s="76" t="n">
        <f aca="false">INDEX(Train_In!$C$30:$E$30,C$7)</f>
        <v>16384</v>
      </c>
      <c r="D46" s="76" t="n">
        <f aca="false">INDEX(Train_In!$C$30:$E$30,D$7)</f>
        <v>16384</v>
      </c>
      <c r="E46" s="76" t="n">
        <f aca="false">INDEX(Train_In!$C$30:$E$30,E$7)</f>
        <v>16384</v>
      </c>
      <c r="F46" s="76" t="n">
        <f aca="false">INDEX(Train_In!$C$30:$E$30,F$7)</f>
        <v>16384</v>
      </c>
      <c r="G46" s="76" t="n">
        <f aca="false">INDEX(Train_In!$C$30:$E$30,G$7)</f>
        <v>16384</v>
      </c>
      <c r="H46" s="76" t="n">
        <f aca="false">INDEX(Train_In!$C$30:$E$30,H$7)</f>
        <v>16384</v>
      </c>
      <c r="I46" s="76" t="n">
        <f aca="false">INDEX(Train_In!$C$30:$E$30,I$7)</f>
        <v>16384</v>
      </c>
      <c r="J46" s="76" t="n">
        <f aca="false">INDEX(Train_In!$C$30:$E$30,J$7)</f>
        <v>16384</v>
      </c>
      <c r="K46" s="76" t="n">
        <f aca="false">INDEX(Train_In!$C$30:$E$30,K$7)</f>
        <v>16384</v>
      </c>
      <c r="L46" s="76" t="n">
        <f aca="false">INDEX(Train_In!$C$30:$E$30,L$7)</f>
        <v>16384</v>
      </c>
      <c r="M46" s="76" t="n">
        <f aca="false">INDEX(Train_In!$C$30:$E$30,M$7)</f>
        <v>16384</v>
      </c>
      <c r="N46" s="76" t="n">
        <f aca="false">INDEX(Train_In!$C$30:$E$30,N$7)</f>
        <v>16384</v>
      </c>
      <c r="O46" s="76" t="n">
        <f aca="false">INDEX(Train_In!$C$30:$E$30,O$7)</f>
        <v>16384</v>
      </c>
      <c r="P46" s="76" t="n">
        <f aca="false">INDEX(Train_In!$C$30:$E$30,P$7)</f>
        <v>16384</v>
      </c>
      <c r="Q46" s="76" t="n">
        <f aca="false">INDEX(Train_In!$C$30:$E$30,Q$7)</f>
        <v>16384</v>
      </c>
    </row>
    <row r="47" customFormat="false" ht="15" hidden="false" customHeight="false" outlineLevel="0" collapsed="false">
      <c r="A47" s="44" t="s">
        <v>932</v>
      </c>
      <c r="B47" s="45" t="s">
        <v>236</v>
      </c>
      <c r="C47" s="56" t="n">
        <f aca="false">C24*IF(C25=0,C46/2,MIN(C46/2,C25))+(1-C24)*(C46/2/C26+C27)</f>
        <v>2208</v>
      </c>
      <c r="D47" s="56" t="n">
        <f aca="false">D24*IF(D25=0,D46/2,MIN(D46/2,D25))+(1-D24)*(D46/2/D26+D27)</f>
        <v>2208</v>
      </c>
      <c r="E47" s="56" t="n">
        <f aca="false">E24*IF(E25=0,E46/2,MIN(E46/2,E25))+(1-E24)*(E46/2/E26+E27)</f>
        <v>8192</v>
      </c>
      <c r="F47" s="56" t="n">
        <f aca="false">F24*IF(F25=0,F46/2,MIN(F46/2,F25))+(1-F24)*(F46/2/F26+F27)</f>
        <v>2208</v>
      </c>
      <c r="G47" s="56" t="n">
        <f aca="false">G24*IF(G25=0,G46/2,MIN(G46/2,G25))+(1-G24)*(G46/2/G26+G27)</f>
        <v>2208</v>
      </c>
      <c r="H47" s="56" t="n">
        <f aca="false">H24*IF(H25=0,H46/2,MIN(H46/2,H25))+(1-H24)*(H46/2/H26+H27)</f>
        <v>8192</v>
      </c>
      <c r="I47" s="56" t="n">
        <f aca="false">I24*IF(I25=0,I46/2,MIN(I46/2,I25))+(1-I24)*(I46/2/I26+I27)</f>
        <v>2208</v>
      </c>
      <c r="J47" s="56" t="n">
        <f aca="false">J24*IF(J25=0,J46/2,MIN(J46/2,J25))+(1-J24)*(J46/2/J26+J27)</f>
        <v>2208</v>
      </c>
      <c r="K47" s="56" t="n">
        <f aca="false">K24*IF(K25=0,K46/2,MIN(K46/2,K25))+(1-K24)*(K46/2/K26+K27)</f>
        <v>8192</v>
      </c>
      <c r="L47" s="56" t="n">
        <f aca="false">L24*IF(L25=0,L46/2,MIN(L46/2,L25))+(1-L24)*(L46/2/L26+L27)</f>
        <v>2208</v>
      </c>
      <c r="M47" s="56" t="n">
        <f aca="false">M24*IF(M25=0,M46/2,MIN(M46/2,M25))+(1-M24)*(M46/2/M26+M27)</f>
        <v>2208</v>
      </c>
      <c r="N47" s="56" t="n">
        <f aca="false">N24*IF(N25=0,N46/2,MIN(N46/2,N25))+(1-N24)*(N46/2/N26+N27)</f>
        <v>8192</v>
      </c>
      <c r="O47" s="56" t="n">
        <f aca="false">O24*IF(O25=0,O46/2,MIN(O46/2,O25))+(1-O24)*(O46/2/O26+O27)</f>
        <v>2208</v>
      </c>
      <c r="P47" s="56" t="n">
        <f aca="false">P24*IF(P25=0,P46/2,MIN(P46/2,P25))+(1-P24)*(P46/2/P26+P27)</f>
        <v>2208</v>
      </c>
      <c r="Q47" s="56" t="n">
        <f aca="false">Q24*IF(Q25=0,Q46/2,MIN(Q46/2,Q25))+(1-Q24)*(Q46/2/Q26+Q27)</f>
        <v>8192</v>
      </c>
    </row>
    <row r="48" customFormat="false" ht="15" hidden="false" customHeight="false" outlineLevel="0" collapsed="false">
      <c r="A48" s="44" t="s">
        <v>926</v>
      </c>
      <c r="B48" s="45" t="s">
        <v>409</v>
      </c>
      <c r="C48" s="55" t="n">
        <f aca="false">3*(2*C22*1000000000+C23*C47)*C28/1000000000</f>
        <v>115.333499904</v>
      </c>
      <c r="D48" s="55" t="n">
        <f aca="false">3*(2*D22*1000000000+D23*D47)*D28/1000000000</f>
        <v>399.922953216</v>
      </c>
      <c r="E48" s="55" t="n">
        <f aca="false">3*(2*E22*1000000000+E23*E47)*E28/1000000000</f>
        <v>1200.7959552</v>
      </c>
      <c r="F48" s="55" t="n">
        <f aca="false">3*(2*F22*1000000000+F23*F47)*F28/1000000000</f>
        <v>115.333499904</v>
      </c>
      <c r="G48" s="55" t="n">
        <f aca="false">3*(2*G22*1000000000+G23*G47)*G28/1000000000</f>
        <v>399.922953216</v>
      </c>
      <c r="H48" s="55" t="n">
        <f aca="false">3*(2*H22*1000000000+H23*H47)*H28/1000000000</f>
        <v>1200.7959552</v>
      </c>
      <c r="I48" s="55" t="n">
        <f aca="false">3*(2*I22*1000000000+I23*I47)*I28/1000000000</f>
        <v>115.333499904</v>
      </c>
      <c r="J48" s="55" t="n">
        <f aca="false">3*(2*J22*1000000000+J23*J47)*J28/1000000000</f>
        <v>399.922953216</v>
      </c>
      <c r="K48" s="55" t="n">
        <f aca="false">3*(2*K22*1000000000+K23*K47)*K28/1000000000</f>
        <v>1200.7959552</v>
      </c>
      <c r="L48" s="55" t="n">
        <f aca="false">3*(2*L22*1000000000+L23*L47)*L28/1000000000</f>
        <v>115.333499904</v>
      </c>
      <c r="M48" s="55" t="n">
        <f aca="false">3*(2*M22*1000000000+M23*M47)*M28/1000000000</f>
        <v>399.922953216</v>
      </c>
      <c r="N48" s="55" t="n">
        <f aca="false">3*(2*N22*1000000000+N23*N47)*N28/1000000000</f>
        <v>1200.7959552</v>
      </c>
      <c r="O48" s="55" t="n">
        <f aca="false">3*(2*O22*1000000000+O23*O47)*O28/1000000000</f>
        <v>115.333499904</v>
      </c>
      <c r="P48" s="55" t="n">
        <f aca="false">3*(2*P22*1000000000+P23*P47)*P28/1000000000</f>
        <v>399.922953216</v>
      </c>
      <c r="Q48" s="55" t="n">
        <f aca="false">3*(2*Q22*1000000000+Q23*Q47)*Q28/1000000000</f>
        <v>1200.7959552</v>
      </c>
    </row>
    <row r="49" customFormat="false" ht="15" hidden="false" customHeight="false" outlineLevel="0" collapsed="false">
      <c r="A49" s="45" t="s">
        <v>936</v>
      </c>
      <c r="B49" s="45" t="s">
        <v>259</v>
      </c>
      <c r="C49" s="131" t="n">
        <f aca="false">C48*1000000000*C45*1000000000000</f>
        <v>5.7666749952E+021</v>
      </c>
      <c r="D49" s="131" t="n">
        <f aca="false">D48*1000000000*D45*1000000000000</f>
        <v>1.99961476608E+022</v>
      </c>
      <c r="E49" s="131" t="n">
        <f aca="false">E48*1000000000*E45*1000000000000</f>
        <v>1.2007959552E+023</v>
      </c>
      <c r="F49" s="131" t="n">
        <f aca="false">F48*1000000000*F45*1000000000000</f>
        <v>5.7666749952E+021</v>
      </c>
      <c r="G49" s="131" t="n">
        <f aca="false">G48*1000000000*G45*1000000000000</f>
        <v>1.99961476608E+022</v>
      </c>
      <c r="H49" s="131" t="n">
        <f aca="false">H48*1000000000*H45*1000000000000</f>
        <v>1.2007959552E+023</v>
      </c>
      <c r="I49" s="131" t="n">
        <f aca="false">I48*1000000000*I45*1000000000000</f>
        <v>5.7666749952E+021</v>
      </c>
      <c r="J49" s="131" t="n">
        <f aca="false">J48*1000000000*J45*1000000000000</f>
        <v>1.99961476608E+022</v>
      </c>
      <c r="K49" s="131" t="n">
        <f aca="false">K48*1000000000*K45*1000000000000</f>
        <v>1.2007959552E+023</v>
      </c>
      <c r="L49" s="131" t="n">
        <f aca="false">L48*1000000000*L45*1000000000000</f>
        <v>5.7666749952E+021</v>
      </c>
      <c r="M49" s="131" t="n">
        <f aca="false">M48*1000000000*M45*1000000000000</f>
        <v>1.99961476608E+022</v>
      </c>
      <c r="N49" s="131" t="n">
        <f aca="false">N48*1000000000*N45*1000000000000</f>
        <v>1.2007959552E+023</v>
      </c>
      <c r="O49" s="131" t="n">
        <f aca="false">O48*1000000000*O45*1000000000000</f>
        <v>5.7666749952E+021</v>
      </c>
      <c r="P49" s="131" t="n">
        <f aca="false">P48*1000000000*P45*1000000000000</f>
        <v>1.99961476608E+022</v>
      </c>
      <c r="Q49" s="131" t="n">
        <f aca="false">Q48*1000000000*Q45*1000000000000</f>
        <v>1.2007959552E+023</v>
      </c>
    </row>
    <row r="50" customFormat="false" ht="15" hidden="false" customHeight="false" outlineLevel="0" collapsed="false">
      <c r="A50" s="45" t="s">
        <v>937</v>
      </c>
      <c r="B50" s="45" t="s">
        <v>61</v>
      </c>
      <c r="C50" s="79" t="n">
        <f aca="false">Train_In!$C$8</f>
        <v>0.8</v>
      </c>
      <c r="D50" s="79" t="n">
        <f aca="false">Train_In!$C$8</f>
        <v>0.8</v>
      </c>
      <c r="E50" s="79" t="n">
        <f aca="false">Train_In!$C$8</f>
        <v>0.8</v>
      </c>
      <c r="F50" s="79" t="n">
        <f aca="false">Train_In!$C$8</f>
        <v>0.8</v>
      </c>
      <c r="G50" s="79" t="n">
        <f aca="false">Train_In!$C$8</f>
        <v>0.8</v>
      </c>
      <c r="H50" s="79" t="n">
        <f aca="false">Train_In!$C$8</f>
        <v>0.8</v>
      </c>
      <c r="I50" s="79" t="n">
        <f aca="false">Train_In!$C$8</f>
        <v>0.8</v>
      </c>
      <c r="J50" s="79" t="n">
        <f aca="false">Train_In!$C$8</f>
        <v>0.8</v>
      </c>
      <c r="K50" s="79" t="n">
        <f aca="false">Train_In!$C$8</f>
        <v>0.8</v>
      </c>
      <c r="L50" s="79" t="n">
        <f aca="false">Train_In!$C$8</f>
        <v>0.8</v>
      </c>
      <c r="M50" s="79" t="n">
        <f aca="false">Train_In!$C$8</f>
        <v>0.8</v>
      </c>
      <c r="N50" s="79" t="n">
        <f aca="false">Train_In!$C$8</f>
        <v>0.8</v>
      </c>
      <c r="O50" s="79" t="n">
        <f aca="false">Train_In!$C$8</f>
        <v>0.8</v>
      </c>
      <c r="P50" s="79" t="n">
        <f aca="false">Train_In!$C$8</f>
        <v>0.8</v>
      </c>
      <c r="Q50" s="79" t="n">
        <f aca="false">Train_In!$C$8</f>
        <v>0.8</v>
      </c>
    </row>
    <row r="51" customFormat="false" ht="15" hidden="false" customHeight="false" outlineLevel="0" collapsed="false">
      <c r="A51" s="45" t="s">
        <v>938</v>
      </c>
      <c r="B51" s="45" t="s">
        <v>929</v>
      </c>
      <c r="C51" s="56" t="n">
        <f aca="false">C49/(C12*1000000000000000*C16*C50*C17)/3600</f>
        <v>5621.01427956506</v>
      </c>
      <c r="D51" s="56" t="n">
        <f aca="false">D49/(D12*1000000000000000*D16*D50*D17)/3600</f>
        <v>19491.064024105</v>
      </c>
      <c r="E51" s="56" t="n">
        <f aca="false">E49/(E12*1000000000000000*E16*E50*E17)/3600</f>
        <v>117046.499354332</v>
      </c>
      <c r="F51" s="56" t="n">
        <f aca="false">F49/(F12*1000000000000000*F16*F50*F17)/3600</f>
        <v>1779.83796148148</v>
      </c>
      <c r="G51" s="56" t="n">
        <f aca="false">G49/(G12*1000000000000000*G16*G50*G17)/3600</f>
        <v>6171.65051259259</v>
      </c>
      <c r="H51" s="56" t="n">
        <f aca="false">H49/(H12*1000000000000000*H16*H50*H17)/3600</f>
        <v>37061.6035555556</v>
      </c>
      <c r="I51" s="56" t="n">
        <f aca="false">I49/(I12*1000000000000000*I16*I50*I17)/3600</f>
        <v>1779.83796148148</v>
      </c>
      <c r="J51" s="56" t="n">
        <f aca="false">J49/(J12*1000000000000000*J16*J50*J17)/3600</f>
        <v>6171.65051259259</v>
      </c>
      <c r="K51" s="56" t="n">
        <f aca="false">K49/(K12*1000000000000000*K16*K50*K17)/3600</f>
        <v>37061.6035555556</v>
      </c>
      <c r="L51" s="56" t="n">
        <f aca="false">L49/(L12*1000000000000000*L16*L50*L17)/3600</f>
        <v>565.027924279836</v>
      </c>
      <c r="M51" s="56" t="n">
        <f aca="false">M49/(M12*1000000000000000*M16*M50*M17)/3600</f>
        <v>1959.25413098178</v>
      </c>
      <c r="N51" s="56" t="n">
        <f aca="false">N49/(N12*1000000000000000*N16*N50*N17)/3600</f>
        <v>11765.5884303351</v>
      </c>
      <c r="O51" s="56" t="n">
        <f aca="false">O49/(O12*1000000000000000*O16*O50*O17)/3600</f>
        <v>284.956445962453</v>
      </c>
      <c r="P51" s="56" t="n">
        <f aca="false">P49/(P12*1000000000000000*P16*P50*P17)/3600</f>
        <v>988.096463751616</v>
      </c>
      <c r="Q51" s="56" t="n">
        <f aca="false">Q49/(Q12*1000000000000000*Q16*Q50*Q17)/3600</f>
        <v>5933.6541075177</v>
      </c>
    </row>
    <row r="52" customFormat="false" ht="15" hidden="false" customHeight="false" outlineLevel="0" collapsed="false">
      <c r="A52" s="72" t="s">
        <v>939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</row>
    <row r="53" customFormat="false" ht="15" hidden="false" customHeight="false" outlineLevel="0" collapsed="false">
      <c r="A53" s="45" t="s">
        <v>940</v>
      </c>
      <c r="B53" s="45" t="s">
        <v>861</v>
      </c>
      <c r="C53" s="80" t="n">
        <f aca="false">INDEX(Train_In!$C$34:$E$34,C$7)</f>
        <v>2.36</v>
      </c>
      <c r="D53" s="80" t="n">
        <f aca="false">INDEX(Train_In!$C$34:$E$34,D$7)</f>
        <v>2.36</v>
      </c>
      <c r="E53" s="80" t="n">
        <f aca="false">INDEX(Train_In!$C$34:$E$34,E$7)</f>
        <v>9.6</v>
      </c>
      <c r="F53" s="80" t="n">
        <f aca="false">INDEX(Train_In!$C$34:$E$34,F$7)</f>
        <v>2.36</v>
      </c>
      <c r="G53" s="80" t="n">
        <f aca="false">INDEX(Train_In!$C$34:$E$34,G$7)</f>
        <v>2.36</v>
      </c>
      <c r="H53" s="80" t="n">
        <f aca="false">INDEX(Train_In!$C$34:$E$34,H$7)</f>
        <v>9.6</v>
      </c>
      <c r="I53" s="80" t="n">
        <f aca="false">INDEX(Train_In!$C$34:$E$34,I$7)</f>
        <v>2.36</v>
      </c>
      <c r="J53" s="80" t="n">
        <f aca="false">INDEX(Train_In!$C$34:$E$34,J$7)</f>
        <v>2.36</v>
      </c>
      <c r="K53" s="80" t="n">
        <f aca="false">INDEX(Train_In!$C$34:$E$34,K$7)</f>
        <v>9.6</v>
      </c>
      <c r="L53" s="80" t="n">
        <f aca="false">INDEX(Train_In!$C$34:$E$34,L$7)</f>
        <v>2.36</v>
      </c>
      <c r="M53" s="80" t="n">
        <f aca="false">INDEX(Train_In!$C$34:$E$34,M$7)</f>
        <v>2.36</v>
      </c>
      <c r="N53" s="80" t="n">
        <f aca="false">INDEX(Train_In!$C$34:$E$34,N$7)</f>
        <v>9.6</v>
      </c>
      <c r="O53" s="80" t="n">
        <f aca="false">INDEX(Train_In!$C$34:$E$34,O$7)</f>
        <v>2.36</v>
      </c>
      <c r="P53" s="80" t="n">
        <f aca="false">INDEX(Train_In!$C$34:$E$34,P$7)</f>
        <v>2.36</v>
      </c>
      <c r="Q53" s="80" t="n">
        <f aca="false">INDEX(Train_In!$C$34:$E$34,Q$7)</f>
        <v>9.6</v>
      </c>
    </row>
    <row r="54" customFormat="false" ht="15" hidden="false" customHeight="false" outlineLevel="0" collapsed="false">
      <c r="A54" s="44" t="s">
        <v>941</v>
      </c>
      <c r="B54" s="45" t="s">
        <v>236</v>
      </c>
      <c r="C54" s="76" t="n">
        <f aca="false">INDEX(Perf_Batch!$C$43:$Q$43,3*(C$6-1)+C$7)</f>
        <v>4096</v>
      </c>
      <c r="D54" s="76" t="n">
        <f aca="false">INDEX(Perf_Batch!$C$43:$Q$43,3*(D$6-1)+D$7)</f>
        <v>8192</v>
      </c>
      <c r="E54" s="76" t="n">
        <f aca="false">INDEX(Perf_Batch!$C$43:$Q$43,3*(E$6-1)+E$7)</f>
        <v>16384</v>
      </c>
      <c r="F54" s="76" t="n">
        <f aca="false">INDEX(Perf_Batch!$C$43:$Q$43,3*(F$6-1)+F$7)</f>
        <v>4096</v>
      </c>
      <c r="G54" s="76" t="n">
        <f aca="false">INDEX(Perf_Batch!$C$43:$Q$43,3*(G$6-1)+G$7)</f>
        <v>8192</v>
      </c>
      <c r="H54" s="76" t="n">
        <f aca="false">INDEX(Perf_Batch!$C$43:$Q$43,3*(H$6-1)+H$7)</f>
        <v>16384</v>
      </c>
      <c r="I54" s="76" t="n">
        <f aca="false">INDEX(Perf_Batch!$C$43:$Q$43,3*(I$6-1)+I$7)</f>
        <v>4096</v>
      </c>
      <c r="J54" s="76" t="n">
        <f aca="false">INDEX(Perf_Batch!$C$43:$Q$43,3*(J$6-1)+J$7)</f>
        <v>8192</v>
      </c>
      <c r="K54" s="76" t="n">
        <f aca="false">INDEX(Perf_Batch!$C$43:$Q$43,3*(K$6-1)+K$7)</f>
        <v>16384</v>
      </c>
      <c r="L54" s="76" t="n">
        <f aca="false">INDEX(Perf_Batch!$C$43:$Q$43,3*(L$6-1)+L$7)</f>
        <v>4096</v>
      </c>
      <c r="M54" s="76" t="n">
        <f aca="false">INDEX(Perf_Batch!$C$43:$Q$43,3*(M$6-1)+M$7)</f>
        <v>8192</v>
      </c>
      <c r="N54" s="76" t="n">
        <f aca="false">INDEX(Perf_Batch!$C$43:$Q$43,3*(N$6-1)+N$7)</f>
        <v>16384</v>
      </c>
      <c r="O54" s="76" t="n">
        <f aca="false">INDEX(Perf_Batch!$C$43:$Q$43,3*(O$6-1)+O$7)</f>
        <v>4096</v>
      </c>
      <c r="P54" s="76" t="n">
        <f aca="false">INDEX(Perf_Batch!$C$43:$Q$43,3*(P$6-1)+P$7)</f>
        <v>8192</v>
      </c>
      <c r="Q54" s="76" t="n">
        <f aca="false">INDEX(Perf_Batch!$C$43:$Q$43,3*(Q$6-1)+Q$7)</f>
        <v>16384</v>
      </c>
    </row>
    <row r="55" customFormat="false" ht="15" hidden="false" customHeight="false" outlineLevel="0" collapsed="false">
      <c r="A55" s="44" t="s">
        <v>942</v>
      </c>
      <c r="B55" s="45" t="s">
        <v>236</v>
      </c>
      <c r="C55" s="76" t="n">
        <f aca="false">INDEX(Perf_Batch!$C$44:$Q$44,3*(C$6-1)+C$7)</f>
        <v>8192</v>
      </c>
      <c r="D55" s="76" t="n">
        <f aca="false">INDEX(Perf_Batch!$C$44:$Q$44,3*(D$6-1)+D$7)</f>
        <v>16384</v>
      </c>
      <c r="E55" s="76" t="n">
        <f aca="false">INDEX(Perf_Batch!$C$44:$Q$44,3*(E$6-1)+E$7)</f>
        <v>32768</v>
      </c>
      <c r="F55" s="76" t="n">
        <f aca="false">INDEX(Perf_Batch!$C$44:$Q$44,3*(F$6-1)+F$7)</f>
        <v>8192</v>
      </c>
      <c r="G55" s="76" t="n">
        <f aca="false">INDEX(Perf_Batch!$C$44:$Q$44,3*(G$6-1)+G$7)</f>
        <v>16384</v>
      </c>
      <c r="H55" s="76" t="n">
        <f aca="false">INDEX(Perf_Batch!$C$44:$Q$44,3*(H$6-1)+H$7)</f>
        <v>32768</v>
      </c>
      <c r="I55" s="76" t="n">
        <f aca="false">INDEX(Perf_Batch!$C$44:$Q$44,3*(I$6-1)+I$7)</f>
        <v>8192</v>
      </c>
      <c r="J55" s="76" t="n">
        <f aca="false">INDEX(Perf_Batch!$C$44:$Q$44,3*(J$6-1)+J$7)</f>
        <v>16384</v>
      </c>
      <c r="K55" s="76" t="n">
        <f aca="false">INDEX(Perf_Batch!$C$44:$Q$44,3*(K$6-1)+K$7)</f>
        <v>32768</v>
      </c>
      <c r="L55" s="76" t="n">
        <f aca="false">INDEX(Perf_Batch!$C$44:$Q$44,3*(L$6-1)+L$7)</f>
        <v>8192</v>
      </c>
      <c r="M55" s="76" t="n">
        <f aca="false">INDEX(Perf_Batch!$C$44:$Q$44,3*(M$6-1)+M$7)</f>
        <v>16384</v>
      </c>
      <c r="N55" s="76" t="n">
        <f aca="false">INDEX(Perf_Batch!$C$44:$Q$44,3*(N$6-1)+N$7)</f>
        <v>32768</v>
      </c>
      <c r="O55" s="76" t="n">
        <f aca="false">INDEX(Perf_Batch!$C$44:$Q$44,3*(O$6-1)+O$7)</f>
        <v>8192</v>
      </c>
      <c r="P55" s="76" t="n">
        <f aca="false">INDEX(Perf_Batch!$C$44:$Q$44,3*(P$6-1)+P$7)</f>
        <v>16384</v>
      </c>
      <c r="Q55" s="76" t="n">
        <f aca="false">INDEX(Perf_Batch!$C$44:$Q$44,3*(Q$6-1)+Q$7)</f>
        <v>32768</v>
      </c>
    </row>
    <row r="56" customFormat="false" ht="15" hidden="false" customHeight="false" outlineLevel="0" collapsed="false">
      <c r="A56" s="44" t="s">
        <v>943</v>
      </c>
      <c r="B56" s="44" t="s">
        <v>328</v>
      </c>
      <c r="C56" s="56" t="n">
        <f aca="false">C53*1000000000000/C55</f>
        <v>288085937.5</v>
      </c>
      <c r="D56" s="56" t="n">
        <f aca="false">D53*1000000000000/D55</f>
        <v>144042968.75</v>
      </c>
      <c r="E56" s="56" t="n">
        <f aca="false">E53*1000000000000/E55</f>
        <v>292968750</v>
      </c>
      <c r="F56" s="56" t="n">
        <f aca="false">F53*1000000000000/F55</f>
        <v>288085937.5</v>
      </c>
      <c r="G56" s="56" t="n">
        <f aca="false">G53*1000000000000/G55</f>
        <v>144042968.75</v>
      </c>
      <c r="H56" s="56" t="n">
        <f aca="false">H53*1000000000000/H55</f>
        <v>292968750</v>
      </c>
      <c r="I56" s="56" t="n">
        <f aca="false">I53*1000000000000/I55</f>
        <v>288085937.5</v>
      </c>
      <c r="J56" s="56" t="n">
        <f aca="false">J53*1000000000000/J55</f>
        <v>144042968.75</v>
      </c>
      <c r="K56" s="56" t="n">
        <f aca="false">K53*1000000000000/K55</f>
        <v>292968750</v>
      </c>
      <c r="L56" s="56" t="n">
        <f aca="false">L53*1000000000000/L55</f>
        <v>288085937.5</v>
      </c>
      <c r="M56" s="56" t="n">
        <f aca="false">M53*1000000000000/M55</f>
        <v>144042968.75</v>
      </c>
      <c r="N56" s="56" t="n">
        <f aca="false">N53*1000000000000/N55</f>
        <v>292968750</v>
      </c>
      <c r="O56" s="56" t="n">
        <f aca="false">O53*1000000000000/O55</f>
        <v>288085937.5</v>
      </c>
      <c r="P56" s="56" t="n">
        <f aca="false">P53*1000000000000/P55</f>
        <v>144042968.75</v>
      </c>
      <c r="Q56" s="56" t="n">
        <f aca="false">Q53*1000000000000/Q55</f>
        <v>292968750</v>
      </c>
    </row>
    <row r="57" customFormat="false" ht="15" hidden="false" customHeight="false" outlineLevel="0" collapsed="false">
      <c r="A57" s="45" t="s">
        <v>944</v>
      </c>
      <c r="B57" s="44" t="s">
        <v>328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44" t="s">
        <v>945</v>
      </c>
      <c r="B58" s="45" t="s">
        <v>861</v>
      </c>
      <c r="C58" s="52" t="n">
        <f aca="false">C56*C54/C57/1000000000000</f>
        <v>0.07375</v>
      </c>
      <c r="D58" s="52" t="n">
        <f aca="false">D56*D54/D57/1000000000000</f>
        <v>0.07375</v>
      </c>
      <c r="E58" s="52" t="n">
        <f aca="false">E56*E54/E57/1000000000000</f>
        <v>0.3</v>
      </c>
      <c r="F58" s="52" t="n">
        <f aca="false">F56*F54/F57/1000000000000</f>
        <v>0.07375</v>
      </c>
      <c r="G58" s="52" t="n">
        <f aca="false">G56*G54/G57/1000000000000</f>
        <v>0.07375</v>
      </c>
      <c r="H58" s="52" t="n">
        <f aca="false">H56*H54/H57/1000000000000</f>
        <v>0.3</v>
      </c>
      <c r="I58" s="52" t="n">
        <f aca="false">I56*I54/I57/1000000000000</f>
        <v>0.07375</v>
      </c>
      <c r="J58" s="52" t="n">
        <f aca="false">J56*J54/J57/1000000000000</f>
        <v>0.07375</v>
      </c>
      <c r="K58" s="52" t="n">
        <f aca="false">K56*K54/K57/1000000000000</f>
        <v>0.3</v>
      </c>
      <c r="L58" s="52" t="n">
        <f aca="false">L56*L54/L57/1000000000000</f>
        <v>0.07375</v>
      </c>
      <c r="M58" s="52" t="n">
        <f aca="false">M56*M54/M57/1000000000000</f>
        <v>0.07375</v>
      </c>
      <c r="N58" s="52" t="n">
        <f aca="false">N56*N54/N57/1000000000000</f>
        <v>0.3</v>
      </c>
      <c r="O58" s="52" t="n">
        <f aca="false">O56*O54/O57/1000000000000</f>
        <v>0.07375</v>
      </c>
      <c r="P58" s="52" t="n">
        <f aca="false">P56*P54/P57/1000000000000</f>
        <v>0.07375</v>
      </c>
      <c r="Q58" s="52" t="n">
        <f aca="false">Q56*Q54/Q57/1000000000000</f>
        <v>0.3</v>
      </c>
    </row>
    <row r="59" customFormat="false" ht="15" hidden="false" customHeight="false" outlineLevel="0" collapsed="false">
      <c r="A59" s="45" t="s">
        <v>946</v>
      </c>
      <c r="B59" s="45" t="s">
        <v>711</v>
      </c>
      <c r="C59" s="80" t="n">
        <f aca="false">INDEX(Perf_Batch!$C$103:$Q$103,3*(C$6-1)+C$7)</f>
        <v>637.797443162555</v>
      </c>
      <c r="D59" s="80" t="n">
        <f aca="false">INDEX(Perf_Batch!$C$103:$Q$103,3*(D$6-1)+D$7)</f>
        <v>2479.94676349518</v>
      </c>
      <c r="E59" s="80" t="n">
        <f aca="false">INDEX(Perf_Batch!$C$103:$Q$103,3*(E$6-1)+E$7)</f>
        <v>10861.2427989035</v>
      </c>
      <c r="F59" s="80" t="n">
        <f aca="false">INDEX(Perf_Batch!$C$103:$Q$103,3*(F$6-1)+F$7)</f>
        <v>180.805183510512</v>
      </c>
      <c r="G59" s="80" t="n">
        <f aca="false">INDEX(Perf_Batch!$C$103:$Q$103,3*(G$6-1)+G$7)</f>
        <v>672.697762430943</v>
      </c>
      <c r="H59" s="80" t="n">
        <f aca="false">INDEX(Perf_Batch!$C$103:$Q$103,3*(H$6-1)+H$7)</f>
        <v>2923.43078652038</v>
      </c>
      <c r="I59" s="80" t="n">
        <f aca="false">INDEX(Perf_Batch!$C$103:$Q$103,3*(I$6-1)+I$7)</f>
        <v>120.536789007008</v>
      </c>
      <c r="J59" s="80" t="n">
        <f aca="false">INDEX(Perf_Batch!$C$103:$Q$103,3*(J$6-1)+J$7)</f>
        <v>448.465174953962</v>
      </c>
      <c r="K59" s="80" t="n">
        <f aca="false">INDEX(Perf_Batch!$C$103:$Q$103,3*(K$6-1)+K$7)</f>
        <v>2022.10039729897</v>
      </c>
      <c r="L59" s="80" t="n">
        <f aca="false">INDEX(Perf_Batch!$C$103:$Q$103,3*(L$6-1)+L$7)</f>
        <v>51.3020666753698</v>
      </c>
      <c r="M59" s="80" t="n">
        <f aca="false">INDEX(Perf_Batch!$C$103:$Q$103,3*(M$6-1)+M$7)</f>
        <v>185.7675970011</v>
      </c>
      <c r="N59" s="80" t="n">
        <f aca="false">INDEX(Perf_Batch!$C$103:$Q$103,3*(N$6-1)+N$7)</f>
        <v>788.618565761301</v>
      </c>
      <c r="O59" s="80" t="n">
        <f aca="false">INDEX(Perf_Batch!$C$103:$Q$103,3*(O$6-1)+O$7)</f>
        <v>24.5508101189064</v>
      </c>
      <c r="P59" s="80" t="n">
        <f aca="false">INDEX(Perf_Batch!$C$103:$Q$103,3*(P$6-1)+P$7)</f>
        <v>88.2044771366583</v>
      </c>
      <c r="Q59" s="80" t="n">
        <f aca="false">INDEX(Perf_Batch!$C$103:$Q$103,3*(Q$6-1)+Q$7)</f>
        <v>368.368576991554</v>
      </c>
    </row>
    <row r="60" customFormat="false" ht="15" hidden="false" customHeight="false" outlineLevel="0" collapsed="false">
      <c r="A60" s="45" t="s">
        <v>947</v>
      </c>
      <c r="B60" s="45" t="s">
        <v>711</v>
      </c>
      <c r="C60" s="80" t="n">
        <f aca="false">INDEX(Perf_Batch!$C$101:$Q$101,3*(C$6-1)+C$7)</f>
        <v>108.395355283813</v>
      </c>
      <c r="D60" s="80" t="n">
        <f aca="false">INDEX(Perf_Batch!$C$101:$Q$101,3*(D$6-1)+D$7)</f>
        <v>444.764656735725</v>
      </c>
      <c r="E60" s="80" t="n">
        <f aca="false">INDEX(Perf_Batch!$C$101:$Q$101,3*(E$6-1)+E$7)</f>
        <v>1348.3756725619</v>
      </c>
      <c r="F60" s="80" t="n">
        <f aca="false">INDEX(Perf_Batch!$C$101:$Q$101,3*(F$6-1)+F$7)</f>
        <v>10.7257204053333</v>
      </c>
      <c r="G60" s="80" t="n">
        <f aca="false">INDEX(Perf_Batch!$C$101:$Q$101,3*(G$6-1)+G$7)</f>
        <v>44.009462784</v>
      </c>
      <c r="H60" s="80" t="n">
        <f aca="false">INDEX(Perf_Batch!$C$101:$Q$101,3*(H$6-1)+H$7)</f>
        <v>133.4217728</v>
      </c>
      <c r="I60" s="80" t="n">
        <f aca="false">INDEX(Perf_Batch!$C$101:$Q$101,3*(I$6-1)+I$7)</f>
        <v>7.15048027022222</v>
      </c>
      <c r="J60" s="80" t="n">
        <f aca="false">INDEX(Perf_Batch!$C$101:$Q$101,3*(J$6-1)+J$7)</f>
        <v>29.339641856</v>
      </c>
      <c r="K60" s="80" t="n">
        <f aca="false">INDEX(Perf_Batch!$C$101:$Q$101,3*(K$6-1)+K$7)</f>
        <v>88.9478485333333</v>
      </c>
      <c r="L60" s="80" t="n">
        <f aca="false">INDEX(Perf_Batch!$C$101:$Q$101,3*(L$6-1)+L$7)</f>
        <v>3.06449154438095</v>
      </c>
      <c r="M60" s="80" t="n">
        <f aca="false">INDEX(Perf_Batch!$C$101:$Q$101,3*(M$6-1)+M$7)</f>
        <v>12.574132224</v>
      </c>
      <c r="N60" s="80" t="n">
        <f aca="false">INDEX(Perf_Batch!$C$101:$Q$101,3*(N$6-1)+N$7)</f>
        <v>38.1205065142857</v>
      </c>
      <c r="O60" s="80" t="n">
        <f aca="false">INDEX(Perf_Batch!$C$101:$Q$101,3*(O$6-1)+O$7)</f>
        <v>1.46927676785388</v>
      </c>
      <c r="P60" s="80" t="n">
        <f aca="false">INDEX(Perf_Batch!$C$101:$Q$101,3*(P$6-1)+P$7)</f>
        <v>6.02869353205479</v>
      </c>
      <c r="Q60" s="80" t="n">
        <f aca="false">INDEX(Perf_Batch!$C$101:$Q$101,3*(Q$6-1)+Q$7)</f>
        <v>18.2769551780822</v>
      </c>
    </row>
    <row r="61" customFormat="false" ht="15" hidden="false" customHeight="false" outlineLevel="0" collapsed="false">
      <c r="A61" s="45" t="s">
        <v>948</v>
      </c>
      <c r="B61" s="45" t="s">
        <v>409</v>
      </c>
      <c r="C61" s="80" t="n">
        <f aca="false">INDEX(Perf_Batch!$C$65:$Q$65,3*(C$6-1)+C$7)</f>
        <v>38.444499968</v>
      </c>
      <c r="D61" s="80" t="n">
        <f aca="false">INDEX(Perf_Batch!$C$65:$Q$65,3*(D$6-1)+D$7)</f>
        <v>133.81935616</v>
      </c>
      <c r="E61" s="80" t="n">
        <f aca="false">INDEX(Perf_Batch!$C$65:$Q$65,3*(E$6-1)+E$7)</f>
        <v>521.0612736</v>
      </c>
      <c r="F61" s="80" t="n">
        <f aca="false">INDEX(Perf_Batch!$C$65:$Q$65,3*(F$6-1)+F$7)</f>
        <v>38.444499968</v>
      </c>
      <c r="G61" s="80" t="n">
        <f aca="false">INDEX(Perf_Batch!$C$65:$Q$65,3*(G$6-1)+G$7)</f>
        <v>133.81935616</v>
      </c>
      <c r="H61" s="80" t="n">
        <f aca="false">INDEX(Perf_Batch!$C$65:$Q$65,3*(H$6-1)+H$7)</f>
        <v>521.0612736</v>
      </c>
      <c r="I61" s="80" t="n">
        <f aca="false">INDEX(Perf_Batch!$C$65:$Q$65,3*(I$6-1)+I$7)</f>
        <v>38.444499968</v>
      </c>
      <c r="J61" s="80" t="n">
        <f aca="false">INDEX(Perf_Batch!$C$65:$Q$65,3*(J$6-1)+J$7)</f>
        <v>133.81935616</v>
      </c>
      <c r="K61" s="80" t="n">
        <f aca="false">INDEX(Perf_Batch!$C$65:$Q$65,3*(K$6-1)+K$7)</f>
        <v>521.0612736</v>
      </c>
      <c r="L61" s="80" t="n">
        <f aca="false">INDEX(Perf_Batch!$C$65:$Q$65,3*(L$6-1)+L$7)</f>
        <v>38.444499968</v>
      </c>
      <c r="M61" s="80" t="n">
        <f aca="false">INDEX(Perf_Batch!$C$65:$Q$65,3*(M$6-1)+M$7)</f>
        <v>133.81935616</v>
      </c>
      <c r="N61" s="80" t="n">
        <f aca="false">INDEX(Perf_Batch!$C$65:$Q$65,3*(N$6-1)+N$7)</f>
        <v>521.0612736</v>
      </c>
      <c r="O61" s="80" t="n">
        <f aca="false">INDEX(Perf_Batch!$C$65:$Q$65,3*(O$6-1)+O$7)</f>
        <v>38.444499968</v>
      </c>
      <c r="P61" s="80" t="n">
        <f aca="false">INDEX(Perf_Batch!$C$65:$Q$65,3*(P$6-1)+P$7)</f>
        <v>133.81935616</v>
      </c>
      <c r="Q61" s="80" t="n">
        <f aca="false">INDEX(Perf_Batch!$C$65:$Q$65,3*(Q$6-1)+Q$7)</f>
        <v>521.0612736</v>
      </c>
    </row>
    <row r="62" customFormat="false" ht="15" hidden="false" customHeight="false" outlineLevel="0" collapsed="false">
      <c r="A62" s="45" t="s">
        <v>949</v>
      </c>
      <c r="B62" s="45" t="s">
        <v>409</v>
      </c>
      <c r="C62" s="80" t="n">
        <f aca="false">INDEX(Perf_Batch!$C$67:$Q$67,3*(C$6-1)+C$7)</f>
        <v>32.177161216</v>
      </c>
      <c r="D62" s="80" t="n">
        <f aca="false">INDEX(Perf_Batch!$C$67:$Q$67,3*(D$6-1)+D$7)</f>
        <v>132.028388352</v>
      </c>
      <c r="E62" s="80" t="n">
        <f aca="false">INDEX(Perf_Batch!$C$67:$Q$67,3*(E$6-1)+E$7)</f>
        <v>400.2653184</v>
      </c>
      <c r="F62" s="80" t="n">
        <f aca="false">INDEX(Perf_Batch!$C$67:$Q$67,3*(F$6-1)+F$7)</f>
        <v>32.177161216</v>
      </c>
      <c r="G62" s="80" t="n">
        <f aca="false">INDEX(Perf_Batch!$C$67:$Q$67,3*(G$6-1)+G$7)</f>
        <v>132.028388352</v>
      </c>
      <c r="H62" s="80" t="n">
        <f aca="false">INDEX(Perf_Batch!$C$67:$Q$67,3*(H$6-1)+H$7)</f>
        <v>400.2653184</v>
      </c>
      <c r="I62" s="80" t="n">
        <f aca="false">INDEX(Perf_Batch!$C$67:$Q$67,3*(I$6-1)+I$7)</f>
        <v>32.177161216</v>
      </c>
      <c r="J62" s="80" t="n">
        <f aca="false">INDEX(Perf_Batch!$C$67:$Q$67,3*(J$6-1)+J$7)</f>
        <v>132.028388352</v>
      </c>
      <c r="K62" s="80" t="n">
        <f aca="false">INDEX(Perf_Batch!$C$67:$Q$67,3*(K$6-1)+K$7)</f>
        <v>400.2653184</v>
      </c>
      <c r="L62" s="80" t="n">
        <f aca="false">INDEX(Perf_Batch!$C$67:$Q$67,3*(L$6-1)+L$7)</f>
        <v>32.177161216</v>
      </c>
      <c r="M62" s="80" t="n">
        <f aca="false">INDEX(Perf_Batch!$C$67:$Q$67,3*(M$6-1)+M$7)</f>
        <v>132.028388352</v>
      </c>
      <c r="N62" s="80" t="n">
        <f aca="false">INDEX(Perf_Batch!$C$67:$Q$67,3*(N$6-1)+N$7)</f>
        <v>400.2653184</v>
      </c>
      <c r="O62" s="80" t="n">
        <f aca="false">INDEX(Perf_Batch!$C$67:$Q$67,3*(O$6-1)+O$7)</f>
        <v>32.177161216</v>
      </c>
      <c r="P62" s="80" t="n">
        <f aca="false">INDEX(Perf_Batch!$C$67:$Q$67,3*(P$6-1)+P$7)</f>
        <v>132.028388352</v>
      </c>
      <c r="Q62" s="80" t="n">
        <f aca="false">INDEX(Perf_Batch!$C$67:$Q$67,3*(Q$6-1)+Q$7)</f>
        <v>400.2653184</v>
      </c>
    </row>
    <row r="63" customFormat="false" ht="15" hidden="false" customHeight="false" outlineLevel="0" collapsed="false">
      <c r="A63" s="45" t="s">
        <v>950</v>
      </c>
      <c r="B63" s="45" t="s">
        <v>61</v>
      </c>
      <c r="C63" s="79" t="n">
        <f aca="false">Tech_Registry!$E$28</f>
        <v>1</v>
      </c>
      <c r="D63" s="79" t="n">
        <f aca="false">Tech_Registry!$E$28</f>
        <v>1</v>
      </c>
      <c r="E63" s="79" t="n">
        <f aca="false">Tech_Registry!$E$28</f>
        <v>1</v>
      </c>
      <c r="F63" s="79" t="n">
        <f aca="false">Tech_Registry!$E$28</f>
        <v>1</v>
      </c>
      <c r="G63" s="79" t="n">
        <f aca="false">Tech_Registry!$E$28</f>
        <v>1</v>
      </c>
      <c r="H63" s="79" t="n">
        <f aca="false">Tech_Registry!$E$28</f>
        <v>1</v>
      </c>
      <c r="I63" s="79" t="n">
        <f aca="false">Tech_Registry!$E$28</f>
        <v>1</v>
      </c>
      <c r="J63" s="79" t="n">
        <f aca="false">Tech_Registry!$E$28</f>
        <v>1</v>
      </c>
      <c r="K63" s="79" t="n">
        <f aca="false">Tech_Registry!$E$28</f>
        <v>1</v>
      </c>
      <c r="L63" s="79" t="n">
        <f aca="false">Tech_Registry!$E$28</f>
        <v>1</v>
      </c>
      <c r="M63" s="79" t="n">
        <f aca="false">Tech_Registry!$E$28</f>
        <v>1</v>
      </c>
      <c r="N63" s="79" t="n">
        <f aca="false">Tech_Registry!$E$28</f>
        <v>1</v>
      </c>
      <c r="O63" s="79" t="n">
        <f aca="false">Tech_Registry!$E$28</f>
        <v>1</v>
      </c>
      <c r="P63" s="79" t="n">
        <f aca="false">Tech_Registry!$E$28</f>
        <v>1</v>
      </c>
      <c r="Q63" s="79" t="n">
        <f aca="false">Tech_Registry!$E$28</f>
        <v>1</v>
      </c>
    </row>
    <row r="64" customFormat="false" ht="15" hidden="false" customHeight="false" outlineLevel="0" collapsed="false">
      <c r="A64" s="45" t="s">
        <v>951</v>
      </c>
      <c r="B64" s="45" t="s">
        <v>57</v>
      </c>
      <c r="C64" s="81" t="n">
        <f aca="false">Train_In!$C$11*C63</f>
        <v>0.85</v>
      </c>
      <c r="D64" s="81" t="n">
        <f aca="false">Train_In!$C$11*D63</f>
        <v>0.85</v>
      </c>
      <c r="E64" s="81" t="n">
        <f aca="false">Train_In!$C$11*E63</f>
        <v>0.85</v>
      </c>
      <c r="F64" s="81" t="n">
        <f aca="false">Train_In!$C$11*F63</f>
        <v>0.85</v>
      </c>
      <c r="G64" s="81" t="n">
        <f aca="false">Train_In!$C$11*G63</f>
        <v>0.85</v>
      </c>
      <c r="H64" s="81" t="n">
        <f aca="false">Train_In!$C$11*H63</f>
        <v>0.85</v>
      </c>
      <c r="I64" s="81" t="n">
        <f aca="false">Train_In!$C$11*I63</f>
        <v>0.85</v>
      </c>
      <c r="J64" s="81" t="n">
        <f aca="false">Train_In!$C$11*J63</f>
        <v>0.85</v>
      </c>
      <c r="K64" s="81" t="n">
        <f aca="false">Train_In!$C$11*K63</f>
        <v>0.85</v>
      </c>
      <c r="L64" s="81" t="n">
        <f aca="false">Train_In!$C$11*L63</f>
        <v>0.85</v>
      </c>
      <c r="M64" s="81" t="n">
        <f aca="false">Train_In!$C$11*M63</f>
        <v>0.85</v>
      </c>
      <c r="N64" s="81" t="n">
        <f aca="false">Train_In!$C$11*N63</f>
        <v>0.85</v>
      </c>
      <c r="O64" s="81" t="n">
        <f aca="false">Train_In!$C$11*O63</f>
        <v>0.85</v>
      </c>
      <c r="P64" s="81" t="n">
        <f aca="false">Train_In!$C$11*P63</f>
        <v>0.85</v>
      </c>
      <c r="Q64" s="81" t="n">
        <f aca="false">Train_In!$C$11*Q63</f>
        <v>0.85</v>
      </c>
    </row>
    <row r="65" customFormat="false" ht="15" hidden="false" customHeight="false" outlineLevel="0" collapsed="false">
      <c r="A65" s="45" t="s">
        <v>952</v>
      </c>
      <c r="B65" s="45" t="s">
        <v>929</v>
      </c>
      <c r="C65" s="56" t="n">
        <f aca="false">(C53*1000000*C59+C58*1000000*C60)/3600/C64</f>
        <v>494508.537031311</v>
      </c>
      <c r="D65" s="56" t="n">
        <f aca="false">(D53*1000000*D59+D58*1000000*D60)/3600/D64</f>
        <v>1923358.08996172</v>
      </c>
      <c r="E65" s="56" t="n">
        <f aca="false">(E53*1000000*E59+E58*1000000*E60)/3600/E64</f>
        <v>34206680.9056348</v>
      </c>
      <c r="F65" s="56" t="n">
        <f aca="false">(F53*1000000*F59+F58*1000000*F60)/3600/F64</f>
        <v>139703.024498268</v>
      </c>
      <c r="G65" s="56" t="n">
        <f aca="false">(G53*1000000*G59+G58*1000000*G60)/3600/G64</f>
        <v>519873.338959917</v>
      </c>
      <c r="H65" s="56" t="n">
        <f aca="false">(H53*1000000*H59+H58*1000000*H60)/3600/H64</f>
        <v>9184628.13151492</v>
      </c>
      <c r="I65" s="56" t="n">
        <f aca="false">(I53*1000000*I59+I58*1000000*I60)/3600/I64</f>
        <v>93135.3496655121</v>
      </c>
      <c r="J65" s="56" t="n">
        <f aca="false">(J53*1000000*J59+J58*1000000*J60)/3600/J64</f>
        <v>346582.225973278</v>
      </c>
      <c r="K65" s="56" t="n">
        <f aca="false">(K53*1000000*K59+K58*1000000*K60)/3600/K64</f>
        <v>6352564.76099022</v>
      </c>
      <c r="L65" s="56" t="n">
        <f aca="false">(L53*1000000*L59+L58*1000000*L60)/3600/L64</f>
        <v>39640.1580409382</v>
      </c>
      <c r="M65" s="56" t="n">
        <f aca="false">(M53*1000000*M59+M58*1000000*M60)/3600/M64</f>
        <v>143574.794501345</v>
      </c>
      <c r="N65" s="56" t="n">
        <f aca="false">(N53*1000000*N59+N58*1000000*N60)/3600/N64</f>
        <v>2477834.76577215</v>
      </c>
      <c r="O65" s="56" t="n">
        <f aca="false">(O53*1000000*O59+O58*1000000*O60)/3600/O64</f>
        <v>18970.023216421</v>
      </c>
      <c r="P65" s="56" t="n">
        <f aca="false">(P53*1000000*P59+P58*1000000*P60)/3600/P64</f>
        <v>68172.2817616021</v>
      </c>
      <c r="Q65" s="56" t="n">
        <f aca="false">(Q53*1000000*Q59+Q58*1000000*Q60)/3600/Q64</f>
        <v>1157457.98224586</v>
      </c>
    </row>
    <row r="66" customFormat="false" ht="15" hidden="false" customHeight="false" outlineLevel="0" collapsed="false">
      <c r="A66" s="45" t="s">
        <v>953</v>
      </c>
      <c r="B66" s="45" t="s">
        <v>259</v>
      </c>
      <c r="C66" s="131" t="n">
        <f aca="false">C53*1000000000000*C61*1000000000+C58*1000000000000*C62*1000000000</f>
        <v>9.310208556416E+022</v>
      </c>
      <c r="D66" s="131" t="n">
        <f aca="false">D53*1000000000000*D61*1000000000+D58*1000000000000*D62*1000000000</f>
        <v>3.2555077417856E+023</v>
      </c>
      <c r="E66" s="131" t="n">
        <f aca="false">E53*1000000000000*E61*1000000000+E58*1000000000000*E62*1000000000</f>
        <v>5.12226782208E+024</v>
      </c>
      <c r="F66" s="131" t="n">
        <f aca="false">F53*1000000000000*F61*1000000000+F58*1000000000000*F62*1000000000</f>
        <v>9.310208556416E+022</v>
      </c>
      <c r="G66" s="131" t="n">
        <f aca="false">G53*1000000000000*G61*1000000000+G58*1000000000000*G62*1000000000</f>
        <v>3.2555077417856E+023</v>
      </c>
      <c r="H66" s="131" t="n">
        <f aca="false">H53*1000000000000*H61*1000000000+H58*1000000000000*H62*1000000000</f>
        <v>5.12226782208E+024</v>
      </c>
      <c r="I66" s="131" t="n">
        <f aca="false">I53*1000000000000*I61*1000000000+I58*1000000000000*I62*1000000000</f>
        <v>9.310208556416E+022</v>
      </c>
      <c r="J66" s="131" t="n">
        <f aca="false">J53*1000000000000*J61*1000000000+J58*1000000000000*J62*1000000000</f>
        <v>3.2555077417856E+023</v>
      </c>
      <c r="K66" s="131" t="n">
        <f aca="false">K53*1000000000000*K61*1000000000+K58*1000000000000*K62*1000000000</f>
        <v>5.12226782208E+024</v>
      </c>
      <c r="L66" s="131" t="n">
        <f aca="false">L53*1000000000000*L61*1000000000+L58*1000000000000*L62*1000000000</f>
        <v>9.310208556416E+022</v>
      </c>
      <c r="M66" s="131" t="n">
        <f aca="false">M53*1000000000000*M61*1000000000+M58*1000000000000*M62*1000000000</f>
        <v>3.2555077417856E+023</v>
      </c>
      <c r="N66" s="131" t="n">
        <f aca="false">N53*1000000000000*N61*1000000000+N58*1000000000000*N62*1000000000</f>
        <v>5.12226782208E+024</v>
      </c>
      <c r="O66" s="131" t="n">
        <f aca="false">O53*1000000000000*O61*1000000000+O58*1000000000000*O62*1000000000</f>
        <v>9.310208556416E+022</v>
      </c>
      <c r="P66" s="131" t="n">
        <f aca="false">P53*1000000000000*P61*1000000000+P58*1000000000000*P62*1000000000</f>
        <v>3.2555077417856E+023</v>
      </c>
      <c r="Q66" s="131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45" t="s">
        <v>954</v>
      </c>
      <c r="B67" s="45" t="s">
        <v>861</v>
      </c>
      <c r="C67" s="55" t="n">
        <f aca="false">C56*(C54+C55)/1000000000000</f>
        <v>3.54</v>
      </c>
      <c r="D67" s="55" t="n">
        <f aca="false">D56*(D54+D55)/1000000000000</f>
        <v>3.54</v>
      </c>
      <c r="E67" s="55" t="n">
        <f aca="false">E56*(E54+E55)/1000000000000</f>
        <v>14.4</v>
      </c>
      <c r="F67" s="55" t="n">
        <f aca="false">F56*(F54+F55)/1000000000000</f>
        <v>3.54</v>
      </c>
      <c r="G67" s="55" t="n">
        <f aca="false">G56*(G54+G55)/1000000000000</f>
        <v>3.54</v>
      </c>
      <c r="H67" s="55" t="n">
        <f aca="false">H56*(H54+H55)/1000000000000</f>
        <v>14.4</v>
      </c>
      <c r="I67" s="55" t="n">
        <f aca="false">I56*(I54+I55)/1000000000000</f>
        <v>3.54</v>
      </c>
      <c r="J67" s="55" t="n">
        <f aca="false">J56*(J54+J55)/1000000000000</f>
        <v>3.54</v>
      </c>
      <c r="K67" s="55" t="n">
        <f aca="false">K56*(K54+K55)/1000000000000</f>
        <v>14.4</v>
      </c>
      <c r="L67" s="55" t="n">
        <f aca="false">L56*(L54+L55)/1000000000000</f>
        <v>3.54</v>
      </c>
      <c r="M67" s="55" t="n">
        <f aca="false">M56*(M54+M55)/1000000000000</f>
        <v>3.54</v>
      </c>
      <c r="N67" s="55" t="n">
        <f aca="false">N56*(N54+N55)/1000000000000</f>
        <v>14.4</v>
      </c>
      <c r="O67" s="55" t="n">
        <f aca="false">O56*(O54+O55)/1000000000000</f>
        <v>3.54</v>
      </c>
      <c r="P67" s="55" t="n">
        <f aca="false">P56*(P54+P55)/1000000000000</f>
        <v>3.54</v>
      </c>
      <c r="Q67" s="55" t="n">
        <f aca="false">Q56*(Q54+Q55)/1000000000000</f>
        <v>14.4</v>
      </c>
    </row>
    <row r="68" customFormat="false" ht="15" hidden="false" customHeight="false" outlineLevel="0" collapsed="false">
      <c r="A68" s="45" t="s">
        <v>955</v>
      </c>
      <c r="B68" s="45" t="s">
        <v>236</v>
      </c>
      <c r="C68" s="56" t="n">
        <f aca="false">C24*IF(C25=0,(C54+C55)/2,MIN((C54+C55)/2,C25))+(1-C24)*((C54+C55)/2/C26+C27)</f>
        <v>2200</v>
      </c>
      <c r="D68" s="56" t="n">
        <f aca="false">D24*IF(D25=0,(D54+D55)/2,MIN((D54+D55)/2,D25))+(1-D24)*((D54+D55)/2/D26+D27)</f>
        <v>2224</v>
      </c>
      <c r="E68" s="56" t="n">
        <f aca="false">E24*IF(E25=0,(E54+E55)/2,MIN((E54+E55)/2,E25))+(1-E24)*((E54+E55)/2/E26+E27)</f>
        <v>24576</v>
      </c>
      <c r="F68" s="56" t="n">
        <f aca="false">F24*IF(F25=0,(F54+F55)/2,MIN((F54+F55)/2,F25))+(1-F24)*((F54+F55)/2/F26+F27)</f>
        <v>2200</v>
      </c>
      <c r="G68" s="56" t="n">
        <f aca="false">G24*IF(G25=0,(G54+G55)/2,MIN((G54+G55)/2,G25))+(1-G24)*((G54+G55)/2/G26+G27)</f>
        <v>2224</v>
      </c>
      <c r="H68" s="56" t="n">
        <f aca="false">H24*IF(H25=0,(H54+H55)/2,MIN((H54+H55)/2,H25))+(1-H24)*((H54+H55)/2/H26+H27)</f>
        <v>24576</v>
      </c>
      <c r="I68" s="56" t="n">
        <f aca="false">I24*IF(I25=0,(I54+I55)/2,MIN((I54+I55)/2,I25))+(1-I24)*((I54+I55)/2/I26+I27)</f>
        <v>2200</v>
      </c>
      <c r="J68" s="56" t="n">
        <f aca="false">J24*IF(J25=0,(J54+J55)/2,MIN((J54+J55)/2,J25))+(1-J24)*((J54+J55)/2/J26+J27)</f>
        <v>2224</v>
      </c>
      <c r="K68" s="56" t="n">
        <f aca="false">K24*IF(K25=0,(K54+K55)/2,MIN((K54+K55)/2,K25))+(1-K24)*((K54+K55)/2/K26+K27)</f>
        <v>24576</v>
      </c>
      <c r="L68" s="56" t="n">
        <f aca="false">L24*IF(L25=0,(L54+L55)/2,MIN((L54+L55)/2,L25))+(1-L24)*((L54+L55)/2/L26+L27)</f>
        <v>2200</v>
      </c>
      <c r="M68" s="56" t="n">
        <f aca="false">M24*IF(M25=0,(M54+M55)/2,MIN((M54+M55)/2,M25))+(1-M24)*((M54+M55)/2/M26+M27)</f>
        <v>2224</v>
      </c>
      <c r="N68" s="56" t="n">
        <f aca="false">N24*IF(N25=0,(N54+N55)/2,MIN((N54+N55)/2,N25))+(1-N24)*((N54+N55)/2/N26+N27)</f>
        <v>24576</v>
      </c>
      <c r="O68" s="56" t="n">
        <f aca="false">O24*IF(O25=0,(O54+O55)/2,MIN((O54+O55)/2,O25))+(1-O24)*((O54+O55)/2/O26+O27)</f>
        <v>2200</v>
      </c>
      <c r="P68" s="56" t="n">
        <f aca="false">P24*IF(P25=0,(P54+P55)/2,MIN((P54+P55)/2,P25))+(1-P24)*((P54+P55)/2/P26+P27)</f>
        <v>2224</v>
      </c>
      <c r="Q68" s="56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45" t="s">
        <v>956</v>
      </c>
      <c r="B69" s="45" t="s">
        <v>409</v>
      </c>
      <c r="C69" s="55" t="n">
        <f aca="false">3*(2*C22*1000000000+C23*C68)*C28/1000000000</f>
        <v>115.1982336</v>
      </c>
      <c r="D69" s="55" t="n">
        <f aca="false">3*(2*D22*1000000000+D23*D68)*D28/1000000000</f>
        <v>400.690510848</v>
      </c>
      <c r="E69" s="55" t="n">
        <f aca="false">3*(2*E22*1000000000+E23*E68)*E28/1000000000</f>
        <v>1442.3878656</v>
      </c>
      <c r="F69" s="55" t="n">
        <f aca="false">3*(2*F22*1000000000+F23*F68)*F28/1000000000</f>
        <v>115.1982336</v>
      </c>
      <c r="G69" s="55" t="n">
        <f aca="false">3*(2*G22*1000000000+G23*G68)*G28/1000000000</f>
        <v>400.690510848</v>
      </c>
      <c r="H69" s="55" t="n">
        <f aca="false">3*(2*H22*1000000000+H23*H68)*H28/1000000000</f>
        <v>1442.3878656</v>
      </c>
      <c r="I69" s="55" t="n">
        <f aca="false">3*(2*I22*1000000000+I23*I68)*I28/1000000000</f>
        <v>115.1982336</v>
      </c>
      <c r="J69" s="55" t="n">
        <f aca="false">3*(2*J22*1000000000+J23*J68)*J28/1000000000</f>
        <v>400.690510848</v>
      </c>
      <c r="K69" s="55" t="n">
        <f aca="false">3*(2*K22*1000000000+K23*K68)*K28/1000000000</f>
        <v>1442.3878656</v>
      </c>
      <c r="L69" s="55" t="n">
        <f aca="false">3*(2*L22*1000000000+L23*L68)*L28/1000000000</f>
        <v>115.1982336</v>
      </c>
      <c r="M69" s="55" t="n">
        <f aca="false">3*(2*M22*1000000000+M23*M68)*M28/1000000000</f>
        <v>400.690510848</v>
      </c>
      <c r="N69" s="55" t="n">
        <f aca="false">3*(2*N22*1000000000+N23*N68)*N28/1000000000</f>
        <v>1442.3878656</v>
      </c>
      <c r="O69" s="55" t="n">
        <f aca="false">3*(2*O22*1000000000+O23*O68)*O28/1000000000</f>
        <v>115.1982336</v>
      </c>
      <c r="P69" s="55" t="n">
        <f aca="false">3*(2*P22*1000000000+P23*P68)*P28/1000000000</f>
        <v>400.690510848</v>
      </c>
      <c r="Q69" s="55" t="n">
        <f aca="false">3*(2*Q22*1000000000+Q23*Q68)*Q28/1000000000</f>
        <v>1442.3878656</v>
      </c>
    </row>
    <row r="70" customFormat="false" ht="15" hidden="false" customHeight="false" outlineLevel="0" collapsed="false">
      <c r="A70" s="45" t="s">
        <v>957</v>
      </c>
      <c r="B70" s="45" t="s">
        <v>259</v>
      </c>
      <c r="C70" s="131" t="n">
        <f aca="false">C69*1000000000*C67*1000000000000</f>
        <v>4.07801746944E+023</v>
      </c>
      <c r="D70" s="131" t="n">
        <f aca="false">D69*1000000000*D67*1000000000000</f>
        <v>1.41844440840192E+024</v>
      </c>
      <c r="E70" s="131" t="n">
        <f aca="false">E69*1000000000*E67*1000000000000</f>
        <v>2.077038526464E+025</v>
      </c>
      <c r="F70" s="131" t="n">
        <f aca="false">F69*1000000000*F67*1000000000000</f>
        <v>4.07801746944E+023</v>
      </c>
      <c r="G70" s="131" t="n">
        <f aca="false">G69*1000000000*G67*1000000000000</f>
        <v>1.41844440840192E+024</v>
      </c>
      <c r="H70" s="131" t="n">
        <f aca="false">H69*1000000000*H67*1000000000000</f>
        <v>2.077038526464E+025</v>
      </c>
      <c r="I70" s="131" t="n">
        <f aca="false">I69*1000000000*I67*1000000000000</f>
        <v>4.07801746944E+023</v>
      </c>
      <c r="J70" s="131" t="n">
        <f aca="false">J69*1000000000*J67*1000000000000</f>
        <v>1.41844440840192E+024</v>
      </c>
      <c r="K70" s="131" t="n">
        <f aca="false">K69*1000000000*K67*1000000000000</f>
        <v>2.077038526464E+025</v>
      </c>
      <c r="L70" s="131" t="n">
        <f aca="false">L69*1000000000*L67*1000000000000</f>
        <v>4.07801746944E+023</v>
      </c>
      <c r="M70" s="131" t="n">
        <f aca="false">M69*1000000000*M67*1000000000000</f>
        <v>1.41844440840192E+024</v>
      </c>
      <c r="N70" s="131" t="n">
        <f aca="false">N69*1000000000*N67*1000000000000</f>
        <v>2.077038526464E+025</v>
      </c>
      <c r="O70" s="131" t="n">
        <f aca="false">O69*1000000000*O67*1000000000000</f>
        <v>4.07801746944E+023</v>
      </c>
      <c r="P70" s="131" t="n">
        <f aca="false">P69*1000000000*P67*1000000000000</f>
        <v>1.41844440840192E+024</v>
      </c>
      <c r="Q70" s="131" t="n">
        <f aca="false">Q69*1000000000*Q67*1000000000000</f>
        <v>2.077038526464E+025</v>
      </c>
    </row>
    <row r="71" customFormat="false" ht="15" hidden="false" customHeight="false" outlineLevel="0" collapsed="false">
      <c r="A71" s="45" t="s">
        <v>958</v>
      </c>
      <c r="B71" s="45" t="s">
        <v>61</v>
      </c>
      <c r="C71" s="79" t="n">
        <f aca="false">Train_In!$C$9</f>
        <v>0.6</v>
      </c>
      <c r="D71" s="79" t="n">
        <f aca="false">Train_In!$C$9</f>
        <v>0.6</v>
      </c>
      <c r="E71" s="79" t="n">
        <f aca="false">Train_In!$C$9</f>
        <v>0.6</v>
      </c>
      <c r="F71" s="79" t="n">
        <f aca="false">Train_In!$C$9</f>
        <v>0.6</v>
      </c>
      <c r="G71" s="79" t="n">
        <f aca="false">Train_In!$C$9</f>
        <v>0.6</v>
      </c>
      <c r="H71" s="79" t="n">
        <f aca="false">Train_In!$C$9</f>
        <v>0.6</v>
      </c>
      <c r="I71" s="79" t="n">
        <f aca="false">Train_In!$C$9</f>
        <v>0.6</v>
      </c>
      <c r="J71" s="79" t="n">
        <f aca="false">Train_In!$C$9</f>
        <v>0.6</v>
      </c>
      <c r="K71" s="79" t="n">
        <f aca="false">Train_In!$C$9</f>
        <v>0.6</v>
      </c>
      <c r="L71" s="79" t="n">
        <f aca="false">Train_In!$C$9</f>
        <v>0.6</v>
      </c>
      <c r="M71" s="79" t="n">
        <f aca="false">Train_In!$C$9</f>
        <v>0.6</v>
      </c>
      <c r="N71" s="79" t="n">
        <f aca="false">Train_In!$C$9</f>
        <v>0.6</v>
      </c>
      <c r="O71" s="79" t="n">
        <f aca="false">Train_In!$C$9</f>
        <v>0.6</v>
      </c>
      <c r="P71" s="79" t="n">
        <f aca="false">Train_In!$C$9</f>
        <v>0.6</v>
      </c>
      <c r="Q71" s="79" t="n">
        <f aca="false">Train_In!$C$9</f>
        <v>0.6</v>
      </c>
    </row>
    <row r="72" customFormat="false" ht="15" hidden="false" customHeight="false" outlineLevel="0" collapsed="false">
      <c r="A72" s="45" t="s">
        <v>959</v>
      </c>
      <c r="B72" s="45" t="s">
        <v>929</v>
      </c>
      <c r="C72" s="56" t="n">
        <f aca="false">C70/(C12*1000000000000000*C16*C71*C17)/3600</f>
        <v>530001.417850392</v>
      </c>
      <c r="D72" s="56" t="n">
        <f aca="false">D70/(D12*1000000000000000*D16*D71*D17)/3600</f>
        <v>1843487.80560328</v>
      </c>
      <c r="E72" s="56" t="n">
        <f aca="false">E70/(E12*1000000000000000*E16*E71*E17)/3600</f>
        <v>26994326.8317332</v>
      </c>
      <c r="F72" s="56" t="n">
        <f aca="false">F70/(F12*1000000000000000*F16*F71*F17)/3600</f>
        <v>167819.648948148</v>
      </c>
      <c r="G72" s="56" t="n">
        <f aca="false">G70/(G12*1000000000000000*G16*G71*G17)/3600</f>
        <v>583721.978766222</v>
      </c>
      <c r="H72" s="56" t="n">
        <f aca="false">H70/(H12*1000000000000000*H16*H71*H17)/3600</f>
        <v>8547483.648</v>
      </c>
      <c r="I72" s="56" t="n">
        <f aca="false">I70/(I12*1000000000000000*I16*I71*I17)/3600</f>
        <v>167819.648948148</v>
      </c>
      <c r="J72" s="56" t="n">
        <f aca="false">J70/(J12*1000000000000000*J16*J71*J17)/3600</f>
        <v>583721.978766222</v>
      </c>
      <c r="K72" s="56" t="n">
        <f aca="false">K70/(K12*1000000000000000*K16*K71*K17)/3600</f>
        <v>8547483.648</v>
      </c>
      <c r="L72" s="56" t="n">
        <f aca="false">L70/(L12*1000000000000000*L16*L71*L17)/3600</f>
        <v>53276.0790311581</v>
      </c>
      <c r="M72" s="56" t="n">
        <f aca="false">M70/(M12*1000000000000000*M16*M71*M17)/3600</f>
        <v>185308.56468769</v>
      </c>
      <c r="N72" s="56" t="n">
        <f aca="false">N70/(N12*1000000000000000*N16*N71*N17)/3600</f>
        <v>2713486.87238095</v>
      </c>
      <c r="O72" s="56" t="n">
        <f aca="false">O70/(O12*1000000000000000*O16*O71*O17)/3600</f>
        <v>26868.3395690279</v>
      </c>
      <c r="P72" s="56" t="n">
        <f aca="false">P70/(P12*1000000000000000*P16*P71*P17)/3600</f>
        <v>93455.3280125236</v>
      </c>
      <c r="Q72" s="56" t="n">
        <f aca="false">Q70/(Q12*1000000000000000*Q16*Q71*Q17)/3600</f>
        <v>1368473.20653218</v>
      </c>
    </row>
    <row r="73" customFormat="false" ht="15" hidden="false" customHeight="false" outlineLevel="0" collapsed="false">
      <c r="A73" s="44" t="s">
        <v>960</v>
      </c>
      <c r="B73" s="44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44" t="s">
        <v>961</v>
      </c>
      <c r="B74" s="45" t="s">
        <v>929</v>
      </c>
      <c r="C74" s="56" t="n">
        <f aca="false">C73*C72/3</f>
        <v>0</v>
      </c>
      <c r="D74" s="56" t="n">
        <f aca="false">D73*D72/3</f>
        <v>0</v>
      </c>
      <c r="E74" s="56" t="n">
        <f aca="false">E73*E72/3</f>
        <v>0</v>
      </c>
      <c r="F74" s="56" t="n">
        <f aca="false">F73*F72/3</f>
        <v>0</v>
      </c>
      <c r="G74" s="56" t="n">
        <f aca="false">G73*G72/3</f>
        <v>0</v>
      </c>
      <c r="H74" s="56" t="n">
        <f aca="false">H73*H72/3</f>
        <v>0</v>
      </c>
      <c r="I74" s="56" t="n">
        <f aca="false">I73*I72/3</f>
        <v>0</v>
      </c>
      <c r="J74" s="56" t="n">
        <f aca="false">J73*J72/3</f>
        <v>0</v>
      </c>
      <c r="K74" s="56" t="n">
        <f aca="false">K73*K72/3</f>
        <v>0</v>
      </c>
      <c r="L74" s="56" t="n">
        <f aca="false">L73*L72/3</f>
        <v>0</v>
      </c>
      <c r="M74" s="56" t="n">
        <f aca="false">M73*M72/3</f>
        <v>0</v>
      </c>
      <c r="N74" s="56" t="n">
        <f aca="false">N73*N72/3</f>
        <v>0</v>
      </c>
      <c r="O74" s="56" t="n">
        <f aca="false">O73*O72/3</f>
        <v>0</v>
      </c>
      <c r="P74" s="56" t="n">
        <f aca="false">P73*P72/3</f>
        <v>0</v>
      </c>
      <c r="Q74" s="56" t="n">
        <f aca="false">Q73*Q72/3</f>
        <v>0</v>
      </c>
    </row>
    <row r="75" customFormat="false" ht="15" hidden="false" customHeight="false" outlineLevel="0" collapsed="false">
      <c r="A75" s="45" t="s">
        <v>962</v>
      </c>
      <c r="B75" s="45" t="s">
        <v>929</v>
      </c>
      <c r="C75" s="51" t="n">
        <f aca="false">C65+C72+C74</f>
        <v>1024509.9548817</v>
      </c>
      <c r="D75" s="51" t="n">
        <f aca="false">D65+D72+D74</f>
        <v>3766845.895565</v>
      </c>
      <c r="E75" s="51" t="n">
        <f aca="false">E65+E72+E74</f>
        <v>61201007.737368</v>
      </c>
      <c r="F75" s="51" t="n">
        <f aca="false">F65+F72+F74</f>
        <v>307522.673446416</v>
      </c>
      <c r="G75" s="51" t="n">
        <f aca="false">G65+G72+G74</f>
        <v>1103595.31772614</v>
      </c>
      <c r="H75" s="51" t="n">
        <f aca="false">H65+H72+H74</f>
        <v>17732111.7795149</v>
      </c>
      <c r="I75" s="51" t="n">
        <f aca="false">I65+I72+I74</f>
        <v>260954.99861366</v>
      </c>
      <c r="J75" s="51" t="n">
        <f aca="false">J65+J72+J74</f>
        <v>930304.2047395</v>
      </c>
      <c r="K75" s="51" t="n">
        <f aca="false">K65+K72+K74</f>
        <v>14900048.4089902</v>
      </c>
      <c r="L75" s="51" t="n">
        <f aca="false">L65+L72+L74</f>
        <v>92916.2370720963</v>
      </c>
      <c r="M75" s="51" t="n">
        <f aca="false">M65+M72+M74</f>
        <v>328883.359189035</v>
      </c>
      <c r="N75" s="51" t="n">
        <f aca="false">N65+N72+N74</f>
        <v>5191321.6381531</v>
      </c>
      <c r="O75" s="51" t="n">
        <f aca="false">O65+O72+O74</f>
        <v>45838.3627854489</v>
      </c>
      <c r="P75" s="51" t="n">
        <f aca="false">P65+P72+P74</f>
        <v>161627.609774126</v>
      </c>
      <c r="Q75" s="51" t="n">
        <f aca="false">Q65+Q72+Q74</f>
        <v>2525931.18877804</v>
      </c>
    </row>
    <row r="76" customFormat="false" ht="15" hidden="false" customHeight="false" outlineLevel="0" collapsed="false">
      <c r="A76" s="45" t="s">
        <v>963</v>
      </c>
      <c r="B76" s="45" t="s">
        <v>259</v>
      </c>
      <c r="C76" s="131" t="n">
        <f aca="false">C66+C70*(1+C73/3)</f>
        <v>5.0090383250816E+023</v>
      </c>
      <c r="D76" s="131" t="n">
        <f aca="false">D66+D70*(1+D73/3)</f>
        <v>1.74399518258048E+024</v>
      </c>
      <c r="E76" s="131" t="n">
        <f aca="false">E66+E70*(1+E73/3)</f>
        <v>2.589265308672E+025</v>
      </c>
      <c r="F76" s="131" t="n">
        <f aca="false">F66+F70*(1+F73/3)</f>
        <v>5.0090383250816E+023</v>
      </c>
      <c r="G76" s="131" t="n">
        <f aca="false">G66+G70*(1+G73/3)</f>
        <v>1.74399518258048E+024</v>
      </c>
      <c r="H76" s="131" t="n">
        <f aca="false">H66+H70*(1+H73/3)</f>
        <v>2.589265308672E+025</v>
      </c>
      <c r="I76" s="131" t="n">
        <f aca="false">I66+I70*(1+I73/3)</f>
        <v>5.0090383250816E+023</v>
      </c>
      <c r="J76" s="131" t="n">
        <f aca="false">J66+J70*(1+J73/3)</f>
        <v>1.74399518258048E+024</v>
      </c>
      <c r="K76" s="131" t="n">
        <f aca="false">K66+K70*(1+K73/3)</f>
        <v>2.589265308672E+025</v>
      </c>
      <c r="L76" s="131" t="n">
        <f aca="false">L66+L70*(1+L73/3)</f>
        <v>5.0090383250816E+023</v>
      </c>
      <c r="M76" s="131" t="n">
        <f aca="false">M66+M70*(1+M73/3)</f>
        <v>1.74399518258048E+024</v>
      </c>
      <c r="N76" s="131" t="n">
        <f aca="false">N66+N70*(1+N73/3)</f>
        <v>2.589265308672E+025</v>
      </c>
      <c r="O76" s="131" t="n">
        <f aca="false">O66+O70*(1+O73/3)</f>
        <v>5.0090383250816E+023</v>
      </c>
      <c r="P76" s="131" t="n">
        <f aca="false">P66+P70*(1+P73/3)</f>
        <v>1.74399518258048E+024</v>
      </c>
      <c r="Q76" s="131" t="n">
        <f aca="false">Q66+Q70*(1+Q73/3)</f>
        <v>2.589265308672E+025</v>
      </c>
    </row>
    <row r="77" customFormat="false" ht="15" hidden="false" customHeight="false" outlineLevel="0" collapsed="false">
      <c r="A77" s="45" t="s">
        <v>964</v>
      </c>
      <c r="B77" s="45" t="s">
        <v>57</v>
      </c>
      <c r="C77" s="85" t="n">
        <f aca="false">C76/(C75*3600*C12*1000000000000000)</f>
        <v>0.0686261881970528</v>
      </c>
      <c r="D77" s="85" t="n">
        <f aca="false">D76/(D75*3600*D12*1000000000000000)</f>
        <v>0.0649858992202838</v>
      </c>
      <c r="E77" s="85" t="n">
        <f aca="false">E76/(E75*3600*E12*1000000000000000)</f>
        <v>0.0593840323799956</v>
      </c>
      <c r="F77" s="85" t="n">
        <f aca="false">F76/(F75*3600*F12*1000000000000000)</f>
        <v>0.0904908583911183</v>
      </c>
      <c r="G77" s="85" t="n">
        <f aca="false">G76/(G75*3600*G12*1000000000000000)</f>
        <v>0.0877936139255299</v>
      </c>
      <c r="H77" s="85" t="n">
        <f aca="false">H76/(H75*3600*H12*1000000000000000)</f>
        <v>0.0811229223527572</v>
      </c>
      <c r="I77" s="85" t="n">
        <f aca="false">I76/(I75*3600*I12*1000000000000000)</f>
        <v>0.106639040611353</v>
      </c>
      <c r="J77" s="85" t="n">
        <f aca="false">J76/(J75*3600*J12*1000000000000000)</f>
        <v>0.104147246417747</v>
      </c>
      <c r="K77" s="85" t="n">
        <f aca="false">K76/(K75*3600*K12*1000000000000000)</f>
        <v>0.0965420170160029</v>
      </c>
      <c r="L77" s="85" t="n">
        <f aca="false">L76/(L75*3600*L12*1000000000000000)</f>
        <v>0.0855701299880151</v>
      </c>
      <c r="M77" s="85" t="n">
        <f aca="false">M76/(M75*3600*M12*1000000000000000)</f>
        <v>0.0841710668603695</v>
      </c>
      <c r="N77" s="85" t="n">
        <f aca="false">N76/(N75*3600*N12*1000000000000000)</f>
        <v>0.0791695298591089</v>
      </c>
      <c r="O77" s="85" t="n">
        <f aca="false">O76/(O75*3600*O12*1000000000000000)</f>
        <v>0.0874768793307214</v>
      </c>
      <c r="P77" s="85" t="n">
        <f aca="false">P76/(P75*3600*P12*1000000000000000)</f>
        <v>0.0863769281366727</v>
      </c>
      <c r="Q77" s="85" t="n">
        <f aca="false">Q76/(Q75*3600*Q12*1000000000000000)</f>
        <v>0.082058403212962</v>
      </c>
    </row>
    <row r="78" customFormat="false" ht="15" hidden="false" customHeight="false" outlineLevel="0" collapsed="false">
      <c r="A78" s="45" t="s">
        <v>965</v>
      </c>
      <c r="B78" s="45" t="s">
        <v>61</v>
      </c>
      <c r="C78" s="88" t="n">
        <f aca="false">C75/C36</f>
        <v>0.364535612364219</v>
      </c>
      <c r="D78" s="88" t="n">
        <f aca="false">D75/D36</f>
        <v>0.373185417891555</v>
      </c>
      <c r="E78" s="88" t="n">
        <f aca="false">E75/E36</f>
        <v>1.14702183296148</v>
      </c>
      <c r="F78" s="88" t="n">
        <f aca="false">F75/F36</f>
        <v>0.345569292625505</v>
      </c>
      <c r="G78" s="88" t="n">
        <f aca="false">G75/G36</f>
        <v>0.345295473002048</v>
      </c>
      <c r="H78" s="88" t="n">
        <f aca="false">H75/H36</f>
        <v>1.04956126600312</v>
      </c>
      <c r="I78" s="88" t="n">
        <f aca="false">I75/I36</f>
        <v>0.293240278082211</v>
      </c>
      <c r="J78" s="88" t="n">
        <f aca="false">J75/J36</f>
        <v>0.291075746020005</v>
      </c>
      <c r="K78" s="88" t="n">
        <f aca="false">K75/K36</f>
        <v>0.881931823242511</v>
      </c>
      <c r="L78" s="88" t="n">
        <f aca="false">L75/L36</f>
        <v>0.328897195024782</v>
      </c>
      <c r="M78" s="88" t="n">
        <f aca="false">M75/M36</f>
        <v>0.324140642621739</v>
      </c>
      <c r="N78" s="88" t="n">
        <f aca="false">N75/N36</f>
        <v>0.967911891281403</v>
      </c>
      <c r="O78" s="88" t="n">
        <f aca="false">O75/O36</f>
        <v>0.3217281634449</v>
      </c>
      <c r="P78" s="88" t="n">
        <f aca="false">P75/P36</f>
        <v>0.315862861655693</v>
      </c>
      <c r="Q78" s="88" t="n">
        <f aca="false">Q75/Q36</f>
        <v>0.933836467411118</v>
      </c>
    </row>
    <row r="79" customFormat="false" ht="15" hidden="false" customHeight="false" outlineLevel="0" collapsed="false">
      <c r="A79" s="45" t="s">
        <v>966</v>
      </c>
      <c r="B79" s="45" t="s">
        <v>61</v>
      </c>
      <c r="C79" s="57" t="n">
        <f aca="false">C76/C35</f>
        <v>0.138981608547971</v>
      </c>
      <c r="D79" s="57" t="n">
        <f aca="false">D76/D35</f>
        <v>0.134732166431</v>
      </c>
      <c r="E79" s="57" t="n">
        <f aca="false">E76/E35</f>
        <v>0.37841545371748</v>
      </c>
      <c r="F79" s="57" t="n">
        <f aca="false">F76/F35</f>
        <v>0.138981608547971</v>
      </c>
      <c r="G79" s="57" t="n">
        <f aca="false">G76/G35</f>
        <v>0.134732166431</v>
      </c>
      <c r="H79" s="57" t="n">
        <f aca="false">H76/H35</f>
        <v>0.37841545371748</v>
      </c>
      <c r="I79" s="57" t="n">
        <f aca="false">I76/I35</f>
        <v>0.138981608547971</v>
      </c>
      <c r="J79" s="57" t="n">
        <f aca="false">J76/J35</f>
        <v>0.134732166431</v>
      </c>
      <c r="K79" s="57" t="n">
        <f aca="false">K76/K35</f>
        <v>0.37841545371748</v>
      </c>
      <c r="L79" s="57" t="n">
        <f aca="false">L76/L35</f>
        <v>0.138981608547971</v>
      </c>
      <c r="M79" s="57" t="n">
        <f aca="false">M76/M35</f>
        <v>0.134732166431</v>
      </c>
      <c r="N79" s="57" t="n">
        <f aca="false">N76/N35</f>
        <v>0.37841545371748</v>
      </c>
      <c r="O79" s="57" t="n">
        <f aca="false">O76/O35</f>
        <v>0.138981608547971</v>
      </c>
      <c r="P79" s="57" t="n">
        <f aca="false">P76/P35</f>
        <v>0.134732166431</v>
      </c>
      <c r="Q79" s="57" t="n">
        <f aca="false">Q76/Q35</f>
        <v>0.37841545371748</v>
      </c>
    </row>
    <row r="80" customFormat="false" ht="15" hidden="false" customHeight="false" outlineLevel="0" collapsed="false">
      <c r="A80" s="72" t="s">
        <v>967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</row>
    <row r="81" customFormat="false" ht="15" hidden="false" customHeight="false" outlineLevel="0" collapsed="false">
      <c r="A81" s="44" t="s">
        <v>968</v>
      </c>
      <c r="B81" s="45" t="s">
        <v>861</v>
      </c>
      <c r="C81" s="77" t="n">
        <f aca="false">INDEX(Train_In!$C$35:$E$35,C$7)</f>
        <v>0.2</v>
      </c>
      <c r="D81" s="77" t="n">
        <f aca="false">INDEX(Train_In!$C$35:$E$35,D$7)</f>
        <v>0.2</v>
      </c>
      <c r="E81" s="77" t="n">
        <f aca="false">INDEX(Train_In!$C$35:$E$35,E$7)</f>
        <v>0.2</v>
      </c>
      <c r="F81" s="77" t="n">
        <f aca="false">INDEX(Train_In!$C$35:$E$35,F$7)</f>
        <v>0.2</v>
      </c>
      <c r="G81" s="77" t="n">
        <f aca="false">INDEX(Train_In!$C$35:$E$35,G$7)</f>
        <v>0.2</v>
      </c>
      <c r="H81" s="77" t="n">
        <f aca="false">INDEX(Train_In!$C$35:$E$35,H$7)</f>
        <v>0.2</v>
      </c>
      <c r="I81" s="77" t="n">
        <f aca="false">INDEX(Train_In!$C$35:$E$35,I$7)</f>
        <v>0.2</v>
      </c>
      <c r="J81" s="77" t="n">
        <f aca="false">INDEX(Train_In!$C$35:$E$35,J$7)</f>
        <v>0.2</v>
      </c>
      <c r="K81" s="77" t="n">
        <f aca="false">INDEX(Train_In!$C$35:$E$35,K$7)</f>
        <v>0.2</v>
      </c>
      <c r="L81" s="77" t="n">
        <f aca="false">INDEX(Train_In!$C$35:$E$35,L$7)</f>
        <v>0.2</v>
      </c>
      <c r="M81" s="77" t="n">
        <f aca="false">INDEX(Train_In!$C$35:$E$35,M$7)</f>
        <v>0.2</v>
      </c>
      <c r="N81" s="77" t="n">
        <f aca="false">INDEX(Train_In!$C$35:$E$35,N$7)</f>
        <v>0.2</v>
      </c>
      <c r="O81" s="77" t="n">
        <f aca="false">INDEX(Train_In!$C$35:$E$35,O$7)</f>
        <v>0.2</v>
      </c>
      <c r="P81" s="77" t="n">
        <f aca="false">INDEX(Train_In!$C$35:$E$35,P$7)</f>
        <v>0.2</v>
      </c>
      <c r="Q81" s="77" t="n">
        <f aca="false">INDEX(Train_In!$C$35:$E$35,Q$7)</f>
        <v>0.2</v>
      </c>
    </row>
    <row r="82" customFormat="false" ht="15" hidden="false" customHeight="false" outlineLevel="0" collapsed="false">
      <c r="A82" s="44" t="s">
        <v>969</v>
      </c>
      <c r="B82" s="44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44" t="s">
        <v>970</v>
      </c>
      <c r="B83" s="45" t="s">
        <v>861</v>
      </c>
      <c r="C83" s="52" t="n">
        <f aca="false">C81*1000000000000/C55*(C54+C55)/1000000000000</f>
        <v>0.3</v>
      </c>
      <c r="D83" s="52" t="n">
        <f aca="false">D81*1000000000000/D55*(D54+D55)/1000000000000</f>
        <v>0.3</v>
      </c>
      <c r="E83" s="52" t="n">
        <f aca="false">E81*1000000000000/E55*(E54+E55)/1000000000000</f>
        <v>0.3</v>
      </c>
      <c r="F83" s="52" t="n">
        <f aca="false">F81*1000000000000/F55*(F54+F55)/1000000000000</f>
        <v>0.3</v>
      </c>
      <c r="G83" s="52" t="n">
        <f aca="false">G81*1000000000000/G55*(G54+G55)/1000000000000</f>
        <v>0.3</v>
      </c>
      <c r="H83" s="52" t="n">
        <f aca="false">H81*1000000000000/H55*(H54+H55)/1000000000000</f>
        <v>0.3</v>
      </c>
      <c r="I83" s="52" t="n">
        <f aca="false">I81*1000000000000/I55*(I54+I55)/1000000000000</f>
        <v>0.3</v>
      </c>
      <c r="J83" s="52" t="n">
        <f aca="false">J81*1000000000000/J55*(J54+J55)/1000000000000</f>
        <v>0.3</v>
      </c>
      <c r="K83" s="52" t="n">
        <f aca="false">K81*1000000000000/K55*(K54+K55)/1000000000000</f>
        <v>0.3</v>
      </c>
      <c r="L83" s="52" t="n">
        <f aca="false">L81*1000000000000/L55*(L54+L55)/1000000000000</f>
        <v>0.3</v>
      </c>
      <c r="M83" s="52" t="n">
        <f aca="false">M81*1000000000000/M55*(M54+M55)/1000000000000</f>
        <v>0.3</v>
      </c>
      <c r="N83" s="52" t="n">
        <f aca="false">N81*1000000000000/N55*(N54+N55)/1000000000000</f>
        <v>0.3</v>
      </c>
      <c r="O83" s="52" t="n">
        <f aca="false">O81*1000000000000/O55*(O54+O55)/1000000000000</f>
        <v>0.3</v>
      </c>
      <c r="P83" s="52" t="n">
        <f aca="false">P81*1000000000000/P55*(P54+P55)/1000000000000</f>
        <v>0.3</v>
      </c>
      <c r="Q83" s="52" t="n">
        <f aca="false">Q81*1000000000000/Q55*(Q54+Q55)/1000000000000</f>
        <v>0.3</v>
      </c>
    </row>
    <row r="84" customFormat="false" ht="15" hidden="false" customHeight="false" outlineLevel="0" collapsed="false">
      <c r="A84" s="44" t="s">
        <v>971</v>
      </c>
      <c r="B84" s="45" t="s">
        <v>711</v>
      </c>
      <c r="C84" s="80" t="n">
        <f aca="false">INDEX(Perf_Batch!$C$101:$Q$101,3*(C$6-1)+C82)</f>
        <v>108.395355283813</v>
      </c>
      <c r="D84" s="80" t="n">
        <f aca="false">INDEX(Perf_Batch!$C$101:$Q$101,3*(D$6-1)+D82)</f>
        <v>444.764656735725</v>
      </c>
      <c r="E84" s="80" t="n">
        <f aca="false">INDEX(Perf_Batch!$C$101:$Q$101,3*(E$6-1)+E82)</f>
        <v>1348.3756725619</v>
      </c>
      <c r="F84" s="80" t="n">
        <f aca="false">INDEX(Perf_Batch!$C$101:$Q$101,3*(F$6-1)+F82)</f>
        <v>10.7257204053333</v>
      </c>
      <c r="G84" s="80" t="n">
        <f aca="false">INDEX(Perf_Batch!$C$101:$Q$101,3*(G$6-1)+G82)</f>
        <v>44.009462784</v>
      </c>
      <c r="H84" s="80" t="n">
        <f aca="false">INDEX(Perf_Batch!$C$101:$Q$101,3*(H$6-1)+H82)</f>
        <v>133.4217728</v>
      </c>
      <c r="I84" s="80" t="n">
        <f aca="false">INDEX(Perf_Batch!$C$101:$Q$101,3*(I$6-1)+I82)</f>
        <v>7.15048027022222</v>
      </c>
      <c r="J84" s="80" t="n">
        <f aca="false">INDEX(Perf_Batch!$C$101:$Q$101,3*(J$6-1)+J82)</f>
        <v>29.339641856</v>
      </c>
      <c r="K84" s="80" t="n">
        <f aca="false">INDEX(Perf_Batch!$C$101:$Q$101,3*(K$6-1)+K82)</f>
        <v>88.9478485333333</v>
      </c>
      <c r="L84" s="80" t="n">
        <f aca="false">INDEX(Perf_Batch!$C$101:$Q$101,3*(L$6-1)+L82)</f>
        <v>3.06449154438095</v>
      </c>
      <c r="M84" s="80" t="n">
        <f aca="false">INDEX(Perf_Batch!$C$101:$Q$101,3*(M$6-1)+M82)</f>
        <v>12.574132224</v>
      </c>
      <c r="N84" s="80" t="n">
        <f aca="false">INDEX(Perf_Batch!$C$101:$Q$101,3*(N$6-1)+N82)</f>
        <v>38.1205065142857</v>
      </c>
      <c r="O84" s="80" t="n">
        <f aca="false">INDEX(Perf_Batch!$C$101:$Q$101,3*(O$6-1)+O82)</f>
        <v>1.46927676785388</v>
      </c>
      <c r="P84" s="80" t="n">
        <f aca="false">INDEX(Perf_Batch!$C$101:$Q$101,3*(P$6-1)+P82)</f>
        <v>6.02869353205479</v>
      </c>
      <c r="Q84" s="80" t="n">
        <f aca="false">INDEX(Perf_Batch!$C$101:$Q$101,3*(Q$6-1)+Q82)</f>
        <v>18.2769551780822</v>
      </c>
    </row>
    <row r="85" customFormat="false" ht="15" hidden="false" customHeight="false" outlineLevel="0" collapsed="false">
      <c r="A85" s="44" t="s">
        <v>972</v>
      </c>
      <c r="B85" s="45" t="s">
        <v>409</v>
      </c>
      <c r="C85" s="80" t="n">
        <f aca="false">INDEX(Perf_Batch!$C$67:$Q$67,3*(C$6-1)+C82)</f>
        <v>32.177161216</v>
      </c>
      <c r="D85" s="80" t="n">
        <f aca="false">INDEX(Perf_Batch!$C$67:$Q$67,3*(D$6-1)+D82)</f>
        <v>132.028388352</v>
      </c>
      <c r="E85" s="80" t="n">
        <f aca="false">INDEX(Perf_Batch!$C$67:$Q$67,3*(E$6-1)+E82)</f>
        <v>400.2653184</v>
      </c>
      <c r="F85" s="80" t="n">
        <f aca="false">INDEX(Perf_Batch!$C$67:$Q$67,3*(F$6-1)+F82)</f>
        <v>32.177161216</v>
      </c>
      <c r="G85" s="80" t="n">
        <f aca="false">INDEX(Perf_Batch!$C$67:$Q$67,3*(G$6-1)+G82)</f>
        <v>132.028388352</v>
      </c>
      <c r="H85" s="80" t="n">
        <f aca="false">INDEX(Perf_Batch!$C$67:$Q$67,3*(H$6-1)+H82)</f>
        <v>400.2653184</v>
      </c>
      <c r="I85" s="80" t="n">
        <f aca="false">INDEX(Perf_Batch!$C$67:$Q$67,3*(I$6-1)+I82)</f>
        <v>32.177161216</v>
      </c>
      <c r="J85" s="80" t="n">
        <f aca="false">INDEX(Perf_Batch!$C$67:$Q$67,3*(J$6-1)+J82)</f>
        <v>132.028388352</v>
      </c>
      <c r="K85" s="80" t="n">
        <f aca="false">INDEX(Perf_Batch!$C$67:$Q$67,3*(K$6-1)+K82)</f>
        <v>400.2653184</v>
      </c>
      <c r="L85" s="80" t="n">
        <f aca="false">INDEX(Perf_Batch!$C$67:$Q$67,3*(L$6-1)+L82)</f>
        <v>32.177161216</v>
      </c>
      <c r="M85" s="80" t="n">
        <f aca="false">INDEX(Perf_Batch!$C$67:$Q$67,3*(M$6-1)+M82)</f>
        <v>132.028388352</v>
      </c>
      <c r="N85" s="80" t="n">
        <f aca="false">INDEX(Perf_Batch!$C$67:$Q$67,3*(N$6-1)+N82)</f>
        <v>400.2653184</v>
      </c>
      <c r="O85" s="80" t="n">
        <f aca="false">INDEX(Perf_Batch!$C$67:$Q$67,3*(O$6-1)+O82)</f>
        <v>32.177161216</v>
      </c>
      <c r="P85" s="80" t="n">
        <f aca="false">INDEX(Perf_Batch!$C$67:$Q$67,3*(P$6-1)+P82)</f>
        <v>132.028388352</v>
      </c>
      <c r="Q85" s="80" t="n">
        <f aca="false">INDEX(Perf_Batch!$C$67:$Q$67,3*(Q$6-1)+Q82)</f>
        <v>400.2653184</v>
      </c>
    </row>
    <row r="86" customFormat="false" ht="15" hidden="false" customHeight="false" outlineLevel="0" collapsed="false">
      <c r="A86" s="44" t="s">
        <v>973</v>
      </c>
      <c r="B86" s="45" t="s">
        <v>929</v>
      </c>
      <c r="C86" s="56" t="n">
        <f aca="false">C81*1000000*C59/3600/C64</f>
        <v>41686.1073962454</v>
      </c>
      <c r="D86" s="56" t="n">
        <f aca="false">D81*1000000*D59/3600/D64</f>
        <v>162088.023757855</v>
      </c>
      <c r="E86" s="56" t="n">
        <f aca="false">E81*1000000*E59/3600/E64</f>
        <v>709885.150255133</v>
      </c>
      <c r="F86" s="56" t="n">
        <f aca="false">F81*1000000*F59/3600/F64</f>
        <v>11817.332255589</v>
      </c>
      <c r="G86" s="56" t="n">
        <f aca="false">G81*1000000*G59/3600/G64</f>
        <v>43967.1740150943</v>
      </c>
      <c r="H86" s="56" t="n">
        <f aca="false">H81*1000000*H59/3600/H64</f>
        <v>191073.907615711</v>
      </c>
      <c r="I86" s="56" t="n">
        <f aca="false">I81*1000000*I59/3600/I64</f>
        <v>7878.22150372599</v>
      </c>
      <c r="J86" s="56" t="n">
        <f aca="false">J81*1000000*J59/3600/J64</f>
        <v>29311.4493433962</v>
      </c>
      <c r="K86" s="56" t="n">
        <f aca="false">K81*1000000*K59/3600/K64</f>
        <v>132163.424660063</v>
      </c>
      <c r="L86" s="56" t="n">
        <f aca="false">L81*1000000*L59/3600/L64</f>
        <v>3353.07625329214</v>
      </c>
      <c r="M86" s="56" t="n">
        <f aca="false">M81*1000000*M59/3600/M64</f>
        <v>12141.6730066078</v>
      </c>
      <c r="N86" s="56" t="n">
        <f aca="false">N81*1000000*N59/3600/N64</f>
        <v>51543.6971085818</v>
      </c>
      <c r="O86" s="56" t="n">
        <f aca="false">O81*1000000*O59/3600/O64</f>
        <v>1604.62811234682</v>
      </c>
      <c r="P86" s="56" t="n">
        <f aca="false">P81*1000000*P59/3600/P64</f>
        <v>5764.99850566394</v>
      </c>
      <c r="Q86" s="56" t="n">
        <f aca="false">Q81*1000000*Q59/3600/Q64</f>
        <v>24076.3775811473</v>
      </c>
    </row>
    <row r="87" customFormat="false" ht="15" hidden="false" customHeight="false" outlineLevel="0" collapsed="false">
      <c r="A87" s="44" t="s">
        <v>974</v>
      </c>
      <c r="B87" s="45" t="s">
        <v>929</v>
      </c>
      <c r="C87" s="56" t="n">
        <f aca="false">C83*1000000*C84/3600</f>
        <v>9032.94627365111</v>
      </c>
      <c r="D87" s="56" t="n">
        <f aca="false">D83*1000000*D84/3600</f>
        <v>37063.7213946438</v>
      </c>
      <c r="E87" s="56" t="n">
        <f aca="false">E83*1000000*E84/3600</f>
        <v>112364.639380158</v>
      </c>
      <c r="F87" s="56" t="n">
        <f aca="false">F83*1000000*F84/3600</f>
        <v>893.810033777778</v>
      </c>
      <c r="G87" s="56" t="n">
        <f aca="false">G83*1000000*G84/3600</f>
        <v>3667.455232</v>
      </c>
      <c r="H87" s="56" t="n">
        <f aca="false">H83*1000000*H84/3600</f>
        <v>11118.4810666667</v>
      </c>
      <c r="I87" s="56" t="n">
        <f aca="false">I83*1000000*I84/3600</f>
        <v>595.873355851852</v>
      </c>
      <c r="J87" s="56" t="n">
        <f aca="false">J83*1000000*J84/3600</f>
        <v>2444.97015466667</v>
      </c>
      <c r="K87" s="56" t="n">
        <f aca="false">K83*1000000*K84/3600</f>
        <v>7412.32071111111</v>
      </c>
      <c r="L87" s="56" t="n">
        <f aca="false">L83*1000000*L84/3600</f>
        <v>255.374295365079</v>
      </c>
      <c r="M87" s="56" t="n">
        <f aca="false">M83*1000000*M84/3600</f>
        <v>1047.844352</v>
      </c>
      <c r="N87" s="56" t="n">
        <f aca="false">N83*1000000*N84/3600</f>
        <v>3176.70887619048</v>
      </c>
      <c r="O87" s="56" t="n">
        <f aca="false">O83*1000000*O84/3600</f>
        <v>122.43973065449</v>
      </c>
      <c r="P87" s="56" t="n">
        <f aca="false">P83*1000000*P84/3600</f>
        <v>502.391127671233</v>
      </c>
      <c r="Q87" s="56" t="n">
        <f aca="false">Q83*1000000*Q84/3600</f>
        <v>1523.07959817352</v>
      </c>
    </row>
    <row r="88" customFormat="false" ht="15" hidden="false" customHeight="false" outlineLevel="0" collapsed="false">
      <c r="A88" s="44" t="s">
        <v>975</v>
      </c>
      <c r="B88" s="45" t="s">
        <v>259</v>
      </c>
      <c r="C88" s="131" t="n">
        <f aca="false">C69*1000000000*C83*1000000000000</f>
        <v>3.455947008E+022</v>
      </c>
      <c r="D88" s="131" t="n">
        <f aca="false">D69*1000000000*D83*1000000000000</f>
        <v>1.202071532544E+023</v>
      </c>
      <c r="E88" s="131" t="n">
        <f aca="false">E69*1000000000*E83*1000000000000</f>
        <v>4.3271635968E+023</v>
      </c>
      <c r="F88" s="131" t="n">
        <f aca="false">F69*1000000000*F83*1000000000000</f>
        <v>3.455947008E+022</v>
      </c>
      <c r="G88" s="131" t="n">
        <f aca="false">G69*1000000000*G83*1000000000000</f>
        <v>1.202071532544E+023</v>
      </c>
      <c r="H88" s="131" t="n">
        <f aca="false">H69*1000000000*H83*1000000000000</f>
        <v>4.3271635968E+023</v>
      </c>
      <c r="I88" s="131" t="n">
        <f aca="false">I69*1000000000*I83*1000000000000</f>
        <v>3.455947008E+022</v>
      </c>
      <c r="J88" s="131" t="n">
        <f aca="false">J69*1000000000*J83*1000000000000</f>
        <v>1.202071532544E+023</v>
      </c>
      <c r="K88" s="131" t="n">
        <f aca="false">K69*1000000000*K83*1000000000000</f>
        <v>4.3271635968E+023</v>
      </c>
      <c r="L88" s="131" t="n">
        <f aca="false">L69*1000000000*L83*1000000000000</f>
        <v>3.455947008E+022</v>
      </c>
      <c r="M88" s="131" t="n">
        <f aca="false">M69*1000000000*M83*1000000000000</f>
        <v>1.202071532544E+023</v>
      </c>
      <c r="N88" s="131" t="n">
        <f aca="false">N69*1000000000*N83*1000000000000</f>
        <v>4.3271635968E+023</v>
      </c>
      <c r="O88" s="131" t="n">
        <f aca="false">O69*1000000000*O83*1000000000000</f>
        <v>3.455947008E+022</v>
      </c>
      <c r="P88" s="131" t="n">
        <f aca="false">P69*1000000000*P83*1000000000000</f>
        <v>1.202071532544E+023</v>
      </c>
      <c r="Q88" s="131" t="n">
        <f aca="false">Q69*1000000000*Q83*1000000000000</f>
        <v>4.3271635968E+023</v>
      </c>
    </row>
    <row r="89" customFormat="false" ht="15" hidden="false" customHeight="false" outlineLevel="0" collapsed="false">
      <c r="A89" s="44" t="s">
        <v>976</v>
      </c>
      <c r="B89" s="45" t="s">
        <v>929</v>
      </c>
      <c r="C89" s="56" t="n">
        <f aca="false">C88/(C12*1000000000000000*C16*C71*C17)/3600</f>
        <v>44915.374394101</v>
      </c>
      <c r="D89" s="56" t="n">
        <f aca="false">D88/(D12*1000000000000000*D16*D71*D17)/3600</f>
        <v>156227.780135871</v>
      </c>
      <c r="E89" s="56" t="n">
        <f aca="false">E88/(E12*1000000000000000*E16*E71*E17)/3600</f>
        <v>562381.808994442</v>
      </c>
      <c r="F89" s="56" t="n">
        <f aca="false">F88/(F12*1000000000000000*F16*F71*F17)/3600</f>
        <v>14222.0041481481</v>
      </c>
      <c r="G89" s="56" t="n">
        <f aca="false">G88/(G12*1000000000000000*G16*G71*G17)/3600</f>
        <v>49467.9643022222</v>
      </c>
      <c r="H89" s="56" t="n">
        <f aca="false">H88/(H12*1000000000000000*H16*H71*H17)/3600</f>
        <v>178072.576</v>
      </c>
      <c r="I89" s="56" t="n">
        <f aca="false">I88/(I12*1000000000000000*I16*I71*I17)/3600</f>
        <v>14222.0041481481</v>
      </c>
      <c r="J89" s="56" t="n">
        <f aca="false">J88/(J12*1000000000000000*J16*J71*J17)/3600</f>
        <v>49467.9643022222</v>
      </c>
      <c r="K89" s="56" t="n">
        <f aca="false">K88/(K12*1000000000000000*K16*K71*K17)/3600</f>
        <v>178072.576</v>
      </c>
      <c r="L89" s="56" t="n">
        <f aca="false">L88/(L12*1000000000000000*L16*L71*L17)/3600</f>
        <v>4514.92195179306</v>
      </c>
      <c r="M89" s="56" t="n">
        <f aca="false">M88/(M12*1000000000000000*M16*M71*M17)/3600</f>
        <v>15704.1156514991</v>
      </c>
      <c r="N89" s="56" t="n">
        <f aca="false">N88/(N12*1000000000000000*N16*N71*N17)/3600</f>
        <v>56530.9765079365</v>
      </c>
      <c r="O89" s="56" t="n">
        <f aca="false">O88/(O12*1000000000000000*O16*O71*O17)/3600</f>
        <v>2276.97792957863</v>
      </c>
      <c r="P89" s="56" t="n">
        <f aca="false">P88/(P12*1000000000000000*P16*P71*P17)/3600</f>
        <v>7919.94305190878</v>
      </c>
      <c r="Q89" s="56" t="n">
        <f aca="false">Q88/(Q12*1000000000000000*Q16*Q71*Q17)/3600</f>
        <v>28509.8584694204</v>
      </c>
    </row>
    <row r="90" customFormat="false" ht="15" hidden="false" customHeight="false" outlineLevel="0" collapsed="false">
      <c r="A90" s="44" t="s">
        <v>977</v>
      </c>
      <c r="B90" s="45" t="s">
        <v>929</v>
      </c>
      <c r="C90" s="56" t="n">
        <f aca="false">C86+C87+C89</f>
        <v>95634.4280639976</v>
      </c>
      <c r="D90" s="56" t="n">
        <f aca="false">D86+D87+D89</f>
        <v>355379.525288369</v>
      </c>
      <c r="E90" s="56" t="n">
        <f aca="false">E86+E87+E89</f>
        <v>1384631.59862973</v>
      </c>
      <c r="F90" s="56" t="n">
        <f aca="false">F86+F87+F89</f>
        <v>26933.1464375149</v>
      </c>
      <c r="G90" s="56" t="n">
        <f aca="false">G86+G87+G89</f>
        <v>97102.5935493165</v>
      </c>
      <c r="H90" s="56" t="n">
        <f aca="false">H86+H87+H89</f>
        <v>380264.964682378</v>
      </c>
      <c r="I90" s="56" t="n">
        <f aca="false">I86+I87+I89</f>
        <v>22696.099007726</v>
      </c>
      <c r="J90" s="56" t="n">
        <f aca="false">J86+J87+J89</f>
        <v>81224.3838002851</v>
      </c>
      <c r="K90" s="56" t="n">
        <f aca="false">K86+K87+K89</f>
        <v>317648.321371174</v>
      </c>
      <c r="L90" s="56" t="n">
        <f aca="false">L86+L87+L89</f>
        <v>8123.37250045029</v>
      </c>
      <c r="M90" s="56" t="n">
        <f aca="false">M86+M87+M89</f>
        <v>28893.633010107</v>
      </c>
      <c r="N90" s="56" t="n">
        <f aca="false">N86+N87+N89</f>
        <v>111251.382492709</v>
      </c>
      <c r="O90" s="56" t="n">
        <f aca="false">O86+O87+O89</f>
        <v>4004.04577257995</v>
      </c>
      <c r="P90" s="56" t="n">
        <f aca="false">P86+P87+P89</f>
        <v>14187.3326852439</v>
      </c>
      <c r="Q90" s="56" t="n">
        <f aca="false">Q86+Q87+Q89</f>
        <v>54109.3156487413</v>
      </c>
    </row>
    <row r="91" customFormat="false" ht="15" hidden="false" customHeight="false" outlineLevel="0" collapsed="false">
      <c r="A91" s="44" t="s">
        <v>978</v>
      </c>
      <c r="B91" s="45" t="s">
        <v>259</v>
      </c>
      <c r="C91" s="131" t="n">
        <f aca="false">C81*1000000000000*C61*1000000000+C83*1000000000000*C85*1000000000+C88</f>
        <v>5.19015184384E+022</v>
      </c>
      <c r="D91" s="131" t="n">
        <f aca="false">D81*1000000000000*D61*1000000000+D83*1000000000000*D85*1000000000+D88</f>
        <v>1.86579540992E+023</v>
      </c>
      <c r="E91" s="131" t="n">
        <f aca="false">E81*1000000000000*E61*1000000000+E83*1000000000000*E85*1000000000+E88</f>
        <v>6.5700820992E+023</v>
      </c>
      <c r="F91" s="131" t="n">
        <f aca="false">F81*1000000000000*F61*1000000000+F83*1000000000000*F85*1000000000+F88</f>
        <v>5.19015184384E+022</v>
      </c>
      <c r="G91" s="131" t="n">
        <f aca="false">G81*1000000000000*G61*1000000000+G83*1000000000000*G85*1000000000+G88</f>
        <v>1.86579540992E+023</v>
      </c>
      <c r="H91" s="131" t="n">
        <f aca="false">H81*1000000000000*H61*1000000000+H83*1000000000000*H85*1000000000+H88</f>
        <v>6.5700820992E+023</v>
      </c>
      <c r="I91" s="131" t="n">
        <f aca="false">I81*1000000000000*I61*1000000000+I83*1000000000000*I85*1000000000+I88</f>
        <v>5.19015184384E+022</v>
      </c>
      <c r="J91" s="131" t="n">
        <f aca="false">J81*1000000000000*J61*1000000000+J83*1000000000000*J85*1000000000+J88</f>
        <v>1.86579540992E+023</v>
      </c>
      <c r="K91" s="131" t="n">
        <f aca="false">K81*1000000000000*K61*1000000000+K83*1000000000000*K85*1000000000+K88</f>
        <v>6.5700820992E+023</v>
      </c>
      <c r="L91" s="131" t="n">
        <f aca="false">L81*1000000000000*L61*1000000000+L83*1000000000000*L85*1000000000+L88</f>
        <v>5.19015184384E+022</v>
      </c>
      <c r="M91" s="131" t="n">
        <f aca="false">M81*1000000000000*M61*1000000000+M83*1000000000000*M85*1000000000+M88</f>
        <v>1.86579540992E+023</v>
      </c>
      <c r="N91" s="131" t="n">
        <f aca="false">N81*1000000000000*N61*1000000000+N83*1000000000000*N85*1000000000+N88</f>
        <v>6.5700820992E+023</v>
      </c>
      <c r="O91" s="131" t="n">
        <f aca="false">O81*1000000000000*O61*1000000000+O83*1000000000000*O85*1000000000+O88</f>
        <v>5.19015184384E+022</v>
      </c>
      <c r="P91" s="131" t="n">
        <f aca="false">P81*1000000000000*P61*1000000000+P83*1000000000000*P85*1000000000+P88</f>
        <v>1.86579540992E+023</v>
      </c>
      <c r="Q91" s="131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2" t="s">
        <v>979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</row>
    <row r="93" customFormat="false" ht="15" hidden="false" customHeight="false" outlineLevel="0" collapsed="false">
      <c r="A93" s="44" t="s">
        <v>980</v>
      </c>
      <c r="B93" s="45" t="s">
        <v>861</v>
      </c>
      <c r="C93" s="80" t="n">
        <f aca="false">INDEX(Train_In!$C$37:$E$37,C$7)</f>
        <v>1</v>
      </c>
      <c r="D93" s="80" t="n">
        <f aca="false">INDEX(Train_In!$C$37:$E$37,D$7)</f>
        <v>2</v>
      </c>
      <c r="E93" s="80" t="n">
        <f aca="false">INDEX(Train_In!$C$37:$E$37,E$7)</f>
        <v>3</v>
      </c>
      <c r="F93" s="80" t="n">
        <f aca="false">INDEX(Train_In!$C$37:$E$37,F$7)</f>
        <v>1</v>
      </c>
      <c r="G93" s="80" t="n">
        <f aca="false">INDEX(Train_In!$C$37:$E$37,G$7)</f>
        <v>2</v>
      </c>
      <c r="H93" s="80" t="n">
        <f aca="false">INDEX(Train_In!$C$37:$E$37,H$7)</f>
        <v>3</v>
      </c>
      <c r="I93" s="80" t="n">
        <f aca="false">INDEX(Train_In!$C$37:$E$37,I$7)</f>
        <v>1</v>
      </c>
      <c r="J93" s="80" t="n">
        <f aca="false">INDEX(Train_In!$C$37:$E$37,J$7)</f>
        <v>2</v>
      </c>
      <c r="K93" s="80" t="n">
        <f aca="false">INDEX(Train_In!$C$37:$E$37,K$7)</f>
        <v>3</v>
      </c>
      <c r="L93" s="80" t="n">
        <f aca="false">INDEX(Train_In!$C$37:$E$37,L$7)</f>
        <v>1</v>
      </c>
      <c r="M93" s="80" t="n">
        <f aca="false">INDEX(Train_In!$C$37:$E$37,M$7)</f>
        <v>2</v>
      </c>
      <c r="N93" s="80" t="n">
        <f aca="false">INDEX(Train_In!$C$37:$E$37,N$7)</f>
        <v>3</v>
      </c>
      <c r="O93" s="80" t="n">
        <f aca="false">INDEX(Train_In!$C$37:$E$37,O$7)</f>
        <v>1</v>
      </c>
      <c r="P93" s="80" t="n">
        <f aca="false">INDEX(Train_In!$C$37:$E$37,P$7)</f>
        <v>2</v>
      </c>
      <c r="Q93" s="80" t="n">
        <f aca="false">INDEX(Train_In!$C$37:$E$37,Q$7)</f>
        <v>3</v>
      </c>
    </row>
    <row r="94" customFormat="false" ht="15" hidden="false" customHeight="false" outlineLevel="0" collapsed="false">
      <c r="A94" s="44" t="s">
        <v>981</v>
      </c>
      <c r="B94" s="44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44" t="s">
        <v>982</v>
      </c>
      <c r="B95" s="45" t="s">
        <v>711</v>
      </c>
      <c r="C95" s="80" t="n">
        <f aca="false">INDEX(Perf_Batch!$C$103:$Q$103,3*(C$6-1)+C94)</f>
        <v>10861.2427989035</v>
      </c>
      <c r="D95" s="80" t="n">
        <f aca="false">INDEX(Perf_Batch!$C$103:$Q$103,3*(D$6-1)+D94)</f>
        <v>10861.2427989035</v>
      </c>
      <c r="E95" s="80" t="n">
        <f aca="false">INDEX(Perf_Batch!$C$103:$Q$103,3*(E$6-1)+E94)</f>
        <v>10861.2427989035</v>
      </c>
      <c r="F95" s="80" t="n">
        <f aca="false">INDEX(Perf_Batch!$C$103:$Q$103,3*(F$6-1)+F94)</f>
        <v>2923.43078652038</v>
      </c>
      <c r="G95" s="80" t="n">
        <f aca="false">INDEX(Perf_Batch!$C$103:$Q$103,3*(G$6-1)+G94)</f>
        <v>2923.43078652038</v>
      </c>
      <c r="H95" s="80" t="n">
        <f aca="false">INDEX(Perf_Batch!$C$103:$Q$103,3*(H$6-1)+H94)</f>
        <v>2923.43078652038</v>
      </c>
      <c r="I95" s="80" t="n">
        <f aca="false">INDEX(Perf_Batch!$C$103:$Q$103,3*(I$6-1)+I94)</f>
        <v>2022.10039729897</v>
      </c>
      <c r="J95" s="80" t="n">
        <f aca="false">INDEX(Perf_Batch!$C$103:$Q$103,3*(J$6-1)+J94)</f>
        <v>2022.10039729897</v>
      </c>
      <c r="K95" s="80" t="n">
        <f aca="false">INDEX(Perf_Batch!$C$103:$Q$103,3*(K$6-1)+K94)</f>
        <v>2022.10039729897</v>
      </c>
      <c r="L95" s="80" t="n">
        <f aca="false">INDEX(Perf_Batch!$C$103:$Q$103,3*(L$6-1)+L94)</f>
        <v>788.618565761301</v>
      </c>
      <c r="M95" s="80" t="n">
        <f aca="false">INDEX(Perf_Batch!$C$103:$Q$103,3*(M$6-1)+M94)</f>
        <v>788.618565761301</v>
      </c>
      <c r="N95" s="80" t="n">
        <f aca="false">INDEX(Perf_Batch!$C$103:$Q$103,3*(N$6-1)+N94)</f>
        <v>788.618565761301</v>
      </c>
      <c r="O95" s="80" t="n">
        <f aca="false">INDEX(Perf_Batch!$C$103:$Q$103,3*(O$6-1)+O94)</f>
        <v>368.368576991554</v>
      </c>
      <c r="P95" s="80" t="n">
        <f aca="false">INDEX(Perf_Batch!$C$103:$Q$103,3*(P$6-1)+P94)</f>
        <v>368.368576991554</v>
      </c>
      <c r="Q95" s="80" t="n">
        <f aca="false">INDEX(Perf_Batch!$C$103:$Q$103,3*(Q$6-1)+Q94)</f>
        <v>368.368576991554</v>
      </c>
    </row>
    <row r="96" customFormat="false" ht="15" hidden="false" customHeight="false" outlineLevel="0" collapsed="false">
      <c r="A96" s="44" t="s">
        <v>983</v>
      </c>
      <c r="B96" s="45" t="s">
        <v>409</v>
      </c>
      <c r="C96" s="80" t="n">
        <f aca="false">INDEX(Perf_Batch!$C$65:$Q$65,3*(C$6-1)+C94)</f>
        <v>521.0612736</v>
      </c>
      <c r="D96" s="80" t="n">
        <f aca="false">INDEX(Perf_Batch!$C$65:$Q$65,3*(D$6-1)+D94)</f>
        <v>521.0612736</v>
      </c>
      <c r="E96" s="80" t="n">
        <f aca="false">INDEX(Perf_Batch!$C$65:$Q$65,3*(E$6-1)+E94)</f>
        <v>521.0612736</v>
      </c>
      <c r="F96" s="80" t="n">
        <f aca="false">INDEX(Perf_Batch!$C$65:$Q$65,3*(F$6-1)+F94)</f>
        <v>521.0612736</v>
      </c>
      <c r="G96" s="80" t="n">
        <f aca="false">INDEX(Perf_Batch!$C$65:$Q$65,3*(G$6-1)+G94)</f>
        <v>521.0612736</v>
      </c>
      <c r="H96" s="80" t="n">
        <f aca="false">INDEX(Perf_Batch!$C$65:$Q$65,3*(H$6-1)+H94)</f>
        <v>521.0612736</v>
      </c>
      <c r="I96" s="80" t="n">
        <f aca="false">INDEX(Perf_Batch!$C$65:$Q$65,3*(I$6-1)+I94)</f>
        <v>521.0612736</v>
      </c>
      <c r="J96" s="80" t="n">
        <f aca="false">INDEX(Perf_Batch!$C$65:$Q$65,3*(J$6-1)+J94)</f>
        <v>521.0612736</v>
      </c>
      <c r="K96" s="80" t="n">
        <f aca="false">INDEX(Perf_Batch!$C$65:$Q$65,3*(K$6-1)+K94)</f>
        <v>521.0612736</v>
      </c>
      <c r="L96" s="80" t="n">
        <f aca="false">INDEX(Perf_Batch!$C$65:$Q$65,3*(L$6-1)+L94)</f>
        <v>521.0612736</v>
      </c>
      <c r="M96" s="80" t="n">
        <f aca="false">INDEX(Perf_Batch!$C$65:$Q$65,3*(M$6-1)+M94)</f>
        <v>521.0612736</v>
      </c>
      <c r="N96" s="80" t="n">
        <f aca="false">INDEX(Perf_Batch!$C$65:$Q$65,3*(N$6-1)+N94)</f>
        <v>521.0612736</v>
      </c>
      <c r="O96" s="80" t="n">
        <f aca="false">INDEX(Perf_Batch!$C$65:$Q$65,3*(O$6-1)+O94)</f>
        <v>521.0612736</v>
      </c>
      <c r="P96" s="80" t="n">
        <f aca="false">INDEX(Perf_Batch!$C$65:$Q$65,3*(P$6-1)+P94)</f>
        <v>521.0612736</v>
      </c>
      <c r="Q96" s="80" t="n">
        <f aca="false">INDEX(Perf_Batch!$C$65:$Q$65,3*(Q$6-1)+Q94)</f>
        <v>521.0612736</v>
      </c>
    </row>
    <row r="97" customFormat="false" ht="15" hidden="false" customHeight="false" outlineLevel="0" collapsed="false">
      <c r="A97" s="44" t="s">
        <v>984</v>
      </c>
      <c r="B97" s="45" t="s">
        <v>929</v>
      </c>
      <c r="C97" s="56" t="n">
        <f aca="false">C93*1000000*C95/3600</f>
        <v>3017011.88858431</v>
      </c>
      <c r="D97" s="56" t="n">
        <f aca="false">D93*1000000*D95/3600</f>
        <v>6034023.77716863</v>
      </c>
      <c r="E97" s="56" t="n">
        <f aca="false">E93*1000000*E95/3600</f>
        <v>9051035.66575294</v>
      </c>
      <c r="F97" s="56" t="n">
        <f aca="false">F93*1000000*F95/3600</f>
        <v>812064.107366772</v>
      </c>
      <c r="G97" s="56" t="n">
        <f aca="false">G93*1000000*G95/3600</f>
        <v>1624128.21473354</v>
      </c>
      <c r="H97" s="56" t="n">
        <f aca="false">H93*1000000*H95/3600</f>
        <v>2436192.32210032</v>
      </c>
      <c r="I97" s="56" t="n">
        <f aca="false">I93*1000000*I95/3600</f>
        <v>561694.554805268</v>
      </c>
      <c r="J97" s="56" t="n">
        <f aca="false">J93*1000000*J95/3600</f>
        <v>1123389.10961054</v>
      </c>
      <c r="K97" s="56" t="n">
        <f aca="false">K93*1000000*K95/3600</f>
        <v>1685083.66441581</v>
      </c>
      <c r="L97" s="56" t="n">
        <f aca="false">L93*1000000*L95/3600</f>
        <v>219060.712711473</v>
      </c>
      <c r="M97" s="56" t="n">
        <f aca="false">M93*1000000*M95/3600</f>
        <v>438121.425422945</v>
      </c>
      <c r="N97" s="56" t="n">
        <f aca="false">N93*1000000*N95/3600</f>
        <v>657182.138134418</v>
      </c>
      <c r="O97" s="56" t="n">
        <f aca="false">O93*1000000*O95/3600</f>
        <v>102324.604719876</v>
      </c>
      <c r="P97" s="56" t="n">
        <f aca="false">P93*1000000*P95/3600</f>
        <v>204649.209439752</v>
      </c>
      <c r="Q97" s="56" t="n">
        <f aca="false">Q93*1000000*Q95/3600</f>
        <v>306973.814159628</v>
      </c>
    </row>
    <row r="98" customFormat="false" ht="15" hidden="false" customHeight="false" outlineLevel="0" collapsed="false">
      <c r="A98" s="44" t="s">
        <v>985</v>
      </c>
      <c r="B98" s="45" t="s">
        <v>259</v>
      </c>
      <c r="C98" s="131" t="n">
        <f aca="false">C93*1000000000000*C96*1000000000</f>
        <v>5.210612736E+023</v>
      </c>
      <c r="D98" s="131" t="n">
        <f aca="false">D93*1000000000000*D96*1000000000</f>
        <v>1.0421225472E+024</v>
      </c>
      <c r="E98" s="131" t="n">
        <f aca="false">E93*1000000000000*E96*1000000000</f>
        <v>1.5631838208E+024</v>
      </c>
      <c r="F98" s="131" t="n">
        <f aca="false">F93*1000000000000*F96*1000000000</f>
        <v>5.210612736E+023</v>
      </c>
      <c r="G98" s="131" t="n">
        <f aca="false">G93*1000000000000*G96*1000000000</f>
        <v>1.0421225472E+024</v>
      </c>
      <c r="H98" s="131" t="n">
        <f aca="false">H93*1000000000000*H96*1000000000</f>
        <v>1.5631838208E+024</v>
      </c>
      <c r="I98" s="131" t="n">
        <f aca="false">I93*1000000000000*I96*1000000000</f>
        <v>5.210612736E+023</v>
      </c>
      <c r="J98" s="131" t="n">
        <f aca="false">J93*1000000000000*J96*1000000000</f>
        <v>1.0421225472E+024</v>
      </c>
      <c r="K98" s="131" t="n">
        <f aca="false">K93*1000000000000*K96*1000000000</f>
        <v>1.5631838208E+024</v>
      </c>
      <c r="L98" s="131" t="n">
        <f aca="false">L93*1000000000000*L96*1000000000</f>
        <v>5.210612736E+023</v>
      </c>
      <c r="M98" s="131" t="n">
        <f aca="false">M93*1000000000000*M96*1000000000</f>
        <v>1.0421225472E+024</v>
      </c>
      <c r="N98" s="131" t="n">
        <f aca="false">N93*1000000000000*N96*1000000000</f>
        <v>1.5631838208E+024</v>
      </c>
      <c r="O98" s="131" t="n">
        <f aca="false">O93*1000000000000*O96*1000000000</f>
        <v>5.210612736E+023</v>
      </c>
      <c r="P98" s="131" t="n">
        <f aca="false">P93*1000000000000*P96*1000000000</f>
        <v>1.0421225472E+024</v>
      </c>
      <c r="Q98" s="131" t="n">
        <f aca="false">Q93*1000000000000*Q96*1000000000</f>
        <v>1.5631838208E+024</v>
      </c>
    </row>
    <row r="99" customFormat="false" ht="15" hidden="false" customHeight="false" outlineLevel="0" collapsed="false">
      <c r="A99" s="44" t="s">
        <v>884</v>
      </c>
      <c r="B99" s="45" t="s">
        <v>861</v>
      </c>
      <c r="C99" s="77" t="n">
        <f aca="false">INDEX(Train_In!$C$38:$E$38,C$7)</f>
        <v>0.02</v>
      </c>
      <c r="D99" s="77" t="n">
        <f aca="false">INDEX(Train_In!$C$38:$E$38,D$7)</f>
        <v>0.05</v>
      </c>
      <c r="E99" s="77" t="n">
        <f aca="false">INDEX(Train_In!$C$38:$E$38,E$7)</f>
        <v>0.1</v>
      </c>
      <c r="F99" s="77" t="n">
        <f aca="false">INDEX(Train_In!$C$38:$E$38,F$7)</f>
        <v>0.02</v>
      </c>
      <c r="G99" s="77" t="n">
        <f aca="false">INDEX(Train_In!$C$38:$E$38,G$7)</f>
        <v>0.05</v>
      </c>
      <c r="H99" s="77" t="n">
        <f aca="false">INDEX(Train_In!$C$38:$E$38,H$7)</f>
        <v>0.1</v>
      </c>
      <c r="I99" s="77" t="n">
        <f aca="false">INDEX(Train_In!$C$38:$E$38,I$7)</f>
        <v>0.02</v>
      </c>
      <c r="J99" s="77" t="n">
        <f aca="false">INDEX(Train_In!$C$38:$E$38,J$7)</f>
        <v>0.05</v>
      </c>
      <c r="K99" s="77" t="n">
        <f aca="false">INDEX(Train_In!$C$38:$E$38,K$7)</f>
        <v>0.1</v>
      </c>
      <c r="L99" s="77" t="n">
        <f aca="false">INDEX(Train_In!$C$38:$E$38,L$7)</f>
        <v>0.02</v>
      </c>
      <c r="M99" s="77" t="n">
        <f aca="false">INDEX(Train_In!$C$38:$E$38,M$7)</f>
        <v>0.05</v>
      </c>
      <c r="N99" s="77" t="n">
        <f aca="false">INDEX(Train_In!$C$38:$E$38,N$7)</f>
        <v>0.1</v>
      </c>
      <c r="O99" s="77" t="n">
        <f aca="false">INDEX(Train_In!$C$38:$E$38,O$7)</f>
        <v>0.02</v>
      </c>
      <c r="P99" s="77" t="n">
        <f aca="false">INDEX(Train_In!$C$38:$E$38,P$7)</f>
        <v>0.05</v>
      </c>
      <c r="Q99" s="77" t="n">
        <f aca="false">INDEX(Train_In!$C$38:$E$38,Q$7)</f>
        <v>0.1</v>
      </c>
    </row>
    <row r="100" customFormat="false" ht="15" hidden="false" customHeight="false" outlineLevel="0" collapsed="false">
      <c r="A100" s="44" t="s">
        <v>986</v>
      </c>
      <c r="B100" s="45" t="s">
        <v>929</v>
      </c>
      <c r="C100" s="56" t="n">
        <f aca="false">C99*1000000*C59/3600</f>
        <v>3543.31912868086</v>
      </c>
      <c r="D100" s="56" t="n">
        <f aca="false">D99*1000000*D59/3600</f>
        <v>34443.7050485441</v>
      </c>
      <c r="E100" s="56" t="n">
        <f aca="false">E99*1000000*E59/3600</f>
        <v>301701.188858432</v>
      </c>
      <c r="F100" s="56" t="n">
        <f aca="false">F99*1000000*F59/3600</f>
        <v>1004.47324172506</v>
      </c>
      <c r="G100" s="56" t="n">
        <f aca="false">G99*1000000*G59/3600</f>
        <v>9343.02447820754</v>
      </c>
      <c r="H100" s="56" t="n">
        <f aca="false">H99*1000000*H59/3600</f>
        <v>81206.4107366772</v>
      </c>
      <c r="I100" s="56" t="n">
        <f aca="false">I99*1000000*I59/3600</f>
        <v>669.648827816709</v>
      </c>
      <c r="J100" s="56" t="n">
        <f aca="false">J99*1000000*J59/3600</f>
        <v>6228.68298547169</v>
      </c>
      <c r="K100" s="56" t="n">
        <f aca="false">K99*1000000*K59/3600</f>
        <v>56169.4554805268</v>
      </c>
      <c r="L100" s="56" t="n">
        <f aca="false">L99*1000000*L59/3600</f>
        <v>285.011481529832</v>
      </c>
      <c r="M100" s="56" t="n">
        <f aca="false">M99*1000000*M59/3600</f>
        <v>2580.10551390417</v>
      </c>
      <c r="N100" s="56" t="n">
        <f aca="false">N99*1000000*N59/3600</f>
        <v>21906.0712711473</v>
      </c>
      <c r="O100" s="56" t="n">
        <f aca="false">O99*1000000*O59/3600</f>
        <v>136.39338954948</v>
      </c>
      <c r="P100" s="56" t="n">
        <f aca="false">P99*1000000*P59/3600</f>
        <v>1225.06218245359</v>
      </c>
      <c r="Q100" s="56" t="n">
        <f aca="false">Q99*1000000*Q59/3600</f>
        <v>10232.4604719876</v>
      </c>
    </row>
    <row r="101" customFormat="false" ht="15" hidden="false" customHeight="false" outlineLevel="0" collapsed="false">
      <c r="A101" s="44" t="s">
        <v>987</v>
      </c>
      <c r="B101" s="45" t="s">
        <v>259</v>
      </c>
      <c r="C101" s="131" t="n">
        <f aca="false">C99*1000000000000*C61*1000000000</f>
        <v>7.6888999936E+020</v>
      </c>
      <c r="D101" s="131" t="n">
        <f aca="false">D99*1000000000000*D61*1000000000</f>
        <v>6.690967808E+021</v>
      </c>
      <c r="E101" s="131" t="n">
        <f aca="false">E99*1000000000000*E61*1000000000</f>
        <v>5.210612736E+022</v>
      </c>
      <c r="F101" s="131" t="n">
        <f aca="false">F99*1000000000000*F61*1000000000</f>
        <v>7.6888999936E+020</v>
      </c>
      <c r="G101" s="131" t="n">
        <f aca="false">G99*1000000000000*G61*1000000000</f>
        <v>6.690967808E+021</v>
      </c>
      <c r="H101" s="131" t="n">
        <f aca="false">H99*1000000000000*H61*1000000000</f>
        <v>5.210612736E+022</v>
      </c>
      <c r="I101" s="131" t="n">
        <f aca="false">I99*1000000000000*I61*1000000000</f>
        <v>7.6888999936E+020</v>
      </c>
      <c r="J101" s="131" t="n">
        <f aca="false">J99*1000000000000*J61*1000000000</f>
        <v>6.690967808E+021</v>
      </c>
      <c r="K101" s="131" t="n">
        <f aca="false">K99*1000000000000*K61*1000000000</f>
        <v>5.210612736E+022</v>
      </c>
      <c r="L101" s="131" t="n">
        <f aca="false">L99*1000000000000*L61*1000000000</f>
        <v>7.6888999936E+020</v>
      </c>
      <c r="M101" s="131" t="n">
        <f aca="false">M99*1000000000000*M61*1000000000</f>
        <v>6.690967808E+021</v>
      </c>
      <c r="N101" s="131" t="n">
        <f aca="false">N99*1000000000000*N61*1000000000</f>
        <v>5.210612736E+022</v>
      </c>
      <c r="O101" s="131" t="n">
        <f aca="false">O99*1000000000000*O61*1000000000</f>
        <v>7.6888999936E+020</v>
      </c>
      <c r="P101" s="131" t="n">
        <f aca="false">P99*1000000000000*P61*1000000000</f>
        <v>6.690967808E+021</v>
      </c>
      <c r="Q101" s="131" t="n">
        <f aca="false">Q99*1000000000000*Q61*1000000000</f>
        <v>5.210612736E+022</v>
      </c>
    </row>
    <row r="102" customFormat="false" ht="15" hidden="false" customHeight="false" outlineLevel="0" collapsed="false">
      <c r="A102" s="72" t="s">
        <v>988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</row>
    <row r="103" customFormat="false" ht="15" hidden="false" customHeight="false" outlineLevel="0" collapsed="false">
      <c r="A103" s="44" t="s">
        <v>989</v>
      </c>
      <c r="B103" s="45" t="s">
        <v>929</v>
      </c>
      <c r="C103" s="56" t="n">
        <f aca="false">C36+C43</f>
        <v>2903341.97248891</v>
      </c>
      <c r="D103" s="56" t="n">
        <f aca="false">D36+D43</f>
        <v>10414001.4891172</v>
      </c>
      <c r="E103" s="56" t="n">
        <f aca="false">E36+E43</f>
        <v>56547930.6945146</v>
      </c>
      <c r="F103" s="56" t="n">
        <f aca="false">F36+F43</f>
        <v>919314.202168889</v>
      </c>
      <c r="G103" s="56" t="n">
        <f aca="false">G36+G43</f>
        <v>3297489.43151407</v>
      </c>
      <c r="H103" s="56" t="n">
        <f aca="false">H36+H43</f>
        <v>17905336.7751111</v>
      </c>
      <c r="I103" s="56" t="n">
        <f aca="false">I36+I43</f>
        <v>919314.202168889</v>
      </c>
      <c r="J103" s="56" t="n">
        <f aca="false">J36+J43</f>
        <v>3297489.43151407</v>
      </c>
      <c r="K103" s="56" t="n">
        <f aca="false">K36+K43</f>
        <v>17905336.7751111</v>
      </c>
      <c r="L103" s="56" t="n">
        <f aca="false">L36+L43</f>
        <v>291845.778466314</v>
      </c>
      <c r="M103" s="56" t="n">
        <f aca="false">M36+M43</f>
        <v>1046822.0417505</v>
      </c>
      <c r="N103" s="56" t="n">
        <f aca="false">N36+N43</f>
        <v>5684233.89686067</v>
      </c>
      <c r="O103" s="56" t="n">
        <f aca="false">O36+O43</f>
        <v>147184.470408083</v>
      </c>
      <c r="P103" s="56" t="n">
        <f aca="false">P36+P43</f>
        <v>527936.188202702</v>
      </c>
      <c r="Q103" s="56" t="n">
        <f aca="false">Q36+Q43</f>
        <v>2866688.56469919</v>
      </c>
    </row>
    <row r="104" customFormat="false" ht="15" hidden="false" customHeight="false" outlineLevel="0" collapsed="false">
      <c r="A104" s="44" t="s">
        <v>990</v>
      </c>
      <c r="B104" s="45" t="s">
        <v>929</v>
      </c>
      <c r="C104" s="56" t="n">
        <f aca="false">C51+C75+C90</f>
        <v>1125765.39722527</v>
      </c>
      <c r="D104" s="56" t="n">
        <f aca="false">D51+D75+D90</f>
        <v>4141716.48487748</v>
      </c>
      <c r="E104" s="56" t="n">
        <f aca="false">E51+E75+E90</f>
        <v>62702685.8353521</v>
      </c>
      <c r="F104" s="56" t="n">
        <f aca="false">F51+F75+F90</f>
        <v>336235.657845413</v>
      </c>
      <c r="G104" s="56" t="n">
        <f aca="false">G51+G75+G90</f>
        <v>1206869.56178805</v>
      </c>
      <c r="H104" s="56" t="n">
        <f aca="false">H51+H75+H90</f>
        <v>18149438.3477529</v>
      </c>
      <c r="I104" s="56" t="n">
        <f aca="false">I51+I75+I90</f>
        <v>285430.935582868</v>
      </c>
      <c r="J104" s="56" t="n">
        <f aca="false">J51+J75+J90</f>
        <v>1017700.23905238</v>
      </c>
      <c r="K104" s="56" t="n">
        <f aca="false">K51+K75+K90</f>
        <v>15254758.333917</v>
      </c>
      <c r="L104" s="56" t="n">
        <f aca="false">L51+L75+L90</f>
        <v>101604.637496826</v>
      </c>
      <c r="M104" s="56" t="n">
        <f aca="false">M51+M75+M90</f>
        <v>359736.246330123</v>
      </c>
      <c r="N104" s="56" t="n">
        <f aca="false">N51+N75+N90</f>
        <v>5314338.60907615</v>
      </c>
      <c r="O104" s="56" t="n">
        <f aca="false">O51+O75+O90</f>
        <v>50127.3650039913</v>
      </c>
      <c r="P104" s="56" t="n">
        <f aca="false">P51+P75+P90</f>
        <v>176803.038923121</v>
      </c>
      <c r="Q104" s="56" t="n">
        <f aca="false">Q51+Q75+Q90</f>
        <v>2585974.1585343</v>
      </c>
    </row>
    <row r="105" customFormat="false" ht="15" hidden="false" customHeight="false" outlineLevel="0" collapsed="false">
      <c r="A105" s="44" t="s">
        <v>991</v>
      </c>
      <c r="B105" s="45" t="s">
        <v>929</v>
      </c>
      <c r="C105" s="56" t="n">
        <f aca="false">C97+C100</f>
        <v>3020555.207713</v>
      </c>
      <c r="D105" s="56" t="n">
        <f aca="false">D97+D100</f>
        <v>6068467.48221717</v>
      </c>
      <c r="E105" s="56" t="n">
        <f aca="false">E97+E100</f>
        <v>9352736.85461137</v>
      </c>
      <c r="F105" s="56" t="n">
        <f aca="false">F97+F100</f>
        <v>813068.580608498</v>
      </c>
      <c r="G105" s="56" t="n">
        <f aca="false">G97+G100</f>
        <v>1633471.23921175</v>
      </c>
      <c r="H105" s="56" t="n">
        <f aca="false">H97+H100</f>
        <v>2517398.73283699</v>
      </c>
      <c r="I105" s="56" t="n">
        <f aca="false">I97+I100</f>
        <v>562364.203633085</v>
      </c>
      <c r="J105" s="56" t="n">
        <f aca="false">J97+J100</f>
        <v>1129617.79259601</v>
      </c>
      <c r="K105" s="56" t="n">
        <f aca="false">K97+K100</f>
        <v>1741253.11989633</v>
      </c>
      <c r="L105" s="56" t="n">
        <f aca="false">L97+L100</f>
        <v>219345.724193002</v>
      </c>
      <c r="M105" s="56" t="n">
        <f aca="false">M97+M100</f>
        <v>440701.530936849</v>
      </c>
      <c r="N105" s="56" t="n">
        <f aca="false">N97+N100</f>
        <v>679088.209405565</v>
      </c>
      <c r="O105" s="56" t="n">
        <f aca="false">O97+O100</f>
        <v>102460.998109426</v>
      </c>
      <c r="P105" s="56" t="n">
        <f aca="false">P97+P100</f>
        <v>205874.271622206</v>
      </c>
      <c r="Q105" s="56" t="n">
        <f aca="false">Q97+Q100</f>
        <v>317206.274631616</v>
      </c>
    </row>
    <row r="106" customFormat="false" ht="15" hidden="false" customHeight="false" outlineLevel="0" collapsed="false">
      <c r="A106" s="44" t="s">
        <v>992</v>
      </c>
      <c r="B106" s="45" t="s">
        <v>929</v>
      </c>
      <c r="C106" s="51" t="n">
        <f aca="false">C103+C104+C105</f>
        <v>7049662.57742717</v>
      </c>
      <c r="D106" s="51" t="n">
        <f aca="false">D103+D104+D105</f>
        <v>20624185.4562119</v>
      </c>
      <c r="E106" s="51" t="n">
        <f aca="false">E103+E104+E105</f>
        <v>128603353.384478</v>
      </c>
      <c r="F106" s="51" t="n">
        <f aca="false">F103+F104+F105</f>
        <v>2068618.4406228</v>
      </c>
      <c r="G106" s="51" t="n">
        <f aca="false">G103+G104+G105</f>
        <v>6137830.23251387</v>
      </c>
      <c r="H106" s="51" t="n">
        <f aca="false">H103+H104+H105</f>
        <v>38572173.855701</v>
      </c>
      <c r="I106" s="51" t="n">
        <f aca="false">I103+I104+I105</f>
        <v>1767109.34138484</v>
      </c>
      <c r="J106" s="51" t="n">
        <f aca="false">J103+J104+J105</f>
        <v>5444807.46316246</v>
      </c>
      <c r="K106" s="51" t="n">
        <f aca="false">K103+K104+K105</f>
        <v>34901348.2289244</v>
      </c>
      <c r="L106" s="51" t="n">
        <f aca="false">L103+L104+L105</f>
        <v>612796.140156143</v>
      </c>
      <c r="M106" s="51" t="n">
        <f aca="false">M103+M104+M105</f>
        <v>1847259.81901747</v>
      </c>
      <c r="N106" s="51" t="n">
        <f aca="false">N103+N104+N105</f>
        <v>11677660.7153424</v>
      </c>
      <c r="O106" s="51" t="n">
        <f aca="false">O103+O104+O105</f>
        <v>299772.8335215</v>
      </c>
      <c r="P106" s="51" t="n">
        <f aca="false">P103+P104+P105</f>
        <v>910613.498748029</v>
      </c>
      <c r="Q106" s="51" t="n">
        <f aca="false">Q103+Q104+Q105</f>
        <v>5769868.9978651</v>
      </c>
    </row>
    <row r="107" customFormat="false" ht="15" hidden="false" customHeight="false" outlineLevel="0" collapsed="false">
      <c r="A107" s="44" t="s">
        <v>993</v>
      </c>
      <c r="B107" s="45" t="s">
        <v>259</v>
      </c>
      <c r="C107" s="131" t="n">
        <f aca="false">C35+C42</f>
        <v>3.723222518784E+024</v>
      </c>
      <c r="D107" s="131" t="n">
        <f aca="false">D35+D42</f>
        <v>1.3354832197632E+025</v>
      </c>
      <c r="E107" s="131" t="n">
        <f aca="false">E35+E42</f>
        <v>7.25166139392E+025</v>
      </c>
      <c r="F107" s="131" t="n">
        <f aca="false">F35+F42</f>
        <v>3.723222518784E+024</v>
      </c>
      <c r="G107" s="131" t="n">
        <f aca="false">G35+G42</f>
        <v>1.3354832197632E+025</v>
      </c>
      <c r="H107" s="131" t="n">
        <f aca="false">H35+H42</f>
        <v>7.25166139392E+025</v>
      </c>
      <c r="I107" s="131" t="n">
        <f aca="false">I35+I42</f>
        <v>3.723222518784E+024</v>
      </c>
      <c r="J107" s="131" t="n">
        <f aca="false">J35+J42</f>
        <v>1.3354832197632E+025</v>
      </c>
      <c r="K107" s="131" t="n">
        <f aca="false">K35+K42</f>
        <v>7.25166139392E+025</v>
      </c>
      <c r="L107" s="131" t="n">
        <f aca="false">L35+L42</f>
        <v>3.723222518784E+024</v>
      </c>
      <c r="M107" s="131" t="n">
        <f aca="false">M35+M42</f>
        <v>1.3354832197632E+025</v>
      </c>
      <c r="N107" s="131" t="n">
        <f aca="false">N35+N42</f>
        <v>7.25166139392E+025</v>
      </c>
      <c r="O107" s="131" t="n">
        <f aca="false">O35+O42</f>
        <v>3.723222518784E+024</v>
      </c>
      <c r="P107" s="131" t="n">
        <f aca="false">P35+P42</f>
        <v>1.3354832197632E+025</v>
      </c>
      <c r="Q107" s="131" t="n">
        <f aca="false">Q35+Q42</f>
        <v>7.25166139392E+025</v>
      </c>
    </row>
    <row r="108" customFormat="false" ht="15" hidden="false" customHeight="false" outlineLevel="0" collapsed="false">
      <c r="A108" s="44" t="s">
        <v>994</v>
      </c>
      <c r="B108" s="45" t="s">
        <v>259</v>
      </c>
      <c r="C108" s="131" t="n">
        <f aca="false">C49+C76+C91</f>
        <v>5.5857202594176E+023</v>
      </c>
      <c r="D108" s="131" t="n">
        <f aca="false">D49+D76+D91</f>
        <v>1.95057087123328E+024</v>
      </c>
      <c r="E108" s="131" t="n">
        <f aca="false">E49+E76+E91</f>
        <v>2.666974089216E+025</v>
      </c>
      <c r="F108" s="131" t="n">
        <f aca="false">F49+F76+F91</f>
        <v>5.5857202594176E+023</v>
      </c>
      <c r="G108" s="131" t="n">
        <f aca="false">G49+G76+G91</f>
        <v>1.95057087123328E+024</v>
      </c>
      <c r="H108" s="131" t="n">
        <f aca="false">H49+H76+H91</f>
        <v>2.666974089216E+025</v>
      </c>
      <c r="I108" s="131" t="n">
        <f aca="false">I49+I76+I91</f>
        <v>5.5857202594176E+023</v>
      </c>
      <c r="J108" s="131" t="n">
        <f aca="false">J49+J76+J91</f>
        <v>1.95057087123328E+024</v>
      </c>
      <c r="K108" s="131" t="n">
        <f aca="false">K49+K76+K91</f>
        <v>2.666974089216E+025</v>
      </c>
      <c r="L108" s="131" t="n">
        <f aca="false">L49+L76+L91</f>
        <v>5.5857202594176E+023</v>
      </c>
      <c r="M108" s="131" t="n">
        <f aca="false">M49+M76+M91</f>
        <v>1.95057087123328E+024</v>
      </c>
      <c r="N108" s="131" t="n">
        <f aca="false">N49+N76+N91</f>
        <v>2.666974089216E+025</v>
      </c>
      <c r="O108" s="131" t="n">
        <f aca="false">O49+O76+O91</f>
        <v>5.5857202594176E+023</v>
      </c>
      <c r="P108" s="131" t="n">
        <f aca="false">P49+P76+P91</f>
        <v>1.95057087123328E+024</v>
      </c>
      <c r="Q108" s="131" t="n">
        <f aca="false">Q49+Q76+Q91</f>
        <v>2.666974089216E+025</v>
      </c>
    </row>
    <row r="109" customFormat="false" ht="15" hidden="false" customHeight="false" outlineLevel="0" collapsed="false">
      <c r="A109" s="44" t="s">
        <v>995</v>
      </c>
      <c r="B109" s="45" t="s">
        <v>259</v>
      </c>
      <c r="C109" s="131" t="n">
        <f aca="false">C107+C108+C98+C101</f>
        <v>4.80362470832512E+024</v>
      </c>
      <c r="D109" s="131" t="n">
        <f aca="false">D107+D108+D98+D101</f>
        <v>1.63542165838733E+025</v>
      </c>
      <c r="E109" s="131" t="n">
        <f aca="false">E107+E108+E98+E101</f>
        <v>1.0080164477952E+026</v>
      </c>
      <c r="F109" s="131" t="n">
        <f aca="false">F107+F108+F98+F101</f>
        <v>4.80362470832512E+024</v>
      </c>
      <c r="G109" s="131" t="n">
        <f aca="false">G107+G108+G98+G101</f>
        <v>1.63542165838733E+025</v>
      </c>
      <c r="H109" s="131" t="n">
        <f aca="false">H107+H108+H98+H101</f>
        <v>1.0080164477952E+026</v>
      </c>
      <c r="I109" s="131" t="n">
        <f aca="false">I107+I108+I98+I101</f>
        <v>4.80362470832512E+024</v>
      </c>
      <c r="J109" s="131" t="n">
        <f aca="false">J107+J108+J98+J101</f>
        <v>1.63542165838733E+025</v>
      </c>
      <c r="K109" s="131" t="n">
        <f aca="false">K107+K108+K98+K101</f>
        <v>1.0080164477952E+026</v>
      </c>
      <c r="L109" s="131" t="n">
        <f aca="false">L107+L108+L98+L101</f>
        <v>4.80362470832512E+024</v>
      </c>
      <c r="M109" s="131" t="n">
        <f aca="false">M107+M108+M98+M101</f>
        <v>1.63542165838733E+025</v>
      </c>
      <c r="N109" s="131" t="n">
        <f aca="false">N107+N108+N98+N101</f>
        <v>1.0080164477952E+026</v>
      </c>
      <c r="O109" s="131" t="n">
        <f aca="false">O107+O108+O98+O101</f>
        <v>4.80362470832512E+024</v>
      </c>
      <c r="P109" s="131" t="n">
        <f aca="false">P107+P108+P98+P101</f>
        <v>1.63542165838733E+025</v>
      </c>
      <c r="Q109" s="131" t="n">
        <f aca="false">Q107+Q108+Q98+Q101</f>
        <v>1.0080164477952E+026</v>
      </c>
    </row>
    <row r="110" customFormat="false" ht="15" hidden="false" customHeight="false" outlineLevel="0" collapsed="false">
      <c r="A110" s="44" t="s">
        <v>996</v>
      </c>
      <c r="B110" s="45" t="s">
        <v>57</v>
      </c>
      <c r="C110" s="85" t="n">
        <f aca="false">C108/(C107+C108)</f>
        <v>0.130452785650306</v>
      </c>
      <c r="D110" s="85" t="n">
        <f aca="false">D108/(D107+D108)</f>
        <v>0.127443286691429</v>
      </c>
      <c r="E110" s="85" t="n">
        <f aca="false">E108/(E107+E108)</f>
        <v>0.268885180199482</v>
      </c>
      <c r="F110" s="85" t="n">
        <f aca="false">F108/(F107+F108)</f>
        <v>0.130452785650306</v>
      </c>
      <c r="G110" s="85" t="n">
        <f aca="false">G108/(G107+G108)</f>
        <v>0.127443286691429</v>
      </c>
      <c r="H110" s="85" t="n">
        <f aca="false">H108/(H107+H108)</f>
        <v>0.268885180199482</v>
      </c>
      <c r="I110" s="85" t="n">
        <f aca="false">I108/(I107+I108)</f>
        <v>0.130452785650306</v>
      </c>
      <c r="J110" s="85" t="n">
        <f aca="false">J108/(J107+J108)</f>
        <v>0.127443286691429</v>
      </c>
      <c r="K110" s="85" t="n">
        <f aca="false">K108/(K107+K108)</f>
        <v>0.268885180199482</v>
      </c>
      <c r="L110" s="85" t="n">
        <f aca="false">L108/(L107+L108)</f>
        <v>0.130452785650306</v>
      </c>
      <c r="M110" s="85" t="n">
        <f aca="false">M108/(M107+M108)</f>
        <v>0.127443286691429</v>
      </c>
      <c r="N110" s="85" t="n">
        <f aca="false">N108/(N107+N108)</f>
        <v>0.268885180199482</v>
      </c>
      <c r="O110" s="85" t="n">
        <f aca="false">O108/(O107+O108)</f>
        <v>0.130452785650306</v>
      </c>
      <c r="P110" s="85" t="n">
        <f aca="false">P108/(P107+P108)</f>
        <v>0.127443286691429</v>
      </c>
      <c r="Q110" s="85" t="n">
        <f aca="false">Q108/(Q107+Q108)</f>
        <v>0.268885180199482</v>
      </c>
    </row>
    <row r="111" customFormat="false" ht="15" hidden="false" customHeight="false" outlineLevel="0" collapsed="false">
      <c r="A111" s="44" t="s">
        <v>997</v>
      </c>
      <c r="B111" s="45" t="s">
        <v>57</v>
      </c>
      <c r="C111" s="85" t="n">
        <f aca="false">C104/(C103+C104)</f>
        <v>0.279408140296129</v>
      </c>
      <c r="D111" s="85" t="n">
        <f aca="false">D104/(D103+D104)</f>
        <v>0.284542232288169</v>
      </c>
      <c r="E111" s="85" t="n">
        <f aca="false">E104/(E103+E104)</f>
        <v>0.525805967800996</v>
      </c>
      <c r="F111" s="85" t="n">
        <f aca="false">F104/(F103+F104)</f>
        <v>0.267799526369732</v>
      </c>
      <c r="G111" s="85" t="n">
        <f aca="false">G104/(G103+G104)</f>
        <v>0.267933697909655</v>
      </c>
      <c r="H111" s="85" t="n">
        <f aca="false">H104/(H103+H104)</f>
        <v>0.50338514901022</v>
      </c>
      <c r="I111" s="85" t="n">
        <f aca="false">I104/(I103+I104)</f>
        <v>0.236922255702585</v>
      </c>
      <c r="J111" s="85" t="n">
        <f aca="false">J104/(J103+J104)</f>
        <v>0.235841368919199</v>
      </c>
      <c r="K111" s="85" t="n">
        <f aca="false">K104/(K103+K104)</f>
        <v>0.460033612200459</v>
      </c>
      <c r="L111" s="85" t="n">
        <f aca="false">L104/(L103+L104)</f>
        <v>0.258240005282762</v>
      </c>
      <c r="M111" s="85" t="n">
        <f aca="false">M104/(M103+M104)</f>
        <v>0.255756373112</v>
      </c>
      <c r="N111" s="85" t="n">
        <f aca="false">N104/(N103+N104)</f>
        <v>0.483184395630212</v>
      </c>
      <c r="O111" s="85" t="n">
        <f aca="false">O104/(O103+O104)</f>
        <v>0.25405148606166</v>
      </c>
      <c r="P111" s="85" t="n">
        <f aca="false">P104/(P103+P104)</f>
        <v>0.250877249509988</v>
      </c>
      <c r="Q111" s="85" t="n">
        <f aca="false">Q104/(Q103+Q104)</f>
        <v>0.474258961133909</v>
      </c>
    </row>
    <row r="112" customFormat="false" ht="15" hidden="false" customHeight="false" outlineLevel="0" collapsed="false">
      <c r="A112" s="44" t="s">
        <v>998</v>
      </c>
      <c r="B112" s="45" t="s">
        <v>929</v>
      </c>
      <c r="C112" s="56" t="n">
        <f aca="false">C65+C74+C86+C87+C97+C100</f>
        <v>3565782.7984142</v>
      </c>
      <c r="D112" s="56" t="n">
        <f aca="false">D65+D74+D86+D87+D97+D100</f>
        <v>8190977.31733139</v>
      </c>
      <c r="E112" s="56" t="n">
        <f aca="false">E65+E74+E86+E87+E97+E100</f>
        <v>44381667.5498815</v>
      </c>
      <c r="F112" s="56" t="n">
        <f aca="false">F65+F74+F86+F87+F97+F100</f>
        <v>965482.747396132</v>
      </c>
      <c r="G112" s="56" t="n">
        <f aca="false">G65+G74+G86+G87+G97+G100</f>
        <v>2200979.20741876</v>
      </c>
      <c r="H112" s="56" t="n">
        <f aca="false">H65+H74+H86+H87+H97+H100</f>
        <v>11904219.2530343</v>
      </c>
      <c r="I112" s="56" t="n">
        <f aca="false">I65+I74+I86+I87+I97+I100</f>
        <v>663973.648158175</v>
      </c>
      <c r="J112" s="56" t="n">
        <f aca="false">J65+J74+J86+J87+J97+J100</f>
        <v>1507956.43806735</v>
      </c>
      <c r="K112" s="56" t="n">
        <f aca="false">K65+K74+K86+K87+K97+K100</f>
        <v>8233393.62625773</v>
      </c>
      <c r="L112" s="56" t="n">
        <f aca="false">L65+L74+L86+L87+L97+L100</f>
        <v>262594.332782598</v>
      </c>
      <c r="M112" s="56" t="n">
        <f aca="false">M65+M74+M86+M87+M97+M100</f>
        <v>597465.842796802</v>
      </c>
      <c r="N112" s="56" t="n">
        <f aca="false">N65+N74+N86+N87+N97+N100</f>
        <v>3211643.38116249</v>
      </c>
      <c r="O112" s="56" t="n">
        <f aca="false">O65+O74+O86+O87+O97+O100</f>
        <v>123158.089168848</v>
      </c>
      <c r="P112" s="56" t="n">
        <f aca="false">P65+P74+P86+P87+P97+P100</f>
        <v>280313.943017143</v>
      </c>
      <c r="Q112" s="56" t="n">
        <f aca="false">Q65+Q74+Q86+Q87+Q97+Q100</f>
        <v>1500263.7140568</v>
      </c>
    </row>
    <row r="113" customFormat="false" ht="15" hidden="false" customHeight="false" outlineLevel="0" collapsed="false">
      <c r="A113" s="44" t="s">
        <v>999</v>
      </c>
      <c r="B113" s="45" t="s">
        <v>929</v>
      </c>
      <c r="C113" s="56" t="n">
        <f aca="false">C36+C43+C51+C72+C89</f>
        <v>3483879.77901297</v>
      </c>
      <c r="D113" s="56" t="n">
        <f aca="false">D36+D43+D51+D72+D89</f>
        <v>12433208.1388805</v>
      </c>
      <c r="E113" s="56" t="n">
        <f aca="false">E36+E43+E51+E72+E89</f>
        <v>84221685.8345966</v>
      </c>
      <c r="F113" s="56" t="n">
        <f aca="false">F36+F43+F51+F72+F89</f>
        <v>1103135.69322667</v>
      </c>
      <c r="G113" s="56" t="n">
        <f aca="false">G36+G43+G51+G72+G89</f>
        <v>3936851.02509511</v>
      </c>
      <c r="H113" s="56" t="n">
        <f aca="false">H36+H43+H51+H72+H89</f>
        <v>26667954.6026667</v>
      </c>
      <c r="I113" s="56" t="n">
        <f aca="false">I36+I43+I51+I72+I89</f>
        <v>1103135.69322667</v>
      </c>
      <c r="J113" s="56" t="n">
        <f aca="false">J36+J43+J51+J72+J89</f>
        <v>3936851.02509511</v>
      </c>
      <c r="K113" s="56" t="n">
        <f aca="false">K36+K43+K51+K72+K89</f>
        <v>26667954.6026667</v>
      </c>
      <c r="L113" s="56" t="n">
        <f aca="false">L36+L43+L51+L72+L89</f>
        <v>350201.807373545</v>
      </c>
      <c r="M113" s="56" t="n">
        <f aca="false">M36+M43+M51+M72+M89</f>
        <v>1249793.97622067</v>
      </c>
      <c r="N113" s="56" t="n">
        <f aca="false">N36+N43+N51+N72+N89</f>
        <v>8466017.33417989</v>
      </c>
      <c r="O113" s="56" t="n">
        <f aca="false">O36+O43+O51+O72+O89</f>
        <v>176614.744352652</v>
      </c>
      <c r="P113" s="56" t="n">
        <f aca="false">P36+P43+P51+P72+P89</f>
        <v>630299.555730886</v>
      </c>
      <c r="Q113" s="56" t="n">
        <f aca="false">Q36+Q43+Q51+Q72+Q89</f>
        <v>4269605.2838083</v>
      </c>
    </row>
    <row r="114" customFormat="false" ht="15" hidden="false" customHeight="false" outlineLevel="0" collapsed="false">
      <c r="A114" s="44" t="s">
        <v>1000</v>
      </c>
      <c r="B114" s="45" t="s">
        <v>57</v>
      </c>
      <c r="C114" s="87" t="n">
        <f aca="false">C112/C106</f>
        <v>0.505809002806991</v>
      </c>
      <c r="D114" s="87" t="n">
        <f aca="false">D112/D106</f>
        <v>0.397153978988505</v>
      </c>
      <c r="E114" s="87" t="n">
        <f aca="false">E112/E106</f>
        <v>0.345105056609186</v>
      </c>
      <c r="F114" s="87" t="n">
        <f aca="false">F112/F106</f>
        <v>0.466728289971859</v>
      </c>
      <c r="G114" s="87" t="n">
        <f aca="false">G112/G106</f>
        <v>0.358592389173545</v>
      </c>
      <c r="H114" s="87" t="n">
        <f aca="false">H112/H106</f>
        <v>0.308621943309914</v>
      </c>
      <c r="I114" s="87" t="n">
        <f aca="false">I112/I106</f>
        <v>0.37573999107369</v>
      </c>
      <c r="J114" s="87" t="n">
        <f aca="false">J112/J106</f>
        <v>0.276953124287612</v>
      </c>
      <c r="K114" s="87" t="n">
        <f aca="false">K112/K106</f>
        <v>0.235904744202241</v>
      </c>
      <c r="L114" s="87" t="n">
        <f aca="false">L112/L106</f>
        <v>0.428518255215654</v>
      </c>
      <c r="M114" s="87" t="n">
        <f aca="false">M112/M106</f>
        <v>0.323433572606253</v>
      </c>
      <c r="N114" s="87" t="n">
        <f aca="false">N112/N106</f>
        <v>0.275024549817838</v>
      </c>
      <c r="O114" s="87" t="n">
        <f aca="false">O112/O106</f>
        <v>0.410838059346745</v>
      </c>
      <c r="P114" s="87" t="n">
        <f aca="false">P112/P106</f>
        <v>0.307829769054091</v>
      </c>
      <c r="Q114" s="87" t="n">
        <f aca="false">Q112/Q106</f>
        <v>0.260016945724749</v>
      </c>
    </row>
    <row r="115" customFormat="false" ht="15" hidden="false" customHeight="false" outlineLevel="0" collapsed="false">
      <c r="A115" s="44" t="s">
        <v>1001</v>
      </c>
      <c r="B115" s="45" t="s">
        <v>785</v>
      </c>
      <c r="C115" s="97" t="n">
        <f aca="false">C106*C19/1000000</f>
        <v>11.314914684319</v>
      </c>
      <c r="D115" s="97" t="n">
        <f aca="false">D106*D19/1000000</f>
        <v>33.1024210460547</v>
      </c>
      <c r="E115" s="97" t="n">
        <f aca="false">E106*E19/1000000</f>
        <v>206.412144649589</v>
      </c>
      <c r="F115" s="97" t="n">
        <f aca="false">F106*F19/1000000</f>
        <v>4.29603381285367</v>
      </c>
      <c r="G115" s="97" t="n">
        <f aca="false">G106*G19/1000000</f>
        <v>12.7468293323811</v>
      </c>
      <c r="H115" s="97" t="n">
        <f aca="false">H106*H19/1000000</f>
        <v>80.105330139797</v>
      </c>
      <c r="I115" s="97" t="n">
        <f aca="false">I106*I19/1000000</f>
        <v>5.27926192153812</v>
      </c>
      <c r="J115" s="97" t="n">
        <f aca="false">J106*J19/1000000</f>
        <v>16.2664324369729</v>
      </c>
      <c r="K115" s="97" t="n">
        <f aca="false">K106*K19/1000000</f>
        <v>104.268227437985</v>
      </c>
      <c r="L115" s="97" t="n">
        <f aca="false">L106*L19/1000000</f>
        <v>2.8903772772188</v>
      </c>
      <c r="M115" s="97" t="n">
        <f aca="false">M106*M19/1000000</f>
        <v>8.71297558213558</v>
      </c>
      <c r="N115" s="97" t="n">
        <f aca="false">N106*N19/1000000</f>
        <v>55.0800551290938</v>
      </c>
      <c r="O115" s="97" t="n">
        <f aca="false">O106*O19/1000000</f>
        <v>2.5992366129793</v>
      </c>
      <c r="P115" s="97" t="n">
        <f aca="false">P106*P19/1000000</f>
        <v>7.89564524047939</v>
      </c>
      <c r="Q115" s="97" t="n">
        <f aca="false">Q106*Q19/1000000</f>
        <v>50.0287320073969</v>
      </c>
    </row>
    <row r="116" customFormat="false" ht="15" hidden="false" customHeight="false" outlineLevel="0" collapsed="false">
      <c r="A116" s="44" t="s">
        <v>1002</v>
      </c>
      <c r="B116" s="45" t="s">
        <v>785</v>
      </c>
      <c r="C116" s="55" t="n">
        <f aca="false">C106*C20/1000000</f>
        <v>8.40210847562928</v>
      </c>
      <c r="D116" s="55" t="n">
        <f aca="false">D106*D20/1000000</f>
        <v>24.5808422064691</v>
      </c>
      <c r="E116" s="55" t="n">
        <f aca="false">E106*E20/1000000</f>
        <v>153.275325393009</v>
      </c>
      <c r="F116" s="55" t="n">
        <f aca="false">F106*F20/1000000</f>
        <v>3.18260056598927</v>
      </c>
      <c r="G116" s="55" t="n">
        <f aca="false">G106*G20/1000000</f>
        <v>9.44314407545527</v>
      </c>
      <c r="H116" s="55" t="n">
        <f aca="false">H106*H20/1000000</f>
        <v>59.3438692868033</v>
      </c>
      <c r="I116" s="55" t="n">
        <f aca="false">I106*I20/1000000</f>
        <v>3.94109385962977</v>
      </c>
      <c r="J116" s="55" t="n">
        <f aca="false">J106*J20/1000000</f>
        <v>12.1432764557282</v>
      </c>
      <c r="K116" s="55" t="n">
        <f aca="false">K106*K20/1000000</f>
        <v>77.8386973440025</v>
      </c>
      <c r="L116" s="55" t="n">
        <f aca="false">L106*L20/1000000</f>
        <v>2.15549421193612</v>
      </c>
      <c r="M116" s="55" t="n">
        <f aca="false">M106*M20/1000000</f>
        <v>6.49768754551842</v>
      </c>
      <c r="N116" s="55" t="n">
        <f aca="false">N106*N20/1000000</f>
        <v>41.0758626424452</v>
      </c>
      <c r="O116" s="55" t="n">
        <f aca="false">O106*O20/1000000</f>
        <v>1.95034869040868</v>
      </c>
      <c r="P116" s="55" t="n">
        <f aca="false">P106*P20/1000000</f>
        <v>5.92453233299509</v>
      </c>
      <c r="Q116" s="55" t="n">
        <f aca="false">Q106*Q20/1000000</f>
        <v>37.5392803664737</v>
      </c>
    </row>
    <row r="117" customFormat="false" ht="15" hidden="false" customHeight="false" outlineLevel="0" collapsed="false">
      <c r="A117" s="44" t="s">
        <v>1003</v>
      </c>
      <c r="B117" s="45" t="s">
        <v>57</v>
      </c>
      <c r="C117" s="132" t="n">
        <f aca="false">C106/(C18*8760)</f>
        <v>0.00112075516120009</v>
      </c>
      <c r="D117" s="132" t="n">
        <f aca="false">D106/(D18*8760)</f>
        <v>0.00327883243229397</v>
      </c>
      <c r="E117" s="132" t="n">
        <f aca="false">E106/(E18*8760)</f>
        <v>0.0204453575572259</v>
      </c>
      <c r="F117" s="132" t="n">
        <f aca="false">F106/(F18*8760)</f>
        <v>0.00046350664532171</v>
      </c>
      <c r="G117" s="132" t="n">
        <f aca="false">G106/(G18*8760)</f>
        <v>0.00137527783991433</v>
      </c>
      <c r="H117" s="132" t="n">
        <f aca="false">H106/(H18*8760)</f>
        <v>0.00864270498393075</v>
      </c>
      <c r="I117" s="132" t="n">
        <f aca="false">I106/(I18*8760)</f>
        <v>0.000417235067966348</v>
      </c>
      <c r="J117" s="132" t="n">
        <f aca="false">J106/(J18*8760)</f>
        <v>0.00128558236819457</v>
      </c>
      <c r="K117" s="132" t="n">
        <f aca="false">K106/(K18*8760)</f>
        <v>0.00824061423895847</v>
      </c>
      <c r="L117" s="132" t="n">
        <f aca="false">L106/(L18*8760)</f>
        <v>0.000239778358005986</v>
      </c>
      <c r="M117" s="132" t="n">
        <f aca="false">M106/(M18*8760)</f>
        <v>0.000722806325283942</v>
      </c>
      <c r="N117" s="132" t="n">
        <f aca="false">N106/(N18*8760)</f>
        <v>0.00456930148248379</v>
      </c>
      <c r="O117" s="132" t="n">
        <f aca="false">O106/(O18*8760)</f>
        <v>0.000155018496303824</v>
      </c>
      <c r="P117" s="132" t="n">
        <f aca="false">P106/(P18*8760)</f>
        <v>0.000470896357190282</v>
      </c>
      <c r="Q117" s="132" t="n">
        <f aca="false">Q106/(Q18*8760)</f>
        <v>0.00298371405244414</v>
      </c>
    </row>
    <row r="118" customFormat="false" ht="15" hidden="false" customHeight="false" outlineLevel="0" collapsed="false">
      <c r="A118" s="72" t="s">
        <v>1004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</row>
    <row r="119" customFormat="false" ht="15" hidden="false" customHeight="false" outlineLevel="0" collapsed="false">
      <c r="A119" s="44" t="s">
        <v>1005</v>
      </c>
      <c r="B119" s="45" t="s">
        <v>61</v>
      </c>
      <c r="C119" s="93" t="n">
        <f aca="false">Train_In!$C$13</f>
        <v>8</v>
      </c>
      <c r="D119" s="93" t="n">
        <f aca="false">Train_In!$C$13</f>
        <v>8</v>
      </c>
      <c r="E119" s="93" t="n">
        <f aca="false">Train_In!$C$13</f>
        <v>8</v>
      </c>
      <c r="F119" s="93" t="n">
        <f aca="false">Train_In!$C$13</f>
        <v>8</v>
      </c>
      <c r="G119" s="93" t="n">
        <f aca="false">Train_In!$C$13</f>
        <v>8</v>
      </c>
      <c r="H119" s="93" t="n">
        <f aca="false">Train_In!$C$13</f>
        <v>8</v>
      </c>
      <c r="I119" s="93" t="n">
        <f aca="false">Train_In!$C$13</f>
        <v>8</v>
      </c>
      <c r="J119" s="93" t="n">
        <f aca="false">Train_In!$C$13</f>
        <v>8</v>
      </c>
      <c r="K119" s="93" t="n">
        <f aca="false">Train_In!$C$13</f>
        <v>8</v>
      </c>
      <c r="L119" s="93" t="n">
        <f aca="false">Train_In!$C$13</f>
        <v>8</v>
      </c>
      <c r="M119" s="93" t="n">
        <f aca="false">Train_In!$C$13</f>
        <v>8</v>
      </c>
      <c r="N119" s="93" t="n">
        <f aca="false">Train_In!$C$13</f>
        <v>8</v>
      </c>
      <c r="O119" s="93" t="n">
        <f aca="false">Train_In!$C$13</f>
        <v>8</v>
      </c>
      <c r="P119" s="93" t="n">
        <f aca="false">Train_In!$C$13</f>
        <v>8</v>
      </c>
      <c r="Q119" s="93" t="n">
        <f aca="false">Train_In!$C$13</f>
        <v>8</v>
      </c>
    </row>
    <row r="120" customFormat="false" ht="15" hidden="false" customHeight="false" outlineLevel="0" collapsed="false">
      <c r="A120" s="44" t="s">
        <v>1006</v>
      </c>
      <c r="B120" s="45" t="s">
        <v>929</v>
      </c>
      <c r="C120" s="51" t="n">
        <f aca="false">C106*C119</f>
        <v>56397300.6194174</v>
      </c>
      <c r="D120" s="51" t="n">
        <f aca="false">D106*D119</f>
        <v>164993483.649695</v>
      </c>
      <c r="E120" s="51" t="n">
        <f aca="false">E106*E119</f>
        <v>1028826827.07582</v>
      </c>
      <c r="F120" s="51" t="n">
        <f aca="false">F106*F119</f>
        <v>16548947.5249824</v>
      </c>
      <c r="G120" s="51" t="n">
        <f aca="false">G106*G119</f>
        <v>49102641.860111</v>
      </c>
      <c r="H120" s="51" t="n">
        <f aca="false">H106*H119</f>
        <v>308577390.845608</v>
      </c>
      <c r="I120" s="51" t="n">
        <f aca="false">I106*I119</f>
        <v>14136874.7310787</v>
      </c>
      <c r="J120" s="51" t="n">
        <f aca="false">J106*J119</f>
        <v>43558459.7052997</v>
      </c>
      <c r="K120" s="51" t="n">
        <f aca="false">K106*K119</f>
        <v>279210785.831395</v>
      </c>
      <c r="L120" s="51" t="n">
        <f aca="false">L106*L119</f>
        <v>4902369.12124914</v>
      </c>
      <c r="M120" s="51" t="n">
        <f aca="false">M106*M119</f>
        <v>14778078.5521398</v>
      </c>
      <c r="N120" s="51" t="n">
        <f aca="false">N106*N119</f>
        <v>93421285.7227391</v>
      </c>
      <c r="O120" s="51" t="n">
        <f aca="false">O106*O119</f>
        <v>2398182.668172</v>
      </c>
      <c r="P120" s="51" t="n">
        <f aca="false">P106*P119</f>
        <v>7284907.98998423</v>
      </c>
      <c r="Q120" s="51" t="n">
        <f aca="false">Q106*Q119</f>
        <v>46158951.9829208</v>
      </c>
    </row>
    <row r="121" customFormat="false" ht="15" hidden="false" customHeight="false" outlineLevel="0" collapsed="false">
      <c r="A121" s="44" t="s">
        <v>1007</v>
      </c>
      <c r="B121" s="45" t="s">
        <v>929</v>
      </c>
      <c r="C121" s="56" t="n">
        <f aca="false">C120-C106</f>
        <v>49347638.0419902</v>
      </c>
      <c r="D121" s="56" t="n">
        <f aca="false">D120-D106</f>
        <v>144369298.193483</v>
      </c>
      <c r="E121" s="56" t="n">
        <f aca="false">E120-E106</f>
        <v>900223473.691346</v>
      </c>
      <c r="F121" s="56" t="n">
        <f aca="false">F120-F106</f>
        <v>14480329.0843596</v>
      </c>
      <c r="G121" s="56" t="n">
        <f aca="false">G120-G106</f>
        <v>42964811.6275971</v>
      </c>
      <c r="H121" s="56" t="n">
        <f aca="false">H120-H106</f>
        <v>270005216.989907</v>
      </c>
      <c r="I121" s="56" t="n">
        <f aca="false">I120-I106</f>
        <v>12369765.3896939</v>
      </c>
      <c r="J121" s="56" t="n">
        <f aca="false">J120-J106</f>
        <v>38113652.2421372</v>
      </c>
      <c r="K121" s="56" t="n">
        <f aca="false">K120-K106</f>
        <v>244309437.602471</v>
      </c>
      <c r="L121" s="56" t="n">
        <f aca="false">L120-L106</f>
        <v>4289572.981093</v>
      </c>
      <c r="M121" s="56" t="n">
        <f aca="false">M120-M106</f>
        <v>12930818.7331223</v>
      </c>
      <c r="N121" s="56" t="n">
        <f aca="false">N120-N106</f>
        <v>81743625.0073967</v>
      </c>
      <c r="O121" s="56" t="n">
        <f aca="false">O120-O106</f>
        <v>2098409.8346505</v>
      </c>
      <c r="P121" s="56" t="n">
        <f aca="false">P120-P106</f>
        <v>6374294.4912362</v>
      </c>
      <c r="Q121" s="56" t="n">
        <f aca="false">Q120-Q106</f>
        <v>40389082.9850557</v>
      </c>
    </row>
    <row r="122" customFormat="false" ht="15" hidden="false" customHeight="false" outlineLevel="0" collapsed="false">
      <c r="A122" s="44" t="s">
        <v>1008</v>
      </c>
      <c r="B122" s="45" t="s">
        <v>785</v>
      </c>
      <c r="C122" s="51" t="n">
        <f aca="false">C120*C19/1000000</f>
        <v>90.5193174745518</v>
      </c>
      <c r="D122" s="51" t="n">
        <f aca="false">D120*D19/1000000</f>
        <v>264.819368368438</v>
      </c>
      <c r="E122" s="51" t="n">
        <f aca="false">E120*E19/1000000</f>
        <v>1651.29715719671</v>
      </c>
      <c r="F122" s="51" t="n">
        <f aca="false">F120*F19/1000000</f>
        <v>34.3682705028293</v>
      </c>
      <c r="G122" s="51" t="n">
        <f aca="false">G120*G19/1000000</f>
        <v>101.974634659049</v>
      </c>
      <c r="H122" s="51" t="n">
        <f aca="false">H120*H19/1000000</f>
        <v>640.842641118376</v>
      </c>
      <c r="I122" s="51" t="n">
        <f aca="false">I120*I19/1000000</f>
        <v>42.2340953723049</v>
      </c>
      <c r="J122" s="51" t="n">
        <f aca="false">J120*J19/1000000</f>
        <v>130.131459495783</v>
      </c>
      <c r="K122" s="51" t="n">
        <f aca="false">K120*K19/1000000</f>
        <v>834.145819503879</v>
      </c>
      <c r="L122" s="51" t="n">
        <f aca="false">L120*L19/1000000</f>
        <v>23.1230182177504</v>
      </c>
      <c r="M122" s="51" t="n">
        <f aca="false">M120*M19/1000000</f>
        <v>69.7038046570847</v>
      </c>
      <c r="N122" s="51" t="n">
        <f aca="false">N120*N19/1000000</f>
        <v>440.64044103275</v>
      </c>
      <c r="O122" s="51" t="n">
        <f aca="false">O120*O19/1000000</f>
        <v>20.7938929038344</v>
      </c>
      <c r="P122" s="51" t="n">
        <f aca="false">P120*P19/1000000</f>
        <v>63.1651619238351</v>
      </c>
      <c r="Q122" s="51" t="n">
        <f aca="false">Q120*Q19/1000000</f>
        <v>400.229856059175</v>
      </c>
    </row>
    <row r="123" customFormat="false" ht="15" hidden="false" customHeight="false" outlineLevel="0" collapsed="false">
      <c r="A123" s="44" t="s">
        <v>1009</v>
      </c>
      <c r="B123" s="45" t="s">
        <v>57</v>
      </c>
      <c r="C123" s="84" t="n">
        <f aca="false">C120/(C18*8760)</f>
        <v>0.00896604128960073</v>
      </c>
      <c r="D123" s="84" t="n">
        <f aca="false">D120/(D18*8760)</f>
        <v>0.0262306594583518</v>
      </c>
      <c r="E123" s="84" t="n">
        <f aca="false">E120/(E18*8760)</f>
        <v>0.163562860457807</v>
      </c>
      <c r="F123" s="84" t="n">
        <f aca="false">F120/(F18*8760)</f>
        <v>0.00370805316257368</v>
      </c>
      <c r="G123" s="84" t="n">
        <f aca="false">G120/(G18*8760)</f>
        <v>0.0110022227193147</v>
      </c>
      <c r="H123" s="84" t="n">
        <f aca="false">H120/(H18*8760)</f>
        <v>0.069141639871446</v>
      </c>
      <c r="I123" s="84" t="n">
        <f aca="false">I120/(I18*8760)</f>
        <v>0.00333788054373079</v>
      </c>
      <c r="J123" s="84" t="n">
        <f aca="false">J120/(J18*8760)</f>
        <v>0.0102846589455565</v>
      </c>
      <c r="K123" s="84" t="n">
        <f aca="false">K120/(K18*8760)</f>
        <v>0.0659249139116678</v>
      </c>
      <c r="L123" s="84" t="n">
        <f aca="false">L120/(L18*8760)</f>
        <v>0.00191822686404789</v>
      </c>
      <c r="M123" s="84" t="n">
        <f aca="false">M120/(M18*8760)</f>
        <v>0.00578245060227154</v>
      </c>
      <c r="N123" s="84" t="n">
        <f aca="false">N120/(N18*8760)</f>
        <v>0.0365544118598703</v>
      </c>
      <c r="O123" s="84" t="n">
        <f aca="false">O120/(O18*8760)</f>
        <v>0.00124014797043059</v>
      </c>
      <c r="P123" s="84" t="n">
        <f aca="false">P120/(P18*8760)</f>
        <v>0.00376717085752225</v>
      </c>
      <c r="Q123" s="84" t="n">
        <f aca="false">Q120/(Q18*8760)</f>
        <v>0.0238697124195531</v>
      </c>
    </row>
    <row r="124" customFormat="false" ht="15" hidden="false" customHeight="false" outlineLevel="0" collapsed="false">
      <c r="A124" s="72" t="s">
        <v>1010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</row>
    <row r="125" customFormat="false" ht="15" hidden="false" customHeight="false" outlineLevel="0" collapsed="false">
      <c r="A125" s="44" t="s">
        <v>1011</v>
      </c>
      <c r="B125" s="45" t="s">
        <v>929</v>
      </c>
      <c r="C125" s="56" t="n">
        <f aca="false">C103</f>
        <v>2903341.97248891</v>
      </c>
      <c r="D125" s="56" t="n">
        <f aca="false">D103</f>
        <v>10414001.4891172</v>
      </c>
      <c r="E125" s="56" t="n">
        <f aca="false">E103</f>
        <v>56547930.6945146</v>
      </c>
      <c r="F125" s="56" t="n">
        <f aca="false">F103</f>
        <v>919314.202168889</v>
      </c>
      <c r="G125" s="56" t="n">
        <f aca="false">G103</f>
        <v>3297489.43151407</v>
      </c>
      <c r="H125" s="56" t="n">
        <f aca="false">H103</f>
        <v>17905336.7751111</v>
      </c>
      <c r="I125" s="56" t="n">
        <f aca="false">I103</f>
        <v>919314.202168889</v>
      </c>
      <c r="J125" s="56" t="n">
        <f aca="false">J103</f>
        <v>3297489.43151407</v>
      </c>
      <c r="K125" s="56" t="n">
        <f aca="false">K103</f>
        <v>17905336.7751111</v>
      </c>
      <c r="L125" s="56" t="n">
        <f aca="false">L103</f>
        <v>291845.778466314</v>
      </c>
      <c r="M125" s="56" t="n">
        <f aca="false">M103</f>
        <v>1046822.0417505</v>
      </c>
      <c r="N125" s="56" t="n">
        <f aca="false">N103</f>
        <v>5684233.89686067</v>
      </c>
      <c r="O125" s="56" t="n">
        <f aca="false">O103</f>
        <v>147184.470408083</v>
      </c>
      <c r="P125" s="56" t="n">
        <f aca="false">P103</f>
        <v>527936.188202702</v>
      </c>
      <c r="Q125" s="56" t="n">
        <f aca="false">Q103</f>
        <v>2866688.56469919</v>
      </c>
    </row>
    <row r="126" customFormat="false" ht="15" hidden="false" customHeight="false" outlineLevel="0" collapsed="false">
      <c r="A126" s="44" t="s">
        <v>1012</v>
      </c>
      <c r="B126" s="45" t="s">
        <v>929</v>
      </c>
      <c r="C126" s="56" t="n">
        <f aca="false">C65+C74+C86+C87</f>
        <v>545227.590701208</v>
      </c>
      <c r="D126" s="56" t="n">
        <f aca="false">D65+D74+D86+D87</f>
        <v>2122509.83511422</v>
      </c>
      <c r="E126" s="56" t="n">
        <f aca="false">E65+E74+E86+E87</f>
        <v>35028930.6952701</v>
      </c>
      <c r="F126" s="56" t="n">
        <f aca="false">F65+F74+F86+F87</f>
        <v>152414.166787635</v>
      </c>
      <c r="G126" s="56" t="n">
        <f aca="false">G65+G74+G86+G87</f>
        <v>567507.968207011</v>
      </c>
      <c r="H126" s="56" t="n">
        <f aca="false">H65+H74+H86+H87</f>
        <v>9386820.5201973</v>
      </c>
      <c r="I126" s="56" t="n">
        <f aca="false">I65+I74+I86+I87</f>
        <v>101609.44452509</v>
      </c>
      <c r="J126" s="56" t="n">
        <f aca="false">J65+J74+J86+J87</f>
        <v>378338.645471341</v>
      </c>
      <c r="K126" s="56" t="n">
        <f aca="false">K65+K74+K86+K87</f>
        <v>6492140.5063614</v>
      </c>
      <c r="L126" s="56" t="n">
        <f aca="false">L65+L74+L86+L87</f>
        <v>43248.6085895954</v>
      </c>
      <c r="M126" s="56" t="n">
        <f aca="false">M65+M74+M86+M87</f>
        <v>156764.311859953</v>
      </c>
      <c r="N126" s="56" t="n">
        <f aca="false">N65+N74+N86+N87</f>
        <v>2532555.17175692</v>
      </c>
      <c r="O126" s="56" t="n">
        <f aca="false">O65+O74+O86+O87</f>
        <v>20697.0910594223</v>
      </c>
      <c r="P126" s="56" t="n">
        <f aca="false">P65+P74+P86+P87</f>
        <v>74439.6713949373</v>
      </c>
      <c r="Q126" s="56" t="n">
        <f aca="false">Q65+Q74+Q86+Q87</f>
        <v>1183057.43942518</v>
      </c>
    </row>
    <row r="127" customFormat="false" ht="15" hidden="false" customHeight="false" outlineLevel="0" collapsed="false">
      <c r="A127" s="44" t="s">
        <v>1013</v>
      </c>
      <c r="B127" s="45" t="s">
        <v>929</v>
      </c>
      <c r="C127" s="56" t="n">
        <f aca="false">C51+C72+C89</f>
        <v>580537.806524058</v>
      </c>
      <c r="D127" s="56" t="n">
        <f aca="false">D51+D72+D89</f>
        <v>2019206.64976326</v>
      </c>
      <c r="E127" s="56" t="n">
        <f aca="false">E51+E72+E89</f>
        <v>27673755.140082</v>
      </c>
      <c r="F127" s="56" t="n">
        <f aca="false">F51+F72+F89</f>
        <v>183821.491057778</v>
      </c>
      <c r="G127" s="56" t="n">
        <f aca="false">G51+G72+G89</f>
        <v>639361.593581037</v>
      </c>
      <c r="H127" s="56" t="n">
        <f aca="false">H51+H72+H89</f>
        <v>8762617.82755555</v>
      </c>
      <c r="I127" s="56" t="n">
        <f aca="false">I51+I72+I89</f>
        <v>183821.491057778</v>
      </c>
      <c r="J127" s="56" t="n">
        <f aca="false">J51+J72+J89</f>
        <v>639361.593581037</v>
      </c>
      <c r="K127" s="56" t="n">
        <f aca="false">K51+K72+K89</f>
        <v>8762617.82755555</v>
      </c>
      <c r="L127" s="56" t="n">
        <f aca="false">L51+L72+L89</f>
        <v>58356.028907231</v>
      </c>
      <c r="M127" s="56" t="n">
        <f aca="false">M51+M72+M89</f>
        <v>202971.93447017</v>
      </c>
      <c r="N127" s="56" t="n">
        <f aca="false">N51+N72+N89</f>
        <v>2781783.43731922</v>
      </c>
      <c r="O127" s="56" t="n">
        <f aca="false">O51+O72+O89</f>
        <v>29430.273944569</v>
      </c>
      <c r="P127" s="56" t="n">
        <f aca="false">P51+P72+P89</f>
        <v>102363.367528184</v>
      </c>
      <c r="Q127" s="56" t="n">
        <f aca="false">Q51+Q72+Q89</f>
        <v>1402916.71910912</v>
      </c>
    </row>
    <row r="128" customFormat="false" ht="15" hidden="false" customHeight="false" outlineLevel="0" collapsed="false">
      <c r="A128" s="44" t="s">
        <v>1014</v>
      </c>
      <c r="B128" s="45" t="s">
        <v>929</v>
      </c>
      <c r="C128" s="56" t="n">
        <f aca="false">C105</f>
        <v>3020555.207713</v>
      </c>
      <c r="D128" s="56" t="n">
        <f aca="false">D105</f>
        <v>6068467.48221717</v>
      </c>
      <c r="E128" s="56" t="n">
        <f aca="false">E105</f>
        <v>9352736.85461137</v>
      </c>
      <c r="F128" s="56" t="n">
        <f aca="false">F105</f>
        <v>813068.580608498</v>
      </c>
      <c r="G128" s="56" t="n">
        <f aca="false">G105</f>
        <v>1633471.23921175</v>
      </c>
      <c r="H128" s="56" t="n">
        <f aca="false">H105</f>
        <v>2517398.73283699</v>
      </c>
      <c r="I128" s="56" t="n">
        <f aca="false">I105</f>
        <v>562364.203633085</v>
      </c>
      <c r="J128" s="56" t="n">
        <f aca="false">J105</f>
        <v>1129617.79259601</v>
      </c>
      <c r="K128" s="56" t="n">
        <f aca="false">K105</f>
        <v>1741253.11989633</v>
      </c>
      <c r="L128" s="56" t="n">
        <f aca="false">L105</f>
        <v>219345.724193002</v>
      </c>
      <c r="M128" s="56" t="n">
        <f aca="false">M105</f>
        <v>440701.530936849</v>
      </c>
      <c r="N128" s="56" t="n">
        <f aca="false">N105</f>
        <v>679088.209405565</v>
      </c>
      <c r="O128" s="56" t="n">
        <f aca="false">O105</f>
        <v>102460.998109426</v>
      </c>
      <c r="P128" s="56" t="n">
        <f aca="false">P105</f>
        <v>205874.271622206</v>
      </c>
      <c r="Q128" s="56" t="n">
        <f aca="false">Q105</f>
        <v>317206.274631616</v>
      </c>
    </row>
    <row r="129" customFormat="false" ht="15" hidden="false" customHeight="false" outlineLevel="0" collapsed="false">
      <c r="A129" s="44" t="s">
        <v>1015</v>
      </c>
      <c r="B129" s="45" t="s">
        <v>929</v>
      </c>
      <c r="C129" s="56" t="n">
        <f aca="false">C121</f>
        <v>49347638.0419902</v>
      </c>
      <c r="D129" s="56" t="n">
        <f aca="false">D121</f>
        <v>144369298.193483</v>
      </c>
      <c r="E129" s="56" t="n">
        <f aca="false">E121</f>
        <v>900223473.691346</v>
      </c>
      <c r="F129" s="56" t="n">
        <f aca="false">F121</f>
        <v>14480329.0843596</v>
      </c>
      <c r="G129" s="56" t="n">
        <f aca="false">G121</f>
        <v>42964811.6275971</v>
      </c>
      <c r="H129" s="56" t="n">
        <f aca="false">H121</f>
        <v>270005216.989907</v>
      </c>
      <c r="I129" s="56" t="n">
        <f aca="false">I121</f>
        <v>12369765.3896939</v>
      </c>
      <c r="J129" s="56" t="n">
        <f aca="false">J121</f>
        <v>38113652.2421372</v>
      </c>
      <c r="K129" s="56" t="n">
        <f aca="false">K121</f>
        <v>244309437.602471</v>
      </c>
      <c r="L129" s="56" t="n">
        <f aca="false">L121</f>
        <v>4289572.981093</v>
      </c>
      <c r="M129" s="56" t="n">
        <f aca="false">M121</f>
        <v>12930818.7331223</v>
      </c>
      <c r="N129" s="56" t="n">
        <f aca="false">N121</f>
        <v>81743625.0073967</v>
      </c>
      <c r="O129" s="56" t="n">
        <f aca="false">O121</f>
        <v>2098409.8346505</v>
      </c>
      <c r="P129" s="56" t="n">
        <f aca="false">P121</f>
        <v>6374294.4912362</v>
      </c>
      <c r="Q129" s="56" t="n">
        <f aca="false">Q121</f>
        <v>40389082.9850557</v>
      </c>
    </row>
    <row r="130" customFormat="false" ht="15" hidden="false" customHeight="false" outlineLevel="0" collapsed="false">
      <c r="A130" s="72" t="s">
        <v>1016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</row>
    <row r="131" customFormat="false" ht="15" hidden="false" customHeight="false" outlineLevel="0" collapsed="false">
      <c r="A131" s="44" t="s">
        <v>1017</v>
      </c>
      <c r="B131" s="45" t="s">
        <v>929</v>
      </c>
      <c r="C131" s="51" t="n">
        <f aca="false">SUMPRODUCT(($C$6:$Q$6=C$6)*$C$106:$Q$106)</f>
        <v>156277201.418117</v>
      </c>
      <c r="D131" s="51" t="n">
        <f aca="false">SUMPRODUCT(($C$6:$Q$6=D$6)*$C$106:$Q$106)</f>
        <v>156277201.418117</v>
      </c>
      <c r="E131" s="51" t="n">
        <f aca="false">SUMPRODUCT(($C$6:$Q$6=E$6)*$C$106:$Q$106)</f>
        <v>156277201.418117</v>
      </c>
      <c r="F131" s="51" t="n">
        <f aca="false">SUMPRODUCT(($C$6:$Q$6=F$6)*$C$106:$Q$106)</f>
        <v>46778622.5288376</v>
      </c>
      <c r="G131" s="51" t="n">
        <f aca="false">SUMPRODUCT(($C$6:$Q$6=G$6)*$C$106:$Q$106)</f>
        <v>46778622.5288376</v>
      </c>
      <c r="H131" s="51" t="n">
        <f aca="false">SUMPRODUCT(($C$6:$Q$6=H$6)*$C$106:$Q$106)</f>
        <v>46778622.5288376</v>
      </c>
      <c r="I131" s="51" t="n">
        <f aca="false">SUMPRODUCT(($C$6:$Q$6=I$6)*$C$106:$Q$106)</f>
        <v>42113265.0334717</v>
      </c>
      <c r="J131" s="51" t="n">
        <f aca="false">SUMPRODUCT(($C$6:$Q$6=J$6)*$C$106:$Q$106)</f>
        <v>42113265.0334717</v>
      </c>
      <c r="K131" s="51" t="n">
        <f aca="false">SUMPRODUCT(($C$6:$Q$6=K$6)*$C$106:$Q$106)</f>
        <v>42113265.0334717</v>
      </c>
      <c r="L131" s="51" t="n">
        <f aca="false">SUMPRODUCT(($C$6:$Q$6=L$6)*$C$106:$Q$106)</f>
        <v>14137716.674516</v>
      </c>
      <c r="M131" s="51" t="n">
        <f aca="false">SUMPRODUCT(($C$6:$Q$6=M$6)*$C$106:$Q$106)</f>
        <v>14137716.674516</v>
      </c>
      <c r="N131" s="51" t="n">
        <f aca="false">SUMPRODUCT(($C$6:$Q$6=N$6)*$C$106:$Q$106)</f>
        <v>14137716.674516</v>
      </c>
      <c r="O131" s="51" t="n">
        <f aca="false">SUMPRODUCT(($C$6:$Q$6=O$6)*$C$106:$Q$106)</f>
        <v>6980255.33013463</v>
      </c>
      <c r="P131" s="51" t="n">
        <f aca="false">SUMPRODUCT(($C$6:$Q$6=P$6)*$C$106:$Q$106)</f>
        <v>6980255.33013463</v>
      </c>
      <c r="Q131" s="51" t="n">
        <f aca="false">SUMPRODUCT(($C$6:$Q$6=Q$6)*$C$106:$Q$106)</f>
        <v>6980255.33013463</v>
      </c>
    </row>
    <row r="132" customFormat="false" ht="15" hidden="false" customHeight="false" outlineLevel="0" collapsed="false">
      <c r="A132" s="44" t="s">
        <v>1018</v>
      </c>
      <c r="B132" s="45" t="s">
        <v>929</v>
      </c>
      <c r="C132" s="51" t="n">
        <f aca="false">SUMPRODUCT(($C$6:$Q$6=C$6)*$C$120:$Q$120)</f>
        <v>1250217611.34494</v>
      </c>
      <c r="D132" s="51" t="n">
        <f aca="false">SUMPRODUCT(($C$6:$Q$6=D$6)*$C$120:$Q$120)</f>
        <v>1250217611.34494</v>
      </c>
      <c r="E132" s="51" t="n">
        <f aca="false">SUMPRODUCT(($C$6:$Q$6=E$6)*$C$120:$Q$120)</f>
        <v>1250217611.34494</v>
      </c>
      <c r="F132" s="51" t="n">
        <f aca="false">SUMPRODUCT(($C$6:$Q$6=F$6)*$C$120:$Q$120)</f>
        <v>374228980.230701</v>
      </c>
      <c r="G132" s="51" t="n">
        <f aca="false">SUMPRODUCT(($C$6:$Q$6=G$6)*$C$120:$Q$120)</f>
        <v>374228980.230701</v>
      </c>
      <c r="H132" s="51" t="n">
        <f aca="false">SUMPRODUCT(($C$6:$Q$6=H$6)*$C$120:$Q$120)</f>
        <v>374228980.230701</v>
      </c>
      <c r="I132" s="51" t="n">
        <f aca="false">SUMPRODUCT(($C$6:$Q$6=I$6)*$C$120:$Q$120)</f>
        <v>336906120.267774</v>
      </c>
      <c r="J132" s="51" t="n">
        <f aca="false">SUMPRODUCT(($C$6:$Q$6=J$6)*$C$120:$Q$120)</f>
        <v>336906120.267774</v>
      </c>
      <c r="K132" s="51" t="n">
        <f aca="false">SUMPRODUCT(($C$6:$Q$6=K$6)*$C$120:$Q$120)</f>
        <v>336906120.267774</v>
      </c>
      <c r="L132" s="51" t="n">
        <f aca="false">SUMPRODUCT(($C$6:$Q$6=L$6)*$C$120:$Q$120)</f>
        <v>113101733.396128</v>
      </c>
      <c r="M132" s="51" t="n">
        <f aca="false">SUMPRODUCT(($C$6:$Q$6=M$6)*$C$120:$Q$120)</f>
        <v>113101733.396128</v>
      </c>
      <c r="N132" s="51" t="n">
        <f aca="false">SUMPRODUCT(($C$6:$Q$6=N$6)*$C$120:$Q$120)</f>
        <v>113101733.396128</v>
      </c>
      <c r="O132" s="51" t="n">
        <f aca="false">SUMPRODUCT(($C$6:$Q$6=O$6)*$C$120:$Q$120)</f>
        <v>55842042.6410771</v>
      </c>
      <c r="P132" s="51" t="n">
        <f aca="false">SUMPRODUCT(($C$6:$Q$6=P$6)*$C$120:$Q$120)</f>
        <v>55842042.6410771</v>
      </c>
      <c r="Q132" s="51" t="n">
        <f aca="false">SUMPRODUCT(($C$6:$Q$6=Q$6)*$C$120:$Q$120)</f>
        <v>55842042.6410771</v>
      </c>
    </row>
    <row r="133" customFormat="false" ht="15" hidden="false" customHeight="false" outlineLevel="0" collapsed="false">
      <c r="A133" s="44" t="s">
        <v>1019</v>
      </c>
      <c r="B133" s="45" t="s">
        <v>785</v>
      </c>
      <c r="C133" s="51" t="n">
        <f aca="false">SUMPRODUCT(($C$6:$Q$6=C$6)*$C$122:$Q$122)</f>
        <v>2006.6358430397</v>
      </c>
      <c r="D133" s="51" t="n">
        <f aca="false">SUMPRODUCT(($C$6:$Q$6=D$6)*$C$122:$Q$122)</f>
        <v>2006.6358430397</v>
      </c>
      <c r="E133" s="51" t="n">
        <f aca="false">SUMPRODUCT(($C$6:$Q$6=E$6)*$C$122:$Q$122)</f>
        <v>2006.6358430397</v>
      </c>
      <c r="F133" s="51" t="n">
        <f aca="false">SUMPRODUCT(($C$6:$Q$6=F$6)*$C$122:$Q$122)</f>
        <v>777.185546280254</v>
      </c>
      <c r="G133" s="51" t="n">
        <f aca="false">SUMPRODUCT(($C$6:$Q$6=G$6)*$C$122:$Q$122)</f>
        <v>777.185546280254</v>
      </c>
      <c r="H133" s="51" t="n">
        <f aca="false">SUMPRODUCT(($C$6:$Q$6=H$6)*$C$122:$Q$122)</f>
        <v>777.185546280254</v>
      </c>
      <c r="I133" s="51" t="n">
        <f aca="false">SUMPRODUCT(($C$6:$Q$6=I$6)*$C$122:$Q$122)</f>
        <v>1006.51137437197</v>
      </c>
      <c r="J133" s="51" t="n">
        <f aca="false">SUMPRODUCT(($C$6:$Q$6=J$6)*$C$122:$Q$122)</f>
        <v>1006.51137437197</v>
      </c>
      <c r="K133" s="51" t="n">
        <f aca="false">SUMPRODUCT(($C$6:$Q$6=K$6)*$C$122:$Q$122)</f>
        <v>1006.51137437197</v>
      </c>
      <c r="L133" s="51" t="n">
        <f aca="false">SUMPRODUCT(($C$6:$Q$6=L$6)*$C$122:$Q$122)</f>
        <v>533.467263907585</v>
      </c>
      <c r="M133" s="51" t="n">
        <f aca="false">SUMPRODUCT(($C$6:$Q$6=M$6)*$C$122:$Q$122)</f>
        <v>533.467263907585</v>
      </c>
      <c r="N133" s="51" t="n">
        <f aca="false">SUMPRODUCT(($C$6:$Q$6=N$6)*$C$122:$Q$122)</f>
        <v>533.467263907585</v>
      </c>
      <c r="O133" s="51" t="n">
        <f aca="false">SUMPRODUCT(($C$6:$Q$6=O$6)*$C$122:$Q$122)</f>
        <v>484.188910886845</v>
      </c>
      <c r="P133" s="51" t="n">
        <f aca="false">SUMPRODUCT(($C$6:$Q$6=P$6)*$C$122:$Q$122)</f>
        <v>484.188910886845</v>
      </c>
      <c r="Q133" s="51" t="n">
        <f aca="false">SUMPRODUCT(($C$6:$Q$6=Q$6)*$C$122:$Q$122)</f>
        <v>484.188910886845</v>
      </c>
    </row>
    <row r="134" customFormat="false" ht="15" hidden="false" customHeight="false" outlineLevel="0" collapsed="false">
      <c r="A134" s="44" t="s">
        <v>1020</v>
      </c>
      <c r="B134" s="45" t="s">
        <v>57</v>
      </c>
      <c r="C134" s="84" t="n">
        <f aca="false">SUMPRODUCT(($C$6:$Q$6=C$6)*$C$123:$Q$123)</f>
        <v>0.198759561205759</v>
      </c>
      <c r="D134" s="84" t="n">
        <f aca="false">SUMPRODUCT(($C$6:$Q$6=D$6)*$C$123:$Q$123)</f>
        <v>0.198759561205759</v>
      </c>
      <c r="E134" s="84" t="n">
        <f aca="false">SUMPRODUCT(($C$6:$Q$6=E$6)*$C$123:$Q$123)</f>
        <v>0.198759561205759</v>
      </c>
      <c r="F134" s="84" t="n">
        <f aca="false">SUMPRODUCT(($C$6:$Q$6=F$6)*$C$123:$Q$123)</f>
        <v>0.0838519157533344</v>
      </c>
      <c r="G134" s="84" t="n">
        <f aca="false">SUMPRODUCT(($C$6:$Q$6=G$6)*$C$123:$Q$123)</f>
        <v>0.0838519157533344</v>
      </c>
      <c r="H134" s="84" t="n">
        <f aca="false">SUMPRODUCT(($C$6:$Q$6=H$6)*$C$123:$Q$123)</f>
        <v>0.0838519157533344</v>
      </c>
      <c r="I134" s="84" t="n">
        <f aca="false">SUMPRODUCT(($C$6:$Q$6=I$6)*$C$123:$Q$123)</f>
        <v>0.0795474534009551</v>
      </c>
      <c r="J134" s="84" t="n">
        <f aca="false">SUMPRODUCT(($C$6:$Q$6=J$6)*$C$123:$Q$123)</f>
        <v>0.0795474534009551</v>
      </c>
      <c r="K134" s="84" t="n">
        <f aca="false">SUMPRODUCT(($C$6:$Q$6=K$6)*$C$123:$Q$123)</f>
        <v>0.0795474534009551</v>
      </c>
      <c r="L134" s="84" t="n">
        <f aca="false">SUMPRODUCT(($C$6:$Q$6=L$6)*$C$123:$Q$123)</f>
        <v>0.0442550893261898</v>
      </c>
      <c r="M134" s="84" t="n">
        <f aca="false">SUMPRODUCT(($C$6:$Q$6=M$6)*$C$123:$Q$123)</f>
        <v>0.0442550893261898</v>
      </c>
      <c r="N134" s="84" t="n">
        <f aca="false">SUMPRODUCT(($C$6:$Q$6=N$6)*$C$123:$Q$123)</f>
        <v>0.0442550893261898</v>
      </c>
      <c r="O134" s="84" t="n">
        <f aca="false">SUMPRODUCT(($C$6:$Q$6=O$6)*$C$123:$Q$123)</f>
        <v>0.028877031247506</v>
      </c>
      <c r="P134" s="84" t="n">
        <f aca="false">SUMPRODUCT(($C$6:$Q$6=P$6)*$C$123:$Q$123)</f>
        <v>0.028877031247506</v>
      </c>
      <c r="Q134" s="84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1" t="s">
        <v>1021</v>
      </c>
    </row>
    <row r="2" customFormat="false" ht="15" hidden="false" customHeight="false" outlineLevel="0" collapsed="false">
      <c r="A2" s="54" t="s">
        <v>1022</v>
      </c>
    </row>
    <row r="3" customFormat="false" ht="43.5" hidden="false" customHeight="true" outlineLevel="0" collapsed="false">
      <c r="A3" s="9" t="s">
        <v>737</v>
      </c>
      <c r="C3" s="105" t="s">
        <v>43</v>
      </c>
      <c r="D3" s="105"/>
      <c r="E3" s="105" t="s">
        <v>1023</v>
      </c>
      <c r="F3" s="105"/>
      <c r="G3" s="105" t="s">
        <v>1024</v>
      </c>
      <c r="H3" s="105"/>
      <c r="I3" s="106" t="s">
        <v>1025</v>
      </c>
      <c r="J3" s="106"/>
      <c r="K3" s="105" t="s">
        <v>1026</v>
      </c>
      <c r="L3" s="105"/>
      <c r="M3" s="105" t="s">
        <v>1027</v>
      </c>
      <c r="N3" s="105"/>
      <c r="O3" s="106" t="s">
        <v>1028</v>
      </c>
      <c r="P3" s="106"/>
      <c r="Q3" s="106" t="s">
        <v>1029</v>
      </c>
      <c r="R3" s="106"/>
      <c r="S3" s="106" t="s">
        <v>1030</v>
      </c>
      <c r="T3" s="106"/>
      <c r="U3" s="106" t="s">
        <v>1031</v>
      </c>
      <c r="V3" s="106"/>
      <c r="W3" s="106" t="s">
        <v>1032</v>
      </c>
      <c r="X3" s="106"/>
      <c r="Y3" s="105" t="s">
        <v>1033</v>
      </c>
      <c r="Z3" s="105"/>
      <c r="AA3" s="105" t="s">
        <v>1034</v>
      </c>
      <c r="AB3" s="105"/>
      <c r="AC3" s="105" t="s">
        <v>1035</v>
      </c>
      <c r="AD3" s="105"/>
      <c r="AE3" s="105" t="s">
        <v>1036</v>
      </c>
      <c r="AF3" s="105"/>
      <c r="AG3" s="106" t="s">
        <v>1037</v>
      </c>
      <c r="AH3" s="106"/>
    </row>
    <row r="4" customFormat="false" ht="15" hidden="false" customHeight="false" outlineLevel="0" collapsed="false">
      <c r="A4" s="9" t="s">
        <v>122</v>
      </c>
      <c r="C4" s="62" t="str">
        <f aca="false">INDEX(Spec_Rack!$C$4:$G$4,C6)</f>
        <v>VR200 NVL72</v>
      </c>
      <c r="D4" s="62" t="str">
        <f aca="false">INDEX(Spec_Rack!$C$4:$G$4,D6)</f>
        <v>VR200 NVL72</v>
      </c>
      <c r="E4" s="62" t="str">
        <f aca="false">INDEX(Spec_Rack!$C$4:$G$4,E6)</f>
        <v>VR200 NVL72</v>
      </c>
      <c r="F4" s="62" t="str">
        <f aca="false">INDEX(Spec_Rack!$C$4:$G$4,F6)</f>
        <v>VR200 NVL72</v>
      </c>
      <c r="G4" s="62" t="str">
        <f aca="false">INDEX(Spec_Rack!$C$4:$G$4,G6)</f>
        <v>VR200 NVL72</v>
      </c>
      <c r="H4" s="62" t="str">
        <f aca="false">INDEX(Spec_Rack!$C$4:$G$4,H6)</f>
        <v>VR200 NVL72</v>
      </c>
      <c r="I4" s="62" t="str">
        <f aca="false">INDEX(Spec_Rack!$C$4:$G$4,I6)</f>
        <v>VR200 NVL72</v>
      </c>
      <c r="J4" s="62" t="str">
        <f aca="false">INDEX(Spec_Rack!$C$4:$G$4,J6)</f>
        <v>VR200 NVL72</v>
      </c>
      <c r="K4" s="62" t="str">
        <f aca="false">INDEX(Spec_Rack!$C$4:$G$4,K6)</f>
        <v>VR200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VR200 NVL72</v>
      </c>
      <c r="P4" s="62" t="str">
        <f aca="false">INDEX(Spec_Rack!$C$4:$G$4,P6)</f>
        <v>VR200 NVL72</v>
      </c>
      <c r="Q4" s="62" t="str">
        <f aca="false">INDEX(Spec_Rack!$C$4:$G$4,Q6)</f>
        <v>VR200 NVL72</v>
      </c>
      <c r="R4" s="62" t="str">
        <f aca="false">INDEX(Spec_Rack!$C$4:$G$4,R6)</f>
        <v>VR200 NVL72</v>
      </c>
      <c r="S4" s="62" t="str">
        <f aca="false">INDEX(Spec_Rack!$C$4:$G$4,S6)</f>
        <v>VR200 NVL72</v>
      </c>
      <c r="T4" s="62" t="str">
        <f aca="false">INDEX(Spec_Rack!$C$4:$G$4,T6)</f>
        <v>VR200 NVL72</v>
      </c>
      <c r="U4" s="62" t="str">
        <f aca="false">INDEX(Spec_Rack!$C$4:$G$4,U6)</f>
        <v>VR200 NVL72</v>
      </c>
      <c r="V4" s="62" t="str">
        <f aca="false">INDEX(Spec_Rack!$C$4:$G$4,V6)</f>
        <v>VR200 NVL72</v>
      </c>
      <c r="W4" s="62" t="str">
        <f aca="false">INDEX(Spec_Rack!$C$4:$G$4,W6)</f>
        <v>VR200 NVL72</v>
      </c>
      <c r="X4" s="62" t="str">
        <f aca="false">INDEX(Spec_Rack!$C$4:$G$4,X6)</f>
        <v>VR200 NVL72</v>
      </c>
      <c r="Y4" s="62" t="str">
        <f aca="false">INDEX(Spec_Rack!$C$4:$G$4,Y6)</f>
        <v>VR200 NVL72</v>
      </c>
      <c r="Z4" s="62" t="str">
        <f aca="false">INDEX(Spec_Rack!$C$4:$G$4,Z6)</f>
        <v>VR200 NVL72</v>
      </c>
      <c r="AA4" s="62" t="str">
        <f aca="false">INDEX(Spec_Rack!$C$4:$G$4,AA6)</f>
        <v>VR200 NVL72</v>
      </c>
      <c r="AB4" s="62" t="str">
        <f aca="false">INDEX(Spec_Rack!$C$4:$G$4,AB6)</f>
        <v>VR200 NVL72</v>
      </c>
      <c r="AC4" s="62" t="str">
        <f aca="false">INDEX(Spec_Rack!$C$4:$G$4,AC6)</f>
        <v>VR200 NVL72</v>
      </c>
      <c r="AD4" s="62" t="str">
        <f aca="false">INDEX(Spec_Rack!$C$4:$G$4,AD6)</f>
        <v>VR200 NVL72</v>
      </c>
      <c r="AE4" s="62" t="str">
        <f aca="false">INDEX(Spec_Rack!$C$4:$G$4,AE6)</f>
        <v>VR200 NVL72</v>
      </c>
      <c r="AF4" s="62" t="str">
        <f aca="false">INDEX(Spec_Rack!$C$4:$G$4,AF6)</f>
        <v>VR200 NVL72</v>
      </c>
      <c r="AG4" s="62" t="str">
        <f aca="false">INDEX(Spec_Rack!$C$4:$G$4,AG6)</f>
        <v>VR200 NVL72</v>
      </c>
      <c r="AH4" s="62" t="str">
        <f aca="false">INDEX(Spec_Rack!$C$4:$G$4,AH6)</f>
        <v>VR200 NVL72</v>
      </c>
    </row>
    <row r="5" customFormat="false" ht="15" hidden="false" customHeight="false" outlineLevel="0" collapsed="false">
      <c r="A5" s="9" t="s">
        <v>630</v>
      </c>
      <c r="C5" s="62" t="str">
        <f aca="false">INDEX(Arch!$C$4:$E$4,C7)</f>
        <v>Sol（中層）</v>
      </c>
      <c r="D5" s="62" t="str">
        <f aca="false">INDEX(Arch!$C$4:$E$4,D7)</f>
        <v>Astra（頂層）</v>
      </c>
      <c r="E5" s="62" t="str">
        <f aca="false">INDEX(Arch!$C$4:$E$4,E7)</f>
        <v>Sol（中層）</v>
      </c>
      <c r="F5" s="62" t="str">
        <f aca="false">INDEX(Arch!$C$4:$E$4,F7)</f>
        <v>Astra（頂層）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Sol（中層）</v>
      </c>
      <c r="J5" s="62" t="str">
        <f aca="false">INDEX(Arch!$C$4:$E$4,J7)</f>
        <v>Astra（頂層）</v>
      </c>
      <c r="K5" s="62" t="str">
        <f aca="false">INDEX(Arch!$C$4:$E$4,K7)</f>
        <v>Sol（中層）</v>
      </c>
      <c r="L5" s="62" t="str">
        <f aca="false">INDEX(Arch!$C$4:$E$4,L7)</f>
        <v>Astra（頂層）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Sol（中層）</v>
      </c>
      <c r="P5" s="62" t="str">
        <f aca="false">INDEX(Arch!$C$4:$E$4,P7)</f>
        <v>Astra（頂層）</v>
      </c>
      <c r="Q5" s="62" t="str">
        <f aca="false">INDEX(Arch!$C$4:$E$4,Q7)</f>
        <v>Sol（中層）</v>
      </c>
      <c r="R5" s="62" t="str">
        <f aca="false">INDEX(Arch!$C$4:$E$4,R7)</f>
        <v>Astra（頂層）</v>
      </c>
      <c r="S5" s="62" t="str">
        <f aca="false">INDEX(Arch!$C$4:$E$4,S7)</f>
        <v>Sol（中層）</v>
      </c>
      <c r="T5" s="62" t="str">
        <f aca="false">INDEX(Arch!$C$4:$E$4,T7)</f>
        <v>Astra（頂層）</v>
      </c>
      <c r="U5" s="62" t="str">
        <f aca="false">INDEX(Arch!$C$4:$E$4,U7)</f>
        <v>Sol（中層）</v>
      </c>
      <c r="V5" s="62" t="str">
        <f aca="false">INDEX(Arch!$C$4:$E$4,V7)</f>
        <v>Astra（頂層）</v>
      </c>
      <c r="W5" s="62" t="str">
        <f aca="false">INDEX(Arch!$C$4:$E$4,W7)</f>
        <v>Sol（中層）</v>
      </c>
      <c r="X5" s="62" t="str">
        <f aca="false">INDEX(Arch!$C$4:$E$4,X7)</f>
        <v>Astra（頂層）</v>
      </c>
      <c r="Y5" s="62" t="str">
        <f aca="false">INDEX(Arch!$C$4:$E$4,Y7)</f>
        <v>Sol（中層）</v>
      </c>
      <c r="Z5" s="62" t="str">
        <f aca="false">INDEX(Arch!$C$4:$E$4,Z7)</f>
        <v>Astra（頂層）</v>
      </c>
      <c r="AA5" s="62" t="str">
        <f aca="false">INDEX(Arch!$C$4:$E$4,AA7)</f>
        <v>Sol（中層）</v>
      </c>
      <c r="AB5" s="62" t="str">
        <f aca="false">INDEX(Arch!$C$4:$E$4,AB7)</f>
        <v>Astra（頂層）</v>
      </c>
      <c r="AC5" s="62" t="str">
        <f aca="false">INDEX(Arch!$C$4:$E$4,AC7)</f>
        <v>Sol（中層）</v>
      </c>
      <c r="AD5" s="62" t="str">
        <f aca="false">INDEX(Arch!$C$4:$E$4,AD7)</f>
        <v>Astra（頂層）</v>
      </c>
      <c r="AE5" s="62" t="str">
        <f aca="false">INDEX(Arch!$C$4:$E$4,AE7)</f>
        <v>Sol（中層）</v>
      </c>
      <c r="AF5" s="62" t="str">
        <f aca="false">INDEX(Arch!$C$4:$E$4,AF7)</f>
        <v>Astra（頂層）</v>
      </c>
      <c r="AG5" s="62" t="str">
        <f aca="false">INDEX(Arch!$C$4:$E$4,AG7)</f>
        <v>Sol（中層）</v>
      </c>
      <c r="AH5" s="62" t="str">
        <f aca="false">INDEX(Arch!$C$4:$E$4,AH7)</f>
        <v>Astra（頂層）</v>
      </c>
    </row>
    <row r="6" customFormat="false" ht="15" hidden="false" customHeight="false" outlineLevel="0" collapsed="false">
      <c r="A6" s="9" t="s">
        <v>368</v>
      </c>
      <c r="C6" s="48" t="n">
        <v>4</v>
      </c>
      <c r="D6" s="48" t="n">
        <v>4</v>
      </c>
      <c r="E6" s="48" t="n">
        <v>4</v>
      </c>
      <c r="F6" s="48" t="n">
        <v>4</v>
      </c>
      <c r="G6" s="48" t="n">
        <v>4</v>
      </c>
      <c r="H6" s="48" t="n">
        <v>4</v>
      </c>
      <c r="I6" s="48" t="n">
        <v>4</v>
      </c>
      <c r="J6" s="48" t="n">
        <v>4</v>
      </c>
      <c r="K6" s="48" t="n">
        <v>4</v>
      </c>
      <c r="L6" s="48" t="n">
        <v>4</v>
      </c>
      <c r="M6" s="48" t="n">
        <v>4</v>
      </c>
      <c r="N6" s="48" t="n">
        <v>4</v>
      </c>
      <c r="O6" s="48" t="n">
        <v>4</v>
      </c>
      <c r="P6" s="48" t="n">
        <v>4</v>
      </c>
      <c r="Q6" s="48" t="n">
        <v>4</v>
      </c>
      <c r="R6" s="48" t="n">
        <v>4</v>
      </c>
      <c r="S6" s="48" t="n">
        <v>4</v>
      </c>
      <c r="T6" s="48" t="n">
        <v>4</v>
      </c>
      <c r="U6" s="48" t="n">
        <v>4</v>
      </c>
      <c r="V6" s="48" t="n">
        <v>4</v>
      </c>
      <c r="W6" s="48" t="n">
        <v>4</v>
      </c>
      <c r="X6" s="48" t="n">
        <v>4</v>
      </c>
      <c r="Y6" s="48" t="n">
        <v>4</v>
      </c>
      <c r="Z6" s="48" t="n">
        <v>4</v>
      </c>
      <c r="AA6" s="48" t="n">
        <v>4</v>
      </c>
      <c r="AB6" s="48" t="n">
        <v>4</v>
      </c>
      <c r="AC6" s="48" t="n">
        <v>4</v>
      </c>
      <c r="AD6" s="48" t="n">
        <v>4</v>
      </c>
      <c r="AE6" s="48" t="n">
        <v>4</v>
      </c>
      <c r="AF6" s="48" t="n">
        <v>4</v>
      </c>
      <c r="AG6" s="48" t="n">
        <v>4</v>
      </c>
      <c r="AH6" s="48" t="n">
        <v>4</v>
      </c>
    </row>
    <row r="7" customFormat="false" ht="15" hidden="false" customHeight="false" outlineLevel="0" collapsed="false">
      <c r="A7" s="9" t="s">
        <v>631</v>
      </c>
      <c r="C7" s="48" t="n">
        <v>2</v>
      </c>
      <c r="D7" s="48" t="n">
        <v>3</v>
      </c>
      <c r="E7" s="48" t="n">
        <v>2</v>
      </c>
      <c r="F7" s="48" t="n">
        <v>3</v>
      </c>
      <c r="G7" s="48" t="n">
        <v>2</v>
      </c>
      <c r="H7" s="48" t="n">
        <v>3</v>
      </c>
      <c r="I7" s="48" t="n">
        <v>2</v>
      </c>
      <c r="J7" s="48" t="n">
        <v>3</v>
      </c>
      <c r="K7" s="48" t="n">
        <v>2</v>
      </c>
      <c r="L7" s="48" t="n">
        <v>3</v>
      </c>
      <c r="M7" s="48" t="n">
        <v>2</v>
      </c>
      <c r="N7" s="48" t="n">
        <v>3</v>
      </c>
      <c r="O7" s="48" t="n">
        <v>2</v>
      </c>
      <c r="P7" s="48" t="n">
        <v>3</v>
      </c>
      <c r="Q7" s="48" t="n">
        <v>2</v>
      </c>
      <c r="R7" s="48" t="n">
        <v>3</v>
      </c>
      <c r="S7" s="48" t="n">
        <v>2</v>
      </c>
      <c r="T7" s="48" t="n">
        <v>3</v>
      </c>
      <c r="U7" s="48" t="n">
        <v>2</v>
      </c>
      <c r="V7" s="48" t="n">
        <v>3</v>
      </c>
      <c r="W7" s="48" t="n">
        <v>2</v>
      </c>
      <c r="X7" s="48" t="n">
        <v>3</v>
      </c>
      <c r="Y7" s="48" t="n">
        <v>2</v>
      </c>
      <c r="Z7" s="48" t="n">
        <v>3</v>
      </c>
      <c r="AA7" s="48" t="n">
        <v>2</v>
      </c>
      <c r="AB7" s="48" t="n">
        <v>3</v>
      </c>
      <c r="AC7" s="48" t="n">
        <v>2</v>
      </c>
      <c r="AD7" s="48" t="n">
        <v>3</v>
      </c>
      <c r="AE7" s="48" t="n">
        <v>2</v>
      </c>
      <c r="AF7" s="48" t="n">
        <v>3</v>
      </c>
      <c r="AG7" s="48" t="n">
        <v>2</v>
      </c>
      <c r="AH7" s="48" t="n">
        <v>3</v>
      </c>
    </row>
    <row r="9" customFormat="false" ht="15" hidden="false" customHeight="false" outlineLevel="0" collapsed="false">
      <c r="A9" s="72" t="s">
        <v>910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customFormat="false" ht="15" hidden="false" customHeight="false" outlineLevel="0" collapsed="false">
      <c r="A10" s="45" t="s">
        <v>911</v>
      </c>
      <c r="B10" s="45" t="s">
        <v>392</v>
      </c>
      <c r="C10" s="75" t="n">
        <f aca="false">INDEX(Spec_Rack!$C$40:$G$40,C$6)</f>
        <v>17.5</v>
      </c>
      <c r="D10" s="75" t="n">
        <f aca="false">INDEX(Spec_Rack!$C$40:$G$40,D$6)</f>
        <v>17.5</v>
      </c>
      <c r="E10" s="75" t="n">
        <f aca="false">INDEX(Spec_Rack!$C$40:$G$40,E$6)</f>
        <v>17.5</v>
      </c>
      <c r="F10" s="75" t="n">
        <f aca="false">INDEX(Spec_Rack!$C$40:$G$40,F$6)</f>
        <v>17.5</v>
      </c>
      <c r="G10" s="75" t="n">
        <f aca="false">INDEX(Spec_Rack!$C$40:$G$40,G$6)</f>
        <v>17.5</v>
      </c>
      <c r="H10" s="75" t="n">
        <f aca="false">INDEX(Spec_Rack!$C$40:$G$40,H$6)</f>
        <v>17.5</v>
      </c>
      <c r="I10" s="107" t="n">
        <f aca="false">INDEX(Spec_Rack!$C$41:$G$41,I$6)</f>
        <v>35</v>
      </c>
      <c r="J10" s="107" t="n">
        <f aca="false">INDEX(Spec_Rack!$C$41:$G$41,J$6)</f>
        <v>35</v>
      </c>
      <c r="K10" s="75" t="n">
        <f aca="false">INDEX(Spec_Rack!$C$40:$G$40,K$6)</f>
        <v>17.5</v>
      </c>
      <c r="L10" s="75" t="n">
        <f aca="false">INDEX(Spec_Rack!$C$40:$G$40,L$6)</f>
        <v>17.5</v>
      </c>
      <c r="M10" s="75" t="n">
        <f aca="false">INDEX(Spec_Rack!$C$40:$G$40,M$6)</f>
        <v>17.5</v>
      </c>
      <c r="N10" s="75" t="n">
        <f aca="false">INDEX(Spec_Rack!$C$40:$G$40,N$6)</f>
        <v>17.5</v>
      </c>
      <c r="O10" s="75" t="n">
        <f aca="false">INDEX(Spec_Rack!$C$40:$G$40,O$6)</f>
        <v>17.5</v>
      </c>
      <c r="P10" s="75" t="n">
        <f aca="false">INDEX(Spec_Rack!$C$40:$G$40,P$6)</f>
        <v>17.5</v>
      </c>
      <c r="Q10" s="75" t="n">
        <f aca="false">INDEX(Spec_Rack!$C$40:$G$40,Q$6)</f>
        <v>17.5</v>
      </c>
      <c r="R10" s="75" t="n">
        <f aca="false">INDEX(Spec_Rack!$C$40:$G$40,R$6)</f>
        <v>17.5</v>
      </c>
      <c r="S10" s="75" t="n">
        <f aca="false">INDEX(Spec_Rack!$C$40:$G$40,S$6)</f>
        <v>17.5</v>
      </c>
      <c r="T10" s="75" t="n">
        <f aca="false">INDEX(Spec_Rack!$C$40:$G$40,T$6)</f>
        <v>17.5</v>
      </c>
      <c r="U10" s="75" t="n">
        <f aca="false">INDEX(Spec_Rack!$C$40:$G$40,U$6)</f>
        <v>17.5</v>
      </c>
      <c r="V10" s="75" t="n">
        <f aca="false">INDEX(Spec_Rack!$C$40:$G$40,V$6)</f>
        <v>17.5</v>
      </c>
      <c r="W10" s="75" t="n">
        <f aca="false">INDEX(Spec_Rack!$C$40:$G$40,W$6)</f>
        <v>17.5</v>
      </c>
      <c r="X10" s="75" t="n">
        <f aca="false">INDEX(Spec_Rack!$C$40:$G$40,X$6)</f>
        <v>17.5</v>
      </c>
      <c r="Y10" s="75" t="n">
        <f aca="false">INDEX(Spec_Rack!$C$40:$G$40,Y$6)</f>
        <v>17.5</v>
      </c>
      <c r="Z10" s="75" t="n">
        <f aca="false">INDEX(Spec_Rack!$C$40:$G$40,Z$6)</f>
        <v>17.5</v>
      </c>
      <c r="AA10" s="75" t="n">
        <f aca="false">INDEX(Spec_Rack!$C$40:$G$40,AA$6)</f>
        <v>17.5</v>
      </c>
      <c r="AB10" s="75" t="n">
        <f aca="false">INDEX(Spec_Rack!$C$40:$G$40,AB$6)</f>
        <v>17.5</v>
      </c>
      <c r="AC10" s="75" t="n">
        <f aca="false">INDEX(Spec_Rack!$C$40:$G$40,AC$6)</f>
        <v>17.5</v>
      </c>
      <c r="AD10" s="75" t="n">
        <f aca="false">INDEX(Spec_Rack!$C$40:$G$40,AD$6)</f>
        <v>17.5</v>
      </c>
      <c r="AE10" s="75" t="n">
        <f aca="false">INDEX(Spec_Rack!$C$40:$G$40,AE$6)</f>
        <v>17.5</v>
      </c>
      <c r="AF10" s="75" t="n">
        <f aca="false">INDEX(Spec_Rack!$C$40:$G$40,AF$6)</f>
        <v>17.5</v>
      </c>
      <c r="AG10" s="75" t="n">
        <f aca="false">INDEX(Spec_Rack!$C$40:$G$40,AG$6)</f>
        <v>17.5</v>
      </c>
      <c r="AH10" s="75" t="n">
        <f aca="false">INDEX(Spec_Rack!$C$40:$G$40,AH$6)</f>
        <v>17.5</v>
      </c>
    </row>
    <row r="11" customFormat="false" ht="15" hidden="false" customHeight="false" outlineLevel="0" collapsed="false">
      <c r="A11" s="44" t="s">
        <v>912</v>
      </c>
      <c r="B11" s="45" t="s">
        <v>61</v>
      </c>
      <c r="C11" s="79" t="n">
        <f aca="false">Tech_Registry!$E$25</f>
        <v>1</v>
      </c>
      <c r="D11" s="79" t="n">
        <f aca="false">Tech_Registry!$E$25</f>
        <v>1</v>
      </c>
      <c r="E11" s="79" t="n">
        <f aca="false">Tech_Registry!$E$25</f>
        <v>1</v>
      </c>
      <c r="F11" s="79" t="n">
        <f aca="false">Tech_Registry!$E$25</f>
        <v>1</v>
      </c>
      <c r="G11" s="79" t="n">
        <f aca="false">Tech_Registry!$E$25</f>
        <v>1</v>
      </c>
      <c r="H11" s="79" t="n">
        <f aca="false">Tech_Registry!$E$25</f>
        <v>1</v>
      </c>
      <c r="I11" s="79" t="n">
        <f aca="false">Tech_Registry!$E$25</f>
        <v>1</v>
      </c>
      <c r="J11" s="79" t="n">
        <f aca="false">Tech_Registry!$E$25</f>
        <v>1</v>
      </c>
      <c r="K11" s="79" t="n">
        <f aca="false">Tech_Registry!$E$25</f>
        <v>1</v>
      </c>
      <c r="L11" s="79" t="n">
        <f aca="false">Tech_Registry!$E$25</f>
        <v>1</v>
      </c>
      <c r="M11" s="79" t="n">
        <f aca="false">Tech_Registry!$E$25</f>
        <v>1</v>
      </c>
      <c r="N11" s="79" t="n">
        <f aca="false">Tech_Registry!$E$25</f>
        <v>1</v>
      </c>
      <c r="O11" s="79" t="n">
        <f aca="false">Tech_Registry!$E$25</f>
        <v>1</v>
      </c>
      <c r="P11" s="79" t="n">
        <f aca="false">Tech_Registry!$E$25</f>
        <v>1</v>
      </c>
      <c r="Q11" s="79" t="n">
        <f aca="false">Tech_Registry!$E$25</f>
        <v>1</v>
      </c>
      <c r="R11" s="79" t="n">
        <f aca="false">Tech_Registry!$E$25</f>
        <v>1</v>
      </c>
      <c r="S11" s="79" t="n">
        <f aca="false">Tech_Registry!$E$25</f>
        <v>1</v>
      </c>
      <c r="T11" s="79" t="n">
        <f aca="false">Tech_Registry!$E$25</f>
        <v>1</v>
      </c>
      <c r="U11" s="79" t="n">
        <f aca="false">Tech_Registry!$E$25</f>
        <v>1</v>
      </c>
      <c r="V11" s="79" t="n">
        <f aca="false">Tech_Registry!$E$25</f>
        <v>1</v>
      </c>
      <c r="W11" s="79" t="n">
        <f aca="false">Tech_Registry!$E$25</f>
        <v>1</v>
      </c>
      <c r="X11" s="79" t="n">
        <f aca="false">Tech_Registry!$E$25</f>
        <v>1</v>
      </c>
      <c r="Y11" s="79" t="n">
        <f aca="false">Tech_Registry!$E$25</f>
        <v>1</v>
      </c>
      <c r="Z11" s="79" t="n">
        <f aca="false">Tech_Registry!$E$25</f>
        <v>1</v>
      </c>
      <c r="AA11" s="79" t="n">
        <f aca="false">Tech_Registry!$E$25</f>
        <v>1</v>
      </c>
      <c r="AB11" s="79" t="n">
        <f aca="false">Tech_Registry!$E$25</f>
        <v>1</v>
      </c>
      <c r="AC11" s="79" t="n">
        <f aca="false">Tech_Registry!$E$25</f>
        <v>1</v>
      </c>
      <c r="AD11" s="79" t="n">
        <f aca="false">Tech_Registry!$E$25</f>
        <v>1</v>
      </c>
      <c r="AE11" s="79" t="n">
        <f aca="false">Tech_Registry!$E$25</f>
        <v>1</v>
      </c>
      <c r="AF11" s="79" t="n">
        <f aca="false">Tech_Registry!$E$25</f>
        <v>1</v>
      </c>
      <c r="AG11" s="79" t="n">
        <f aca="false">Tech_Registry!$E$25</f>
        <v>1</v>
      </c>
      <c r="AH11" s="79" t="n">
        <f aca="false">Tech_Registry!$E$25</f>
        <v>1</v>
      </c>
    </row>
    <row r="12" customFormat="false" ht="15" hidden="false" customHeight="false" outlineLevel="0" collapsed="false">
      <c r="A12" s="44" t="s">
        <v>913</v>
      </c>
      <c r="B12" s="45" t="s">
        <v>392</v>
      </c>
      <c r="C12" s="100" t="n">
        <f aca="false">C10*C11</f>
        <v>17.5</v>
      </c>
      <c r="D12" s="100" t="n">
        <f aca="false">D10*D11</f>
        <v>17.5</v>
      </c>
      <c r="E12" s="100" t="n">
        <f aca="false">E10*E11</f>
        <v>17.5</v>
      </c>
      <c r="F12" s="100" t="n">
        <f aca="false">F10*F11</f>
        <v>17.5</v>
      </c>
      <c r="G12" s="100" t="n">
        <f aca="false">G10*G11</f>
        <v>17.5</v>
      </c>
      <c r="H12" s="100" t="n">
        <f aca="false">H10*H11</f>
        <v>17.5</v>
      </c>
      <c r="I12" s="100" t="n">
        <f aca="false">I10*I11</f>
        <v>35</v>
      </c>
      <c r="J12" s="100" t="n">
        <f aca="false">J10*J11</f>
        <v>35</v>
      </c>
      <c r="K12" s="100" t="n">
        <f aca="false">K10*K11</f>
        <v>17.5</v>
      </c>
      <c r="L12" s="100" t="n">
        <f aca="false">L10*L11</f>
        <v>17.5</v>
      </c>
      <c r="M12" s="100" t="n">
        <f aca="false">M10*M11</f>
        <v>17.5</v>
      </c>
      <c r="N12" s="100" t="n">
        <f aca="false">N10*N11</f>
        <v>17.5</v>
      </c>
      <c r="O12" s="100" t="n">
        <f aca="false">O10*O11</f>
        <v>17.5</v>
      </c>
      <c r="P12" s="100" t="n">
        <f aca="false">P10*P11</f>
        <v>17.5</v>
      </c>
      <c r="Q12" s="100" t="n">
        <f aca="false">Q10*Q11</f>
        <v>17.5</v>
      </c>
      <c r="R12" s="100" t="n">
        <f aca="false">R10*R11</f>
        <v>17.5</v>
      </c>
      <c r="S12" s="100" t="n">
        <f aca="false">S10*S11</f>
        <v>17.5</v>
      </c>
      <c r="T12" s="100" t="n">
        <f aca="false">T10*T11</f>
        <v>17.5</v>
      </c>
      <c r="U12" s="100" t="n">
        <f aca="false">U10*U11</f>
        <v>17.5</v>
      </c>
      <c r="V12" s="100" t="n">
        <f aca="false">V10*V11</f>
        <v>17.5</v>
      </c>
      <c r="W12" s="100" t="n">
        <f aca="false">W10*W11</f>
        <v>17.5</v>
      </c>
      <c r="X12" s="100" t="n">
        <f aca="false">X10*X11</f>
        <v>17.5</v>
      </c>
      <c r="Y12" s="100" t="n">
        <f aca="false">Y10*Y11</f>
        <v>17.5</v>
      </c>
      <c r="Z12" s="100" t="n">
        <f aca="false">Z10*Z11</f>
        <v>17.5</v>
      </c>
      <c r="AA12" s="100" t="n">
        <f aca="false">AA10*AA11</f>
        <v>17.5</v>
      </c>
      <c r="AB12" s="100" t="n">
        <f aca="false">AB10*AB11</f>
        <v>17.5</v>
      </c>
      <c r="AC12" s="100" t="n">
        <f aca="false">AC10*AC11</f>
        <v>17.5</v>
      </c>
      <c r="AD12" s="100" t="n">
        <f aca="false">AD10*AD11</f>
        <v>17.5</v>
      </c>
      <c r="AE12" s="100" t="n">
        <f aca="false">AE10*AE11</f>
        <v>17.5</v>
      </c>
      <c r="AF12" s="100" t="n">
        <f aca="false">AF10*AF11</f>
        <v>17.5</v>
      </c>
      <c r="AG12" s="100" t="n">
        <f aca="false">AG10*AG11</f>
        <v>17.5</v>
      </c>
      <c r="AH12" s="100" t="n">
        <f aca="false">AH10*AH11</f>
        <v>17.5</v>
      </c>
    </row>
    <row r="13" customFormat="false" ht="15" hidden="false" customHeight="false" outlineLevel="0" collapsed="false">
      <c r="A13" s="44" t="s">
        <v>914</v>
      </c>
      <c r="B13" s="45" t="s">
        <v>57</v>
      </c>
      <c r="C13" s="81" t="n">
        <f aca="false">Train_In!$C$6</f>
        <v>0.25</v>
      </c>
      <c r="D13" s="81" t="n">
        <f aca="false">Train_In!$C$6</f>
        <v>0.25</v>
      </c>
      <c r="E13" s="60" t="n">
        <v>0.15</v>
      </c>
      <c r="F13" s="60" t="n">
        <v>0.15</v>
      </c>
      <c r="G13" s="60" t="n">
        <v>0.4</v>
      </c>
      <c r="H13" s="60" t="n">
        <v>0.4</v>
      </c>
      <c r="I13" s="81" t="n">
        <f aca="false">Train_In!$C$6</f>
        <v>0.25</v>
      </c>
      <c r="J13" s="81" t="n">
        <f aca="false">Train_In!$C$6</f>
        <v>0.25</v>
      </c>
      <c r="K13" s="81" t="n">
        <f aca="false">Train_In!$C$6</f>
        <v>0.25</v>
      </c>
      <c r="L13" s="81" t="n">
        <f aca="false">Train_In!$C$6</f>
        <v>0.25</v>
      </c>
      <c r="M13" s="81" t="n">
        <f aca="false">Train_In!$C$6</f>
        <v>0.25</v>
      </c>
      <c r="N13" s="81" t="n">
        <f aca="false">Train_In!$C$6</f>
        <v>0.25</v>
      </c>
      <c r="O13" s="81" t="n">
        <f aca="false">Train_In!$C$6</f>
        <v>0.25</v>
      </c>
      <c r="P13" s="81" t="n">
        <f aca="false">Train_In!$C$6</f>
        <v>0.25</v>
      </c>
      <c r="Q13" s="81" t="n">
        <f aca="false">Train_In!$C$6</f>
        <v>0.25</v>
      </c>
      <c r="R13" s="81" t="n">
        <f aca="false">Train_In!$C$6</f>
        <v>0.25</v>
      </c>
      <c r="S13" s="81" t="n">
        <f aca="false">Train_In!$C$6</f>
        <v>0.25</v>
      </c>
      <c r="T13" s="81" t="n">
        <f aca="false">Train_In!$C$6</f>
        <v>0.25</v>
      </c>
      <c r="U13" s="81" t="n">
        <f aca="false">Train_In!$C$6</f>
        <v>0.25</v>
      </c>
      <c r="V13" s="81" t="n">
        <f aca="false">Train_In!$C$6</f>
        <v>0.25</v>
      </c>
      <c r="W13" s="81" t="n">
        <f aca="false">Train_In!$C$6</f>
        <v>0.25</v>
      </c>
      <c r="X13" s="81" t="n">
        <f aca="false">Train_In!$C$6</f>
        <v>0.25</v>
      </c>
      <c r="Y13" s="81" t="n">
        <f aca="false">Train_In!$C$6</f>
        <v>0.25</v>
      </c>
      <c r="Z13" s="81" t="n">
        <f aca="false">Train_In!$C$6</f>
        <v>0.25</v>
      </c>
      <c r="AA13" s="81" t="n">
        <f aca="false">Train_In!$C$6</f>
        <v>0.25</v>
      </c>
      <c r="AB13" s="81" t="n">
        <f aca="false">Train_In!$C$6</f>
        <v>0.25</v>
      </c>
      <c r="AC13" s="81" t="n">
        <f aca="false">Train_In!$C$6</f>
        <v>0.25</v>
      </c>
      <c r="AD13" s="81" t="n">
        <f aca="false">Train_In!$C$6</f>
        <v>0.25</v>
      </c>
      <c r="AE13" s="81" t="n">
        <f aca="false">Train_In!$C$6</f>
        <v>0.25</v>
      </c>
      <c r="AF13" s="81" t="n">
        <f aca="false">Train_In!$C$6</f>
        <v>0.25</v>
      </c>
      <c r="AG13" s="81" t="n">
        <f aca="false">Train_In!$C$6</f>
        <v>0.25</v>
      </c>
      <c r="AH13" s="81" t="n">
        <f aca="false">Train_In!$C$6</f>
        <v>0.25</v>
      </c>
    </row>
    <row r="14" customFormat="false" ht="15" hidden="false" customHeight="false" outlineLevel="0" collapsed="false">
      <c r="A14" s="45" t="s">
        <v>915</v>
      </c>
      <c r="B14" s="45" t="s">
        <v>61</v>
      </c>
      <c r="C14" s="79" t="n">
        <f aca="false">INDEX(Train_In!$C$21:$G$21,C$6)</f>
        <v>0.9</v>
      </c>
      <c r="D14" s="79" t="n">
        <f aca="false">INDEX(Train_In!$C$21:$G$21,D$6)</f>
        <v>0.9</v>
      </c>
      <c r="E14" s="79" t="n">
        <f aca="false">INDEX(Train_In!$C$21:$G$21,E$6)</f>
        <v>0.9</v>
      </c>
      <c r="F14" s="79" t="n">
        <f aca="false">INDEX(Train_In!$C$21:$G$21,F$6)</f>
        <v>0.9</v>
      </c>
      <c r="G14" s="79" t="n">
        <f aca="false">INDEX(Train_In!$C$21:$G$21,G$6)</f>
        <v>0.9</v>
      </c>
      <c r="H14" s="79" t="n">
        <f aca="false">INDEX(Train_In!$C$21:$G$21,H$6)</f>
        <v>0.9</v>
      </c>
      <c r="I14" s="79" t="n">
        <f aca="false">INDEX(Train_In!$C$21:$G$21,I$6)</f>
        <v>0.9</v>
      </c>
      <c r="J14" s="79" t="n">
        <f aca="false">INDEX(Train_In!$C$21:$G$21,J$6)</f>
        <v>0.9</v>
      </c>
      <c r="K14" s="79" t="n">
        <f aca="false">INDEX(Train_In!$C$21:$G$21,K$6)</f>
        <v>0.9</v>
      </c>
      <c r="L14" s="79" t="n">
        <f aca="false">INDEX(Train_In!$C$21:$G$21,L$6)</f>
        <v>0.9</v>
      </c>
      <c r="M14" s="79" t="n">
        <f aca="false">INDEX(Train_In!$C$21:$G$21,M$6)</f>
        <v>0.9</v>
      </c>
      <c r="N14" s="79" t="n">
        <f aca="false">INDEX(Train_In!$C$21:$G$21,N$6)</f>
        <v>0.9</v>
      </c>
      <c r="O14" s="79" t="n">
        <f aca="false">INDEX(Train_In!$C$21:$G$21,O$6)</f>
        <v>0.9</v>
      </c>
      <c r="P14" s="79" t="n">
        <f aca="false">INDEX(Train_In!$C$21:$G$21,P$6)</f>
        <v>0.9</v>
      </c>
      <c r="Q14" s="79" t="n">
        <f aca="false">INDEX(Train_In!$C$21:$G$21,Q$6)</f>
        <v>0.9</v>
      </c>
      <c r="R14" s="79" t="n">
        <f aca="false">INDEX(Train_In!$C$21:$G$21,R$6)</f>
        <v>0.9</v>
      </c>
      <c r="S14" s="79" t="n">
        <f aca="false">INDEX(Train_In!$C$21:$G$21,S$6)</f>
        <v>0.9</v>
      </c>
      <c r="T14" s="79" t="n">
        <f aca="false">INDEX(Train_In!$C$21:$G$21,T$6)</f>
        <v>0.9</v>
      </c>
      <c r="U14" s="79" t="n">
        <f aca="false">INDEX(Train_In!$C$21:$G$21,U$6)</f>
        <v>0.9</v>
      </c>
      <c r="V14" s="79" t="n">
        <f aca="false">INDEX(Train_In!$C$21:$G$21,V$6)</f>
        <v>0.9</v>
      </c>
      <c r="W14" s="79" t="n">
        <f aca="false">INDEX(Train_In!$C$21:$G$21,W$6)</f>
        <v>0.9</v>
      </c>
      <c r="X14" s="79" t="n">
        <f aca="false">INDEX(Train_In!$C$21:$G$21,X$6)</f>
        <v>0.9</v>
      </c>
      <c r="Y14" s="79" t="n">
        <f aca="false">INDEX(Train_In!$C$21:$G$21,Y$6)</f>
        <v>0.9</v>
      </c>
      <c r="Z14" s="79" t="n">
        <f aca="false">INDEX(Train_In!$C$21:$G$21,Z$6)</f>
        <v>0.9</v>
      </c>
      <c r="AA14" s="79" t="n">
        <f aca="false">INDEX(Train_In!$C$21:$G$21,AA$6)</f>
        <v>0.9</v>
      </c>
      <c r="AB14" s="79" t="n">
        <f aca="false">INDEX(Train_In!$C$21:$G$21,AB$6)</f>
        <v>0.9</v>
      </c>
      <c r="AC14" s="79" t="n">
        <f aca="false">INDEX(Train_In!$C$21:$G$21,AC$6)</f>
        <v>0.9</v>
      </c>
      <c r="AD14" s="79" t="n">
        <f aca="false">INDEX(Train_In!$C$21:$G$21,AD$6)</f>
        <v>0.9</v>
      </c>
      <c r="AE14" s="79" t="n">
        <f aca="false">INDEX(Train_In!$C$21:$G$21,AE$6)</f>
        <v>0.9</v>
      </c>
      <c r="AF14" s="79" t="n">
        <f aca="false">INDEX(Train_In!$C$21:$G$21,AF$6)</f>
        <v>0.9</v>
      </c>
      <c r="AG14" s="79" t="n">
        <f aca="false">INDEX(Train_In!$C$21:$G$21,AG$6)</f>
        <v>0.9</v>
      </c>
      <c r="AH14" s="79" t="n">
        <f aca="false">INDEX(Train_In!$C$21:$G$21,AH$6)</f>
        <v>0.9</v>
      </c>
    </row>
    <row r="15" customFormat="false" ht="15" hidden="false" customHeight="false" outlineLevel="0" collapsed="false">
      <c r="A15" s="44" t="s">
        <v>916</v>
      </c>
      <c r="B15" s="45" t="s">
        <v>61</v>
      </c>
      <c r="C15" s="79" t="n">
        <f aca="false">Tech_Registry!$E$26</f>
        <v>1</v>
      </c>
      <c r="D15" s="79" t="n">
        <f aca="false">Tech_Registry!$E$26</f>
        <v>1</v>
      </c>
      <c r="E15" s="79" t="n">
        <f aca="false">Tech_Registry!$E$26</f>
        <v>1</v>
      </c>
      <c r="F15" s="79" t="n">
        <f aca="false">Tech_Registry!$E$26</f>
        <v>1</v>
      </c>
      <c r="G15" s="79" t="n">
        <f aca="false">Tech_Registry!$E$26</f>
        <v>1</v>
      </c>
      <c r="H15" s="79" t="n">
        <f aca="false">Tech_Registry!$E$26</f>
        <v>1</v>
      </c>
      <c r="I15" s="79" t="n">
        <f aca="false">Tech_Registry!$E$26</f>
        <v>1</v>
      </c>
      <c r="J15" s="79" t="n">
        <f aca="false">Tech_Registry!$E$26</f>
        <v>1</v>
      </c>
      <c r="K15" s="79" t="n">
        <f aca="false">Tech_Registry!$E$26</f>
        <v>1</v>
      </c>
      <c r="L15" s="79" t="n">
        <f aca="false">Tech_Registry!$E$26</f>
        <v>1</v>
      </c>
      <c r="M15" s="79" t="n">
        <f aca="false">Tech_Registry!$E$26</f>
        <v>1</v>
      </c>
      <c r="N15" s="79" t="n">
        <f aca="false">Tech_Registry!$E$26</f>
        <v>1</v>
      </c>
      <c r="O15" s="79" t="n">
        <f aca="false">Tech_Registry!$E$26</f>
        <v>1</v>
      </c>
      <c r="P15" s="79" t="n">
        <f aca="false">Tech_Registry!$E$26</f>
        <v>1</v>
      </c>
      <c r="Q15" s="79" t="n">
        <f aca="false">Tech_Registry!$E$26</f>
        <v>1</v>
      </c>
      <c r="R15" s="79" t="n">
        <f aca="false">Tech_Registry!$E$26</f>
        <v>1</v>
      </c>
      <c r="S15" s="79" t="n">
        <f aca="false">Tech_Registry!$E$26</f>
        <v>1</v>
      </c>
      <c r="T15" s="79" t="n">
        <f aca="false">Tech_Registry!$E$26</f>
        <v>1</v>
      </c>
      <c r="U15" s="79" t="n">
        <f aca="false">Tech_Registry!$E$26</f>
        <v>1</v>
      </c>
      <c r="V15" s="79" t="n">
        <f aca="false">Tech_Registry!$E$26</f>
        <v>1</v>
      </c>
      <c r="W15" s="79" t="n">
        <f aca="false">Tech_Registry!$E$26</f>
        <v>1</v>
      </c>
      <c r="X15" s="79" t="n">
        <f aca="false">Tech_Registry!$E$26</f>
        <v>1</v>
      </c>
      <c r="Y15" s="79" t="n">
        <f aca="false">Tech_Registry!$E$26</f>
        <v>1</v>
      </c>
      <c r="Z15" s="79" t="n">
        <f aca="false">Tech_Registry!$E$26</f>
        <v>1</v>
      </c>
      <c r="AA15" s="79" t="n">
        <f aca="false">Tech_Registry!$E$26</f>
        <v>1</v>
      </c>
      <c r="AB15" s="79" t="n">
        <f aca="false">Tech_Registry!$E$26</f>
        <v>1</v>
      </c>
      <c r="AC15" s="79" t="n">
        <f aca="false">Tech_Registry!$E$26</f>
        <v>1</v>
      </c>
      <c r="AD15" s="79" t="n">
        <f aca="false">Tech_Registry!$E$26</f>
        <v>1</v>
      </c>
      <c r="AE15" s="79" t="n">
        <f aca="false">Tech_Registry!$E$26</f>
        <v>1</v>
      </c>
      <c r="AF15" s="79" t="n">
        <f aca="false">Tech_Registry!$E$26</f>
        <v>1</v>
      </c>
      <c r="AG15" s="79" t="n">
        <f aca="false">Tech_Registry!$E$26</f>
        <v>1</v>
      </c>
      <c r="AH15" s="79" t="n">
        <f aca="false">Tech_Registry!$E$26</f>
        <v>1</v>
      </c>
    </row>
    <row r="16" customFormat="false" ht="15" hidden="false" customHeight="false" outlineLevel="0" collapsed="false">
      <c r="A16" s="44" t="s">
        <v>917</v>
      </c>
      <c r="B16" s="45" t="s">
        <v>57</v>
      </c>
      <c r="C16" s="87" t="n">
        <f aca="false">C13*C14*C15</f>
        <v>0.225</v>
      </c>
      <c r="D16" s="87" t="n">
        <f aca="false">D13*D14*D15</f>
        <v>0.225</v>
      </c>
      <c r="E16" s="87" t="n">
        <f aca="false">E13*E14*E15</f>
        <v>0.135</v>
      </c>
      <c r="F16" s="87" t="n">
        <f aca="false">F13*F14*F15</f>
        <v>0.135</v>
      </c>
      <c r="G16" s="87" t="n">
        <f aca="false">G13*G14*G15</f>
        <v>0.36</v>
      </c>
      <c r="H16" s="87" t="n">
        <f aca="false">H13*H14*H15</f>
        <v>0.36</v>
      </c>
      <c r="I16" s="87" t="n">
        <f aca="false">I13*I14*I15</f>
        <v>0.225</v>
      </c>
      <c r="J16" s="87" t="n">
        <f aca="false">J13*J14*J15</f>
        <v>0.225</v>
      </c>
      <c r="K16" s="87" t="n">
        <f aca="false">K13*K14*K15</f>
        <v>0.225</v>
      </c>
      <c r="L16" s="87" t="n">
        <f aca="false">L13*L14*L15</f>
        <v>0.225</v>
      </c>
      <c r="M16" s="87" t="n">
        <f aca="false">M13*M14*M15</f>
        <v>0.225</v>
      </c>
      <c r="N16" s="87" t="n">
        <f aca="false">N13*N14*N15</f>
        <v>0.225</v>
      </c>
      <c r="O16" s="87" t="n">
        <f aca="false">O13*O14*O15</f>
        <v>0.225</v>
      </c>
      <c r="P16" s="87" t="n">
        <f aca="false">P13*P14*P15</f>
        <v>0.225</v>
      </c>
      <c r="Q16" s="87" t="n">
        <f aca="false">Q13*Q14*Q15</f>
        <v>0.225</v>
      </c>
      <c r="R16" s="87" t="n">
        <f aca="false">R13*R14*R15</f>
        <v>0.225</v>
      </c>
      <c r="S16" s="87" t="n">
        <f aca="false">S13*S14*S15</f>
        <v>0.225</v>
      </c>
      <c r="T16" s="87" t="n">
        <f aca="false">T13*T14*T15</f>
        <v>0.225</v>
      </c>
      <c r="U16" s="87" t="n">
        <f aca="false">U13*U14*U15</f>
        <v>0.225</v>
      </c>
      <c r="V16" s="87" t="n">
        <f aca="false">V13*V14*V15</f>
        <v>0.225</v>
      </c>
      <c r="W16" s="87" t="n">
        <f aca="false">W13*W14*W15</f>
        <v>0.225</v>
      </c>
      <c r="X16" s="87" t="n">
        <f aca="false">X13*X14*X15</f>
        <v>0.225</v>
      </c>
      <c r="Y16" s="87" t="n">
        <f aca="false">Y13*Y14*Y15</f>
        <v>0.225</v>
      </c>
      <c r="Z16" s="87" t="n">
        <f aca="false">Z13*Z14*Z15</f>
        <v>0.225</v>
      </c>
      <c r="AA16" s="87" t="n">
        <f aca="false">AA13*AA14*AA15</f>
        <v>0.225</v>
      </c>
      <c r="AB16" s="87" t="n">
        <f aca="false">AB13*AB14*AB15</f>
        <v>0.225</v>
      </c>
      <c r="AC16" s="87" t="n">
        <f aca="false">AC13*AC14*AC15</f>
        <v>0.225</v>
      </c>
      <c r="AD16" s="87" t="n">
        <f aca="false">AD13*AD14*AD15</f>
        <v>0.225</v>
      </c>
      <c r="AE16" s="87" t="n">
        <f aca="false">AE13*AE14*AE15</f>
        <v>0.225</v>
      </c>
      <c r="AF16" s="87" t="n">
        <f aca="false">AF13*AF14*AF15</f>
        <v>0.225</v>
      </c>
      <c r="AG16" s="87" t="n">
        <f aca="false">AG13*AG14*AG15</f>
        <v>0.225</v>
      </c>
      <c r="AH16" s="87" t="n">
        <f aca="false">AH13*AH14*AH15</f>
        <v>0.225</v>
      </c>
    </row>
    <row r="17" customFormat="false" ht="15" hidden="false" customHeight="false" outlineLevel="0" collapsed="false">
      <c r="A17" s="45" t="s">
        <v>918</v>
      </c>
      <c r="B17" s="45" t="s">
        <v>57</v>
      </c>
      <c r="C17" s="81" t="n">
        <f aca="false">Train_In!$C$7</f>
        <v>0.9</v>
      </c>
      <c r="D17" s="81" t="n">
        <f aca="false">Train_In!$C$7</f>
        <v>0.9</v>
      </c>
      <c r="E17" s="81" t="n">
        <f aca="false">Train_In!$C$7</f>
        <v>0.9</v>
      </c>
      <c r="F17" s="81" t="n">
        <f aca="false">Train_In!$C$7</f>
        <v>0.9</v>
      </c>
      <c r="G17" s="81" t="n">
        <f aca="false">Train_In!$C$7</f>
        <v>0.9</v>
      </c>
      <c r="H17" s="81" t="n">
        <f aca="false">Train_In!$C$7</f>
        <v>0.9</v>
      </c>
      <c r="I17" s="81" t="n">
        <f aca="false">Train_In!$C$7</f>
        <v>0.9</v>
      </c>
      <c r="J17" s="81" t="n">
        <f aca="false">Train_In!$C$7</f>
        <v>0.9</v>
      </c>
      <c r="K17" s="81" t="n">
        <f aca="false">Train_In!$C$7</f>
        <v>0.9</v>
      </c>
      <c r="L17" s="81" t="n">
        <f aca="false">Train_In!$C$7</f>
        <v>0.9</v>
      </c>
      <c r="M17" s="81" t="n">
        <f aca="false">Train_In!$C$7</f>
        <v>0.9</v>
      </c>
      <c r="N17" s="81" t="n">
        <f aca="false">Train_In!$C$7</f>
        <v>0.9</v>
      </c>
      <c r="O17" s="81" t="n">
        <f aca="false">Train_In!$C$7</f>
        <v>0.9</v>
      </c>
      <c r="P17" s="81" t="n">
        <f aca="false">Train_In!$C$7</f>
        <v>0.9</v>
      </c>
      <c r="Q17" s="81" t="n">
        <f aca="false">Train_In!$C$7</f>
        <v>0.9</v>
      </c>
      <c r="R17" s="81" t="n">
        <f aca="false">Train_In!$C$7</f>
        <v>0.9</v>
      </c>
      <c r="S17" s="81" t="n">
        <f aca="false">Train_In!$C$7</f>
        <v>0.9</v>
      </c>
      <c r="T17" s="81" t="n">
        <f aca="false">Train_In!$C$7</f>
        <v>0.9</v>
      </c>
      <c r="U17" s="81" t="n">
        <f aca="false">Train_In!$C$7</f>
        <v>0.9</v>
      </c>
      <c r="V17" s="81" t="n">
        <f aca="false">Train_In!$C$7</f>
        <v>0.9</v>
      </c>
      <c r="W17" s="81" t="n">
        <f aca="false">Train_In!$C$7</f>
        <v>0.9</v>
      </c>
      <c r="X17" s="81" t="n">
        <f aca="false">Train_In!$C$7</f>
        <v>0.9</v>
      </c>
      <c r="Y17" s="81" t="n">
        <f aca="false">Train_In!$C$7</f>
        <v>0.9</v>
      </c>
      <c r="Z17" s="81" t="n">
        <f aca="false">Train_In!$C$7</f>
        <v>0.9</v>
      </c>
      <c r="AA17" s="81" t="n">
        <f aca="false">Train_In!$C$7</f>
        <v>0.9</v>
      </c>
      <c r="AB17" s="81" t="n">
        <f aca="false">Train_In!$C$7</f>
        <v>0.9</v>
      </c>
      <c r="AC17" s="81" t="n">
        <f aca="false">Train_In!$C$7</f>
        <v>0.9</v>
      </c>
      <c r="AD17" s="81" t="n">
        <f aca="false">Train_In!$C$7</f>
        <v>0.9</v>
      </c>
      <c r="AE17" s="81" t="n">
        <f aca="false">Train_In!$C$7</f>
        <v>0.9</v>
      </c>
      <c r="AF17" s="81" t="n">
        <f aca="false">Train_In!$C$7</f>
        <v>0.9</v>
      </c>
      <c r="AG17" s="60" t="n">
        <v>0.8</v>
      </c>
      <c r="AH17" s="60" t="n">
        <v>0.8</v>
      </c>
    </row>
    <row r="18" customFormat="false" ht="15" hidden="false" customHeight="false" outlineLevel="0" collapsed="false">
      <c r="A18" s="44" t="s">
        <v>919</v>
      </c>
      <c r="B18" s="44" t="s">
        <v>643</v>
      </c>
      <c r="C18" s="76" t="n">
        <f aca="false">INDEX(DC_Cost!$C$14:$Q$14,3*(C$6-1)+2)</f>
        <v>291744</v>
      </c>
      <c r="D18" s="76" t="n">
        <f aca="false">INDEX(DC_Cost!$C$14:$Q$14,3*(D$6-1)+2)</f>
        <v>291744</v>
      </c>
      <c r="E18" s="76" t="n">
        <f aca="false">INDEX(DC_Cost!$C$14:$Q$14,3*(E$6-1)+2)</f>
        <v>291744</v>
      </c>
      <c r="F18" s="76" t="n">
        <f aca="false">INDEX(DC_Cost!$C$14:$Q$14,3*(F$6-1)+2)</f>
        <v>291744</v>
      </c>
      <c r="G18" s="76" t="n">
        <f aca="false">INDEX(DC_Cost!$C$14:$Q$14,3*(G$6-1)+2)</f>
        <v>291744</v>
      </c>
      <c r="H18" s="76" t="n">
        <f aca="false">INDEX(DC_Cost!$C$14:$Q$14,3*(H$6-1)+2)</f>
        <v>291744</v>
      </c>
      <c r="I18" s="76" t="n">
        <f aca="false">INDEX(DC_Cost!$C$14:$Q$14,3*(I$6-1)+2)</f>
        <v>291744</v>
      </c>
      <c r="J18" s="76" t="n">
        <f aca="false">INDEX(DC_Cost!$C$14:$Q$14,3*(J$6-1)+2)</f>
        <v>291744</v>
      </c>
      <c r="K18" s="76" t="n">
        <f aca="false">INDEX(DC_Cost!$C$14:$Q$14,3*(K$6-1)+2)</f>
        <v>291744</v>
      </c>
      <c r="L18" s="76" t="n">
        <f aca="false">INDEX(DC_Cost!$C$14:$Q$14,3*(L$6-1)+2)</f>
        <v>291744</v>
      </c>
      <c r="M18" s="76" t="n">
        <f aca="false">INDEX(DC_Cost!$C$14:$Q$14,3*(M$6-1)+2)</f>
        <v>291744</v>
      </c>
      <c r="N18" s="76" t="n">
        <f aca="false">INDEX(DC_Cost!$C$14:$Q$14,3*(N$6-1)+2)</f>
        <v>291744</v>
      </c>
      <c r="O18" s="76" t="n">
        <f aca="false">INDEX(DC_Cost!$C$14:$Q$14,3*(O$6-1)+2)</f>
        <v>291744</v>
      </c>
      <c r="P18" s="76" t="n">
        <f aca="false">INDEX(DC_Cost!$C$14:$Q$14,3*(P$6-1)+2)</f>
        <v>291744</v>
      </c>
      <c r="Q18" s="76" t="n">
        <f aca="false">INDEX(DC_Cost!$C$14:$Q$14,3*(Q$6-1)+2)</f>
        <v>291744</v>
      </c>
      <c r="R18" s="76" t="n">
        <f aca="false">INDEX(DC_Cost!$C$14:$Q$14,3*(R$6-1)+2)</f>
        <v>291744</v>
      </c>
      <c r="S18" s="76" t="n">
        <f aca="false">INDEX(DC_Cost!$C$14:$Q$14,3*(S$6-1)+2)</f>
        <v>291744</v>
      </c>
      <c r="T18" s="76" t="n">
        <f aca="false">INDEX(DC_Cost!$C$14:$Q$14,3*(T$6-1)+2)</f>
        <v>291744</v>
      </c>
      <c r="U18" s="76" t="n">
        <f aca="false">INDEX(DC_Cost!$C$14:$Q$14,3*(U$6-1)+2)</f>
        <v>291744</v>
      </c>
      <c r="V18" s="76" t="n">
        <f aca="false">INDEX(DC_Cost!$C$14:$Q$14,3*(V$6-1)+2)</f>
        <v>291744</v>
      </c>
      <c r="W18" s="76" t="n">
        <f aca="false">INDEX(DC_Cost!$C$14:$Q$14,3*(W$6-1)+2)</f>
        <v>291744</v>
      </c>
      <c r="X18" s="76" t="n">
        <f aca="false">INDEX(DC_Cost!$C$14:$Q$14,3*(X$6-1)+2)</f>
        <v>291744</v>
      </c>
      <c r="Y18" s="76" t="n">
        <f aca="false">INDEX(DC_Cost!$C$14:$Q$14,3*(Y$6-1)+2)</f>
        <v>291744</v>
      </c>
      <c r="Z18" s="76" t="n">
        <f aca="false">INDEX(DC_Cost!$C$14:$Q$14,3*(Z$6-1)+2)</f>
        <v>291744</v>
      </c>
      <c r="AA18" s="76" t="n">
        <f aca="false">INDEX(DC_Cost!$C$14:$Q$14,3*(AA$6-1)+2)</f>
        <v>291744</v>
      </c>
      <c r="AB18" s="76" t="n">
        <f aca="false">INDEX(DC_Cost!$C$14:$Q$14,3*(AB$6-1)+2)</f>
        <v>291744</v>
      </c>
      <c r="AC18" s="76" t="n">
        <f aca="false">INDEX(DC_Cost!$C$14:$Q$14,3*(AC$6-1)+2)</f>
        <v>291744</v>
      </c>
      <c r="AD18" s="76" t="n">
        <f aca="false">INDEX(DC_Cost!$C$14:$Q$14,3*(AD$6-1)+2)</f>
        <v>291744</v>
      </c>
      <c r="AE18" s="76" t="n">
        <f aca="false">INDEX(DC_Cost!$C$14:$Q$14,3*(AE$6-1)+2)</f>
        <v>291744</v>
      </c>
      <c r="AF18" s="76" t="n">
        <f aca="false">INDEX(DC_Cost!$C$14:$Q$14,3*(AF$6-1)+2)</f>
        <v>291744</v>
      </c>
      <c r="AG18" s="76" t="n">
        <f aca="false">INDEX(DC_Cost!$C$14:$Q$14,3*(AG$6-1)+2)</f>
        <v>291744</v>
      </c>
      <c r="AH18" s="76" t="n">
        <f aca="false">INDEX(DC_Cost!$C$14:$Q$14,3*(AH$6-1)+2)</f>
        <v>291744</v>
      </c>
    </row>
    <row r="19" customFormat="false" ht="15" hidden="false" customHeight="false" outlineLevel="0" collapsed="false">
      <c r="A19" s="44" t="s">
        <v>920</v>
      </c>
      <c r="B19" s="45" t="s">
        <v>760</v>
      </c>
      <c r="C19" s="77" t="n">
        <f aca="false">INDEX(DC_Cost!$C$58:$Q$58,3*(C$6-1)+2)</f>
        <v>4.71670281161092</v>
      </c>
      <c r="D19" s="77" t="n">
        <f aca="false">INDEX(DC_Cost!$C$58:$Q$58,3*(D$6-1)+2)</f>
        <v>4.71670281161092</v>
      </c>
      <c r="E19" s="77" t="n">
        <f aca="false">INDEX(DC_Cost!$C$58:$Q$58,3*(E$6-1)+2)</f>
        <v>4.71670281161092</v>
      </c>
      <c r="F19" s="77" t="n">
        <f aca="false">INDEX(DC_Cost!$C$58:$Q$58,3*(F$6-1)+2)</f>
        <v>4.71670281161092</v>
      </c>
      <c r="G19" s="77" t="n">
        <f aca="false">INDEX(DC_Cost!$C$58:$Q$58,3*(G$6-1)+2)</f>
        <v>4.71670281161092</v>
      </c>
      <c r="H19" s="77" t="n">
        <f aca="false">INDEX(DC_Cost!$C$58:$Q$58,3*(H$6-1)+2)</f>
        <v>4.71670281161092</v>
      </c>
      <c r="I19" s="77" t="n">
        <f aca="false">INDEX(DC_Cost!$C$58:$Q$58,3*(I$6-1)+2)</f>
        <v>4.71670281161092</v>
      </c>
      <c r="J19" s="77" t="n">
        <f aca="false">INDEX(DC_Cost!$C$58:$Q$58,3*(J$6-1)+2)</f>
        <v>4.71670281161092</v>
      </c>
      <c r="K19" s="77" t="n">
        <f aca="false">INDEX(DC_Cost!$C$58:$Q$58,3*(K$6-1)+2)</f>
        <v>4.71670281161092</v>
      </c>
      <c r="L19" s="77" t="n">
        <f aca="false">INDEX(DC_Cost!$C$58:$Q$58,3*(L$6-1)+2)</f>
        <v>4.71670281161092</v>
      </c>
      <c r="M19" s="77" t="n">
        <f aca="false">INDEX(DC_Cost!$C$58:$Q$58,3*(M$6-1)+2)</f>
        <v>4.71670281161092</v>
      </c>
      <c r="N19" s="77" t="n">
        <f aca="false">INDEX(DC_Cost!$C$58:$Q$58,3*(N$6-1)+2)</f>
        <v>4.71670281161092</v>
      </c>
      <c r="O19" s="77" t="n">
        <f aca="false">INDEX(DC_Cost!$C$58:$Q$58,3*(O$6-1)+2)</f>
        <v>4.71670281161092</v>
      </c>
      <c r="P19" s="77" t="n">
        <f aca="false">INDEX(DC_Cost!$C$58:$Q$58,3*(P$6-1)+2)</f>
        <v>4.71670281161092</v>
      </c>
      <c r="Q19" s="77" t="n">
        <f aca="false">INDEX(DC_Cost!$C$58:$Q$58,3*(Q$6-1)+2)</f>
        <v>4.71670281161092</v>
      </c>
      <c r="R19" s="77" t="n">
        <f aca="false">INDEX(DC_Cost!$C$58:$Q$58,3*(R$6-1)+2)</f>
        <v>4.71670281161092</v>
      </c>
      <c r="S19" s="77" t="n">
        <f aca="false">INDEX(DC_Cost!$C$58:$Q$58,3*(S$6-1)+2)</f>
        <v>4.71670281161092</v>
      </c>
      <c r="T19" s="77" t="n">
        <f aca="false">INDEX(DC_Cost!$C$58:$Q$58,3*(T$6-1)+2)</f>
        <v>4.71670281161092</v>
      </c>
      <c r="U19" s="77" t="n">
        <f aca="false">INDEX(DC_Cost!$C$58:$Q$58,3*(U$6-1)+2)</f>
        <v>4.71670281161092</v>
      </c>
      <c r="V19" s="77" t="n">
        <f aca="false">INDEX(DC_Cost!$C$58:$Q$58,3*(V$6-1)+2)</f>
        <v>4.71670281161092</v>
      </c>
      <c r="W19" s="77" t="n">
        <f aca="false">INDEX(DC_Cost!$C$58:$Q$58,3*(W$6-1)+2)</f>
        <v>4.71670281161092</v>
      </c>
      <c r="X19" s="77" t="n">
        <f aca="false">INDEX(DC_Cost!$C$58:$Q$58,3*(X$6-1)+2)</f>
        <v>4.71670281161092</v>
      </c>
      <c r="Y19" s="77" t="n">
        <f aca="false">INDEX(DC_Cost!$C$58:$Q$58,3*(Y$6-1)+2)</f>
        <v>4.71670281161092</v>
      </c>
      <c r="Z19" s="77" t="n">
        <f aca="false">INDEX(DC_Cost!$C$58:$Q$58,3*(Z$6-1)+2)</f>
        <v>4.71670281161092</v>
      </c>
      <c r="AA19" s="77" t="n">
        <f aca="false">INDEX(DC_Cost!$C$58:$Q$58,3*(AA$6-1)+2)</f>
        <v>4.71670281161092</v>
      </c>
      <c r="AB19" s="77" t="n">
        <f aca="false">INDEX(DC_Cost!$C$58:$Q$58,3*(AB$6-1)+2)</f>
        <v>4.71670281161092</v>
      </c>
      <c r="AC19" s="77" t="n">
        <f aca="false">INDEX(DC_Cost!$C$58:$Q$58,3*(AC$6-1)+2)</f>
        <v>4.71670281161092</v>
      </c>
      <c r="AD19" s="77" t="n">
        <f aca="false">INDEX(DC_Cost!$C$58:$Q$58,3*(AD$6-1)+2)</f>
        <v>4.71670281161092</v>
      </c>
      <c r="AE19" s="77" t="n">
        <f aca="false">INDEX(DC_Cost!$C$58:$Q$58,3*(AE$6-1)+2)</f>
        <v>4.71670281161092</v>
      </c>
      <c r="AF19" s="77" t="n">
        <f aca="false">INDEX(DC_Cost!$C$58:$Q$58,3*(AF$6-1)+2)</f>
        <v>4.71670281161092</v>
      </c>
      <c r="AG19" s="77" t="n">
        <f aca="false">INDEX(DC_Cost!$C$58:$Q$58,3*(AG$6-1)+2)</f>
        <v>4.71670281161092</v>
      </c>
      <c r="AH19" s="77" t="n">
        <f aca="false">INDEX(DC_Cost!$C$58:$Q$58,3*(AH$6-1)+2)</f>
        <v>4.71670281161092</v>
      </c>
    </row>
    <row r="20" customFormat="false" ht="15" hidden="false" customHeight="false" outlineLevel="0" collapsed="false">
      <c r="A20" s="44" t="s">
        <v>921</v>
      </c>
      <c r="B20" s="45" t="s">
        <v>760</v>
      </c>
      <c r="C20" s="77" t="n">
        <f aca="false">INDEX(DC_Cost!$C$57:$Q$57,3*(C$6-1)+2)</f>
        <v>3.51747354574866</v>
      </c>
      <c r="D20" s="77" t="n">
        <f aca="false">INDEX(DC_Cost!$C$57:$Q$57,3*(D$6-1)+2)</f>
        <v>3.51747354574866</v>
      </c>
      <c r="E20" s="77" t="n">
        <f aca="false">INDEX(DC_Cost!$C$57:$Q$57,3*(E$6-1)+2)</f>
        <v>3.51747354574866</v>
      </c>
      <c r="F20" s="77" t="n">
        <f aca="false">INDEX(DC_Cost!$C$57:$Q$57,3*(F$6-1)+2)</f>
        <v>3.51747354574866</v>
      </c>
      <c r="G20" s="77" t="n">
        <f aca="false">INDEX(DC_Cost!$C$57:$Q$57,3*(G$6-1)+2)</f>
        <v>3.51747354574866</v>
      </c>
      <c r="H20" s="77" t="n">
        <f aca="false">INDEX(DC_Cost!$C$57:$Q$57,3*(H$6-1)+2)</f>
        <v>3.51747354574866</v>
      </c>
      <c r="I20" s="77" t="n">
        <f aca="false">INDEX(DC_Cost!$C$57:$Q$57,3*(I$6-1)+2)</f>
        <v>3.51747354574866</v>
      </c>
      <c r="J20" s="77" t="n">
        <f aca="false">INDEX(DC_Cost!$C$57:$Q$57,3*(J$6-1)+2)</f>
        <v>3.51747354574866</v>
      </c>
      <c r="K20" s="77" t="n">
        <f aca="false">INDEX(DC_Cost!$C$57:$Q$57,3*(K$6-1)+2)</f>
        <v>3.51747354574866</v>
      </c>
      <c r="L20" s="77" t="n">
        <f aca="false">INDEX(DC_Cost!$C$57:$Q$57,3*(L$6-1)+2)</f>
        <v>3.51747354574866</v>
      </c>
      <c r="M20" s="77" t="n">
        <f aca="false">INDEX(DC_Cost!$C$57:$Q$57,3*(M$6-1)+2)</f>
        <v>3.51747354574866</v>
      </c>
      <c r="N20" s="77" t="n">
        <f aca="false">INDEX(DC_Cost!$C$57:$Q$57,3*(N$6-1)+2)</f>
        <v>3.51747354574866</v>
      </c>
      <c r="O20" s="77" t="n">
        <f aca="false">INDEX(DC_Cost!$C$57:$Q$57,3*(O$6-1)+2)</f>
        <v>3.51747354574866</v>
      </c>
      <c r="P20" s="77" t="n">
        <f aca="false">INDEX(DC_Cost!$C$57:$Q$57,3*(P$6-1)+2)</f>
        <v>3.51747354574866</v>
      </c>
      <c r="Q20" s="77" t="n">
        <f aca="false">INDEX(DC_Cost!$C$57:$Q$57,3*(Q$6-1)+2)</f>
        <v>3.51747354574866</v>
      </c>
      <c r="R20" s="77" t="n">
        <f aca="false">INDEX(DC_Cost!$C$57:$Q$57,3*(R$6-1)+2)</f>
        <v>3.51747354574866</v>
      </c>
      <c r="S20" s="77" t="n">
        <f aca="false">INDEX(DC_Cost!$C$57:$Q$57,3*(S$6-1)+2)</f>
        <v>3.51747354574866</v>
      </c>
      <c r="T20" s="77" t="n">
        <f aca="false">INDEX(DC_Cost!$C$57:$Q$57,3*(T$6-1)+2)</f>
        <v>3.51747354574866</v>
      </c>
      <c r="U20" s="77" t="n">
        <f aca="false">INDEX(DC_Cost!$C$57:$Q$57,3*(U$6-1)+2)</f>
        <v>3.51747354574866</v>
      </c>
      <c r="V20" s="77" t="n">
        <f aca="false">INDEX(DC_Cost!$C$57:$Q$57,3*(V$6-1)+2)</f>
        <v>3.51747354574866</v>
      </c>
      <c r="W20" s="77" t="n">
        <f aca="false">INDEX(DC_Cost!$C$57:$Q$57,3*(W$6-1)+2)</f>
        <v>3.51747354574866</v>
      </c>
      <c r="X20" s="77" t="n">
        <f aca="false">INDEX(DC_Cost!$C$57:$Q$57,3*(X$6-1)+2)</f>
        <v>3.51747354574866</v>
      </c>
      <c r="Y20" s="77" t="n">
        <f aca="false">INDEX(DC_Cost!$C$57:$Q$57,3*(Y$6-1)+2)</f>
        <v>3.51747354574866</v>
      </c>
      <c r="Z20" s="77" t="n">
        <f aca="false">INDEX(DC_Cost!$C$57:$Q$57,3*(Z$6-1)+2)</f>
        <v>3.51747354574866</v>
      </c>
      <c r="AA20" s="77" t="n">
        <f aca="false">INDEX(DC_Cost!$C$57:$Q$57,3*(AA$6-1)+2)</f>
        <v>3.51747354574866</v>
      </c>
      <c r="AB20" s="77" t="n">
        <f aca="false">INDEX(DC_Cost!$C$57:$Q$57,3*(AB$6-1)+2)</f>
        <v>3.51747354574866</v>
      </c>
      <c r="AC20" s="77" t="n">
        <f aca="false">INDEX(DC_Cost!$C$57:$Q$57,3*(AC$6-1)+2)</f>
        <v>3.51747354574866</v>
      </c>
      <c r="AD20" s="77" t="n">
        <f aca="false">INDEX(DC_Cost!$C$57:$Q$57,3*(AD$6-1)+2)</f>
        <v>3.51747354574866</v>
      </c>
      <c r="AE20" s="77" t="n">
        <f aca="false">INDEX(DC_Cost!$C$57:$Q$57,3*(AE$6-1)+2)</f>
        <v>3.51747354574866</v>
      </c>
      <c r="AF20" s="77" t="n">
        <f aca="false">INDEX(DC_Cost!$C$57:$Q$57,3*(AF$6-1)+2)</f>
        <v>3.51747354574866</v>
      </c>
      <c r="AG20" s="77" t="n">
        <f aca="false">INDEX(DC_Cost!$C$57:$Q$57,3*(AG$6-1)+2)</f>
        <v>3.51747354574866</v>
      </c>
      <c r="AH20" s="77" t="n">
        <f aca="false">INDEX(DC_Cost!$C$57:$Q$57,3*(AH$6-1)+2)</f>
        <v>3.51747354574866</v>
      </c>
    </row>
    <row r="21" customFormat="false" ht="15" hidden="false" customHeight="false" outlineLevel="0" collapsed="false">
      <c r="A21" s="72" t="s">
        <v>652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</row>
    <row r="22" customFormat="false" ht="15" hidden="false" customHeight="false" outlineLevel="0" collapsed="false">
      <c r="A22" s="44" t="s">
        <v>216</v>
      </c>
      <c r="B22" s="45" t="s">
        <v>213</v>
      </c>
      <c r="C22" s="76" t="n">
        <f aca="false">INDEX(Arch!$C$7:$E$7,C$7)</f>
        <v>49</v>
      </c>
      <c r="D22" s="76" t="n">
        <f aca="false">INDEX(Arch!$C$7:$E$7,D$7)</f>
        <v>180</v>
      </c>
      <c r="E22" s="76" t="n">
        <f aca="false">INDEX(Arch!$C$7:$E$7,E$7)</f>
        <v>49</v>
      </c>
      <c r="F22" s="76" t="n">
        <f aca="false">INDEX(Arch!$C$7:$E$7,F$7)</f>
        <v>180</v>
      </c>
      <c r="G22" s="76" t="n">
        <f aca="false">INDEX(Arch!$C$7:$E$7,G$7)</f>
        <v>49</v>
      </c>
      <c r="H22" s="76" t="n">
        <f aca="false">INDEX(Arch!$C$7:$E$7,H$7)</f>
        <v>180</v>
      </c>
      <c r="I22" s="76" t="n">
        <f aca="false">INDEX(Arch!$C$7:$E$7,I$7)</f>
        <v>49</v>
      </c>
      <c r="J22" s="76" t="n">
        <f aca="false">INDEX(Arch!$C$7:$E$7,J$7)</f>
        <v>180</v>
      </c>
      <c r="K22" s="76" t="n">
        <f aca="false">INDEX(Arch!$C$7:$E$7,K$7)</f>
        <v>49</v>
      </c>
      <c r="L22" s="76" t="n">
        <f aca="false">INDEX(Arch!$C$7:$E$7,L$7)</f>
        <v>180</v>
      </c>
      <c r="M22" s="76" t="n">
        <f aca="false">INDEX(Arch!$C$7:$E$7,M$7)</f>
        <v>49</v>
      </c>
      <c r="N22" s="76" t="n">
        <f aca="false">INDEX(Arch!$C$7:$E$7,N$7)</f>
        <v>180</v>
      </c>
      <c r="O22" s="76" t="n">
        <f aca="false">INDEX(Arch!$C$7:$E$7,O$7)</f>
        <v>49</v>
      </c>
      <c r="P22" s="76" t="n">
        <f aca="false">INDEX(Arch!$C$7:$E$7,P$7)</f>
        <v>180</v>
      </c>
      <c r="Q22" s="76" t="n">
        <f aca="false">INDEX(Arch!$C$7:$E$7,Q$7)</f>
        <v>49</v>
      </c>
      <c r="R22" s="76" t="n">
        <f aca="false">INDEX(Arch!$C$7:$E$7,R$7)</f>
        <v>180</v>
      </c>
      <c r="S22" s="76" t="n">
        <f aca="false">INDEX(Arch!$C$7:$E$7,S$7)</f>
        <v>49</v>
      </c>
      <c r="T22" s="76" t="n">
        <f aca="false">INDEX(Arch!$C$7:$E$7,T$7)</f>
        <v>180</v>
      </c>
      <c r="U22" s="76" t="n">
        <f aca="false">INDEX(Arch!$C$7:$E$7,U$7)</f>
        <v>49</v>
      </c>
      <c r="V22" s="76" t="n">
        <f aca="false">INDEX(Arch!$C$7:$E$7,V$7)</f>
        <v>180</v>
      </c>
      <c r="W22" s="76" t="n">
        <f aca="false">INDEX(Arch!$C$7:$E$7,W$7)</f>
        <v>49</v>
      </c>
      <c r="X22" s="76" t="n">
        <f aca="false">INDEX(Arch!$C$7:$E$7,X$7)</f>
        <v>180</v>
      </c>
      <c r="Y22" s="76" t="n">
        <f aca="false">INDEX(Arch!$C$7:$E$7,Y$7)</f>
        <v>49</v>
      </c>
      <c r="Z22" s="76" t="n">
        <f aca="false">INDEX(Arch!$C$7:$E$7,Z$7)</f>
        <v>180</v>
      </c>
      <c r="AA22" s="76" t="n">
        <f aca="false">INDEX(Arch!$C$7:$E$7,AA$7)</f>
        <v>49</v>
      </c>
      <c r="AB22" s="76" t="n">
        <f aca="false">INDEX(Arch!$C$7:$E$7,AB$7)</f>
        <v>180</v>
      </c>
      <c r="AC22" s="76" t="n">
        <f aca="false">INDEX(Arch!$C$7:$E$7,AC$7)</f>
        <v>49</v>
      </c>
      <c r="AD22" s="76" t="n">
        <f aca="false">INDEX(Arch!$C$7:$E$7,AD$7)</f>
        <v>180</v>
      </c>
      <c r="AE22" s="76" t="n">
        <f aca="false">INDEX(Arch!$C$7:$E$7,AE$7)</f>
        <v>49</v>
      </c>
      <c r="AF22" s="76" t="n">
        <f aca="false">INDEX(Arch!$C$7:$E$7,AF$7)</f>
        <v>180</v>
      </c>
      <c r="AG22" s="76" t="n">
        <f aca="false">INDEX(Arch!$C$7:$E$7,AG$7)</f>
        <v>49</v>
      </c>
      <c r="AH22" s="76" t="n">
        <f aca="false">INDEX(Arch!$C$7:$E$7,AH$7)</f>
        <v>180</v>
      </c>
    </row>
    <row r="23" customFormat="false" ht="15" hidden="false" customHeight="false" outlineLevel="0" collapsed="false">
      <c r="A23" s="44" t="s">
        <v>403</v>
      </c>
      <c r="B23" s="45" t="s">
        <v>259</v>
      </c>
      <c r="C23" s="76" t="n">
        <f aca="false">INDEX(Arch!$C$30:$E$30,C$7)</f>
        <v>15990784</v>
      </c>
      <c r="D23" s="76" t="n">
        <f aca="false">INDEX(Arch!$C$30:$E$30,D$7)</f>
        <v>4915200</v>
      </c>
      <c r="E23" s="76" t="n">
        <f aca="false">INDEX(Arch!$C$30:$E$30,E$7)</f>
        <v>15990784</v>
      </c>
      <c r="F23" s="76" t="n">
        <f aca="false">INDEX(Arch!$C$30:$E$30,F$7)</f>
        <v>4915200</v>
      </c>
      <c r="G23" s="76" t="n">
        <f aca="false">INDEX(Arch!$C$30:$E$30,G$7)</f>
        <v>15990784</v>
      </c>
      <c r="H23" s="76" t="n">
        <f aca="false">INDEX(Arch!$C$30:$E$30,H$7)</f>
        <v>4915200</v>
      </c>
      <c r="I23" s="76" t="n">
        <f aca="false">INDEX(Arch!$C$30:$E$30,I$7)</f>
        <v>15990784</v>
      </c>
      <c r="J23" s="76" t="n">
        <f aca="false">INDEX(Arch!$C$30:$E$30,J$7)</f>
        <v>4915200</v>
      </c>
      <c r="K23" s="76" t="n">
        <f aca="false">INDEX(Arch!$C$30:$E$30,K$7)</f>
        <v>15990784</v>
      </c>
      <c r="L23" s="76" t="n">
        <f aca="false">INDEX(Arch!$C$30:$E$30,L$7)</f>
        <v>4915200</v>
      </c>
      <c r="M23" s="76" t="n">
        <f aca="false">INDEX(Arch!$C$30:$E$30,M$7)</f>
        <v>15990784</v>
      </c>
      <c r="N23" s="76" t="n">
        <f aca="false">INDEX(Arch!$C$30:$E$30,N$7)</f>
        <v>4915200</v>
      </c>
      <c r="O23" s="76" t="n">
        <f aca="false">INDEX(Arch!$C$30:$E$30,O$7)</f>
        <v>15990784</v>
      </c>
      <c r="P23" s="76" t="n">
        <f aca="false">INDEX(Arch!$C$30:$E$30,P$7)</f>
        <v>4915200</v>
      </c>
      <c r="Q23" s="76" t="n">
        <f aca="false">INDEX(Arch!$C$30:$E$30,Q$7)</f>
        <v>15990784</v>
      </c>
      <c r="R23" s="76" t="n">
        <f aca="false">INDEX(Arch!$C$30:$E$30,R$7)</f>
        <v>4915200</v>
      </c>
      <c r="S23" s="76" t="n">
        <f aca="false">INDEX(Arch!$C$30:$E$30,S$7)</f>
        <v>15990784</v>
      </c>
      <c r="T23" s="76" t="n">
        <f aca="false">INDEX(Arch!$C$30:$E$30,T$7)</f>
        <v>4915200</v>
      </c>
      <c r="U23" s="76" t="n">
        <f aca="false">INDEX(Arch!$C$30:$E$30,U$7)</f>
        <v>15990784</v>
      </c>
      <c r="V23" s="76" t="n">
        <f aca="false">INDEX(Arch!$C$30:$E$30,V$7)</f>
        <v>4915200</v>
      </c>
      <c r="W23" s="76" t="n">
        <f aca="false">INDEX(Arch!$C$30:$E$30,W$7)</f>
        <v>15990784</v>
      </c>
      <c r="X23" s="76" t="n">
        <f aca="false">INDEX(Arch!$C$30:$E$30,X$7)</f>
        <v>4915200</v>
      </c>
      <c r="Y23" s="76" t="n">
        <f aca="false">INDEX(Arch!$C$30:$E$30,Y$7)</f>
        <v>15990784</v>
      </c>
      <c r="Z23" s="76" t="n">
        <f aca="false">INDEX(Arch!$C$30:$E$30,Z$7)</f>
        <v>4915200</v>
      </c>
      <c r="AA23" s="76" t="n">
        <f aca="false">INDEX(Arch!$C$30:$E$30,AA$7)</f>
        <v>15990784</v>
      </c>
      <c r="AB23" s="76" t="n">
        <f aca="false">INDEX(Arch!$C$30:$E$30,AB$7)</f>
        <v>4915200</v>
      </c>
      <c r="AC23" s="76" t="n">
        <f aca="false">INDEX(Arch!$C$30:$E$30,AC$7)</f>
        <v>15990784</v>
      </c>
      <c r="AD23" s="76" t="n">
        <f aca="false">INDEX(Arch!$C$30:$E$30,AD$7)</f>
        <v>4915200</v>
      </c>
      <c r="AE23" s="76" t="n">
        <f aca="false">INDEX(Arch!$C$30:$E$30,AE$7)</f>
        <v>15990784</v>
      </c>
      <c r="AF23" s="76" t="n">
        <f aca="false">INDEX(Arch!$C$30:$E$30,AF$7)</f>
        <v>4915200</v>
      </c>
      <c r="AG23" s="76" t="n">
        <f aca="false">INDEX(Arch!$C$30:$E$30,AG$7)</f>
        <v>15990784</v>
      </c>
      <c r="AH23" s="76" t="n">
        <f aca="false">INDEX(Arch!$C$30:$E$30,AH$7)</f>
        <v>4915200</v>
      </c>
    </row>
    <row r="24" customFormat="false" ht="15" hidden="false" customHeight="false" outlineLevel="0" collapsed="false">
      <c r="A24" s="44" t="s">
        <v>233</v>
      </c>
      <c r="B24" s="45" t="s">
        <v>57</v>
      </c>
      <c r="C24" s="81" t="n">
        <f aca="false">INDEX(Arch!$C$16:$E$16,C$7)</f>
        <v>0.5</v>
      </c>
      <c r="D24" s="81" t="n">
        <f aca="false">INDEX(Arch!$C$16:$E$16,D$7)</f>
        <v>1</v>
      </c>
      <c r="E24" s="81" t="n">
        <f aca="false">INDEX(Arch!$C$16:$E$16,E$7)</f>
        <v>0.5</v>
      </c>
      <c r="F24" s="81" t="n">
        <f aca="false">INDEX(Arch!$C$16:$E$16,F$7)</f>
        <v>1</v>
      </c>
      <c r="G24" s="81" t="n">
        <f aca="false">INDEX(Arch!$C$16:$E$16,G$7)</f>
        <v>0.5</v>
      </c>
      <c r="H24" s="81" t="n">
        <f aca="false">INDEX(Arch!$C$16:$E$16,H$7)</f>
        <v>1</v>
      </c>
      <c r="I24" s="81" t="n">
        <f aca="false">INDEX(Arch!$C$16:$E$16,I$7)</f>
        <v>0.5</v>
      </c>
      <c r="J24" s="81" t="n">
        <f aca="false">INDEX(Arch!$C$16:$E$16,J$7)</f>
        <v>1</v>
      </c>
      <c r="K24" s="81" t="n">
        <f aca="false">INDEX(Arch!$C$16:$E$16,K$7)</f>
        <v>0.5</v>
      </c>
      <c r="L24" s="81" t="n">
        <f aca="false">INDEX(Arch!$C$16:$E$16,L$7)</f>
        <v>1</v>
      </c>
      <c r="M24" s="81" t="n">
        <f aca="false">INDEX(Arch!$C$16:$E$16,M$7)</f>
        <v>0.5</v>
      </c>
      <c r="N24" s="81" t="n">
        <f aca="false">INDEX(Arch!$C$16:$E$16,N$7)</f>
        <v>1</v>
      </c>
      <c r="O24" s="81" t="n">
        <f aca="false">INDEX(Arch!$C$16:$E$16,O$7)</f>
        <v>0.5</v>
      </c>
      <c r="P24" s="81" t="n">
        <f aca="false">INDEX(Arch!$C$16:$E$16,P$7)</f>
        <v>1</v>
      </c>
      <c r="Q24" s="81" t="n">
        <f aca="false">INDEX(Arch!$C$16:$E$16,Q$7)</f>
        <v>0.5</v>
      </c>
      <c r="R24" s="81" t="n">
        <f aca="false">INDEX(Arch!$C$16:$E$16,R$7)</f>
        <v>1</v>
      </c>
      <c r="S24" s="81" t="n">
        <f aca="false">INDEX(Arch!$C$16:$E$16,S$7)</f>
        <v>0.5</v>
      </c>
      <c r="T24" s="81" t="n">
        <f aca="false">INDEX(Arch!$C$16:$E$16,T$7)</f>
        <v>1</v>
      </c>
      <c r="U24" s="81" t="n">
        <f aca="false">INDEX(Arch!$C$16:$E$16,U$7)</f>
        <v>0.5</v>
      </c>
      <c r="V24" s="81" t="n">
        <f aca="false">INDEX(Arch!$C$16:$E$16,V$7)</f>
        <v>1</v>
      </c>
      <c r="W24" s="81" t="n">
        <f aca="false">INDEX(Arch!$C$16:$E$16,W$7)</f>
        <v>0.5</v>
      </c>
      <c r="X24" s="81" t="n">
        <f aca="false">INDEX(Arch!$C$16:$E$16,X$7)</f>
        <v>1</v>
      </c>
      <c r="Y24" s="81" t="n">
        <f aca="false">INDEX(Arch!$C$16:$E$16,Y$7)</f>
        <v>0.5</v>
      </c>
      <c r="Z24" s="81" t="n">
        <f aca="false">INDEX(Arch!$C$16:$E$16,Z$7)</f>
        <v>1</v>
      </c>
      <c r="AA24" s="81" t="n">
        <f aca="false">INDEX(Arch!$C$16:$E$16,AA$7)</f>
        <v>0.5</v>
      </c>
      <c r="AB24" s="81" t="n">
        <f aca="false">INDEX(Arch!$C$16:$E$16,AB$7)</f>
        <v>1</v>
      </c>
      <c r="AC24" s="81" t="n">
        <f aca="false">INDEX(Arch!$C$16:$E$16,AC$7)</f>
        <v>0.5</v>
      </c>
      <c r="AD24" s="81" t="n">
        <f aca="false">INDEX(Arch!$C$16:$E$16,AD$7)</f>
        <v>1</v>
      </c>
      <c r="AE24" s="81" t="n">
        <f aca="false">INDEX(Arch!$C$16:$E$16,AE$7)</f>
        <v>0.5</v>
      </c>
      <c r="AF24" s="81" t="n">
        <f aca="false">INDEX(Arch!$C$16:$E$16,AF$7)</f>
        <v>1</v>
      </c>
      <c r="AG24" s="81" t="n">
        <f aca="false">INDEX(Arch!$C$16:$E$16,AG$7)</f>
        <v>0.5</v>
      </c>
      <c r="AH24" s="81" t="n">
        <f aca="false">INDEX(Arch!$C$16:$E$16,AH$7)</f>
        <v>1</v>
      </c>
    </row>
    <row r="25" customFormat="false" ht="15" hidden="false" customHeight="false" outlineLevel="0" collapsed="false">
      <c r="A25" s="44" t="s">
        <v>655</v>
      </c>
      <c r="B25" s="45" t="s">
        <v>236</v>
      </c>
      <c r="C25" s="76" t="n">
        <f aca="false">INDEX(Arch!$C$17:$E$17,C$7)</f>
        <v>4224</v>
      </c>
      <c r="D25" s="76" t="n">
        <f aca="false">INDEX(Arch!$C$17:$E$17,D$7)</f>
        <v>0</v>
      </c>
      <c r="E25" s="76" t="n">
        <f aca="false">INDEX(Arch!$C$17:$E$17,E$7)</f>
        <v>4224</v>
      </c>
      <c r="F25" s="76" t="n">
        <f aca="false">INDEX(Arch!$C$17:$E$17,F$7)</f>
        <v>0</v>
      </c>
      <c r="G25" s="76" t="n">
        <f aca="false">INDEX(Arch!$C$17:$E$17,G$7)</f>
        <v>4224</v>
      </c>
      <c r="H25" s="76" t="n">
        <f aca="false">INDEX(Arch!$C$17:$E$17,H$7)</f>
        <v>0</v>
      </c>
      <c r="I25" s="76" t="n">
        <f aca="false">INDEX(Arch!$C$17:$E$17,I$7)</f>
        <v>4224</v>
      </c>
      <c r="J25" s="76" t="n">
        <f aca="false">INDEX(Arch!$C$17:$E$17,J$7)</f>
        <v>0</v>
      </c>
      <c r="K25" s="76" t="n">
        <f aca="false">INDEX(Arch!$C$17:$E$17,K$7)</f>
        <v>4224</v>
      </c>
      <c r="L25" s="76" t="n">
        <f aca="false">INDEX(Arch!$C$17:$E$17,L$7)</f>
        <v>0</v>
      </c>
      <c r="M25" s="76" t="n">
        <f aca="false">INDEX(Arch!$C$17:$E$17,M$7)</f>
        <v>4224</v>
      </c>
      <c r="N25" s="76" t="n">
        <f aca="false">INDEX(Arch!$C$17:$E$17,N$7)</f>
        <v>0</v>
      </c>
      <c r="O25" s="76" t="n">
        <f aca="false">INDEX(Arch!$C$17:$E$17,O$7)</f>
        <v>4224</v>
      </c>
      <c r="P25" s="76" t="n">
        <f aca="false">INDEX(Arch!$C$17:$E$17,P$7)</f>
        <v>0</v>
      </c>
      <c r="Q25" s="76" t="n">
        <f aca="false">INDEX(Arch!$C$17:$E$17,Q$7)</f>
        <v>4224</v>
      </c>
      <c r="R25" s="76" t="n">
        <f aca="false">INDEX(Arch!$C$17:$E$17,R$7)</f>
        <v>0</v>
      </c>
      <c r="S25" s="76" t="n">
        <f aca="false">INDEX(Arch!$C$17:$E$17,S$7)</f>
        <v>4224</v>
      </c>
      <c r="T25" s="76" t="n">
        <f aca="false">INDEX(Arch!$C$17:$E$17,T$7)</f>
        <v>0</v>
      </c>
      <c r="U25" s="76" t="n">
        <f aca="false">INDEX(Arch!$C$17:$E$17,U$7)</f>
        <v>4224</v>
      </c>
      <c r="V25" s="76" t="n">
        <f aca="false">INDEX(Arch!$C$17:$E$17,V$7)</f>
        <v>0</v>
      </c>
      <c r="W25" s="76" t="n">
        <f aca="false">INDEX(Arch!$C$17:$E$17,W$7)</f>
        <v>4224</v>
      </c>
      <c r="X25" s="76" t="n">
        <f aca="false">INDEX(Arch!$C$17:$E$17,X$7)</f>
        <v>0</v>
      </c>
      <c r="Y25" s="76" t="n">
        <f aca="false">INDEX(Arch!$C$17:$E$17,Y$7)</f>
        <v>4224</v>
      </c>
      <c r="Z25" s="76" t="n">
        <f aca="false">INDEX(Arch!$C$17:$E$17,Z$7)</f>
        <v>0</v>
      </c>
      <c r="AA25" s="76" t="n">
        <f aca="false">INDEX(Arch!$C$17:$E$17,AA$7)</f>
        <v>4224</v>
      </c>
      <c r="AB25" s="76" t="n">
        <f aca="false">INDEX(Arch!$C$17:$E$17,AB$7)</f>
        <v>0</v>
      </c>
      <c r="AC25" s="76" t="n">
        <f aca="false">INDEX(Arch!$C$17:$E$17,AC$7)</f>
        <v>4224</v>
      </c>
      <c r="AD25" s="76" t="n">
        <f aca="false">INDEX(Arch!$C$17:$E$17,AD$7)</f>
        <v>0</v>
      </c>
      <c r="AE25" s="76" t="n">
        <f aca="false">INDEX(Arch!$C$17:$E$17,AE$7)</f>
        <v>4224</v>
      </c>
      <c r="AF25" s="76" t="n">
        <f aca="false">INDEX(Arch!$C$17:$E$17,AF$7)</f>
        <v>0</v>
      </c>
      <c r="AG25" s="76" t="n">
        <f aca="false">INDEX(Arch!$C$17:$E$17,AG$7)</f>
        <v>4224</v>
      </c>
      <c r="AH25" s="76" t="n">
        <f aca="false">INDEX(Arch!$C$17:$E$17,AH$7)</f>
        <v>0</v>
      </c>
    </row>
    <row r="26" customFormat="false" ht="15" hidden="false" customHeight="false" outlineLevel="0" collapsed="false">
      <c r="A26" s="44" t="s">
        <v>239</v>
      </c>
      <c r="B26" s="45" t="s">
        <v>61</v>
      </c>
      <c r="C26" s="76" t="n">
        <f aca="false">INDEX(Arch!$C$18:$E$18,C$7)</f>
        <v>128</v>
      </c>
      <c r="D26" s="76" t="n">
        <f aca="false">INDEX(Arch!$C$18:$E$18,D$7)</f>
        <v>1</v>
      </c>
      <c r="E26" s="76" t="n">
        <f aca="false">INDEX(Arch!$C$18:$E$18,E$7)</f>
        <v>128</v>
      </c>
      <c r="F26" s="76" t="n">
        <f aca="false">INDEX(Arch!$C$18:$E$18,F$7)</f>
        <v>1</v>
      </c>
      <c r="G26" s="76" t="n">
        <f aca="false">INDEX(Arch!$C$18:$E$18,G$7)</f>
        <v>128</v>
      </c>
      <c r="H26" s="76" t="n">
        <f aca="false">INDEX(Arch!$C$18:$E$18,H$7)</f>
        <v>1</v>
      </c>
      <c r="I26" s="76" t="n">
        <f aca="false">INDEX(Arch!$C$18:$E$18,I$7)</f>
        <v>128</v>
      </c>
      <c r="J26" s="76" t="n">
        <f aca="false">INDEX(Arch!$C$18:$E$18,J$7)</f>
        <v>1</v>
      </c>
      <c r="K26" s="76" t="n">
        <f aca="false">INDEX(Arch!$C$18:$E$18,K$7)</f>
        <v>128</v>
      </c>
      <c r="L26" s="76" t="n">
        <f aca="false">INDEX(Arch!$C$18:$E$18,L$7)</f>
        <v>1</v>
      </c>
      <c r="M26" s="76" t="n">
        <f aca="false">INDEX(Arch!$C$18:$E$18,M$7)</f>
        <v>128</v>
      </c>
      <c r="N26" s="76" t="n">
        <f aca="false">INDEX(Arch!$C$18:$E$18,N$7)</f>
        <v>1</v>
      </c>
      <c r="O26" s="76" t="n">
        <f aca="false">INDEX(Arch!$C$18:$E$18,O$7)</f>
        <v>128</v>
      </c>
      <c r="P26" s="76" t="n">
        <f aca="false">INDEX(Arch!$C$18:$E$18,P$7)</f>
        <v>1</v>
      </c>
      <c r="Q26" s="76" t="n">
        <f aca="false">INDEX(Arch!$C$18:$E$18,Q$7)</f>
        <v>128</v>
      </c>
      <c r="R26" s="76" t="n">
        <f aca="false">INDEX(Arch!$C$18:$E$18,R$7)</f>
        <v>1</v>
      </c>
      <c r="S26" s="76" t="n">
        <f aca="false">INDEX(Arch!$C$18:$E$18,S$7)</f>
        <v>128</v>
      </c>
      <c r="T26" s="76" t="n">
        <f aca="false">INDEX(Arch!$C$18:$E$18,T$7)</f>
        <v>1</v>
      </c>
      <c r="U26" s="76" t="n">
        <f aca="false">INDEX(Arch!$C$18:$E$18,U$7)</f>
        <v>128</v>
      </c>
      <c r="V26" s="76" t="n">
        <f aca="false">INDEX(Arch!$C$18:$E$18,V$7)</f>
        <v>1</v>
      </c>
      <c r="W26" s="76" t="n">
        <f aca="false">INDEX(Arch!$C$18:$E$18,W$7)</f>
        <v>128</v>
      </c>
      <c r="X26" s="76" t="n">
        <f aca="false">INDEX(Arch!$C$18:$E$18,X$7)</f>
        <v>1</v>
      </c>
      <c r="Y26" s="76" t="n">
        <f aca="false">INDEX(Arch!$C$18:$E$18,Y$7)</f>
        <v>128</v>
      </c>
      <c r="Z26" s="76" t="n">
        <f aca="false">INDEX(Arch!$C$18:$E$18,Z$7)</f>
        <v>1</v>
      </c>
      <c r="AA26" s="76" t="n">
        <f aca="false">INDEX(Arch!$C$18:$E$18,AA$7)</f>
        <v>128</v>
      </c>
      <c r="AB26" s="76" t="n">
        <f aca="false">INDEX(Arch!$C$18:$E$18,AB$7)</f>
        <v>1</v>
      </c>
      <c r="AC26" s="76" t="n">
        <f aca="false">INDEX(Arch!$C$18:$E$18,AC$7)</f>
        <v>128</v>
      </c>
      <c r="AD26" s="76" t="n">
        <f aca="false">INDEX(Arch!$C$18:$E$18,AD$7)</f>
        <v>1</v>
      </c>
      <c r="AE26" s="76" t="n">
        <f aca="false">INDEX(Arch!$C$18:$E$18,AE$7)</f>
        <v>128</v>
      </c>
      <c r="AF26" s="76" t="n">
        <f aca="false">INDEX(Arch!$C$18:$E$18,AF$7)</f>
        <v>1</v>
      </c>
      <c r="AG26" s="76" t="n">
        <f aca="false">INDEX(Arch!$C$18:$E$18,AG$7)</f>
        <v>128</v>
      </c>
      <c r="AH26" s="76" t="n">
        <f aca="false">INDEX(Arch!$C$18:$E$18,AH$7)</f>
        <v>1</v>
      </c>
    </row>
    <row r="27" customFormat="false" ht="15" hidden="false" customHeight="false" outlineLevel="0" collapsed="false">
      <c r="A27" s="44" t="s">
        <v>241</v>
      </c>
      <c r="B27" s="45" t="s">
        <v>236</v>
      </c>
      <c r="C27" s="76" t="n">
        <f aca="false">INDEX(Arch!$C$19:$E$19,C$7)</f>
        <v>128</v>
      </c>
      <c r="D27" s="76" t="n">
        <f aca="false">INDEX(Arch!$C$19:$E$19,D$7)</f>
        <v>0</v>
      </c>
      <c r="E27" s="76" t="n">
        <f aca="false">INDEX(Arch!$C$19:$E$19,E$7)</f>
        <v>128</v>
      </c>
      <c r="F27" s="76" t="n">
        <f aca="false">INDEX(Arch!$C$19:$E$19,F$7)</f>
        <v>0</v>
      </c>
      <c r="G27" s="76" t="n">
        <f aca="false">INDEX(Arch!$C$19:$E$19,G$7)</f>
        <v>128</v>
      </c>
      <c r="H27" s="76" t="n">
        <f aca="false">INDEX(Arch!$C$19:$E$19,H$7)</f>
        <v>0</v>
      </c>
      <c r="I27" s="76" t="n">
        <f aca="false">INDEX(Arch!$C$19:$E$19,I$7)</f>
        <v>128</v>
      </c>
      <c r="J27" s="76" t="n">
        <f aca="false">INDEX(Arch!$C$19:$E$19,J$7)</f>
        <v>0</v>
      </c>
      <c r="K27" s="76" t="n">
        <f aca="false">INDEX(Arch!$C$19:$E$19,K$7)</f>
        <v>128</v>
      </c>
      <c r="L27" s="76" t="n">
        <f aca="false">INDEX(Arch!$C$19:$E$19,L$7)</f>
        <v>0</v>
      </c>
      <c r="M27" s="76" t="n">
        <f aca="false">INDEX(Arch!$C$19:$E$19,M$7)</f>
        <v>128</v>
      </c>
      <c r="N27" s="76" t="n">
        <f aca="false">INDEX(Arch!$C$19:$E$19,N$7)</f>
        <v>0</v>
      </c>
      <c r="O27" s="76" t="n">
        <f aca="false">INDEX(Arch!$C$19:$E$19,O$7)</f>
        <v>128</v>
      </c>
      <c r="P27" s="76" t="n">
        <f aca="false">INDEX(Arch!$C$19:$E$19,P$7)</f>
        <v>0</v>
      </c>
      <c r="Q27" s="76" t="n">
        <f aca="false">INDEX(Arch!$C$19:$E$19,Q$7)</f>
        <v>128</v>
      </c>
      <c r="R27" s="76" t="n">
        <f aca="false">INDEX(Arch!$C$19:$E$19,R$7)</f>
        <v>0</v>
      </c>
      <c r="S27" s="76" t="n">
        <f aca="false">INDEX(Arch!$C$19:$E$19,S$7)</f>
        <v>128</v>
      </c>
      <c r="T27" s="76" t="n">
        <f aca="false">INDEX(Arch!$C$19:$E$19,T$7)</f>
        <v>0</v>
      </c>
      <c r="U27" s="76" t="n">
        <f aca="false">INDEX(Arch!$C$19:$E$19,U$7)</f>
        <v>128</v>
      </c>
      <c r="V27" s="76" t="n">
        <f aca="false">INDEX(Arch!$C$19:$E$19,V$7)</f>
        <v>0</v>
      </c>
      <c r="W27" s="76" t="n">
        <f aca="false">INDEX(Arch!$C$19:$E$19,W$7)</f>
        <v>128</v>
      </c>
      <c r="X27" s="76" t="n">
        <f aca="false">INDEX(Arch!$C$19:$E$19,X$7)</f>
        <v>0</v>
      </c>
      <c r="Y27" s="76" t="n">
        <f aca="false">INDEX(Arch!$C$19:$E$19,Y$7)</f>
        <v>128</v>
      </c>
      <c r="Z27" s="76" t="n">
        <f aca="false">INDEX(Arch!$C$19:$E$19,Z$7)</f>
        <v>0</v>
      </c>
      <c r="AA27" s="76" t="n">
        <f aca="false">INDEX(Arch!$C$19:$E$19,AA$7)</f>
        <v>128</v>
      </c>
      <c r="AB27" s="76" t="n">
        <f aca="false">INDEX(Arch!$C$19:$E$19,AB$7)</f>
        <v>0</v>
      </c>
      <c r="AC27" s="76" t="n">
        <f aca="false">INDEX(Arch!$C$19:$E$19,AC$7)</f>
        <v>128</v>
      </c>
      <c r="AD27" s="76" t="n">
        <f aca="false">INDEX(Arch!$C$19:$E$19,AD$7)</f>
        <v>0</v>
      </c>
      <c r="AE27" s="76" t="n">
        <f aca="false">INDEX(Arch!$C$19:$E$19,AE$7)</f>
        <v>128</v>
      </c>
      <c r="AF27" s="76" t="n">
        <f aca="false">INDEX(Arch!$C$19:$E$19,AF$7)</f>
        <v>0</v>
      </c>
      <c r="AG27" s="76" t="n">
        <f aca="false">INDEX(Arch!$C$19:$E$19,AG$7)</f>
        <v>128</v>
      </c>
      <c r="AH27" s="76" t="n">
        <f aca="false">INDEX(Arch!$C$19:$E$19,AH$7)</f>
        <v>0</v>
      </c>
    </row>
    <row r="28" customFormat="false" ht="15" hidden="false" customHeight="false" outlineLevel="0" collapsed="false">
      <c r="A28" s="45" t="s">
        <v>633</v>
      </c>
      <c r="B28" s="45" t="s">
        <v>61</v>
      </c>
      <c r="C28" s="79" t="n">
        <f aca="false">Tech_Registry!$E$22</f>
        <v>1</v>
      </c>
      <c r="D28" s="79" t="n">
        <f aca="false">Tech_Registry!$E$22</f>
        <v>1</v>
      </c>
      <c r="E28" s="79" t="n">
        <f aca="false">Tech_Registry!$E$22</f>
        <v>1</v>
      </c>
      <c r="F28" s="79" t="n">
        <f aca="false">Tech_Registry!$E$22</f>
        <v>1</v>
      </c>
      <c r="G28" s="79" t="n">
        <f aca="false">Tech_Registry!$E$22</f>
        <v>1</v>
      </c>
      <c r="H28" s="79" t="n">
        <f aca="false">Tech_Registry!$E$22</f>
        <v>1</v>
      </c>
      <c r="I28" s="79" t="n">
        <f aca="false">Tech_Registry!$E$22</f>
        <v>1</v>
      </c>
      <c r="J28" s="79" t="n">
        <f aca="false">Tech_Registry!$E$22</f>
        <v>1</v>
      </c>
      <c r="K28" s="79" t="n">
        <f aca="false">Tech_Registry!$E$22</f>
        <v>1</v>
      </c>
      <c r="L28" s="79" t="n">
        <f aca="false">Tech_Registry!$E$22</f>
        <v>1</v>
      </c>
      <c r="M28" s="79" t="n">
        <f aca="false">Tech_Registry!$E$22</f>
        <v>1</v>
      </c>
      <c r="N28" s="79" t="n">
        <f aca="false">Tech_Registry!$E$22</f>
        <v>1</v>
      </c>
      <c r="O28" s="79" t="n">
        <f aca="false">Tech_Registry!$E$22</f>
        <v>1</v>
      </c>
      <c r="P28" s="79" t="n">
        <f aca="false">Tech_Registry!$E$22</f>
        <v>1</v>
      </c>
      <c r="Q28" s="79" t="n">
        <f aca="false">Tech_Registry!$E$22</f>
        <v>1</v>
      </c>
      <c r="R28" s="79" t="n">
        <f aca="false">Tech_Registry!$E$22</f>
        <v>1</v>
      </c>
      <c r="S28" s="79" t="n">
        <f aca="false">Tech_Registry!$E$22</f>
        <v>1</v>
      </c>
      <c r="T28" s="79" t="n">
        <f aca="false">Tech_Registry!$E$22</f>
        <v>1</v>
      </c>
      <c r="U28" s="79" t="n">
        <f aca="false">Tech_Registry!$E$22</f>
        <v>1</v>
      </c>
      <c r="V28" s="79" t="n">
        <f aca="false">Tech_Registry!$E$22</f>
        <v>1</v>
      </c>
      <c r="W28" s="79" t="n">
        <f aca="false">Tech_Registry!$E$22</f>
        <v>1</v>
      </c>
      <c r="X28" s="79" t="n">
        <f aca="false">Tech_Registry!$E$22</f>
        <v>1</v>
      </c>
      <c r="Y28" s="79" t="n">
        <f aca="false">Tech_Registry!$E$22</f>
        <v>1</v>
      </c>
      <c r="Z28" s="79" t="n">
        <f aca="false">Tech_Registry!$E$22</f>
        <v>1</v>
      </c>
      <c r="AA28" s="79" t="n">
        <f aca="false">Tech_Registry!$E$22</f>
        <v>1</v>
      </c>
      <c r="AB28" s="79" t="n">
        <f aca="false">Tech_Registry!$E$22</f>
        <v>1</v>
      </c>
      <c r="AC28" s="79" t="n">
        <f aca="false">Tech_Registry!$E$22</f>
        <v>1</v>
      </c>
      <c r="AD28" s="79" t="n">
        <f aca="false">Tech_Registry!$E$22</f>
        <v>1</v>
      </c>
      <c r="AE28" s="79" t="n">
        <f aca="false">Tech_Registry!$E$22</f>
        <v>1</v>
      </c>
      <c r="AF28" s="79" t="n">
        <f aca="false">Tech_Registry!$E$22</f>
        <v>1</v>
      </c>
      <c r="AG28" s="79" t="n">
        <f aca="false">Tech_Registry!$E$22</f>
        <v>1</v>
      </c>
      <c r="AH28" s="79" t="n">
        <f aca="false">Tech_Registry!$E$22</f>
        <v>1</v>
      </c>
    </row>
    <row r="29" customFormat="false" ht="15" hidden="false" customHeight="false" outlineLevel="0" collapsed="false">
      <c r="A29" s="72" t="s">
        <v>922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</row>
    <row r="30" customFormat="false" ht="15" hidden="false" customHeight="false" outlineLevel="0" collapsed="false">
      <c r="A30" s="44" t="s">
        <v>923</v>
      </c>
      <c r="B30" s="45" t="s">
        <v>61</v>
      </c>
      <c r="C30" s="79" t="n">
        <f aca="false">Tech_Registry!$E$27</f>
        <v>1</v>
      </c>
      <c r="D30" s="79" t="n">
        <f aca="false">Tech_Registry!$E$27</f>
        <v>1</v>
      </c>
      <c r="E30" s="79" t="n">
        <f aca="false">Tech_Registry!$E$27</f>
        <v>1</v>
      </c>
      <c r="F30" s="79" t="n">
        <f aca="false">Tech_Registry!$E$27</f>
        <v>1</v>
      </c>
      <c r="G30" s="79" t="n">
        <f aca="false">Tech_Registry!$E$27</f>
        <v>1</v>
      </c>
      <c r="H30" s="79" t="n">
        <f aca="false">Tech_Registry!$E$27</f>
        <v>1</v>
      </c>
      <c r="I30" s="79" t="n">
        <f aca="false">Tech_Registry!$E$27</f>
        <v>1</v>
      </c>
      <c r="J30" s="79" t="n">
        <f aca="false">Tech_Registry!$E$27</f>
        <v>1</v>
      </c>
      <c r="K30" s="61" t="n">
        <v>0.5</v>
      </c>
      <c r="L30" s="61" t="n">
        <v>0.5</v>
      </c>
      <c r="M30" s="61" t="n">
        <v>1.67</v>
      </c>
      <c r="N30" s="61" t="n">
        <v>1.67</v>
      </c>
      <c r="O30" s="79" t="n">
        <f aca="false">Tech_Registry!$E$27</f>
        <v>1</v>
      </c>
      <c r="P30" s="79" t="n">
        <f aca="false">Tech_Registry!$E$27</f>
        <v>1</v>
      </c>
      <c r="Q30" s="79" t="n">
        <f aca="false">Tech_Registry!$E$27</f>
        <v>1</v>
      </c>
      <c r="R30" s="79" t="n">
        <f aca="false">Tech_Registry!$E$27</f>
        <v>1</v>
      </c>
      <c r="S30" s="79" t="n">
        <f aca="false">Tech_Registry!$E$27</f>
        <v>1</v>
      </c>
      <c r="T30" s="79" t="n">
        <f aca="false">Tech_Registry!$E$27</f>
        <v>1</v>
      </c>
      <c r="U30" s="79" t="n">
        <f aca="false">Tech_Registry!$E$27</f>
        <v>1</v>
      </c>
      <c r="V30" s="79" t="n">
        <f aca="false">Tech_Registry!$E$27</f>
        <v>1</v>
      </c>
      <c r="W30" s="79" t="n">
        <f aca="false">Tech_Registry!$E$27</f>
        <v>1</v>
      </c>
      <c r="X30" s="79" t="n">
        <f aca="false">Tech_Registry!$E$27</f>
        <v>1</v>
      </c>
      <c r="Y30" s="79" t="n">
        <f aca="false">Tech_Registry!$E$27</f>
        <v>1</v>
      </c>
      <c r="Z30" s="79" t="n">
        <f aca="false">Tech_Registry!$E$27</f>
        <v>1</v>
      </c>
      <c r="AA30" s="79" t="n">
        <f aca="false">Tech_Registry!$E$27</f>
        <v>1</v>
      </c>
      <c r="AB30" s="79" t="n">
        <f aca="false">Tech_Registry!$E$27</f>
        <v>1</v>
      </c>
      <c r="AC30" s="79" t="n">
        <f aca="false">Tech_Registry!$E$27</f>
        <v>1</v>
      </c>
      <c r="AD30" s="79" t="n">
        <f aca="false">Tech_Registry!$E$27</f>
        <v>1</v>
      </c>
      <c r="AE30" s="79" t="n">
        <f aca="false">Tech_Registry!$E$27</f>
        <v>1</v>
      </c>
      <c r="AF30" s="79" t="n">
        <f aca="false">Tech_Registry!$E$27</f>
        <v>1</v>
      </c>
      <c r="AG30" s="79" t="n">
        <f aca="false">Tech_Registry!$E$27</f>
        <v>1</v>
      </c>
      <c r="AH30" s="79" t="n">
        <f aca="false">Tech_Registry!$E$27</f>
        <v>1</v>
      </c>
    </row>
    <row r="31" customFormat="false" ht="15" hidden="false" customHeight="false" outlineLevel="0" collapsed="false">
      <c r="A31" s="44" t="s">
        <v>860</v>
      </c>
      <c r="B31" s="45" t="s">
        <v>861</v>
      </c>
      <c r="C31" s="80" t="n">
        <f aca="false">INDEX(Train_In!$C$25:$E$25,C$7)*C30</f>
        <v>33</v>
      </c>
      <c r="D31" s="80" t="n">
        <f aca="false">INDEX(Train_In!$C$25:$E$25,D$7)*D30</f>
        <v>60</v>
      </c>
      <c r="E31" s="80" t="n">
        <f aca="false">INDEX(Train_In!$C$25:$E$25,E$7)*E30</f>
        <v>33</v>
      </c>
      <c r="F31" s="80" t="n">
        <f aca="false">INDEX(Train_In!$C$25:$E$25,F$7)*F30</f>
        <v>60</v>
      </c>
      <c r="G31" s="80" t="n">
        <f aca="false">INDEX(Train_In!$C$25:$E$25,G$7)*G30</f>
        <v>33</v>
      </c>
      <c r="H31" s="80" t="n">
        <f aca="false">INDEX(Train_In!$C$25:$E$25,H$7)*H30</f>
        <v>60</v>
      </c>
      <c r="I31" s="80" t="n">
        <f aca="false">INDEX(Train_In!$C$25:$E$25,I$7)*I30</f>
        <v>33</v>
      </c>
      <c r="J31" s="80" t="n">
        <f aca="false">INDEX(Train_In!$C$25:$E$25,J$7)*J30</f>
        <v>60</v>
      </c>
      <c r="K31" s="80" t="n">
        <f aca="false">INDEX(Train_In!$C$25:$E$25,K$7)*K30</f>
        <v>16.5</v>
      </c>
      <c r="L31" s="80" t="n">
        <f aca="false">INDEX(Train_In!$C$25:$E$25,L$7)*L30</f>
        <v>30</v>
      </c>
      <c r="M31" s="80" t="n">
        <f aca="false">INDEX(Train_In!$C$25:$E$25,M$7)*M30</f>
        <v>55.11</v>
      </c>
      <c r="N31" s="80" t="n">
        <f aca="false">INDEX(Train_In!$C$25:$E$25,N$7)*N30</f>
        <v>100.2</v>
      </c>
      <c r="O31" s="80" t="n">
        <f aca="false">INDEX(Train_In!$C$25:$E$25,O$7)*O30</f>
        <v>33</v>
      </c>
      <c r="P31" s="80" t="n">
        <f aca="false">INDEX(Train_In!$C$25:$E$25,P$7)*P30</f>
        <v>60</v>
      </c>
      <c r="Q31" s="80" t="n">
        <f aca="false">INDEX(Train_In!$C$25:$E$25,Q$7)*Q30</f>
        <v>33</v>
      </c>
      <c r="R31" s="80" t="n">
        <f aca="false">INDEX(Train_In!$C$25:$E$25,R$7)*R30</f>
        <v>60</v>
      </c>
      <c r="S31" s="80" t="n">
        <f aca="false">INDEX(Train_In!$C$25:$E$25,S$7)*S30</f>
        <v>33</v>
      </c>
      <c r="T31" s="80" t="n">
        <f aca="false">INDEX(Train_In!$C$25:$E$25,T$7)*T30</f>
        <v>60</v>
      </c>
      <c r="U31" s="80" t="n">
        <f aca="false">INDEX(Train_In!$C$25:$E$25,U$7)*U30</f>
        <v>33</v>
      </c>
      <c r="V31" s="80" t="n">
        <f aca="false">INDEX(Train_In!$C$25:$E$25,V$7)*V30</f>
        <v>60</v>
      </c>
      <c r="W31" s="80" t="n">
        <f aca="false">INDEX(Train_In!$C$25:$E$25,W$7)*W30</f>
        <v>33</v>
      </c>
      <c r="X31" s="80" t="n">
        <f aca="false">INDEX(Train_In!$C$25:$E$25,X$7)*X30</f>
        <v>60</v>
      </c>
      <c r="Y31" s="80" t="n">
        <f aca="false">INDEX(Train_In!$C$25:$E$25,Y$7)*Y30</f>
        <v>33</v>
      </c>
      <c r="Z31" s="80" t="n">
        <f aca="false">INDEX(Train_In!$C$25:$E$25,Z$7)*Z30</f>
        <v>60</v>
      </c>
      <c r="AA31" s="80" t="n">
        <f aca="false">INDEX(Train_In!$C$25:$E$25,AA$7)*AA30</f>
        <v>33</v>
      </c>
      <c r="AB31" s="80" t="n">
        <f aca="false">INDEX(Train_In!$C$25:$E$25,AB$7)*AB30</f>
        <v>60</v>
      </c>
      <c r="AC31" s="80" t="n">
        <f aca="false">INDEX(Train_In!$C$25:$E$25,AC$7)*AC30</f>
        <v>33</v>
      </c>
      <c r="AD31" s="80" t="n">
        <f aca="false">INDEX(Train_In!$C$25:$E$25,AD$7)*AD30</f>
        <v>60</v>
      </c>
      <c r="AE31" s="80" t="n">
        <f aca="false">INDEX(Train_In!$C$25:$E$25,AE$7)*AE30</f>
        <v>33</v>
      </c>
      <c r="AF31" s="80" t="n">
        <f aca="false">INDEX(Train_In!$C$25:$E$25,AF$7)*AF30</f>
        <v>60</v>
      </c>
      <c r="AG31" s="80" t="n">
        <f aca="false">INDEX(Train_In!$C$25:$E$25,AG$7)*AG30</f>
        <v>33</v>
      </c>
      <c r="AH31" s="80" t="n">
        <f aca="false">INDEX(Train_In!$C$25:$E$25,AH$7)*AH30</f>
        <v>60</v>
      </c>
    </row>
    <row r="32" customFormat="false" ht="15" hidden="false" customHeight="false" outlineLevel="0" collapsed="false">
      <c r="A32" s="44" t="s">
        <v>924</v>
      </c>
      <c r="B32" s="45" t="s">
        <v>236</v>
      </c>
      <c r="C32" s="76" t="n">
        <f aca="false">INDEX(Train_In!$C$26:$E$26,C$7)</f>
        <v>4096</v>
      </c>
      <c r="D32" s="76" t="n">
        <f aca="false">INDEX(Train_In!$C$26:$E$26,D$7)</f>
        <v>8192</v>
      </c>
      <c r="E32" s="76" t="n">
        <f aca="false">INDEX(Train_In!$C$26:$E$26,E$7)</f>
        <v>4096</v>
      </c>
      <c r="F32" s="76" t="n">
        <f aca="false">INDEX(Train_In!$C$26:$E$26,F$7)</f>
        <v>8192</v>
      </c>
      <c r="G32" s="76" t="n">
        <f aca="false">INDEX(Train_In!$C$26:$E$26,G$7)</f>
        <v>4096</v>
      </c>
      <c r="H32" s="76" t="n">
        <f aca="false">INDEX(Train_In!$C$26:$E$26,H$7)</f>
        <v>8192</v>
      </c>
      <c r="I32" s="76" t="n">
        <f aca="false">INDEX(Train_In!$C$26:$E$26,I$7)</f>
        <v>4096</v>
      </c>
      <c r="J32" s="76" t="n">
        <f aca="false">INDEX(Train_In!$C$26:$E$26,J$7)</f>
        <v>8192</v>
      </c>
      <c r="K32" s="76" t="n">
        <f aca="false">INDEX(Train_In!$C$26:$E$26,K$7)</f>
        <v>4096</v>
      </c>
      <c r="L32" s="76" t="n">
        <f aca="false">INDEX(Train_In!$C$26:$E$26,L$7)</f>
        <v>8192</v>
      </c>
      <c r="M32" s="76" t="n">
        <f aca="false">INDEX(Train_In!$C$26:$E$26,M$7)</f>
        <v>4096</v>
      </c>
      <c r="N32" s="76" t="n">
        <f aca="false">INDEX(Train_In!$C$26:$E$26,N$7)</f>
        <v>8192</v>
      </c>
      <c r="O32" s="76" t="n">
        <f aca="false">INDEX(Train_In!$C$26:$E$26,O$7)</f>
        <v>4096</v>
      </c>
      <c r="P32" s="76" t="n">
        <f aca="false">INDEX(Train_In!$C$26:$E$26,P$7)</f>
        <v>8192</v>
      </c>
      <c r="Q32" s="76" t="n">
        <f aca="false">INDEX(Train_In!$C$26:$E$26,Q$7)</f>
        <v>4096</v>
      </c>
      <c r="R32" s="76" t="n">
        <f aca="false">INDEX(Train_In!$C$26:$E$26,R$7)</f>
        <v>8192</v>
      </c>
      <c r="S32" s="76" t="n">
        <f aca="false">INDEX(Train_In!$C$26:$E$26,S$7)</f>
        <v>4096</v>
      </c>
      <c r="T32" s="76" t="n">
        <f aca="false">INDEX(Train_In!$C$26:$E$26,T$7)</f>
        <v>8192</v>
      </c>
      <c r="U32" s="76" t="n">
        <f aca="false">INDEX(Train_In!$C$26:$E$26,U$7)</f>
        <v>4096</v>
      </c>
      <c r="V32" s="76" t="n">
        <f aca="false">INDEX(Train_In!$C$26:$E$26,V$7)</f>
        <v>8192</v>
      </c>
      <c r="W32" s="76" t="n">
        <f aca="false">INDEX(Train_In!$C$26:$E$26,W$7)</f>
        <v>4096</v>
      </c>
      <c r="X32" s="76" t="n">
        <f aca="false">INDEX(Train_In!$C$26:$E$26,X$7)</f>
        <v>8192</v>
      </c>
      <c r="Y32" s="76" t="n">
        <f aca="false">INDEX(Train_In!$C$26:$E$26,Y$7)</f>
        <v>4096</v>
      </c>
      <c r="Z32" s="76" t="n">
        <f aca="false">INDEX(Train_In!$C$26:$E$26,Z$7)</f>
        <v>8192</v>
      </c>
      <c r="AA32" s="76" t="n">
        <f aca="false">INDEX(Train_In!$C$26:$E$26,AA$7)</f>
        <v>4096</v>
      </c>
      <c r="AB32" s="76" t="n">
        <f aca="false">INDEX(Train_In!$C$26:$E$26,AB$7)</f>
        <v>8192</v>
      </c>
      <c r="AC32" s="76" t="n">
        <f aca="false">INDEX(Train_In!$C$26:$E$26,AC$7)</f>
        <v>4096</v>
      </c>
      <c r="AD32" s="76" t="n">
        <f aca="false">INDEX(Train_In!$C$26:$E$26,AD$7)</f>
        <v>8192</v>
      </c>
      <c r="AE32" s="76" t="n">
        <f aca="false">INDEX(Train_In!$C$26:$E$26,AE$7)</f>
        <v>4096</v>
      </c>
      <c r="AF32" s="76" t="n">
        <f aca="false">INDEX(Train_In!$C$26:$E$26,AF$7)</f>
        <v>8192</v>
      </c>
      <c r="AG32" s="76" t="n">
        <f aca="false">INDEX(Train_In!$C$26:$E$26,AG$7)</f>
        <v>4096</v>
      </c>
      <c r="AH32" s="76" t="n">
        <f aca="false">INDEX(Train_In!$C$26:$E$26,AH$7)</f>
        <v>8192</v>
      </c>
    </row>
    <row r="33" customFormat="false" ht="15" hidden="false" customHeight="false" outlineLevel="0" collapsed="false">
      <c r="A33" s="44" t="s">
        <v>925</v>
      </c>
      <c r="B33" s="45" t="s">
        <v>236</v>
      </c>
      <c r="C33" s="56" t="n">
        <f aca="false">C32/2</f>
        <v>2048</v>
      </c>
      <c r="D33" s="56" t="n">
        <f aca="false">D32/2</f>
        <v>4096</v>
      </c>
      <c r="E33" s="56" t="n">
        <f aca="false">E32/2</f>
        <v>2048</v>
      </c>
      <c r="F33" s="56" t="n">
        <f aca="false">F32/2</f>
        <v>4096</v>
      </c>
      <c r="G33" s="56" t="n">
        <f aca="false">G32/2</f>
        <v>2048</v>
      </c>
      <c r="H33" s="56" t="n">
        <f aca="false">H32/2</f>
        <v>4096</v>
      </c>
      <c r="I33" s="56" t="n">
        <f aca="false">I32/2</f>
        <v>2048</v>
      </c>
      <c r="J33" s="56" t="n">
        <f aca="false">J32/2</f>
        <v>4096</v>
      </c>
      <c r="K33" s="56" t="n">
        <f aca="false">K32/2</f>
        <v>2048</v>
      </c>
      <c r="L33" s="56" t="n">
        <f aca="false">L32/2</f>
        <v>4096</v>
      </c>
      <c r="M33" s="56" t="n">
        <f aca="false">M32/2</f>
        <v>2048</v>
      </c>
      <c r="N33" s="56" t="n">
        <f aca="false">N32/2</f>
        <v>4096</v>
      </c>
      <c r="O33" s="56" t="n">
        <f aca="false">O32/2</f>
        <v>2048</v>
      </c>
      <c r="P33" s="56" t="n">
        <f aca="false">P32/2</f>
        <v>4096</v>
      </c>
      <c r="Q33" s="56" t="n">
        <f aca="false">Q32/2</f>
        <v>2048</v>
      </c>
      <c r="R33" s="56" t="n">
        <f aca="false">R32/2</f>
        <v>4096</v>
      </c>
      <c r="S33" s="56" t="n">
        <f aca="false">S32/2</f>
        <v>2048</v>
      </c>
      <c r="T33" s="56" t="n">
        <f aca="false">T32/2</f>
        <v>4096</v>
      </c>
      <c r="U33" s="56" t="n">
        <f aca="false">U32/2</f>
        <v>2048</v>
      </c>
      <c r="V33" s="56" t="n">
        <f aca="false">V32/2</f>
        <v>4096</v>
      </c>
      <c r="W33" s="56" t="n">
        <f aca="false">W32/2</f>
        <v>2048</v>
      </c>
      <c r="X33" s="56" t="n">
        <f aca="false">X32/2</f>
        <v>4096</v>
      </c>
      <c r="Y33" s="56" t="n">
        <f aca="false">Y32/2</f>
        <v>2048</v>
      </c>
      <c r="Z33" s="56" t="n">
        <f aca="false">Z32/2</f>
        <v>4096</v>
      </c>
      <c r="AA33" s="56" t="n">
        <f aca="false">AA32/2</f>
        <v>2048</v>
      </c>
      <c r="AB33" s="56" t="n">
        <f aca="false">AB32/2</f>
        <v>4096</v>
      </c>
      <c r="AC33" s="56" t="n">
        <f aca="false">AC32/2</f>
        <v>2048</v>
      </c>
      <c r="AD33" s="56" t="n">
        <f aca="false">AD32/2</f>
        <v>4096</v>
      </c>
      <c r="AE33" s="56" t="n">
        <f aca="false">AE32/2</f>
        <v>2048</v>
      </c>
      <c r="AF33" s="56" t="n">
        <f aca="false">AF32/2</f>
        <v>4096</v>
      </c>
      <c r="AG33" s="56" t="n">
        <f aca="false">AG32/2</f>
        <v>2048</v>
      </c>
      <c r="AH33" s="56" t="n">
        <f aca="false">AH32/2</f>
        <v>4096</v>
      </c>
    </row>
    <row r="34" customFormat="false" ht="15" hidden="false" customHeight="false" outlineLevel="0" collapsed="false">
      <c r="A34" s="44" t="s">
        <v>926</v>
      </c>
      <c r="B34" s="45" t="s">
        <v>409</v>
      </c>
      <c r="C34" s="55" t="n">
        <f aca="false">3*(2*C22*1000000000+C23*C33)*C28/1000000000</f>
        <v>392.247376896</v>
      </c>
      <c r="D34" s="55" t="n">
        <f aca="false">3*(2*D22*1000000000+D23*D33)*D28/1000000000</f>
        <v>1140.3979776</v>
      </c>
      <c r="E34" s="55" t="n">
        <f aca="false">3*(2*E22*1000000000+E23*E33)*E28/1000000000</f>
        <v>392.247376896</v>
      </c>
      <c r="F34" s="55" t="n">
        <f aca="false">3*(2*F22*1000000000+F23*F33)*F28/1000000000</f>
        <v>1140.3979776</v>
      </c>
      <c r="G34" s="55" t="n">
        <f aca="false">3*(2*G22*1000000000+G23*G33)*G28/1000000000</f>
        <v>392.247376896</v>
      </c>
      <c r="H34" s="55" t="n">
        <f aca="false">3*(2*H22*1000000000+H23*H33)*H28/1000000000</f>
        <v>1140.3979776</v>
      </c>
      <c r="I34" s="55" t="n">
        <f aca="false">3*(2*I22*1000000000+I23*I33)*I28/1000000000</f>
        <v>392.247376896</v>
      </c>
      <c r="J34" s="55" t="n">
        <f aca="false">3*(2*J22*1000000000+J23*J33)*J28/1000000000</f>
        <v>1140.3979776</v>
      </c>
      <c r="K34" s="55" t="n">
        <f aca="false">3*(2*K22*1000000000+K23*K33)*K28/1000000000</f>
        <v>392.247376896</v>
      </c>
      <c r="L34" s="55" t="n">
        <f aca="false">3*(2*L22*1000000000+L23*L33)*L28/1000000000</f>
        <v>1140.3979776</v>
      </c>
      <c r="M34" s="55" t="n">
        <f aca="false">3*(2*M22*1000000000+M23*M33)*M28/1000000000</f>
        <v>392.247376896</v>
      </c>
      <c r="N34" s="55" t="n">
        <f aca="false">3*(2*N22*1000000000+N23*N33)*N28/1000000000</f>
        <v>1140.3979776</v>
      </c>
      <c r="O34" s="55" t="n">
        <f aca="false">3*(2*O22*1000000000+O23*O33)*O28/1000000000</f>
        <v>392.247376896</v>
      </c>
      <c r="P34" s="55" t="n">
        <f aca="false">3*(2*P22*1000000000+P23*P33)*P28/1000000000</f>
        <v>1140.3979776</v>
      </c>
      <c r="Q34" s="55" t="n">
        <f aca="false">3*(2*Q22*1000000000+Q23*Q33)*Q28/1000000000</f>
        <v>392.247376896</v>
      </c>
      <c r="R34" s="55" t="n">
        <f aca="false">3*(2*R22*1000000000+R23*R33)*R28/1000000000</f>
        <v>1140.3979776</v>
      </c>
      <c r="S34" s="55" t="n">
        <f aca="false">3*(2*S22*1000000000+S23*S33)*S28/1000000000</f>
        <v>392.247376896</v>
      </c>
      <c r="T34" s="55" t="n">
        <f aca="false">3*(2*T22*1000000000+T23*T33)*T28/1000000000</f>
        <v>1140.3979776</v>
      </c>
      <c r="U34" s="55" t="n">
        <f aca="false">3*(2*U22*1000000000+U23*U33)*U28/1000000000</f>
        <v>392.247376896</v>
      </c>
      <c r="V34" s="55" t="n">
        <f aca="false">3*(2*V22*1000000000+V23*V33)*V28/1000000000</f>
        <v>1140.3979776</v>
      </c>
      <c r="W34" s="55" t="n">
        <f aca="false">3*(2*W22*1000000000+W23*W33)*W28/1000000000</f>
        <v>392.247376896</v>
      </c>
      <c r="X34" s="55" t="n">
        <f aca="false">3*(2*X22*1000000000+X23*X33)*X28/1000000000</f>
        <v>1140.3979776</v>
      </c>
      <c r="Y34" s="55" t="n">
        <f aca="false">3*(2*Y22*1000000000+Y23*Y33)*Y28/1000000000</f>
        <v>392.247376896</v>
      </c>
      <c r="Z34" s="55" t="n">
        <f aca="false">3*(2*Z22*1000000000+Z23*Z33)*Z28/1000000000</f>
        <v>1140.3979776</v>
      </c>
      <c r="AA34" s="55" t="n">
        <f aca="false">3*(2*AA22*1000000000+AA23*AA33)*AA28/1000000000</f>
        <v>392.247376896</v>
      </c>
      <c r="AB34" s="55" t="n">
        <f aca="false">3*(2*AB22*1000000000+AB23*AB33)*AB28/1000000000</f>
        <v>1140.3979776</v>
      </c>
      <c r="AC34" s="55" t="n">
        <f aca="false">3*(2*AC22*1000000000+AC23*AC33)*AC28/1000000000</f>
        <v>392.247376896</v>
      </c>
      <c r="AD34" s="55" t="n">
        <f aca="false">3*(2*AD22*1000000000+AD23*AD33)*AD28/1000000000</f>
        <v>1140.3979776</v>
      </c>
      <c r="AE34" s="55" t="n">
        <f aca="false">3*(2*AE22*1000000000+AE23*AE33)*AE28/1000000000</f>
        <v>392.247376896</v>
      </c>
      <c r="AF34" s="55" t="n">
        <f aca="false">3*(2*AF22*1000000000+AF23*AF33)*AF28/1000000000</f>
        <v>1140.3979776</v>
      </c>
      <c r="AG34" s="55" t="n">
        <f aca="false">3*(2*AG22*1000000000+AG23*AG33)*AG28/1000000000</f>
        <v>392.247376896</v>
      </c>
      <c r="AH34" s="55" t="n">
        <f aca="false">3*(2*AH22*1000000000+AH23*AH33)*AH28/1000000000</f>
        <v>1140.3979776</v>
      </c>
    </row>
    <row r="35" customFormat="false" ht="15" hidden="false" customHeight="false" outlineLevel="0" collapsed="false">
      <c r="A35" s="44" t="s">
        <v>927</v>
      </c>
      <c r="B35" s="45" t="s">
        <v>259</v>
      </c>
      <c r="C35" s="131" t="n">
        <f aca="false">C34*1000000000*C31*1000000000000</f>
        <v>1.2944163437568E+025</v>
      </c>
      <c r="D35" s="131" t="n">
        <f aca="false">D34*1000000000*D31*1000000000000</f>
        <v>6.8423878656E+025</v>
      </c>
      <c r="E35" s="131" t="n">
        <f aca="false">E34*1000000000*E31*1000000000000</f>
        <v>1.2944163437568E+025</v>
      </c>
      <c r="F35" s="131" t="n">
        <f aca="false">F34*1000000000*F31*1000000000000</f>
        <v>6.8423878656E+025</v>
      </c>
      <c r="G35" s="131" t="n">
        <f aca="false">G34*1000000000*G31*1000000000000</f>
        <v>1.2944163437568E+025</v>
      </c>
      <c r="H35" s="131" t="n">
        <f aca="false">H34*1000000000*H31*1000000000000</f>
        <v>6.8423878656E+025</v>
      </c>
      <c r="I35" s="131" t="n">
        <f aca="false">I34*1000000000*I31*1000000000000</f>
        <v>1.2944163437568E+025</v>
      </c>
      <c r="J35" s="131" t="n">
        <f aca="false">J34*1000000000*J31*1000000000000</f>
        <v>6.8423878656E+025</v>
      </c>
      <c r="K35" s="131" t="n">
        <f aca="false">K34*1000000000*K31*1000000000000</f>
        <v>6.472081718784E+024</v>
      </c>
      <c r="L35" s="131" t="n">
        <f aca="false">L34*1000000000*L31*1000000000000</f>
        <v>3.4211939328E+025</v>
      </c>
      <c r="M35" s="131" t="n">
        <f aca="false">M34*1000000000*M31*1000000000000</f>
        <v>2.16167529407386E+025</v>
      </c>
      <c r="N35" s="131" t="n">
        <f aca="false">N34*1000000000*N31*1000000000000</f>
        <v>1.1426787735552E+026</v>
      </c>
      <c r="O35" s="131" t="n">
        <f aca="false">O34*1000000000*O31*1000000000000</f>
        <v>1.2944163437568E+025</v>
      </c>
      <c r="P35" s="131" t="n">
        <f aca="false">P34*1000000000*P31*1000000000000</f>
        <v>6.8423878656E+025</v>
      </c>
      <c r="Q35" s="131" t="n">
        <f aca="false">Q34*1000000000*Q31*1000000000000</f>
        <v>1.2944163437568E+025</v>
      </c>
      <c r="R35" s="131" t="n">
        <f aca="false">R34*1000000000*R31*1000000000000</f>
        <v>6.8423878656E+025</v>
      </c>
      <c r="S35" s="131" t="n">
        <f aca="false">S34*1000000000*S31*1000000000000</f>
        <v>1.2944163437568E+025</v>
      </c>
      <c r="T35" s="131" t="n">
        <f aca="false">T34*1000000000*T31*1000000000000</f>
        <v>6.8423878656E+025</v>
      </c>
      <c r="U35" s="131" t="n">
        <f aca="false">U34*1000000000*U31*1000000000000</f>
        <v>1.2944163437568E+025</v>
      </c>
      <c r="V35" s="131" t="n">
        <f aca="false">V34*1000000000*V31*1000000000000</f>
        <v>6.8423878656E+025</v>
      </c>
      <c r="W35" s="131" t="n">
        <f aca="false">W34*1000000000*W31*1000000000000</f>
        <v>1.2944163437568E+025</v>
      </c>
      <c r="X35" s="131" t="n">
        <f aca="false">X34*1000000000*X31*1000000000000</f>
        <v>6.8423878656E+025</v>
      </c>
      <c r="Y35" s="131" t="n">
        <f aca="false">Y34*1000000000*Y31*1000000000000</f>
        <v>1.2944163437568E+025</v>
      </c>
      <c r="Z35" s="131" t="n">
        <f aca="false">Z34*1000000000*Z31*1000000000000</f>
        <v>6.8423878656E+025</v>
      </c>
      <c r="AA35" s="131" t="n">
        <f aca="false">AA34*1000000000*AA31*1000000000000</f>
        <v>1.2944163437568E+025</v>
      </c>
      <c r="AB35" s="131" t="n">
        <f aca="false">AB34*1000000000*AB31*1000000000000</f>
        <v>6.8423878656E+025</v>
      </c>
      <c r="AC35" s="131" t="n">
        <f aca="false">AC34*1000000000*AC31*1000000000000</f>
        <v>1.2944163437568E+025</v>
      </c>
      <c r="AD35" s="131" t="n">
        <f aca="false">AD34*1000000000*AD31*1000000000000</f>
        <v>6.8423878656E+025</v>
      </c>
      <c r="AE35" s="131" t="n">
        <f aca="false">AE34*1000000000*AE31*1000000000000</f>
        <v>1.2944163437568E+025</v>
      </c>
      <c r="AF35" s="131" t="n">
        <f aca="false">AF34*1000000000*AF31*1000000000000</f>
        <v>6.8423878656E+025</v>
      </c>
      <c r="AG35" s="131" t="n">
        <f aca="false">AG34*1000000000*AG31*1000000000000</f>
        <v>1.2944163437568E+025</v>
      </c>
      <c r="AH35" s="131" t="n">
        <f aca="false">AH34*1000000000*AH31*1000000000000</f>
        <v>6.8423878656E+025</v>
      </c>
    </row>
    <row r="36" customFormat="false" ht="15" hidden="false" customHeight="false" outlineLevel="0" collapsed="false">
      <c r="A36" s="44" t="s">
        <v>928</v>
      </c>
      <c r="B36" s="45" t="s">
        <v>929</v>
      </c>
      <c r="C36" s="51" t="n">
        <f aca="false">C35/(C12*1000000000000000*C16*1*C17)/3600</f>
        <v>1014631.66275273</v>
      </c>
      <c r="D36" s="51" t="n">
        <f aca="false">D35/(D12*1000000000000000*D16*1*D17)/3600</f>
        <v>5363423.76296296</v>
      </c>
      <c r="E36" s="51" t="n">
        <f aca="false">E35/(E12*1000000000000000*E16*1*E17)/3600</f>
        <v>1691052.77125456</v>
      </c>
      <c r="F36" s="51" t="n">
        <f aca="false">F35/(F12*1000000000000000*F16*1*F17)/3600</f>
        <v>8939039.60493827</v>
      </c>
      <c r="G36" s="51" t="n">
        <f aca="false">G35/(G12*1000000000000000*G16*1*G17)/3600</f>
        <v>634144.789220458</v>
      </c>
      <c r="H36" s="51" t="n">
        <f aca="false">H35/(H12*1000000000000000*H16*1*H17)/3600</f>
        <v>3352139.85185185</v>
      </c>
      <c r="I36" s="51" t="n">
        <f aca="false">I35/(I12*1000000000000000*I16*1*I17)/3600</f>
        <v>507315.831376367</v>
      </c>
      <c r="J36" s="51" t="n">
        <f aca="false">J35/(J12*1000000000000000*J16*1*J17)/3600</f>
        <v>2681711.88148148</v>
      </c>
      <c r="K36" s="51" t="n">
        <f aca="false">K35/(K12*1000000000000000*K16*1*K17)/3600</f>
        <v>507315.831376367</v>
      </c>
      <c r="L36" s="51" t="n">
        <f aca="false">L35/(L12*1000000000000000*L16*1*L17)/3600</f>
        <v>2681711.88148148</v>
      </c>
      <c r="M36" s="51" t="n">
        <f aca="false">M35/(M12*1000000000000000*M16*1*M17)/3600</f>
        <v>1694434.87679707</v>
      </c>
      <c r="N36" s="51" t="n">
        <f aca="false">N35/(N12*1000000000000000*N16*1*N17)/3600</f>
        <v>8956917.68414815</v>
      </c>
      <c r="O36" s="51" t="n">
        <f aca="false">O35/(O12*1000000000000000*O16*1*O17)/3600</f>
        <v>1014631.66275273</v>
      </c>
      <c r="P36" s="51" t="n">
        <f aca="false">P35/(P12*1000000000000000*P16*1*P17)/3600</f>
        <v>5363423.76296296</v>
      </c>
      <c r="Q36" s="51" t="n">
        <f aca="false">Q35/(Q12*1000000000000000*Q16*1*Q17)/3600</f>
        <v>1014631.66275273</v>
      </c>
      <c r="R36" s="51" t="n">
        <f aca="false">R35/(R12*1000000000000000*R16*1*R17)/3600</f>
        <v>5363423.76296296</v>
      </c>
      <c r="S36" s="51" t="n">
        <f aca="false">S35/(S12*1000000000000000*S16*1*S17)/3600</f>
        <v>1014631.66275273</v>
      </c>
      <c r="T36" s="51" t="n">
        <f aca="false">T35/(T12*1000000000000000*T16*1*T17)/3600</f>
        <v>5363423.76296296</v>
      </c>
      <c r="U36" s="51" t="n">
        <f aca="false">U35/(U12*1000000000000000*U16*1*U17)/3600</f>
        <v>1014631.66275273</v>
      </c>
      <c r="V36" s="51" t="n">
        <f aca="false">V35/(V12*1000000000000000*V16*1*V17)/3600</f>
        <v>5363423.76296296</v>
      </c>
      <c r="W36" s="51" t="n">
        <f aca="false">W35/(W12*1000000000000000*W16*1*W17)/3600</f>
        <v>1014631.66275273</v>
      </c>
      <c r="X36" s="51" t="n">
        <f aca="false">X35/(X12*1000000000000000*X16*1*X17)/3600</f>
        <v>5363423.76296296</v>
      </c>
      <c r="Y36" s="51" t="n">
        <f aca="false">Y35/(Y12*1000000000000000*Y16*1*Y17)/3600</f>
        <v>1014631.66275273</v>
      </c>
      <c r="Z36" s="51" t="n">
        <f aca="false">Z35/(Z12*1000000000000000*Z16*1*Z17)/3600</f>
        <v>5363423.76296296</v>
      </c>
      <c r="AA36" s="51" t="n">
        <f aca="false">AA35/(AA12*1000000000000000*AA16*1*AA17)/3600</f>
        <v>1014631.66275273</v>
      </c>
      <c r="AB36" s="51" t="n">
        <f aca="false">AB35/(AB12*1000000000000000*AB16*1*AB17)/3600</f>
        <v>5363423.76296296</v>
      </c>
      <c r="AC36" s="51" t="n">
        <f aca="false">AC35/(AC12*1000000000000000*AC16*1*AC17)/3600</f>
        <v>1014631.66275273</v>
      </c>
      <c r="AD36" s="51" t="n">
        <f aca="false">AD35/(AD12*1000000000000000*AD16*1*AD17)/3600</f>
        <v>5363423.76296296</v>
      </c>
      <c r="AE36" s="51" t="n">
        <f aca="false">AE35/(AE12*1000000000000000*AE16*1*AE17)/3600</f>
        <v>1014631.66275273</v>
      </c>
      <c r="AF36" s="51" t="n">
        <f aca="false">AF35/(AF12*1000000000000000*AF16*1*AF17)/3600</f>
        <v>5363423.76296296</v>
      </c>
      <c r="AG36" s="51" t="n">
        <f aca="false">AG35/(AG12*1000000000000000*AG16*1*AG17)/3600</f>
        <v>1141460.62059683</v>
      </c>
      <c r="AH36" s="51" t="n">
        <f aca="false">AH35/(AH12*1000000000000000*AH16*1*AH17)/3600</f>
        <v>6033851.73333333</v>
      </c>
    </row>
    <row r="37" customFormat="false" ht="15" hidden="false" customHeight="false" outlineLevel="0" collapsed="false">
      <c r="A37" s="72" t="s">
        <v>930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</row>
    <row r="38" customFormat="false" ht="15" hidden="false" customHeight="false" outlineLevel="0" collapsed="false">
      <c r="A38" s="44" t="s">
        <v>931</v>
      </c>
      <c r="B38" s="45" t="s">
        <v>861</v>
      </c>
      <c r="C38" s="80" t="n">
        <f aca="false">INDEX(Train_In!$C$27:$E$27,C$7)</f>
        <v>1</v>
      </c>
      <c r="D38" s="80" t="n">
        <f aca="false">INDEX(Train_In!$C$27:$E$27,D$7)</f>
        <v>2</v>
      </c>
      <c r="E38" s="80" t="n">
        <f aca="false">INDEX(Train_In!$C$27:$E$27,E$7)</f>
        <v>1</v>
      </c>
      <c r="F38" s="80" t="n">
        <f aca="false">INDEX(Train_In!$C$27:$E$27,F$7)</f>
        <v>2</v>
      </c>
      <c r="G38" s="80" t="n">
        <f aca="false">INDEX(Train_In!$C$27:$E$27,G$7)</f>
        <v>1</v>
      </c>
      <c r="H38" s="80" t="n">
        <f aca="false">INDEX(Train_In!$C$27:$E$27,H$7)</f>
        <v>2</v>
      </c>
      <c r="I38" s="80" t="n">
        <f aca="false">INDEX(Train_In!$C$27:$E$27,I$7)</f>
        <v>1</v>
      </c>
      <c r="J38" s="80" t="n">
        <f aca="false">INDEX(Train_In!$C$27:$E$27,J$7)</f>
        <v>2</v>
      </c>
      <c r="K38" s="80" t="n">
        <f aca="false">INDEX(Train_In!$C$27:$E$27,K$7)</f>
        <v>1</v>
      </c>
      <c r="L38" s="80" t="n">
        <f aca="false">INDEX(Train_In!$C$27:$E$27,L$7)</f>
        <v>2</v>
      </c>
      <c r="M38" s="80" t="n">
        <f aca="false">INDEX(Train_In!$C$27:$E$27,M$7)</f>
        <v>1</v>
      </c>
      <c r="N38" s="80" t="n">
        <f aca="false">INDEX(Train_In!$C$27:$E$27,N$7)</f>
        <v>2</v>
      </c>
      <c r="O38" s="80" t="n">
        <f aca="false">INDEX(Train_In!$C$27:$E$27,O$7)</f>
        <v>1</v>
      </c>
      <c r="P38" s="80" t="n">
        <f aca="false">INDEX(Train_In!$C$27:$E$27,P$7)</f>
        <v>2</v>
      </c>
      <c r="Q38" s="80" t="n">
        <f aca="false">INDEX(Train_In!$C$27:$E$27,Q$7)</f>
        <v>1</v>
      </c>
      <c r="R38" s="80" t="n">
        <f aca="false">INDEX(Train_In!$C$27:$E$27,R$7)</f>
        <v>2</v>
      </c>
      <c r="S38" s="80" t="n">
        <f aca="false">INDEX(Train_In!$C$27:$E$27,S$7)</f>
        <v>1</v>
      </c>
      <c r="T38" s="80" t="n">
        <f aca="false">INDEX(Train_In!$C$27:$E$27,T$7)</f>
        <v>2</v>
      </c>
      <c r="U38" s="80" t="n">
        <f aca="false">INDEX(Train_In!$C$27:$E$27,U$7)</f>
        <v>1</v>
      </c>
      <c r="V38" s="80" t="n">
        <f aca="false">INDEX(Train_In!$C$27:$E$27,V$7)</f>
        <v>2</v>
      </c>
      <c r="W38" s="80" t="n">
        <f aca="false">INDEX(Train_In!$C$27:$E$27,W$7)</f>
        <v>1</v>
      </c>
      <c r="X38" s="80" t="n">
        <f aca="false">INDEX(Train_In!$C$27:$E$27,X$7)</f>
        <v>2</v>
      </c>
      <c r="Y38" s="80" t="n">
        <f aca="false">INDEX(Train_In!$C$27:$E$27,Y$7)</f>
        <v>1</v>
      </c>
      <c r="Z38" s="80" t="n">
        <f aca="false">INDEX(Train_In!$C$27:$E$27,Z$7)</f>
        <v>2</v>
      </c>
      <c r="AA38" s="80" t="n">
        <f aca="false">INDEX(Train_In!$C$27:$E$27,AA$7)</f>
        <v>1</v>
      </c>
      <c r="AB38" s="80" t="n">
        <f aca="false">INDEX(Train_In!$C$27:$E$27,AB$7)</f>
        <v>2</v>
      </c>
      <c r="AC38" s="80" t="n">
        <f aca="false">INDEX(Train_In!$C$27:$E$27,AC$7)</f>
        <v>1</v>
      </c>
      <c r="AD38" s="80" t="n">
        <f aca="false">INDEX(Train_In!$C$27:$E$27,AD$7)</f>
        <v>2</v>
      </c>
      <c r="AE38" s="80" t="n">
        <f aca="false">INDEX(Train_In!$C$27:$E$27,AE$7)</f>
        <v>1</v>
      </c>
      <c r="AF38" s="80" t="n">
        <f aca="false">INDEX(Train_In!$C$27:$E$27,AF$7)</f>
        <v>2</v>
      </c>
      <c r="AG38" s="80" t="n">
        <f aca="false">INDEX(Train_In!$C$27:$E$27,AG$7)</f>
        <v>1</v>
      </c>
      <c r="AH38" s="80" t="n">
        <f aca="false">INDEX(Train_In!$C$27:$E$27,AH$7)</f>
        <v>2</v>
      </c>
    </row>
    <row r="39" customFormat="false" ht="15" hidden="false" customHeight="false" outlineLevel="0" collapsed="false">
      <c r="A39" s="44" t="s">
        <v>924</v>
      </c>
      <c r="B39" s="45" t="s">
        <v>236</v>
      </c>
      <c r="C39" s="76" t="n">
        <f aca="false">INDEX(Train_In!$C$28:$E$28,C$7)</f>
        <v>131072</v>
      </c>
      <c r="D39" s="76" t="n">
        <f aca="false">INDEX(Train_In!$C$28:$E$28,D$7)</f>
        <v>131072</v>
      </c>
      <c r="E39" s="76" t="n">
        <f aca="false">INDEX(Train_In!$C$28:$E$28,E$7)</f>
        <v>131072</v>
      </c>
      <c r="F39" s="76" t="n">
        <f aca="false">INDEX(Train_In!$C$28:$E$28,F$7)</f>
        <v>131072</v>
      </c>
      <c r="G39" s="76" t="n">
        <f aca="false">INDEX(Train_In!$C$28:$E$28,G$7)</f>
        <v>131072</v>
      </c>
      <c r="H39" s="76" t="n">
        <f aca="false">INDEX(Train_In!$C$28:$E$28,H$7)</f>
        <v>131072</v>
      </c>
      <c r="I39" s="76" t="n">
        <f aca="false">INDEX(Train_In!$C$28:$E$28,I$7)</f>
        <v>131072</v>
      </c>
      <c r="J39" s="76" t="n">
        <f aca="false">INDEX(Train_In!$C$28:$E$28,J$7)</f>
        <v>131072</v>
      </c>
      <c r="K39" s="76" t="n">
        <f aca="false">INDEX(Train_In!$C$28:$E$28,K$7)</f>
        <v>131072</v>
      </c>
      <c r="L39" s="76" t="n">
        <f aca="false">INDEX(Train_In!$C$28:$E$28,L$7)</f>
        <v>131072</v>
      </c>
      <c r="M39" s="76" t="n">
        <f aca="false">INDEX(Train_In!$C$28:$E$28,M$7)</f>
        <v>131072</v>
      </c>
      <c r="N39" s="76" t="n">
        <f aca="false">INDEX(Train_In!$C$28:$E$28,N$7)</f>
        <v>131072</v>
      </c>
      <c r="O39" s="76" t="n">
        <f aca="false">INDEX(Train_In!$C$28:$E$28,O$7)</f>
        <v>131072</v>
      </c>
      <c r="P39" s="76" t="n">
        <f aca="false">INDEX(Train_In!$C$28:$E$28,P$7)</f>
        <v>131072</v>
      </c>
      <c r="Q39" s="76" t="n">
        <f aca="false">INDEX(Train_In!$C$28:$E$28,Q$7)</f>
        <v>131072</v>
      </c>
      <c r="R39" s="76" t="n">
        <f aca="false">INDEX(Train_In!$C$28:$E$28,R$7)</f>
        <v>131072</v>
      </c>
      <c r="S39" s="76" t="n">
        <f aca="false">INDEX(Train_In!$C$28:$E$28,S$7)</f>
        <v>131072</v>
      </c>
      <c r="T39" s="76" t="n">
        <f aca="false">INDEX(Train_In!$C$28:$E$28,T$7)</f>
        <v>131072</v>
      </c>
      <c r="U39" s="76" t="n">
        <f aca="false">INDEX(Train_In!$C$28:$E$28,U$7)</f>
        <v>131072</v>
      </c>
      <c r="V39" s="76" t="n">
        <f aca="false">INDEX(Train_In!$C$28:$E$28,V$7)</f>
        <v>131072</v>
      </c>
      <c r="W39" s="76" t="n">
        <f aca="false">INDEX(Train_In!$C$28:$E$28,W$7)</f>
        <v>131072</v>
      </c>
      <c r="X39" s="76" t="n">
        <f aca="false">INDEX(Train_In!$C$28:$E$28,X$7)</f>
        <v>131072</v>
      </c>
      <c r="Y39" s="76" t="n">
        <f aca="false">INDEX(Train_In!$C$28:$E$28,Y$7)</f>
        <v>131072</v>
      </c>
      <c r="Z39" s="76" t="n">
        <f aca="false">INDEX(Train_In!$C$28:$E$28,Z$7)</f>
        <v>131072</v>
      </c>
      <c r="AA39" s="76" t="n">
        <f aca="false">INDEX(Train_In!$C$28:$E$28,AA$7)</f>
        <v>131072</v>
      </c>
      <c r="AB39" s="76" t="n">
        <f aca="false">INDEX(Train_In!$C$28:$E$28,AB$7)</f>
        <v>131072</v>
      </c>
      <c r="AC39" s="76" t="n">
        <f aca="false">INDEX(Train_In!$C$28:$E$28,AC$7)</f>
        <v>131072</v>
      </c>
      <c r="AD39" s="76" t="n">
        <f aca="false">INDEX(Train_In!$C$28:$E$28,AD$7)</f>
        <v>131072</v>
      </c>
      <c r="AE39" s="76" t="n">
        <f aca="false">INDEX(Train_In!$C$28:$E$28,AE$7)</f>
        <v>131072</v>
      </c>
      <c r="AF39" s="76" t="n">
        <f aca="false">INDEX(Train_In!$C$28:$E$28,AF$7)</f>
        <v>131072</v>
      </c>
      <c r="AG39" s="76" t="n">
        <f aca="false">INDEX(Train_In!$C$28:$E$28,AG$7)</f>
        <v>131072</v>
      </c>
      <c r="AH39" s="76" t="n">
        <f aca="false">INDEX(Train_In!$C$28:$E$28,AH$7)</f>
        <v>131072</v>
      </c>
    </row>
    <row r="40" customFormat="false" ht="15" hidden="false" customHeight="false" outlineLevel="0" collapsed="false">
      <c r="A40" s="44" t="s">
        <v>932</v>
      </c>
      <c r="B40" s="45" t="s">
        <v>236</v>
      </c>
      <c r="C40" s="56" t="n">
        <f aca="false">C24*IF(C25=0,C39/2,MIN(C39/2,C25))+(1-C24)*(C39/2/C26+C27)</f>
        <v>2432</v>
      </c>
      <c r="D40" s="56" t="n">
        <f aca="false">D24*IF(D25=0,D39/2,MIN(D39/2,D25))+(1-D24)*(D39/2/D26+D27)</f>
        <v>65536</v>
      </c>
      <c r="E40" s="56" t="n">
        <f aca="false">E24*IF(E25=0,E39/2,MIN(E39/2,E25))+(1-E24)*(E39/2/E26+E27)</f>
        <v>2432</v>
      </c>
      <c r="F40" s="56" t="n">
        <f aca="false">F24*IF(F25=0,F39/2,MIN(F39/2,F25))+(1-F24)*(F39/2/F26+F27)</f>
        <v>65536</v>
      </c>
      <c r="G40" s="56" t="n">
        <f aca="false">G24*IF(G25=0,G39/2,MIN(G39/2,G25))+(1-G24)*(G39/2/G26+G27)</f>
        <v>2432</v>
      </c>
      <c r="H40" s="56" t="n">
        <f aca="false">H24*IF(H25=0,H39/2,MIN(H39/2,H25))+(1-H24)*(H39/2/H26+H27)</f>
        <v>65536</v>
      </c>
      <c r="I40" s="56" t="n">
        <f aca="false">I24*IF(I25=0,I39/2,MIN(I39/2,I25))+(1-I24)*(I39/2/I26+I27)</f>
        <v>2432</v>
      </c>
      <c r="J40" s="56" t="n">
        <f aca="false">J24*IF(J25=0,J39/2,MIN(J39/2,J25))+(1-J24)*(J39/2/J26+J27)</f>
        <v>65536</v>
      </c>
      <c r="K40" s="56" t="n">
        <f aca="false">K24*IF(K25=0,K39/2,MIN(K39/2,K25))+(1-K24)*(K39/2/K26+K27)</f>
        <v>2432</v>
      </c>
      <c r="L40" s="56" t="n">
        <f aca="false">L24*IF(L25=0,L39/2,MIN(L39/2,L25))+(1-L24)*(L39/2/L26+L27)</f>
        <v>65536</v>
      </c>
      <c r="M40" s="56" t="n">
        <f aca="false">M24*IF(M25=0,M39/2,MIN(M39/2,M25))+(1-M24)*(M39/2/M26+M27)</f>
        <v>2432</v>
      </c>
      <c r="N40" s="56" t="n">
        <f aca="false">N24*IF(N25=0,N39/2,MIN(N39/2,N25))+(1-N24)*(N39/2/N26+N27)</f>
        <v>65536</v>
      </c>
      <c r="O40" s="56" t="n">
        <f aca="false">O24*IF(O25=0,O39/2,MIN(O39/2,O25))+(1-O24)*(O39/2/O26+O27)</f>
        <v>2432</v>
      </c>
      <c r="P40" s="56" t="n">
        <f aca="false">P24*IF(P25=0,P39/2,MIN(P39/2,P25))+(1-P24)*(P39/2/P26+P27)</f>
        <v>65536</v>
      </c>
      <c r="Q40" s="56" t="n">
        <f aca="false">Q24*IF(Q25=0,Q39/2,MIN(Q39/2,Q25))+(1-Q24)*(Q39/2/Q26+Q27)</f>
        <v>2432</v>
      </c>
      <c r="R40" s="56" t="n">
        <f aca="false">R24*IF(R25=0,R39/2,MIN(R39/2,R25))+(1-R24)*(R39/2/R26+R27)</f>
        <v>65536</v>
      </c>
      <c r="S40" s="56" t="n">
        <f aca="false">S24*IF(S25=0,S39/2,MIN(S39/2,S25))+(1-S24)*(S39/2/S26+S27)</f>
        <v>2432</v>
      </c>
      <c r="T40" s="56" t="n">
        <f aca="false">T24*IF(T25=0,T39/2,MIN(T39/2,T25))+(1-T24)*(T39/2/T26+T27)</f>
        <v>65536</v>
      </c>
      <c r="U40" s="56" t="n">
        <f aca="false">U24*IF(U25=0,U39/2,MIN(U39/2,U25))+(1-U24)*(U39/2/U26+U27)</f>
        <v>2432</v>
      </c>
      <c r="V40" s="56" t="n">
        <f aca="false">V24*IF(V25=0,V39/2,MIN(V39/2,V25))+(1-V24)*(V39/2/V26+V27)</f>
        <v>65536</v>
      </c>
      <c r="W40" s="56" t="n">
        <f aca="false">W24*IF(W25=0,W39/2,MIN(W39/2,W25))+(1-W24)*(W39/2/W26+W27)</f>
        <v>2432</v>
      </c>
      <c r="X40" s="56" t="n">
        <f aca="false">X24*IF(X25=0,X39/2,MIN(X39/2,X25))+(1-X24)*(X39/2/X26+X27)</f>
        <v>65536</v>
      </c>
      <c r="Y40" s="56" t="n">
        <f aca="false">Y24*IF(Y25=0,Y39/2,MIN(Y39/2,Y25))+(1-Y24)*(Y39/2/Y26+Y27)</f>
        <v>2432</v>
      </c>
      <c r="Z40" s="56" t="n">
        <f aca="false">Z24*IF(Z25=0,Z39/2,MIN(Z39/2,Z25))+(1-Z24)*(Z39/2/Z26+Z27)</f>
        <v>65536</v>
      </c>
      <c r="AA40" s="56" t="n">
        <f aca="false">AA24*IF(AA25=0,AA39/2,MIN(AA39/2,AA25))+(1-AA24)*(AA39/2/AA26+AA27)</f>
        <v>2432</v>
      </c>
      <c r="AB40" s="56" t="n">
        <f aca="false">AB24*IF(AB25=0,AB39/2,MIN(AB39/2,AB25))+(1-AB24)*(AB39/2/AB26+AB27)</f>
        <v>65536</v>
      </c>
      <c r="AC40" s="56" t="n">
        <f aca="false">AC24*IF(AC25=0,AC39/2,MIN(AC39/2,AC25))+(1-AC24)*(AC39/2/AC26+AC27)</f>
        <v>2432</v>
      </c>
      <c r="AD40" s="56" t="n">
        <f aca="false">AD24*IF(AD25=0,AD39/2,MIN(AD39/2,AD25))+(1-AD24)*(AD39/2/AD26+AD27)</f>
        <v>65536</v>
      </c>
      <c r="AE40" s="56" t="n">
        <f aca="false">AE24*IF(AE25=0,AE39/2,MIN(AE39/2,AE25))+(1-AE24)*(AE39/2/AE26+AE27)</f>
        <v>2432</v>
      </c>
      <c r="AF40" s="56" t="n">
        <f aca="false">AF24*IF(AF25=0,AF39/2,MIN(AF39/2,AF25))+(1-AF24)*(AF39/2/AF26+AF27)</f>
        <v>65536</v>
      </c>
      <c r="AG40" s="56" t="n">
        <f aca="false">AG24*IF(AG25=0,AG39/2,MIN(AG39/2,AG25))+(1-AG24)*(AG39/2/AG26+AG27)</f>
        <v>2432</v>
      </c>
      <c r="AH40" s="56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44" t="s">
        <v>926</v>
      </c>
      <c r="B41" s="45" t="s">
        <v>409</v>
      </c>
      <c r="C41" s="55" t="n">
        <f aca="false">3*(2*C22*1000000000+C23*C40)*C28/1000000000</f>
        <v>410.668760064</v>
      </c>
      <c r="D41" s="55" t="n">
        <f aca="false">3*(2*D22*1000000000+D23*D40)*D28/1000000000</f>
        <v>2046.3676416</v>
      </c>
      <c r="E41" s="55" t="n">
        <f aca="false">3*(2*E22*1000000000+E23*E40)*E28/1000000000</f>
        <v>410.668760064</v>
      </c>
      <c r="F41" s="55" t="n">
        <f aca="false">3*(2*F22*1000000000+F23*F40)*F28/1000000000</f>
        <v>2046.3676416</v>
      </c>
      <c r="G41" s="55" t="n">
        <f aca="false">3*(2*G22*1000000000+G23*G40)*G28/1000000000</f>
        <v>410.668760064</v>
      </c>
      <c r="H41" s="55" t="n">
        <f aca="false">3*(2*H22*1000000000+H23*H40)*H28/1000000000</f>
        <v>2046.3676416</v>
      </c>
      <c r="I41" s="55" t="n">
        <f aca="false">3*(2*I22*1000000000+I23*I40)*I28/1000000000</f>
        <v>410.668760064</v>
      </c>
      <c r="J41" s="55" t="n">
        <f aca="false">3*(2*J22*1000000000+J23*J40)*J28/1000000000</f>
        <v>2046.3676416</v>
      </c>
      <c r="K41" s="55" t="n">
        <f aca="false">3*(2*K22*1000000000+K23*K40)*K28/1000000000</f>
        <v>410.668760064</v>
      </c>
      <c r="L41" s="55" t="n">
        <f aca="false">3*(2*L22*1000000000+L23*L40)*L28/1000000000</f>
        <v>2046.3676416</v>
      </c>
      <c r="M41" s="55" t="n">
        <f aca="false">3*(2*M22*1000000000+M23*M40)*M28/1000000000</f>
        <v>410.668760064</v>
      </c>
      <c r="N41" s="55" t="n">
        <f aca="false">3*(2*N22*1000000000+N23*N40)*N28/1000000000</f>
        <v>2046.3676416</v>
      </c>
      <c r="O41" s="55" t="n">
        <f aca="false">3*(2*O22*1000000000+O23*O40)*O28/1000000000</f>
        <v>410.668760064</v>
      </c>
      <c r="P41" s="55" t="n">
        <f aca="false">3*(2*P22*1000000000+P23*P40)*P28/1000000000</f>
        <v>2046.3676416</v>
      </c>
      <c r="Q41" s="55" t="n">
        <f aca="false">3*(2*Q22*1000000000+Q23*Q40)*Q28/1000000000</f>
        <v>410.668760064</v>
      </c>
      <c r="R41" s="55" t="n">
        <f aca="false">3*(2*R22*1000000000+R23*R40)*R28/1000000000</f>
        <v>2046.3676416</v>
      </c>
      <c r="S41" s="55" t="n">
        <f aca="false">3*(2*S22*1000000000+S23*S40)*S28/1000000000</f>
        <v>410.668760064</v>
      </c>
      <c r="T41" s="55" t="n">
        <f aca="false">3*(2*T22*1000000000+T23*T40)*T28/1000000000</f>
        <v>2046.3676416</v>
      </c>
      <c r="U41" s="55" t="n">
        <f aca="false">3*(2*U22*1000000000+U23*U40)*U28/1000000000</f>
        <v>410.668760064</v>
      </c>
      <c r="V41" s="55" t="n">
        <f aca="false">3*(2*V22*1000000000+V23*V40)*V28/1000000000</f>
        <v>2046.3676416</v>
      </c>
      <c r="W41" s="55" t="n">
        <f aca="false">3*(2*W22*1000000000+W23*W40)*W28/1000000000</f>
        <v>410.668760064</v>
      </c>
      <c r="X41" s="55" t="n">
        <f aca="false">3*(2*X22*1000000000+X23*X40)*X28/1000000000</f>
        <v>2046.3676416</v>
      </c>
      <c r="Y41" s="55" t="n">
        <f aca="false">3*(2*Y22*1000000000+Y23*Y40)*Y28/1000000000</f>
        <v>410.668760064</v>
      </c>
      <c r="Z41" s="55" t="n">
        <f aca="false">3*(2*Z22*1000000000+Z23*Z40)*Z28/1000000000</f>
        <v>2046.3676416</v>
      </c>
      <c r="AA41" s="55" t="n">
        <f aca="false">3*(2*AA22*1000000000+AA23*AA40)*AA28/1000000000</f>
        <v>410.668760064</v>
      </c>
      <c r="AB41" s="55" t="n">
        <f aca="false">3*(2*AB22*1000000000+AB23*AB40)*AB28/1000000000</f>
        <v>2046.3676416</v>
      </c>
      <c r="AC41" s="55" t="n">
        <f aca="false">3*(2*AC22*1000000000+AC23*AC40)*AC28/1000000000</f>
        <v>410.668760064</v>
      </c>
      <c r="AD41" s="55" t="n">
        <f aca="false">3*(2*AD22*1000000000+AD23*AD40)*AD28/1000000000</f>
        <v>2046.3676416</v>
      </c>
      <c r="AE41" s="55" t="n">
        <f aca="false">3*(2*AE22*1000000000+AE23*AE40)*AE28/1000000000</f>
        <v>410.668760064</v>
      </c>
      <c r="AF41" s="55" t="n">
        <f aca="false">3*(2*AF22*1000000000+AF23*AF40)*AF28/1000000000</f>
        <v>2046.3676416</v>
      </c>
      <c r="AG41" s="55" t="n">
        <f aca="false">3*(2*AG22*1000000000+AG23*AG40)*AG28/1000000000</f>
        <v>410.668760064</v>
      </c>
      <c r="AH41" s="55" t="n">
        <f aca="false">3*(2*AH22*1000000000+AH23*AH40)*AH28/1000000000</f>
        <v>2046.3676416</v>
      </c>
    </row>
    <row r="42" customFormat="false" ht="15" hidden="false" customHeight="false" outlineLevel="0" collapsed="false">
      <c r="A42" s="44" t="s">
        <v>933</v>
      </c>
      <c r="B42" s="45" t="s">
        <v>259</v>
      </c>
      <c r="C42" s="131" t="n">
        <f aca="false">C41*1000000000*C38*1000000000000</f>
        <v>4.10668760064E+023</v>
      </c>
      <c r="D42" s="131" t="n">
        <f aca="false">D41*1000000000*D38*1000000000000</f>
        <v>4.0927352832E+024</v>
      </c>
      <c r="E42" s="131" t="n">
        <f aca="false">E41*1000000000*E38*1000000000000</f>
        <v>4.10668760064E+023</v>
      </c>
      <c r="F42" s="131" t="n">
        <f aca="false">F41*1000000000*F38*1000000000000</f>
        <v>4.0927352832E+024</v>
      </c>
      <c r="G42" s="131" t="n">
        <f aca="false">G41*1000000000*G38*1000000000000</f>
        <v>4.10668760064E+023</v>
      </c>
      <c r="H42" s="131" t="n">
        <f aca="false">H41*1000000000*H38*1000000000000</f>
        <v>4.0927352832E+024</v>
      </c>
      <c r="I42" s="131" t="n">
        <f aca="false">I41*1000000000*I38*1000000000000</f>
        <v>4.10668760064E+023</v>
      </c>
      <c r="J42" s="131" t="n">
        <f aca="false">J41*1000000000*J38*1000000000000</f>
        <v>4.0927352832E+024</v>
      </c>
      <c r="K42" s="131" t="n">
        <f aca="false">K41*1000000000*K38*1000000000000</f>
        <v>4.10668760064E+023</v>
      </c>
      <c r="L42" s="131" t="n">
        <f aca="false">L41*1000000000*L38*1000000000000</f>
        <v>4.0927352832E+024</v>
      </c>
      <c r="M42" s="131" t="n">
        <f aca="false">M41*1000000000*M38*1000000000000</f>
        <v>4.10668760064E+023</v>
      </c>
      <c r="N42" s="131" t="n">
        <f aca="false">N41*1000000000*N38*1000000000000</f>
        <v>4.0927352832E+024</v>
      </c>
      <c r="O42" s="131" t="n">
        <f aca="false">O41*1000000000*O38*1000000000000</f>
        <v>4.10668760064E+023</v>
      </c>
      <c r="P42" s="131" t="n">
        <f aca="false">P41*1000000000*P38*1000000000000</f>
        <v>4.0927352832E+024</v>
      </c>
      <c r="Q42" s="131" t="n">
        <f aca="false">Q41*1000000000*Q38*1000000000000</f>
        <v>4.10668760064E+023</v>
      </c>
      <c r="R42" s="131" t="n">
        <f aca="false">R41*1000000000*R38*1000000000000</f>
        <v>4.0927352832E+024</v>
      </c>
      <c r="S42" s="131" t="n">
        <f aca="false">S41*1000000000*S38*1000000000000</f>
        <v>4.10668760064E+023</v>
      </c>
      <c r="T42" s="131" t="n">
        <f aca="false">T41*1000000000*T38*1000000000000</f>
        <v>4.0927352832E+024</v>
      </c>
      <c r="U42" s="131" t="n">
        <f aca="false">U41*1000000000*U38*1000000000000</f>
        <v>4.10668760064E+023</v>
      </c>
      <c r="V42" s="131" t="n">
        <f aca="false">V41*1000000000*V38*1000000000000</f>
        <v>4.0927352832E+024</v>
      </c>
      <c r="W42" s="131" t="n">
        <f aca="false">W41*1000000000*W38*1000000000000</f>
        <v>4.10668760064E+023</v>
      </c>
      <c r="X42" s="131" t="n">
        <f aca="false">X41*1000000000*X38*1000000000000</f>
        <v>4.0927352832E+024</v>
      </c>
      <c r="Y42" s="131" t="n">
        <f aca="false">Y41*1000000000*Y38*1000000000000</f>
        <v>4.10668760064E+023</v>
      </c>
      <c r="Z42" s="131" t="n">
        <f aca="false">Z41*1000000000*Z38*1000000000000</f>
        <v>4.0927352832E+024</v>
      </c>
      <c r="AA42" s="131" t="n">
        <f aca="false">AA41*1000000000*AA38*1000000000000</f>
        <v>4.10668760064E+023</v>
      </c>
      <c r="AB42" s="131" t="n">
        <f aca="false">AB41*1000000000*AB38*1000000000000</f>
        <v>4.0927352832E+024</v>
      </c>
      <c r="AC42" s="131" t="n">
        <f aca="false">AC41*1000000000*AC38*1000000000000</f>
        <v>4.10668760064E+023</v>
      </c>
      <c r="AD42" s="131" t="n">
        <f aca="false">AD41*1000000000*AD38*1000000000000</f>
        <v>4.0927352832E+024</v>
      </c>
      <c r="AE42" s="131" t="n">
        <f aca="false">AE41*1000000000*AE38*1000000000000</f>
        <v>4.10668760064E+023</v>
      </c>
      <c r="AF42" s="131" t="n">
        <f aca="false">AF41*1000000000*AF38*1000000000000</f>
        <v>4.0927352832E+024</v>
      </c>
      <c r="AG42" s="131" t="n">
        <f aca="false">AG41*1000000000*AG38*1000000000000</f>
        <v>4.10668760064E+023</v>
      </c>
      <c r="AH42" s="131" t="n">
        <f aca="false">AH41*1000000000*AH38*1000000000000</f>
        <v>4.0927352832E+024</v>
      </c>
    </row>
    <row r="43" customFormat="false" ht="15" hidden="false" customHeight="false" outlineLevel="0" collapsed="false">
      <c r="A43" s="44" t="s">
        <v>934</v>
      </c>
      <c r="B43" s="45" t="s">
        <v>929</v>
      </c>
      <c r="C43" s="56" t="n">
        <f aca="false">C42/(C12*1000000000000000*C16*1*C17)/3600</f>
        <v>32190.378997766</v>
      </c>
      <c r="D43" s="56" t="n">
        <f aca="false">D42/(D12*1000000000000000*D16*1*D17)/3600</f>
        <v>320810.133897707</v>
      </c>
      <c r="E43" s="56" t="n">
        <f aca="false">E42/(E12*1000000000000000*E16*1*E17)/3600</f>
        <v>53650.6316629434</v>
      </c>
      <c r="F43" s="56" t="n">
        <f aca="false">F42/(F12*1000000000000000*F16*1*F17)/3600</f>
        <v>534683.556496179</v>
      </c>
      <c r="G43" s="56" t="n">
        <f aca="false">G42/(G12*1000000000000000*G16*1*G17)/3600</f>
        <v>20118.9868736038</v>
      </c>
      <c r="H43" s="56" t="n">
        <f aca="false">H42/(H12*1000000000000000*H16*1*H17)/3600</f>
        <v>200506.333686067</v>
      </c>
      <c r="I43" s="56" t="n">
        <f aca="false">I42/(I12*1000000000000000*I16*1*I17)/3600</f>
        <v>16095.189498883</v>
      </c>
      <c r="J43" s="56" t="n">
        <f aca="false">J42/(J12*1000000000000000*J16*1*J17)/3600</f>
        <v>160405.066948854</v>
      </c>
      <c r="K43" s="56" t="n">
        <f aca="false">K42/(K12*1000000000000000*K16*1*K17)/3600</f>
        <v>32190.378997766</v>
      </c>
      <c r="L43" s="56" t="n">
        <f aca="false">L42/(L12*1000000000000000*L16*1*L17)/3600</f>
        <v>320810.133897707</v>
      </c>
      <c r="M43" s="56" t="n">
        <f aca="false">M42/(M12*1000000000000000*M16*1*M17)/3600</f>
        <v>32190.378997766</v>
      </c>
      <c r="N43" s="56" t="n">
        <f aca="false">N42/(N12*1000000000000000*N16*1*N17)/3600</f>
        <v>320810.133897707</v>
      </c>
      <c r="O43" s="56" t="n">
        <f aca="false">O42/(O12*1000000000000000*O16*1*O17)/3600</f>
        <v>32190.378997766</v>
      </c>
      <c r="P43" s="56" t="n">
        <f aca="false">P42/(P12*1000000000000000*P16*1*P17)/3600</f>
        <v>320810.133897707</v>
      </c>
      <c r="Q43" s="56" t="n">
        <f aca="false">Q42/(Q12*1000000000000000*Q16*1*Q17)/3600</f>
        <v>32190.378997766</v>
      </c>
      <c r="R43" s="56" t="n">
        <f aca="false">R42/(R12*1000000000000000*R16*1*R17)/3600</f>
        <v>320810.133897707</v>
      </c>
      <c r="S43" s="56" t="n">
        <f aca="false">S42/(S12*1000000000000000*S16*1*S17)/3600</f>
        <v>32190.378997766</v>
      </c>
      <c r="T43" s="56" t="n">
        <f aca="false">T42/(T12*1000000000000000*T16*1*T17)/3600</f>
        <v>320810.133897707</v>
      </c>
      <c r="U43" s="56" t="n">
        <f aca="false">U42/(U12*1000000000000000*U16*1*U17)/3600</f>
        <v>32190.378997766</v>
      </c>
      <c r="V43" s="56" t="n">
        <f aca="false">V42/(V12*1000000000000000*V16*1*V17)/3600</f>
        <v>320810.133897707</v>
      </c>
      <c r="W43" s="56" t="n">
        <f aca="false">W42/(W12*1000000000000000*W16*1*W17)/3600</f>
        <v>32190.378997766</v>
      </c>
      <c r="X43" s="56" t="n">
        <f aca="false">X42/(X12*1000000000000000*X16*1*X17)/3600</f>
        <v>320810.133897707</v>
      </c>
      <c r="Y43" s="56" t="n">
        <f aca="false">Y42/(Y12*1000000000000000*Y16*1*Y17)/3600</f>
        <v>32190.378997766</v>
      </c>
      <c r="Z43" s="56" t="n">
        <f aca="false">Z42/(Z12*1000000000000000*Z16*1*Z17)/3600</f>
        <v>320810.133897707</v>
      </c>
      <c r="AA43" s="56" t="n">
        <f aca="false">AA42/(AA12*1000000000000000*AA16*1*AA17)/3600</f>
        <v>32190.378997766</v>
      </c>
      <c r="AB43" s="56" t="n">
        <f aca="false">AB42/(AB12*1000000000000000*AB16*1*AB17)/3600</f>
        <v>320810.133897707</v>
      </c>
      <c r="AC43" s="56" t="n">
        <f aca="false">AC42/(AC12*1000000000000000*AC16*1*AC17)/3600</f>
        <v>32190.378997766</v>
      </c>
      <c r="AD43" s="56" t="n">
        <f aca="false">AD42/(AD12*1000000000000000*AD16*1*AD17)/3600</f>
        <v>320810.133897707</v>
      </c>
      <c r="AE43" s="56" t="n">
        <f aca="false">AE42/(AE12*1000000000000000*AE16*1*AE17)/3600</f>
        <v>32190.378997766</v>
      </c>
      <c r="AF43" s="56" t="n">
        <f aca="false">AF42/(AF12*1000000000000000*AF16*1*AF17)/3600</f>
        <v>320810.133897707</v>
      </c>
      <c r="AG43" s="56" t="n">
        <f aca="false">AG42/(AG12*1000000000000000*AG16*1*AG17)/3600</f>
        <v>36214.1763724868</v>
      </c>
      <c r="AH43" s="56" t="n">
        <f aca="false">AH42/(AH12*1000000000000000*AH16*1*AH17)/3600</f>
        <v>360911.400634921</v>
      </c>
    </row>
    <row r="44" customFormat="false" ht="15" hidden="false" customHeight="false" outlineLevel="0" collapsed="false">
      <c r="A44" s="72" t="s">
        <v>935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</row>
    <row r="45" customFormat="false" ht="15" hidden="false" customHeight="false" outlineLevel="0" collapsed="false">
      <c r="A45" s="45" t="s">
        <v>868</v>
      </c>
      <c r="B45" s="45" t="s">
        <v>861</v>
      </c>
      <c r="C45" s="77" t="n">
        <f aca="false">INDEX(Train_In!$C$29:$E$29,C$7)</f>
        <v>0.05</v>
      </c>
      <c r="D45" s="77" t="n">
        <f aca="false">INDEX(Train_In!$C$29:$E$29,D$7)</f>
        <v>0.1</v>
      </c>
      <c r="E45" s="77" t="n">
        <f aca="false">INDEX(Train_In!$C$29:$E$29,E$7)</f>
        <v>0.05</v>
      </c>
      <c r="F45" s="77" t="n">
        <f aca="false">INDEX(Train_In!$C$29:$E$29,F$7)</f>
        <v>0.1</v>
      </c>
      <c r="G45" s="77" t="n">
        <f aca="false">INDEX(Train_In!$C$29:$E$29,G$7)</f>
        <v>0.05</v>
      </c>
      <c r="H45" s="77" t="n">
        <f aca="false">INDEX(Train_In!$C$29:$E$29,H$7)</f>
        <v>0.1</v>
      </c>
      <c r="I45" s="77" t="n">
        <f aca="false">INDEX(Train_In!$C$29:$E$29,I$7)</f>
        <v>0.05</v>
      </c>
      <c r="J45" s="77" t="n">
        <f aca="false">INDEX(Train_In!$C$29:$E$29,J$7)</f>
        <v>0.1</v>
      </c>
      <c r="K45" s="77" t="n">
        <f aca="false">INDEX(Train_In!$C$29:$E$29,K$7)</f>
        <v>0.05</v>
      </c>
      <c r="L45" s="77" t="n">
        <f aca="false">INDEX(Train_In!$C$29:$E$29,L$7)</f>
        <v>0.1</v>
      </c>
      <c r="M45" s="77" t="n">
        <f aca="false">INDEX(Train_In!$C$29:$E$29,M$7)</f>
        <v>0.05</v>
      </c>
      <c r="N45" s="77" t="n">
        <f aca="false">INDEX(Train_In!$C$29:$E$29,N$7)</f>
        <v>0.1</v>
      </c>
      <c r="O45" s="77" t="n">
        <f aca="false">INDEX(Train_In!$C$29:$E$29,O$7)</f>
        <v>0.05</v>
      </c>
      <c r="P45" s="77" t="n">
        <f aca="false">INDEX(Train_In!$C$29:$E$29,P$7)</f>
        <v>0.1</v>
      </c>
      <c r="Q45" s="77" t="n">
        <f aca="false">INDEX(Train_In!$C$29:$E$29,Q$7)</f>
        <v>0.05</v>
      </c>
      <c r="R45" s="77" t="n">
        <f aca="false">INDEX(Train_In!$C$29:$E$29,R$7)</f>
        <v>0.1</v>
      </c>
      <c r="S45" s="77" t="n">
        <f aca="false">INDEX(Train_In!$C$29:$E$29,S$7)</f>
        <v>0.05</v>
      </c>
      <c r="T45" s="77" t="n">
        <f aca="false">INDEX(Train_In!$C$29:$E$29,T$7)</f>
        <v>0.1</v>
      </c>
      <c r="U45" s="77" t="n">
        <f aca="false">INDEX(Train_In!$C$29:$E$29,U$7)</f>
        <v>0.05</v>
      </c>
      <c r="V45" s="77" t="n">
        <f aca="false">INDEX(Train_In!$C$29:$E$29,V$7)</f>
        <v>0.1</v>
      </c>
      <c r="W45" s="77" t="n">
        <f aca="false">INDEX(Train_In!$C$29:$E$29,W$7)</f>
        <v>0.05</v>
      </c>
      <c r="X45" s="77" t="n">
        <f aca="false">INDEX(Train_In!$C$29:$E$29,X$7)</f>
        <v>0.1</v>
      </c>
      <c r="Y45" s="77" t="n">
        <f aca="false">INDEX(Train_In!$C$29:$E$29,Y$7)</f>
        <v>0.05</v>
      </c>
      <c r="Z45" s="77" t="n">
        <f aca="false">INDEX(Train_In!$C$29:$E$29,Z$7)</f>
        <v>0.1</v>
      </c>
      <c r="AA45" s="77" t="n">
        <f aca="false">INDEX(Train_In!$C$29:$E$29,AA$7)</f>
        <v>0.05</v>
      </c>
      <c r="AB45" s="77" t="n">
        <f aca="false">INDEX(Train_In!$C$29:$E$29,AB$7)</f>
        <v>0.1</v>
      </c>
      <c r="AC45" s="77" t="n">
        <f aca="false">INDEX(Train_In!$C$29:$E$29,AC$7)</f>
        <v>0.05</v>
      </c>
      <c r="AD45" s="77" t="n">
        <f aca="false">INDEX(Train_In!$C$29:$E$29,AD$7)</f>
        <v>0.1</v>
      </c>
      <c r="AE45" s="77" t="n">
        <f aca="false">INDEX(Train_In!$C$29:$E$29,AE$7)</f>
        <v>0.05</v>
      </c>
      <c r="AF45" s="77" t="n">
        <f aca="false">INDEX(Train_In!$C$29:$E$29,AF$7)</f>
        <v>0.1</v>
      </c>
      <c r="AG45" s="77" t="n">
        <f aca="false">INDEX(Train_In!$C$29:$E$29,AG$7)</f>
        <v>0.05</v>
      </c>
      <c r="AH45" s="77" t="n">
        <f aca="false">INDEX(Train_In!$C$29:$E$29,AH$7)</f>
        <v>0.1</v>
      </c>
    </row>
    <row r="46" customFormat="false" ht="15" hidden="false" customHeight="false" outlineLevel="0" collapsed="false">
      <c r="A46" s="44" t="s">
        <v>924</v>
      </c>
      <c r="B46" s="45" t="s">
        <v>236</v>
      </c>
      <c r="C46" s="76" t="n">
        <f aca="false">INDEX(Train_In!$C$30:$E$30,C$7)</f>
        <v>16384</v>
      </c>
      <c r="D46" s="76" t="n">
        <f aca="false">INDEX(Train_In!$C$30:$E$30,D$7)</f>
        <v>16384</v>
      </c>
      <c r="E46" s="76" t="n">
        <f aca="false">INDEX(Train_In!$C$30:$E$30,E$7)</f>
        <v>16384</v>
      </c>
      <c r="F46" s="76" t="n">
        <f aca="false">INDEX(Train_In!$C$30:$E$30,F$7)</f>
        <v>16384</v>
      </c>
      <c r="G46" s="76" t="n">
        <f aca="false">INDEX(Train_In!$C$30:$E$30,G$7)</f>
        <v>16384</v>
      </c>
      <c r="H46" s="76" t="n">
        <f aca="false">INDEX(Train_In!$C$30:$E$30,H$7)</f>
        <v>16384</v>
      </c>
      <c r="I46" s="76" t="n">
        <f aca="false">INDEX(Train_In!$C$30:$E$30,I$7)</f>
        <v>16384</v>
      </c>
      <c r="J46" s="76" t="n">
        <f aca="false">INDEX(Train_In!$C$30:$E$30,J$7)</f>
        <v>16384</v>
      </c>
      <c r="K46" s="76" t="n">
        <f aca="false">INDEX(Train_In!$C$30:$E$30,K$7)</f>
        <v>16384</v>
      </c>
      <c r="L46" s="76" t="n">
        <f aca="false">INDEX(Train_In!$C$30:$E$30,L$7)</f>
        <v>16384</v>
      </c>
      <c r="M46" s="76" t="n">
        <f aca="false">INDEX(Train_In!$C$30:$E$30,M$7)</f>
        <v>16384</v>
      </c>
      <c r="N46" s="76" t="n">
        <f aca="false">INDEX(Train_In!$C$30:$E$30,N$7)</f>
        <v>16384</v>
      </c>
      <c r="O46" s="76" t="n">
        <f aca="false">INDEX(Train_In!$C$30:$E$30,O$7)</f>
        <v>16384</v>
      </c>
      <c r="P46" s="76" t="n">
        <f aca="false">INDEX(Train_In!$C$30:$E$30,P$7)</f>
        <v>16384</v>
      </c>
      <c r="Q46" s="76" t="n">
        <f aca="false">INDEX(Train_In!$C$30:$E$30,Q$7)</f>
        <v>16384</v>
      </c>
      <c r="R46" s="76" t="n">
        <f aca="false">INDEX(Train_In!$C$30:$E$30,R$7)</f>
        <v>16384</v>
      </c>
      <c r="S46" s="76" t="n">
        <f aca="false">INDEX(Train_In!$C$30:$E$30,S$7)</f>
        <v>16384</v>
      </c>
      <c r="T46" s="76" t="n">
        <f aca="false">INDEX(Train_In!$C$30:$E$30,T$7)</f>
        <v>16384</v>
      </c>
      <c r="U46" s="76" t="n">
        <f aca="false">INDEX(Train_In!$C$30:$E$30,U$7)</f>
        <v>16384</v>
      </c>
      <c r="V46" s="76" t="n">
        <f aca="false">INDEX(Train_In!$C$30:$E$30,V$7)</f>
        <v>16384</v>
      </c>
      <c r="W46" s="76" t="n">
        <f aca="false">INDEX(Train_In!$C$30:$E$30,W$7)</f>
        <v>16384</v>
      </c>
      <c r="X46" s="76" t="n">
        <f aca="false">INDEX(Train_In!$C$30:$E$30,X$7)</f>
        <v>16384</v>
      </c>
      <c r="Y46" s="76" t="n">
        <f aca="false">INDEX(Train_In!$C$30:$E$30,Y$7)</f>
        <v>16384</v>
      </c>
      <c r="Z46" s="76" t="n">
        <f aca="false">INDEX(Train_In!$C$30:$E$30,Z$7)</f>
        <v>16384</v>
      </c>
      <c r="AA46" s="76" t="n">
        <f aca="false">INDEX(Train_In!$C$30:$E$30,AA$7)</f>
        <v>16384</v>
      </c>
      <c r="AB46" s="76" t="n">
        <f aca="false">INDEX(Train_In!$C$30:$E$30,AB$7)</f>
        <v>16384</v>
      </c>
      <c r="AC46" s="76" t="n">
        <f aca="false">INDEX(Train_In!$C$30:$E$30,AC$7)</f>
        <v>16384</v>
      </c>
      <c r="AD46" s="76" t="n">
        <f aca="false">INDEX(Train_In!$C$30:$E$30,AD$7)</f>
        <v>16384</v>
      </c>
      <c r="AE46" s="76" t="n">
        <f aca="false">INDEX(Train_In!$C$30:$E$30,AE$7)</f>
        <v>16384</v>
      </c>
      <c r="AF46" s="76" t="n">
        <f aca="false">INDEX(Train_In!$C$30:$E$30,AF$7)</f>
        <v>16384</v>
      </c>
      <c r="AG46" s="76" t="n">
        <f aca="false">INDEX(Train_In!$C$30:$E$30,AG$7)</f>
        <v>16384</v>
      </c>
      <c r="AH46" s="76" t="n">
        <f aca="false">INDEX(Train_In!$C$30:$E$30,AH$7)</f>
        <v>16384</v>
      </c>
    </row>
    <row r="47" customFormat="false" ht="15" hidden="false" customHeight="false" outlineLevel="0" collapsed="false">
      <c r="A47" s="44" t="s">
        <v>932</v>
      </c>
      <c r="B47" s="45" t="s">
        <v>236</v>
      </c>
      <c r="C47" s="56" t="n">
        <f aca="false">C24*IF(C25=0,C46/2,MIN(C46/2,C25))+(1-C24)*(C46/2/C26+C27)</f>
        <v>2208</v>
      </c>
      <c r="D47" s="56" t="n">
        <f aca="false">D24*IF(D25=0,D46/2,MIN(D46/2,D25))+(1-D24)*(D46/2/D26+D27)</f>
        <v>8192</v>
      </c>
      <c r="E47" s="56" t="n">
        <f aca="false">E24*IF(E25=0,E46/2,MIN(E46/2,E25))+(1-E24)*(E46/2/E26+E27)</f>
        <v>2208</v>
      </c>
      <c r="F47" s="56" t="n">
        <f aca="false">F24*IF(F25=0,F46/2,MIN(F46/2,F25))+(1-F24)*(F46/2/F26+F27)</f>
        <v>8192</v>
      </c>
      <c r="G47" s="56" t="n">
        <f aca="false">G24*IF(G25=0,G46/2,MIN(G46/2,G25))+(1-G24)*(G46/2/G26+G27)</f>
        <v>2208</v>
      </c>
      <c r="H47" s="56" t="n">
        <f aca="false">H24*IF(H25=0,H46/2,MIN(H46/2,H25))+(1-H24)*(H46/2/H26+H27)</f>
        <v>8192</v>
      </c>
      <c r="I47" s="56" t="n">
        <f aca="false">I24*IF(I25=0,I46/2,MIN(I46/2,I25))+(1-I24)*(I46/2/I26+I27)</f>
        <v>2208</v>
      </c>
      <c r="J47" s="56" t="n">
        <f aca="false">J24*IF(J25=0,J46/2,MIN(J46/2,J25))+(1-J24)*(J46/2/J26+J27)</f>
        <v>8192</v>
      </c>
      <c r="K47" s="56" t="n">
        <f aca="false">K24*IF(K25=0,K46/2,MIN(K46/2,K25))+(1-K24)*(K46/2/K26+K27)</f>
        <v>2208</v>
      </c>
      <c r="L47" s="56" t="n">
        <f aca="false">L24*IF(L25=0,L46/2,MIN(L46/2,L25))+(1-L24)*(L46/2/L26+L27)</f>
        <v>8192</v>
      </c>
      <c r="M47" s="56" t="n">
        <f aca="false">M24*IF(M25=0,M46/2,MIN(M46/2,M25))+(1-M24)*(M46/2/M26+M27)</f>
        <v>2208</v>
      </c>
      <c r="N47" s="56" t="n">
        <f aca="false">N24*IF(N25=0,N46/2,MIN(N46/2,N25))+(1-N24)*(N46/2/N26+N27)</f>
        <v>8192</v>
      </c>
      <c r="O47" s="56" t="n">
        <f aca="false">O24*IF(O25=0,O46/2,MIN(O46/2,O25))+(1-O24)*(O46/2/O26+O27)</f>
        <v>2208</v>
      </c>
      <c r="P47" s="56" t="n">
        <f aca="false">P24*IF(P25=0,P46/2,MIN(P46/2,P25))+(1-P24)*(P46/2/P26+P27)</f>
        <v>8192</v>
      </c>
      <c r="Q47" s="56" t="n">
        <f aca="false">Q24*IF(Q25=0,Q46/2,MIN(Q46/2,Q25))+(1-Q24)*(Q46/2/Q26+Q27)</f>
        <v>2208</v>
      </c>
      <c r="R47" s="56" t="n">
        <f aca="false">R24*IF(R25=0,R46/2,MIN(R46/2,R25))+(1-R24)*(R46/2/R26+R27)</f>
        <v>8192</v>
      </c>
      <c r="S47" s="56" t="n">
        <f aca="false">S24*IF(S25=0,S46/2,MIN(S46/2,S25))+(1-S24)*(S46/2/S26+S27)</f>
        <v>2208</v>
      </c>
      <c r="T47" s="56" t="n">
        <f aca="false">T24*IF(T25=0,T46/2,MIN(T46/2,T25))+(1-T24)*(T46/2/T26+T27)</f>
        <v>8192</v>
      </c>
      <c r="U47" s="56" t="n">
        <f aca="false">U24*IF(U25=0,U46/2,MIN(U46/2,U25))+(1-U24)*(U46/2/U26+U27)</f>
        <v>2208</v>
      </c>
      <c r="V47" s="56" t="n">
        <f aca="false">V24*IF(V25=0,V46/2,MIN(V46/2,V25))+(1-V24)*(V46/2/V26+V27)</f>
        <v>8192</v>
      </c>
      <c r="W47" s="56" t="n">
        <f aca="false">W24*IF(W25=0,W46/2,MIN(W46/2,W25))+(1-W24)*(W46/2/W26+W27)</f>
        <v>2208</v>
      </c>
      <c r="X47" s="56" t="n">
        <f aca="false">X24*IF(X25=0,X46/2,MIN(X46/2,X25))+(1-X24)*(X46/2/X26+X27)</f>
        <v>8192</v>
      </c>
      <c r="Y47" s="56" t="n">
        <f aca="false">Y24*IF(Y25=0,Y46/2,MIN(Y46/2,Y25))+(1-Y24)*(Y46/2/Y26+Y27)</f>
        <v>2208</v>
      </c>
      <c r="Z47" s="56" t="n">
        <f aca="false">Z24*IF(Z25=0,Z46/2,MIN(Z46/2,Z25))+(1-Z24)*(Z46/2/Z26+Z27)</f>
        <v>8192</v>
      </c>
      <c r="AA47" s="56" t="n">
        <f aca="false">AA24*IF(AA25=0,AA46/2,MIN(AA46/2,AA25))+(1-AA24)*(AA46/2/AA26+AA27)</f>
        <v>2208</v>
      </c>
      <c r="AB47" s="56" t="n">
        <f aca="false">AB24*IF(AB25=0,AB46/2,MIN(AB46/2,AB25))+(1-AB24)*(AB46/2/AB26+AB27)</f>
        <v>8192</v>
      </c>
      <c r="AC47" s="56" t="n">
        <f aca="false">AC24*IF(AC25=0,AC46/2,MIN(AC46/2,AC25))+(1-AC24)*(AC46/2/AC26+AC27)</f>
        <v>2208</v>
      </c>
      <c r="AD47" s="56" t="n">
        <f aca="false">AD24*IF(AD25=0,AD46/2,MIN(AD46/2,AD25))+(1-AD24)*(AD46/2/AD26+AD27)</f>
        <v>8192</v>
      </c>
      <c r="AE47" s="56" t="n">
        <f aca="false">AE24*IF(AE25=0,AE46/2,MIN(AE46/2,AE25))+(1-AE24)*(AE46/2/AE26+AE27)</f>
        <v>2208</v>
      </c>
      <c r="AF47" s="56" t="n">
        <f aca="false">AF24*IF(AF25=0,AF46/2,MIN(AF46/2,AF25))+(1-AF24)*(AF46/2/AF26+AF27)</f>
        <v>8192</v>
      </c>
      <c r="AG47" s="56" t="n">
        <f aca="false">AG24*IF(AG25=0,AG46/2,MIN(AG46/2,AG25))+(1-AG24)*(AG46/2/AG26+AG27)</f>
        <v>2208</v>
      </c>
      <c r="AH47" s="56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44" t="s">
        <v>926</v>
      </c>
      <c r="B48" s="45" t="s">
        <v>409</v>
      </c>
      <c r="C48" s="55" t="n">
        <f aca="false">3*(2*C22*1000000000+C23*C47)*C28/1000000000</f>
        <v>399.922953216</v>
      </c>
      <c r="D48" s="55" t="n">
        <f aca="false">3*(2*D22*1000000000+D23*D47)*D28/1000000000</f>
        <v>1200.7959552</v>
      </c>
      <c r="E48" s="55" t="n">
        <f aca="false">3*(2*E22*1000000000+E23*E47)*E28/1000000000</f>
        <v>399.922953216</v>
      </c>
      <c r="F48" s="55" t="n">
        <f aca="false">3*(2*F22*1000000000+F23*F47)*F28/1000000000</f>
        <v>1200.7959552</v>
      </c>
      <c r="G48" s="55" t="n">
        <f aca="false">3*(2*G22*1000000000+G23*G47)*G28/1000000000</f>
        <v>399.922953216</v>
      </c>
      <c r="H48" s="55" t="n">
        <f aca="false">3*(2*H22*1000000000+H23*H47)*H28/1000000000</f>
        <v>1200.7959552</v>
      </c>
      <c r="I48" s="55" t="n">
        <f aca="false">3*(2*I22*1000000000+I23*I47)*I28/1000000000</f>
        <v>399.922953216</v>
      </c>
      <c r="J48" s="55" t="n">
        <f aca="false">3*(2*J22*1000000000+J23*J47)*J28/1000000000</f>
        <v>1200.7959552</v>
      </c>
      <c r="K48" s="55" t="n">
        <f aca="false">3*(2*K22*1000000000+K23*K47)*K28/1000000000</f>
        <v>399.922953216</v>
      </c>
      <c r="L48" s="55" t="n">
        <f aca="false">3*(2*L22*1000000000+L23*L47)*L28/1000000000</f>
        <v>1200.7959552</v>
      </c>
      <c r="M48" s="55" t="n">
        <f aca="false">3*(2*M22*1000000000+M23*M47)*M28/1000000000</f>
        <v>399.922953216</v>
      </c>
      <c r="N48" s="55" t="n">
        <f aca="false">3*(2*N22*1000000000+N23*N47)*N28/1000000000</f>
        <v>1200.7959552</v>
      </c>
      <c r="O48" s="55" t="n">
        <f aca="false">3*(2*O22*1000000000+O23*O47)*O28/1000000000</f>
        <v>399.922953216</v>
      </c>
      <c r="P48" s="55" t="n">
        <f aca="false">3*(2*P22*1000000000+P23*P47)*P28/1000000000</f>
        <v>1200.7959552</v>
      </c>
      <c r="Q48" s="55" t="n">
        <f aca="false">3*(2*Q22*1000000000+Q23*Q47)*Q28/1000000000</f>
        <v>399.922953216</v>
      </c>
      <c r="R48" s="55" t="n">
        <f aca="false">3*(2*R22*1000000000+R23*R47)*R28/1000000000</f>
        <v>1200.7959552</v>
      </c>
      <c r="S48" s="55" t="n">
        <f aca="false">3*(2*S22*1000000000+S23*S47)*S28/1000000000</f>
        <v>399.922953216</v>
      </c>
      <c r="T48" s="55" t="n">
        <f aca="false">3*(2*T22*1000000000+T23*T47)*T28/1000000000</f>
        <v>1200.7959552</v>
      </c>
      <c r="U48" s="55" t="n">
        <f aca="false">3*(2*U22*1000000000+U23*U47)*U28/1000000000</f>
        <v>399.922953216</v>
      </c>
      <c r="V48" s="55" t="n">
        <f aca="false">3*(2*V22*1000000000+V23*V47)*V28/1000000000</f>
        <v>1200.7959552</v>
      </c>
      <c r="W48" s="55" t="n">
        <f aca="false">3*(2*W22*1000000000+W23*W47)*W28/1000000000</f>
        <v>399.922953216</v>
      </c>
      <c r="X48" s="55" t="n">
        <f aca="false">3*(2*X22*1000000000+X23*X47)*X28/1000000000</f>
        <v>1200.7959552</v>
      </c>
      <c r="Y48" s="55" t="n">
        <f aca="false">3*(2*Y22*1000000000+Y23*Y47)*Y28/1000000000</f>
        <v>399.922953216</v>
      </c>
      <c r="Z48" s="55" t="n">
        <f aca="false">3*(2*Z22*1000000000+Z23*Z47)*Z28/1000000000</f>
        <v>1200.7959552</v>
      </c>
      <c r="AA48" s="55" t="n">
        <f aca="false">3*(2*AA22*1000000000+AA23*AA47)*AA28/1000000000</f>
        <v>399.922953216</v>
      </c>
      <c r="AB48" s="55" t="n">
        <f aca="false">3*(2*AB22*1000000000+AB23*AB47)*AB28/1000000000</f>
        <v>1200.7959552</v>
      </c>
      <c r="AC48" s="55" t="n">
        <f aca="false">3*(2*AC22*1000000000+AC23*AC47)*AC28/1000000000</f>
        <v>399.922953216</v>
      </c>
      <c r="AD48" s="55" t="n">
        <f aca="false">3*(2*AD22*1000000000+AD23*AD47)*AD28/1000000000</f>
        <v>1200.7959552</v>
      </c>
      <c r="AE48" s="55" t="n">
        <f aca="false">3*(2*AE22*1000000000+AE23*AE47)*AE28/1000000000</f>
        <v>399.922953216</v>
      </c>
      <c r="AF48" s="55" t="n">
        <f aca="false">3*(2*AF22*1000000000+AF23*AF47)*AF28/1000000000</f>
        <v>1200.7959552</v>
      </c>
      <c r="AG48" s="55" t="n">
        <f aca="false">3*(2*AG22*1000000000+AG23*AG47)*AG28/1000000000</f>
        <v>399.922953216</v>
      </c>
      <c r="AH48" s="55" t="n">
        <f aca="false">3*(2*AH22*1000000000+AH23*AH47)*AH28/1000000000</f>
        <v>1200.7959552</v>
      </c>
    </row>
    <row r="49" customFormat="false" ht="15" hidden="false" customHeight="false" outlineLevel="0" collapsed="false">
      <c r="A49" s="45" t="s">
        <v>936</v>
      </c>
      <c r="B49" s="45" t="s">
        <v>259</v>
      </c>
      <c r="C49" s="131" t="n">
        <f aca="false">C48*1000000000*C45*1000000000000</f>
        <v>1.99961476608E+022</v>
      </c>
      <c r="D49" s="131" t="n">
        <f aca="false">D48*1000000000*D45*1000000000000</f>
        <v>1.2007959552E+023</v>
      </c>
      <c r="E49" s="131" t="n">
        <f aca="false">E48*1000000000*E45*1000000000000</f>
        <v>1.99961476608E+022</v>
      </c>
      <c r="F49" s="131" t="n">
        <f aca="false">F48*1000000000*F45*1000000000000</f>
        <v>1.2007959552E+023</v>
      </c>
      <c r="G49" s="131" t="n">
        <f aca="false">G48*1000000000*G45*1000000000000</f>
        <v>1.99961476608E+022</v>
      </c>
      <c r="H49" s="131" t="n">
        <f aca="false">H48*1000000000*H45*1000000000000</f>
        <v>1.2007959552E+023</v>
      </c>
      <c r="I49" s="131" t="n">
        <f aca="false">I48*1000000000*I45*1000000000000</f>
        <v>1.99961476608E+022</v>
      </c>
      <c r="J49" s="131" t="n">
        <f aca="false">J48*1000000000*J45*1000000000000</f>
        <v>1.2007959552E+023</v>
      </c>
      <c r="K49" s="131" t="n">
        <f aca="false">K48*1000000000*K45*1000000000000</f>
        <v>1.99961476608E+022</v>
      </c>
      <c r="L49" s="131" t="n">
        <f aca="false">L48*1000000000*L45*1000000000000</f>
        <v>1.2007959552E+023</v>
      </c>
      <c r="M49" s="131" t="n">
        <f aca="false">M48*1000000000*M45*1000000000000</f>
        <v>1.99961476608E+022</v>
      </c>
      <c r="N49" s="131" t="n">
        <f aca="false">N48*1000000000*N45*1000000000000</f>
        <v>1.2007959552E+023</v>
      </c>
      <c r="O49" s="131" t="n">
        <f aca="false">O48*1000000000*O45*1000000000000</f>
        <v>1.99961476608E+022</v>
      </c>
      <c r="P49" s="131" t="n">
        <f aca="false">P48*1000000000*P45*1000000000000</f>
        <v>1.2007959552E+023</v>
      </c>
      <c r="Q49" s="131" t="n">
        <f aca="false">Q48*1000000000*Q45*1000000000000</f>
        <v>1.99961476608E+022</v>
      </c>
      <c r="R49" s="131" t="n">
        <f aca="false">R48*1000000000*R45*1000000000000</f>
        <v>1.2007959552E+023</v>
      </c>
      <c r="S49" s="131" t="n">
        <f aca="false">S48*1000000000*S45*1000000000000</f>
        <v>1.99961476608E+022</v>
      </c>
      <c r="T49" s="131" t="n">
        <f aca="false">T48*1000000000*T45*1000000000000</f>
        <v>1.2007959552E+023</v>
      </c>
      <c r="U49" s="131" t="n">
        <f aca="false">U48*1000000000*U45*1000000000000</f>
        <v>1.99961476608E+022</v>
      </c>
      <c r="V49" s="131" t="n">
        <f aca="false">V48*1000000000*V45*1000000000000</f>
        <v>1.2007959552E+023</v>
      </c>
      <c r="W49" s="131" t="n">
        <f aca="false">W48*1000000000*W45*1000000000000</f>
        <v>1.99961476608E+022</v>
      </c>
      <c r="X49" s="131" t="n">
        <f aca="false">X48*1000000000*X45*1000000000000</f>
        <v>1.2007959552E+023</v>
      </c>
      <c r="Y49" s="131" t="n">
        <f aca="false">Y48*1000000000*Y45*1000000000000</f>
        <v>1.99961476608E+022</v>
      </c>
      <c r="Z49" s="131" t="n">
        <f aca="false">Z48*1000000000*Z45*1000000000000</f>
        <v>1.2007959552E+023</v>
      </c>
      <c r="AA49" s="131" t="n">
        <f aca="false">AA48*1000000000*AA45*1000000000000</f>
        <v>1.99961476608E+022</v>
      </c>
      <c r="AB49" s="131" t="n">
        <f aca="false">AB48*1000000000*AB45*1000000000000</f>
        <v>1.2007959552E+023</v>
      </c>
      <c r="AC49" s="131" t="n">
        <f aca="false">AC48*1000000000*AC45*1000000000000</f>
        <v>1.99961476608E+022</v>
      </c>
      <c r="AD49" s="131" t="n">
        <f aca="false">AD48*1000000000*AD45*1000000000000</f>
        <v>1.2007959552E+023</v>
      </c>
      <c r="AE49" s="131" t="n">
        <f aca="false">AE48*1000000000*AE45*1000000000000</f>
        <v>1.99961476608E+022</v>
      </c>
      <c r="AF49" s="131" t="n">
        <f aca="false">AF48*1000000000*AF45*1000000000000</f>
        <v>1.2007959552E+023</v>
      </c>
      <c r="AG49" s="131" t="n">
        <f aca="false">AG48*1000000000*AG45*1000000000000</f>
        <v>1.99961476608E+022</v>
      </c>
      <c r="AH49" s="131" t="n">
        <f aca="false">AH48*1000000000*AH45*1000000000000</f>
        <v>1.2007959552E+023</v>
      </c>
    </row>
    <row r="50" customFormat="false" ht="15" hidden="false" customHeight="false" outlineLevel="0" collapsed="false">
      <c r="A50" s="45" t="s">
        <v>937</v>
      </c>
      <c r="B50" s="45" t="s">
        <v>61</v>
      </c>
      <c r="C50" s="79" t="n">
        <f aca="false">Train_In!$C$8</f>
        <v>0.8</v>
      </c>
      <c r="D50" s="79" t="n">
        <f aca="false">Train_In!$C$8</f>
        <v>0.8</v>
      </c>
      <c r="E50" s="79" t="n">
        <f aca="false">Train_In!$C$8</f>
        <v>0.8</v>
      </c>
      <c r="F50" s="79" t="n">
        <f aca="false">Train_In!$C$8</f>
        <v>0.8</v>
      </c>
      <c r="G50" s="79" t="n">
        <f aca="false">Train_In!$C$8</f>
        <v>0.8</v>
      </c>
      <c r="H50" s="79" t="n">
        <f aca="false">Train_In!$C$8</f>
        <v>0.8</v>
      </c>
      <c r="I50" s="79" t="n">
        <f aca="false">Train_In!$C$8</f>
        <v>0.8</v>
      </c>
      <c r="J50" s="79" t="n">
        <f aca="false">Train_In!$C$8</f>
        <v>0.8</v>
      </c>
      <c r="K50" s="79" t="n">
        <f aca="false">Train_In!$C$8</f>
        <v>0.8</v>
      </c>
      <c r="L50" s="79" t="n">
        <f aca="false">Train_In!$C$8</f>
        <v>0.8</v>
      </c>
      <c r="M50" s="79" t="n">
        <f aca="false">Train_In!$C$8</f>
        <v>0.8</v>
      </c>
      <c r="N50" s="79" t="n">
        <f aca="false">Train_In!$C$8</f>
        <v>0.8</v>
      </c>
      <c r="O50" s="79" t="n">
        <f aca="false">Train_In!$C$8</f>
        <v>0.8</v>
      </c>
      <c r="P50" s="79" t="n">
        <f aca="false">Train_In!$C$8</f>
        <v>0.8</v>
      </c>
      <c r="Q50" s="79" t="n">
        <f aca="false">Train_In!$C$8</f>
        <v>0.8</v>
      </c>
      <c r="R50" s="79" t="n">
        <f aca="false">Train_In!$C$8</f>
        <v>0.8</v>
      </c>
      <c r="S50" s="79" t="n">
        <f aca="false">Train_In!$C$8</f>
        <v>0.8</v>
      </c>
      <c r="T50" s="79" t="n">
        <f aca="false">Train_In!$C$8</f>
        <v>0.8</v>
      </c>
      <c r="U50" s="79" t="n">
        <f aca="false">Train_In!$C$8</f>
        <v>0.8</v>
      </c>
      <c r="V50" s="79" t="n">
        <f aca="false">Train_In!$C$8</f>
        <v>0.8</v>
      </c>
      <c r="W50" s="79" t="n">
        <f aca="false">Train_In!$C$8</f>
        <v>0.8</v>
      </c>
      <c r="X50" s="79" t="n">
        <f aca="false">Train_In!$C$8</f>
        <v>0.8</v>
      </c>
      <c r="Y50" s="79" t="n">
        <f aca="false">Train_In!$C$8</f>
        <v>0.8</v>
      </c>
      <c r="Z50" s="79" t="n">
        <f aca="false">Train_In!$C$8</f>
        <v>0.8</v>
      </c>
      <c r="AA50" s="79" t="n">
        <f aca="false">Train_In!$C$8</f>
        <v>0.8</v>
      </c>
      <c r="AB50" s="79" t="n">
        <f aca="false">Train_In!$C$8</f>
        <v>0.8</v>
      </c>
      <c r="AC50" s="79" t="n">
        <f aca="false">Train_In!$C$8</f>
        <v>0.8</v>
      </c>
      <c r="AD50" s="79" t="n">
        <f aca="false">Train_In!$C$8</f>
        <v>0.8</v>
      </c>
      <c r="AE50" s="79" t="n">
        <f aca="false">Train_In!$C$8</f>
        <v>0.8</v>
      </c>
      <c r="AF50" s="79" t="n">
        <f aca="false">Train_In!$C$8</f>
        <v>0.8</v>
      </c>
      <c r="AG50" s="79" t="n">
        <f aca="false">Train_In!$C$8</f>
        <v>0.8</v>
      </c>
      <c r="AH50" s="79" t="n">
        <f aca="false">Train_In!$C$8</f>
        <v>0.8</v>
      </c>
    </row>
    <row r="51" customFormat="false" ht="15" hidden="false" customHeight="false" outlineLevel="0" collapsed="false">
      <c r="A51" s="45" t="s">
        <v>938</v>
      </c>
      <c r="B51" s="45" t="s">
        <v>929</v>
      </c>
      <c r="C51" s="56" t="n">
        <f aca="false">C49/(C12*1000000000000000*C16*C50*C17)/3600</f>
        <v>1959.25413098178</v>
      </c>
      <c r="D51" s="56" t="n">
        <f aca="false">D49/(D12*1000000000000000*D16*D50*D17)/3600</f>
        <v>11765.5884303351</v>
      </c>
      <c r="E51" s="56" t="n">
        <f aca="false">E49/(E12*1000000000000000*E16*E50*E17)/3600</f>
        <v>3265.42355163629</v>
      </c>
      <c r="F51" s="56" t="n">
        <f aca="false">F49/(F12*1000000000000000*F16*F50*F17)/3600</f>
        <v>19609.3140505585</v>
      </c>
      <c r="G51" s="56" t="n">
        <f aca="false">G49/(G12*1000000000000000*G16*G50*G17)/3600</f>
        <v>1224.53383186361</v>
      </c>
      <c r="H51" s="56" t="n">
        <f aca="false">H49/(H12*1000000000000000*H16*H50*H17)/3600</f>
        <v>7353.49276895943</v>
      </c>
      <c r="I51" s="56" t="n">
        <f aca="false">I49/(I12*1000000000000000*I16*I50*I17)/3600</f>
        <v>979.627065490888</v>
      </c>
      <c r="J51" s="56" t="n">
        <f aca="false">J49/(J12*1000000000000000*J16*J50*J17)/3600</f>
        <v>5882.79421516755</v>
      </c>
      <c r="K51" s="56" t="n">
        <f aca="false">K49/(K12*1000000000000000*K16*K50*K17)/3600</f>
        <v>1959.25413098178</v>
      </c>
      <c r="L51" s="56" t="n">
        <f aca="false">L49/(L12*1000000000000000*L16*L50*L17)/3600</f>
        <v>11765.5884303351</v>
      </c>
      <c r="M51" s="56" t="n">
        <f aca="false">M49/(M12*1000000000000000*M16*M50*M17)/3600</f>
        <v>1959.25413098178</v>
      </c>
      <c r="N51" s="56" t="n">
        <f aca="false">N49/(N12*1000000000000000*N16*N50*N17)/3600</f>
        <v>11765.5884303351</v>
      </c>
      <c r="O51" s="56" t="n">
        <f aca="false">O49/(O12*1000000000000000*O16*O50*O17)/3600</f>
        <v>1959.25413098178</v>
      </c>
      <c r="P51" s="56" t="n">
        <f aca="false">P49/(P12*1000000000000000*P16*P50*P17)/3600</f>
        <v>11765.5884303351</v>
      </c>
      <c r="Q51" s="56" t="n">
        <f aca="false">Q49/(Q12*1000000000000000*Q16*Q50*Q17)/3600</f>
        <v>1959.25413098178</v>
      </c>
      <c r="R51" s="56" t="n">
        <f aca="false">R49/(R12*1000000000000000*R16*R50*R17)/3600</f>
        <v>11765.5884303351</v>
      </c>
      <c r="S51" s="56" t="n">
        <f aca="false">S49/(S12*1000000000000000*S16*S50*S17)/3600</f>
        <v>1959.25413098178</v>
      </c>
      <c r="T51" s="56" t="n">
        <f aca="false">T49/(T12*1000000000000000*T16*T50*T17)/3600</f>
        <v>11765.5884303351</v>
      </c>
      <c r="U51" s="56" t="n">
        <f aca="false">U49/(U12*1000000000000000*U16*U50*U17)/3600</f>
        <v>1959.25413098178</v>
      </c>
      <c r="V51" s="56" t="n">
        <f aca="false">V49/(V12*1000000000000000*V16*V50*V17)/3600</f>
        <v>11765.5884303351</v>
      </c>
      <c r="W51" s="56" t="n">
        <f aca="false">W49/(W12*1000000000000000*W16*W50*W17)/3600</f>
        <v>1959.25413098178</v>
      </c>
      <c r="X51" s="56" t="n">
        <f aca="false">X49/(X12*1000000000000000*X16*X50*X17)/3600</f>
        <v>11765.5884303351</v>
      </c>
      <c r="Y51" s="56" t="n">
        <f aca="false">Y49/(Y12*1000000000000000*Y16*Y50*Y17)/3600</f>
        <v>1959.25413098178</v>
      </c>
      <c r="Z51" s="56" t="n">
        <f aca="false">Z49/(Z12*1000000000000000*Z16*Z50*Z17)/3600</f>
        <v>11765.5884303351</v>
      </c>
      <c r="AA51" s="56" t="n">
        <f aca="false">AA49/(AA12*1000000000000000*AA16*AA50*AA17)/3600</f>
        <v>1959.25413098178</v>
      </c>
      <c r="AB51" s="56" t="n">
        <f aca="false">AB49/(AB12*1000000000000000*AB16*AB50*AB17)/3600</f>
        <v>11765.5884303351</v>
      </c>
      <c r="AC51" s="56" t="n">
        <f aca="false">AC49/(AC12*1000000000000000*AC16*AC50*AC17)/3600</f>
        <v>1959.25413098178</v>
      </c>
      <c r="AD51" s="56" t="n">
        <f aca="false">AD49/(AD12*1000000000000000*AD16*AD50*AD17)/3600</f>
        <v>11765.5884303351</v>
      </c>
      <c r="AE51" s="56" t="n">
        <f aca="false">AE49/(AE12*1000000000000000*AE16*AE50*AE17)/3600</f>
        <v>1959.25413098178</v>
      </c>
      <c r="AF51" s="56" t="n">
        <f aca="false">AF49/(AF12*1000000000000000*AF16*AF50*AF17)/3600</f>
        <v>11765.5884303351</v>
      </c>
      <c r="AG51" s="56" t="n">
        <f aca="false">AG49/(AG12*1000000000000000*AG16*AG50*AG17)/3600</f>
        <v>2204.1608973545</v>
      </c>
      <c r="AH51" s="56" t="n">
        <f aca="false">AH49/(AH12*1000000000000000*AH16*AH50*AH17)/3600</f>
        <v>13236.286984127</v>
      </c>
    </row>
    <row r="52" customFormat="false" ht="15" hidden="false" customHeight="false" outlineLevel="0" collapsed="false">
      <c r="A52" s="72" t="s">
        <v>939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</row>
    <row r="53" customFormat="false" ht="15" hidden="false" customHeight="false" outlineLevel="0" collapsed="false">
      <c r="A53" s="45" t="s">
        <v>940</v>
      </c>
      <c r="B53" s="45" t="s">
        <v>861</v>
      </c>
      <c r="C53" s="80" t="n">
        <f aca="false">INDEX(Train_In!$C$34:$E$34,C$7)</f>
        <v>2.36</v>
      </c>
      <c r="D53" s="80" t="n">
        <f aca="false">INDEX(Train_In!$C$34:$E$34,D$7)</f>
        <v>9.6</v>
      </c>
      <c r="E53" s="80" t="n">
        <f aca="false">INDEX(Train_In!$C$34:$E$34,E$7)</f>
        <v>2.36</v>
      </c>
      <c r="F53" s="80" t="n">
        <f aca="false">INDEX(Train_In!$C$34:$E$34,F$7)</f>
        <v>9.6</v>
      </c>
      <c r="G53" s="80" t="n">
        <f aca="false">INDEX(Train_In!$C$34:$E$34,G$7)</f>
        <v>2.36</v>
      </c>
      <c r="H53" s="80" t="n">
        <f aca="false">INDEX(Train_In!$C$34:$E$34,H$7)</f>
        <v>9.6</v>
      </c>
      <c r="I53" s="80" t="n">
        <f aca="false">INDEX(Train_In!$C$34:$E$34,I$7)</f>
        <v>2.36</v>
      </c>
      <c r="J53" s="80" t="n">
        <f aca="false">INDEX(Train_In!$C$34:$E$34,J$7)</f>
        <v>9.6</v>
      </c>
      <c r="K53" s="80" t="n">
        <f aca="false">INDEX(Train_In!$C$34:$E$34,K$7)</f>
        <v>2.36</v>
      </c>
      <c r="L53" s="80" t="n">
        <f aca="false">INDEX(Train_In!$C$34:$E$34,L$7)</f>
        <v>9.6</v>
      </c>
      <c r="M53" s="80" t="n">
        <f aca="false">INDEX(Train_In!$C$34:$E$34,M$7)</f>
        <v>2.36</v>
      </c>
      <c r="N53" s="80" t="n">
        <f aca="false">INDEX(Train_In!$C$34:$E$34,N$7)</f>
        <v>9.6</v>
      </c>
      <c r="O53" s="133" t="n">
        <f aca="false">INDEX(Train_In!$C$34:$E$34,O$7)*0.3</f>
        <v>0.708</v>
      </c>
      <c r="P53" s="133" t="n">
        <f aca="false">INDEX(Train_In!$C$34:$E$34,P$7)*0.3</f>
        <v>2.88</v>
      </c>
      <c r="Q53" s="133" t="n">
        <f aca="false">INDEX(Train_In!$C$34:$E$34,Q$7)*3</f>
        <v>7.08</v>
      </c>
      <c r="R53" s="133" t="n">
        <f aca="false">INDEX(Train_In!$C$34:$E$34,R$7)*3</f>
        <v>28.8</v>
      </c>
      <c r="S53" s="80" t="n">
        <f aca="false">INDEX(Train_In!$C$34:$E$34,S$7)</f>
        <v>2.36</v>
      </c>
      <c r="T53" s="80" t="n">
        <f aca="false">INDEX(Train_In!$C$34:$E$34,T$7)</f>
        <v>9.6</v>
      </c>
      <c r="U53" s="80" t="n">
        <f aca="false">INDEX(Train_In!$C$34:$E$34,U$7)</f>
        <v>2.36</v>
      </c>
      <c r="V53" s="80" t="n">
        <f aca="false">INDEX(Train_In!$C$34:$E$34,V$7)</f>
        <v>9.6</v>
      </c>
      <c r="W53" s="80" t="n">
        <f aca="false">INDEX(Train_In!$C$34:$E$34,W$7)</f>
        <v>2.36</v>
      </c>
      <c r="X53" s="80" t="n">
        <f aca="false">INDEX(Train_In!$C$34:$E$34,X$7)</f>
        <v>9.6</v>
      </c>
      <c r="Y53" s="80" t="n">
        <f aca="false">INDEX(Train_In!$C$34:$E$34,Y$7)</f>
        <v>2.36</v>
      </c>
      <c r="Z53" s="80" t="n">
        <f aca="false">INDEX(Train_In!$C$34:$E$34,Z$7)</f>
        <v>9.6</v>
      </c>
      <c r="AA53" s="80" t="n">
        <f aca="false">INDEX(Train_In!$C$34:$E$34,AA$7)</f>
        <v>2.36</v>
      </c>
      <c r="AB53" s="80" t="n">
        <f aca="false">INDEX(Train_In!$C$34:$E$34,AB$7)</f>
        <v>9.6</v>
      </c>
      <c r="AC53" s="80" t="n">
        <f aca="false">INDEX(Train_In!$C$34:$E$34,AC$7)</f>
        <v>2.36</v>
      </c>
      <c r="AD53" s="80" t="n">
        <f aca="false">INDEX(Train_In!$C$34:$E$34,AD$7)</f>
        <v>9.6</v>
      </c>
      <c r="AE53" s="80" t="n">
        <f aca="false">INDEX(Train_In!$C$34:$E$34,AE$7)</f>
        <v>2.36</v>
      </c>
      <c r="AF53" s="80" t="n">
        <f aca="false">INDEX(Train_In!$C$34:$E$34,AF$7)</f>
        <v>9.6</v>
      </c>
      <c r="AG53" s="80" t="n">
        <f aca="false">INDEX(Train_In!$C$34:$E$34,AG$7)</f>
        <v>2.36</v>
      </c>
      <c r="AH53" s="80" t="n">
        <f aca="false">INDEX(Train_In!$C$34:$E$34,AH$7)</f>
        <v>9.6</v>
      </c>
    </row>
    <row r="54" customFormat="false" ht="15" hidden="false" customHeight="false" outlineLevel="0" collapsed="false">
      <c r="A54" s="44" t="s">
        <v>941</v>
      </c>
      <c r="B54" s="45" t="s">
        <v>236</v>
      </c>
      <c r="C54" s="76" t="n">
        <f aca="false">INDEX(Perf_Batch!$C$43:$Q$43,3*(C$6-1)+C$7)</f>
        <v>8192</v>
      </c>
      <c r="D54" s="76" t="n">
        <f aca="false">INDEX(Perf_Batch!$C$43:$Q$43,3*(D$6-1)+D$7)</f>
        <v>16384</v>
      </c>
      <c r="E54" s="76" t="n">
        <f aca="false">INDEX(Perf_Batch!$C$43:$Q$43,3*(E$6-1)+E$7)</f>
        <v>8192</v>
      </c>
      <c r="F54" s="76" t="n">
        <f aca="false">INDEX(Perf_Batch!$C$43:$Q$43,3*(F$6-1)+F$7)</f>
        <v>16384</v>
      </c>
      <c r="G54" s="76" t="n">
        <f aca="false">INDEX(Perf_Batch!$C$43:$Q$43,3*(G$6-1)+G$7)</f>
        <v>8192</v>
      </c>
      <c r="H54" s="76" t="n">
        <f aca="false">INDEX(Perf_Batch!$C$43:$Q$43,3*(H$6-1)+H$7)</f>
        <v>16384</v>
      </c>
      <c r="I54" s="76" t="n">
        <f aca="false">INDEX(Perf_Batch!$C$43:$Q$43,3*(I$6-1)+I$7)</f>
        <v>8192</v>
      </c>
      <c r="J54" s="76" t="n">
        <f aca="false">INDEX(Perf_Batch!$C$43:$Q$43,3*(J$6-1)+J$7)</f>
        <v>16384</v>
      </c>
      <c r="K54" s="76" t="n">
        <f aca="false">INDEX(Perf_Batch!$C$43:$Q$43,3*(K$6-1)+K$7)</f>
        <v>8192</v>
      </c>
      <c r="L54" s="76" t="n">
        <f aca="false">INDEX(Perf_Batch!$C$43:$Q$43,3*(L$6-1)+L$7)</f>
        <v>16384</v>
      </c>
      <c r="M54" s="76" t="n">
        <f aca="false">INDEX(Perf_Batch!$C$43:$Q$43,3*(M$6-1)+M$7)</f>
        <v>8192</v>
      </c>
      <c r="N54" s="76" t="n">
        <f aca="false">INDEX(Perf_Batch!$C$43:$Q$43,3*(N$6-1)+N$7)</f>
        <v>16384</v>
      </c>
      <c r="O54" s="76" t="n">
        <f aca="false">INDEX(Perf_Batch!$C$43:$Q$43,3*(O$6-1)+O$7)</f>
        <v>8192</v>
      </c>
      <c r="P54" s="76" t="n">
        <f aca="false">INDEX(Perf_Batch!$C$43:$Q$43,3*(P$6-1)+P$7)</f>
        <v>16384</v>
      </c>
      <c r="Q54" s="76" t="n">
        <f aca="false">INDEX(Perf_Batch!$C$43:$Q$43,3*(Q$6-1)+Q$7)</f>
        <v>8192</v>
      </c>
      <c r="R54" s="76" t="n">
        <f aca="false">INDEX(Perf_Batch!$C$43:$Q$43,3*(R$6-1)+R$7)</f>
        <v>16384</v>
      </c>
      <c r="S54" s="76" t="n">
        <f aca="false">INDEX(Perf_Batch!$C$43:$Q$43,3*(S$6-1)+S$7)</f>
        <v>8192</v>
      </c>
      <c r="T54" s="76" t="n">
        <f aca="false">INDEX(Perf_Batch!$C$43:$Q$43,3*(T$6-1)+T$7)</f>
        <v>16384</v>
      </c>
      <c r="U54" s="76" t="n">
        <f aca="false">INDEX(Perf_Batch!$C$43:$Q$43,3*(U$6-1)+U$7)</f>
        <v>8192</v>
      </c>
      <c r="V54" s="76" t="n">
        <f aca="false">INDEX(Perf_Batch!$C$43:$Q$43,3*(V$6-1)+V$7)</f>
        <v>16384</v>
      </c>
      <c r="W54" s="76" t="n">
        <f aca="false">INDEX(Perf_Batch!$C$43:$Q$43,3*(W$6-1)+W$7)</f>
        <v>8192</v>
      </c>
      <c r="X54" s="76" t="n">
        <f aca="false">INDEX(Perf_Batch!$C$43:$Q$43,3*(X$6-1)+X$7)</f>
        <v>16384</v>
      </c>
      <c r="Y54" s="76" t="n">
        <f aca="false">INDEX(Perf_Batch!$C$43:$Q$43,3*(Y$6-1)+Y$7)</f>
        <v>8192</v>
      </c>
      <c r="Z54" s="76" t="n">
        <f aca="false">INDEX(Perf_Batch!$C$43:$Q$43,3*(Z$6-1)+Z$7)</f>
        <v>16384</v>
      </c>
      <c r="AA54" s="76" t="n">
        <f aca="false">INDEX(Perf_Batch!$C$43:$Q$43,3*(AA$6-1)+AA$7)</f>
        <v>8192</v>
      </c>
      <c r="AB54" s="76" t="n">
        <f aca="false">INDEX(Perf_Batch!$C$43:$Q$43,3*(AB$6-1)+AB$7)</f>
        <v>16384</v>
      </c>
      <c r="AC54" s="76" t="n">
        <f aca="false">INDEX(Perf_Batch!$C$43:$Q$43,3*(AC$6-1)+AC$7)</f>
        <v>8192</v>
      </c>
      <c r="AD54" s="76" t="n">
        <f aca="false">INDEX(Perf_Batch!$C$43:$Q$43,3*(AD$6-1)+AD$7)</f>
        <v>16384</v>
      </c>
      <c r="AE54" s="76" t="n">
        <f aca="false">INDEX(Perf_Batch!$C$43:$Q$43,3*(AE$6-1)+AE$7)</f>
        <v>8192</v>
      </c>
      <c r="AF54" s="76" t="n">
        <f aca="false">INDEX(Perf_Batch!$C$43:$Q$43,3*(AF$6-1)+AF$7)</f>
        <v>16384</v>
      </c>
      <c r="AG54" s="76" t="n">
        <f aca="false">INDEX(Perf_Batch!$C$43:$Q$43,3*(AG$6-1)+AG$7)</f>
        <v>8192</v>
      </c>
      <c r="AH54" s="76" t="n">
        <f aca="false">INDEX(Perf_Batch!$C$43:$Q$43,3*(AH$6-1)+AH$7)</f>
        <v>16384</v>
      </c>
    </row>
    <row r="55" customFormat="false" ht="15" hidden="false" customHeight="false" outlineLevel="0" collapsed="false">
      <c r="A55" s="44" t="s">
        <v>942</v>
      </c>
      <c r="B55" s="45" t="s">
        <v>236</v>
      </c>
      <c r="C55" s="76" t="n">
        <f aca="false">INDEX(Perf_Batch!$C$44:$Q$44,3*(C$6-1)+C$7)</f>
        <v>16384</v>
      </c>
      <c r="D55" s="76" t="n">
        <f aca="false">INDEX(Perf_Batch!$C$44:$Q$44,3*(D$6-1)+D$7)</f>
        <v>32768</v>
      </c>
      <c r="E55" s="76" t="n">
        <f aca="false">INDEX(Perf_Batch!$C$44:$Q$44,3*(E$6-1)+E$7)</f>
        <v>16384</v>
      </c>
      <c r="F55" s="76" t="n">
        <f aca="false">INDEX(Perf_Batch!$C$44:$Q$44,3*(F$6-1)+F$7)</f>
        <v>32768</v>
      </c>
      <c r="G55" s="76" t="n">
        <f aca="false">INDEX(Perf_Batch!$C$44:$Q$44,3*(G$6-1)+G$7)</f>
        <v>16384</v>
      </c>
      <c r="H55" s="76" t="n">
        <f aca="false">INDEX(Perf_Batch!$C$44:$Q$44,3*(H$6-1)+H$7)</f>
        <v>32768</v>
      </c>
      <c r="I55" s="76" t="n">
        <f aca="false">INDEX(Perf_Batch!$C$44:$Q$44,3*(I$6-1)+I$7)</f>
        <v>16384</v>
      </c>
      <c r="J55" s="76" t="n">
        <f aca="false">INDEX(Perf_Batch!$C$44:$Q$44,3*(J$6-1)+J$7)</f>
        <v>32768</v>
      </c>
      <c r="K55" s="76" t="n">
        <f aca="false">INDEX(Perf_Batch!$C$44:$Q$44,3*(K$6-1)+K$7)</f>
        <v>16384</v>
      </c>
      <c r="L55" s="76" t="n">
        <f aca="false">INDEX(Perf_Batch!$C$44:$Q$44,3*(L$6-1)+L$7)</f>
        <v>32768</v>
      </c>
      <c r="M55" s="76" t="n">
        <f aca="false">INDEX(Perf_Batch!$C$44:$Q$44,3*(M$6-1)+M$7)</f>
        <v>16384</v>
      </c>
      <c r="N55" s="76" t="n">
        <f aca="false">INDEX(Perf_Batch!$C$44:$Q$44,3*(N$6-1)+N$7)</f>
        <v>32768</v>
      </c>
      <c r="O55" s="76" t="n">
        <f aca="false">INDEX(Perf_Batch!$C$44:$Q$44,3*(O$6-1)+O$7)</f>
        <v>16384</v>
      </c>
      <c r="P55" s="76" t="n">
        <f aca="false">INDEX(Perf_Batch!$C$44:$Q$44,3*(P$6-1)+P$7)</f>
        <v>32768</v>
      </c>
      <c r="Q55" s="76" t="n">
        <f aca="false">INDEX(Perf_Batch!$C$44:$Q$44,3*(Q$6-1)+Q$7)</f>
        <v>16384</v>
      </c>
      <c r="R55" s="76" t="n">
        <f aca="false">INDEX(Perf_Batch!$C$44:$Q$44,3*(R$6-1)+R$7)</f>
        <v>32768</v>
      </c>
      <c r="S55" s="76" t="n">
        <f aca="false">INDEX(Perf_Batch!$C$44:$Q$44,3*(S$6-1)+S$7)</f>
        <v>16384</v>
      </c>
      <c r="T55" s="76" t="n">
        <f aca="false">INDEX(Perf_Batch!$C$44:$Q$44,3*(T$6-1)+T$7)</f>
        <v>32768</v>
      </c>
      <c r="U55" s="76" t="n">
        <f aca="false">INDEX(Perf_Batch!$C$44:$Q$44,3*(U$6-1)+U$7)</f>
        <v>16384</v>
      </c>
      <c r="V55" s="76" t="n">
        <f aca="false">INDEX(Perf_Batch!$C$44:$Q$44,3*(V$6-1)+V$7)</f>
        <v>32768</v>
      </c>
      <c r="W55" s="76" t="n">
        <f aca="false">INDEX(Perf_Batch!$C$44:$Q$44,3*(W$6-1)+W$7)</f>
        <v>16384</v>
      </c>
      <c r="X55" s="76" t="n">
        <f aca="false">INDEX(Perf_Batch!$C$44:$Q$44,3*(X$6-1)+X$7)</f>
        <v>32768</v>
      </c>
      <c r="Y55" s="76" t="n">
        <f aca="false">INDEX(Perf_Batch!$C$44:$Q$44,3*(Y$6-1)+Y$7)</f>
        <v>16384</v>
      </c>
      <c r="Z55" s="76" t="n">
        <f aca="false">INDEX(Perf_Batch!$C$44:$Q$44,3*(Z$6-1)+Z$7)</f>
        <v>32768</v>
      </c>
      <c r="AA55" s="76" t="n">
        <f aca="false">INDEX(Perf_Batch!$C$44:$Q$44,3*(AA$6-1)+AA$7)</f>
        <v>16384</v>
      </c>
      <c r="AB55" s="76" t="n">
        <f aca="false">INDEX(Perf_Batch!$C$44:$Q$44,3*(AB$6-1)+AB$7)</f>
        <v>32768</v>
      </c>
      <c r="AC55" s="76" t="n">
        <f aca="false">INDEX(Perf_Batch!$C$44:$Q$44,3*(AC$6-1)+AC$7)</f>
        <v>16384</v>
      </c>
      <c r="AD55" s="76" t="n">
        <f aca="false">INDEX(Perf_Batch!$C$44:$Q$44,3*(AD$6-1)+AD$7)</f>
        <v>32768</v>
      </c>
      <c r="AE55" s="76" t="n">
        <f aca="false">INDEX(Perf_Batch!$C$44:$Q$44,3*(AE$6-1)+AE$7)</f>
        <v>16384</v>
      </c>
      <c r="AF55" s="76" t="n">
        <f aca="false">INDEX(Perf_Batch!$C$44:$Q$44,3*(AF$6-1)+AF$7)</f>
        <v>32768</v>
      </c>
      <c r="AG55" s="76" t="n">
        <f aca="false">INDEX(Perf_Batch!$C$44:$Q$44,3*(AG$6-1)+AG$7)</f>
        <v>16384</v>
      </c>
      <c r="AH55" s="76" t="n">
        <f aca="false">INDEX(Perf_Batch!$C$44:$Q$44,3*(AH$6-1)+AH$7)</f>
        <v>32768</v>
      </c>
    </row>
    <row r="56" customFormat="false" ht="15" hidden="false" customHeight="false" outlineLevel="0" collapsed="false">
      <c r="A56" s="44" t="s">
        <v>943</v>
      </c>
      <c r="B56" s="44" t="s">
        <v>328</v>
      </c>
      <c r="C56" s="56" t="n">
        <f aca="false">C53*1000000000000/C55</f>
        <v>144042968.75</v>
      </c>
      <c r="D56" s="56" t="n">
        <f aca="false">D53*1000000000000/D55</f>
        <v>292968750</v>
      </c>
      <c r="E56" s="56" t="n">
        <f aca="false">E53*1000000000000/E55</f>
        <v>144042968.75</v>
      </c>
      <c r="F56" s="56" t="n">
        <f aca="false">F53*1000000000000/F55</f>
        <v>292968750</v>
      </c>
      <c r="G56" s="56" t="n">
        <f aca="false">G53*1000000000000/G55</f>
        <v>144042968.75</v>
      </c>
      <c r="H56" s="56" t="n">
        <f aca="false">H53*1000000000000/H55</f>
        <v>292968750</v>
      </c>
      <c r="I56" s="56" t="n">
        <f aca="false">I53*1000000000000/I55</f>
        <v>144042968.75</v>
      </c>
      <c r="J56" s="56" t="n">
        <f aca="false">J53*1000000000000/J55</f>
        <v>292968750</v>
      </c>
      <c r="K56" s="56" t="n">
        <f aca="false">K53*1000000000000/K55</f>
        <v>144042968.75</v>
      </c>
      <c r="L56" s="56" t="n">
        <f aca="false">L53*1000000000000/L55</f>
        <v>292968750</v>
      </c>
      <c r="M56" s="56" t="n">
        <f aca="false">M53*1000000000000/M55</f>
        <v>144042968.75</v>
      </c>
      <c r="N56" s="56" t="n">
        <f aca="false">N53*1000000000000/N55</f>
        <v>292968750</v>
      </c>
      <c r="O56" s="56" t="n">
        <f aca="false">O53*1000000000000/O55</f>
        <v>43212890.625</v>
      </c>
      <c r="P56" s="56" t="n">
        <f aca="false">P53*1000000000000/P55</f>
        <v>87890625</v>
      </c>
      <c r="Q56" s="56" t="n">
        <f aca="false">Q53*1000000000000/Q55</f>
        <v>432128906.25</v>
      </c>
      <c r="R56" s="56" t="n">
        <f aca="false">R53*1000000000000/R55</f>
        <v>878906250</v>
      </c>
      <c r="S56" s="56" t="n">
        <f aca="false">S53*1000000000000/S55</f>
        <v>144042968.75</v>
      </c>
      <c r="T56" s="56" t="n">
        <f aca="false">T53*1000000000000/T55</f>
        <v>292968750</v>
      </c>
      <c r="U56" s="56" t="n">
        <f aca="false">U53*1000000000000/U55</f>
        <v>144042968.75</v>
      </c>
      <c r="V56" s="56" t="n">
        <f aca="false">V53*1000000000000/V55</f>
        <v>292968750</v>
      </c>
      <c r="W56" s="56" t="n">
        <f aca="false">W53*1000000000000/W55</f>
        <v>144042968.75</v>
      </c>
      <c r="X56" s="56" t="n">
        <f aca="false">X53*1000000000000/X55</f>
        <v>292968750</v>
      </c>
      <c r="Y56" s="56" t="n">
        <f aca="false">Y53*1000000000000/Y55</f>
        <v>144042968.75</v>
      </c>
      <c r="Z56" s="56" t="n">
        <f aca="false">Z53*1000000000000/Z55</f>
        <v>292968750</v>
      </c>
      <c r="AA56" s="56" t="n">
        <f aca="false">AA53*1000000000000/AA55</f>
        <v>144042968.75</v>
      </c>
      <c r="AB56" s="56" t="n">
        <f aca="false">AB53*1000000000000/AB55</f>
        <v>292968750</v>
      </c>
      <c r="AC56" s="56" t="n">
        <f aca="false">AC53*1000000000000/AC55</f>
        <v>144042968.75</v>
      </c>
      <c r="AD56" s="56" t="n">
        <f aca="false">AD53*1000000000000/AD55</f>
        <v>292968750</v>
      </c>
      <c r="AE56" s="56" t="n">
        <f aca="false">AE53*1000000000000/AE55</f>
        <v>144042968.75</v>
      </c>
      <c r="AF56" s="56" t="n">
        <f aca="false">AF53*1000000000000/AF55</f>
        <v>292968750</v>
      </c>
      <c r="AG56" s="56" t="n">
        <f aca="false">AG53*1000000000000/AG55</f>
        <v>144042968.75</v>
      </c>
      <c r="AH56" s="56" t="n">
        <f aca="false">AH53*1000000000000/AH55</f>
        <v>292968750</v>
      </c>
    </row>
    <row r="57" customFormat="false" ht="15" hidden="false" customHeight="false" outlineLevel="0" collapsed="false">
      <c r="A57" s="45" t="s">
        <v>944</v>
      </c>
      <c r="B57" s="44" t="s">
        <v>328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44" t="s">
        <v>945</v>
      </c>
      <c r="B58" s="45" t="s">
        <v>861</v>
      </c>
      <c r="C58" s="52" t="n">
        <f aca="false">C56*C54/C57/1000000000000</f>
        <v>0.07375</v>
      </c>
      <c r="D58" s="52" t="n">
        <f aca="false">D56*D54/D57/1000000000000</f>
        <v>0.3</v>
      </c>
      <c r="E58" s="52" t="n">
        <f aca="false">E56*E54/E57/1000000000000</f>
        <v>0.07375</v>
      </c>
      <c r="F58" s="52" t="n">
        <f aca="false">F56*F54/F57/1000000000000</f>
        <v>0.3</v>
      </c>
      <c r="G58" s="52" t="n">
        <f aca="false">G56*G54/G57/1000000000000</f>
        <v>0.07375</v>
      </c>
      <c r="H58" s="52" t="n">
        <f aca="false">H56*H54/H57/1000000000000</f>
        <v>0.3</v>
      </c>
      <c r="I58" s="52" t="n">
        <f aca="false">I56*I54/I57/1000000000000</f>
        <v>0.07375</v>
      </c>
      <c r="J58" s="52" t="n">
        <f aca="false">J56*J54/J57/1000000000000</f>
        <v>0.3</v>
      </c>
      <c r="K58" s="52" t="n">
        <f aca="false">K56*K54/K57/1000000000000</f>
        <v>0.07375</v>
      </c>
      <c r="L58" s="52" t="n">
        <f aca="false">L56*L54/L57/1000000000000</f>
        <v>0.3</v>
      </c>
      <c r="M58" s="52" t="n">
        <f aca="false">M56*M54/M57/1000000000000</f>
        <v>0.07375</v>
      </c>
      <c r="N58" s="52" t="n">
        <f aca="false">N56*N54/N57/1000000000000</f>
        <v>0.3</v>
      </c>
      <c r="O58" s="52" t="n">
        <f aca="false">O56*O54/O57/1000000000000</f>
        <v>0.022125</v>
      </c>
      <c r="P58" s="52" t="n">
        <f aca="false">P56*P54/P57/1000000000000</f>
        <v>0.09</v>
      </c>
      <c r="Q58" s="52" t="n">
        <f aca="false">Q56*Q54/Q57/1000000000000</f>
        <v>0.22125</v>
      </c>
      <c r="R58" s="52" t="n">
        <f aca="false">R56*R54/R57/1000000000000</f>
        <v>0.9</v>
      </c>
      <c r="S58" s="52" t="n">
        <f aca="false">S56*S54/S57/1000000000000</f>
        <v>0.07375</v>
      </c>
      <c r="T58" s="52" t="n">
        <f aca="false">T56*T54/T57/1000000000000</f>
        <v>0.3</v>
      </c>
      <c r="U58" s="52" t="n">
        <f aca="false">U56*U54/U57/1000000000000</f>
        <v>0.07375</v>
      </c>
      <c r="V58" s="52" t="n">
        <f aca="false">V56*V54/V57/1000000000000</f>
        <v>0.3</v>
      </c>
      <c r="W58" s="52" t="n">
        <f aca="false">W56*W54/W57/1000000000000</f>
        <v>0.07375</v>
      </c>
      <c r="X58" s="52" t="n">
        <f aca="false">X56*X54/X57/1000000000000</f>
        <v>0.3</v>
      </c>
      <c r="Y58" s="52" t="n">
        <f aca="false">Y56*Y54/Y57/1000000000000</f>
        <v>0.07375</v>
      </c>
      <c r="Z58" s="52" t="n">
        <f aca="false">Z56*Z54/Z57/1000000000000</f>
        <v>0.3</v>
      </c>
      <c r="AA58" s="52" t="n">
        <f aca="false">AA56*AA54/AA57/1000000000000</f>
        <v>0.07375</v>
      </c>
      <c r="AB58" s="52" t="n">
        <f aca="false">AB56*AB54/AB57/1000000000000</f>
        <v>0.3</v>
      </c>
      <c r="AC58" s="52" t="n">
        <f aca="false">AC56*AC54/AC57/1000000000000</f>
        <v>0.07375</v>
      </c>
      <c r="AD58" s="52" t="n">
        <f aca="false">AD56*AD54/AD57/1000000000000</f>
        <v>0.3</v>
      </c>
      <c r="AE58" s="52" t="n">
        <f aca="false">AE56*AE54/AE57/1000000000000</f>
        <v>0.07375</v>
      </c>
      <c r="AF58" s="52" t="n">
        <f aca="false">AF56*AF54/AF57/1000000000000</f>
        <v>0.3</v>
      </c>
      <c r="AG58" s="52" t="n">
        <f aca="false">AG56*AG54/AG57/1000000000000</f>
        <v>0.07375</v>
      </c>
      <c r="AH58" s="52" t="n">
        <f aca="false">AH56*AH54/AH57/1000000000000</f>
        <v>0.3</v>
      </c>
    </row>
    <row r="59" customFormat="false" ht="15" hidden="false" customHeight="false" outlineLevel="0" collapsed="false">
      <c r="A59" s="45" t="s">
        <v>946</v>
      </c>
      <c r="B59" s="45" t="s">
        <v>711</v>
      </c>
      <c r="C59" s="80" t="n">
        <f aca="false">INDEX(Perf_Batch!$C$103:$Q$103,3*(C$6-1)+C$7)</f>
        <v>185.7675970011</v>
      </c>
      <c r="D59" s="80" t="n">
        <f aca="false">INDEX(Perf_Batch!$C$103:$Q$103,3*(D$6-1)+D$7)</f>
        <v>788.618565761301</v>
      </c>
      <c r="E59" s="80" t="n">
        <f aca="false">INDEX(Perf_Batch!$C$103:$Q$103,3*(E$6-1)+E$7)</f>
        <v>185.7675970011</v>
      </c>
      <c r="F59" s="80" t="n">
        <f aca="false">INDEX(Perf_Batch!$C$103:$Q$103,3*(F$6-1)+F$7)</f>
        <v>788.618565761301</v>
      </c>
      <c r="G59" s="80" t="n">
        <f aca="false">INDEX(Perf_Batch!$C$103:$Q$103,3*(G$6-1)+G$7)</f>
        <v>185.7675970011</v>
      </c>
      <c r="H59" s="80" t="n">
        <f aca="false">INDEX(Perf_Batch!$C$103:$Q$103,3*(H$6-1)+H$7)</f>
        <v>788.618565761301</v>
      </c>
      <c r="I59" s="80" t="n">
        <f aca="false">INDEX(Perf_Batch!$C$103:$Q$103,3*(I$6-1)+I$7)</f>
        <v>185.7675970011</v>
      </c>
      <c r="J59" s="80" t="n">
        <f aca="false">INDEX(Perf_Batch!$C$103:$Q$103,3*(J$6-1)+J$7)</f>
        <v>788.618565761301</v>
      </c>
      <c r="K59" s="80" t="n">
        <f aca="false">INDEX(Perf_Batch!$C$103:$Q$103,3*(K$6-1)+K$7)</f>
        <v>185.7675970011</v>
      </c>
      <c r="L59" s="80" t="n">
        <f aca="false">INDEX(Perf_Batch!$C$103:$Q$103,3*(L$6-1)+L$7)</f>
        <v>788.618565761301</v>
      </c>
      <c r="M59" s="80" t="n">
        <f aca="false">INDEX(Perf_Batch!$C$103:$Q$103,3*(M$6-1)+M$7)</f>
        <v>185.7675970011</v>
      </c>
      <c r="N59" s="80" t="n">
        <f aca="false">INDEX(Perf_Batch!$C$103:$Q$103,3*(N$6-1)+N$7)</f>
        <v>788.618565761301</v>
      </c>
      <c r="O59" s="80" t="n">
        <f aca="false">INDEX(Perf_Batch!$C$103:$Q$103,3*(O$6-1)+O$7)</f>
        <v>185.7675970011</v>
      </c>
      <c r="P59" s="80" t="n">
        <f aca="false">INDEX(Perf_Batch!$C$103:$Q$103,3*(P$6-1)+P$7)</f>
        <v>788.618565761301</v>
      </c>
      <c r="Q59" s="80" t="n">
        <f aca="false">INDEX(Perf_Batch!$C$103:$Q$103,3*(Q$6-1)+Q$7)</f>
        <v>185.7675970011</v>
      </c>
      <c r="R59" s="80" t="n">
        <f aca="false">INDEX(Perf_Batch!$C$103:$Q$103,3*(R$6-1)+R$7)</f>
        <v>788.618565761301</v>
      </c>
      <c r="S59" s="80" t="n">
        <f aca="false">INDEX(Perf_Batch!$C$103:$Q$103,3*(S$6-1)+S$7)</f>
        <v>185.7675970011</v>
      </c>
      <c r="T59" s="80" t="n">
        <f aca="false">INDEX(Perf_Batch!$C$103:$Q$103,3*(T$6-1)+T$7)</f>
        <v>788.618565761301</v>
      </c>
      <c r="U59" s="80" t="n">
        <f aca="false">INDEX(Perf_Batch!$C$103:$Q$103,3*(U$6-1)+U$7)</f>
        <v>185.7675970011</v>
      </c>
      <c r="V59" s="80" t="n">
        <f aca="false">INDEX(Perf_Batch!$C$103:$Q$103,3*(V$6-1)+V$7)</f>
        <v>788.618565761301</v>
      </c>
      <c r="W59" s="133" t="n">
        <f aca="false">Perf_Batch!R103</f>
        <v>374.756543766303</v>
      </c>
      <c r="X59" s="133" t="n">
        <f aca="false">Perf_Batch!S103</f>
        <v>1599.34462151603</v>
      </c>
      <c r="Y59" s="80" t="n">
        <f aca="false">INDEX(Perf_Batch!$C$103:$Q$103,3*(Y$6-1)+Y$7)</f>
        <v>185.7675970011</v>
      </c>
      <c r="Z59" s="80" t="n">
        <f aca="false">INDEX(Perf_Batch!$C$103:$Q$103,3*(Z$6-1)+Z$7)</f>
        <v>788.618565761301</v>
      </c>
      <c r="AA59" s="80" t="n">
        <f aca="false">INDEX(Perf_Batch!$C$103:$Q$103,3*(AA$6-1)+AA$7)</f>
        <v>185.7675970011</v>
      </c>
      <c r="AB59" s="80" t="n">
        <f aca="false">INDEX(Perf_Batch!$C$103:$Q$103,3*(AB$6-1)+AB$7)</f>
        <v>788.618565761301</v>
      </c>
      <c r="AC59" s="80" t="n">
        <f aca="false">INDEX(Perf_Batch!$C$103:$Q$103,3*(AC$6-1)+AC$7)</f>
        <v>185.7675970011</v>
      </c>
      <c r="AD59" s="80" t="n">
        <f aca="false">INDEX(Perf_Batch!$C$103:$Q$103,3*(AD$6-1)+AD$7)</f>
        <v>788.618565761301</v>
      </c>
      <c r="AE59" s="80" t="n">
        <f aca="false">INDEX(Perf_Batch!$C$103:$Q$103,3*(AE$6-1)+AE$7)</f>
        <v>185.7675970011</v>
      </c>
      <c r="AF59" s="80" t="n">
        <f aca="false">INDEX(Perf_Batch!$C$103:$Q$103,3*(AF$6-1)+AF$7)</f>
        <v>788.618565761301</v>
      </c>
      <c r="AG59" s="80" t="n">
        <f aca="false">INDEX(Perf_Batch!$C$103:$Q$103,3*(AG$6-1)+AG$7)</f>
        <v>185.7675970011</v>
      </c>
      <c r="AH59" s="80" t="n">
        <f aca="false">INDEX(Perf_Batch!$C$103:$Q$103,3*(AH$6-1)+AH$7)</f>
        <v>788.618565761301</v>
      </c>
    </row>
    <row r="60" customFormat="false" ht="15" hidden="false" customHeight="false" outlineLevel="0" collapsed="false">
      <c r="A60" s="45" t="s">
        <v>947</v>
      </c>
      <c r="B60" s="45" t="s">
        <v>711</v>
      </c>
      <c r="C60" s="80" t="n">
        <f aca="false">INDEX(Perf_Batch!$C$101:$Q$101,3*(C$6-1)+C$7)</f>
        <v>12.574132224</v>
      </c>
      <c r="D60" s="80" t="n">
        <f aca="false">INDEX(Perf_Batch!$C$101:$Q$101,3*(D$6-1)+D$7)</f>
        <v>38.1205065142857</v>
      </c>
      <c r="E60" s="80" t="n">
        <f aca="false">INDEX(Perf_Batch!$C$101:$Q$101,3*(E$6-1)+E$7)</f>
        <v>12.574132224</v>
      </c>
      <c r="F60" s="80" t="n">
        <f aca="false">INDEX(Perf_Batch!$C$101:$Q$101,3*(F$6-1)+F$7)</f>
        <v>38.1205065142857</v>
      </c>
      <c r="G60" s="80" t="n">
        <f aca="false">INDEX(Perf_Batch!$C$101:$Q$101,3*(G$6-1)+G$7)</f>
        <v>12.574132224</v>
      </c>
      <c r="H60" s="80" t="n">
        <f aca="false">INDEX(Perf_Batch!$C$101:$Q$101,3*(H$6-1)+H$7)</f>
        <v>38.1205065142857</v>
      </c>
      <c r="I60" s="80" t="n">
        <f aca="false">INDEX(Perf_Batch!$C$101:$Q$101,3*(I$6-1)+I$7)</f>
        <v>12.574132224</v>
      </c>
      <c r="J60" s="80" t="n">
        <f aca="false">INDEX(Perf_Batch!$C$101:$Q$101,3*(J$6-1)+J$7)</f>
        <v>38.1205065142857</v>
      </c>
      <c r="K60" s="80" t="n">
        <f aca="false">INDEX(Perf_Batch!$C$101:$Q$101,3*(K$6-1)+K$7)</f>
        <v>12.574132224</v>
      </c>
      <c r="L60" s="80" t="n">
        <f aca="false">INDEX(Perf_Batch!$C$101:$Q$101,3*(L$6-1)+L$7)</f>
        <v>38.1205065142857</v>
      </c>
      <c r="M60" s="80" t="n">
        <f aca="false">INDEX(Perf_Batch!$C$101:$Q$101,3*(M$6-1)+M$7)</f>
        <v>12.574132224</v>
      </c>
      <c r="N60" s="80" t="n">
        <f aca="false">INDEX(Perf_Batch!$C$101:$Q$101,3*(N$6-1)+N$7)</f>
        <v>38.1205065142857</v>
      </c>
      <c r="O60" s="80" t="n">
        <f aca="false">INDEX(Perf_Batch!$C$101:$Q$101,3*(O$6-1)+O$7)</f>
        <v>12.574132224</v>
      </c>
      <c r="P60" s="80" t="n">
        <f aca="false">INDEX(Perf_Batch!$C$101:$Q$101,3*(P$6-1)+P$7)</f>
        <v>38.1205065142857</v>
      </c>
      <c r="Q60" s="80" t="n">
        <f aca="false">INDEX(Perf_Batch!$C$101:$Q$101,3*(Q$6-1)+Q$7)</f>
        <v>12.574132224</v>
      </c>
      <c r="R60" s="80" t="n">
        <f aca="false">INDEX(Perf_Batch!$C$101:$Q$101,3*(R$6-1)+R$7)</f>
        <v>38.1205065142857</v>
      </c>
      <c r="S60" s="80" t="n">
        <f aca="false">INDEX(Perf_Batch!$C$101:$Q$101,3*(S$6-1)+S$7)</f>
        <v>12.574132224</v>
      </c>
      <c r="T60" s="80" t="n">
        <f aca="false">INDEX(Perf_Batch!$C$101:$Q$101,3*(T$6-1)+T$7)</f>
        <v>38.1205065142857</v>
      </c>
      <c r="U60" s="80" t="n">
        <f aca="false">INDEX(Perf_Batch!$C$101:$Q$101,3*(U$6-1)+U$7)</f>
        <v>12.574132224</v>
      </c>
      <c r="V60" s="80" t="n">
        <f aca="false">INDEX(Perf_Batch!$C$101:$Q$101,3*(V$6-1)+V$7)</f>
        <v>38.1205065142857</v>
      </c>
      <c r="W60" s="133" t="n">
        <f aca="false">Perf_Batch!R101</f>
        <v>25.148264448</v>
      </c>
      <c r="X60" s="133" t="n">
        <f aca="false">Perf_Batch!S101</f>
        <v>76.2410130285714</v>
      </c>
      <c r="Y60" s="80" t="n">
        <f aca="false">INDEX(Perf_Batch!$C$101:$Q$101,3*(Y$6-1)+Y$7)</f>
        <v>12.574132224</v>
      </c>
      <c r="Z60" s="80" t="n">
        <f aca="false">INDEX(Perf_Batch!$C$101:$Q$101,3*(Z$6-1)+Z$7)</f>
        <v>38.1205065142857</v>
      </c>
      <c r="AA60" s="80" t="n">
        <f aca="false">INDEX(Perf_Batch!$C$101:$Q$101,3*(AA$6-1)+AA$7)</f>
        <v>12.574132224</v>
      </c>
      <c r="AB60" s="80" t="n">
        <f aca="false">INDEX(Perf_Batch!$C$101:$Q$101,3*(AB$6-1)+AB$7)</f>
        <v>38.1205065142857</v>
      </c>
      <c r="AC60" s="80" t="n">
        <f aca="false">INDEX(Perf_Batch!$C$101:$Q$101,3*(AC$6-1)+AC$7)</f>
        <v>12.574132224</v>
      </c>
      <c r="AD60" s="80" t="n">
        <f aca="false">INDEX(Perf_Batch!$C$101:$Q$101,3*(AD$6-1)+AD$7)</f>
        <v>38.1205065142857</v>
      </c>
      <c r="AE60" s="80" t="n">
        <f aca="false">INDEX(Perf_Batch!$C$101:$Q$101,3*(AE$6-1)+AE$7)</f>
        <v>12.574132224</v>
      </c>
      <c r="AF60" s="80" t="n">
        <f aca="false">INDEX(Perf_Batch!$C$101:$Q$101,3*(AF$6-1)+AF$7)</f>
        <v>38.1205065142857</v>
      </c>
      <c r="AG60" s="80" t="n">
        <f aca="false">INDEX(Perf_Batch!$C$101:$Q$101,3*(AG$6-1)+AG$7)</f>
        <v>12.574132224</v>
      </c>
      <c r="AH60" s="80" t="n">
        <f aca="false">INDEX(Perf_Batch!$C$101:$Q$101,3*(AH$6-1)+AH$7)</f>
        <v>38.1205065142857</v>
      </c>
    </row>
    <row r="61" customFormat="false" ht="15" hidden="false" customHeight="false" outlineLevel="0" collapsed="false">
      <c r="A61" s="45" t="s">
        <v>948</v>
      </c>
      <c r="B61" s="45" t="s">
        <v>409</v>
      </c>
      <c r="C61" s="80" t="n">
        <f aca="false">INDEX(Perf_Batch!$C$65:$Q$65,3*(C$6-1)+C$7)</f>
        <v>133.81935616</v>
      </c>
      <c r="D61" s="80" t="n">
        <f aca="false">INDEX(Perf_Batch!$C$65:$Q$65,3*(D$6-1)+D$7)</f>
        <v>521.0612736</v>
      </c>
      <c r="E61" s="80" t="n">
        <f aca="false">INDEX(Perf_Batch!$C$65:$Q$65,3*(E$6-1)+E$7)</f>
        <v>133.81935616</v>
      </c>
      <c r="F61" s="80" t="n">
        <f aca="false">INDEX(Perf_Batch!$C$65:$Q$65,3*(F$6-1)+F$7)</f>
        <v>521.0612736</v>
      </c>
      <c r="G61" s="80" t="n">
        <f aca="false">INDEX(Perf_Batch!$C$65:$Q$65,3*(G$6-1)+G$7)</f>
        <v>133.81935616</v>
      </c>
      <c r="H61" s="80" t="n">
        <f aca="false">INDEX(Perf_Batch!$C$65:$Q$65,3*(H$6-1)+H$7)</f>
        <v>521.0612736</v>
      </c>
      <c r="I61" s="80" t="n">
        <f aca="false">INDEX(Perf_Batch!$C$65:$Q$65,3*(I$6-1)+I$7)</f>
        <v>133.81935616</v>
      </c>
      <c r="J61" s="80" t="n">
        <f aca="false">INDEX(Perf_Batch!$C$65:$Q$65,3*(J$6-1)+J$7)</f>
        <v>521.0612736</v>
      </c>
      <c r="K61" s="80" t="n">
        <f aca="false">INDEX(Perf_Batch!$C$65:$Q$65,3*(K$6-1)+K$7)</f>
        <v>133.81935616</v>
      </c>
      <c r="L61" s="80" t="n">
        <f aca="false">INDEX(Perf_Batch!$C$65:$Q$65,3*(L$6-1)+L$7)</f>
        <v>521.0612736</v>
      </c>
      <c r="M61" s="80" t="n">
        <f aca="false">INDEX(Perf_Batch!$C$65:$Q$65,3*(M$6-1)+M$7)</f>
        <v>133.81935616</v>
      </c>
      <c r="N61" s="80" t="n">
        <f aca="false">INDEX(Perf_Batch!$C$65:$Q$65,3*(N$6-1)+N$7)</f>
        <v>521.0612736</v>
      </c>
      <c r="O61" s="80" t="n">
        <f aca="false">INDEX(Perf_Batch!$C$65:$Q$65,3*(O$6-1)+O$7)</f>
        <v>133.81935616</v>
      </c>
      <c r="P61" s="80" t="n">
        <f aca="false">INDEX(Perf_Batch!$C$65:$Q$65,3*(P$6-1)+P$7)</f>
        <v>521.0612736</v>
      </c>
      <c r="Q61" s="80" t="n">
        <f aca="false">INDEX(Perf_Batch!$C$65:$Q$65,3*(Q$6-1)+Q$7)</f>
        <v>133.81935616</v>
      </c>
      <c r="R61" s="80" t="n">
        <f aca="false">INDEX(Perf_Batch!$C$65:$Q$65,3*(R$6-1)+R$7)</f>
        <v>521.0612736</v>
      </c>
      <c r="S61" s="80" t="n">
        <f aca="false">INDEX(Perf_Batch!$C$65:$Q$65,3*(S$6-1)+S$7)</f>
        <v>133.81935616</v>
      </c>
      <c r="T61" s="80" t="n">
        <f aca="false">INDEX(Perf_Batch!$C$65:$Q$65,3*(T$6-1)+T$7)</f>
        <v>521.0612736</v>
      </c>
      <c r="U61" s="80" t="n">
        <f aca="false">INDEX(Perf_Batch!$C$65:$Q$65,3*(U$6-1)+U$7)</f>
        <v>133.81935616</v>
      </c>
      <c r="V61" s="80" t="n">
        <f aca="false">INDEX(Perf_Batch!$C$65:$Q$65,3*(V$6-1)+V$7)</f>
        <v>521.0612736</v>
      </c>
      <c r="W61" s="133" t="n">
        <f aca="false">Perf_Batch!R65</f>
        <v>133.81935616</v>
      </c>
      <c r="X61" s="133" t="n">
        <f aca="false">Perf_Batch!S65</f>
        <v>521.0612736</v>
      </c>
      <c r="Y61" s="80" t="n">
        <f aca="false">INDEX(Perf_Batch!$C$65:$Q$65,3*(Y$6-1)+Y$7)</f>
        <v>133.81935616</v>
      </c>
      <c r="Z61" s="80" t="n">
        <f aca="false">INDEX(Perf_Batch!$C$65:$Q$65,3*(Z$6-1)+Z$7)</f>
        <v>521.0612736</v>
      </c>
      <c r="AA61" s="80" t="n">
        <f aca="false">INDEX(Perf_Batch!$C$65:$Q$65,3*(AA$6-1)+AA$7)</f>
        <v>133.81935616</v>
      </c>
      <c r="AB61" s="80" t="n">
        <f aca="false">INDEX(Perf_Batch!$C$65:$Q$65,3*(AB$6-1)+AB$7)</f>
        <v>521.0612736</v>
      </c>
      <c r="AC61" s="80" t="n">
        <f aca="false">INDEX(Perf_Batch!$C$65:$Q$65,3*(AC$6-1)+AC$7)</f>
        <v>133.81935616</v>
      </c>
      <c r="AD61" s="80" t="n">
        <f aca="false">INDEX(Perf_Batch!$C$65:$Q$65,3*(AD$6-1)+AD$7)</f>
        <v>521.0612736</v>
      </c>
      <c r="AE61" s="80" t="n">
        <f aca="false">INDEX(Perf_Batch!$C$65:$Q$65,3*(AE$6-1)+AE$7)</f>
        <v>133.81935616</v>
      </c>
      <c r="AF61" s="80" t="n">
        <f aca="false">INDEX(Perf_Batch!$C$65:$Q$65,3*(AF$6-1)+AF$7)</f>
        <v>521.0612736</v>
      </c>
      <c r="AG61" s="80" t="n">
        <f aca="false">INDEX(Perf_Batch!$C$65:$Q$65,3*(AG$6-1)+AG$7)</f>
        <v>133.81935616</v>
      </c>
      <c r="AH61" s="80" t="n">
        <f aca="false">INDEX(Perf_Batch!$C$65:$Q$65,3*(AH$6-1)+AH$7)</f>
        <v>521.0612736</v>
      </c>
    </row>
    <row r="62" customFormat="false" ht="15" hidden="false" customHeight="false" outlineLevel="0" collapsed="false">
      <c r="A62" s="45" t="s">
        <v>949</v>
      </c>
      <c r="B62" s="45" t="s">
        <v>409</v>
      </c>
      <c r="C62" s="80" t="n">
        <f aca="false">INDEX(Perf_Batch!$C$67:$Q$67,3*(C$6-1)+C$7)</f>
        <v>132.028388352</v>
      </c>
      <c r="D62" s="80" t="n">
        <f aca="false">INDEX(Perf_Batch!$C$67:$Q$67,3*(D$6-1)+D$7)</f>
        <v>400.2653184</v>
      </c>
      <c r="E62" s="80" t="n">
        <f aca="false">INDEX(Perf_Batch!$C$67:$Q$67,3*(E$6-1)+E$7)</f>
        <v>132.028388352</v>
      </c>
      <c r="F62" s="80" t="n">
        <f aca="false">INDEX(Perf_Batch!$C$67:$Q$67,3*(F$6-1)+F$7)</f>
        <v>400.2653184</v>
      </c>
      <c r="G62" s="80" t="n">
        <f aca="false">INDEX(Perf_Batch!$C$67:$Q$67,3*(G$6-1)+G$7)</f>
        <v>132.028388352</v>
      </c>
      <c r="H62" s="80" t="n">
        <f aca="false">INDEX(Perf_Batch!$C$67:$Q$67,3*(H$6-1)+H$7)</f>
        <v>400.2653184</v>
      </c>
      <c r="I62" s="80" t="n">
        <f aca="false">INDEX(Perf_Batch!$C$67:$Q$67,3*(I$6-1)+I$7)</f>
        <v>132.028388352</v>
      </c>
      <c r="J62" s="80" t="n">
        <f aca="false">INDEX(Perf_Batch!$C$67:$Q$67,3*(J$6-1)+J$7)</f>
        <v>400.2653184</v>
      </c>
      <c r="K62" s="80" t="n">
        <f aca="false">INDEX(Perf_Batch!$C$67:$Q$67,3*(K$6-1)+K$7)</f>
        <v>132.028388352</v>
      </c>
      <c r="L62" s="80" t="n">
        <f aca="false">INDEX(Perf_Batch!$C$67:$Q$67,3*(L$6-1)+L$7)</f>
        <v>400.2653184</v>
      </c>
      <c r="M62" s="80" t="n">
        <f aca="false">INDEX(Perf_Batch!$C$67:$Q$67,3*(M$6-1)+M$7)</f>
        <v>132.028388352</v>
      </c>
      <c r="N62" s="80" t="n">
        <f aca="false">INDEX(Perf_Batch!$C$67:$Q$67,3*(N$6-1)+N$7)</f>
        <v>400.2653184</v>
      </c>
      <c r="O62" s="80" t="n">
        <f aca="false">INDEX(Perf_Batch!$C$67:$Q$67,3*(O$6-1)+O$7)</f>
        <v>132.028388352</v>
      </c>
      <c r="P62" s="80" t="n">
        <f aca="false">INDEX(Perf_Batch!$C$67:$Q$67,3*(P$6-1)+P$7)</f>
        <v>400.2653184</v>
      </c>
      <c r="Q62" s="80" t="n">
        <f aca="false">INDEX(Perf_Batch!$C$67:$Q$67,3*(Q$6-1)+Q$7)</f>
        <v>132.028388352</v>
      </c>
      <c r="R62" s="80" t="n">
        <f aca="false">INDEX(Perf_Batch!$C$67:$Q$67,3*(R$6-1)+R$7)</f>
        <v>400.2653184</v>
      </c>
      <c r="S62" s="80" t="n">
        <f aca="false">INDEX(Perf_Batch!$C$67:$Q$67,3*(S$6-1)+S$7)</f>
        <v>132.028388352</v>
      </c>
      <c r="T62" s="80" t="n">
        <f aca="false">INDEX(Perf_Batch!$C$67:$Q$67,3*(T$6-1)+T$7)</f>
        <v>400.2653184</v>
      </c>
      <c r="U62" s="80" t="n">
        <f aca="false">INDEX(Perf_Batch!$C$67:$Q$67,3*(U$6-1)+U$7)</f>
        <v>132.028388352</v>
      </c>
      <c r="V62" s="80" t="n">
        <f aca="false">INDEX(Perf_Batch!$C$67:$Q$67,3*(V$6-1)+V$7)</f>
        <v>400.2653184</v>
      </c>
      <c r="W62" s="133" t="n">
        <f aca="false">Perf_Batch!R67</f>
        <v>132.028388352</v>
      </c>
      <c r="X62" s="133" t="n">
        <f aca="false">Perf_Batch!S67</f>
        <v>400.2653184</v>
      </c>
      <c r="Y62" s="80" t="n">
        <f aca="false">INDEX(Perf_Batch!$C$67:$Q$67,3*(Y$6-1)+Y$7)</f>
        <v>132.028388352</v>
      </c>
      <c r="Z62" s="80" t="n">
        <f aca="false">INDEX(Perf_Batch!$C$67:$Q$67,3*(Z$6-1)+Z$7)</f>
        <v>400.2653184</v>
      </c>
      <c r="AA62" s="80" t="n">
        <f aca="false">INDEX(Perf_Batch!$C$67:$Q$67,3*(AA$6-1)+AA$7)</f>
        <v>132.028388352</v>
      </c>
      <c r="AB62" s="80" t="n">
        <f aca="false">INDEX(Perf_Batch!$C$67:$Q$67,3*(AB$6-1)+AB$7)</f>
        <v>400.2653184</v>
      </c>
      <c r="AC62" s="80" t="n">
        <f aca="false">INDEX(Perf_Batch!$C$67:$Q$67,3*(AC$6-1)+AC$7)</f>
        <v>132.028388352</v>
      </c>
      <c r="AD62" s="80" t="n">
        <f aca="false">INDEX(Perf_Batch!$C$67:$Q$67,3*(AD$6-1)+AD$7)</f>
        <v>400.2653184</v>
      </c>
      <c r="AE62" s="80" t="n">
        <f aca="false">INDEX(Perf_Batch!$C$67:$Q$67,3*(AE$6-1)+AE$7)</f>
        <v>132.028388352</v>
      </c>
      <c r="AF62" s="80" t="n">
        <f aca="false">INDEX(Perf_Batch!$C$67:$Q$67,3*(AF$6-1)+AF$7)</f>
        <v>400.2653184</v>
      </c>
      <c r="AG62" s="80" t="n">
        <f aca="false">INDEX(Perf_Batch!$C$67:$Q$67,3*(AG$6-1)+AG$7)</f>
        <v>132.028388352</v>
      </c>
      <c r="AH62" s="80" t="n">
        <f aca="false">INDEX(Perf_Batch!$C$67:$Q$67,3*(AH$6-1)+AH$7)</f>
        <v>400.2653184</v>
      </c>
    </row>
    <row r="63" customFormat="false" ht="15" hidden="false" customHeight="false" outlineLevel="0" collapsed="false">
      <c r="A63" s="45" t="s">
        <v>950</v>
      </c>
      <c r="B63" s="45" t="s">
        <v>61</v>
      </c>
      <c r="C63" s="79" t="n">
        <f aca="false">Tech_Registry!$E$28</f>
        <v>1</v>
      </c>
      <c r="D63" s="79" t="n">
        <f aca="false">Tech_Registry!$E$28</f>
        <v>1</v>
      </c>
      <c r="E63" s="79" t="n">
        <f aca="false">Tech_Registry!$E$28</f>
        <v>1</v>
      </c>
      <c r="F63" s="79" t="n">
        <f aca="false">Tech_Registry!$E$28</f>
        <v>1</v>
      </c>
      <c r="G63" s="79" t="n">
        <f aca="false">Tech_Registry!$E$28</f>
        <v>1</v>
      </c>
      <c r="H63" s="79" t="n">
        <f aca="false">Tech_Registry!$E$28</f>
        <v>1</v>
      </c>
      <c r="I63" s="79" t="n">
        <f aca="false">Tech_Registry!$E$28</f>
        <v>1</v>
      </c>
      <c r="J63" s="79" t="n">
        <f aca="false">Tech_Registry!$E$28</f>
        <v>1</v>
      </c>
      <c r="K63" s="79" t="n">
        <f aca="false">Tech_Registry!$E$28</f>
        <v>1</v>
      </c>
      <c r="L63" s="79" t="n">
        <f aca="false">Tech_Registry!$E$28</f>
        <v>1</v>
      </c>
      <c r="M63" s="79" t="n">
        <f aca="false">Tech_Registry!$E$28</f>
        <v>1</v>
      </c>
      <c r="N63" s="79" t="n">
        <f aca="false">Tech_Registry!$E$28</f>
        <v>1</v>
      </c>
      <c r="O63" s="79" t="n">
        <f aca="false">Tech_Registry!$E$28</f>
        <v>1</v>
      </c>
      <c r="P63" s="79" t="n">
        <f aca="false">Tech_Registry!$E$28</f>
        <v>1</v>
      </c>
      <c r="Q63" s="79" t="n">
        <f aca="false">Tech_Registry!$E$28</f>
        <v>1</v>
      </c>
      <c r="R63" s="79" t="n">
        <f aca="false">Tech_Registry!$E$28</f>
        <v>1</v>
      </c>
      <c r="S63" s="79" t="n">
        <f aca="false">Tech_Registry!$E$28</f>
        <v>1</v>
      </c>
      <c r="T63" s="79" t="n">
        <f aca="false">Tech_Registry!$E$28</f>
        <v>1</v>
      </c>
      <c r="U63" s="79" t="n">
        <f aca="false">Tech_Registry!$E$28</f>
        <v>1</v>
      </c>
      <c r="V63" s="79" t="n">
        <f aca="false">Tech_Registry!$E$28</f>
        <v>1</v>
      </c>
      <c r="W63" s="79" t="n">
        <f aca="false">Tech_Registry!$E$28</f>
        <v>1</v>
      </c>
      <c r="X63" s="79" t="n">
        <f aca="false">Tech_Registry!$E$28</f>
        <v>1</v>
      </c>
      <c r="Y63" s="79" t="n">
        <f aca="false">Tech_Registry!$E$28</f>
        <v>1</v>
      </c>
      <c r="Z63" s="79" t="n">
        <f aca="false">Tech_Registry!$E$28</f>
        <v>1</v>
      </c>
      <c r="AA63" s="79" t="n">
        <f aca="false">Tech_Registry!$E$28</f>
        <v>1</v>
      </c>
      <c r="AB63" s="79" t="n">
        <f aca="false">Tech_Registry!$E$28</f>
        <v>1</v>
      </c>
      <c r="AC63" s="79" t="n">
        <f aca="false">Tech_Registry!$E$28</f>
        <v>1</v>
      </c>
      <c r="AD63" s="79" t="n">
        <f aca="false">Tech_Registry!$E$28</f>
        <v>1</v>
      </c>
      <c r="AE63" s="79" t="n">
        <f aca="false">Tech_Registry!$E$28</f>
        <v>1</v>
      </c>
      <c r="AF63" s="79" t="n">
        <f aca="false">Tech_Registry!$E$28</f>
        <v>1</v>
      </c>
      <c r="AG63" s="79" t="n">
        <f aca="false">Tech_Registry!$E$28</f>
        <v>1</v>
      </c>
      <c r="AH63" s="79" t="n">
        <f aca="false">Tech_Registry!$E$28</f>
        <v>1</v>
      </c>
    </row>
    <row r="64" customFormat="false" ht="15" hidden="false" customHeight="false" outlineLevel="0" collapsed="false">
      <c r="A64" s="45" t="s">
        <v>951</v>
      </c>
      <c r="B64" s="45" t="s">
        <v>57</v>
      </c>
      <c r="C64" s="81" t="n">
        <f aca="false">Train_In!$C$11*C63</f>
        <v>0.85</v>
      </c>
      <c r="D64" s="81" t="n">
        <f aca="false">Train_In!$C$11*D63</f>
        <v>0.85</v>
      </c>
      <c r="E64" s="81" t="n">
        <f aca="false">Train_In!$C$11*E63</f>
        <v>0.85</v>
      </c>
      <c r="F64" s="81" t="n">
        <f aca="false">Train_In!$C$11*F63</f>
        <v>0.85</v>
      </c>
      <c r="G64" s="81" t="n">
        <f aca="false">Train_In!$C$11*G63</f>
        <v>0.85</v>
      </c>
      <c r="H64" s="81" t="n">
        <f aca="false">Train_In!$C$11*H63</f>
        <v>0.85</v>
      </c>
      <c r="I64" s="81" t="n">
        <f aca="false">Train_In!$C$11*I63</f>
        <v>0.85</v>
      </c>
      <c r="J64" s="81" t="n">
        <f aca="false">Train_In!$C$11*J63</f>
        <v>0.85</v>
      </c>
      <c r="K64" s="81" t="n">
        <f aca="false">Train_In!$C$11*K63</f>
        <v>0.85</v>
      </c>
      <c r="L64" s="81" t="n">
        <f aca="false">Train_In!$C$11*L63</f>
        <v>0.85</v>
      </c>
      <c r="M64" s="81" t="n">
        <f aca="false">Train_In!$C$11*M63</f>
        <v>0.85</v>
      </c>
      <c r="N64" s="81" t="n">
        <f aca="false">Train_In!$C$11*N63</f>
        <v>0.85</v>
      </c>
      <c r="O64" s="81" t="n">
        <f aca="false">Train_In!$C$11*O63</f>
        <v>0.85</v>
      </c>
      <c r="P64" s="81" t="n">
        <f aca="false">Train_In!$C$11*P63</f>
        <v>0.85</v>
      </c>
      <c r="Q64" s="81" t="n">
        <f aca="false">Train_In!$C$11*Q63</f>
        <v>0.85</v>
      </c>
      <c r="R64" s="81" t="n">
        <f aca="false">Train_In!$C$11*R63</f>
        <v>0.85</v>
      </c>
      <c r="S64" s="60" t="n">
        <v>0.6</v>
      </c>
      <c r="T64" s="60" t="n">
        <v>0.6</v>
      </c>
      <c r="U64" s="60" t="n">
        <v>0.95</v>
      </c>
      <c r="V64" s="60" t="n">
        <v>0.95</v>
      </c>
      <c r="W64" s="81" t="n">
        <f aca="false">Train_In!$C$11*W63</f>
        <v>0.85</v>
      </c>
      <c r="X64" s="81" t="n">
        <f aca="false">Train_In!$C$11*X63</f>
        <v>0.85</v>
      </c>
      <c r="Y64" s="81" t="n">
        <f aca="false">Train_In!$C$11*Y63</f>
        <v>0.85</v>
      </c>
      <c r="Z64" s="81" t="n">
        <f aca="false">Train_In!$C$11*Z63</f>
        <v>0.85</v>
      </c>
      <c r="AA64" s="81" t="n">
        <f aca="false">Train_In!$C$11*AA63</f>
        <v>0.85</v>
      </c>
      <c r="AB64" s="81" t="n">
        <f aca="false">Train_In!$C$11*AB63</f>
        <v>0.85</v>
      </c>
      <c r="AC64" s="81" t="n">
        <f aca="false">Train_In!$C$11*AC63</f>
        <v>0.85</v>
      </c>
      <c r="AD64" s="81" t="n">
        <f aca="false">Train_In!$C$11*AD63</f>
        <v>0.85</v>
      </c>
      <c r="AE64" s="81" t="n">
        <f aca="false">Train_In!$C$11*AE63</f>
        <v>0.85</v>
      </c>
      <c r="AF64" s="81" t="n">
        <f aca="false">Train_In!$C$11*AF63</f>
        <v>0.85</v>
      </c>
      <c r="AG64" s="81" t="n">
        <f aca="false">Train_In!$C$11*AG63</f>
        <v>0.85</v>
      </c>
      <c r="AH64" s="81" t="n">
        <f aca="false">Train_In!$C$11*AH63</f>
        <v>0.85</v>
      </c>
    </row>
    <row r="65" customFormat="false" ht="15" hidden="false" customHeight="false" outlineLevel="0" collapsed="false">
      <c r="A65" s="45" t="s">
        <v>952</v>
      </c>
      <c r="B65" s="45" t="s">
        <v>929</v>
      </c>
      <c r="C65" s="56" t="n">
        <f aca="false">(C53*1000000*C59+C58*1000000*C60)/3600/C64</f>
        <v>143574.794501345</v>
      </c>
      <c r="D65" s="56" t="n">
        <f aca="false">(D53*1000000*D59+D58*1000000*D60)/3600/D64</f>
        <v>2477834.76577215</v>
      </c>
      <c r="E65" s="56" t="n">
        <f aca="false">(E53*1000000*E59+E58*1000000*E60)/3600/E64</f>
        <v>143574.794501345</v>
      </c>
      <c r="F65" s="56" t="n">
        <f aca="false">(F53*1000000*F59+F58*1000000*F60)/3600/F64</f>
        <v>2477834.76577215</v>
      </c>
      <c r="G65" s="56" t="n">
        <f aca="false">(G53*1000000*G59+G58*1000000*G60)/3600/G64</f>
        <v>143574.794501345</v>
      </c>
      <c r="H65" s="56" t="n">
        <f aca="false">(H53*1000000*H59+H58*1000000*H60)/3600/H64</f>
        <v>2477834.76577215</v>
      </c>
      <c r="I65" s="56" t="n">
        <f aca="false">(I53*1000000*I59+I58*1000000*I60)/3600/I64</f>
        <v>143574.794501345</v>
      </c>
      <c r="J65" s="56" t="n">
        <f aca="false">(J53*1000000*J59+J58*1000000*J60)/3600/J64</f>
        <v>2477834.76577215</v>
      </c>
      <c r="K65" s="56" t="n">
        <f aca="false">(K53*1000000*K59+K58*1000000*K60)/3600/K64</f>
        <v>143574.794501345</v>
      </c>
      <c r="L65" s="56" t="n">
        <f aca="false">(L53*1000000*L59+L58*1000000*L60)/3600/L64</f>
        <v>2477834.76577215</v>
      </c>
      <c r="M65" s="56" t="n">
        <f aca="false">(M53*1000000*M59+M58*1000000*M60)/3600/M64</f>
        <v>143574.794501345</v>
      </c>
      <c r="N65" s="56" t="n">
        <f aca="false">(N53*1000000*N59+N58*1000000*N60)/3600/N64</f>
        <v>2477834.76577215</v>
      </c>
      <c r="O65" s="56" t="n">
        <f aca="false">(O53*1000000*O59+O58*1000000*O60)/3600/O64</f>
        <v>43072.4383504035</v>
      </c>
      <c r="P65" s="56" t="n">
        <f aca="false">(P53*1000000*P59+P58*1000000*P60)/3600/P64</f>
        <v>743350.429731645</v>
      </c>
      <c r="Q65" s="56" t="n">
        <f aca="false">(Q53*1000000*Q59+Q58*1000000*Q60)/3600/Q64</f>
        <v>430724.383504035</v>
      </c>
      <c r="R65" s="56" t="n">
        <f aca="false">(R53*1000000*R59+R58*1000000*R60)/3600/R64</f>
        <v>7433504.29731645</v>
      </c>
      <c r="S65" s="56" t="n">
        <f aca="false">(S53*1000000*S59+S58*1000000*S60)/3600/S64</f>
        <v>203397.625543572</v>
      </c>
      <c r="T65" s="56" t="n">
        <f aca="false">(T53*1000000*T59+T58*1000000*T60)/3600/T64</f>
        <v>3510265.91817721</v>
      </c>
      <c r="U65" s="56" t="n">
        <f aca="false">(U53*1000000*U59+U58*1000000*U60)/3600/U64</f>
        <v>128461.658238046</v>
      </c>
      <c r="V65" s="56" t="n">
        <f aca="false">(V53*1000000*V59+V58*1000000*V60)/3600/V64</f>
        <v>2217010.05358561</v>
      </c>
      <c r="W65" s="56" t="n">
        <f aca="false">(W53*1000000*W59+W58*1000000*W60)/3600/W64</f>
        <v>289634.028690038</v>
      </c>
      <c r="X65" s="56" t="n">
        <f aca="false">(X53*1000000*X59+X58*1000000*X60)/3600/X64</f>
        <v>5025026.36289623</v>
      </c>
      <c r="Y65" s="56" t="n">
        <f aca="false">(Y53*1000000*Y59+Y58*1000000*Y60)/3600/Y64</f>
        <v>143574.794501345</v>
      </c>
      <c r="Z65" s="56" t="n">
        <f aca="false">(Z53*1000000*Z59+Z58*1000000*Z60)/3600/Z64</f>
        <v>2477834.76577215</v>
      </c>
      <c r="AA65" s="56" t="n">
        <f aca="false">(AA53*1000000*AA59+AA58*1000000*AA60)/3600/AA64</f>
        <v>143574.794501345</v>
      </c>
      <c r="AB65" s="56" t="n">
        <f aca="false">(AB53*1000000*AB59+AB58*1000000*AB60)/3600/AB64</f>
        <v>2477834.76577215</v>
      </c>
      <c r="AC65" s="56" t="n">
        <f aca="false">(AC53*1000000*AC59+AC58*1000000*AC60)/3600/AC64</f>
        <v>143574.794501345</v>
      </c>
      <c r="AD65" s="56" t="n">
        <f aca="false">(AD53*1000000*AD59+AD58*1000000*AD60)/3600/AD64</f>
        <v>2477834.76577215</v>
      </c>
      <c r="AE65" s="56" t="n">
        <f aca="false">(AE53*1000000*AE59+AE58*1000000*AE60)/3600/AE64</f>
        <v>143574.794501345</v>
      </c>
      <c r="AF65" s="56" t="n">
        <f aca="false">(AF53*1000000*AF59+AF58*1000000*AF60)/3600/AF64</f>
        <v>2477834.76577215</v>
      </c>
      <c r="AG65" s="56" t="n">
        <f aca="false">(AG53*1000000*AG59+AG58*1000000*AG60)/3600/AG64</f>
        <v>143574.794501345</v>
      </c>
      <c r="AH65" s="56" t="n">
        <f aca="false">(AH53*1000000*AH59+AH58*1000000*AH60)/3600/AH64</f>
        <v>2477834.76577215</v>
      </c>
    </row>
    <row r="66" customFormat="false" ht="15" hidden="false" customHeight="false" outlineLevel="0" collapsed="false">
      <c r="A66" s="45" t="s">
        <v>953</v>
      </c>
      <c r="B66" s="45" t="s">
        <v>259</v>
      </c>
      <c r="C66" s="131" t="n">
        <f aca="false">C53*1000000000000*C61*1000000000+C58*1000000000000*C62*1000000000</f>
        <v>3.2555077417856E+023</v>
      </c>
      <c r="D66" s="131" t="n">
        <f aca="false">D53*1000000000000*D61*1000000000+D58*1000000000000*D62*1000000000</f>
        <v>5.12226782208E+024</v>
      </c>
      <c r="E66" s="131" t="n">
        <f aca="false">E53*1000000000000*E61*1000000000+E58*1000000000000*E62*1000000000</f>
        <v>3.2555077417856E+023</v>
      </c>
      <c r="F66" s="131" t="n">
        <f aca="false">F53*1000000000000*F61*1000000000+F58*1000000000000*F62*1000000000</f>
        <v>5.12226782208E+024</v>
      </c>
      <c r="G66" s="131" t="n">
        <f aca="false">G53*1000000000000*G61*1000000000+G58*1000000000000*G62*1000000000</f>
        <v>3.2555077417856E+023</v>
      </c>
      <c r="H66" s="131" t="n">
        <f aca="false">H53*1000000000000*H61*1000000000+H58*1000000000000*H62*1000000000</f>
        <v>5.12226782208E+024</v>
      </c>
      <c r="I66" s="131" t="n">
        <f aca="false">I53*1000000000000*I61*1000000000+I58*1000000000000*I62*1000000000</f>
        <v>3.2555077417856E+023</v>
      </c>
      <c r="J66" s="131" t="n">
        <f aca="false">J53*1000000000000*J61*1000000000+J58*1000000000000*J62*1000000000</f>
        <v>5.12226782208E+024</v>
      </c>
      <c r="K66" s="131" t="n">
        <f aca="false">K53*1000000000000*K61*1000000000+K58*1000000000000*K62*1000000000</f>
        <v>3.2555077417856E+023</v>
      </c>
      <c r="L66" s="131" t="n">
        <f aca="false">L53*1000000000000*L61*1000000000+L58*1000000000000*L62*1000000000</f>
        <v>5.12226782208E+024</v>
      </c>
      <c r="M66" s="131" t="n">
        <f aca="false">M53*1000000000000*M61*1000000000+M58*1000000000000*M62*1000000000</f>
        <v>3.2555077417856E+023</v>
      </c>
      <c r="N66" s="131" t="n">
        <f aca="false">N53*1000000000000*N61*1000000000+N58*1000000000000*N62*1000000000</f>
        <v>5.12226782208E+024</v>
      </c>
      <c r="O66" s="131" t="n">
        <f aca="false">O53*1000000000000*O61*1000000000+O58*1000000000000*O62*1000000000</f>
        <v>9.7665232253568E+022</v>
      </c>
      <c r="P66" s="131" t="n">
        <f aca="false">P53*1000000000000*P61*1000000000+P58*1000000000000*P62*1000000000</f>
        <v>1.536680346624E+024</v>
      </c>
      <c r="Q66" s="131" t="n">
        <f aca="false">Q53*1000000000000*Q61*1000000000+Q58*1000000000000*Q62*1000000000</f>
        <v>9.7665232253568E+023</v>
      </c>
      <c r="R66" s="131" t="n">
        <f aca="false">R53*1000000000000*R61*1000000000+R58*1000000000000*R62*1000000000</f>
        <v>1.536680346624E+025</v>
      </c>
      <c r="S66" s="131" t="n">
        <f aca="false">S53*1000000000000*S61*1000000000+S58*1000000000000*S62*1000000000</f>
        <v>3.2555077417856E+023</v>
      </c>
      <c r="T66" s="131" t="n">
        <f aca="false">T53*1000000000000*T61*1000000000+T58*1000000000000*T62*1000000000</f>
        <v>5.12226782208E+024</v>
      </c>
      <c r="U66" s="131" t="n">
        <f aca="false">U53*1000000000000*U61*1000000000+U58*1000000000000*U62*1000000000</f>
        <v>3.2555077417856E+023</v>
      </c>
      <c r="V66" s="131" t="n">
        <f aca="false">V53*1000000000000*V61*1000000000+V58*1000000000000*V62*1000000000</f>
        <v>5.12226782208E+024</v>
      </c>
      <c r="W66" s="131" t="n">
        <f aca="false">W53*1000000000000*W61*1000000000+W58*1000000000000*W62*1000000000</f>
        <v>3.2555077417856E+023</v>
      </c>
      <c r="X66" s="131" t="n">
        <f aca="false">X53*1000000000000*X61*1000000000+X58*1000000000000*X62*1000000000</f>
        <v>5.12226782208E+024</v>
      </c>
      <c r="Y66" s="131" t="n">
        <f aca="false">Y53*1000000000000*Y61*1000000000+Y58*1000000000000*Y62*1000000000</f>
        <v>3.2555077417856E+023</v>
      </c>
      <c r="Z66" s="131" t="n">
        <f aca="false">Z53*1000000000000*Z61*1000000000+Z58*1000000000000*Z62*1000000000</f>
        <v>5.12226782208E+024</v>
      </c>
      <c r="AA66" s="131" t="n">
        <f aca="false">AA53*1000000000000*AA61*1000000000+AA58*1000000000000*AA62*1000000000</f>
        <v>3.2555077417856E+023</v>
      </c>
      <c r="AB66" s="131" t="n">
        <f aca="false">AB53*1000000000000*AB61*1000000000+AB58*1000000000000*AB62*1000000000</f>
        <v>5.12226782208E+024</v>
      </c>
      <c r="AC66" s="131" t="n">
        <f aca="false">AC53*1000000000000*AC61*1000000000+AC58*1000000000000*AC62*1000000000</f>
        <v>3.2555077417856E+023</v>
      </c>
      <c r="AD66" s="131" t="n">
        <f aca="false">AD53*1000000000000*AD61*1000000000+AD58*1000000000000*AD62*1000000000</f>
        <v>5.12226782208E+024</v>
      </c>
      <c r="AE66" s="131" t="n">
        <f aca="false">AE53*1000000000000*AE61*1000000000+AE58*1000000000000*AE62*1000000000</f>
        <v>3.2555077417856E+023</v>
      </c>
      <c r="AF66" s="131" t="n">
        <f aca="false">AF53*1000000000000*AF61*1000000000+AF58*1000000000000*AF62*1000000000</f>
        <v>5.12226782208E+024</v>
      </c>
      <c r="AG66" s="131" t="n">
        <f aca="false">AG53*1000000000000*AG61*1000000000+AG58*1000000000000*AG62*1000000000</f>
        <v>3.2555077417856E+023</v>
      </c>
      <c r="AH66" s="131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45" t="s">
        <v>954</v>
      </c>
      <c r="B67" s="45" t="s">
        <v>861</v>
      </c>
      <c r="C67" s="55" t="n">
        <f aca="false">C56*(C54+C55)/1000000000000</f>
        <v>3.54</v>
      </c>
      <c r="D67" s="55" t="n">
        <f aca="false">D56*(D54+D55)/1000000000000</f>
        <v>14.4</v>
      </c>
      <c r="E67" s="55" t="n">
        <f aca="false">E56*(E54+E55)/1000000000000</f>
        <v>3.54</v>
      </c>
      <c r="F67" s="55" t="n">
        <f aca="false">F56*(F54+F55)/1000000000000</f>
        <v>14.4</v>
      </c>
      <c r="G67" s="55" t="n">
        <f aca="false">G56*(G54+G55)/1000000000000</f>
        <v>3.54</v>
      </c>
      <c r="H67" s="55" t="n">
        <f aca="false">H56*(H54+H55)/1000000000000</f>
        <v>14.4</v>
      </c>
      <c r="I67" s="55" t="n">
        <f aca="false">I56*(I54+I55)/1000000000000</f>
        <v>3.54</v>
      </c>
      <c r="J67" s="55" t="n">
        <f aca="false">J56*(J54+J55)/1000000000000</f>
        <v>14.4</v>
      </c>
      <c r="K67" s="55" t="n">
        <f aca="false">K56*(K54+K55)/1000000000000</f>
        <v>3.54</v>
      </c>
      <c r="L67" s="55" t="n">
        <f aca="false">L56*(L54+L55)/1000000000000</f>
        <v>14.4</v>
      </c>
      <c r="M67" s="55" t="n">
        <f aca="false">M56*(M54+M55)/1000000000000</f>
        <v>3.54</v>
      </c>
      <c r="N67" s="55" t="n">
        <f aca="false">N56*(N54+N55)/1000000000000</f>
        <v>14.4</v>
      </c>
      <c r="O67" s="55" t="n">
        <f aca="false">O56*(O54+O55)/1000000000000</f>
        <v>1.062</v>
      </c>
      <c r="P67" s="55" t="n">
        <f aca="false">P56*(P54+P55)/1000000000000</f>
        <v>4.32</v>
      </c>
      <c r="Q67" s="55" t="n">
        <f aca="false">Q56*(Q54+Q55)/1000000000000</f>
        <v>10.62</v>
      </c>
      <c r="R67" s="55" t="n">
        <f aca="false">R56*(R54+R55)/1000000000000</f>
        <v>43.2</v>
      </c>
      <c r="S67" s="55" t="n">
        <f aca="false">S56*(S54+S55)/1000000000000</f>
        <v>3.54</v>
      </c>
      <c r="T67" s="55" t="n">
        <f aca="false">T56*(T54+T55)/1000000000000</f>
        <v>14.4</v>
      </c>
      <c r="U67" s="55" t="n">
        <f aca="false">U56*(U54+U55)/1000000000000</f>
        <v>3.54</v>
      </c>
      <c r="V67" s="55" t="n">
        <f aca="false">V56*(V54+V55)/1000000000000</f>
        <v>14.4</v>
      </c>
      <c r="W67" s="55" t="n">
        <f aca="false">W56*(W54+W55)/1000000000000</f>
        <v>3.54</v>
      </c>
      <c r="X67" s="55" t="n">
        <f aca="false">X56*(X54+X55)/1000000000000</f>
        <v>14.4</v>
      </c>
      <c r="Y67" s="55" t="n">
        <f aca="false">Y56*(Y54+Y55)/1000000000000</f>
        <v>3.54</v>
      </c>
      <c r="Z67" s="55" t="n">
        <f aca="false">Z56*(Z54+Z55)/1000000000000</f>
        <v>14.4</v>
      </c>
      <c r="AA67" s="55" t="n">
        <f aca="false">AA56*(AA54+AA55)/1000000000000</f>
        <v>3.54</v>
      </c>
      <c r="AB67" s="55" t="n">
        <f aca="false">AB56*(AB54+AB55)/1000000000000</f>
        <v>14.4</v>
      </c>
      <c r="AC67" s="55" t="n">
        <f aca="false">AC56*(AC54+AC55)/1000000000000</f>
        <v>3.54</v>
      </c>
      <c r="AD67" s="55" t="n">
        <f aca="false">AD56*(AD54+AD55)/1000000000000</f>
        <v>14.4</v>
      </c>
      <c r="AE67" s="55" t="n">
        <f aca="false">AE56*(AE54+AE55)/1000000000000</f>
        <v>3.54</v>
      </c>
      <c r="AF67" s="55" t="n">
        <f aca="false">AF56*(AF54+AF55)/1000000000000</f>
        <v>14.4</v>
      </c>
      <c r="AG67" s="55" t="n">
        <f aca="false">AG56*(AG54+AG55)/1000000000000</f>
        <v>3.54</v>
      </c>
      <c r="AH67" s="55" t="n">
        <f aca="false">AH56*(AH54+AH55)/1000000000000</f>
        <v>14.4</v>
      </c>
    </row>
    <row r="68" customFormat="false" ht="15" hidden="false" customHeight="false" outlineLevel="0" collapsed="false">
      <c r="A68" s="45" t="s">
        <v>955</v>
      </c>
      <c r="B68" s="45" t="s">
        <v>236</v>
      </c>
      <c r="C68" s="56" t="n">
        <f aca="false">C24*IF(C25=0,(C54+C55)/2,MIN((C54+C55)/2,C25))+(1-C24)*((C54+C55)/2/C26+C27)</f>
        <v>2224</v>
      </c>
      <c r="D68" s="56" t="n">
        <f aca="false">D24*IF(D25=0,(D54+D55)/2,MIN((D54+D55)/2,D25))+(1-D24)*((D54+D55)/2/D26+D27)</f>
        <v>24576</v>
      </c>
      <c r="E68" s="56" t="n">
        <f aca="false">E24*IF(E25=0,(E54+E55)/2,MIN((E54+E55)/2,E25))+(1-E24)*((E54+E55)/2/E26+E27)</f>
        <v>2224</v>
      </c>
      <c r="F68" s="56" t="n">
        <f aca="false">F24*IF(F25=0,(F54+F55)/2,MIN((F54+F55)/2,F25))+(1-F24)*((F54+F55)/2/F26+F27)</f>
        <v>24576</v>
      </c>
      <c r="G68" s="56" t="n">
        <f aca="false">G24*IF(G25=0,(G54+G55)/2,MIN((G54+G55)/2,G25))+(1-G24)*((G54+G55)/2/G26+G27)</f>
        <v>2224</v>
      </c>
      <c r="H68" s="56" t="n">
        <f aca="false">H24*IF(H25=0,(H54+H55)/2,MIN((H54+H55)/2,H25))+(1-H24)*((H54+H55)/2/H26+H27)</f>
        <v>24576</v>
      </c>
      <c r="I68" s="56" t="n">
        <f aca="false">I24*IF(I25=0,(I54+I55)/2,MIN((I54+I55)/2,I25))+(1-I24)*((I54+I55)/2/I26+I27)</f>
        <v>2224</v>
      </c>
      <c r="J68" s="56" t="n">
        <f aca="false">J24*IF(J25=0,(J54+J55)/2,MIN((J54+J55)/2,J25))+(1-J24)*((J54+J55)/2/J26+J27)</f>
        <v>24576</v>
      </c>
      <c r="K68" s="56" t="n">
        <f aca="false">K24*IF(K25=0,(K54+K55)/2,MIN((K54+K55)/2,K25))+(1-K24)*((K54+K55)/2/K26+K27)</f>
        <v>2224</v>
      </c>
      <c r="L68" s="56" t="n">
        <f aca="false">L24*IF(L25=0,(L54+L55)/2,MIN((L54+L55)/2,L25))+(1-L24)*((L54+L55)/2/L26+L27)</f>
        <v>24576</v>
      </c>
      <c r="M68" s="56" t="n">
        <f aca="false">M24*IF(M25=0,(M54+M55)/2,MIN((M54+M55)/2,M25))+(1-M24)*((M54+M55)/2/M26+M27)</f>
        <v>2224</v>
      </c>
      <c r="N68" s="56" t="n">
        <f aca="false">N24*IF(N25=0,(N54+N55)/2,MIN((N54+N55)/2,N25))+(1-N24)*((N54+N55)/2/N26+N27)</f>
        <v>24576</v>
      </c>
      <c r="O68" s="56" t="n">
        <f aca="false">O24*IF(O25=0,(O54+O55)/2,MIN((O54+O55)/2,O25))+(1-O24)*((O54+O55)/2/O26+O27)</f>
        <v>2224</v>
      </c>
      <c r="P68" s="56" t="n">
        <f aca="false">P24*IF(P25=0,(P54+P55)/2,MIN((P54+P55)/2,P25))+(1-P24)*((P54+P55)/2/P26+P27)</f>
        <v>24576</v>
      </c>
      <c r="Q68" s="56" t="n">
        <f aca="false">Q24*IF(Q25=0,(Q54+Q55)/2,MIN((Q54+Q55)/2,Q25))+(1-Q24)*((Q54+Q55)/2/Q26+Q27)</f>
        <v>2224</v>
      </c>
      <c r="R68" s="56" t="n">
        <f aca="false">R24*IF(R25=0,(R54+R55)/2,MIN((R54+R55)/2,R25))+(1-R24)*((R54+R55)/2/R26+R27)</f>
        <v>24576</v>
      </c>
      <c r="S68" s="56" t="n">
        <f aca="false">S24*IF(S25=0,(S54+S55)/2,MIN((S54+S55)/2,S25))+(1-S24)*((S54+S55)/2/S26+S27)</f>
        <v>2224</v>
      </c>
      <c r="T68" s="56" t="n">
        <f aca="false">T24*IF(T25=0,(T54+T55)/2,MIN((T54+T55)/2,T25))+(1-T24)*((T54+T55)/2/T26+T27)</f>
        <v>24576</v>
      </c>
      <c r="U68" s="56" t="n">
        <f aca="false">U24*IF(U25=0,(U54+U55)/2,MIN((U54+U55)/2,U25))+(1-U24)*((U54+U55)/2/U26+U27)</f>
        <v>2224</v>
      </c>
      <c r="V68" s="56" t="n">
        <f aca="false">V24*IF(V25=0,(V54+V55)/2,MIN((V54+V55)/2,V25))+(1-V24)*((V54+V55)/2/V26+V27)</f>
        <v>24576</v>
      </c>
      <c r="W68" s="56" t="n">
        <f aca="false">W24*IF(W25=0,(W54+W55)/2,MIN((W54+W55)/2,W25))+(1-W24)*((W54+W55)/2/W26+W27)</f>
        <v>2224</v>
      </c>
      <c r="X68" s="56" t="n">
        <f aca="false">X24*IF(X25=0,(X54+X55)/2,MIN((X54+X55)/2,X25))+(1-X24)*((X54+X55)/2/X26+X27)</f>
        <v>24576</v>
      </c>
      <c r="Y68" s="56" t="n">
        <f aca="false">Y24*IF(Y25=0,(Y54+Y55)/2,MIN((Y54+Y55)/2,Y25))+(1-Y24)*((Y54+Y55)/2/Y26+Y27)</f>
        <v>2224</v>
      </c>
      <c r="Z68" s="56" t="n">
        <f aca="false">Z24*IF(Z25=0,(Z54+Z55)/2,MIN((Z54+Z55)/2,Z25))+(1-Z24)*((Z54+Z55)/2/Z26+Z27)</f>
        <v>24576</v>
      </c>
      <c r="AA68" s="56" t="n">
        <f aca="false">AA24*IF(AA25=0,(AA54+AA55)/2,MIN((AA54+AA55)/2,AA25))+(1-AA24)*((AA54+AA55)/2/AA26+AA27)</f>
        <v>2224</v>
      </c>
      <c r="AB68" s="56" t="n">
        <f aca="false">AB24*IF(AB25=0,(AB54+AB55)/2,MIN((AB54+AB55)/2,AB25))+(1-AB24)*((AB54+AB55)/2/AB26+AB27)</f>
        <v>24576</v>
      </c>
      <c r="AC68" s="56" t="n">
        <f aca="false">AC24*IF(AC25=0,(AC54+AC55)/2,MIN((AC54+AC55)/2,AC25))+(1-AC24)*((AC54+AC55)/2/AC26+AC27)</f>
        <v>2224</v>
      </c>
      <c r="AD68" s="56" t="n">
        <f aca="false">AD24*IF(AD25=0,(AD54+AD55)/2,MIN((AD54+AD55)/2,AD25))+(1-AD24)*((AD54+AD55)/2/AD26+AD27)</f>
        <v>24576</v>
      </c>
      <c r="AE68" s="56" t="n">
        <f aca="false">AE24*IF(AE25=0,(AE54+AE55)/2,MIN((AE54+AE55)/2,AE25))+(1-AE24)*((AE54+AE55)/2/AE26+AE27)</f>
        <v>2224</v>
      </c>
      <c r="AF68" s="56" t="n">
        <f aca="false">AF24*IF(AF25=0,(AF54+AF55)/2,MIN((AF54+AF55)/2,AF25))+(1-AF24)*((AF54+AF55)/2/AF26+AF27)</f>
        <v>24576</v>
      </c>
      <c r="AG68" s="56" t="n">
        <f aca="false">AG24*IF(AG25=0,(AG54+AG55)/2,MIN((AG54+AG55)/2,AG25))+(1-AG24)*((AG54+AG55)/2/AG26+AG27)</f>
        <v>2224</v>
      </c>
      <c r="AH68" s="56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45" t="s">
        <v>956</v>
      </c>
      <c r="B69" s="45" t="s">
        <v>409</v>
      </c>
      <c r="C69" s="55" t="n">
        <f aca="false">3*(2*C22*1000000000+C23*C68)*C28/1000000000</f>
        <v>400.690510848</v>
      </c>
      <c r="D69" s="55" t="n">
        <f aca="false">3*(2*D22*1000000000+D23*D68)*D28/1000000000</f>
        <v>1442.3878656</v>
      </c>
      <c r="E69" s="55" t="n">
        <f aca="false">3*(2*E22*1000000000+E23*E68)*E28/1000000000</f>
        <v>400.690510848</v>
      </c>
      <c r="F69" s="55" t="n">
        <f aca="false">3*(2*F22*1000000000+F23*F68)*F28/1000000000</f>
        <v>1442.3878656</v>
      </c>
      <c r="G69" s="55" t="n">
        <f aca="false">3*(2*G22*1000000000+G23*G68)*G28/1000000000</f>
        <v>400.690510848</v>
      </c>
      <c r="H69" s="55" t="n">
        <f aca="false">3*(2*H22*1000000000+H23*H68)*H28/1000000000</f>
        <v>1442.3878656</v>
      </c>
      <c r="I69" s="55" t="n">
        <f aca="false">3*(2*I22*1000000000+I23*I68)*I28/1000000000</f>
        <v>400.690510848</v>
      </c>
      <c r="J69" s="55" t="n">
        <f aca="false">3*(2*J22*1000000000+J23*J68)*J28/1000000000</f>
        <v>1442.3878656</v>
      </c>
      <c r="K69" s="55" t="n">
        <f aca="false">3*(2*K22*1000000000+K23*K68)*K28/1000000000</f>
        <v>400.690510848</v>
      </c>
      <c r="L69" s="55" t="n">
        <f aca="false">3*(2*L22*1000000000+L23*L68)*L28/1000000000</f>
        <v>1442.3878656</v>
      </c>
      <c r="M69" s="55" t="n">
        <f aca="false">3*(2*M22*1000000000+M23*M68)*M28/1000000000</f>
        <v>400.690510848</v>
      </c>
      <c r="N69" s="55" t="n">
        <f aca="false">3*(2*N22*1000000000+N23*N68)*N28/1000000000</f>
        <v>1442.3878656</v>
      </c>
      <c r="O69" s="55" t="n">
        <f aca="false">3*(2*O22*1000000000+O23*O68)*O28/1000000000</f>
        <v>400.690510848</v>
      </c>
      <c r="P69" s="55" t="n">
        <f aca="false">3*(2*P22*1000000000+P23*P68)*P28/1000000000</f>
        <v>1442.3878656</v>
      </c>
      <c r="Q69" s="55" t="n">
        <f aca="false">3*(2*Q22*1000000000+Q23*Q68)*Q28/1000000000</f>
        <v>400.690510848</v>
      </c>
      <c r="R69" s="55" t="n">
        <f aca="false">3*(2*R22*1000000000+R23*R68)*R28/1000000000</f>
        <v>1442.3878656</v>
      </c>
      <c r="S69" s="55" t="n">
        <f aca="false">3*(2*S22*1000000000+S23*S68)*S28/1000000000</f>
        <v>400.690510848</v>
      </c>
      <c r="T69" s="55" t="n">
        <f aca="false">3*(2*T22*1000000000+T23*T68)*T28/1000000000</f>
        <v>1442.3878656</v>
      </c>
      <c r="U69" s="55" t="n">
        <f aca="false">3*(2*U22*1000000000+U23*U68)*U28/1000000000</f>
        <v>400.690510848</v>
      </c>
      <c r="V69" s="55" t="n">
        <f aca="false">3*(2*V22*1000000000+V23*V68)*V28/1000000000</f>
        <v>1442.3878656</v>
      </c>
      <c r="W69" s="55" t="n">
        <f aca="false">3*(2*W22*1000000000+W23*W68)*W28/1000000000</f>
        <v>400.690510848</v>
      </c>
      <c r="X69" s="55" t="n">
        <f aca="false">3*(2*X22*1000000000+X23*X68)*X28/1000000000</f>
        <v>1442.3878656</v>
      </c>
      <c r="Y69" s="55" t="n">
        <f aca="false">3*(2*Y22*1000000000+Y23*Y68)*Y28/1000000000</f>
        <v>400.690510848</v>
      </c>
      <c r="Z69" s="55" t="n">
        <f aca="false">3*(2*Z22*1000000000+Z23*Z68)*Z28/1000000000</f>
        <v>1442.3878656</v>
      </c>
      <c r="AA69" s="55" t="n">
        <f aca="false">3*(2*AA22*1000000000+AA23*AA68)*AA28/1000000000</f>
        <v>400.690510848</v>
      </c>
      <c r="AB69" s="55" t="n">
        <f aca="false">3*(2*AB22*1000000000+AB23*AB68)*AB28/1000000000</f>
        <v>1442.3878656</v>
      </c>
      <c r="AC69" s="55" t="n">
        <f aca="false">3*(2*AC22*1000000000+AC23*AC68)*AC28/1000000000</f>
        <v>400.690510848</v>
      </c>
      <c r="AD69" s="55" t="n">
        <f aca="false">3*(2*AD22*1000000000+AD23*AD68)*AD28/1000000000</f>
        <v>1442.3878656</v>
      </c>
      <c r="AE69" s="55" t="n">
        <f aca="false">3*(2*AE22*1000000000+AE23*AE68)*AE28/1000000000</f>
        <v>400.690510848</v>
      </c>
      <c r="AF69" s="55" t="n">
        <f aca="false">3*(2*AF22*1000000000+AF23*AF68)*AF28/1000000000</f>
        <v>1442.3878656</v>
      </c>
      <c r="AG69" s="55" t="n">
        <f aca="false">3*(2*AG22*1000000000+AG23*AG68)*AG28/1000000000</f>
        <v>400.690510848</v>
      </c>
      <c r="AH69" s="55" t="n">
        <f aca="false">3*(2*AH22*1000000000+AH23*AH68)*AH28/1000000000</f>
        <v>1442.3878656</v>
      </c>
    </row>
    <row r="70" customFormat="false" ht="15" hidden="false" customHeight="false" outlineLevel="0" collapsed="false">
      <c r="A70" s="45" t="s">
        <v>957</v>
      </c>
      <c r="B70" s="45" t="s">
        <v>259</v>
      </c>
      <c r="C70" s="131" t="n">
        <f aca="false">C69*1000000000*C67*1000000000000</f>
        <v>1.41844440840192E+024</v>
      </c>
      <c r="D70" s="131" t="n">
        <f aca="false">D69*1000000000*D67*1000000000000</f>
        <v>2.077038526464E+025</v>
      </c>
      <c r="E70" s="131" t="n">
        <f aca="false">E69*1000000000*E67*1000000000000</f>
        <v>1.41844440840192E+024</v>
      </c>
      <c r="F70" s="131" t="n">
        <f aca="false">F69*1000000000*F67*1000000000000</f>
        <v>2.077038526464E+025</v>
      </c>
      <c r="G70" s="131" t="n">
        <f aca="false">G69*1000000000*G67*1000000000000</f>
        <v>1.41844440840192E+024</v>
      </c>
      <c r="H70" s="131" t="n">
        <f aca="false">H69*1000000000*H67*1000000000000</f>
        <v>2.077038526464E+025</v>
      </c>
      <c r="I70" s="131" t="n">
        <f aca="false">I69*1000000000*I67*1000000000000</f>
        <v>1.41844440840192E+024</v>
      </c>
      <c r="J70" s="131" t="n">
        <f aca="false">J69*1000000000*J67*1000000000000</f>
        <v>2.077038526464E+025</v>
      </c>
      <c r="K70" s="131" t="n">
        <f aca="false">K69*1000000000*K67*1000000000000</f>
        <v>1.41844440840192E+024</v>
      </c>
      <c r="L70" s="131" t="n">
        <f aca="false">L69*1000000000*L67*1000000000000</f>
        <v>2.077038526464E+025</v>
      </c>
      <c r="M70" s="131" t="n">
        <f aca="false">M69*1000000000*M67*1000000000000</f>
        <v>1.41844440840192E+024</v>
      </c>
      <c r="N70" s="131" t="n">
        <f aca="false">N69*1000000000*N67*1000000000000</f>
        <v>2.077038526464E+025</v>
      </c>
      <c r="O70" s="131" t="n">
        <f aca="false">O69*1000000000*O67*1000000000000</f>
        <v>4.25533322520576E+023</v>
      </c>
      <c r="P70" s="131" t="n">
        <f aca="false">P69*1000000000*P67*1000000000000</f>
        <v>6.231115579392E+024</v>
      </c>
      <c r="Q70" s="131" t="n">
        <f aca="false">Q69*1000000000*Q67*1000000000000</f>
        <v>4.25533322520576E+024</v>
      </c>
      <c r="R70" s="131" t="n">
        <f aca="false">R69*1000000000*R67*1000000000000</f>
        <v>6.231115579392E+025</v>
      </c>
      <c r="S70" s="131" t="n">
        <f aca="false">S69*1000000000*S67*1000000000000</f>
        <v>1.41844440840192E+024</v>
      </c>
      <c r="T70" s="131" t="n">
        <f aca="false">T69*1000000000*T67*1000000000000</f>
        <v>2.077038526464E+025</v>
      </c>
      <c r="U70" s="131" t="n">
        <f aca="false">U69*1000000000*U67*1000000000000</f>
        <v>1.41844440840192E+024</v>
      </c>
      <c r="V70" s="131" t="n">
        <f aca="false">V69*1000000000*V67*1000000000000</f>
        <v>2.077038526464E+025</v>
      </c>
      <c r="W70" s="131" t="n">
        <f aca="false">W69*1000000000*W67*1000000000000</f>
        <v>1.41844440840192E+024</v>
      </c>
      <c r="X70" s="131" t="n">
        <f aca="false">X69*1000000000*X67*1000000000000</f>
        <v>2.077038526464E+025</v>
      </c>
      <c r="Y70" s="131" t="n">
        <f aca="false">Y69*1000000000*Y67*1000000000000</f>
        <v>1.41844440840192E+024</v>
      </c>
      <c r="Z70" s="131" t="n">
        <f aca="false">Z69*1000000000*Z67*1000000000000</f>
        <v>2.077038526464E+025</v>
      </c>
      <c r="AA70" s="131" t="n">
        <f aca="false">AA69*1000000000*AA67*1000000000000</f>
        <v>1.41844440840192E+024</v>
      </c>
      <c r="AB70" s="131" t="n">
        <f aca="false">AB69*1000000000*AB67*1000000000000</f>
        <v>2.077038526464E+025</v>
      </c>
      <c r="AC70" s="131" t="n">
        <f aca="false">AC69*1000000000*AC67*1000000000000</f>
        <v>1.41844440840192E+024</v>
      </c>
      <c r="AD70" s="131" t="n">
        <f aca="false">AD69*1000000000*AD67*1000000000000</f>
        <v>2.077038526464E+025</v>
      </c>
      <c r="AE70" s="131" t="n">
        <f aca="false">AE69*1000000000*AE67*1000000000000</f>
        <v>1.41844440840192E+024</v>
      </c>
      <c r="AF70" s="131" t="n">
        <f aca="false">AF69*1000000000*AF67*1000000000000</f>
        <v>2.077038526464E+025</v>
      </c>
      <c r="AG70" s="131" t="n">
        <f aca="false">AG69*1000000000*AG67*1000000000000</f>
        <v>1.41844440840192E+024</v>
      </c>
      <c r="AH70" s="131" t="n">
        <f aca="false">AH69*1000000000*AH67*1000000000000</f>
        <v>2.077038526464E+025</v>
      </c>
    </row>
    <row r="71" customFormat="false" ht="15" hidden="false" customHeight="false" outlineLevel="0" collapsed="false">
      <c r="A71" s="45" t="s">
        <v>958</v>
      </c>
      <c r="B71" s="45" t="s">
        <v>61</v>
      </c>
      <c r="C71" s="79" t="n">
        <f aca="false">Train_In!$C$9</f>
        <v>0.6</v>
      </c>
      <c r="D71" s="79" t="n">
        <f aca="false">Train_In!$C$9</f>
        <v>0.6</v>
      </c>
      <c r="E71" s="79" t="n">
        <f aca="false">Train_In!$C$9</f>
        <v>0.6</v>
      </c>
      <c r="F71" s="79" t="n">
        <f aca="false">Train_In!$C$9</f>
        <v>0.6</v>
      </c>
      <c r="G71" s="79" t="n">
        <f aca="false">Train_In!$C$9</f>
        <v>0.6</v>
      </c>
      <c r="H71" s="79" t="n">
        <f aca="false">Train_In!$C$9</f>
        <v>0.6</v>
      </c>
      <c r="I71" s="79" t="n">
        <f aca="false">Train_In!$C$9</f>
        <v>0.6</v>
      </c>
      <c r="J71" s="79" t="n">
        <f aca="false">Train_In!$C$9</f>
        <v>0.6</v>
      </c>
      <c r="K71" s="79" t="n">
        <f aca="false">Train_In!$C$9</f>
        <v>0.6</v>
      </c>
      <c r="L71" s="79" t="n">
        <f aca="false">Train_In!$C$9</f>
        <v>0.6</v>
      </c>
      <c r="M71" s="79" t="n">
        <f aca="false">Train_In!$C$9</f>
        <v>0.6</v>
      </c>
      <c r="N71" s="79" t="n">
        <f aca="false">Train_In!$C$9</f>
        <v>0.6</v>
      </c>
      <c r="O71" s="79" t="n">
        <f aca="false">Train_In!$C$9</f>
        <v>0.6</v>
      </c>
      <c r="P71" s="79" t="n">
        <f aca="false">Train_In!$C$9</f>
        <v>0.6</v>
      </c>
      <c r="Q71" s="79" t="n">
        <f aca="false">Train_In!$C$9</f>
        <v>0.6</v>
      </c>
      <c r="R71" s="79" t="n">
        <f aca="false">Train_In!$C$9</f>
        <v>0.6</v>
      </c>
      <c r="S71" s="79" t="n">
        <f aca="false">Train_In!$C$9</f>
        <v>0.6</v>
      </c>
      <c r="T71" s="79" t="n">
        <f aca="false">Train_In!$C$9</f>
        <v>0.6</v>
      </c>
      <c r="U71" s="79" t="n">
        <f aca="false">Train_In!$C$9</f>
        <v>0.6</v>
      </c>
      <c r="V71" s="79" t="n">
        <f aca="false">Train_In!$C$9</f>
        <v>0.6</v>
      </c>
      <c r="W71" s="79" t="n">
        <f aca="false">Train_In!$C$9</f>
        <v>0.6</v>
      </c>
      <c r="X71" s="79" t="n">
        <f aca="false">Train_In!$C$9</f>
        <v>0.6</v>
      </c>
      <c r="Y71" s="79" t="n">
        <f aca="false">Train_In!$C$9</f>
        <v>0.6</v>
      </c>
      <c r="Z71" s="79" t="n">
        <f aca="false">Train_In!$C$9</f>
        <v>0.6</v>
      </c>
      <c r="AA71" s="79" t="n">
        <f aca="false">Train_In!$C$9</f>
        <v>0.6</v>
      </c>
      <c r="AB71" s="79" t="n">
        <f aca="false">Train_In!$C$9</f>
        <v>0.6</v>
      </c>
      <c r="AC71" s="79" t="n">
        <f aca="false">Train_In!$C$9</f>
        <v>0.6</v>
      </c>
      <c r="AD71" s="79" t="n">
        <f aca="false">Train_In!$C$9</f>
        <v>0.6</v>
      </c>
      <c r="AE71" s="79" t="n">
        <f aca="false">Train_In!$C$9</f>
        <v>0.6</v>
      </c>
      <c r="AF71" s="79" t="n">
        <f aca="false">Train_In!$C$9</f>
        <v>0.6</v>
      </c>
      <c r="AG71" s="79" t="n">
        <f aca="false">Train_In!$C$9</f>
        <v>0.6</v>
      </c>
      <c r="AH71" s="79" t="n">
        <f aca="false">Train_In!$C$9</f>
        <v>0.6</v>
      </c>
    </row>
    <row r="72" customFormat="false" ht="15" hidden="false" customHeight="false" outlineLevel="0" collapsed="false">
      <c r="A72" s="45" t="s">
        <v>959</v>
      </c>
      <c r="B72" s="45" t="s">
        <v>929</v>
      </c>
      <c r="C72" s="56" t="n">
        <f aca="false">C70/(C12*1000000000000000*C16*C71*C17)/3600</f>
        <v>185308.56468769</v>
      </c>
      <c r="D72" s="56" t="n">
        <f aca="false">D70/(D12*1000000000000000*D16*D71*D17)/3600</f>
        <v>2713486.87238095</v>
      </c>
      <c r="E72" s="56" t="n">
        <f aca="false">E70/(E12*1000000000000000*E16*E71*E17)/3600</f>
        <v>308847.607812816</v>
      </c>
      <c r="F72" s="56" t="n">
        <f aca="false">F70/(F12*1000000000000000*F16*F71*F17)/3600</f>
        <v>4522478.12063492</v>
      </c>
      <c r="G72" s="56" t="n">
        <f aca="false">G70/(G12*1000000000000000*G16*G71*G17)/3600</f>
        <v>115817.852929806</v>
      </c>
      <c r="H72" s="56" t="n">
        <f aca="false">H70/(H12*1000000000000000*H16*H71*H17)/3600</f>
        <v>1695929.29523809</v>
      </c>
      <c r="I72" s="56" t="n">
        <f aca="false">I70/(I12*1000000000000000*I16*I71*I17)/3600</f>
        <v>92654.2823438448</v>
      </c>
      <c r="J72" s="56" t="n">
        <f aca="false">J70/(J12*1000000000000000*J16*J71*J17)/3600</f>
        <v>1356743.43619048</v>
      </c>
      <c r="K72" s="56" t="n">
        <f aca="false">K70/(K12*1000000000000000*K16*K71*K17)/3600</f>
        <v>185308.56468769</v>
      </c>
      <c r="L72" s="56" t="n">
        <f aca="false">L70/(L12*1000000000000000*L16*L71*L17)/3600</f>
        <v>2713486.87238095</v>
      </c>
      <c r="M72" s="56" t="n">
        <f aca="false">M70/(M12*1000000000000000*M16*M71*M17)/3600</f>
        <v>185308.56468769</v>
      </c>
      <c r="N72" s="56" t="n">
        <f aca="false">N70/(N12*1000000000000000*N16*N71*N17)/3600</f>
        <v>2713486.87238095</v>
      </c>
      <c r="O72" s="56" t="n">
        <f aca="false">O70/(O12*1000000000000000*O16*O71*O17)/3600</f>
        <v>55592.5694063069</v>
      </c>
      <c r="P72" s="56" t="n">
        <f aca="false">P70/(P12*1000000000000000*P16*P71*P17)/3600</f>
        <v>814046.061714286</v>
      </c>
      <c r="Q72" s="56" t="n">
        <f aca="false">Q70/(Q12*1000000000000000*Q16*Q71*Q17)/3600</f>
        <v>555925.694063069</v>
      </c>
      <c r="R72" s="56" t="n">
        <f aca="false">R70/(R12*1000000000000000*R16*R71*R17)/3600</f>
        <v>8140460.61714286</v>
      </c>
      <c r="S72" s="56" t="n">
        <f aca="false">S70/(S12*1000000000000000*S16*S71*S17)/3600</f>
        <v>185308.56468769</v>
      </c>
      <c r="T72" s="56" t="n">
        <f aca="false">T70/(T12*1000000000000000*T16*T71*T17)/3600</f>
        <v>2713486.87238095</v>
      </c>
      <c r="U72" s="56" t="n">
        <f aca="false">U70/(U12*1000000000000000*U16*U71*U17)/3600</f>
        <v>185308.56468769</v>
      </c>
      <c r="V72" s="56" t="n">
        <f aca="false">V70/(V12*1000000000000000*V16*V71*V17)/3600</f>
        <v>2713486.87238095</v>
      </c>
      <c r="W72" s="56" t="n">
        <f aca="false">W70/(W12*1000000000000000*W16*W71*W17)/3600</f>
        <v>185308.56468769</v>
      </c>
      <c r="X72" s="56" t="n">
        <f aca="false">X70/(X12*1000000000000000*X16*X71*X17)/3600</f>
        <v>2713486.87238095</v>
      </c>
      <c r="Y72" s="56" t="n">
        <f aca="false">Y70/(Y12*1000000000000000*Y16*Y71*Y17)/3600</f>
        <v>185308.56468769</v>
      </c>
      <c r="Z72" s="56" t="n">
        <f aca="false">Z70/(Z12*1000000000000000*Z16*Z71*Z17)/3600</f>
        <v>2713486.87238095</v>
      </c>
      <c r="AA72" s="56" t="n">
        <f aca="false">AA70/(AA12*1000000000000000*AA16*AA71*AA17)/3600</f>
        <v>185308.56468769</v>
      </c>
      <c r="AB72" s="56" t="n">
        <f aca="false">AB70/(AB12*1000000000000000*AB16*AB71*AB17)/3600</f>
        <v>2713486.87238095</v>
      </c>
      <c r="AC72" s="56" t="n">
        <f aca="false">AC70/(AC12*1000000000000000*AC16*AC71*AC17)/3600</f>
        <v>185308.56468769</v>
      </c>
      <c r="AD72" s="56" t="n">
        <f aca="false">AD70/(AD12*1000000000000000*AD16*AD71*AD17)/3600</f>
        <v>2713486.87238095</v>
      </c>
      <c r="AE72" s="56" t="n">
        <f aca="false">AE70/(AE12*1000000000000000*AE16*AE71*AE17)/3600</f>
        <v>185308.56468769</v>
      </c>
      <c r="AF72" s="56" t="n">
        <f aca="false">AF70/(AF12*1000000000000000*AF16*AF71*AF17)/3600</f>
        <v>2713486.87238095</v>
      </c>
      <c r="AG72" s="56" t="n">
        <f aca="false">AG70/(AG12*1000000000000000*AG16*AG71*AG17)/3600</f>
        <v>208472.135273651</v>
      </c>
      <c r="AH72" s="56" t="n">
        <f aca="false">AH70/(AH12*1000000000000000*AH16*AH71*AH17)/3600</f>
        <v>3052672.73142857</v>
      </c>
    </row>
    <row r="73" customFormat="false" ht="15" hidden="false" customHeight="false" outlineLevel="0" collapsed="false">
      <c r="A73" s="44" t="s">
        <v>960</v>
      </c>
      <c r="B73" s="44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44" t="s">
        <v>961</v>
      </c>
      <c r="B74" s="45" t="s">
        <v>929</v>
      </c>
      <c r="C74" s="56" t="n">
        <f aca="false">C73*C72/3</f>
        <v>0</v>
      </c>
      <c r="D74" s="56" t="n">
        <f aca="false">D73*D72/3</f>
        <v>0</v>
      </c>
      <c r="E74" s="56" t="n">
        <f aca="false">E73*E72/3</f>
        <v>0</v>
      </c>
      <c r="F74" s="56" t="n">
        <f aca="false">F73*F72/3</f>
        <v>0</v>
      </c>
      <c r="G74" s="56" t="n">
        <f aca="false">G73*G72/3</f>
        <v>0</v>
      </c>
      <c r="H74" s="56" t="n">
        <f aca="false">H73*H72/3</f>
        <v>0</v>
      </c>
      <c r="I74" s="56" t="n">
        <f aca="false">I73*I72/3</f>
        <v>0</v>
      </c>
      <c r="J74" s="56" t="n">
        <f aca="false">J73*J72/3</f>
        <v>0</v>
      </c>
      <c r="K74" s="56" t="n">
        <f aca="false">K73*K72/3</f>
        <v>0</v>
      </c>
      <c r="L74" s="56" t="n">
        <f aca="false">L73*L72/3</f>
        <v>0</v>
      </c>
      <c r="M74" s="56" t="n">
        <f aca="false">M73*M72/3</f>
        <v>0</v>
      </c>
      <c r="N74" s="56" t="n">
        <f aca="false">N73*N72/3</f>
        <v>0</v>
      </c>
      <c r="O74" s="56" t="n">
        <f aca="false">O73*O72/3</f>
        <v>0</v>
      </c>
      <c r="P74" s="56" t="n">
        <f aca="false">P73*P72/3</f>
        <v>0</v>
      </c>
      <c r="Q74" s="56" t="n">
        <f aca="false">Q73*Q72/3</f>
        <v>0</v>
      </c>
      <c r="R74" s="56" t="n">
        <f aca="false">R73*R72/3</f>
        <v>0</v>
      </c>
      <c r="S74" s="56" t="n">
        <f aca="false">S73*S72/3</f>
        <v>0</v>
      </c>
      <c r="T74" s="56" t="n">
        <f aca="false">T73*T72/3</f>
        <v>0</v>
      </c>
      <c r="U74" s="56" t="n">
        <f aca="false">U73*U72/3</f>
        <v>0</v>
      </c>
      <c r="V74" s="56" t="n">
        <f aca="false">V73*V72/3</f>
        <v>0</v>
      </c>
      <c r="W74" s="56" t="n">
        <f aca="false">W73*W72/3</f>
        <v>0</v>
      </c>
      <c r="X74" s="56" t="n">
        <f aca="false">X73*X72/3</f>
        <v>0</v>
      </c>
      <c r="Y74" s="56" t="n">
        <f aca="false">Y73*Y72/3</f>
        <v>0</v>
      </c>
      <c r="Z74" s="56" t="n">
        <f aca="false">Z73*Z72/3</f>
        <v>0</v>
      </c>
      <c r="AA74" s="56" t="n">
        <f aca="false">AA73*AA72/3</f>
        <v>0</v>
      </c>
      <c r="AB74" s="56" t="n">
        <f aca="false">AB73*AB72/3</f>
        <v>0</v>
      </c>
      <c r="AC74" s="56" t="n">
        <f aca="false">AC73*AC72/3</f>
        <v>0</v>
      </c>
      <c r="AD74" s="56" t="n">
        <f aca="false">AD73*AD72/3</f>
        <v>0</v>
      </c>
      <c r="AE74" s="56" t="n">
        <f aca="false">AE73*AE72/3</f>
        <v>0</v>
      </c>
      <c r="AF74" s="56" t="n">
        <f aca="false">AF73*AF72/3</f>
        <v>0</v>
      </c>
      <c r="AG74" s="56" t="n">
        <f aca="false">AG73*AG72/3</f>
        <v>0</v>
      </c>
      <c r="AH74" s="56" t="n">
        <f aca="false">AH73*AH72/3</f>
        <v>0</v>
      </c>
    </row>
    <row r="75" customFormat="false" ht="15" hidden="false" customHeight="false" outlineLevel="0" collapsed="false">
      <c r="A75" s="45" t="s">
        <v>962</v>
      </c>
      <c r="B75" s="45" t="s">
        <v>929</v>
      </c>
      <c r="C75" s="51" t="n">
        <f aca="false">C65+C72+C74</f>
        <v>328883.359189035</v>
      </c>
      <c r="D75" s="51" t="n">
        <f aca="false">D65+D72+D74</f>
        <v>5191321.6381531</v>
      </c>
      <c r="E75" s="51" t="n">
        <f aca="false">E65+E72+E74</f>
        <v>452422.402314161</v>
      </c>
      <c r="F75" s="51" t="n">
        <f aca="false">F65+F72+F74</f>
        <v>7000312.88640707</v>
      </c>
      <c r="G75" s="51" t="n">
        <f aca="false">G65+G72+G74</f>
        <v>259392.647431151</v>
      </c>
      <c r="H75" s="51" t="n">
        <f aca="false">H65+H72+H74</f>
        <v>4173764.06101024</v>
      </c>
      <c r="I75" s="51" t="n">
        <f aca="false">I65+I72+I74</f>
        <v>236229.07684519</v>
      </c>
      <c r="J75" s="51" t="n">
        <f aca="false">J65+J72+J74</f>
        <v>3834578.20196263</v>
      </c>
      <c r="K75" s="51" t="n">
        <f aca="false">K65+K72+K74</f>
        <v>328883.359189035</v>
      </c>
      <c r="L75" s="51" t="n">
        <f aca="false">L65+L72+L74</f>
        <v>5191321.6381531</v>
      </c>
      <c r="M75" s="51" t="n">
        <f aca="false">M65+M72+M74</f>
        <v>328883.359189035</v>
      </c>
      <c r="N75" s="51" t="n">
        <f aca="false">N65+N72+N74</f>
        <v>5191321.6381531</v>
      </c>
      <c r="O75" s="51" t="n">
        <f aca="false">O65+O72+O74</f>
        <v>98665.0077567104</v>
      </c>
      <c r="P75" s="51" t="n">
        <f aca="false">P65+P72+P74</f>
        <v>1557396.49144593</v>
      </c>
      <c r="Q75" s="51" t="n">
        <f aca="false">Q65+Q72+Q74</f>
        <v>986650.077567104</v>
      </c>
      <c r="R75" s="51" t="n">
        <f aca="false">R65+R72+R74</f>
        <v>15573964.9144593</v>
      </c>
      <c r="S75" s="51" t="n">
        <f aca="false">S65+S72+S74</f>
        <v>388706.190231262</v>
      </c>
      <c r="T75" s="51" t="n">
        <f aca="false">T65+T72+T74</f>
        <v>6223752.79055816</v>
      </c>
      <c r="U75" s="51" t="n">
        <f aca="false">U65+U72+U74</f>
        <v>313770.222925735</v>
      </c>
      <c r="V75" s="51" t="n">
        <f aca="false">V65+V72+V74</f>
        <v>4930496.92596656</v>
      </c>
      <c r="W75" s="51" t="n">
        <f aca="false">W65+W72+W74</f>
        <v>474942.593377727</v>
      </c>
      <c r="X75" s="51" t="n">
        <f aca="false">X65+X72+X74</f>
        <v>7738513.23527718</v>
      </c>
      <c r="Y75" s="51" t="n">
        <f aca="false">Y65+Y72+Y74</f>
        <v>328883.359189035</v>
      </c>
      <c r="Z75" s="51" t="n">
        <f aca="false">Z65+Z72+Z74</f>
        <v>5191321.6381531</v>
      </c>
      <c r="AA75" s="51" t="n">
        <f aca="false">AA65+AA72+AA74</f>
        <v>328883.359189035</v>
      </c>
      <c r="AB75" s="51" t="n">
        <f aca="false">AB65+AB72+AB74</f>
        <v>5191321.6381531</v>
      </c>
      <c r="AC75" s="51" t="n">
        <f aca="false">AC65+AC72+AC74</f>
        <v>328883.359189035</v>
      </c>
      <c r="AD75" s="51" t="n">
        <f aca="false">AD65+AD72+AD74</f>
        <v>5191321.6381531</v>
      </c>
      <c r="AE75" s="51" t="n">
        <f aca="false">AE65+AE72+AE74</f>
        <v>328883.359189035</v>
      </c>
      <c r="AF75" s="51" t="n">
        <f aca="false">AF65+AF72+AF74</f>
        <v>5191321.6381531</v>
      </c>
      <c r="AG75" s="51" t="n">
        <f aca="false">AG65+AG72+AG74</f>
        <v>352046.929774996</v>
      </c>
      <c r="AH75" s="51" t="n">
        <f aca="false">AH65+AH72+AH74</f>
        <v>5530507.49720072</v>
      </c>
    </row>
    <row r="76" customFormat="false" ht="15" hidden="false" customHeight="false" outlineLevel="0" collapsed="false">
      <c r="A76" s="45" t="s">
        <v>963</v>
      </c>
      <c r="B76" s="45" t="s">
        <v>259</v>
      </c>
      <c r="C76" s="131" t="n">
        <f aca="false">C66+C70*(1+C73/3)</f>
        <v>1.74399518258048E+024</v>
      </c>
      <c r="D76" s="131" t="n">
        <f aca="false">D66+D70*(1+D73/3)</f>
        <v>2.589265308672E+025</v>
      </c>
      <c r="E76" s="131" t="n">
        <f aca="false">E66+E70*(1+E73/3)</f>
        <v>1.74399518258048E+024</v>
      </c>
      <c r="F76" s="131" t="n">
        <f aca="false">F66+F70*(1+F73/3)</f>
        <v>2.589265308672E+025</v>
      </c>
      <c r="G76" s="131" t="n">
        <f aca="false">G66+G70*(1+G73/3)</f>
        <v>1.74399518258048E+024</v>
      </c>
      <c r="H76" s="131" t="n">
        <f aca="false">H66+H70*(1+H73/3)</f>
        <v>2.589265308672E+025</v>
      </c>
      <c r="I76" s="131" t="n">
        <f aca="false">I66+I70*(1+I73/3)</f>
        <v>1.74399518258048E+024</v>
      </c>
      <c r="J76" s="131" t="n">
        <f aca="false">J66+J70*(1+J73/3)</f>
        <v>2.589265308672E+025</v>
      </c>
      <c r="K76" s="131" t="n">
        <f aca="false">K66+K70*(1+K73/3)</f>
        <v>1.74399518258048E+024</v>
      </c>
      <c r="L76" s="131" t="n">
        <f aca="false">L66+L70*(1+L73/3)</f>
        <v>2.589265308672E+025</v>
      </c>
      <c r="M76" s="131" t="n">
        <f aca="false">M66+M70*(1+M73/3)</f>
        <v>1.74399518258048E+024</v>
      </c>
      <c r="N76" s="131" t="n">
        <f aca="false">N66+N70*(1+N73/3)</f>
        <v>2.589265308672E+025</v>
      </c>
      <c r="O76" s="131" t="n">
        <f aca="false">O66+O70*(1+O73/3)</f>
        <v>5.23198554774144E+023</v>
      </c>
      <c r="P76" s="131" t="n">
        <f aca="false">P66+P70*(1+P73/3)</f>
        <v>7.767795926016E+024</v>
      </c>
      <c r="Q76" s="131" t="n">
        <f aca="false">Q66+Q70*(1+Q73/3)</f>
        <v>5.23198554774144E+024</v>
      </c>
      <c r="R76" s="131" t="n">
        <f aca="false">R66+R70*(1+R73/3)</f>
        <v>7.767795926016E+025</v>
      </c>
      <c r="S76" s="131" t="n">
        <f aca="false">S66+S70*(1+S73/3)</f>
        <v>1.74399518258048E+024</v>
      </c>
      <c r="T76" s="131" t="n">
        <f aca="false">T66+T70*(1+T73/3)</f>
        <v>2.589265308672E+025</v>
      </c>
      <c r="U76" s="131" t="n">
        <f aca="false">U66+U70*(1+U73/3)</f>
        <v>1.74399518258048E+024</v>
      </c>
      <c r="V76" s="131" t="n">
        <f aca="false">V66+V70*(1+V73/3)</f>
        <v>2.589265308672E+025</v>
      </c>
      <c r="W76" s="131" t="n">
        <f aca="false">W66+W70*(1+W73/3)</f>
        <v>1.74399518258048E+024</v>
      </c>
      <c r="X76" s="131" t="n">
        <f aca="false">X66+X70*(1+X73/3)</f>
        <v>2.589265308672E+025</v>
      </c>
      <c r="Y76" s="131" t="n">
        <f aca="false">Y66+Y70*(1+Y73/3)</f>
        <v>1.74399518258048E+024</v>
      </c>
      <c r="Z76" s="131" t="n">
        <f aca="false">Z66+Z70*(1+Z73/3)</f>
        <v>2.589265308672E+025</v>
      </c>
      <c r="AA76" s="131" t="n">
        <f aca="false">AA66+AA70*(1+AA73/3)</f>
        <v>1.74399518258048E+024</v>
      </c>
      <c r="AB76" s="131" t="n">
        <f aca="false">AB66+AB70*(1+AB73/3)</f>
        <v>2.589265308672E+025</v>
      </c>
      <c r="AC76" s="131" t="n">
        <f aca="false">AC66+AC70*(1+AC73/3)</f>
        <v>1.74399518258048E+024</v>
      </c>
      <c r="AD76" s="131" t="n">
        <f aca="false">AD66+AD70*(1+AD73/3)</f>
        <v>2.589265308672E+025</v>
      </c>
      <c r="AE76" s="131" t="n">
        <f aca="false">AE66+AE70*(1+AE73/3)</f>
        <v>1.74399518258048E+024</v>
      </c>
      <c r="AF76" s="131" t="n">
        <f aca="false">AF66+AF70*(1+AF73/3)</f>
        <v>2.589265308672E+025</v>
      </c>
      <c r="AG76" s="131" t="n">
        <f aca="false">AG66+AG70*(1+AG73/3)</f>
        <v>1.74399518258048E+024</v>
      </c>
      <c r="AH76" s="131" t="n">
        <f aca="false">AH66+AH70*(1+AH73/3)</f>
        <v>2.589265308672E+025</v>
      </c>
    </row>
    <row r="77" customFormat="false" ht="15" hidden="false" customHeight="false" outlineLevel="0" collapsed="false">
      <c r="A77" s="45" t="s">
        <v>964</v>
      </c>
      <c r="B77" s="45" t="s">
        <v>57</v>
      </c>
      <c r="C77" s="85" t="n">
        <f aca="false">C76/(C75*3600*C12*1000000000000000)</f>
        <v>0.0841710668603695</v>
      </c>
      <c r="D77" s="85" t="n">
        <f aca="false">D76/(D75*3600*D12*1000000000000000)</f>
        <v>0.0791695298591089</v>
      </c>
      <c r="E77" s="85" t="n">
        <f aca="false">E76/(E75*3600*E12*1000000000000000)</f>
        <v>0.0611872070745527</v>
      </c>
      <c r="F77" s="85" t="n">
        <f aca="false">F76/(F75*3600*F12*1000000000000000)</f>
        <v>0.0587108748007611</v>
      </c>
      <c r="G77" s="85" t="n">
        <f aca="false">G76/(G75*3600*G12*1000000000000000)</f>
        <v>0.106720307956727</v>
      </c>
      <c r="H77" s="85" t="n">
        <f aca="false">H76/(H75*3600*H12*1000000000000000)</f>
        <v>0.0984709455139926</v>
      </c>
      <c r="I77" s="85" t="n">
        <f aca="false">I76/(I75*3600*I12*1000000000000000)</f>
        <v>0.0585924128927291</v>
      </c>
      <c r="J77" s="85" t="n">
        <f aca="false">J76/(J75*3600*J12*1000000000000000)</f>
        <v>0.0535905739553888</v>
      </c>
      <c r="K77" s="85" t="n">
        <f aca="false">K76/(K75*3600*K12*1000000000000000)</f>
        <v>0.0841710668603695</v>
      </c>
      <c r="L77" s="85" t="n">
        <f aca="false">L76/(L75*3600*L12*1000000000000000)</f>
        <v>0.0791695298591089</v>
      </c>
      <c r="M77" s="85" t="n">
        <f aca="false">M76/(M75*3600*M12*1000000000000000)</f>
        <v>0.0841710668603695</v>
      </c>
      <c r="N77" s="85" t="n">
        <f aca="false">N76/(N75*3600*N12*1000000000000000)</f>
        <v>0.0791695298591089</v>
      </c>
      <c r="O77" s="85" t="n">
        <f aca="false">O76/(O75*3600*O12*1000000000000000)</f>
        <v>0.0841710668603696</v>
      </c>
      <c r="P77" s="85" t="n">
        <f aca="false">P76/(P75*3600*P12*1000000000000000)</f>
        <v>0.0791695298591089</v>
      </c>
      <c r="Q77" s="85" t="n">
        <f aca="false">Q76/(Q75*3600*Q12*1000000000000000)</f>
        <v>0.0841710668603696</v>
      </c>
      <c r="R77" s="85" t="n">
        <f aca="false">R76/(R75*3600*R12*1000000000000000)</f>
        <v>0.0791695298591089</v>
      </c>
      <c r="S77" s="85" t="n">
        <f aca="false">S76/(S75*3600*S12*1000000000000000)</f>
        <v>0.0712169343099306</v>
      </c>
      <c r="T77" s="85" t="n">
        <f aca="false">T76/(T75*3600*T12*1000000000000000)</f>
        <v>0.0660364425244372</v>
      </c>
      <c r="U77" s="85" t="n">
        <f aca="false">U76/(U75*3600*U12*1000000000000000)</f>
        <v>0.0882252718484227</v>
      </c>
      <c r="V77" s="85" t="n">
        <f aca="false">V76/(V75*3600*V12*1000000000000000)</f>
        <v>0.0833576208668724</v>
      </c>
      <c r="W77" s="85" t="n">
        <f aca="false">W76/(W75*3600*W12*1000000000000000)</f>
        <v>0.0582859141326728</v>
      </c>
      <c r="X77" s="85" t="n">
        <f aca="false">X76/(X75*3600*X12*1000000000000000)</f>
        <v>0.0531102656213624</v>
      </c>
      <c r="Y77" s="85" t="n">
        <f aca="false">Y76/(Y75*3600*Y12*1000000000000000)</f>
        <v>0.0841710668603695</v>
      </c>
      <c r="Z77" s="85" t="n">
        <f aca="false">Z76/(Z75*3600*Z12*1000000000000000)</f>
        <v>0.0791695298591089</v>
      </c>
      <c r="AA77" s="85" t="n">
        <f aca="false">AA76/(AA75*3600*AA12*1000000000000000)</f>
        <v>0.0841710668603695</v>
      </c>
      <c r="AB77" s="85" t="n">
        <f aca="false">AB76/(AB75*3600*AB12*1000000000000000)</f>
        <v>0.0791695298591089</v>
      </c>
      <c r="AC77" s="85" t="n">
        <f aca="false">AC76/(AC75*3600*AC12*1000000000000000)</f>
        <v>0.0841710668603695</v>
      </c>
      <c r="AD77" s="85" t="n">
        <f aca="false">AD76/(AD75*3600*AD12*1000000000000000)</f>
        <v>0.0791695298591089</v>
      </c>
      <c r="AE77" s="85" t="n">
        <f aca="false">AE76/(AE75*3600*AE12*1000000000000000)</f>
        <v>0.0841710668603695</v>
      </c>
      <c r="AF77" s="85" t="n">
        <f aca="false">AF76/(AF75*3600*AF12*1000000000000000)</f>
        <v>0.0791695298591089</v>
      </c>
      <c r="AG77" s="85" t="n">
        <f aca="false">AG76/(AG75*3600*AG12*1000000000000000)</f>
        <v>0.0786328778190337</v>
      </c>
      <c r="AH77" s="85" t="n">
        <f aca="false">AH76/(AH75*3600*AH12*1000000000000000)</f>
        <v>0.074314064965652</v>
      </c>
    </row>
    <row r="78" customFormat="false" ht="15" hidden="false" customHeight="false" outlineLevel="0" collapsed="false">
      <c r="A78" s="45" t="s">
        <v>965</v>
      </c>
      <c r="B78" s="45" t="s">
        <v>61</v>
      </c>
      <c r="C78" s="88" t="n">
        <f aca="false">C75/C36</f>
        <v>0.324140642621739</v>
      </c>
      <c r="D78" s="88" t="n">
        <f aca="false">D75/D36</f>
        <v>0.967911891281403</v>
      </c>
      <c r="E78" s="88" t="n">
        <f aca="false">E75/E36</f>
        <v>0.26753890239541</v>
      </c>
      <c r="F78" s="88" t="n">
        <f aca="false">F75/F36</f>
        <v>0.783116889038038</v>
      </c>
      <c r="G78" s="88" t="n">
        <f aca="false">G75/G36</f>
        <v>0.409043252961232</v>
      </c>
      <c r="H78" s="88" t="n">
        <f aca="false">H75/H36</f>
        <v>1.24510439464645</v>
      </c>
      <c r="I78" s="88" t="n">
        <f aca="false">I75/I36</f>
        <v>0.46564499318756</v>
      </c>
      <c r="J78" s="88" t="n">
        <f aca="false">J75/J36</f>
        <v>1.42989939688982</v>
      </c>
      <c r="K78" s="88" t="n">
        <f aca="false">K75/K36</f>
        <v>0.648281285243478</v>
      </c>
      <c r="L78" s="88" t="n">
        <f aca="false">L75/L36</f>
        <v>1.93582378256281</v>
      </c>
      <c r="M78" s="88" t="n">
        <f aca="false">M75/M36</f>
        <v>0.19409619318667</v>
      </c>
      <c r="N78" s="88" t="n">
        <f aca="false">N75/N36</f>
        <v>0.57958795885114</v>
      </c>
      <c r="O78" s="88" t="n">
        <f aca="false">O75/O36</f>
        <v>0.0972421927865217</v>
      </c>
      <c r="P78" s="88" t="n">
        <f aca="false">P75/P36</f>
        <v>0.290373567384421</v>
      </c>
      <c r="Q78" s="88" t="n">
        <f aca="false">Q75/Q36</f>
        <v>0.972421927865217</v>
      </c>
      <c r="R78" s="88" t="n">
        <f aca="false">R75/R36</f>
        <v>2.90373567384421</v>
      </c>
      <c r="S78" s="88" t="n">
        <f aca="false">S75/S36</f>
        <v>0.383100788690831</v>
      </c>
      <c r="T78" s="88" t="n">
        <f aca="false">T75/T36</f>
        <v>1.16040668528491</v>
      </c>
      <c r="U78" s="88" t="n">
        <f aca="false">U75/U36</f>
        <v>0.309245447825337</v>
      </c>
      <c r="V78" s="88" t="n">
        <f aca="false">V75/V36</f>
        <v>0.919281627533149</v>
      </c>
      <c r="W78" s="88" t="n">
        <f aca="false">W75/W36</f>
        <v>0.468093605603821</v>
      </c>
      <c r="X78" s="88" t="n">
        <f aca="false">X75/X36</f>
        <v>1.44283084411777</v>
      </c>
      <c r="Y78" s="88" t="n">
        <f aca="false">Y75/Y36</f>
        <v>0.324140642621739</v>
      </c>
      <c r="Z78" s="88" t="n">
        <f aca="false">Z75/Z36</f>
        <v>0.967911891281403</v>
      </c>
      <c r="AA78" s="88" t="n">
        <f aca="false">AA75/AA36</f>
        <v>0.324140642621739</v>
      </c>
      <c r="AB78" s="88" t="n">
        <f aca="false">AB75/AB36</f>
        <v>0.967911891281403</v>
      </c>
      <c r="AC78" s="88" t="n">
        <f aca="false">AC75/AC36</f>
        <v>0.324140642621739</v>
      </c>
      <c r="AD78" s="88" t="n">
        <f aca="false">AD75/AD36</f>
        <v>0.967911891281403</v>
      </c>
      <c r="AE78" s="88" t="n">
        <f aca="false">AE75/AE36</f>
        <v>0.324140642621739</v>
      </c>
      <c r="AF78" s="88" t="n">
        <f aca="false">AF75/AF36</f>
        <v>0.967911891281403</v>
      </c>
      <c r="AG78" s="88" t="n">
        <f aca="false">AG75/AG36</f>
        <v>0.308417937003314</v>
      </c>
      <c r="AH78" s="88" t="n">
        <f aca="false">AH75/AH36</f>
        <v>0.916579946213802</v>
      </c>
    </row>
    <row r="79" customFormat="false" ht="15" hidden="false" customHeight="false" outlineLevel="0" collapsed="false">
      <c r="A79" s="45" t="s">
        <v>966</v>
      </c>
      <c r="B79" s="45" t="s">
        <v>61</v>
      </c>
      <c r="C79" s="57" t="n">
        <f aca="false">C76/C35</f>
        <v>0.134732166431</v>
      </c>
      <c r="D79" s="57" t="n">
        <f aca="false">D76/D35</f>
        <v>0.37841545371748</v>
      </c>
      <c r="E79" s="57" t="n">
        <f aca="false">E76/E35</f>
        <v>0.134732166431</v>
      </c>
      <c r="F79" s="57" t="n">
        <f aca="false">F76/F35</f>
        <v>0.37841545371748</v>
      </c>
      <c r="G79" s="57" t="n">
        <f aca="false">G76/G35</f>
        <v>0.134732166431</v>
      </c>
      <c r="H79" s="57" t="n">
        <f aca="false">H76/H35</f>
        <v>0.37841545371748</v>
      </c>
      <c r="I79" s="57" t="n">
        <f aca="false">I76/I35</f>
        <v>0.134732166431</v>
      </c>
      <c r="J79" s="57" t="n">
        <f aca="false">J76/J35</f>
        <v>0.37841545371748</v>
      </c>
      <c r="K79" s="57" t="n">
        <f aca="false">K76/K35</f>
        <v>0.269464332862</v>
      </c>
      <c r="L79" s="57" t="n">
        <f aca="false">L76/L35</f>
        <v>0.756830907434959</v>
      </c>
      <c r="M79" s="57" t="n">
        <f aca="false">M76/M35</f>
        <v>0.0806779439706588</v>
      </c>
      <c r="N79" s="57" t="n">
        <f aca="false">N76/N35</f>
        <v>0.226596080070347</v>
      </c>
      <c r="O79" s="57" t="n">
        <f aca="false">O76/O35</f>
        <v>0.0404196499293001</v>
      </c>
      <c r="P79" s="57" t="n">
        <f aca="false">P76/P35</f>
        <v>0.113524636115244</v>
      </c>
      <c r="Q79" s="57" t="n">
        <f aca="false">Q76/Q35</f>
        <v>0.404196499293001</v>
      </c>
      <c r="R79" s="57" t="n">
        <f aca="false">R76/R35</f>
        <v>1.13524636115244</v>
      </c>
      <c r="S79" s="57" t="n">
        <f aca="false">S76/S35</f>
        <v>0.134732166431</v>
      </c>
      <c r="T79" s="57" t="n">
        <f aca="false">T76/T35</f>
        <v>0.37841545371748</v>
      </c>
      <c r="U79" s="57" t="n">
        <f aca="false">U76/U35</f>
        <v>0.134732166431</v>
      </c>
      <c r="V79" s="57" t="n">
        <f aca="false">V76/V35</f>
        <v>0.37841545371748</v>
      </c>
      <c r="W79" s="57" t="n">
        <f aca="false">W76/W35</f>
        <v>0.134732166431</v>
      </c>
      <c r="X79" s="57" t="n">
        <f aca="false">X76/X35</f>
        <v>0.37841545371748</v>
      </c>
      <c r="Y79" s="57" t="n">
        <f aca="false">Y76/Y35</f>
        <v>0.134732166431</v>
      </c>
      <c r="Z79" s="57" t="n">
        <f aca="false">Z76/Z35</f>
        <v>0.37841545371748</v>
      </c>
      <c r="AA79" s="57" t="n">
        <f aca="false">AA76/AA35</f>
        <v>0.134732166431</v>
      </c>
      <c r="AB79" s="57" t="n">
        <f aca="false">AB76/AB35</f>
        <v>0.37841545371748</v>
      </c>
      <c r="AC79" s="57" t="n">
        <f aca="false">AC76/AC35</f>
        <v>0.134732166431</v>
      </c>
      <c r="AD79" s="57" t="n">
        <f aca="false">AD76/AD35</f>
        <v>0.37841545371748</v>
      </c>
      <c r="AE79" s="57" t="n">
        <f aca="false">AE76/AE35</f>
        <v>0.134732166431</v>
      </c>
      <c r="AF79" s="57" t="n">
        <f aca="false">AF76/AF35</f>
        <v>0.37841545371748</v>
      </c>
      <c r="AG79" s="57" t="n">
        <f aca="false">AG76/AG35</f>
        <v>0.134732166431</v>
      </c>
      <c r="AH79" s="57" t="n">
        <f aca="false">AH76/AH35</f>
        <v>0.37841545371748</v>
      </c>
    </row>
    <row r="80" customFormat="false" ht="15" hidden="false" customHeight="false" outlineLevel="0" collapsed="false">
      <c r="A80" s="72" t="s">
        <v>967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</row>
    <row r="81" customFormat="false" ht="15" hidden="false" customHeight="false" outlineLevel="0" collapsed="false">
      <c r="A81" s="44" t="s">
        <v>968</v>
      </c>
      <c r="B81" s="45" t="s">
        <v>861</v>
      </c>
      <c r="C81" s="77" t="n">
        <f aca="false">INDEX(Train_In!$C$35:$E$35,C$7)</f>
        <v>0.2</v>
      </c>
      <c r="D81" s="77" t="n">
        <f aca="false">INDEX(Train_In!$C$35:$E$35,D$7)</f>
        <v>0.2</v>
      </c>
      <c r="E81" s="77" t="n">
        <f aca="false">INDEX(Train_In!$C$35:$E$35,E$7)</f>
        <v>0.2</v>
      </c>
      <c r="F81" s="77" t="n">
        <f aca="false">INDEX(Train_In!$C$35:$E$35,F$7)</f>
        <v>0.2</v>
      </c>
      <c r="G81" s="77" t="n">
        <f aca="false">INDEX(Train_In!$C$35:$E$35,G$7)</f>
        <v>0.2</v>
      </c>
      <c r="H81" s="77" t="n">
        <f aca="false">INDEX(Train_In!$C$35:$E$35,H$7)</f>
        <v>0.2</v>
      </c>
      <c r="I81" s="77" t="n">
        <f aca="false">INDEX(Train_In!$C$35:$E$35,I$7)</f>
        <v>0.2</v>
      </c>
      <c r="J81" s="77" t="n">
        <f aca="false">INDEX(Train_In!$C$35:$E$35,J$7)</f>
        <v>0.2</v>
      </c>
      <c r="K81" s="77" t="n">
        <f aca="false">INDEX(Train_In!$C$35:$E$35,K$7)</f>
        <v>0.2</v>
      </c>
      <c r="L81" s="77" t="n">
        <f aca="false">INDEX(Train_In!$C$35:$E$35,L$7)</f>
        <v>0.2</v>
      </c>
      <c r="M81" s="77" t="n">
        <f aca="false">INDEX(Train_In!$C$35:$E$35,M$7)</f>
        <v>0.2</v>
      </c>
      <c r="N81" s="77" t="n">
        <f aca="false">INDEX(Train_In!$C$35:$E$35,N$7)</f>
        <v>0.2</v>
      </c>
      <c r="O81" s="77" t="n">
        <f aca="false">INDEX(Train_In!$C$35:$E$35,O$7)</f>
        <v>0.2</v>
      </c>
      <c r="P81" s="77" t="n">
        <f aca="false">INDEX(Train_In!$C$35:$E$35,P$7)</f>
        <v>0.2</v>
      </c>
      <c r="Q81" s="77" t="n">
        <f aca="false">INDEX(Train_In!$C$35:$E$35,Q$7)</f>
        <v>0.2</v>
      </c>
      <c r="R81" s="77" t="n">
        <f aca="false">INDEX(Train_In!$C$35:$E$35,R$7)</f>
        <v>0.2</v>
      </c>
      <c r="S81" s="77" t="n">
        <f aca="false">INDEX(Train_In!$C$35:$E$35,S$7)</f>
        <v>0.2</v>
      </c>
      <c r="T81" s="77" t="n">
        <f aca="false">INDEX(Train_In!$C$35:$E$35,T$7)</f>
        <v>0.2</v>
      </c>
      <c r="U81" s="77" t="n">
        <f aca="false">INDEX(Train_In!$C$35:$E$35,U$7)</f>
        <v>0.2</v>
      </c>
      <c r="V81" s="77" t="n">
        <f aca="false">INDEX(Train_In!$C$35:$E$35,V$7)</f>
        <v>0.2</v>
      </c>
      <c r="W81" s="77" t="n">
        <f aca="false">INDEX(Train_In!$C$35:$E$35,W$7)</f>
        <v>0.2</v>
      </c>
      <c r="X81" s="77" t="n">
        <f aca="false">INDEX(Train_In!$C$35:$E$35,X$7)</f>
        <v>0.2</v>
      </c>
      <c r="Y81" s="77" t="n">
        <f aca="false">INDEX(Train_In!$C$35:$E$35,Y$7)</f>
        <v>0.2</v>
      </c>
      <c r="Z81" s="77" t="n">
        <f aca="false">INDEX(Train_In!$C$35:$E$35,Z$7)</f>
        <v>0.2</v>
      </c>
      <c r="AA81" s="77" t="n">
        <f aca="false">INDEX(Train_In!$C$35:$E$35,AA$7)</f>
        <v>0.2</v>
      </c>
      <c r="AB81" s="77" t="n">
        <f aca="false">INDEX(Train_In!$C$35:$E$35,AB$7)</f>
        <v>0.2</v>
      </c>
      <c r="AC81" s="77" t="n">
        <f aca="false">INDEX(Train_In!$C$35:$E$35,AC$7)</f>
        <v>0.2</v>
      </c>
      <c r="AD81" s="77" t="n">
        <f aca="false">INDEX(Train_In!$C$35:$E$35,AD$7)</f>
        <v>0.2</v>
      </c>
      <c r="AE81" s="77" t="n">
        <f aca="false">INDEX(Train_In!$C$35:$E$35,AE$7)</f>
        <v>0.2</v>
      </c>
      <c r="AF81" s="77" t="n">
        <f aca="false">INDEX(Train_In!$C$35:$E$35,AF$7)</f>
        <v>0.2</v>
      </c>
      <c r="AG81" s="77" t="n">
        <f aca="false">INDEX(Train_In!$C$35:$E$35,AG$7)</f>
        <v>0.2</v>
      </c>
      <c r="AH81" s="77" t="n">
        <f aca="false">INDEX(Train_In!$C$35:$E$35,AH$7)</f>
        <v>0.2</v>
      </c>
    </row>
    <row r="82" customFormat="false" ht="15" hidden="false" customHeight="false" outlineLevel="0" collapsed="false">
      <c r="A82" s="44" t="s">
        <v>969</v>
      </c>
      <c r="B82" s="44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44" t="s">
        <v>970</v>
      </c>
      <c r="B83" s="45" t="s">
        <v>861</v>
      </c>
      <c r="C83" s="52" t="n">
        <f aca="false">C81*1000000000000/C55*(C54+C55)/1000000000000</f>
        <v>0.3</v>
      </c>
      <c r="D83" s="52" t="n">
        <f aca="false">D81*1000000000000/D55*(D54+D55)/1000000000000</f>
        <v>0.3</v>
      </c>
      <c r="E83" s="52" t="n">
        <f aca="false">E81*1000000000000/E55*(E54+E55)/1000000000000</f>
        <v>0.3</v>
      </c>
      <c r="F83" s="52" t="n">
        <f aca="false">F81*1000000000000/F55*(F54+F55)/1000000000000</f>
        <v>0.3</v>
      </c>
      <c r="G83" s="52" t="n">
        <f aca="false">G81*1000000000000/G55*(G54+G55)/1000000000000</f>
        <v>0.3</v>
      </c>
      <c r="H83" s="52" t="n">
        <f aca="false">H81*1000000000000/H55*(H54+H55)/1000000000000</f>
        <v>0.3</v>
      </c>
      <c r="I83" s="52" t="n">
        <f aca="false">I81*1000000000000/I55*(I54+I55)/1000000000000</f>
        <v>0.3</v>
      </c>
      <c r="J83" s="52" t="n">
        <f aca="false">J81*1000000000000/J55*(J54+J55)/1000000000000</f>
        <v>0.3</v>
      </c>
      <c r="K83" s="52" t="n">
        <f aca="false">K81*1000000000000/K55*(K54+K55)/1000000000000</f>
        <v>0.3</v>
      </c>
      <c r="L83" s="52" t="n">
        <f aca="false">L81*1000000000000/L55*(L54+L55)/1000000000000</f>
        <v>0.3</v>
      </c>
      <c r="M83" s="52" t="n">
        <f aca="false">M81*1000000000000/M55*(M54+M55)/1000000000000</f>
        <v>0.3</v>
      </c>
      <c r="N83" s="52" t="n">
        <f aca="false">N81*1000000000000/N55*(N54+N55)/1000000000000</f>
        <v>0.3</v>
      </c>
      <c r="O83" s="52" t="n">
        <f aca="false">O81*1000000000000/O55*(O54+O55)/1000000000000</f>
        <v>0.3</v>
      </c>
      <c r="P83" s="52" t="n">
        <f aca="false">P81*1000000000000/P55*(P54+P55)/1000000000000</f>
        <v>0.3</v>
      </c>
      <c r="Q83" s="52" t="n">
        <f aca="false">Q81*1000000000000/Q55*(Q54+Q55)/1000000000000</f>
        <v>0.3</v>
      </c>
      <c r="R83" s="52" t="n">
        <f aca="false">R81*1000000000000/R55*(R54+R55)/1000000000000</f>
        <v>0.3</v>
      </c>
      <c r="S83" s="52" t="n">
        <f aca="false">S81*1000000000000/S55*(S54+S55)/1000000000000</f>
        <v>0.3</v>
      </c>
      <c r="T83" s="52" t="n">
        <f aca="false">T81*1000000000000/T55*(T54+T55)/1000000000000</f>
        <v>0.3</v>
      </c>
      <c r="U83" s="52" t="n">
        <f aca="false">U81*1000000000000/U55*(U54+U55)/1000000000000</f>
        <v>0.3</v>
      </c>
      <c r="V83" s="52" t="n">
        <f aca="false">V81*1000000000000/V55*(V54+V55)/1000000000000</f>
        <v>0.3</v>
      </c>
      <c r="W83" s="52" t="n">
        <f aca="false">W81*1000000000000/W55*(W54+W55)/1000000000000</f>
        <v>0.3</v>
      </c>
      <c r="X83" s="52" t="n">
        <f aca="false">X81*1000000000000/X55*(X54+X55)/1000000000000</f>
        <v>0.3</v>
      </c>
      <c r="Y83" s="52" t="n">
        <f aca="false">Y81*1000000000000/Y55*(Y54+Y55)/1000000000000</f>
        <v>0.3</v>
      </c>
      <c r="Z83" s="52" t="n">
        <f aca="false">Z81*1000000000000/Z55*(Z54+Z55)/1000000000000</f>
        <v>0.3</v>
      </c>
      <c r="AA83" s="52" t="n">
        <f aca="false">AA81*1000000000000/AA55*(AA54+AA55)/1000000000000</f>
        <v>0.3</v>
      </c>
      <c r="AB83" s="52" t="n">
        <f aca="false">AB81*1000000000000/AB55*(AB54+AB55)/1000000000000</f>
        <v>0.3</v>
      </c>
      <c r="AC83" s="52" t="n">
        <f aca="false">AC81*1000000000000/AC55*(AC54+AC55)/1000000000000</f>
        <v>0.3</v>
      </c>
      <c r="AD83" s="52" t="n">
        <f aca="false">AD81*1000000000000/AD55*(AD54+AD55)/1000000000000</f>
        <v>0.3</v>
      </c>
      <c r="AE83" s="52" t="n">
        <f aca="false">AE81*1000000000000/AE55*(AE54+AE55)/1000000000000</f>
        <v>0.3</v>
      </c>
      <c r="AF83" s="52" t="n">
        <f aca="false">AF81*1000000000000/AF55*(AF54+AF55)/1000000000000</f>
        <v>0.3</v>
      </c>
      <c r="AG83" s="52" t="n">
        <f aca="false">AG81*1000000000000/AG55*(AG54+AG55)/1000000000000</f>
        <v>0.3</v>
      </c>
      <c r="AH83" s="52" t="n">
        <f aca="false">AH81*1000000000000/AH55*(AH54+AH55)/1000000000000</f>
        <v>0.3</v>
      </c>
    </row>
    <row r="84" customFormat="false" ht="15" hidden="false" customHeight="false" outlineLevel="0" collapsed="false">
      <c r="A84" s="44" t="s">
        <v>971</v>
      </c>
      <c r="B84" s="45" t="s">
        <v>711</v>
      </c>
      <c r="C84" s="80" t="n">
        <f aca="false">INDEX(Perf_Batch!$C$101:$Q$101,3*(C$6-1)+C82)</f>
        <v>12.574132224</v>
      </c>
      <c r="D84" s="80" t="n">
        <f aca="false">INDEX(Perf_Batch!$C$101:$Q$101,3*(D$6-1)+D82)</f>
        <v>38.1205065142857</v>
      </c>
      <c r="E84" s="80" t="n">
        <f aca="false">INDEX(Perf_Batch!$C$101:$Q$101,3*(E$6-1)+E82)</f>
        <v>12.574132224</v>
      </c>
      <c r="F84" s="80" t="n">
        <f aca="false">INDEX(Perf_Batch!$C$101:$Q$101,3*(F$6-1)+F82)</f>
        <v>38.1205065142857</v>
      </c>
      <c r="G84" s="80" t="n">
        <f aca="false">INDEX(Perf_Batch!$C$101:$Q$101,3*(G$6-1)+G82)</f>
        <v>12.574132224</v>
      </c>
      <c r="H84" s="80" t="n">
        <f aca="false">INDEX(Perf_Batch!$C$101:$Q$101,3*(H$6-1)+H82)</f>
        <v>38.1205065142857</v>
      </c>
      <c r="I84" s="80" t="n">
        <f aca="false">INDEX(Perf_Batch!$C$101:$Q$101,3*(I$6-1)+I82)</f>
        <v>12.574132224</v>
      </c>
      <c r="J84" s="80" t="n">
        <f aca="false">INDEX(Perf_Batch!$C$101:$Q$101,3*(J$6-1)+J82)</f>
        <v>38.1205065142857</v>
      </c>
      <c r="K84" s="80" t="n">
        <f aca="false">INDEX(Perf_Batch!$C$101:$Q$101,3*(K$6-1)+K82)</f>
        <v>12.574132224</v>
      </c>
      <c r="L84" s="80" t="n">
        <f aca="false">INDEX(Perf_Batch!$C$101:$Q$101,3*(L$6-1)+L82)</f>
        <v>38.1205065142857</v>
      </c>
      <c r="M84" s="80" t="n">
        <f aca="false">INDEX(Perf_Batch!$C$101:$Q$101,3*(M$6-1)+M82)</f>
        <v>12.574132224</v>
      </c>
      <c r="N84" s="80" t="n">
        <f aca="false">INDEX(Perf_Batch!$C$101:$Q$101,3*(N$6-1)+N82)</f>
        <v>38.1205065142857</v>
      </c>
      <c r="O84" s="80" t="n">
        <f aca="false">INDEX(Perf_Batch!$C$101:$Q$101,3*(O$6-1)+O82)</f>
        <v>12.574132224</v>
      </c>
      <c r="P84" s="80" t="n">
        <f aca="false">INDEX(Perf_Batch!$C$101:$Q$101,3*(P$6-1)+P82)</f>
        <v>38.1205065142857</v>
      </c>
      <c r="Q84" s="80" t="n">
        <f aca="false">INDEX(Perf_Batch!$C$101:$Q$101,3*(Q$6-1)+Q82)</f>
        <v>12.574132224</v>
      </c>
      <c r="R84" s="80" t="n">
        <f aca="false">INDEX(Perf_Batch!$C$101:$Q$101,3*(R$6-1)+R82)</f>
        <v>38.1205065142857</v>
      </c>
      <c r="S84" s="80" t="n">
        <f aca="false">INDEX(Perf_Batch!$C$101:$Q$101,3*(S$6-1)+S82)</f>
        <v>12.574132224</v>
      </c>
      <c r="T84" s="80" t="n">
        <f aca="false">INDEX(Perf_Batch!$C$101:$Q$101,3*(T$6-1)+T82)</f>
        <v>38.1205065142857</v>
      </c>
      <c r="U84" s="80" t="n">
        <f aca="false">INDEX(Perf_Batch!$C$101:$Q$101,3*(U$6-1)+U82)</f>
        <v>12.574132224</v>
      </c>
      <c r="V84" s="80" t="n">
        <f aca="false">INDEX(Perf_Batch!$C$101:$Q$101,3*(V$6-1)+V82)</f>
        <v>38.1205065142857</v>
      </c>
      <c r="W84" s="80" t="n">
        <f aca="false">INDEX(Perf_Batch!$C$101:$Q$101,3*(W$6-1)+W82)</f>
        <v>12.574132224</v>
      </c>
      <c r="X84" s="80" t="n">
        <f aca="false">INDEX(Perf_Batch!$C$101:$Q$101,3*(X$6-1)+X82)</f>
        <v>38.1205065142857</v>
      </c>
      <c r="Y84" s="80" t="n">
        <f aca="false">INDEX(Perf_Batch!$C$101:$Q$101,3*(Y$6-1)+Y82)</f>
        <v>12.574132224</v>
      </c>
      <c r="Z84" s="80" t="n">
        <f aca="false">INDEX(Perf_Batch!$C$101:$Q$101,3*(Z$6-1)+Z82)</f>
        <v>38.1205065142857</v>
      </c>
      <c r="AA84" s="80" t="n">
        <f aca="false">INDEX(Perf_Batch!$C$101:$Q$101,3*(AA$6-1)+AA82)</f>
        <v>12.574132224</v>
      </c>
      <c r="AB84" s="80" t="n">
        <f aca="false">INDEX(Perf_Batch!$C$101:$Q$101,3*(AB$6-1)+AB82)</f>
        <v>38.1205065142857</v>
      </c>
      <c r="AC84" s="80" t="n">
        <f aca="false">INDEX(Perf_Batch!$C$101:$Q$101,3*(AC$6-1)+AC82)</f>
        <v>12.574132224</v>
      </c>
      <c r="AD84" s="80" t="n">
        <f aca="false">INDEX(Perf_Batch!$C$101:$Q$101,3*(AD$6-1)+AD82)</f>
        <v>38.1205065142857</v>
      </c>
      <c r="AE84" s="80" t="n">
        <f aca="false">INDEX(Perf_Batch!$C$101:$Q$101,3*(AE$6-1)+AE82)</f>
        <v>12.574132224</v>
      </c>
      <c r="AF84" s="80" t="n">
        <f aca="false">INDEX(Perf_Batch!$C$101:$Q$101,3*(AF$6-1)+AF82)</f>
        <v>38.1205065142857</v>
      </c>
      <c r="AG84" s="80" t="n">
        <f aca="false">INDEX(Perf_Batch!$C$101:$Q$101,3*(AG$6-1)+AG82)</f>
        <v>12.574132224</v>
      </c>
      <c r="AH84" s="80" t="n">
        <f aca="false">INDEX(Perf_Batch!$C$101:$Q$101,3*(AH$6-1)+AH82)</f>
        <v>38.1205065142857</v>
      </c>
    </row>
    <row r="85" customFormat="false" ht="15" hidden="false" customHeight="false" outlineLevel="0" collapsed="false">
      <c r="A85" s="44" t="s">
        <v>972</v>
      </c>
      <c r="B85" s="45" t="s">
        <v>409</v>
      </c>
      <c r="C85" s="80" t="n">
        <f aca="false">INDEX(Perf_Batch!$C$67:$Q$67,3*(C$6-1)+C82)</f>
        <v>132.028388352</v>
      </c>
      <c r="D85" s="80" t="n">
        <f aca="false">INDEX(Perf_Batch!$C$67:$Q$67,3*(D$6-1)+D82)</f>
        <v>400.2653184</v>
      </c>
      <c r="E85" s="80" t="n">
        <f aca="false">INDEX(Perf_Batch!$C$67:$Q$67,3*(E$6-1)+E82)</f>
        <v>132.028388352</v>
      </c>
      <c r="F85" s="80" t="n">
        <f aca="false">INDEX(Perf_Batch!$C$67:$Q$67,3*(F$6-1)+F82)</f>
        <v>400.2653184</v>
      </c>
      <c r="G85" s="80" t="n">
        <f aca="false">INDEX(Perf_Batch!$C$67:$Q$67,3*(G$6-1)+G82)</f>
        <v>132.028388352</v>
      </c>
      <c r="H85" s="80" t="n">
        <f aca="false">INDEX(Perf_Batch!$C$67:$Q$67,3*(H$6-1)+H82)</f>
        <v>400.2653184</v>
      </c>
      <c r="I85" s="80" t="n">
        <f aca="false">INDEX(Perf_Batch!$C$67:$Q$67,3*(I$6-1)+I82)</f>
        <v>132.028388352</v>
      </c>
      <c r="J85" s="80" t="n">
        <f aca="false">INDEX(Perf_Batch!$C$67:$Q$67,3*(J$6-1)+J82)</f>
        <v>400.2653184</v>
      </c>
      <c r="K85" s="80" t="n">
        <f aca="false">INDEX(Perf_Batch!$C$67:$Q$67,3*(K$6-1)+K82)</f>
        <v>132.028388352</v>
      </c>
      <c r="L85" s="80" t="n">
        <f aca="false">INDEX(Perf_Batch!$C$67:$Q$67,3*(L$6-1)+L82)</f>
        <v>400.2653184</v>
      </c>
      <c r="M85" s="80" t="n">
        <f aca="false">INDEX(Perf_Batch!$C$67:$Q$67,3*(M$6-1)+M82)</f>
        <v>132.028388352</v>
      </c>
      <c r="N85" s="80" t="n">
        <f aca="false">INDEX(Perf_Batch!$C$67:$Q$67,3*(N$6-1)+N82)</f>
        <v>400.2653184</v>
      </c>
      <c r="O85" s="80" t="n">
        <f aca="false">INDEX(Perf_Batch!$C$67:$Q$67,3*(O$6-1)+O82)</f>
        <v>132.028388352</v>
      </c>
      <c r="P85" s="80" t="n">
        <f aca="false">INDEX(Perf_Batch!$C$67:$Q$67,3*(P$6-1)+P82)</f>
        <v>400.2653184</v>
      </c>
      <c r="Q85" s="80" t="n">
        <f aca="false">INDEX(Perf_Batch!$C$67:$Q$67,3*(Q$6-1)+Q82)</f>
        <v>132.028388352</v>
      </c>
      <c r="R85" s="80" t="n">
        <f aca="false">INDEX(Perf_Batch!$C$67:$Q$67,3*(R$6-1)+R82)</f>
        <v>400.2653184</v>
      </c>
      <c r="S85" s="80" t="n">
        <f aca="false">INDEX(Perf_Batch!$C$67:$Q$67,3*(S$6-1)+S82)</f>
        <v>132.028388352</v>
      </c>
      <c r="T85" s="80" t="n">
        <f aca="false">INDEX(Perf_Batch!$C$67:$Q$67,3*(T$6-1)+T82)</f>
        <v>400.2653184</v>
      </c>
      <c r="U85" s="80" t="n">
        <f aca="false">INDEX(Perf_Batch!$C$67:$Q$67,3*(U$6-1)+U82)</f>
        <v>132.028388352</v>
      </c>
      <c r="V85" s="80" t="n">
        <f aca="false">INDEX(Perf_Batch!$C$67:$Q$67,3*(V$6-1)+V82)</f>
        <v>400.2653184</v>
      </c>
      <c r="W85" s="80" t="n">
        <f aca="false">INDEX(Perf_Batch!$C$67:$Q$67,3*(W$6-1)+W82)</f>
        <v>132.028388352</v>
      </c>
      <c r="X85" s="80" t="n">
        <f aca="false">INDEX(Perf_Batch!$C$67:$Q$67,3*(X$6-1)+X82)</f>
        <v>400.2653184</v>
      </c>
      <c r="Y85" s="80" t="n">
        <f aca="false">INDEX(Perf_Batch!$C$67:$Q$67,3*(Y$6-1)+Y82)</f>
        <v>132.028388352</v>
      </c>
      <c r="Z85" s="80" t="n">
        <f aca="false">INDEX(Perf_Batch!$C$67:$Q$67,3*(Z$6-1)+Z82)</f>
        <v>400.2653184</v>
      </c>
      <c r="AA85" s="80" t="n">
        <f aca="false">INDEX(Perf_Batch!$C$67:$Q$67,3*(AA$6-1)+AA82)</f>
        <v>132.028388352</v>
      </c>
      <c r="AB85" s="80" t="n">
        <f aca="false">INDEX(Perf_Batch!$C$67:$Q$67,3*(AB$6-1)+AB82)</f>
        <v>400.2653184</v>
      </c>
      <c r="AC85" s="80" t="n">
        <f aca="false">INDEX(Perf_Batch!$C$67:$Q$67,3*(AC$6-1)+AC82)</f>
        <v>132.028388352</v>
      </c>
      <c r="AD85" s="80" t="n">
        <f aca="false">INDEX(Perf_Batch!$C$67:$Q$67,3*(AD$6-1)+AD82)</f>
        <v>400.2653184</v>
      </c>
      <c r="AE85" s="80" t="n">
        <f aca="false">INDEX(Perf_Batch!$C$67:$Q$67,3*(AE$6-1)+AE82)</f>
        <v>132.028388352</v>
      </c>
      <c r="AF85" s="80" t="n">
        <f aca="false">INDEX(Perf_Batch!$C$67:$Q$67,3*(AF$6-1)+AF82)</f>
        <v>400.2653184</v>
      </c>
      <c r="AG85" s="80" t="n">
        <f aca="false">INDEX(Perf_Batch!$C$67:$Q$67,3*(AG$6-1)+AG82)</f>
        <v>132.028388352</v>
      </c>
      <c r="AH85" s="80" t="n">
        <f aca="false">INDEX(Perf_Batch!$C$67:$Q$67,3*(AH$6-1)+AH82)</f>
        <v>400.2653184</v>
      </c>
    </row>
    <row r="86" customFormat="false" ht="15" hidden="false" customHeight="false" outlineLevel="0" collapsed="false">
      <c r="A86" s="44" t="s">
        <v>973</v>
      </c>
      <c r="B86" s="45" t="s">
        <v>929</v>
      </c>
      <c r="C86" s="56" t="n">
        <f aca="false">C81*1000000*C59/3600/C64</f>
        <v>12141.6730066078</v>
      </c>
      <c r="D86" s="56" t="n">
        <f aca="false">D81*1000000*D59/3600/D64</f>
        <v>51543.6971085818</v>
      </c>
      <c r="E86" s="56" t="n">
        <f aca="false">E81*1000000*E59/3600/E64</f>
        <v>12141.6730066078</v>
      </c>
      <c r="F86" s="56" t="n">
        <f aca="false">F81*1000000*F59/3600/F64</f>
        <v>51543.6971085818</v>
      </c>
      <c r="G86" s="56" t="n">
        <f aca="false">G81*1000000*G59/3600/G64</f>
        <v>12141.6730066078</v>
      </c>
      <c r="H86" s="56" t="n">
        <f aca="false">H81*1000000*H59/3600/H64</f>
        <v>51543.6971085818</v>
      </c>
      <c r="I86" s="56" t="n">
        <f aca="false">I81*1000000*I59/3600/I64</f>
        <v>12141.6730066078</v>
      </c>
      <c r="J86" s="56" t="n">
        <f aca="false">J81*1000000*J59/3600/J64</f>
        <v>51543.6971085818</v>
      </c>
      <c r="K86" s="56" t="n">
        <f aca="false">K81*1000000*K59/3600/K64</f>
        <v>12141.6730066078</v>
      </c>
      <c r="L86" s="56" t="n">
        <f aca="false">L81*1000000*L59/3600/L64</f>
        <v>51543.6971085818</v>
      </c>
      <c r="M86" s="56" t="n">
        <f aca="false">M81*1000000*M59/3600/M64</f>
        <v>12141.6730066078</v>
      </c>
      <c r="N86" s="56" t="n">
        <f aca="false">N81*1000000*N59/3600/N64</f>
        <v>51543.6971085818</v>
      </c>
      <c r="O86" s="56" t="n">
        <f aca="false">O81*1000000*O59/3600/O64</f>
        <v>12141.6730066078</v>
      </c>
      <c r="P86" s="56" t="n">
        <f aca="false">P81*1000000*P59/3600/P64</f>
        <v>51543.6971085818</v>
      </c>
      <c r="Q86" s="56" t="n">
        <f aca="false">Q81*1000000*Q59/3600/Q64</f>
        <v>12141.6730066078</v>
      </c>
      <c r="R86" s="56" t="n">
        <f aca="false">R81*1000000*R59/3600/R64</f>
        <v>51543.6971085818</v>
      </c>
      <c r="S86" s="56" t="n">
        <f aca="false">S81*1000000*S59/3600/S64</f>
        <v>17200.7034260278</v>
      </c>
      <c r="T86" s="56" t="n">
        <f aca="false">T81*1000000*T59/3600/T64</f>
        <v>73020.2375704909</v>
      </c>
      <c r="U86" s="56" t="n">
        <f aca="false">U81*1000000*U59/3600/U64</f>
        <v>10863.602163807</v>
      </c>
      <c r="V86" s="56" t="n">
        <f aca="false">V81*1000000*V59/3600/V64</f>
        <v>46118.0447813626</v>
      </c>
      <c r="W86" s="56" t="n">
        <f aca="false">W81*1000000*W59/3600/W64</f>
        <v>24493.8917494316</v>
      </c>
      <c r="X86" s="56" t="n">
        <f aca="false">X81*1000000*X59/3600/X64</f>
        <v>104532.328203662</v>
      </c>
      <c r="Y86" s="56" t="n">
        <f aca="false">Y81*1000000*Y59/3600/Y64</f>
        <v>12141.6730066078</v>
      </c>
      <c r="Z86" s="56" t="n">
        <f aca="false">Z81*1000000*Z59/3600/Z64</f>
        <v>51543.6971085818</v>
      </c>
      <c r="AA86" s="56" t="n">
        <f aca="false">AA81*1000000*AA59/3600/AA64</f>
        <v>12141.6730066078</v>
      </c>
      <c r="AB86" s="56" t="n">
        <f aca="false">AB81*1000000*AB59/3600/AB64</f>
        <v>51543.6971085818</v>
      </c>
      <c r="AC86" s="56" t="n">
        <f aca="false">AC81*1000000*AC59/3600/AC64</f>
        <v>12141.6730066078</v>
      </c>
      <c r="AD86" s="56" t="n">
        <f aca="false">AD81*1000000*AD59/3600/AD64</f>
        <v>51543.6971085818</v>
      </c>
      <c r="AE86" s="56" t="n">
        <f aca="false">AE81*1000000*AE59/3600/AE64</f>
        <v>12141.6730066078</v>
      </c>
      <c r="AF86" s="56" t="n">
        <f aca="false">AF81*1000000*AF59/3600/AF64</f>
        <v>51543.6971085818</v>
      </c>
      <c r="AG86" s="56" t="n">
        <f aca="false">AG81*1000000*AG59/3600/AG64</f>
        <v>12141.6730066078</v>
      </c>
      <c r="AH86" s="56" t="n">
        <f aca="false">AH81*1000000*AH59/3600/AH64</f>
        <v>51543.6971085818</v>
      </c>
    </row>
    <row r="87" customFormat="false" ht="15" hidden="false" customHeight="false" outlineLevel="0" collapsed="false">
      <c r="A87" s="44" t="s">
        <v>974</v>
      </c>
      <c r="B87" s="45" t="s">
        <v>929</v>
      </c>
      <c r="C87" s="56" t="n">
        <f aca="false">C83*1000000*C84/3600</f>
        <v>1047.844352</v>
      </c>
      <c r="D87" s="56" t="n">
        <f aca="false">D83*1000000*D84/3600</f>
        <v>3176.70887619048</v>
      </c>
      <c r="E87" s="56" t="n">
        <f aca="false">E83*1000000*E84/3600</f>
        <v>1047.844352</v>
      </c>
      <c r="F87" s="56" t="n">
        <f aca="false">F83*1000000*F84/3600</f>
        <v>3176.70887619048</v>
      </c>
      <c r="G87" s="56" t="n">
        <f aca="false">G83*1000000*G84/3600</f>
        <v>1047.844352</v>
      </c>
      <c r="H87" s="56" t="n">
        <f aca="false">H83*1000000*H84/3600</f>
        <v>3176.70887619048</v>
      </c>
      <c r="I87" s="56" t="n">
        <f aca="false">I83*1000000*I84/3600</f>
        <v>1047.844352</v>
      </c>
      <c r="J87" s="56" t="n">
        <f aca="false">J83*1000000*J84/3600</f>
        <v>3176.70887619048</v>
      </c>
      <c r="K87" s="56" t="n">
        <f aca="false">K83*1000000*K84/3600</f>
        <v>1047.844352</v>
      </c>
      <c r="L87" s="56" t="n">
        <f aca="false">L83*1000000*L84/3600</f>
        <v>3176.70887619048</v>
      </c>
      <c r="M87" s="56" t="n">
        <f aca="false">M83*1000000*M84/3600</f>
        <v>1047.844352</v>
      </c>
      <c r="N87" s="56" t="n">
        <f aca="false">N83*1000000*N84/3600</f>
        <v>3176.70887619048</v>
      </c>
      <c r="O87" s="56" t="n">
        <f aca="false">O83*1000000*O84/3600</f>
        <v>1047.844352</v>
      </c>
      <c r="P87" s="56" t="n">
        <f aca="false">P83*1000000*P84/3600</f>
        <v>3176.70887619048</v>
      </c>
      <c r="Q87" s="56" t="n">
        <f aca="false">Q83*1000000*Q84/3600</f>
        <v>1047.844352</v>
      </c>
      <c r="R87" s="56" t="n">
        <f aca="false">R83*1000000*R84/3600</f>
        <v>3176.70887619048</v>
      </c>
      <c r="S87" s="56" t="n">
        <f aca="false">S83*1000000*S84/3600</f>
        <v>1047.844352</v>
      </c>
      <c r="T87" s="56" t="n">
        <f aca="false">T83*1000000*T84/3600</f>
        <v>3176.70887619048</v>
      </c>
      <c r="U87" s="56" t="n">
        <f aca="false">U83*1000000*U84/3600</f>
        <v>1047.844352</v>
      </c>
      <c r="V87" s="56" t="n">
        <f aca="false">V83*1000000*V84/3600</f>
        <v>3176.70887619048</v>
      </c>
      <c r="W87" s="56" t="n">
        <f aca="false">W83*1000000*W84/3600</f>
        <v>1047.844352</v>
      </c>
      <c r="X87" s="56" t="n">
        <f aca="false">X83*1000000*X84/3600</f>
        <v>3176.70887619048</v>
      </c>
      <c r="Y87" s="56" t="n">
        <f aca="false">Y83*1000000*Y84/3600</f>
        <v>1047.844352</v>
      </c>
      <c r="Z87" s="56" t="n">
        <f aca="false">Z83*1000000*Z84/3600</f>
        <v>3176.70887619048</v>
      </c>
      <c r="AA87" s="56" t="n">
        <f aca="false">AA83*1000000*AA84/3600</f>
        <v>1047.844352</v>
      </c>
      <c r="AB87" s="56" t="n">
        <f aca="false">AB83*1000000*AB84/3600</f>
        <v>3176.70887619048</v>
      </c>
      <c r="AC87" s="56" t="n">
        <f aca="false">AC83*1000000*AC84/3600</f>
        <v>1047.844352</v>
      </c>
      <c r="AD87" s="56" t="n">
        <f aca="false">AD83*1000000*AD84/3600</f>
        <v>3176.70887619048</v>
      </c>
      <c r="AE87" s="56" t="n">
        <f aca="false">AE83*1000000*AE84/3600</f>
        <v>1047.844352</v>
      </c>
      <c r="AF87" s="56" t="n">
        <f aca="false">AF83*1000000*AF84/3600</f>
        <v>3176.70887619048</v>
      </c>
      <c r="AG87" s="56" t="n">
        <f aca="false">AG83*1000000*AG84/3600</f>
        <v>1047.844352</v>
      </c>
      <c r="AH87" s="56" t="n">
        <f aca="false">AH83*1000000*AH84/3600</f>
        <v>3176.70887619048</v>
      </c>
    </row>
    <row r="88" customFormat="false" ht="15" hidden="false" customHeight="false" outlineLevel="0" collapsed="false">
      <c r="A88" s="44" t="s">
        <v>975</v>
      </c>
      <c r="B88" s="45" t="s">
        <v>259</v>
      </c>
      <c r="C88" s="131" t="n">
        <f aca="false">C69*1000000000*C83*1000000000000</f>
        <v>1.202071532544E+023</v>
      </c>
      <c r="D88" s="131" t="n">
        <f aca="false">D69*1000000000*D83*1000000000000</f>
        <v>4.3271635968E+023</v>
      </c>
      <c r="E88" s="131" t="n">
        <f aca="false">E69*1000000000*E83*1000000000000</f>
        <v>1.202071532544E+023</v>
      </c>
      <c r="F88" s="131" t="n">
        <f aca="false">F69*1000000000*F83*1000000000000</f>
        <v>4.3271635968E+023</v>
      </c>
      <c r="G88" s="131" t="n">
        <f aca="false">G69*1000000000*G83*1000000000000</f>
        <v>1.202071532544E+023</v>
      </c>
      <c r="H88" s="131" t="n">
        <f aca="false">H69*1000000000*H83*1000000000000</f>
        <v>4.3271635968E+023</v>
      </c>
      <c r="I88" s="131" t="n">
        <f aca="false">I69*1000000000*I83*1000000000000</f>
        <v>1.202071532544E+023</v>
      </c>
      <c r="J88" s="131" t="n">
        <f aca="false">J69*1000000000*J83*1000000000000</f>
        <v>4.3271635968E+023</v>
      </c>
      <c r="K88" s="131" t="n">
        <f aca="false">K69*1000000000*K83*1000000000000</f>
        <v>1.202071532544E+023</v>
      </c>
      <c r="L88" s="131" t="n">
        <f aca="false">L69*1000000000*L83*1000000000000</f>
        <v>4.3271635968E+023</v>
      </c>
      <c r="M88" s="131" t="n">
        <f aca="false">M69*1000000000*M83*1000000000000</f>
        <v>1.202071532544E+023</v>
      </c>
      <c r="N88" s="131" t="n">
        <f aca="false">N69*1000000000*N83*1000000000000</f>
        <v>4.3271635968E+023</v>
      </c>
      <c r="O88" s="131" t="n">
        <f aca="false">O69*1000000000*O83*1000000000000</f>
        <v>1.202071532544E+023</v>
      </c>
      <c r="P88" s="131" t="n">
        <f aca="false">P69*1000000000*P83*1000000000000</f>
        <v>4.3271635968E+023</v>
      </c>
      <c r="Q88" s="131" t="n">
        <f aca="false">Q69*1000000000*Q83*1000000000000</f>
        <v>1.202071532544E+023</v>
      </c>
      <c r="R88" s="131" t="n">
        <f aca="false">R69*1000000000*R83*1000000000000</f>
        <v>4.3271635968E+023</v>
      </c>
      <c r="S88" s="131" t="n">
        <f aca="false">S69*1000000000*S83*1000000000000</f>
        <v>1.202071532544E+023</v>
      </c>
      <c r="T88" s="131" t="n">
        <f aca="false">T69*1000000000*T83*1000000000000</f>
        <v>4.3271635968E+023</v>
      </c>
      <c r="U88" s="131" t="n">
        <f aca="false">U69*1000000000*U83*1000000000000</f>
        <v>1.202071532544E+023</v>
      </c>
      <c r="V88" s="131" t="n">
        <f aca="false">V69*1000000000*V83*1000000000000</f>
        <v>4.3271635968E+023</v>
      </c>
      <c r="W88" s="131" t="n">
        <f aca="false">W69*1000000000*W83*1000000000000</f>
        <v>1.202071532544E+023</v>
      </c>
      <c r="X88" s="131" t="n">
        <f aca="false">X69*1000000000*X83*1000000000000</f>
        <v>4.3271635968E+023</v>
      </c>
      <c r="Y88" s="131" t="n">
        <f aca="false">Y69*1000000000*Y83*1000000000000</f>
        <v>1.202071532544E+023</v>
      </c>
      <c r="Z88" s="131" t="n">
        <f aca="false">Z69*1000000000*Z83*1000000000000</f>
        <v>4.3271635968E+023</v>
      </c>
      <c r="AA88" s="131" t="n">
        <f aca="false">AA69*1000000000*AA83*1000000000000</f>
        <v>1.202071532544E+023</v>
      </c>
      <c r="AB88" s="131" t="n">
        <f aca="false">AB69*1000000000*AB83*1000000000000</f>
        <v>4.3271635968E+023</v>
      </c>
      <c r="AC88" s="131" t="n">
        <f aca="false">AC69*1000000000*AC83*1000000000000</f>
        <v>1.202071532544E+023</v>
      </c>
      <c r="AD88" s="131" t="n">
        <f aca="false">AD69*1000000000*AD83*1000000000000</f>
        <v>4.3271635968E+023</v>
      </c>
      <c r="AE88" s="131" t="n">
        <f aca="false">AE69*1000000000*AE83*1000000000000</f>
        <v>1.202071532544E+023</v>
      </c>
      <c r="AF88" s="131" t="n">
        <f aca="false">AF69*1000000000*AF83*1000000000000</f>
        <v>4.3271635968E+023</v>
      </c>
      <c r="AG88" s="131" t="n">
        <f aca="false">AG69*1000000000*AG83*1000000000000</f>
        <v>1.202071532544E+023</v>
      </c>
      <c r="AH88" s="131" t="n">
        <f aca="false">AH69*1000000000*AH83*1000000000000</f>
        <v>4.3271635968E+023</v>
      </c>
    </row>
    <row r="89" customFormat="false" ht="15" hidden="false" customHeight="false" outlineLevel="0" collapsed="false">
      <c r="A89" s="44" t="s">
        <v>976</v>
      </c>
      <c r="B89" s="45" t="s">
        <v>929</v>
      </c>
      <c r="C89" s="56" t="n">
        <f aca="false">C88/(C12*1000000000000000*C16*C71*C17)/3600</f>
        <v>15704.1156514991</v>
      </c>
      <c r="D89" s="56" t="n">
        <f aca="false">D88/(D12*1000000000000000*D16*D71*D17)/3600</f>
        <v>56530.9765079365</v>
      </c>
      <c r="E89" s="56" t="n">
        <f aca="false">E88/(E12*1000000000000000*E16*E71*E17)/3600</f>
        <v>26173.5260858319</v>
      </c>
      <c r="F89" s="56" t="n">
        <f aca="false">F88/(F12*1000000000000000*F16*F71*F17)/3600</f>
        <v>94218.2941798942</v>
      </c>
      <c r="G89" s="56" t="n">
        <f aca="false">G88/(G12*1000000000000000*G16*G71*G17)/3600</f>
        <v>9815.07228218695</v>
      </c>
      <c r="H89" s="56" t="n">
        <f aca="false">H88/(H12*1000000000000000*H16*H71*H17)/3600</f>
        <v>35331.8603174603</v>
      </c>
      <c r="I89" s="56" t="n">
        <f aca="false">I88/(I12*1000000000000000*I16*I71*I17)/3600</f>
        <v>7852.05782574956</v>
      </c>
      <c r="J89" s="56" t="n">
        <f aca="false">J88/(J12*1000000000000000*J16*J71*J17)/3600</f>
        <v>28265.4882539683</v>
      </c>
      <c r="K89" s="56" t="n">
        <f aca="false">K88/(K12*1000000000000000*K16*K71*K17)/3600</f>
        <v>15704.1156514991</v>
      </c>
      <c r="L89" s="56" t="n">
        <f aca="false">L88/(L12*1000000000000000*L16*L71*L17)/3600</f>
        <v>56530.9765079365</v>
      </c>
      <c r="M89" s="56" t="n">
        <f aca="false">M88/(M12*1000000000000000*M16*M71*M17)/3600</f>
        <v>15704.1156514991</v>
      </c>
      <c r="N89" s="56" t="n">
        <f aca="false">N88/(N12*1000000000000000*N16*N71*N17)/3600</f>
        <v>56530.9765079365</v>
      </c>
      <c r="O89" s="56" t="n">
        <f aca="false">O88/(O12*1000000000000000*O16*O71*O17)/3600</f>
        <v>15704.1156514991</v>
      </c>
      <c r="P89" s="56" t="n">
        <f aca="false">P88/(P12*1000000000000000*P16*P71*P17)/3600</f>
        <v>56530.9765079365</v>
      </c>
      <c r="Q89" s="56" t="n">
        <f aca="false">Q88/(Q12*1000000000000000*Q16*Q71*Q17)/3600</f>
        <v>15704.1156514991</v>
      </c>
      <c r="R89" s="56" t="n">
        <f aca="false">R88/(R12*1000000000000000*R16*R71*R17)/3600</f>
        <v>56530.9765079365</v>
      </c>
      <c r="S89" s="56" t="n">
        <f aca="false">S88/(S12*1000000000000000*S16*S71*S17)/3600</f>
        <v>15704.1156514991</v>
      </c>
      <c r="T89" s="56" t="n">
        <f aca="false">T88/(T12*1000000000000000*T16*T71*T17)/3600</f>
        <v>56530.9765079365</v>
      </c>
      <c r="U89" s="56" t="n">
        <f aca="false">U88/(U12*1000000000000000*U16*U71*U17)/3600</f>
        <v>15704.1156514991</v>
      </c>
      <c r="V89" s="56" t="n">
        <f aca="false">V88/(V12*1000000000000000*V16*V71*V17)/3600</f>
        <v>56530.9765079365</v>
      </c>
      <c r="W89" s="56" t="n">
        <f aca="false">W88/(W12*1000000000000000*W16*W71*W17)/3600</f>
        <v>15704.1156514991</v>
      </c>
      <c r="X89" s="56" t="n">
        <f aca="false">X88/(X12*1000000000000000*X16*X71*X17)/3600</f>
        <v>56530.9765079365</v>
      </c>
      <c r="Y89" s="56" t="n">
        <f aca="false">Y88/(Y12*1000000000000000*Y16*Y71*Y17)/3600</f>
        <v>15704.1156514991</v>
      </c>
      <c r="Z89" s="56" t="n">
        <f aca="false">Z88/(Z12*1000000000000000*Z16*Z71*Z17)/3600</f>
        <v>56530.9765079365</v>
      </c>
      <c r="AA89" s="56" t="n">
        <f aca="false">AA88/(AA12*1000000000000000*AA16*AA71*AA17)/3600</f>
        <v>15704.1156514991</v>
      </c>
      <c r="AB89" s="56" t="n">
        <f aca="false">AB88/(AB12*1000000000000000*AB16*AB71*AB17)/3600</f>
        <v>56530.9765079365</v>
      </c>
      <c r="AC89" s="56" t="n">
        <f aca="false">AC88/(AC12*1000000000000000*AC16*AC71*AC17)/3600</f>
        <v>15704.1156514991</v>
      </c>
      <c r="AD89" s="56" t="n">
        <f aca="false">AD88/(AD12*1000000000000000*AD16*AD71*AD17)/3600</f>
        <v>56530.9765079365</v>
      </c>
      <c r="AE89" s="56" t="n">
        <f aca="false">AE88/(AE12*1000000000000000*AE16*AE71*AE17)/3600</f>
        <v>15704.1156514991</v>
      </c>
      <c r="AF89" s="56" t="n">
        <f aca="false">AF88/(AF12*1000000000000000*AF16*AF71*AF17)/3600</f>
        <v>56530.9765079365</v>
      </c>
      <c r="AG89" s="56" t="n">
        <f aca="false">AG88/(AG12*1000000000000000*AG16*AG71*AG17)/3600</f>
        <v>17667.1301079365</v>
      </c>
      <c r="AH89" s="56" t="n">
        <f aca="false">AH88/(AH12*1000000000000000*AH16*AH71*AH17)/3600</f>
        <v>63597.3485714286</v>
      </c>
    </row>
    <row r="90" customFormat="false" ht="15" hidden="false" customHeight="false" outlineLevel="0" collapsed="false">
      <c r="A90" s="44" t="s">
        <v>977</v>
      </c>
      <c r="B90" s="45" t="s">
        <v>929</v>
      </c>
      <c r="C90" s="56" t="n">
        <f aca="false">C86+C87+C89</f>
        <v>28893.633010107</v>
      </c>
      <c r="D90" s="56" t="n">
        <f aca="false">D86+D87+D89</f>
        <v>111251.382492709</v>
      </c>
      <c r="E90" s="56" t="n">
        <f aca="false">E86+E87+E89</f>
        <v>39363.0434444397</v>
      </c>
      <c r="F90" s="56" t="n">
        <f aca="false">F86+F87+F89</f>
        <v>148938.700164666</v>
      </c>
      <c r="G90" s="56" t="n">
        <f aca="false">G86+G87+G89</f>
        <v>23004.5896407948</v>
      </c>
      <c r="H90" s="56" t="n">
        <f aca="false">H86+H87+H89</f>
        <v>90052.2663022326</v>
      </c>
      <c r="I90" s="56" t="n">
        <f aca="false">I86+I87+I89</f>
        <v>21041.5751843574</v>
      </c>
      <c r="J90" s="56" t="n">
        <f aca="false">J86+J87+J89</f>
        <v>82985.8942387405</v>
      </c>
      <c r="K90" s="56" t="n">
        <f aca="false">K86+K87+K89</f>
        <v>28893.633010107</v>
      </c>
      <c r="L90" s="56" t="n">
        <f aca="false">L86+L87+L89</f>
        <v>111251.382492709</v>
      </c>
      <c r="M90" s="56" t="n">
        <f aca="false">M86+M87+M89</f>
        <v>28893.633010107</v>
      </c>
      <c r="N90" s="56" t="n">
        <f aca="false">N86+N87+N89</f>
        <v>111251.382492709</v>
      </c>
      <c r="O90" s="56" t="n">
        <f aca="false">O86+O87+O89</f>
        <v>28893.633010107</v>
      </c>
      <c r="P90" s="56" t="n">
        <f aca="false">P86+P87+P89</f>
        <v>111251.382492709</v>
      </c>
      <c r="Q90" s="56" t="n">
        <f aca="false">Q86+Q87+Q89</f>
        <v>28893.633010107</v>
      </c>
      <c r="R90" s="56" t="n">
        <f aca="false">R86+R87+R89</f>
        <v>111251.382492709</v>
      </c>
      <c r="S90" s="56" t="n">
        <f aca="false">S86+S87+S89</f>
        <v>33952.6634295269</v>
      </c>
      <c r="T90" s="56" t="n">
        <f aca="false">T86+T87+T89</f>
        <v>132727.922954618</v>
      </c>
      <c r="U90" s="56" t="n">
        <f aca="false">U86+U87+U89</f>
        <v>27615.5621673061</v>
      </c>
      <c r="V90" s="56" t="n">
        <f aca="false">V86+V87+V89</f>
        <v>105825.73016549</v>
      </c>
      <c r="W90" s="56" t="n">
        <f aca="false">W86+W87+W89</f>
        <v>41245.8517529307</v>
      </c>
      <c r="X90" s="56" t="n">
        <f aca="false">X86+X87+X89</f>
        <v>164240.013587789</v>
      </c>
      <c r="Y90" s="56" t="n">
        <f aca="false">Y86+Y87+Y89</f>
        <v>28893.633010107</v>
      </c>
      <c r="Z90" s="56" t="n">
        <f aca="false">Z86+Z87+Z89</f>
        <v>111251.382492709</v>
      </c>
      <c r="AA90" s="56" t="n">
        <f aca="false">AA86+AA87+AA89</f>
        <v>28893.633010107</v>
      </c>
      <c r="AB90" s="56" t="n">
        <f aca="false">AB86+AB87+AB89</f>
        <v>111251.382492709</v>
      </c>
      <c r="AC90" s="56" t="n">
        <f aca="false">AC86+AC87+AC89</f>
        <v>28893.633010107</v>
      </c>
      <c r="AD90" s="56" t="n">
        <f aca="false">AD86+AD87+AD89</f>
        <v>111251.382492709</v>
      </c>
      <c r="AE90" s="56" t="n">
        <f aca="false">AE86+AE87+AE89</f>
        <v>28893.633010107</v>
      </c>
      <c r="AF90" s="56" t="n">
        <f aca="false">AF86+AF87+AF89</f>
        <v>111251.382492709</v>
      </c>
      <c r="AG90" s="56" t="n">
        <f aca="false">AG86+AG87+AG89</f>
        <v>30856.6474665444</v>
      </c>
      <c r="AH90" s="56" t="n">
        <f aca="false">AH86+AH87+AH89</f>
        <v>118317.754556201</v>
      </c>
    </row>
    <row r="91" customFormat="false" ht="15" hidden="false" customHeight="false" outlineLevel="0" collapsed="false">
      <c r="A91" s="44" t="s">
        <v>978</v>
      </c>
      <c r="B91" s="45" t="s">
        <v>259</v>
      </c>
      <c r="C91" s="131" t="n">
        <f aca="false">C81*1000000000000*C61*1000000000+C83*1000000000000*C85*1000000000+C88</f>
        <v>1.86579540992E+023</v>
      </c>
      <c r="D91" s="131" t="n">
        <f aca="false">D81*1000000000000*D61*1000000000+D83*1000000000000*D85*1000000000+D88</f>
        <v>6.5700820992E+023</v>
      </c>
      <c r="E91" s="131" t="n">
        <f aca="false">E81*1000000000000*E61*1000000000+E83*1000000000000*E85*1000000000+E88</f>
        <v>1.86579540992E+023</v>
      </c>
      <c r="F91" s="131" t="n">
        <f aca="false">F81*1000000000000*F61*1000000000+F83*1000000000000*F85*1000000000+F88</f>
        <v>6.5700820992E+023</v>
      </c>
      <c r="G91" s="131" t="n">
        <f aca="false">G81*1000000000000*G61*1000000000+G83*1000000000000*G85*1000000000+G88</f>
        <v>1.86579540992E+023</v>
      </c>
      <c r="H91" s="131" t="n">
        <f aca="false">H81*1000000000000*H61*1000000000+H83*1000000000000*H85*1000000000+H88</f>
        <v>6.5700820992E+023</v>
      </c>
      <c r="I91" s="131" t="n">
        <f aca="false">I81*1000000000000*I61*1000000000+I83*1000000000000*I85*1000000000+I88</f>
        <v>1.86579540992E+023</v>
      </c>
      <c r="J91" s="131" t="n">
        <f aca="false">J81*1000000000000*J61*1000000000+J83*1000000000000*J85*1000000000+J88</f>
        <v>6.5700820992E+023</v>
      </c>
      <c r="K91" s="131" t="n">
        <f aca="false">K81*1000000000000*K61*1000000000+K83*1000000000000*K85*1000000000+K88</f>
        <v>1.86579540992E+023</v>
      </c>
      <c r="L91" s="131" t="n">
        <f aca="false">L81*1000000000000*L61*1000000000+L83*1000000000000*L85*1000000000+L88</f>
        <v>6.5700820992E+023</v>
      </c>
      <c r="M91" s="131" t="n">
        <f aca="false">M81*1000000000000*M61*1000000000+M83*1000000000000*M85*1000000000+M88</f>
        <v>1.86579540992E+023</v>
      </c>
      <c r="N91" s="131" t="n">
        <f aca="false">N81*1000000000000*N61*1000000000+N83*1000000000000*N85*1000000000+N88</f>
        <v>6.5700820992E+023</v>
      </c>
      <c r="O91" s="131" t="n">
        <f aca="false">O81*1000000000000*O61*1000000000+O83*1000000000000*O85*1000000000+O88</f>
        <v>1.86579540992E+023</v>
      </c>
      <c r="P91" s="131" t="n">
        <f aca="false">P81*1000000000000*P61*1000000000+P83*1000000000000*P85*1000000000+P88</f>
        <v>6.5700820992E+023</v>
      </c>
      <c r="Q91" s="131" t="n">
        <f aca="false">Q81*1000000000000*Q61*1000000000+Q83*1000000000000*Q85*1000000000+Q88</f>
        <v>1.86579540992E+023</v>
      </c>
      <c r="R91" s="131" t="n">
        <f aca="false">R81*1000000000000*R61*1000000000+R83*1000000000000*R85*1000000000+R88</f>
        <v>6.5700820992E+023</v>
      </c>
      <c r="S91" s="131" t="n">
        <f aca="false">S81*1000000000000*S61*1000000000+S83*1000000000000*S85*1000000000+S88</f>
        <v>1.86579540992E+023</v>
      </c>
      <c r="T91" s="131" t="n">
        <f aca="false">T81*1000000000000*T61*1000000000+T83*1000000000000*T85*1000000000+T88</f>
        <v>6.5700820992E+023</v>
      </c>
      <c r="U91" s="131" t="n">
        <f aca="false">U81*1000000000000*U61*1000000000+U83*1000000000000*U85*1000000000+U88</f>
        <v>1.86579540992E+023</v>
      </c>
      <c r="V91" s="131" t="n">
        <f aca="false">V81*1000000000000*V61*1000000000+V83*1000000000000*V85*1000000000+V88</f>
        <v>6.5700820992E+023</v>
      </c>
      <c r="W91" s="131" t="n">
        <f aca="false">W81*1000000000000*W61*1000000000+W83*1000000000000*W85*1000000000+W88</f>
        <v>1.86579540992E+023</v>
      </c>
      <c r="X91" s="131" t="n">
        <f aca="false">X81*1000000000000*X61*1000000000+X83*1000000000000*X85*1000000000+X88</f>
        <v>6.5700820992E+023</v>
      </c>
      <c r="Y91" s="131" t="n">
        <f aca="false">Y81*1000000000000*Y61*1000000000+Y83*1000000000000*Y85*1000000000+Y88</f>
        <v>1.86579540992E+023</v>
      </c>
      <c r="Z91" s="131" t="n">
        <f aca="false">Z81*1000000000000*Z61*1000000000+Z83*1000000000000*Z85*1000000000+Z88</f>
        <v>6.5700820992E+023</v>
      </c>
      <c r="AA91" s="131" t="n">
        <f aca="false">AA81*1000000000000*AA61*1000000000+AA83*1000000000000*AA85*1000000000+AA88</f>
        <v>1.86579540992E+023</v>
      </c>
      <c r="AB91" s="131" t="n">
        <f aca="false">AB81*1000000000000*AB61*1000000000+AB83*1000000000000*AB85*1000000000+AB88</f>
        <v>6.5700820992E+023</v>
      </c>
      <c r="AC91" s="131" t="n">
        <f aca="false">AC81*1000000000000*AC61*1000000000+AC83*1000000000000*AC85*1000000000+AC88</f>
        <v>1.86579540992E+023</v>
      </c>
      <c r="AD91" s="131" t="n">
        <f aca="false">AD81*1000000000000*AD61*1000000000+AD83*1000000000000*AD85*1000000000+AD88</f>
        <v>6.5700820992E+023</v>
      </c>
      <c r="AE91" s="131" t="n">
        <f aca="false">AE81*1000000000000*AE61*1000000000+AE83*1000000000000*AE85*1000000000+AE88</f>
        <v>1.86579540992E+023</v>
      </c>
      <c r="AF91" s="131" t="n">
        <f aca="false">AF81*1000000000000*AF61*1000000000+AF83*1000000000000*AF85*1000000000+AF88</f>
        <v>6.5700820992E+023</v>
      </c>
      <c r="AG91" s="131" t="n">
        <f aca="false">AG81*1000000000000*AG61*1000000000+AG83*1000000000000*AG85*1000000000+AG88</f>
        <v>1.86579540992E+023</v>
      </c>
      <c r="AH91" s="131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2" t="s">
        <v>979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customFormat="false" ht="15" hidden="false" customHeight="false" outlineLevel="0" collapsed="false">
      <c r="A93" s="44" t="s">
        <v>980</v>
      </c>
      <c r="B93" s="45" t="s">
        <v>861</v>
      </c>
      <c r="C93" s="80" t="n">
        <f aca="false">INDEX(Train_In!$C$37:$E$37,C$7)</f>
        <v>2</v>
      </c>
      <c r="D93" s="80" t="n">
        <f aca="false">INDEX(Train_In!$C$37:$E$37,D$7)</f>
        <v>3</v>
      </c>
      <c r="E93" s="80" t="n">
        <f aca="false">INDEX(Train_In!$C$37:$E$37,E$7)</f>
        <v>2</v>
      </c>
      <c r="F93" s="80" t="n">
        <f aca="false">INDEX(Train_In!$C$37:$E$37,F$7)</f>
        <v>3</v>
      </c>
      <c r="G93" s="80" t="n">
        <f aca="false">INDEX(Train_In!$C$37:$E$37,G$7)</f>
        <v>2</v>
      </c>
      <c r="H93" s="80" t="n">
        <f aca="false">INDEX(Train_In!$C$37:$E$37,H$7)</f>
        <v>3</v>
      </c>
      <c r="I93" s="80" t="n">
        <f aca="false">INDEX(Train_In!$C$37:$E$37,I$7)</f>
        <v>2</v>
      </c>
      <c r="J93" s="80" t="n">
        <f aca="false">INDEX(Train_In!$C$37:$E$37,J$7)</f>
        <v>3</v>
      </c>
      <c r="K93" s="80" t="n">
        <f aca="false">INDEX(Train_In!$C$37:$E$37,K$7)</f>
        <v>2</v>
      </c>
      <c r="L93" s="80" t="n">
        <f aca="false">INDEX(Train_In!$C$37:$E$37,L$7)</f>
        <v>3</v>
      </c>
      <c r="M93" s="80" t="n">
        <f aca="false">INDEX(Train_In!$C$37:$E$37,M$7)</f>
        <v>2</v>
      </c>
      <c r="N93" s="80" t="n">
        <f aca="false">INDEX(Train_In!$C$37:$E$37,N$7)</f>
        <v>3</v>
      </c>
      <c r="O93" s="80" t="n">
        <f aca="false">INDEX(Train_In!$C$37:$E$37,O$7)</f>
        <v>2</v>
      </c>
      <c r="P93" s="80" t="n">
        <f aca="false">INDEX(Train_In!$C$37:$E$37,P$7)</f>
        <v>3</v>
      </c>
      <c r="Q93" s="80" t="n">
        <f aca="false">INDEX(Train_In!$C$37:$E$37,Q$7)</f>
        <v>2</v>
      </c>
      <c r="R93" s="80" t="n">
        <f aca="false">INDEX(Train_In!$C$37:$E$37,R$7)</f>
        <v>3</v>
      </c>
      <c r="S93" s="80" t="n">
        <f aca="false">INDEX(Train_In!$C$37:$E$37,S$7)</f>
        <v>2</v>
      </c>
      <c r="T93" s="80" t="n">
        <f aca="false">INDEX(Train_In!$C$37:$E$37,T$7)</f>
        <v>3</v>
      </c>
      <c r="U93" s="80" t="n">
        <f aca="false">INDEX(Train_In!$C$37:$E$37,U$7)</f>
        <v>2</v>
      </c>
      <c r="V93" s="80" t="n">
        <f aca="false">INDEX(Train_In!$C$37:$E$37,V$7)</f>
        <v>3</v>
      </c>
      <c r="W93" s="80" t="n">
        <f aca="false">INDEX(Train_In!$C$37:$E$37,W$7)</f>
        <v>2</v>
      </c>
      <c r="X93" s="80" t="n">
        <f aca="false">INDEX(Train_In!$C$37:$E$37,X$7)</f>
        <v>3</v>
      </c>
      <c r="Y93" s="133" t="n">
        <v>0</v>
      </c>
      <c r="Z93" s="133" t="n">
        <v>0</v>
      </c>
      <c r="AA93" s="133" t="n">
        <f aca="false">INDEX(Train_In!$C$37:$E$37,AA$7)*3</f>
        <v>6</v>
      </c>
      <c r="AB93" s="133" t="n">
        <f aca="false">INDEX(Train_In!$C$37:$E$37,AB$7)*3</f>
        <v>9</v>
      </c>
      <c r="AC93" s="80" t="n">
        <f aca="false">INDEX(Train_In!$C$37:$E$37,AC$7)</f>
        <v>2</v>
      </c>
      <c r="AD93" s="80" t="n">
        <f aca="false">INDEX(Train_In!$C$37:$E$37,AD$7)</f>
        <v>3</v>
      </c>
      <c r="AE93" s="80" t="n">
        <f aca="false">INDEX(Train_In!$C$37:$E$37,AE$7)</f>
        <v>2</v>
      </c>
      <c r="AF93" s="80" t="n">
        <f aca="false">INDEX(Train_In!$C$37:$E$37,AF$7)</f>
        <v>3</v>
      </c>
      <c r="AG93" s="80" t="n">
        <f aca="false">INDEX(Train_In!$C$37:$E$37,AG$7)</f>
        <v>2</v>
      </c>
      <c r="AH93" s="80" t="n">
        <f aca="false">INDEX(Train_In!$C$37:$E$37,AH$7)</f>
        <v>3</v>
      </c>
    </row>
    <row r="94" customFormat="false" ht="15" hidden="false" customHeight="false" outlineLevel="0" collapsed="false">
      <c r="A94" s="44" t="s">
        <v>981</v>
      </c>
      <c r="B94" s="44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44" t="s">
        <v>982</v>
      </c>
      <c r="B95" s="45" t="s">
        <v>711</v>
      </c>
      <c r="C95" s="80" t="n">
        <f aca="false">INDEX(Perf_Batch!$C$103:$Q$103,3*(C$6-1)+C94)</f>
        <v>788.618565761301</v>
      </c>
      <c r="D95" s="80" t="n">
        <f aca="false">INDEX(Perf_Batch!$C$103:$Q$103,3*(D$6-1)+D94)</f>
        <v>788.618565761301</v>
      </c>
      <c r="E95" s="80" t="n">
        <f aca="false">INDEX(Perf_Batch!$C$103:$Q$103,3*(E$6-1)+E94)</f>
        <v>788.618565761301</v>
      </c>
      <c r="F95" s="80" t="n">
        <f aca="false">INDEX(Perf_Batch!$C$103:$Q$103,3*(F$6-1)+F94)</f>
        <v>788.618565761301</v>
      </c>
      <c r="G95" s="80" t="n">
        <f aca="false">INDEX(Perf_Batch!$C$103:$Q$103,3*(G$6-1)+G94)</f>
        <v>788.618565761301</v>
      </c>
      <c r="H95" s="80" t="n">
        <f aca="false">INDEX(Perf_Batch!$C$103:$Q$103,3*(H$6-1)+H94)</f>
        <v>788.618565761301</v>
      </c>
      <c r="I95" s="80" t="n">
        <f aca="false">INDEX(Perf_Batch!$C$103:$Q$103,3*(I$6-1)+I94)</f>
        <v>788.618565761301</v>
      </c>
      <c r="J95" s="80" t="n">
        <f aca="false">INDEX(Perf_Batch!$C$103:$Q$103,3*(J$6-1)+J94)</f>
        <v>788.618565761301</v>
      </c>
      <c r="K95" s="80" t="n">
        <f aca="false">INDEX(Perf_Batch!$C$103:$Q$103,3*(K$6-1)+K94)</f>
        <v>788.618565761301</v>
      </c>
      <c r="L95" s="80" t="n">
        <f aca="false">INDEX(Perf_Batch!$C$103:$Q$103,3*(L$6-1)+L94)</f>
        <v>788.618565761301</v>
      </c>
      <c r="M95" s="80" t="n">
        <f aca="false">INDEX(Perf_Batch!$C$103:$Q$103,3*(M$6-1)+M94)</f>
        <v>788.618565761301</v>
      </c>
      <c r="N95" s="80" t="n">
        <f aca="false">INDEX(Perf_Batch!$C$103:$Q$103,3*(N$6-1)+N94)</f>
        <v>788.618565761301</v>
      </c>
      <c r="O95" s="80" t="n">
        <f aca="false">INDEX(Perf_Batch!$C$103:$Q$103,3*(O$6-1)+O94)</f>
        <v>788.618565761301</v>
      </c>
      <c r="P95" s="80" t="n">
        <f aca="false">INDEX(Perf_Batch!$C$103:$Q$103,3*(P$6-1)+P94)</f>
        <v>788.618565761301</v>
      </c>
      <c r="Q95" s="80" t="n">
        <f aca="false">INDEX(Perf_Batch!$C$103:$Q$103,3*(Q$6-1)+Q94)</f>
        <v>788.618565761301</v>
      </c>
      <c r="R95" s="80" t="n">
        <f aca="false">INDEX(Perf_Batch!$C$103:$Q$103,3*(R$6-1)+R94)</f>
        <v>788.618565761301</v>
      </c>
      <c r="S95" s="80" t="n">
        <f aca="false">INDEX(Perf_Batch!$C$103:$Q$103,3*(S$6-1)+S94)</f>
        <v>788.618565761301</v>
      </c>
      <c r="T95" s="80" t="n">
        <f aca="false">INDEX(Perf_Batch!$C$103:$Q$103,3*(T$6-1)+T94)</f>
        <v>788.618565761301</v>
      </c>
      <c r="U95" s="80" t="n">
        <f aca="false">INDEX(Perf_Batch!$C$103:$Q$103,3*(U$6-1)+U94)</f>
        <v>788.618565761301</v>
      </c>
      <c r="V95" s="80" t="n">
        <f aca="false">INDEX(Perf_Batch!$C$103:$Q$103,3*(V$6-1)+V94)</f>
        <v>788.618565761301</v>
      </c>
      <c r="W95" s="80" t="n">
        <f aca="false">INDEX(Perf_Batch!$C$103:$Q$103,3*(W$6-1)+W94)</f>
        <v>788.618565761301</v>
      </c>
      <c r="X95" s="80" t="n">
        <f aca="false">INDEX(Perf_Batch!$C$103:$Q$103,3*(X$6-1)+X94)</f>
        <v>788.618565761301</v>
      </c>
      <c r="Y95" s="80" t="n">
        <f aca="false">INDEX(Perf_Batch!$C$103:$Q$103,3*(Y$6-1)+Y94)</f>
        <v>788.618565761301</v>
      </c>
      <c r="Z95" s="80" t="n">
        <f aca="false">INDEX(Perf_Batch!$C$103:$Q$103,3*(Z$6-1)+Z94)</f>
        <v>788.618565761301</v>
      </c>
      <c r="AA95" s="80" t="n">
        <f aca="false">INDEX(Perf_Batch!$C$103:$Q$103,3*(AA$6-1)+AA94)</f>
        <v>788.618565761301</v>
      </c>
      <c r="AB95" s="80" t="n">
        <f aca="false">INDEX(Perf_Batch!$C$103:$Q$103,3*(AB$6-1)+AB94)</f>
        <v>788.618565761301</v>
      </c>
      <c r="AC95" s="80" t="n">
        <f aca="false">INDEX(Perf_Batch!$C$103:$Q$103,3*(AC$6-1)+AC94)</f>
        <v>788.618565761301</v>
      </c>
      <c r="AD95" s="80" t="n">
        <f aca="false">INDEX(Perf_Batch!$C$103:$Q$103,3*(AD$6-1)+AD94)</f>
        <v>788.618565761301</v>
      </c>
      <c r="AE95" s="80" t="n">
        <f aca="false">INDEX(Perf_Batch!$C$103:$Q$103,3*(AE$6-1)+AE94)</f>
        <v>788.618565761301</v>
      </c>
      <c r="AF95" s="80" t="n">
        <f aca="false">INDEX(Perf_Batch!$C$103:$Q$103,3*(AF$6-1)+AF94)</f>
        <v>788.618565761301</v>
      </c>
      <c r="AG95" s="80" t="n">
        <f aca="false">INDEX(Perf_Batch!$C$103:$Q$103,3*(AG$6-1)+AG94)</f>
        <v>788.618565761301</v>
      </c>
      <c r="AH95" s="80" t="n">
        <f aca="false">INDEX(Perf_Batch!$C$103:$Q$103,3*(AH$6-1)+AH94)</f>
        <v>788.618565761301</v>
      </c>
    </row>
    <row r="96" customFormat="false" ht="15" hidden="false" customHeight="false" outlineLevel="0" collapsed="false">
      <c r="A96" s="44" t="s">
        <v>983</v>
      </c>
      <c r="B96" s="45" t="s">
        <v>409</v>
      </c>
      <c r="C96" s="80" t="n">
        <f aca="false">INDEX(Perf_Batch!$C$65:$Q$65,3*(C$6-1)+C94)</f>
        <v>521.0612736</v>
      </c>
      <c r="D96" s="80" t="n">
        <f aca="false">INDEX(Perf_Batch!$C$65:$Q$65,3*(D$6-1)+D94)</f>
        <v>521.0612736</v>
      </c>
      <c r="E96" s="80" t="n">
        <f aca="false">INDEX(Perf_Batch!$C$65:$Q$65,3*(E$6-1)+E94)</f>
        <v>521.0612736</v>
      </c>
      <c r="F96" s="80" t="n">
        <f aca="false">INDEX(Perf_Batch!$C$65:$Q$65,3*(F$6-1)+F94)</f>
        <v>521.0612736</v>
      </c>
      <c r="G96" s="80" t="n">
        <f aca="false">INDEX(Perf_Batch!$C$65:$Q$65,3*(G$6-1)+G94)</f>
        <v>521.0612736</v>
      </c>
      <c r="H96" s="80" t="n">
        <f aca="false">INDEX(Perf_Batch!$C$65:$Q$65,3*(H$6-1)+H94)</f>
        <v>521.0612736</v>
      </c>
      <c r="I96" s="80" t="n">
        <f aca="false">INDEX(Perf_Batch!$C$65:$Q$65,3*(I$6-1)+I94)</f>
        <v>521.0612736</v>
      </c>
      <c r="J96" s="80" t="n">
        <f aca="false">INDEX(Perf_Batch!$C$65:$Q$65,3*(J$6-1)+J94)</f>
        <v>521.0612736</v>
      </c>
      <c r="K96" s="80" t="n">
        <f aca="false">INDEX(Perf_Batch!$C$65:$Q$65,3*(K$6-1)+K94)</f>
        <v>521.0612736</v>
      </c>
      <c r="L96" s="80" t="n">
        <f aca="false">INDEX(Perf_Batch!$C$65:$Q$65,3*(L$6-1)+L94)</f>
        <v>521.0612736</v>
      </c>
      <c r="M96" s="80" t="n">
        <f aca="false">INDEX(Perf_Batch!$C$65:$Q$65,3*(M$6-1)+M94)</f>
        <v>521.0612736</v>
      </c>
      <c r="N96" s="80" t="n">
        <f aca="false">INDEX(Perf_Batch!$C$65:$Q$65,3*(N$6-1)+N94)</f>
        <v>521.0612736</v>
      </c>
      <c r="O96" s="80" t="n">
        <f aca="false">INDEX(Perf_Batch!$C$65:$Q$65,3*(O$6-1)+O94)</f>
        <v>521.0612736</v>
      </c>
      <c r="P96" s="80" t="n">
        <f aca="false">INDEX(Perf_Batch!$C$65:$Q$65,3*(P$6-1)+P94)</f>
        <v>521.0612736</v>
      </c>
      <c r="Q96" s="80" t="n">
        <f aca="false">INDEX(Perf_Batch!$C$65:$Q$65,3*(Q$6-1)+Q94)</f>
        <v>521.0612736</v>
      </c>
      <c r="R96" s="80" t="n">
        <f aca="false">INDEX(Perf_Batch!$C$65:$Q$65,3*(R$6-1)+R94)</f>
        <v>521.0612736</v>
      </c>
      <c r="S96" s="80" t="n">
        <f aca="false">INDEX(Perf_Batch!$C$65:$Q$65,3*(S$6-1)+S94)</f>
        <v>521.0612736</v>
      </c>
      <c r="T96" s="80" t="n">
        <f aca="false">INDEX(Perf_Batch!$C$65:$Q$65,3*(T$6-1)+T94)</f>
        <v>521.0612736</v>
      </c>
      <c r="U96" s="80" t="n">
        <f aca="false">INDEX(Perf_Batch!$C$65:$Q$65,3*(U$6-1)+U94)</f>
        <v>521.0612736</v>
      </c>
      <c r="V96" s="80" t="n">
        <f aca="false">INDEX(Perf_Batch!$C$65:$Q$65,3*(V$6-1)+V94)</f>
        <v>521.0612736</v>
      </c>
      <c r="W96" s="80" t="n">
        <f aca="false">INDEX(Perf_Batch!$C$65:$Q$65,3*(W$6-1)+W94)</f>
        <v>521.0612736</v>
      </c>
      <c r="X96" s="80" t="n">
        <f aca="false">INDEX(Perf_Batch!$C$65:$Q$65,3*(X$6-1)+X94)</f>
        <v>521.0612736</v>
      </c>
      <c r="Y96" s="80" t="n">
        <f aca="false">INDEX(Perf_Batch!$C$65:$Q$65,3*(Y$6-1)+Y94)</f>
        <v>521.0612736</v>
      </c>
      <c r="Z96" s="80" t="n">
        <f aca="false">INDEX(Perf_Batch!$C$65:$Q$65,3*(Z$6-1)+Z94)</f>
        <v>521.0612736</v>
      </c>
      <c r="AA96" s="80" t="n">
        <f aca="false">INDEX(Perf_Batch!$C$65:$Q$65,3*(AA$6-1)+AA94)</f>
        <v>521.0612736</v>
      </c>
      <c r="AB96" s="80" t="n">
        <f aca="false">INDEX(Perf_Batch!$C$65:$Q$65,3*(AB$6-1)+AB94)</f>
        <v>521.0612736</v>
      </c>
      <c r="AC96" s="80" t="n">
        <f aca="false">INDEX(Perf_Batch!$C$65:$Q$65,3*(AC$6-1)+AC94)</f>
        <v>521.0612736</v>
      </c>
      <c r="AD96" s="80" t="n">
        <f aca="false">INDEX(Perf_Batch!$C$65:$Q$65,3*(AD$6-1)+AD94)</f>
        <v>521.0612736</v>
      </c>
      <c r="AE96" s="80" t="n">
        <f aca="false">INDEX(Perf_Batch!$C$65:$Q$65,3*(AE$6-1)+AE94)</f>
        <v>521.0612736</v>
      </c>
      <c r="AF96" s="80" t="n">
        <f aca="false">INDEX(Perf_Batch!$C$65:$Q$65,3*(AF$6-1)+AF94)</f>
        <v>521.0612736</v>
      </c>
      <c r="AG96" s="80" t="n">
        <f aca="false">INDEX(Perf_Batch!$C$65:$Q$65,3*(AG$6-1)+AG94)</f>
        <v>521.0612736</v>
      </c>
      <c r="AH96" s="80" t="n">
        <f aca="false">INDEX(Perf_Batch!$C$65:$Q$65,3*(AH$6-1)+AH94)</f>
        <v>521.0612736</v>
      </c>
    </row>
    <row r="97" customFormat="false" ht="15" hidden="false" customHeight="false" outlineLevel="0" collapsed="false">
      <c r="A97" s="44" t="s">
        <v>984</v>
      </c>
      <c r="B97" s="45" t="s">
        <v>929</v>
      </c>
      <c r="C97" s="56" t="n">
        <f aca="false">C93*1000000*C95/3600</f>
        <v>438121.425422945</v>
      </c>
      <c r="D97" s="56" t="n">
        <f aca="false">D93*1000000*D95/3600</f>
        <v>657182.138134418</v>
      </c>
      <c r="E97" s="56" t="n">
        <f aca="false">E93*1000000*E95/3600</f>
        <v>438121.425422945</v>
      </c>
      <c r="F97" s="56" t="n">
        <f aca="false">F93*1000000*F95/3600</f>
        <v>657182.138134418</v>
      </c>
      <c r="G97" s="56" t="n">
        <f aca="false">G93*1000000*G95/3600</f>
        <v>438121.425422945</v>
      </c>
      <c r="H97" s="56" t="n">
        <f aca="false">H93*1000000*H95/3600</f>
        <v>657182.138134418</v>
      </c>
      <c r="I97" s="56" t="n">
        <f aca="false">I93*1000000*I95/3600</f>
        <v>438121.425422945</v>
      </c>
      <c r="J97" s="56" t="n">
        <f aca="false">J93*1000000*J95/3600</f>
        <v>657182.138134418</v>
      </c>
      <c r="K97" s="56" t="n">
        <f aca="false">K93*1000000*K95/3600</f>
        <v>438121.425422945</v>
      </c>
      <c r="L97" s="56" t="n">
        <f aca="false">L93*1000000*L95/3600</f>
        <v>657182.138134418</v>
      </c>
      <c r="M97" s="56" t="n">
        <f aca="false">M93*1000000*M95/3600</f>
        <v>438121.425422945</v>
      </c>
      <c r="N97" s="56" t="n">
        <f aca="false">N93*1000000*N95/3600</f>
        <v>657182.138134418</v>
      </c>
      <c r="O97" s="56" t="n">
        <f aca="false">O93*1000000*O95/3600</f>
        <v>438121.425422945</v>
      </c>
      <c r="P97" s="56" t="n">
        <f aca="false">P93*1000000*P95/3600</f>
        <v>657182.138134418</v>
      </c>
      <c r="Q97" s="56" t="n">
        <f aca="false">Q93*1000000*Q95/3600</f>
        <v>438121.425422945</v>
      </c>
      <c r="R97" s="56" t="n">
        <f aca="false">R93*1000000*R95/3600</f>
        <v>657182.138134418</v>
      </c>
      <c r="S97" s="56" t="n">
        <f aca="false">S93*1000000*S95/3600</f>
        <v>438121.425422945</v>
      </c>
      <c r="T97" s="56" t="n">
        <f aca="false">T93*1000000*T95/3600</f>
        <v>657182.138134418</v>
      </c>
      <c r="U97" s="56" t="n">
        <f aca="false">U93*1000000*U95/3600</f>
        <v>438121.425422945</v>
      </c>
      <c r="V97" s="56" t="n">
        <f aca="false">V93*1000000*V95/3600</f>
        <v>657182.138134418</v>
      </c>
      <c r="W97" s="56" t="n">
        <f aca="false">W93*1000000*W95/3600</f>
        <v>438121.425422945</v>
      </c>
      <c r="X97" s="56" t="n">
        <f aca="false">X93*1000000*X95/3600</f>
        <v>657182.138134418</v>
      </c>
      <c r="Y97" s="56" t="n">
        <f aca="false">Y93*1000000*Y95/3600</f>
        <v>0</v>
      </c>
      <c r="Z97" s="56" t="n">
        <f aca="false">Z93*1000000*Z95/3600</f>
        <v>0</v>
      </c>
      <c r="AA97" s="56" t="n">
        <f aca="false">AA93*1000000*AA95/3600</f>
        <v>1314364.27626884</v>
      </c>
      <c r="AB97" s="56" t="n">
        <f aca="false">AB93*1000000*AB95/3600</f>
        <v>1971546.41440325</v>
      </c>
      <c r="AC97" s="56" t="n">
        <f aca="false">AC93*1000000*AC95/3600</f>
        <v>438121.425422945</v>
      </c>
      <c r="AD97" s="56" t="n">
        <f aca="false">AD93*1000000*AD95/3600</f>
        <v>657182.138134418</v>
      </c>
      <c r="AE97" s="56" t="n">
        <f aca="false">AE93*1000000*AE95/3600</f>
        <v>438121.425422945</v>
      </c>
      <c r="AF97" s="56" t="n">
        <f aca="false">AF93*1000000*AF95/3600</f>
        <v>657182.138134418</v>
      </c>
      <c r="AG97" s="56" t="n">
        <f aca="false">AG93*1000000*AG95/3600</f>
        <v>438121.425422945</v>
      </c>
      <c r="AH97" s="56" t="n">
        <f aca="false">AH93*1000000*AH95/3600</f>
        <v>657182.138134418</v>
      </c>
    </row>
    <row r="98" customFormat="false" ht="15" hidden="false" customHeight="false" outlineLevel="0" collapsed="false">
      <c r="A98" s="44" t="s">
        <v>985</v>
      </c>
      <c r="B98" s="45" t="s">
        <v>259</v>
      </c>
      <c r="C98" s="131" t="n">
        <f aca="false">C93*1000000000000*C96*1000000000</f>
        <v>1.0421225472E+024</v>
      </c>
      <c r="D98" s="131" t="n">
        <f aca="false">D93*1000000000000*D96*1000000000</f>
        <v>1.5631838208E+024</v>
      </c>
      <c r="E98" s="131" t="n">
        <f aca="false">E93*1000000000000*E96*1000000000</f>
        <v>1.0421225472E+024</v>
      </c>
      <c r="F98" s="131" t="n">
        <f aca="false">F93*1000000000000*F96*1000000000</f>
        <v>1.5631838208E+024</v>
      </c>
      <c r="G98" s="131" t="n">
        <f aca="false">G93*1000000000000*G96*1000000000</f>
        <v>1.0421225472E+024</v>
      </c>
      <c r="H98" s="131" t="n">
        <f aca="false">H93*1000000000000*H96*1000000000</f>
        <v>1.5631838208E+024</v>
      </c>
      <c r="I98" s="131" t="n">
        <f aca="false">I93*1000000000000*I96*1000000000</f>
        <v>1.0421225472E+024</v>
      </c>
      <c r="J98" s="131" t="n">
        <f aca="false">J93*1000000000000*J96*1000000000</f>
        <v>1.5631838208E+024</v>
      </c>
      <c r="K98" s="131" t="n">
        <f aca="false">K93*1000000000000*K96*1000000000</f>
        <v>1.0421225472E+024</v>
      </c>
      <c r="L98" s="131" t="n">
        <f aca="false">L93*1000000000000*L96*1000000000</f>
        <v>1.5631838208E+024</v>
      </c>
      <c r="M98" s="131" t="n">
        <f aca="false">M93*1000000000000*M96*1000000000</f>
        <v>1.0421225472E+024</v>
      </c>
      <c r="N98" s="131" t="n">
        <f aca="false">N93*1000000000000*N96*1000000000</f>
        <v>1.5631838208E+024</v>
      </c>
      <c r="O98" s="131" t="n">
        <f aca="false">O93*1000000000000*O96*1000000000</f>
        <v>1.0421225472E+024</v>
      </c>
      <c r="P98" s="131" t="n">
        <f aca="false">P93*1000000000000*P96*1000000000</f>
        <v>1.5631838208E+024</v>
      </c>
      <c r="Q98" s="131" t="n">
        <f aca="false">Q93*1000000000000*Q96*1000000000</f>
        <v>1.0421225472E+024</v>
      </c>
      <c r="R98" s="131" t="n">
        <f aca="false">R93*1000000000000*R96*1000000000</f>
        <v>1.5631838208E+024</v>
      </c>
      <c r="S98" s="131" t="n">
        <f aca="false">S93*1000000000000*S96*1000000000</f>
        <v>1.0421225472E+024</v>
      </c>
      <c r="T98" s="131" t="n">
        <f aca="false">T93*1000000000000*T96*1000000000</f>
        <v>1.5631838208E+024</v>
      </c>
      <c r="U98" s="131" t="n">
        <f aca="false">U93*1000000000000*U96*1000000000</f>
        <v>1.0421225472E+024</v>
      </c>
      <c r="V98" s="131" t="n">
        <f aca="false">V93*1000000000000*V96*1000000000</f>
        <v>1.5631838208E+024</v>
      </c>
      <c r="W98" s="131" t="n">
        <f aca="false">W93*1000000000000*W96*1000000000</f>
        <v>1.0421225472E+024</v>
      </c>
      <c r="X98" s="131" t="n">
        <f aca="false">X93*1000000000000*X96*1000000000</f>
        <v>1.5631838208E+024</v>
      </c>
      <c r="Y98" s="131" t="n">
        <f aca="false">Y93*1000000000000*Y96*1000000000</f>
        <v>0</v>
      </c>
      <c r="Z98" s="131" t="n">
        <f aca="false">Z93*1000000000000*Z96*1000000000</f>
        <v>0</v>
      </c>
      <c r="AA98" s="131" t="n">
        <f aca="false">AA93*1000000000000*AA96*1000000000</f>
        <v>3.1263676416E+024</v>
      </c>
      <c r="AB98" s="131" t="n">
        <f aca="false">AB93*1000000000000*AB96*1000000000</f>
        <v>4.6895514624E+024</v>
      </c>
      <c r="AC98" s="131" t="n">
        <f aca="false">AC93*1000000000000*AC96*1000000000</f>
        <v>1.0421225472E+024</v>
      </c>
      <c r="AD98" s="131" t="n">
        <f aca="false">AD93*1000000000000*AD96*1000000000</f>
        <v>1.5631838208E+024</v>
      </c>
      <c r="AE98" s="131" t="n">
        <f aca="false">AE93*1000000000000*AE96*1000000000</f>
        <v>1.0421225472E+024</v>
      </c>
      <c r="AF98" s="131" t="n">
        <f aca="false">AF93*1000000000000*AF96*1000000000</f>
        <v>1.5631838208E+024</v>
      </c>
      <c r="AG98" s="131" t="n">
        <f aca="false">AG93*1000000000000*AG96*1000000000</f>
        <v>1.0421225472E+024</v>
      </c>
      <c r="AH98" s="131" t="n">
        <f aca="false">AH93*1000000000000*AH96*1000000000</f>
        <v>1.5631838208E+024</v>
      </c>
    </row>
    <row r="99" customFormat="false" ht="15" hidden="false" customHeight="false" outlineLevel="0" collapsed="false">
      <c r="A99" s="44" t="s">
        <v>884</v>
      </c>
      <c r="B99" s="45" t="s">
        <v>861</v>
      </c>
      <c r="C99" s="77" t="n">
        <f aca="false">INDEX(Train_In!$C$38:$E$38,C$7)</f>
        <v>0.05</v>
      </c>
      <c r="D99" s="77" t="n">
        <f aca="false">INDEX(Train_In!$C$38:$E$38,D$7)</f>
        <v>0.1</v>
      </c>
      <c r="E99" s="77" t="n">
        <f aca="false">INDEX(Train_In!$C$38:$E$38,E$7)</f>
        <v>0.05</v>
      </c>
      <c r="F99" s="77" t="n">
        <f aca="false">INDEX(Train_In!$C$38:$E$38,F$7)</f>
        <v>0.1</v>
      </c>
      <c r="G99" s="77" t="n">
        <f aca="false">INDEX(Train_In!$C$38:$E$38,G$7)</f>
        <v>0.05</v>
      </c>
      <c r="H99" s="77" t="n">
        <f aca="false">INDEX(Train_In!$C$38:$E$38,H$7)</f>
        <v>0.1</v>
      </c>
      <c r="I99" s="77" t="n">
        <f aca="false">INDEX(Train_In!$C$38:$E$38,I$7)</f>
        <v>0.05</v>
      </c>
      <c r="J99" s="77" t="n">
        <f aca="false">INDEX(Train_In!$C$38:$E$38,J$7)</f>
        <v>0.1</v>
      </c>
      <c r="K99" s="77" t="n">
        <f aca="false">INDEX(Train_In!$C$38:$E$38,K$7)</f>
        <v>0.05</v>
      </c>
      <c r="L99" s="77" t="n">
        <f aca="false">INDEX(Train_In!$C$38:$E$38,L$7)</f>
        <v>0.1</v>
      </c>
      <c r="M99" s="77" t="n">
        <f aca="false">INDEX(Train_In!$C$38:$E$38,M$7)</f>
        <v>0.05</v>
      </c>
      <c r="N99" s="77" t="n">
        <f aca="false">INDEX(Train_In!$C$38:$E$38,N$7)</f>
        <v>0.1</v>
      </c>
      <c r="O99" s="77" t="n">
        <f aca="false">INDEX(Train_In!$C$38:$E$38,O$7)</f>
        <v>0.05</v>
      </c>
      <c r="P99" s="77" t="n">
        <f aca="false">INDEX(Train_In!$C$38:$E$38,P$7)</f>
        <v>0.1</v>
      </c>
      <c r="Q99" s="77" t="n">
        <f aca="false">INDEX(Train_In!$C$38:$E$38,Q$7)</f>
        <v>0.05</v>
      </c>
      <c r="R99" s="77" t="n">
        <f aca="false">INDEX(Train_In!$C$38:$E$38,R$7)</f>
        <v>0.1</v>
      </c>
      <c r="S99" s="77" t="n">
        <f aca="false">INDEX(Train_In!$C$38:$E$38,S$7)</f>
        <v>0.05</v>
      </c>
      <c r="T99" s="77" t="n">
        <f aca="false">INDEX(Train_In!$C$38:$E$38,T$7)</f>
        <v>0.1</v>
      </c>
      <c r="U99" s="77" t="n">
        <f aca="false">INDEX(Train_In!$C$38:$E$38,U$7)</f>
        <v>0.05</v>
      </c>
      <c r="V99" s="77" t="n">
        <f aca="false">INDEX(Train_In!$C$38:$E$38,V$7)</f>
        <v>0.1</v>
      </c>
      <c r="W99" s="77" t="n">
        <f aca="false">INDEX(Train_In!$C$38:$E$38,W$7)</f>
        <v>0.05</v>
      </c>
      <c r="X99" s="77" t="n">
        <f aca="false">INDEX(Train_In!$C$38:$E$38,X$7)</f>
        <v>0.1</v>
      </c>
      <c r="Y99" s="77" t="n">
        <f aca="false">INDEX(Train_In!$C$38:$E$38,Y$7)</f>
        <v>0.05</v>
      </c>
      <c r="Z99" s="77" t="n">
        <f aca="false">INDEX(Train_In!$C$38:$E$38,Z$7)</f>
        <v>0.1</v>
      </c>
      <c r="AA99" s="77" t="n">
        <f aca="false">INDEX(Train_In!$C$38:$E$38,AA$7)</f>
        <v>0.05</v>
      </c>
      <c r="AB99" s="77" t="n">
        <f aca="false">INDEX(Train_In!$C$38:$E$38,AB$7)</f>
        <v>0.1</v>
      </c>
      <c r="AC99" s="77" t="n">
        <f aca="false">INDEX(Train_In!$C$38:$E$38,AC$7)</f>
        <v>0.05</v>
      </c>
      <c r="AD99" s="77" t="n">
        <f aca="false">INDEX(Train_In!$C$38:$E$38,AD$7)</f>
        <v>0.1</v>
      </c>
      <c r="AE99" s="77" t="n">
        <f aca="false">INDEX(Train_In!$C$38:$E$38,AE$7)</f>
        <v>0.05</v>
      </c>
      <c r="AF99" s="77" t="n">
        <f aca="false">INDEX(Train_In!$C$38:$E$38,AF$7)</f>
        <v>0.1</v>
      </c>
      <c r="AG99" s="77" t="n">
        <f aca="false">INDEX(Train_In!$C$38:$E$38,AG$7)</f>
        <v>0.05</v>
      </c>
      <c r="AH99" s="77" t="n">
        <f aca="false">INDEX(Train_In!$C$38:$E$38,AH$7)</f>
        <v>0.1</v>
      </c>
    </row>
    <row r="100" customFormat="false" ht="15" hidden="false" customHeight="false" outlineLevel="0" collapsed="false">
      <c r="A100" s="44" t="s">
        <v>986</v>
      </c>
      <c r="B100" s="45" t="s">
        <v>929</v>
      </c>
      <c r="C100" s="56" t="n">
        <f aca="false">C99*1000000*C59/3600</f>
        <v>2580.10551390417</v>
      </c>
      <c r="D100" s="56" t="n">
        <f aca="false">D99*1000000*D59/3600</f>
        <v>21906.0712711473</v>
      </c>
      <c r="E100" s="56" t="n">
        <f aca="false">E99*1000000*E59/3600</f>
        <v>2580.10551390417</v>
      </c>
      <c r="F100" s="56" t="n">
        <f aca="false">F99*1000000*F59/3600</f>
        <v>21906.0712711473</v>
      </c>
      <c r="G100" s="56" t="n">
        <f aca="false">G99*1000000*G59/3600</f>
        <v>2580.10551390417</v>
      </c>
      <c r="H100" s="56" t="n">
        <f aca="false">H99*1000000*H59/3600</f>
        <v>21906.0712711473</v>
      </c>
      <c r="I100" s="56" t="n">
        <f aca="false">I99*1000000*I59/3600</f>
        <v>2580.10551390417</v>
      </c>
      <c r="J100" s="56" t="n">
        <f aca="false">J99*1000000*J59/3600</f>
        <v>21906.0712711473</v>
      </c>
      <c r="K100" s="56" t="n">
        <f aca="false">K99*1000000*K59/3600</f>
        <v>2580.10551390417</v>
      </c>
      <c r="L100" s="56" t="n">
        <f aca="false">L99*1000000*L59/3600</f>
        <v>21906.0712711473</v>
      </c>
      <c r="M100" s="56" t="n">
        <f aca="false">M99*1000000*M59/3600</f>
        <v>2580.10551390417</v>
      </c>
      <c r="N100" s="56" t="n">
        <f aca="false">N99*1000000*N59/3600</f>
        <v>21906.0712711473</v>
      </c>
      <c r="O100" s="56" t="n">
        <f aca="false">O99*1000000*O59/3600</f>
        <v>2580.10551390417</v>
      </c>
      <c r="P100" s="56" t="n">
        <f aca="false">P99*1000000*P59/3600</f>
        <v>21906.0712711473</v>
      </c>
      <c r="Q100" s="56" t="n">
        <f aca="false">Q99*1000000*Q59/3600</f>
        <v>2580.10551390417</v>
      </c>
      <c r="R100" s="56" t="n">
        <f aca="false">R99*1000000*R59/3600</f>
        <v>21906.0712711473</v>
      </c>
      <c r="S100" s="56" t="n">
        <f aca="false">S99*1000000*S59/3600</f>
        <v>2580.10551390417</v>
      </c>
      <c r="T100" s="56" t="n">
        <f aca="false">T99*1000000*T59/3600</f>
        <v>21906.0712711473</v>
      </c>
      <c r="U100" s="56" t="n">
        <f aca="false">U99*1000000*U59/3600</f>
        <v>2580.10551390417</v>
      </c>
      <c r="V100" s="56" t="n">
        <f aca="false">V99*1000000*V59/3600</f>
        <v>21906.0712711473</v>
      </c>
      <c r="W100" s="56" t="n">
        <f aca="false">W99*1000000*W59/3600</f>
        <v>5204.95199675421</v>
      </c>
      <c r="X100" s="56" t="n">
        <f aca="false">X99*1000000*X59/3600</f>
        <v>44426.2394865564</v>
      </c>
      <c r="Y100" s="56" t="n">
        <f aca="false">Y99*1000000*Y59/3600</f>
        <v>2580.10551390417</v>
      </c>
      <c r="Z100" s="56" t="n">
        <f aca="false">Z99*1000000*Z59/3600</f>
        <v>21906.0712711473</v>
      </c>
      <c r="AA100" s="56" t="n">
        <f aca="false">AA99*1000000*AA59/3600</f>
        <v>2580.10551390417</v>
      </c>
      <c r="AB100" s="56" t="n">
        <f aca="false">AB99*1000000*AB59/3600</f>
        <v>21906.0712711473</v>
      </c>
      <c r="AC100" s="56" t="n">
        <f aca="false">AC99*1000000*AC59/3600</f>
        <v>2580.10551390417</v>
      </c>
      <c r="AD100" s="56" t="n">
        <f aca="false">AD99*1000000*AD59/3600</f>
        <v>21906.0712711473</v>
      </c>
      <c r="AE100" s="56" t="n">
        <f aca="false">AE99*1000000*AE59/3600</f>
        <v>2580.10551390417</v>
      </c>
      <c r="AF100" s="56" t="n">
        <f aca="false">AF99*1000000*AF59/3600</f>
        <v>21906.0712711473</v>
      </c>
      <c r="AG100" s="56" t="n">
        <f aca="false">AG99*1000000*AG59/3600</f>
        <v>2580.10551390417</v>
      </c>
      <c r="AH100" s="56" t="n">
        <f aca="false">AH99*1000000*AH59/3600</f>
        <v>21906.0712711473</v>
      </c>
    </row>
    <row r="101" customFormat="false" ht="15" hidden="false" customHeight="false" outlineLevel="0" collapsed="false">
      <c r="A101" s="44" t="s">
        <v>987</v>
      </c>
      <c r="B101" s="45" t="s">
        <v>259</v>
      </c>
      <c r="C101" s="131" t="n">
        <f aca="false">C99*1000000000000*C61*1000000000</f>
        <v>6.690967808E+021</v>
      </c>
      <c r="D101" s="131" t="n">
        <f aca="false">D99*1000000000000*D61*1000000000</f>
        <v>5.210612736E+022</v>
      </c>
      <c r="E101" s="131" t="n">
        <f aca="false">E99*1000000000000*E61*1000000000</f>
        <v>6.690967808E+021</v>
      </c>
      <c r="F101" s="131" t="n">
        <f aca="false">F99*1000000000000*F61*1000000000</f>
        <v>5.210612736E+022</v>
      </c>
      <c r="G101" s="131" t="n">
        <f aca="false">G99*1000000000000*G61*1000000000</f>
        <v>6.690967808E+021</v>
      </c>
      <c r="H101" s="131" t="n">
        <f aca="false">H99*1000000000000*H61*1000000000</f>
        <v>5.210612736E+022</v>
      </c>
      <c r="I101" s="131" t="n">
        <f aca="false">I99*1000000000000*I61*1000000000</f>
        <v>6.690967808E+021</v>
      </c>
      <c r="J101" s="131" t="n">
        <f aca="false">J99*1000000000000*J61*1000000000</f>
        <v>5.210612736E+022</v>
      </c>
      <c r="K101" s="131" t="n">
        <f aca="false">K99*1000000000000*K61*1000000000</f>
        <v>6.690967808E+021</v>
      </c>
      <c r="L101" s="131" t="n">
        <f aca="false">L99*1000000000000*L61*1000000000</f>
        <v>5.210612736E+022</v>
      </c>
      <c r="M101" s="131" t="n">
        <f aca="false">M99*1000000000000*M61*1000000000</f>
        <v>6.690967808E+021</v>
      </c>
      <c r="N101" s="131" t="n">
        <f aca="false">N99*1000000000000*N61*1000000000</f>
        <v>5.210612736E+022</v>
      </c>
      <c r="O101" s="131" t="n">
        <f aca="false">O99*1000000000000*O61*1000000000</f>
        <v>6.690967808E+021</v>
      </c>
      <c r="P101" s="131" t="n">
        <f aca="false">P99*1000000000000*P61*1000000000</f>
        <v>5.210612736E+022</v>
      </c>
      <c r="Q101" s="131" t="n">
        <f aca="false">Q99*1000000000000*Q61*1000000000</f>
        <v>6.690967808E+021</v>
      </c>
      <c r="R101" s="131" t="n">
        <f aca="false">R99*1000000000000*R61*1000000000</f>
        <v>5.210612736E+022</v>
      </c>
      <c r="S101" s="131" t="n">
        <f aca="false">S99*1000000000000*S61*1000000000</f>
        <v>6.690967808E+021</v>
      </c>
      <c r="T101" s="131" t="n">
        <f aca="false">T99*1000000000000*T61*1000000000</f>
        <v>5.210612736E+022</v>
      </c>
      <c r="U101" s="131" t="n">
        <f aca="false">U99*1000000000000*U61*1000000000</f>
        <v>6.690967808E+021</v>
      </c>
      <c r="V101" s="131" t="n">
        <f aca="false">V99*1000000000000*V61*1000000000</f>
        <v>5.210612736E+022</v>
      </c>
      <c r="W101" s="131" t="n">
        <f aca="false">W99*1000000000000*W61*1000000000</f>
        <v>6.690967808E+021</v>
      </c>
      <c r="X101" s="131" t="n">
        <f aca="false">X99*1000000000000*X61*1000000000</f>
        <v>5.210612736E+022</v>
      </c>
      <c r="Y101" s="131" t="n">
        <f aca="false">Y99*1000000000000*Y61*1000000000</f>
        <v>6.690967808E+021</v>
      </c>
      <c r="Z101" s="131" t="n">
        <f aca="false">Z99*1000000000000*Z61*1000000000</f>
        <v>5.210612736E+022</v>
      </c>
      <c r="AA101" s="131" t="n">
        <f aca="false">AA99*1000000000000*AA61*1000000000</f>
        <v>6.690967808E+021</v>
      </c>
      <c r="AB101" s="131" t="n">
        <f aca="false">AB99*1000000000000*AB61*1000000000</f>
        <v>5.210612736E+022</v>
      </c>
      <c r="AC101" s="131" t="n">
        <f aca="false">AC99*1000000000000*AC61*1000000000</f>
        <v>6.690967808E+021</v>
      </c>
      <c r="AD101" s="131" t="n">
        <f aca="false">AD99*1000000000000*AD61*1000000000</f>
        <v>5.210612736E+022</v>
      </c>
      <c r="AE101" s="131" t="n">
        <f aca="false">AE99*1000000000000*AE61*1000000000</f>
        <v>6.690967808E+021</v>
      </c>
      <c r="AF101" s="131" t="n">
        <f aca="false">AF99*1000000000000*AF61*1000000000</f>
        <v>5.210612736E+022</v>
      </c>
      <c r="AG101" s="131" t="n">
        <f aca="false">AG99*1000000000000*AG61*1000000000</f>
        <v>6.690967808E+021</v>
      </c>
      <c r="AH101" s="131" t="n">
        <f aca="false">AH99*1000000000000*AH61*1000000000</f>
        <v>5.210612736E+022</v>
      </c>
    </row>
    <row r="102" customFormat="false" ht="15" hidden="false" customHeight="false" outlineLevel="0" collapsed="false">
      <c r="A102" s="72" t="s">
        <v>988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customFormat="false" ht="15" hidden="false" customHeight="false" outlineLevel="0" collapsed="false">
      <c r="A103" s="44" t="s">
        <v>989</v>
      </c>
      <c r="B103" s="45" t="s">
        <v>929</v>
      </c>
      <c r="C103" s="56" t="n">
        <f aca="false">C36+C43</f>
        <v>1046822.0417505</v>
      </c>
      <c r="D103" s="56" t="n">
        <f aca="false">D36+D43</f>
        <v>5684233.89686067</v>
      </c>
      <c r="E103" s="56" t="n">
        <f aca="false">E36+E43</f>
        <v>1744703.4029175</v>
      </c>
      <c r="F103" s="56" t="n">
        <f aca="false">F36+F43</f>
        <v>9473723.16143445</v>
      </c>
      <c r="G103" s="56" t="n">
        <f aca="false">G36+G43</f>
        <v>654263.776094062</v>
      </c>
      <c r="H103" s="56" t="n">
        <f aca="false">H36+H43</f>
        <v>3552646.18553792</v>
      </c>
      <c r="I103" s="56" t="n">
        <f aca="false">I36+I43</f>
        <v>523411.02087525</v>
      </c>
      <c r="J103" s="56" t="n">
        <f aca="false">J36+J43</f>
        <v>2842116.94843034</v>
      </c>
      <c r="K103" s="56" t="n">
        <f aca="false">K36+K43</f>
        <v>539506.210374133</v>
      </c>
      <c r="L103" s="56" t="n">
        <f aca="false">L36+L43</f>
        <v>3002522.01537919</v>
      </c>
      <c r="M103" s="56" t="n">
        <f aca="false">M36+M43</f>
        <v>1726625.25579483</v>
      </c>
      <c r="N103" s="56" t="n">
        <f aca="false">N36+N43</f>
        <v>9277727.81804586</v>
      </c>
      <c r="O103" s="56" t="n">
        <f aca="false">O36+O43</f>
        <v>1046822.0417505</v>
      </c>
      <c r="P103" s="56" t="n">
        <f aca="false">P36+P43</f>
        <v>5684233.89686067</v>
      </c>
      <c r="Q103" s="56" t="n">
        <f aca="false">Q36+Q43</f>
        <v>1046822.0417505</v>
      </c>
      <c r="R103" s="56" t="n">
        <f aca="false">R36+R43</f>
        <v>5684233.89686067</v>
      </c>
      <c r="S103" s="56" t="n">
        <f aca="false">S36+S43</f>
        <v>1046822.0417505</v>
      </c>
      <c r="T103" s="56" t="n">
        <f aca="false">T36+T43</f>
        <v>5684233.89686067</v>
      </c>
      <c r="U103" s="56" t="n">
        <f aca="false">U36+U43</f>
        <v>1046822.0417505</v>
      </c>
      <c r="V103" s="56" t="n">
        <f aca="false">V36+V43</f>
        <v>5684233.89686067</v>
      </c>
      <c r="W103" s="56" t="n">
        <f aca="false">W36+W43</f>
        <v>1046822.0417505</v>
      </c>
      <c r="X103" s="56" t="n">
        <f aca="false">X36+X43</f>
        <v>5684233.89686067</v>
      </c>
      <c r="Y103" s="56" t="n">
        <f aca="false">Y36+Y43</f>
        <v>1046822.0417505</v>
      </c>
      <c r="Z103" s="56" t="n">
        <f aca="false">Z36+Z43</f>
        <v>5684233.89686067</v>
      </c>
      <c r="AA103" s="56" t="n">
        <f aca="false">AA36+AA43</f>
        <v>1046822.0417505</v>
      </c>
      <c r="AB103" s="56" t="n">
        <f aca="false">AB36+AB43</f>
        <v>5684233.89686067</v>
      </c>
      <c r="AC103" s="56" t="n">
        <f aca="false">AC36+AC43</f>
        <v>1046822.0417505</v>
      </c>
      <c r="AD103" s="56" t="n">
        <f aca="false">AD36+AD43</f>
        <v>5684233.89686067</v>
      </c>
      <c r="AE103" s="56" t="n">
        <f aca="false">AE36+AE43</f>
        <v>1046822.0417505</v>
      </c>
      <c r="AF103" s="56" t="n">
        <f aca="false">AF36+AF43</f>
        <v>5684233.89686067</v>
      </c>
      <c r="AG103" s="56" t="n">
        <f aca="false">AG36+AG43</f>
        <v>1177674.79696931</v>
      </c>
      <c r="AH103" s="56" t="n">
        <f aca="false">AH36+AH43</f>
        <v>6394763.13396825</v>
      </c>
    </row>
    <row r="104" customFormat="false" ht="15" hidden="false" customHeight="false" outlineLevel="0" collapsed="false">
      <c r="A104" s="44" t="s">
        <v>990</v>
      </c>
      <c r="B104" s="45" t="s">
        <v>929</v>
      </c>
      <c r="C104" s="56" t="n">
        <f aca="false">C51+C75+C90</f>
        <v>359736.246330123</v>
      </c>
      <c r="D104" s="56" t="n">
        <f aca="false">D51+D75+D90</f>
        <v>5314338.60907615</v>
      </c>
      <c r="E104" s="56" t="n">
        <f aca="false">E51+E75+E90</f>
        <v>495050.869310237</v>
      </c>
      <c r="F104" s="56" t="n">
        <f aca="false">F51+F75+F90</f>
        <v>7168860.90062229</v>
      </c>
      <c r="G104" s="56" t="n">
        <f aca="false">G51+G75+G90</f>
        <v>283621.770903809</v>
      </c>
      <c r="H104" s="56" t="n">
        <f aca="false">H51+H75+H90</f>
        <v>4271169.82008144</v>
      </c>
      <c r="I104" s="56" t="n">
        <f aca="false">I51+I75+I90</f>
        <v>258250.279095038</v>
      </c>
      <c r="J104" s="56" t="n">
        <f aca="false">J51+J75+J90</f>
        <v>3923446.89041653</v>
      </c>
      <c r="K104" s="56" t="n">
        <f aca="false">K51+K75+K90</f>
        <v>359736.246330123</v>
      </c>
      <c r="L104" s="56" t="n">
        <f aca="false">L51+L75+L90</f>
        <v>5314338.60907615</v>
      </c>
      <c r="M104" s="56" t="n">
        <f aca="false">M51+M75+M90</f>
        <v>359736.246330123</v>
      </c>
      <c r="N104" s="56" t="n">
        <f aca="false">N51+N75+N90</f>
        <v>5314338.60907615</v>
      </c>
      <c r="O104" s="56" t="n">
        <f aca="false">O51+O75+O90</f>
        <v>129517.894897799</v>
      </c>
      <c r="P104" s="56" t="n">
        <f aca="false">P51+P75+P90</f>
        <v>1680413.46236897</v>
      </c>
      <c r="Q104" s="56" t="n">
        <f aca="false">Q51+Q75+Q90</f>
        <v>1017502.96470819</v>
      </c>
      <c r="R104" s="56" t="n">
        <f aca="false">R51+R75+R90</f>
        <v>15696981.8853823</v>
      </c>
      <c r="S104" s="56" t="n">
        <f aca="false">S51+S75+S90</f>
        <v>424618.107791771</v>
      </c>
      <c r="T104" s="56" t="n">
        <f aca="false">T51+T75+T90</f>
        <v>6368246.30194312</v>
      </c>
      <c r="U104" s="56" t="n">
        <f aca="false">U51+U75+U90</f>
        <v>343345.039224023</v>
      </c>
      <c r="V104" s="56" t="n">
        <f aca="false">V51+V75+V90</f>
        <v>5048088.24456238</v>
      </c>
      <c r="W104" s="56" t="n">
        <f aca="false">W51+W75+W90</f>
        <v>518147.69926164</v>
      </c>
      <c r="X104" s="56" t="n">
        <f aca="false">X51+X75+X90</f>
        <v>7914518.83729531</v>
      </c>
      <c r="Y104" s="56" t="n">
        <f aca="false">Y51+Y75+Y90</f>
        <v>359736.246330123</v>
      </c>
      <c r="Z104" s="56" t="n">
        <f aca="false">Z51+Z75+Z90</f>
        <v>5314338.60907615</v>
      </c>
      <c r="AA104" s="56" t="n">
        <f aca="false">AA51+AA75+AA90</f>
        <v>359736.246330123</v>
      </c>
      <c r="AB104" s="56" t="n">
        <f aca="false">AB51+AB75+AB90</f>
        <v>5314338.60907615</v>
      </c>
      <c r="AC104" s="56" t="n">
        <f aca="false">AC51+AC75+AC90</f>
        <v>359736.246330123</v>
      </c>
      <c r="AD104" s="56" t="n">
        <f aca="false">AD51+AD75+AD90</f>
        <v>5314338.60907615</v>
      </c>
      <c r="AE104" s="56" t="n">
        <f aca="false">AE51+AE75+AE90</f>
        <v>359736.246330123</v>
      </c>
      <c r="AF104" s="56" t="n">
        <f aca="false">AF51+AF75+AF90</f>
        <v>5314338.60907615</v>
      </c>
      <c r="AG104" s="56" t="n">
        <f aca="false">AG51+AG75+AG90</f>
        <v>385107.738138895</v>
      </c>
      <c r="AH104" s="56" t="n">
        <f aca="false">AH51+AH75+AH90</f>
        <v>5662061.53874105</v>
      </c>
    </row>
    <row r="105" customFormat="false" ht="15" hidden="false" customHeight="false" outlineLevel="0" collapsed="false">
      <c r="A105" s="44" t="s">
        <v>991</v>
      </c>
      <c r="B105" s="45" t="s">
        <v>929</v>
      </c>
      <c r="C105" s="56" t="n">
        <f aca="false">C97+C100</f>
        <v>440701.530936849</v>
      </c>
      <c r="D105" s="56" t="n">
        <f aca="false">D97+D100</f>
        <v>679088.209405565</v>
      </c>
      <c r="E105" s="56" t="n">
        <f aca="false">E97+E100</f>
        <v>440701.530936849</v>
      </c>
      <c r="F105" s="56" t="n">
        <f aca="false">F97+F100</f>
        <v>679088.209405565</v>
      </c>
      <c r="G105" s="56" t="n">
        <f aca="false">G97+G100</f>
        <v>440701.530936849</v>
      </c>
      <c r="H105" s="56" t="n">
        <f aca="false">H97+H100</f>
        <v>679088.209405565</v>
      </c>
      <c r="I105" s="56" t="n">
        <f aca="false">I97+I100</f>
        <v>440701.530936849</v>
      </c>
      <c r="J105" s="56" t="n">
        <f aca="false">J97+J100</f>
        <v>679088.209405565</v>
      </c>
      <c r="K105" s="56" t="n">
        <f aca="false">K97+K100</f>
        <v>440701.530936849</v>
      </c>
      <c r="L105" s="56" t="n">
        <f aca="false">L97+L100</f>
        <v>679088.209405565</v>
      </c>
      <c r="M105" s="56" t="n">
        <f aca="false">M97+M100</f>
        <v>440701.530936849</v>
      </c>
      <c r="N105" s="56" t="n">
        <f aca="false">N97+N100</f>
        <v>679088.209405565</v>
      </c>
      <c r="O105" s="56" t="n">
        <f aca="false">O97+O100</f>
        <v>440701.530936849</v>
      </c>
      <c r="P105" s="56" t="n">
        <f aca="false">P97+P100</f>
        <v>679088.209405565</v>
      </c>
      <c r="Q105" s="56" t="n">
        <f aca="false">Q97+Q100</f>
        <v>440701.530936849</v>
      </c>
      <c r="R105" s="56" t="n">
        <f aca="false">R97+R100</f>
        <v>679088.209405565</v>
      </c>
      <c r="S105" s="56" t="n">
        <f aca="false">S97+S100</f>
        <v>440701.530936849</v>
      </c>
      <c r="T105" s="56" t="n">
        <f aca="false">T97+T100</f>
        <v>679088.209405565</v>
      </c>
      <c r="U105" s="56" t="n">
        <f aca="false">U97+U100</f>
        <v>440701.530936849</v>
      </c>
      <c r="V105" s="56" t="n">
        <f aca="false">V97+V100</f>
        <v>679088.209405565</v>
      </c>
      <c r="W105" s="56" t="n">
        <f aca="false">W97+W100</f>
        <v>443326.377419699</v>
      </c>
      <c r="X105" s="56" t="n">
        <f aca="false">X97+X100</f>
        <v>701608.377620974</v>
      </c>
      <c r="Y105" s="56" t="n">
        <f aca="false">Y97+Y100</f>
        <v>2580.10551390417</v>
      </c>
      <c r="Z105" s="56" t="n">
        <f aca="false">Z97+Z100</f>
        <v>21906.0712711473</v>
      </c>
      <c r="AA105" s="56" t="n">
        <f aca="false">AA97+AA100</f>
        <v>1316944.38178274</v>
      </c>
      <c r="AB105" s="56" t="n">
        <f aca="false">AB97+AB100</f>
        <v>1993452.4856744</v>
      </c>
      <c r="AC105" s="56" t="n">
        <f aca="false">AC97+AC100</f>
        <v>440701.530936849</v>
      </c>
      <c r="AD105" s="56" t="n">
        <f aca="false">AD97+AD100</f>
        <v>679088.209405565</v>
      </c>
      <c r="AE105" s="56" t="n">
        <f aca="false">AE97+AE100</f>
        <v>440701.530936849</v>
      </c>
      <c r="AF105" s="56" t="n">
        <f aca="false">AF97+AF100</f>
        <v>679088.209405565</v>
      </c>
      <c r="AG105" s="56" t="n">
        <f aca="false">AG97+AG100</f>
        <v>440701.530936849</v>
      </c>
      <c r="AH105" s="56" t="n">
        <f aca="false">AH97+AH100</f>
        <v>679088.209405565</v>
      </c>
    </row>
    <row r="106" customFormat="false" ht="15" hidden="false" customHeight="false" outlineLevel="0" collapsed="false">
      <c r="A106" s="44" t="s">
        <v>992</v>
      </c>
      <c r="B106" s="45" t="s">
        <v>929</v>
      </c>
      <c r="C106" s="51" t="n">
        <f aca="false">C103+C104+C105</f>
        <v>1847259.81901747</v>
      </c>
      <c r="D106" s="51" t="n">
        <f aca="false">D103+D104+D105</f>
        <v>11677660.7153424</v>
      </c>
      <c r="E106" s="51" t="n">
        <f aca="false">E103+E104+E105</f>
        <v>2680455.80316459</v>
      </c>
      <c r="F106" s="51" t="n">
        <f aca="false">F103+F104+F105</f>
        <v>17321672.2714623</v>
      </c>
      <c r="G106" s="51" t="n">
        <f aca="false">G103+G104+G105</f>
        <v>1378587.07793472</v>
      </c>
      <c r="H106" s="51" t="n">
        <f aca="false">H103+H104+H105</f>
        <v>8502904.21502492</v>
      </c>
      <c r="I106" s="51" t="n">
        <f aca="false">I103+I104+I105</f>
        <v>1222362.83090714</v>
      </c>
      <c r="J106" s="51" t="n">
        <f aca="false">J103+J104+J105</f>
        <v>7444652.04825243</v>
      </c>
      <c r="K106" s="51" t="n">
        <f aca="false">K103+K104+K105</f>
        <v>1339943.98764111</v>
      </c>
      <c r="L106" s="51" t="n">
        <f aca="false">L103+L104+L105</f>
        <v>8995948.8338609</v>
      </c>
      <c r="M106" s="51" t="n">
        <f aca="false">M103+M104+M105</f>
        <v>2527063.0330618</v>
      </c>
      <c r="N106" s="51" t="n">
        <f aca="false">N103+N104+N105</f>
        <v>15271154.6365276</v>
      </c>
      <c r="O106" s="51" t="n">
        <f aca="false">O103+O104+O105</f>
        <v>1617041.46758515</v>
      </c>
      <c r="P106" s="51" t="n">
        <f aca="false">P103+P104+P105</f>
        <v>8043735.56863521</v>
      </c>
      <c r="Q106" s="51" t="n">
        <f aca="false">Q103+Q104+Q105</f>
        <v>2505026.53739554</v>
      </c>
      <c r="R106" s="51" t="n">
        <f aca="false">R103+R104+R105</f>
        <v>22060303.9916486</v>
      </c>
      <c r="S106" s="51" t="n">
        <f aca="false">S103+S104+S105</f>
        <v>1912141.68047912</v>
      </c>
      <c r="T106" s="51" t="n">
        <f aca="false">T103+T104+T105</f>
        <v>12731568.4082094</v>
      </c>
      <c r="U106" s="51" t="n">
        <f aca="false">U103+U104+U105</f>
        <v>1830868.61191137</v>
      </c>
      <c r="V106" s="51" t="n">
        <f aca="false">V103+V104+V105</f>
        <v>11411410.3508286</v>
      </c>
      <c r="W106" s="51" t="n">
        <f aca="false">W103+W104+W105</f>
        <v>2008296.11843184</v>
      </c>
      <c r="X106" s="51" t="n">
        <f aca="false">X103+X104+X105</f>
        <v>14300361.111777</v>
      </c>
      <c r="Y106" s="51" t="n">
        <f aca="false">Y103+Y104+Y105</f>
        <v>1409138.39359453</v>
      </c>
      <c r="Z106" s="51" t="n">
        <f aca="false">Z103+Z104+Z105</f>
        <v>11020478.577208</v>
      </c>
      <c r="AA106" s="51" t="n">
        <f aca="false">AA103+AA104+AA105</f>
        <v>2723502.66986336</v>
      </c>
      <c r="AB106" s="51" t="n">
        <f aca="false">AB103+AB104+AB105</f>
        <v>12992024.9916112</v>
      </c>
      <c r="AC106" s="51" t="n">
        <f aca="false">AC103+AC104+AC105</f>
        <v>1847259.81901747</v>
      </c>
      <c r="AD106" s="51" t="n">
        <f aca="false">AD103+AD104+AD105</f>
        <v>11677660.7153424</v>
      </c>
      <c r="AE106" s="51" t="n">
        <f aca="false">AE103+AE104+AE105</f>
        <v>1847259.81901747</v>
      </c>
      <c r="AF106" s="51" t="n">
        <f aca="false">AF103+AF104+AF105</f>
        <v>11677660.7153424</v>
      </c>
      <c r="AG106" s="51" t="n">
        <f aca="false">AG103+AG104+AG105</f>
        <v>2003484.06604506</v>
      </c>
      <c r="AH106" s="51" t="n">
        <f aca="false">AH103+AH104+AH105</f>
        <v>12735912.8821149</v>
      </c>
    </row>
    <row r="107" customFormat="false" ht="15" hidden="false" customHeight="false" outlineLevel="0" collapsed="false">
      <c r="A107" s="44" t="s">
        <v>993</v>
      </c>
      <c r="B107" s="45" t="s">
        <v>259</v>
      </c>
      <c r="C107" s="131" t="n">
        <f aca="false">C35+C42</f>
        <v>1.3354832197632E+025</v>
      </c>
      <c r="D107" s="131" t="n">
        <f aca="false">D35+D42</f>
        <v>7.25166139392E+025</v>
      </c>
      <c r="E107" s="131" t="n">
        <f aca="false">E35+E42</f>
        <v>1.3354832197632E+025</v>
      </c>
      <c r="F107" s="131" t="n">
        <f aca="false">F35+F42</f>
        <v>7.25166139392E+025</v>
      </c>
      <c r="G107" s="131" t="n">
        <f aca="false">G35+G42</f>
        <v>1.3354832197632E+025</v>
      </c>
      <c r="H107" s="131" t="n">
        <f aca="false">H35+H42</f>
        <v>7.25166139392E+025</v>
      </c>
      <c r="I107" s="131" t="n">
        <f aca="false">I35+I42</f>
        <v>1.3354832197632E+025</v>
      </c>
      <c r="J107" s="131" t="n">
        <f aca="false">J35+J42</f>
        <v>7.25166139392E+025</v>
      </c>
      <c r="K107" s="131" t="n">
        <f aca="false">K35+K42</f>
        <v>6.882750478848E+024</v>
      </c>
      <c r="L107" s="131" t="n">
        <f aca="false">L35+L42</f>
        <v>3.83046746112E+025</v>
      </c>
      <c r="M107" s="131" t="n">
        <f aca="false">M35+M42</f>
        <v>2.20274217008026E+025</v>
      </c>
      <c r="N107" s="131" t="n">
        <f aca="false">N35+N42</f>
        <v>1.1836061263872E+026</v>
      </c>
      <c r="O107" s="131" t="n">
        <f aca="false">O35+O42</f>
        <v>1.3354832197632E+025</v>
      </c>
      <c r="P107" s="131" t="n">
        <f aca="false">P35+P42</f>
        <v>7.25166139392E+025</v>
      </c>
      <c r="Q107" s="131" t="n">
        <f aca="false">Q35+Q42</f>
        <v>1.3354832197632E+025</v>
      </c>
      <c r="R107" s="131" t="n">
        <f aca="false">R35+R42</f>
        <v>7.25166139392E+025</v>
      </c>
      <c r="S107" s="131" t="n">
        <f aca="false">S35+S42</f>
        <v>1.3354832197632E+025</v>
      </c>
      <c r="T107" s="131" t="n">
        <f aca="false">T35+T42</f>
        <v>7.25166139392E+025</v>
      </c>
      <c r="U107" s="131" t="n">
        <f aca="false">U35+U42</f>
        <v>1.3354832197632E+025</v>
      </c>
      <c r="V107" s="131" t="n">
        <f aca="false">V35+V42</f>
        <v>7.25166139392E+025</v>
      </c>
      <c r="W107" s="131" t="n">
        <f aca="false">W35+W42</f>
        <v>1.3354832197632E+025</v>
      </c>
      <c r="X107" s="131" t="n">
        <f aca="false">X35+X42</f>
        <v>7.25166139392E+025</v>
      </c>
      <c r="Y107" s="131" t="n">
        <f aca="false">Y35+Y42</f>
        <v>1.3354832197632E+025</v>
      </c>
      <c r="Z107" s="131" t="n">
        <f aca="false">Z35+Z42</f>
        <v>7.25166139392E+025</v>
      </c>
      <c r="AA107" s="131" t="n">
        <f aca="false">AA35+AA42</f>
        <v>1.3354832197632E+025</v>
      </c>
      <c r="AB107" s="131" t="n">
        <f aca="false">AB35+AB42</f>
        <v>7.25166139392E+025</v>
      </c>
      <c r="AC107" s="131" t="n">
        <f aca="false">AC35+AC42</f>
        <v>1.3354832197632E+025</v>
      </c>
      <c r="AD107" s="131" t="n">
        <f aca="false">AD35+AD42</f>
        <v>7.25166139392E+025</v>
      </c>
      <c r="AE107" s="131" t="n">
        <f aca="false">AE35+AE42</f>
        <v>1.3354832197632E+025</v>
      </c>
      <c r="AF107" s="131" t="n">
        <f aca="false">AF35+AF42</f>
        <v>7.25166139392E+025</v>
      </c>
      <c r="AG107" s="131" t="n">
        <f aca="false">AG35+AG42</f>
        <v>1.3354832197632E+025</v>
      </c>
      <c r="AH107" s="131" t="n">
        <f aca="false">AH35+AH42</f>
        <v>7.25166139392E+025</v>
      </c>
    </row>
    <row r="108" customFormat="false" ht="15" hidden="false" customHeight="false" outlineLevel="0" collapsed="false">
      <c r="A108" s="44" t="s">
        <v>994</v>
      </c>
      <c r="B108" s="45" t="s">
        <v>259</v>
      </c>
      <c r="C108" s="131" t="n">
        <f aca="false">C49+C76+C91</f>
        <v>1.95057087123328E+024</v>
      </c>
      <c r="D108" s="131" t="n">
        <f aca="false">D49+D76+D91</f>
        <v>2.666974089216E+025</v>
      </c>
      <c r="E108" s="131" t="n">
        <f aca="false">E49+E76+E91</f>
        <v>1.95057087123328E+024</v>
      </c>
      <c r="F108" s="131" t="n">
        <f aca="false">F49+F76+F91</f>
        <v>2.666974089216E+025</v>
      </c>
      <c r="G108" s="131" t="n">
        <f aca="false">G49+G76+G91</f>
        <v>1.95057087123328E+024</v>
      </c>
      <c r="H108" s="131" t="n">
        <f aca="false">H49+H76+H91</f>
        <v>2.666974089216E+025</v>
      </c>
      <c r="I108" s="131" t="n">
        <f aca="false">I49+I76+I91</f>
        <v>1.95057087123328E+024</v>
      </c>
      <c r="J108" s="131" t="n">
        <f aca="false">J49+J76+J91</f>
        <v>2.666974089216E+025</v>
      </c>
      <c r="K108" s="131" t="n">
        <f aca="false">K49+K76+K91</f>
        <v>1.95057087123328E+024</v>
      </c>
      <c r="L108" s="131" t="n">
        <f aca="false">L49+L76+L91</f>
        <v>2.666974089216E+025</v>
      </c>
      <c r="M108" s="131" t="n">
        <f aca="false">M49+M76+M91</f>
        <v>1.95057087123328E+024</v>
      </c>
      <c r="N108" s="131" t="n">
        <f aca="false">N49+N76+N91</f>
        <v>2.666974089216E+025</v>
      </c>
      <c r="O108" s="131" t="n">
        <f aca="false">O49+O76+O91</f>
        <v>7.29774243426944E+023</v>
      </c>
      <c r="P108" s="131" t="n">
        <f aca="false">P49+P76+P91</f>
        <v>8.544883731456E+024</v>
      </c>
      <c r="Q108" s="131" t="n">
        <f aca="false">Q49+Q76+Q91</f>
        <v>5.43856123639424E+024</v>
      </c>
      <c r="R108" s="131" t="n">
        <f aca="false">R49+R76+R91</f>
        <v>7.84550470656E+025</v>
      </c>
      <c r="S108" s="131" t="n">
        <f aca="false">S49+S76+S91</f>
        <v>1.95057087123328E+024</v>
      </c>
      <c r="T108" s="131" t="n">
        <f aca="false">T49+T76+T91</f>
        <v>2.666974089216E+025</v>
      </c>
      <c r="U108" s="131" t="n">
        <f aca="false">U49+U76+U91</f>
        <v>1.95057087123328E+024</v>
      </c>
      <c r="V108" s="131" t="n">
        <f aca="false">V49+V76+V91</f>
        <v>2.666974089216E+025</v>
      </c>
      <c r="W108" s="131" t="n">
        <f aca="false">W49+W76+W91</f>
        <v>1.95057087123328E+024</v>
      </c>
      <c r="X108" s="131" t="n">
        <f aca="false">X49+X76+X91</f>
        <v>2.666974089216E+025</v>
      </c>
      <c r="Y108" s="131" t="n">
        <f aca="false">Y49+Y76+Y91</f>
        <v>1.95057087123328E+024</v>
      </c>
      <c r="Z108" s="131" t="n">
        <f aca="false">Z49+Z76+Z91</f>
        <v>2.666974089216E+025</v>
      </c>
      <c r="AA108" s="131" t="n">
        <f aca="false">AA49+AA76+AA91</f>
        <v>1.95057087123328E+024</v>
      </c>
      <c r="AB108" s="131" t="n">
        <f aca="false">AB49+AB76+AB91</f>
        <v>2.666974089216E+025</v>
      </c>
      <c r="AC108" s="131" t="n">
        <f aca="false">AC49+AC76+AC91</f>
        <v>1.95057087123328E+024</v>
      </c>
      <c r="AD108" s="131" t="n">
        <f aca="false">AD49+AD76+AD91</f>
        <v>2.666974089216E+025</v>
      </c>
      <c r="AE108" s="131" t="n">
        <f aca="false">AE49+AE76+AE91</f>
        <v>1.95057087123328E+024</v>
      </c>
      <c r="AF108" s="131" t="n">
        <f aca="false">AF49+AF76+AF91</f>
        <v>2.666974089216E+025</v>
      </c>
      <c r="AG108" s="131" t="n">
        <f aca="false">AG49+AG76+AG91</f>
        <v>1.95057087123328E+024</v>
      </c>
      <c r="AH108" s="131" t="n">
        <f aca="false">AH49+AH76+AH91</f>
        <v>2.666974089216E+025</v>
      </c>
    </row>
    <row r="109" customFormat="false" ht="15" hidden="false" customHeight="false" outlineLevel="0" collapsed="false">
      <c r="A109" s="44" t="s">
        <v>995</v>
      </c>
      <c r="B109" s="45" t="s">
        <v>259</v>
      </c>
      <c r="C109" s="131" t="n">
        <f aca="false">C107+C108+C98+C101</f>
        <v>1.63542165838733E+025</v>
      </c>
      <c r="D109" s="131" t="n">
        <f aca="false">D107+D108+D98+D101</f>
        <v>1.0080164477952E+026</v>
      </c>
      <c r="E109" s="131" t="n">
        <f aca="false">E107+E108+E98+E101</f>
        <v>1.63542165838733E+025</v>
      </c>
      <c r="F109" s="131" t="n">
        <f aca="false">F107+F108+F98+F101</f>
        <v>1.0080164477952E+026</v>
      </c>
      <c r="G109" s="131" t="n">
        <f aca="false">G107+G108+G98+G101</f>
        <v>1.63542165838733E+025</v>
      </c>
      <c r="H109" s="131" t="n">
        <f aca="false">H107+H108+H98+H101</f>
        <v>1.0080164477952E+026</v>
      </c>
      <c r="I109" s="131" t="n">
        <f aca="false">I107+I108+I98+I101</f>
        <v>1.63542165838733E+025</v>
      </c>
      <c r="J109" s="131" t="n">
        <f aca="false">J107+J108+J98+J101</f>
        <v>1.0080164477952E+026</v>
      </c>
      <c r="K109" s="131" t="n">
        <f aca="false">K107+K108+K98+K101</f>
        <v>9.88213486508928E+024</v>
      </c>
      <c r="L109" s="131" t="n">
        <f aca="false">L107+L108+L98+L101</f>
        <v>6.658970545152E+025</v>
      </c>
      <c r="M109" s="131" t="n">
        <f aca="false">M107+M108+M98+M101</f>
        <v>2.50268060870438E+025</v>
      </c>
      <c r="N109" s="131" t="n">
        <f aca="false">N107+N108+N98+N101</f>
        <v>1.4664564347904E+026</v>
      </c>
      <c r="O109" s="131" t="n">
        <f aca="false">O107+O108+O98+O101</f>
        <v>1.51334199560669E+025</v>
      </c>
      <c r="P109" s="131" t="n">
        <f aca="false">P107+P108+P98+P101</f>
        <v>8.2676787618816E+025</v>
      </c>
      <c r="Q109" s="131" t="n">
        <f aca="false">Q107+Q108+Q98+Q101</f>
        <v>1.98422069490342E+025</v>
      </c>
      <c r="R109" s="131" t="n">
        <f aca="false">R107+R108+R98+R101</f>
        <v>1.5258695095296E+026</v>
      </c>
      <c r="S109" s="131" t="n">
        <f aca="false">S107+S108+S98+S101</f>
        <v>1.63542165838733E+025</v>
      </c>
      <c r="T109" s="131" t="n">
        <f aca="false">T107+T108+T98+T101</f>
        <v>1.0080164477952E+026</v>
      </c>
      <c r="U109" s="131" t="n">
        <f aca="false">U107+U108+U98+U101</f>
        <v>1.63542165838733E+025</v>
      </c>
      <c r="V109" s="131" t="n">
        <f aca="false">V107+V108+V98+V101</f>
        <v>1.0080164477952E+026</v>
      </c>
      <c r="W109" s="131" t="n">
        <f aca="false">W107+W108+W98+W101</f>
        <v>1.63542165838733E+025</v>
      </c>
      <c r="X109" s="131" t="n">
        <f aca="false">X107+X108+X98+X101</f>
        <v>1.0080164477952E+026</v>
      </c>
      <c r="Y109" s="131" t="n">
        <f aca="false">Y107+Y108+Y98+Y101</f>
        <v>1.53120940366733E+025</v>
      </c>
      <c r="Z109" s="131" t="n">
        <f aca="false">Z107+Z108+Z98+Z101</f>
        <v>9.923846095872E+025</v>
      </c>
      <c r="AA109" s="131" t="n">
        <f aca="false">AA107+AA108+AA98+AA101</f>
        <v>1.84384616782733E+025</v>
      </c>
      <c r="AB109" s="131" t="n">
        <f aca="false">AB107+AB108+AB98+AB101</f>
        <v>1.0392801242112E+026</v>
      </c>
      <c r="AC109" s="131" t="n">
        <f aca="false">AC107+AC108+AC98+AC101</f>
        <v>1.63542165838733E+025</v>
      </c>
      <c r="AD109" s="131" t="n">
        <f aca="false">AD107+AD108+AD98+AD101</f>
        <v>1.0080164477952E+026</v>
      </c>
      <c r="AE109" s="131" t="n">
        <f aca="false">AE107+AE108+AE98+AE101</f>
        <v>1.63542165838733E+025</v>
      </c>
      <c r="AF109" s="131" t="n">
        <f aca="false">AF107+AF108+AF98+AF101</f>
        <v>1.0080164477952E+026</v>
      </c>
      <c r="AG109" s="131" t="n">
        <f aca="false">AG107+AG108+AG98+AG101</f>
        <v>1.63542165838733E+025</v>
      </c>
      <c r="AH109" s="131" t="n">
        <f aca="false">AH107+AH108+AH98+AH101</f>
        <v>1.0080164477952E+026</v>
      </c>
    </row>
    <row r="110" customFormat="false" ht="15" hidden="false" customHeight="false" outlineLevel="0" collapsed="false">
      <c r="A110" s="44" t="s">
        <v>996</v>
      </c>
      <c r="B110" s="45" t="s">
        <v>57</v>
      </c>
      <c r="C110" s="85" t="n">
        <f aca="false">C108/(C107+C108)</f>
        <v>0.127443286691429</v>
      </c>
      <c r="D110" s="85" t="n">
        <f aca="false">D108/(D107+D108)</f>
        <v>0.268885180199482</v>
      </c>
      <c r="E110" s="85" t="n">
        <f aca="false">E108/(E107+E108)</f>
        <v>0.127443286691429</v>
      </c>
      <c r="F110" s="85" t="n">
        <f aca="false">F108/(F107+F108)</f>
        <v>0.268885180199482</v>
      </c>
      <c r="G110" s="85" t="n">
        <f aca="false">G108/(G107+G108)</f>
        <v>0.127443286691429</v>
      </c>
      <c r="H110" s="85" t="n">
        <f aca="false">H108/(H107+H108)</f>
        <v>0.268885180199482</v>
      </c>
      <c r="I110" s="85" t="n">
        <f aca="false">I108/(I107+I108)</f>
        <v>0.127443286691429</v>
      </c>
      <c r="J110" s="85" t="n">
        <f aca="false">J108/(J107+J108)</f>
        <v>0.268885180199482</v>
      </c>
      <c r="K110" s="85" t="n">
        <f aca="false">K108/(K107+K108)</f>
        <v>0.220819643475931</v>
      </c>
      <c r="L110" s="85" t="n">
        <f aca="false">L108/(L107+L108)</f>
        <v>0.410465268299041</v>
      </c>
      <c r="M110" s="85" t="n">
        <f aca="false">M108/(M107+M108)</f>
        <v>0.0813483808276811</v>
      </c>
      <c r="N110" s="85" t="n">
        <f aca="false">N108/(N107+N108)</f>
        <v>0.18389075281735</v>
      </c>
      <c r="O110" s="85" t="n">
        <f aca="false">O108/(O107+O108)</f>
        <v>0.0518136056183673</v>
      </c>
      <c r="P110" s="85" t="n">
        <f aca="false">P108/(P107+P108)</f>
        <v>0.105412359467782</v>
      </c>
      <c r="Q110" s="85" t="n">
        <f aca="false">Q108/(Q107+Q108)</f>
        <v>0.289386866479765</v>
      </c>
      <c r="R110" s="85" t="n">
        <f aca="false">R108/(R107+R108)</f>
        <v>0.519667376933116</v>
      </c>
      <c r="S110" s="85" t="n">
        <f aca="false">S108/(S107+S108)</f>
        <v>0.127443286691429</v>
      </c>
      <c r="T110" s="85" t="n">
        <f aca="false">T108/(T107+T108)</f>
        <v>0.268885180199482</v>
      </c>
      <c r="U110" s="85" t="n">
        <f aca="false">U108/(U107+U108)</f>
        <v>0.127443286691429</v>
      </c>
      <c r="V110" s="85" t="n">
        <f aca="false">V108/(V107+V108)</f>
        <v>0.268885180199482</v>
      </c>
      <c r="W110" s="85" t="n">
        <f aca="false">W108/(W107+W108)</f>
        <v>0.127443286691429</v>
      </c>
      <c r="X110" s="85" t="n">
        <f aca="false">X108/(X107+X108)</f>
        <v>0.268885180199482</v>
      </c>
      <c r="Y110" s="85" t="n">
        <f aca="false">Y108/(Y107+Y108)</f>
        <v>0.127443286691429</v>
      </c>
      <c r="Z110" s="85" t="n">
        <f aca="false">Z108/(Z107+Z108)</f>
        <v>0.268885180199482</v>
      </c>
      <c r="AA110" s="85" t="n">
        <f aca="false">AA108/(AA107+AA108)</f>
        <v>0.127443286691429</v>
      </c>
      <c r="AB110" s="85" t="n">
        <f aca="false">AB108/(AB107+AB108)</f>
        <v>0.268885180199482</v>
      </c>
      <c r="AC110" s="85" t="n">
        <f aca="false">AC108/(AC107+AC108)</f>
        <v>0.127443286691429</v>
      </c>
      <c r="AD110" s="85" t="n">
        <f aca="false">AD108/(AD107+AD108)</f>
        <v>0.268885180199482</v>
      </c>
      <c r="AE110" s="85" t="n">
        <f aca="false">AE108/(AE107+AE108)</f>
        <v>0.127443286691429</v>
      </c>
      <c r="AF110" s="85" t="n">
        <f aca="false">AF108/(AF107+AF108)</f>
        <v>0.268885180199482</v>
      </c>
      <c r="AG110" s="85" t="n">
        <f aca="false">AG108/(AG107+AG108)</f>
        <v>0.127443286691429</v>
      </c>
      <c r="AH110" s="85" t="n">
        <f aca="false">AH108/(AH107+AH108)</f>
        <v>0.268885180199482</v>
      </c>
    </row>
    <row r="111" customFormat="false" ht="15" hidden="false" customHeight="false" outlineLevel="0" collapsed="false">
      <c r="A111" s="44" t="s">
        <v>997</v>
      </c>
      <c r="B111" s="45" t="s">
        <v>57</v>
      </c>
      <c r="C111" s="85" t="n">
        <f aca="false">C104/(C103+C104)</f>
        <v>0.255756373112</v>
      </c>
      <c r="D111" s="85" t="n">
        <f aca="false">D104/(D103+D104)</f>
        <v>0.483184395630212</v>
      </c>
      <c r="E111" s="85" t="n">
        <f aca="false">E104/(E103+E104)</f>
        <v>0.221029099240357</v>
      </c>
      <c r="F111" s="85" t="n">
        <f aca="false">F104/(F103+F104)</f>
        <v>0.430754074841449</v>
      </c>
      <c r="G111" s="85" t="n">
        <f aca="false">G104/(G103+G104)</f>
        <v>0.302405524652416</v>
      </c>
      <c r="H111" s="85" t="n">
        <f aca="false">H104/(H103+H104)</f>
        <v>0.545919001292173</v>
      </c>
      <c r="I111" s="85" t="n">
        <f aca="false">I104/(I103+I104)</f>
        <v>0.330386420697628</v>
      </c>
      <c r="J111" s="85" t="n">
        <f aca="false">J104/(J103+J104)</f>
        <v>0.579914251623594</v>
      </c>
      <c r="K111" s="85" t="n">
        <f aca="false">K104/(K103+K104)</f>
        <v>0.400043663027839</v>
      </c>
      <c r="L111" s="85" t="n">
        <f aca="false">L104/(L103+L104)</f>
        <v>0.638983728241109</v>
      </c>
      <c r="M111" s="85" t="n">
        <f aca="false">M104/(M103+M104)</f>
        <v>0.172422778106159</v>
      </c>
      <c r="N111" s="85" t="n">
        <f aca="false">N104/(N103+N104)</f>
        <v>0.36419369632244</v>
      </c>
      <c r="O111" s="85" t="n">
        <f aca="false">O104/(O103+O104)</f>
        <v>0.110102437962643</v>
      </c>
      <c r="P111" s="85" t="n">
        <f aca="false">P104/(P103+P104)</f>
        <v>0.228172970191576</v>
      </c>
      <c r="Q111" s="85" t="n">
        <f aca="false">Q104/(Q103+Q104)</f>
        <v>0.492898628619385</v>
      </c>
      <c r="R111" s="85" t="n">
        <f aca="false">R104/(R103+R104)</f>
        <v>0.734148237651603</v>
      </c>
      <c r="S111" s="85" t="n">
        <f aca="false">S104/(S103+S104)</f>
        <v>0.288573142389692</v>
      </c>
      <c r="T111" s="85" t="n">
        <f aca="false">T104/(T103+T104)</f>
        <v>0.528376416878508</v>
      </c>
      <c r="U111" s="85" t="n">
        <f aca="false">U104/(U103+U104)</f>
        <v>0.246981131925045</v>
      </c>
      <c r="V111" s="85" t="n">
        <f aca="false">V104/(V103+V104)</f>
        <v>0.470363093656918</v>
      </c>
      <c r="W111" s="85" t="n">
        <f aca="false">W104/(W103+W104)</f>
        <v>0.331091193447951</v>
      </c>
      <c r="X111" s="85" t="n">
        <f aca="false">X104/(X103+X104)</f>
        <v>0.582003290450044</v>
      </c>
      <c r="Y111" s="85" t="n">
        <f aca="false">Y104/(Y103+Y104)</f>
        <v>0.255756373112</v>
      </c>
      <c r="Z111" s="85" t="n">
        <f aca="false">Z104/(Z103+Z104)</f>
        <v>0.483184395630212</v>
      </c>
      <c r="AA111" s="85" t="n">
        <f aca="false">AA104/(AA103+AA104)</f>
        <v>0.255756373112</v>
      </c>
      <c r="AB111" s="85" t="n">
        <f aca="false">AB104/(AB103+AB104)</f>
        <v>0.483184395630212</v>
      </c>
      <c r="AC111" s="85" t="n">
        <f aca="false">AC104/(AC103+AC104)</f>
        <v>0.255756373112</v>
      </c>
      <c r="AD111" s="85" t="n">
        <f aca="false">AD104/(AD103+AD104)</f>
        <v>0.483184395630212</v>
      </c>
      <c r="AE111" s="85" t="n">
        <f aca="false">AE104/(AE103+AE104)</f>
        <v>0.255756373112</v>
      </c>
      <c r="AF111" s="85" t="n">
        <f aca="false">AF104/(AF103+AF104)</f>
        <v>0.483184395630212</v>
      </c>
      <c r="AG111" s="85" t="n">
        <f aca="false">AG104/(AG103+AG104)</f>
        <v>0.246424393341605</v>
      </c>
      <c r="AH111" s="85" t="n">
        <f aca="false">AH104/(AH103+AH104)</f>
        <v>0.469614653313916</v>
      </c>
    </row>
    <row r="112" customFormat="false" ht="15" hidden="false" customHeight="false" outlineLevel="0" collapsed="false">
      <c r="A112" s="44" t="s">
        <v>998</v>
      </c>
      <c r="B112" s="45" t="s">
        <v>929</v>
      </c>
      <c r="C112" s="56" t="n">
        <f aca="false">C65+C74+C86+C87+C97+C100</f>
        <v>597465.842796802</v>
      </c>
      <c r="D112" s="56" t="n">
        <f aca="false">D65+D74+D86+D87+D97+D100</f>
        <v>3211643.38116249</v>
      </c>
      <c r="E112" s="56" t="n">
        <f aca="false">E65+E74+E86+E87+E97+E100</f>
        <v>597465.842796802</v>
      </c>
      <c r="F112" s="56" t="n">
        <f aca="false">F65+F74+F86+F87+F97+F100</f>
        <v>3211643.38116249</v>
      </c>
      <c r="G112" s="56" t="n">
        <f aca="false">G65+G74+G86+G87+G97+G100</f>
        <v>597465.842796802</v>
      </c>
      <c r="H112" s="56" t="n">
        <f aca="false">H65+H74+H86+H87+H97+H100</f>
        <v>3211643.38116249</v>
      </c>
      <c r="I112" s="56" t="n">
        <f aca="false">I65+I74+I86+I87+I97+I100</f>
        <v>597465.842796802</v>
      </c>
      <c r="J112" s="56" t="n">
        <f aca="false">J65+J74+J86+J87+J97+J100</f>
        <v>3211643.38116249</v>
      </c>
      <c r="K112" s="56" t="n">
        <f aca="false">K65+K74+K86+K87+K97+K100</f>
        <v>597465.842796802</v>
      </c>
      <c r="L112" s="56" t="n">
        <f aca="false">L65+L74+L86+L87+L97+L100</f>
        <v>3211643.38116249</v>
      </c>
      <c r="M112" s="56" t="n">
        <f aca="false">M65+M74+M86+M87+M97+M100</f>
        <v>597465.842796802</v>
      </c>
      <c r="N112" s="56" t="n">
        <f aca="false">N65+N74+N86+N87+N97+N100</f>
        <v>3211643.38116249</v>
      </c>
      <c r="O112" s="56" t="n">
        <f aca="false">O65+O74+O86+O87+O97+O100</f>
        <v>496963.486645861</v>
      </c>
      <c r="P112" s="56" t="n">
        <f aca="false">P65+P74+P86+P87+P97+P100</f>
        <v>1477159.04512198</v>
      </c>
      <c r="Q112" s="56" t="n">
        <f aca="false">Q65+Q74+Q86+Q87+Q97+Q100</f>
        <v>884615.431799492</v>
      </c>
      <c r="R112" s="56" t="n">
        <f aca="false">R65+R74+R86+R87+R97+R100</f>
        <v>8167312.91270679</v>
      </c>
      <c r="S112" s="56" t="n">
        <f aca="false">S65+S74+S86+S87+S97+S100</f>
        <v>662347.704258449</v>
      </c>
      <c r="T112" s="56" t="n">
        <f aca="false">T65+T74+T86+T87+T97+T100</f>
        <v>4265551.07402946</v>
      </c>
      <c r="U112" s="56" t="n">
        <f aca="false">U65+U74+U86+U87+U97+U100</f>
        <v>581074.635690702</v>
      </c>
      <c r="V112" s="56" t="n">
        <f aca="false">V65+V74+V86+V87+V97+V100</f>
        <v>2945393.01664873</v>
      </c>
      <c r="W112" s="56" t="n">
        <f aca="false">W65+W74+W86+W87+W97+W100</f>
        <v>758502.142211168</v>
      </c>
      <c r="X112" s="56" t="n">
        <f aca="false">X65+X74+X86+X87+X97+X100</f>
        <v>5834343.77759706</v>
      </c>
      <c r="Y112" s="56" t="n">
        <f aca="false">Y65+Y74+Y86+Y87+Y97+Y100</f>
        <v>159344.417373857</v>
      </c>
      <c r="Z112" s="56" t="n">
        <f aca="false">Z65+Z74+Z86+Z87+Z97+Z100</f>
        <v>2554461.24302807</v>
      </c>
      <c r="AA112" s="56" t="n">
        <f aca="false">AA65+AA74+AA86+AA87+AA97+AA100</f>
        <v>1473708.69364269</v>
      </c>
      <c r="AB112" s="56" t="n">
        <f aca="false">AB65+AB74+AB86+AB87+AB97+AB100</f>
        <v>4526007.65743132</v>
      </c>
      <c r="AC112" s="56" t="n">
        <f aca="false">AC65+AC74+AC86+AC87+AC97+AC100</f>
        <v>597465.842796802</v>
      </c>
      <c r="AD112" s="56" t="n">
        <f aca="false">AD65+AD74+AD86+AD87+AD97+AD100</f>
        <v>3211643.38116249</v>
      </c>
      <c r="AE112" s="56" t="n">
        <f aca="false">AE65+AE74+AE86+AE87+AE97+AE100</f>
        <v>597465.842796802</v>
      </c>
      <c r="AF112" s="56" t="n">
        <f aca="false">AF65+AF74+AF86+AF87+AF97+AF100</f>
        <v>3211643.38116249</v>
      </c>
      <c r="AG112" s="56" t="n">
        <f aca="false">AG65+AG74+AG86+AG87+AG97+AG100</f>
        <v>597465.842796802</v>
      </c>
      <c r="AH112" s="56" t="n">
        <f aca="false">AH65+AH74+AH86+AH87+AH97+AH100</f>
        <v>3211643.38116249</v>
      </c>
    </row>
    <row r="113" customFormat="false" ht="15" hidden="false" customHeight="false" outlineLevel="0" collapsed="false">
      <c r="A113" s="44" t="s">
        <v>999</v>
      </c>
      <c r="B113" s="45" t="s">
        <v>929</v>
      </c>
      <c r="C113" s="56" t="n">
        <f aca="false">C36+C43+C51+C72+C89</f>
        <v>1249793.97622067</v>
      </c>
      <c r="D113" s="56" t="n">
        <f aca="false">D36+D43+D51+D72+D89</f>
        <v>8466017.33417989</v>
      </c>
      <c r="E113" s="56" t="n">
        <f aca="false">E36+E43+E51+E72+E89</f>
        <v>2082989.96036778</v>
      </c>
      <c r="F113" s="56" t="n">
        <f aca="false">F36+F43+F51+F72+F89</f>
        <v>14110028.8902998</v>
      </c>
      <c r="G113" s="56" t="n">
        <f aca="false">G36+G43+G51+G72+G89</f>
        <v>781121.235137919</v>
      </c>
      <c r="H113" s="56" t="n">
        <f aca="false">H36+H43+H51+H72+H89</f>
        <v>5291260.83386243</v>
      </c>
      <c r="I113" s="56" t="n">
        <f aca="false">I36+I43+I51+I72+I89</f>
        <v>624896.988110335</v>
      </c>
      <c r="J113" s="56" t="n">
        <f aca="false">J36+J43+J51+J72+J89</f>
        <v>4233008.66708995</v>
      </c>
      <c r="K113" s="56" t="n">
        <f aca="false">K36+K43+K51+K72+K89</f>
        <v>742478.144844303</v>
      </c>
      <c r="L113" s="56" t="n">
        <f aca="false">L36+L43+L51+L72+L89</f>
        <v>5784305.45269841</v>
      </c>
      <c r="M113" s="56" t="n">
        <f aca="false">M36+M43+M51+M72+M89</f>
        <v>1929597.190265</v>
      </c>
      <c r="N113" s="56" t="n">
        <f aca="false">N36+N43+N51+N72+N89</f>
        <v>12059511.2553651</v>
      </c>
      <c r="O113" s="56" t="n">
        <f aca="false">O36+O43+O51+O72+O89</f>
        <v>1120077.98093929</v>
      </c>
      <c r="P113" s="56" t="n">
        <f aca="false">P36+P43+P51+P72+P89</f>
        <v>6566576.52351323</v>
      </c>
      <c r="Q113" s="56" t="n">
        <f aca="false">Q36+Q43+Q51+Q72+Q89</f>
        <v>1620411.10559605</v>
      </c>
      <c r="R113" s="56" t="n">
        <f aca="false">R36+R43+R51+R72+R89</f>
        <v>13892991.0789418</v>
      </c>
      <c r="S113" s="56" t="n">
        <f aca="false">S36+S43+S51+S72+S89</f>
        <v>1249793.97622067</v>
      </c>
      <c r="T113" s="56" t="n">
        <f aca="false">T36+T43+T51+T72+T89</f>
        <v>8466017.33417989</v>
      </c>
      <c r="U113" s="56" t="n">
        <f aca="false">U36+U43+U51+U72+U89</f>
        <v>1249793.97622067</v>
      </c>
      <c r="V113" s="56" t="n">
        <f aca="false">V36+V43+V51+V72+V89</f>
        <v>8466017.33417989</v>
      </c>
      <c r="W113" s="56" t="n">
        <f aca="false">W36+W43+W51+W72+W89</f>
        <v>1249793.97622067</v>
      </c>
      <c r="X113" s="56" t="n">
        <f aca="false">X36+X43+X51+X72+X89</f>
        <v>8466017.33417989</v>
      </c>
      <c r="Y113" s="56" t="n">
        <f aca="false">Y36+Y43+Y51+Y72+Y89</f>
        <v>1249793.97622067</v>
      </c>
      <c r="Z113" s="56" t="n">
        <f aca="false">Z36+Z43+Z51+Z72+Z89</f>
        <v>8466017.33417989</v>
      </c>
      <c r="AA113" s="56" t="n">
        <f aca="false">AA36+AA43+AA51+AA72+AA89</f>
        <v>1249793.97622067</v>
      </c>
      <c r="AB113" s="56" t="n">
        <f aca="false">AB36+AB43+AB51+AB72+AB89</f>
        <v>8466017.33417989</v>
      </c>
      <c r="AC113" s="56" t="n">
        <f aca="false">AC36+AC43+AC51+AC72+AC89</f>
        <v>1249793.97622067</v>
      </c>
      <c r="AD113" s="56" t="n">
        <f aca="false">AD36+AD43+AD51+AD72+AD89</f>
        <v>8466017.33417989</v>
      </c>
      <c r="AE113" s="56" t="n">
        <f aca="false">AE36+AE43+AE51+AE72+AE89</f>
        <v>1249793.97622067</v>
      </c>
      <c r="AF113" s="56" t="n">
        <f aca="false">AF36+AF43+AF51+AF72+AF89</f>
        <v>8466017.33417989</v>
      </c>
      <c r="AG113" s="56" t="n">
        <f aca="false">AG36+AG43+AG51+AG72+AG89</f>
        <v>1406018.22324825</v>
      </c>
      <c r="AH113" s="56" t="n">
        <f aca="false">AH36+AH43+AH51+AH72+AH89</f>
        <v>9524269.50095238</v>
      </c>
    </row>
    <row r="114" customFormat="false" ht="15" hidden="false" customHeight="false" outlineLevel="0" collapsed="false">
      <c r="A114" s="44" t="s">
        <v>1000</v>
      </c>
      <c r="B114" s="45" t="s">
        <v>57</v>
      </c>
      <c r="C114" s="87" t="n">
        <f aca="false">C112/C106</f>
        <v>0.323433572606253</v>
      </c>
      <c r="D114" s="87" t="n">
        <f aca="false">D112/D106</f>
        <v>0.275024549817838</v>
      </c>
      <c r="E114" s="87" t="n">
        <f aca="false">E112/E106</f>
        <v>0.222897106563527</v>
      </c>
      <c r="F114" s="87" t="n">
        <f aca="false">F112/F106</f>
        <v>0.185411854631017</v>
      </c>
      <c r="G114" s="87" t="n">
        <f aca="false">G112/G106</f>
        <v>0.433389992086589</v>
      </c>
      <c r="H114" s="87" t="n">
        <f aca="false">H112/H106</f>
        <v>0.377711344258989</v>
      </c>
      <c r="I114" s="87" t="n">
        <f aca="false">I112/I106</f>
        <v>0.488779458676285</v>
      </c>
      <c r="J114" s="87" t="n">
        <f aca="false">J112/J106</f>
        <v>0.431402751981725</v>
      </c>
      <c r="K114" s="87" t="n">
        <f aca="false">K112/K106</f>
        <v>0.44588867020375</v>
      </c>
      <c r="L114" s="87" t="n">
        <f aca="false">L112/L106</f>
        <v>0.357009965316144</v>
      </c>
      <c r="M114" s="87" t="n">
        <f aca="false">M112/M106</f>
        <v>0.236426964812551</v>
      </c>
      <c r="N114" s="87" t="n">
        <f aca="false">N112/N106</f>
        <v>0.210307829211581</v>
      </c>
      <c r="O114" s="87" t="n">
        <f aca="false">O112/O106</f>
        <v>0.307328845059251</v>
      </c>
      <c r="P114" s="87" t="n">
        <f aca="false">P112/P106</f>
        <v>0.18364092560201</v>
      </c>
      <c r="Q114" s="87" t="n">
        <f aca="false">Q112/Q106</f>
        <v>0.353136151890519</v>
      </c>
      <c r="R114" s="87" t="n">
        <f aca="false">R112/R106</f>
        <v>0.370226671209912</v>
      </c>
      <c r="S114" s="87" t="n">
        <f aca="false">S112/S106</f>
        <v>0.346390495547635</v>
      </c>
      <c r="T114" s="87" t="n">
        <f aca="false">T112/T106</f>
        <v>0.335037360462126</v>
      </c>
      <c r="U114" s="87" t="n">
        <f aca="false">U112/U106</f>
        <v>0.317376480163739</v>
      </c>
      <c r="V114" s="87" t="n">
        <f aca="false">V112/V106</f>
        <v>0.258109464658315</v>
      </c>
      <c r="W114" s="87" t="n">
        <f aca="false">W112/W106</f>
        <v>0.377684413792244</v>
      </c>
      <c r="X114" s="87" t="n">
        <f aca="false">X112/X106</f>
        <v>0.407985765673584</v>
      </c>
      <c r="Y114" s="87" t="n">
        <f aca="false">Y112/Y106</f>
        <v>0.113079324286517</v>
      </c>
      <c r="Z114" s="87" t="n">
        <f aca="false">Z112/Z106</f>
        <v>0.231792224369556</v>
      </c>
      <c r="AA114" s="87" t="n">
        <f aca="false">AA112/AA106</f>
        <v>0.541107857153901</v>
      </c>
      <c r="AB114" s="87" t="n">
        <f aca="false">AB112/AB106</f>
        <v>0.34836814587054</v>
      </c>
      <c r="AC114" s="87" t="n">
        <f aca="false">AC112/AC106</f>
        <v>0.323433572606253</v>
      </c>
      <c r="AD114" s="87" t="n">
        <f aca="false">AD112/AD106</f>
        <v>0.275024549817838</v>
      </c>
      <c r="AE114" s="87" t="n">
        <f aca="false">AE112/AE106</f>
        <v>0.323433572606253</v>
      </c>
      <c r="AF114" s="87" t="n">
        <f aca="false">AF112/AF106</f>
        <v>0.275024549817838</v>
      </c>
      <c r="AG114" s="87" t="n">
        <f aca="false">AG112/AG106</f>
        <v>0.298213423766439</v>
      </c>
      <c r="AH114" s="87" t="n">
        <f aca="false">AH112/AH106</f>
        <v>0.252172216541511</v>
      </c>
    </row>
    <row r="115" customFormat="false" ht="15" hidden="false" customHeight="false" outlineLevel="0" collapsed="false">
      <c r="A115" s="44" t="s">
        <v>1001</v>
      </c>
      <c r="B115" s="45" t="s">
        <v>785</v>
      </c>
      <c r="C115" s="97" t="n">
        <f aca="false">C106*C19/1000000</f>
        <v>8.71297558213558</v>
      </c>
      <c r="D115" s="97" t="n">
        <f aca="false">D106*D19/1000000</f>
        <v>55.0800551290938</v>
      </c>
      <c r="E115" s="97" t="n">
        <f aca="false">E106*E19/1000000</f>
        <v>12.6429134231852</v>
      </c>
      <c r="F115" s="97" t="n">
        <f aca="false">F106*F19/1000000</f>
        <v>81.7011803046091</v>
      </c>
      <c r="G115" s="97" t="n">
        <f aca="false">G106*G19/1000000</f>
        <v>6.50238554654518</v>
      </c>
      <c r="H115" s="97" t="n">
        <f aca="false">H106*H19/1000000</f>
        <v>40.1056722178664</v>
      </c>
      <c r="I115" s="97" t="n">
        <f aca="false">I106*I19/1000000</f>
        <v>5.76552220134837</v>
      </c>
      <c r="J115" s="97" t="n">
        <f aca="false">J106*J19/1000000</f>
        <v>35.1142112474572</v>
      </c>
      <c r="K115" s="97" t="n">
        <f aca="false">K106*K19/1000000</f>
        <v>6.32011757390794</v>
      </c>
      <c r="L115" s="97" t="n">
        <f aca="false">L106*L19/1000000</f>
        <v>42.4312171577797</v>
      </c>
      <c r="M115" s="97" t="n">
        <f aca="false">M106*M19/1000000</f>
        <v>11.9194053131606</v>
      </c>
      <c r="N115" s="97" t="n">
        <f aca="false">N106*N19/1000000</f>
        <v>72.0294980106547</v>
      </c>
      <c r="O115" s="97" t="n">
        <f aca="false">O106*O19/1000000</f>
        <v>7.62710403665031</v>
      </c>
      <c r="P115" s="97" t="n">
        <f aca="false">P106*P19/1000000</f>
        <v>37.9399101724364</v>
      </c>
      <c r="Q115" s="97" t="n">
        <f aca="false">Q106*Q19/1000000</f>
        <v>11.8154657120935</v>
      </c>
      <c r="R115" s="97" t="n">
        <f aca="false">R106*R19/1000000</f>
        <v>104.0518978624</v>
      </c>
      <c r="S115" s="97" t="n">
        <f aca="false">S106*S19/1000000</f>
        <v>9.01900404051428</v>
      </c>
      <c r="T115" s="97" t="n">
        <f aca="false">T106*T19/1000000</f>
        <v>60.0510245072178</v>
      </c>
      <c r="U115" s="97" t="n">
        <f aca="false">U106*U19/1000000</f>
        <v>8.63566312949255</v>
      </c>
      <c r="V115" s="97" t="n">
        <f aca="false">V106*V19/1000000</f>
        <v>53.8242312861993</v>
      </c>
      <c r="W115" s="97" t="n">
        <f aca="false">W106*W19/1000000</f>
        <v>9.47253594835474</v>
      </c>
      <c r="X115" s="97" t="n">
        <f aca="false">X106*X19/1000000</f>
        <v>67.4505534629698</v>
      </c>
      <c r="Y115" s="97" t="n">
        <f aca="false">Y106*Y19/1000000</f>
        <v>6.6464870230162</v>
      </c>
      <c r="Z115" s="97" t="n">
        <f aca="false">Z106*Z19/1000000</f>
        <v>51.9803222904147</v>
      </c>
      <c r="AA115" s="97" t="n">
        <f aca="false">AA106*AA19/1000000</f>
        <v>12.8459527003744</v>
      </c>
      <c r="AB115" s="97" t="n">
        <f aca="false">AB106*AB19/1000000</f>
        <v>61.2795208064519</v>
      </c>
      <c r="AC115" s="97" t="n">
        <f aca="false">AC106*AC19/1000000</f>
        <v>8.71297558213558</v>
      </c>
      <c r="AD115" s="97" t="n">
        <f aca="false">AD106*AD19/1000000</f>
        <v>55.0800551290938</v>
      </c>
      <c r="AE115" s="97" t="n">
        <f aca="false">AE106*AE19/1000000</f>
        <v>8.71297558213558</v>
      </c>
      <c r="AF115" s="97" t="n">
        <f aca="false">AF106*AF19/1000000</f>
        <v>55.0800551290938</v>
      </c>
      <c r="AG115" s="97" t="n">
        <f aca="false">AG106*AG19/1000000</f>
        <v>9.44983892733239</v>
      </c>
      <c r="AH115" s="97" t="n">
        <f aca="false">AH106*AH19/1000000</f>
        <v>60.0715160995029</v>
      </c>
    </row>
    <row r="116" customFormat="false" ht="15" hidden="false" customHeight="false" outlineLevel="0" collapsed="false">
      <c r="A116" s="44" t="s">
        <v>1002</v>
      </c>
      <c r="B116" s="45" t="s">
        <v>785</v>
      </c>
      <c r="C116" s="55" t="n">
        <f aca="false">C106*C20/1000000</f>
        <v>6.49768754551842</v>
      </c>
      <c r="D116" s="55" t="n">
        <f aca="false">D106*D20/1000000</f>
        <v>41.0758626424452</v>
      </c>
      <c r="E116" s="55" t="n">
        <f aca="false">E106*E20/1000000</f>
        <v>9.42843237817992</v>
      </c>
      <c r="F116" s="55" t="n">
        <f aca="false">F106*F20/1000000</f>
        <v>60.9285239829968</v>
      </c>
      <c r="G116" s="55" t="n">
        <f aca="false">G106*G20/1000000</f>
        <v>4.84914357714633</v>
      </c>
      <c r="H116" s="55" t="n">
        <f aca="false">H106*H20/1000000</f>
        <v>29.908740638385</v>
      </c>
      <c r="I116" s="55" t="n">
        <f aca="false">I106*I20/1000000</f>
        <v>4.2996289210223</v>
      </c>
      <c r="J116" s="55" t="n">
        <f aca="false">J106*J20/1000000</f>
        <v>26.1863666370315</v>
      </c>
      <c r="K116" s="55" t="n">
        <f aca="false">K106*K20/1000000</f>
        <v>4.71321752931256</v>
      </c>
      <c r="L116" s="55" t="n">
        <f aca="false">L106*L20/1000000</f>
        <v>31.6430120420143</v>
      </c>
      <c r="M116" s="55" t="n">
        <f aca="false">M106*M20/1000000</f>
        <v>8.88887736723427</v>
      </c>
      <c r="N116" s="55" t="n">
        <f aca="false">N106*N20/1000000</f>
        <v>53.7158824470228</v>
      </c>
      <c r="O116" s="55" t="n">
        <f aca="false">O106*O20/1000000</f>
        <v>5.68790058460935</v>
      </c>
      <c r="P116" s="55" t="n">
        <f aca="false">P106*P20/1000000</f>
        <v>28.2936270716719</v>
      </c>
      <c r="Q116" s="55" t="n">
        <f aca="false">Q106*Q20/1000000</f>
        <v>8.81136457668719</v>
      </c>
      <c r="R116" s="55" t="n">
        <f aca="false">R106*R20/1000000</f>
        <v>77.5965357017975</v>
      </c>
      <c r="S116" s="55" t="n">
        <f aca="false">S106*S20/1000000</f>
        <v>6.7259077768087</v>
      </c>
      <c r="T116" s="55" t="n">
        <f aca="false">T106*T20/1000000</f>
        <v>44.7829550717658</v>
      </c>
      <c r="U116" s="55" t="n">
        <f aca="false">U106*U20/1000000</f>
        <v>6.44003190813983</v>
      </c>
      <c r="V116" s="55" t="n">
        <f aca="false">V106*V20/1000000</f>
        <v>40.1393340287221</v>
      </c>
      <c r="W116" s="55" t="n">
        <f aca="false">W106*W20/1000000</f>
        <v>7.06412846861372</v>
      </c>
      <c r="X116" s="55" t="n">
        <f aca="false">X106*X20/1000000</f>
        <v>50.3011419053284</v>
      </c>
      <c r="Y116" s="55" t="n">
        <f aca="false">Y106*Y20/1000000</f>
        <v>4.95660702176752</v>
      </c>
      <c r="Z116" s="55" t="n">
        <f aca="false">Z106*Z20/1000000</f>
        <v>38.7642418568189</v>
      </c>
      <c r="AA116" s="55" t="n">
        <f aca="false">AA106*AA20/1000000</f>
        <v>9.57984859302023</v>
      </c>
      <c r="AB116" s="55" t="n">
        <f aca="false">AB106*AB20/1000000</f>
        <v>45.699104213698</v>
      </c>
      <c r="AC116" s="55" t="n">
        <f aca="false">AC106*AC20/1000000</f>
        <v>6.49768754551842</v>
      </c>
      <c r="AD116" s="55" t="n">
        <f aca="false">AD106*AD20/1000000</f>
        <v>41.0758626424452</v>
      </c>
      <c r="AE116" s="55" t="n">
        <f aca="false">AE106*AE20/1000000</f>
        <v>6.49768754551842</v>
      </c>
      <c r="AF116" s="55" t="n">
        <f aca="false">AF106*AF20/1000000</f>
        <v>41.0758626424452</v>
      </c>
      <c r="AG116" s="55" t="n">
        <f aca="false">AG106*AG20/1000000</f>
        <v>7.04720220164245</v>
      </c>
      <c r="AH116" s="55" t="n">
        <f aca="false">AH106*AH20/1000000</f>
        <v>44.7982366437987</v>
      </c>
    </row>
    <row r="117" customFormat="false" ht="15" hidden="false" customHeight="false" outlineLevel="0" collapsed="false">
      <c r="A117" s="44" t="s">
        <v>1003</v>
      </c>
      <c r="B117" s="45" t="s">
        <v>57</v>
      </c>
      <c r="C117" s="132" t="n">
        <f aca="false">C106/(C18*8760)</f>
        <v>0.000722806325283942</v>
      </c>
      <c r="D117" s="132" t="n">
        <f aca="false">D106/(D18*8760)</f>
        <v>0.00456930148248379</v>
      </c>
      <c r="E117" s="132" t="n">
        <f aca="false">E106/(E18*8760)</f>
        <v>0.00104882398741391</v>
      </c>
      <c r="F117" s="132" t="n">
        <f aca="false">F106/(F18*8760)</f>
        <v>0.00677772241533826</v>
      </c>
      <c r="G117" s="132" t="n">
        <f aca="false">G106/(G18*8760)</f>
        <v>0.000539421390335832</v>
      </c>
      <c r="H117" s="132" t="n">
        <f aca="false">H106/(H18*8760)</f>
        <v>0.00332706470775315</v>
      </c>
      <c r="I117" s="132" t="n">
        <f aca="false">I106/(I18*8760)</f>
        <v>0.000478293078686463</v>
      </c>
      <c r="J117" s="132" t="n">
        <f aca="false">J106/(J18*8760)</f>
        <v>0.00291298578284294</v>
      </c>
      <c r="K117" s="132" t="n">
        <f aca="false">K106/(K18*8760)</f>
        <v>0.000524300902245749</v>
      </c>
      <c r="L117" s="132" t="n">
        <f aca="false">L106/(L18*8760)</f>
        <v>0.00351998600960413</v>
      </c>
      <c r="M117" s="132" t="n">
        <f aca="false">M106/(M18*8760)</f>
        <v>0.000988803592155121</v>
      </c>
      <c r="N117" s="132" t="n">
        <f aca="false">N106/(N18*8760)</f>
        <v>0.00597538421614254</v>
      </c>
      <c r="O117" s="132" t="n">
        <f aca="false">O106/(O18*8760)</f>
        <v>0.000632725179741442</v>
      </c>
      <c r="P117" s="132" t="n">
        <f aca="false">P106/(P18*8760)</f>
        <v>0.00314739858901568</v>
      </c>
      <c r="Q117" s="132" t="n">
        <f aca="false">Q106/(Q18*8760)</f>
        <v>0.000980181026833943</v>
      </c>
      <c r="R117" s="132" t="n">
        <f aca="false">R106/(R18*8760)</f>
        <v>0.00863188117810696</v>
      </c>
      <c r="S117" s="132" t="n">
        <f aca="false">S106/(S18*8760)</f>
        <v>0.000748193668947173</v>
      </c>
      <c r="T117" s="132" t="n">
        <f aca="false">T106/(T18*8760)</f>
        <v>0.0049816804769421</v>
      </c>
      <c r="U117" s="132" t="n">
        <f aca="false">U106/(U18*8760)</f>
        <v>0.000716392680569021</v>
      </c>
      <c r="V117" s="132" t="n">
        <f aca="false">V106/(V18*8760)</f>
        <v>0.00446512152598906</v>
      </c>
      <c r="W117" s="132" t="n">
        <f aca="false">W106/(W18*8760)</f>
        <v>0.000785817524151968</v>
      </c>
      <c r="X117" s="132" t="n">
        <f aca="false">X106/(X18*8760)</f>
        <v>0.00559552660596204</v>
      </c>
      <c r="Y117" s="132" t="n">
        <f aca="false">Y106/(Y18*8760)</f>
        <v>0.000551375682838335</v>
      </c>
      <c r="Z117" s="132" t="n">
        <f aca="false">Z106/(Z18*8760)</f>
        <v>0.00431215551881538</v>
      </c>
      <c r="AA117" s="132" t="n">
        <f aca="false">AA106/(AA18*8760)</f>
        <v>0.00106566761017516</v>
      </c>
      <c r="AB117" s="132" t="n">
        <f aca="false">AB106/(AB18*8760)</f>
        <v>0.00508359340982061</v>
      </c>
      <c r="AC117" s="132" t="n">
        <f aca="false">AC106/(AC18*8760)</f>
        <v>0.000722806325283942</v>
      </c>
      <c r="AD117" s="132" t="n">
        <f aca="false">AD106/(AD18*8760)</f>
        <v>0.00456930148248379</v>
      </c>
      <c r="AE117" s="132" t="n">
        <f aca="false">AE106/(AE18*8760)</f>
        <v>0.000722806325283942</v>
      </c>
      <c r="AF117" s="132" t="n">
        <f aca="false">AF106/(AF18*8760)</f>
        <v>0.00456930148248379</v>
      </c>
      <c r="AG117" s="132" t="n">
        <f aca="false">AG106/(AG18*8760)</f>
        <v>0.000783934636933312</v>
      </c>
      <c r="AH117" s="132" t="n">
        <f aca="false">AH106/(AH18*8760)</f>
        <v>0.00498338040739401</v>
      </c>
    </row>
    <row r="118" customFormat="false" ht="15" hidden="false" customHeight="false" outlineLevel="0" collapsed="false">
      <c r="A118" s="72" t="s">
        <v>1004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</row>
    <row r="119" customFormat="false" ht="15" hidden="false" customHeight="false" outlineLevel="0" collapsed="false">
      <c r="A119" s="44" t="s">
        <v>1005</v>
      </c>
      <c r="B119" s="45" t="s">
        <v>61</v>
      </c>
      <c r="C119" s="93" t="n">
        <f aca="false">Train_In!$C$13</f>
        <v>8</v>
      </c>
      <c r="D119" s="93" t="n">
        <f aca="false">Train_In!$C$13</f>
        <v>8</v>
      </c>
      <c r="E119" s="93" t="n">
        <f aca="false">Train_In!$C$13</f>
        <v>8</v>
      </c>
      <c r="F119" s="93" t="n">
        <f aca="false">Train_In!$C$13</f>
        <v>8</v>
      </c>
      <c r="G119" s="93" t="n">
        <f aca="false">Train_In!$C$13</f>
        <v>8</v>
      </c>
      <c r="H119" s="93" t="n">
        <f aca="false">Train_In!$C$13</f>
        <v>8</v>
      </c>
      <c r="I119" s="93" t="n">
        <f aca="false">Train_In!$C$13</f>
        <v>8</v>
      </c>
      <c r="J119" s="93" t="n">
        <f aca="false">Train_In!$C$13</f>
        <v>8</v>
      </c>
      <c r="K119" s="93" t="n">
        <f aca="false">Train_In!$C$13</f>
        <v>8</v>
      </c>
      <c r="L119" s="93" t="n">
        <f aca="false">Train_In!$C$13</f>
        <v>8</v>
      </c>
      <c r="M119" s="93" t="n">
        <f aca="false">Train_In!$C$13</f>
        <v>8</v>
      </c>
      <c r="N119" s="93" t="n">
        <f aca="false">Train_In!$C$13</f>
        <v>8</v>
      </c>
      <c r="O119" s="93" t="n">
        <f aca="false">Train_In!$C$13</f>
        <v>8</v>
      </c>
      <c r="P119" s="93" t="n">
        <f aca="false">Train_In!$C$13</f>
        <v>8</v>
      </c>
      <c r="Q119" s="93" t="n">
        <f aca="false">Train_In!$C$13</f>
        <v>8</v>
      </c>
      <c r="R119" s="93" t="n">
        <f aca="false">Train_In!$C$13</f>
        <v>8</v>
      </c>
      <c r="S119" s="93" t="n">
        <f aca="false">Train_In!$C$13</f>
        <v>8</v>
      </c>
      <c r="T119" s="93" t="n">
        <f aca="false">Train_In!$C$13</f>
        <v>8</v>
      </c>
      <c r="U119" s="93" t="n">
        <f aca="false">Train_In!$C$13</f>
        <v>8</v>
      </c>
      <c r="V119" s="93" t="n">
        <f aca="false">Train_In!$C$13</f>
        <v>8</v>
      </c>
      <c r="W119" s="93" t="n">
        <f aca="false">Train_In!$C$13</f>
        <v>8</v>
      </c>
      <c r="X119" s="93" t="n">
        <f aca="false">Train_In!$C$13</f>
        <v>8</v>
      </c>
      <c r="Y119" s="93" t="n">
        <f aca="false">Train_In!$C$13</f>
        <v>8</v>
      </c>
      <c r="Z119" s="93" t="n">
        <f aca="false">Train_In!$C$13</f>
        <v>8</v>
      </c>
      <c r="AA119" s="93" t="n">
        <f aca="false">Train_In!$C$13</f>
        <v>8</v>
      </c>
      <c r="AB119" s="93" t="n">
        <f aca="false">Train_In!$C$13</f>
        <v>8</v>
      </c>
      <c r="AC119" s="134" t="n">
        <v>4.4</v>
      </c>
      <c r="AD119" s="134" t="n">
        <v>4.4</v>
      </c>
      <c r="AE119" s="134" t="n">
        <v>10.4</v>
      </c>
      <c r="AF119" s="134" t="n">
        <v>10.4</v>
      </c>
      <c r="AG119" s="93" t="n">
        <f aca="false">Train_In!$C$13</f>
        <v>8</v>
      </c>
      <c r="AH119" s="93" t="n">
        <f aca="false">Train_In!$C$13</f>
        <v>8</v>
      </c>
    </row>
    <row r="120" customFormat="false" ht="15" hidden="false" customHeight="false" outlineLevel="0" collapsed="false">
      <c r="A120" s="44" t="s">
        <v>1006</v>
      </c>
      <c r="B120" s="45" t="s">
        <v>929</v>
      </c>
      <c r="C120" s="51" t="n">
        <f aca="false">C106*C119</f>
        <v>14778078.5521398</v>
      </c>
      <c r="D120" s="51" t="n">
        <f aca="false">D106*D119</f>
        <v>93421285.7227391</v>
      </c>
      <c r="E120" s="51" t="n">
        <f aca="false">E106*E119</f>
        <v>21443646.4253167</v>
      </c>
      <c r="F120" s="51" t="n">
        <f aca="false">F106*F119</f>
        <v>138573378.171698</v>
      </c>
      <c r="G120" s="51" t="n">
        <f aca="false">G106*G119</f>
        <v>11028696.6234778</v>
      </c>
      <c r="H120" s="51" t="n">
        <f aca="false">H106*H119</f>
        <v>68023233.7201994</v>
      </c>
      <c r="I120" s="51" t="n">
        <f aca="false">I106*I119</f>
        <v>9778902.6472571</v>
      </c>
      <c r="J120" s="51" t="n">
        <f aca="false">J106*J119</f>
        <v>59557216.3860195</v>
      </c>
      <c r="K120" s="51" t="n">
        <f aca="false">K106*K119</f>
        <v>10719551.9011288</v>
      </c>
      <c r="L120" s="51" t="n">
        <f aca="false">L106*L119</f>
        <v>71967590.6708872</v>
      </c>
      <c r="M120" s="51" t="n">
        <f aca="false">M106*M119</f>
        <v>20216504.2644944</v>
      </c>
      <c r="N120" s="51" t="n">
        <f aca="false">N106*N119</f>
        <v>122169237.092221</v>
      </c>
      <c r="O120" s="51" t="n">
        <f aca="false">O106*O119</f>
        <v>12936331.7406812</v>
      </c>
      <c r="P120" s="51" t="n">
        <f aca="false">P106*P119</f>
        <v>64349884.5490817</v>
      </c>
      <c r="Q120" s="51" t="n">
        <f aca="false">Q106*Q119</f>
        <v>20040212.2991643</v>
      </c>
      <c r="R120" s="51" t="n">
        <f aca="false">R106*R119</f>
        <v>176482431.933189</v>
      </c>
      <c r="S120" s="51" t="n">
        <f aca="false">S106*S119</f>
        <v>15297133.443833</v>
      </c>
      <c r="T120" s="51" t="n">
        <f aca="false">T106*T119</f>
        <v>101852547.265675</v>
      </c>
      <c r="U120" s="51" t="n">
        <f aca="false">U106*U119</f>
        <v>14646948.895291</v>
      </c>
      <c r="V120" s="51" t="n">
        <f aca="false">V106*V119</f>
        <v>91291282.806629</v>
      </c>
      <c r="W120" s="51" t="n">
        <f aca="false">W106*W119</f>
        <v>16066368.9474547</v>
      </c>
      <c r="X120" s="51" t="n">
        <f aca="false">X106*X119</f>
        <v>114402888.894216</v>
      </c>
      <c r="Y120" s="51" t="n">
        <f aca="false">Y106*Y119</f>
        <v>11273107.1487562</v>
      </c>
      <c r="Z120" s="51" t="n">
        <f aca="false">Z106*Z119</f>
        <v>88163828.6176637</v>
      </c>
      <c r="AA120" s="51" t="n">
        <f aca="false">AA106*AA119</f>
        <v>21788021.3589069</v>
      </c>
      <c r="AB120" s="51" t="n">
        <f aca="false">AB106*AB119</f>
        <v>103936199.93289</v>
      </c>
      <c r="AC120" s="51" t="n">
        <f aca="false">AC106*AC119</f>
        <v>8127943.20367688</v>
      </c>
      <c r="AD120" s="51" t="n">
        <f aca="false">AD106*AD119</f>
        <v>51381707.1475065</v>
      </c>
      <c r="AE120" s="51" t="n">
        <f aca="false">AE106*AE119</f>
        <v>19211502.1177817</v>
      </c>
      <c r="AF120" s="51" t="n">
        <f aca="false">AF106*AF119</f>
        <v>121447671.439561</v>
      </c>
      <c r="AG120" s="51" t="n">
        <f aca="false">AG106*AG119</f>
        <v>16027872.5283604</v>
      </c>
      <c r="AH120" s="51" t="n">
        <f aca="false">AH106*AH119</f>
        <v>101887303.056919</v>
      </c>
    </row>
    <row r="121" customFormat="false" ht="15" hidden="false" customHeight="false" outlineLevel="0" collapsed="false">
      <c r="A121" s="44" t="s">
        <v>1007</v>
      </c>
      <c r="B121" s="45" t="s">
        <v>929</v>
      </c>
      <c r="C121" s="56" t="n">
        <f aca="false">C120-C106</f>
        <v>12930818.7331223</v>
      </c>
      <c r="D121" s="56" t="n">
        <f aca="false">D120-D106</f>
        <v>81743625.0073967</v>
      </c>
      <c r="E121" s="56" t="n">
        <f aca="false">E120-E106</f>
        <v>18763190.6221521</v>
      </c>
      <c r="F121" s="56" t="n">
        <f aca="false">F120-F106</f>
        <v>121251705.900236</v>
      </c>
      <c r="G121" s="56" t="n">
        <f aca="false">G120-G106</f>
        <v>9650109.54554305</v>
      </c>
      <c r="H121" s="56" t="n">
        <f aca="false">H120-H106</f>
        <v>59520329.5051744</v>
      </c>
      <c r="I121" s="56" t="n">
        <f aca="false">I120-I106</f>
        <v>8556539.81634996</v>
      </c>
      <c r="J121" s="56" t="n">
        <f aca="false">J120-J106</f>
        <v>52112564.337767</v>
      </c>
      <c r="K121" s="56" t="n">
        <f aca="false">K120-K106</f>
        <v>9379607.91348774</v>
      </c>
      <c r="L121" s="56" t="n">
        <f aca="false">L120-L106</f>
        <v>62971641.8370263</v>
      </c>
      <c r="M121" s="56" t="n">
        <f aca="false">M120-M106</f>
        <v>17689441.2314326</v>
      </c>
      <c r="N121" s="56" t="n">
        <f aca="false">N120-N106</f>
        <v>106898082.455693</v>
      </c>
      <c r="O121" s="56" t="n">
        <f aca="false">O120-O106</f>
        <v>11319290.273096</v>
      </c>
      <c r="P121" s="56" t="n">
        <f aca="false">P120-P106</f>
        <v>56306148.9804465</v>
      </c>
      <c r="Q121" s="56" t="n">
        <f aca="false">Q120-Q106</f>
        <v>17535185.7617688</v>
      </c>
      <c r="R121" s="56" t="n">
        <f aca="false">R120-R106</f>
        <v>154422127.94154</v>
      </c>
      <c r="S121" s="56" t="n">
        <f aca="false">S120-S106</f>
        <v>13384991.7633538</v>
      </c>
      <c r="T121" s="56" t="n">
        <f aca="false">T120-T106</f>
        <v>89120978.8574655</v>
      </c>
      <c r="U121" s="56" t="n">
        <f aca="false">U120-U106</f>
        <v>12816080.2833796</v>
      </c>
      <c r="V121" s="56" t="n">
        <f aca="false">V120-V106</f>
        <v>79879872.4558003</v>
      </c>
      <c r="W121" s="56" t="n">
        <f aca="false">W120-W106</f>
        <v>14058072.8290229</v>
      </c>
      <c r="X121" s="56" t="n">
        <f aca="false">X120-X106</f>
        <v>100102527.782439</v>
      </c>
      <c r="Y121" s="56" t="n">
        <f aca="false">Y120-Y106</f>
        <v>9863968.75516169</v>
      </c>
      <c r="Z121" s="56" t="n">
        <f aca="false">Z120-Z106</f>
        <v>77143350.0404557</v>
      </c>
      <c r="AA121" s="56" t="n">
        <f aca="false">AA120-AA106</f>
        <v>19064518.6890435</v>
      </c>
      <c r="AB121" s="56" t="n">
        <f aca="false">AB120-AB106</f>
        <v>90944174.9412785</v>
      </c>
      <c r="AC121" s="56" t="n">
        <f aca="false">AC120-AC106</f>
        <v>6280683.38465941</v>
      </c>
      <c r="AD121" s="56" t="n">
        <f aca="false">AD120-AD106</f>
        <v>39704046.4321641</v>
      </c>
      <c r="AE121" s="56" t="n">
        <f aca="false">AE120-AE106</f>
        <v>17364242.2987642</v>
      </c>
      <c r="AF121" s="56" t="n">
        <f aca="false">AF120-AF106</f>
        <v>109770010.724218</v>
      </c>
      <c r="AG121" s="56" t="n">
        <f aca="false">AG120-AG106</f>
        <v>14024388.4623154</v>
      </c>
      <c r="AH121" s="56" t="n">
        <f aca="false">AH120-AH106</f>
        <v>89151390.1748041</v>
      </c>
    </row>
    <row r="122" customFormat="false" ht="15" hidden="false" customHeight="false" outlineLevel="0" collapsed="false">
      <c r="A122" s="44" t="s">
        <v>1008</v>
      </c>
      <c r="B122" s="45" t="s">
        <v>785</v>
      </c>
      <c r="C122" s="51" t="n">
        <f aca="false">C120*C19/1000000</f>
        <v>69.7038046570847</v>
      </c>
      <c r="D122" s="51" t="n">
        <f aca="false">D120*D19/1000000</f>
        <v>440.64044103275</v>
      </c>
      <c r="E122" s="51" t="n">
        <f aca="false">E120*E19/1000000</f>
        <v>101.143307385482</v>
      </c>
      <c r="F122" s="51" t="n">
        <f aca="false">F120*F19/1000000</f>
        <v>653.609442436873</v>
      </c>
      <c r="G122" s="51" t="n">
        <f aca="false">G120*G19/1000000</f>
        <v>52.0190843723614</v>
      </c>
      <c r="H122" s="51" t="n">
        <f aca="false">H120*H19/1000000</f>
        <v>320.845377742931</v>
      </c>
      <c r="I122" s="51" t="n">
        <f aca="false">I120*I19/1000000</f>
        <v>46.124177610787</v>
      </c>
      <c r="J122" s="51" t="n">
        <f aca="false">J120*J19/1000000</f>
        <v>280.913689979658</v>
      </c>
      <c r="K122" s="51" t="n">
        <f aca="false">K120*K19/1000000</f>
        <v>50.5609405912636</v>
      </c>
      <c r="L122" s="51" t="n">
        <f aca="false">L120*L19/1000000</f>
        <v>339.449737262237</v>
      </c>
      <c r="M122" s="51" t="n">
        <f aca="false">M120*M19/1000000</f>
        <v>95.355242505285</v>
      </c>
      <c r="N122" s="51" t="n">
        <f aca="false">N120*N19/1000000</f>
        <v>576.235984085237</v>
      </c>
      <c r="O122" s="51" t="n">
        <f aca="false">O120*O19/1000000</f>
        <v>61.0168322932025</v>
      </c>
      <c r="P122" s="51" t="n">
        <f aca="false">P120*P19/1000000</f>
        <v>303.519281379491</v>
      </c>
      <c r="Q122" s="51" t="n">
        <f aca="false">Q120*Q19/1000000</f>
        <v>94.5237256967481</v>
      </c>
      <c r="R122" s="51" t="n">
        <f aca="false">R120*R19/1000000</f>
        <v>832.415182899203</v>
      </c>
      <c r="S122" s="51" t="n">
        <f aca="false">S120*S19/1000000</f>
        <v>72.1520323241143</v>
      </c>
      <c r="T122" s="51" t="n">
        <f aca="false">T120*T19/1000000</f>
        <v>480.408196057742</v>
      </c>
      <c r="U122" s="51" t="n">
        <f aca="false">U120*U19/1000000</f>
        <v>69.0853050359404</v>
      </c>
      <c r="V122" s="51" t="n">
        <f aca="false">V120*V19/1000000</f>
        <v>430.593850289594</v>
      </c>
      <c r="W122" s="51" t="n">
        <f aca="false">W120*W19/1000000</f>
        <v>75.7802875868379</v>
      </c>
      <c r="X122" s="51" t="n">
        <f aca="false">X120*X19/1000000</f>
        <v>539.604427703758</v>
      </c>
      <c r="Y122" s="51" t="n">
        <f aca="false">Y120*Y19/1000000</f>
        <v>53.1718961841296</v>
      </c>
      <c r="Z122" s="51" t="n">
        <f aca="false">Z120*Z19/1000000</f>
        <v>415.842578323317</v>
      </c>
      <c r="AA122" s="51" t="n">
        <f aca="false">AA120*AA19/1000000</f>
        <v>102.767621602995</v>
      </c>
      <c r="AB122" s="51" t="n">
        <f aca="false">AB120*AB19/1000000</f>
        <v>490.236166451615</v>
      </c>
      <c r="AC122" s="51" t="n">
        <f aca="false">AC120*AC19/1000000</f>
        <v>38.3370925613966</v>
      </c>
      <c r="AD122" s="51" t="n">
        <f aca="false">AD120*AD19/1000000</f>
        <v>242.352242568013</v>
      </c>
      <c r="AE122" s="51" t="n">
        <f aca="false">AE120*AE19/1000000</f>
        <v>90.6149460542101</v>
      </c>
      <c r="AF122" s="51" t="n">
        <f aca="false">AF120*AF19/1000000</f>
        <v>572.832573342575</v>
      </c>
      <c r="AG122" s="51" t="n">
        <f aca="false">AG120*AG19/1000000</f>
        <v>75.5987114186591</v>
      </c>
      <c r="AH122" s="51" t="n">
        <f aca="false">AH120*AH19/1000000</f>
        <v>480.572128796023</v>
      </c>
    </row>
    <row r="123" customFormat="false" ht="15" hidden="false" customHeight="false" outlineLevel="0" collapsed="false">
      <c r="A123" s="44" t="s">
        <v>1009</v>
      </c>
      <c r="B123" s="45" t="s">
        <v>57</v>
      </c>
      <c r="C123" s="84" t="n">
        <f aca="false">C120/(C18*8760)</f>
        <v>0.00578245060227154</v>
      </c>
      <c r="D123" s="84" t="n">
        <f aca="false">D120/(D18*8760)</f>
        <v>0.0365544118598703</v>
      </c>
      <c r="E123" s="84" t="n">
        <f aca="false">E120/(E18*8760)</f>
        <v>0.00839059189931132</v>
      </c>
      <c r="F123" s="84" t="n">
        <f aca="false">F120/(F18*8760)</f>
        <v>0.0542217793227061</v>
      </c>
      <c r="G123" s="84" t="n">
        <f aca="false">G120/(G18*8760)</f>
        <v>0.00431537112268666</v>
      </c>
      <c r="H123" s="84" t="n">
        <f aca="false">H120/(H18*8760)</f>
        <v>0.0266165176620252</v>
      </c>
      <c r="I123" s="84" t="n">
        <f aca="false">I120/(I18*8760)</f>
        <v>0.0038263446294917</v>
      </c>
      <c r="J123" s="84" t="n">
        <f aca="false">J120/(J18*8760)</f>
        <v>0.0233038862627435</v>
      </c>
      <c r="K123" s="84" t="n">
        <f aca="false">K120/(K18*8760)</f>
        <v>0.00419440721796599</v>
      </c>
      <c r="L123" s="84" t="n">
        <f aca="false">L120/(L18*8760)</f>
        <v>0.028159888076833</v>
      </c>
      <c r="M123" s="84" t="n">
        <f aca="false">M120/(M18*8760)</f>
        <v>0.00791042873724097</v>
      </c>
      <c r="N123" s="84" t="n">
        <f aca="false">N120/(N18*8760)</f>
        <v>0.0478030737291403</v>
      </c>
      <c r="O123" s="84" t="n">
        <f aca="false">O120/(O18*8760)</f>
        <v>0.00506180143793154</v>
      </c>
      <c r="P123" s="84" t="n">
        <f aca="false">P120/(P18*8760)</f>
        <v>0.0251791887121255</v>
      </c>
      <c r="Q123" s="84" t="n">
        <f aca="false">Q120/(Q18*8760)</f>
        <v>0.00784144821467154</v>
      </c>
      <c r="R123" s="84" t="n">
        <f aca="false">R120/(R18*8760)</f>
        <v>0.0690550494248557</v>
      </c>
      <c r="S123" s="84" t="n">
        <f aca="false">S120/(S18*8760)</f>
        <v>0.00598554935157739</v>
      </c>
      <c r="T123" s="84" t="n">
        <f aca="false">T120/(T18*8760)</f>
        <v>0.0398534438155368</v>
      </c>
      <c r="U123" s="84" t="n">
        <f aca="false">U120/(U18*8760)</f>
        <v>0.00573114144455216</v>
      </c>
      <c r="V123" s="84" t="n">
        <f aca="false">V120/(V18*8760)</f>
        <v>0.0357209722079125</v>
      </c>
      <c r="W123" s="84" t="n">
        <f aca="false">W120/(W18*8760)</f>
        <v>0.00628654019321574</v>
      </c>
      <c r="X123" s="84" t="n">
        <f aca="false">X120/(X18*8760)</f>
        <v>0.0447642128476963</v>
      </c>
      <c r="Y123" s="84" t="n">
        <f aca="false">Y120/(Y18*8760)</f>
        <v>0.00441100546270668</v>
      </c>
      <c r="Z123" s="84" t="n">
        <f aca="false">Z120/(Z18*8760)</f>
        <v>0.0344972441505231</v>
      </c>
      <c r="AA123" s="84" t="n">
        <f aca="false">AA120/(AA18*8760)</f>
        <v>0.00852534088140126</v>
      </c>
      <c r="AB123" s="84" t="n">
        <f aca="false">AB120/(AB18*8760)</f>
        <v>0.0406687472785649</v>
      </c>
      <c r="AC123" s="84" t="n">
        <f aca="false">AC120/(AC18*8760)</f>
        <v>0.00318034783124935</v>
      </c>
      <c r="AD123" s="84" t="n">
        <f aca="false">AD120/(AD18*8760)</f>
        <v>0.0201049265229287</v>
      </c>
      <c r="AE123" s="84" t="n">
        <f aca="false">AE120/(AE18*8760)</f>
        <v>0.007517185782953</v>
      </c>
      <c r="AF123" s="84" t="n">
        <f aca="false">AF120/(AF18*8760)</f>
        <v>0.0475207354178314</v>
      </c>
      <c r="AG123" s="84" t="n">
        <f aca="false">AG120/(AG18*8760)</f>
        <v>0.0062714770954665</v>
      </c>
      <c r="AH123" s="84" t="n">
        <f aca="false">AH120/(AH18*8760)</f>
        <v>0.039867043259152</v>
      </c>
    </row>
    <row r="124" customFormat="false" ht="15" hidden="false" customHeight="false" outlineLevel="0" collapsed="false">
      <c r="A124" s="72" t="s">
        <v>1010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</row>
    <row r="125" customFormat="false" ht="15" hidden="false" customHeight="false" outlineLevel="0" collapsed="false">
      <c r="A125" s="44" t="s">
        <v>1011</v>
      </c>
      <c r="B125" s="45" t="s">
        <v>929</v>
      </c>
      <c r="C125" s="56" t="n">
        <f aca="false">C103</f>
        <v>1046822.0417505</v>
      </c>
      <c r="D125" s="56" t="n">
        <f aca="false">D103</f>
        <v>5684233.89686067</v>
      </c>
      <c r="E125" s="56" t="n">
        <f aca="false">E103</f>
        <v>1744703.4029175</v>
      </c>
      <c r="F125" s="56" t="n">
        <f aca="false">F103</f>
        <v>9473723.16143445</v>
      </c>
      <c r="G125" s="56" t="n">
        <f aca="false">G103</f>
        <v>654263.776094062</v>
      </c>
      <c r="H125" s="56" t="n">
        <f aca="false">H103</f>
        <v>3552646.18553792</v>
      </c>
      <c r="I125" s="56" t="n">
        <f aca="false">I103</f>
        <v>523411.02087525</v>
      </c>
      <c r="J125" s="56" t="n">
        <f aca="false">J103</f>
        <v>2842116.94843034</v>
      </c>
      <c r="K125" s="56" t="n">
        <f aca="false">K103</f>
        <v>539506.210374133</v>
      </c>
      <c r="L125" s="56" t="n">
        <f aca="false">L103</f>
        <v>3002522.01537919</v>
      </c>
      <c r="M125" s="56" t="n">
        <f aca="false">M103</f>
        <v>1726625.25579483</v>
      </c>
      <c r="N125" s="56" t="n">
        <f aca="false">N103</f>
        <v>9277727.81804586</v>
      </c>
      <c r="O125" s="56" t="n">
        <f aca="false">O103</f>
        <v>1046822.0417505</v>
      </c>
      <c r="P125" s="56" t="n">
        <f aca="false">P103</f>
        <v>5684233.89686067</v>
      </c>
      <c r="Q125" s="56" t="n">
        <f aca="false">Q103</f>
        <v>1046822.0417505</v>
      </c>
      <c r="R125" s="56" t="n">
        <f aca="false">R103</f>
        <v>5684233.89686067</v>
      </c>
      <c r="S125" s="56" t="n">
        <f aca="false">S103</f>
        <v>1046822.0417505</v>
      </c>
      <c r="T125" s="56" t="n">
        <f aca="false">T103</f>
        <v>5684233.89686067</v>
      </c>
      <c r="U125" s="56" t="n">
        <f aca="false">U103</f>
        <v>1046822.0417505</v>
      </c>
      <c r="V125" s="56" t="n">
        <f aca="false">V103</f>
        <v>5684233.89686067</v>
      </c>
      <c r="W125" s="56" t="n">
        <f aca="false">W103</f>
        <v>1046822.0417505</v>
      </c>
      <c r="X125" s="56" t="n">
        <f aca="false">X103</f>
        <v>5684233.89686067</v>
      </c>
      <c r="Y125" s="56" t="n">
        <f aca="false">Y103</f>
        <v>1046822.0417505</v>
      </c>
      <c r="Z125" s="56" t="n">
        <f aca="false">Z103</f>
        <v>5684233.89686067</v>
      </c>
      <c r="AA125" s="56" t="n">
        <f aca="false">AA103</f>
        <v>1046822.0417505</v>
      </c>
      <c r="AB125" s="56" t="n">
        <f aca="false">AB103</f>
        <v>5684233.89686067</v>
      </c>
      <c r="AC125" s="56" t="n">
        <f aca="false">AC103</f>
        <v>1046822.0417505</v>
      </c>
      <c r="AD125" s="56" t="n">
        <f aca="false">AD103</f>
        <v>5684233.89686067</v>
      </c>
      <c r="AE125" s="56" t="n">
        <f aca="false">AE103</f>
        <v>1046822.0417505</v>
      </c>
      <c r="AF125" s="56" t="n">
        <f aca="false">AF103</f>
        <v>5684233.89686067</v>
      </c>
      <c r="AG125" s="56" t="n">
        <f aca="false">AG103</f>
        <v>1177674.79696931</v>
      </c>
      <c r="AH125" s="56" t="n">
        <f aca="false">AH103</f>
        <v>6394763.13396825</v>
      </c>
    </row>
    <row r="126" customFormat="false" ht="15" hidden="false" customHeight="false" outlineLevel="0" collapsed="false">
      <c r="A126" s="44" t="s">
        <v>1012</v>
      </c>
      <c r="B126" s="45" t="s">
        <v>929</v>
      </c>
      <c r="C126" s="56" t="n">
        <f aca="false">C65+C74+C86+C87</f>
        <v>156764.311859953</v>
      </c>
      <c r="D126" s="56" t="n">
        <f aca="false">D65+D74+D86+D87</f>
        <v>2532555.17175692</v>
      </c>
      <c r="E126" s="56" t="n">
        <f aca="false">E65+E74+E86+E87</f>
        <v>156764.311859953</v>
      </c>
      <c r="F126" s="56" t="n">
        <f aca="false">F65+F74+F86+F87</f>
        <v>2532555.17175692</v>
      </c>
      <c r="G126" s="56" t="n">
        <f aca="false">G65+G74+G86+G87</f>
        <v>156764.311859953</v>
      </c>
      <c r="H126" s="56" t="n">
        <f aca="false">H65+H74+H86+H87</f>
        <v>2532555.17175692</v>
      </c>
      <c r="I126" s="56" t="n">
        <f aca="false">I65+I74+I86+I87</f>
        <v>156764.311859953</v>
      </c>
      <c r="J126" s="56" t="n">
        <f aca="false">J65+J74+J86+J87</f>
        <v>2532555.17175692</v>
      </c>
      <c r="K126" s="56" t="n">
        <f aca="false">K65+K74+K86+K87</f>
        <v>156764.311859953</v>
      </c>
      <c r="L126" s="56" t="n">
        <f aca="false">L65+L74+L86+L87</f>
        <v>2532555.17175692</v>
      </c>
      <c r="M126" s="56" t="n">
        <f aca="false">M65+M74+M86+M87</f>
        <v>156764.311859953</v>
      </c>
      <c r="N126" s="56" t="n">
        <f aca="false">N65+N74+N86+N87</f>
        <v>2532555.17175692</v>
      </c>
      <c r="O126" s="56" t="n">
        <f aca="false">O65+O74+O86+O87</f>
        <v>56261.9557090114</v>
      </c>
      <c r="P126" s="56" t="n">
        <f aca="false">P65+P74+P86+P87</f>
        <v>798070.835716417</v>
      </c>
      <c r="Q126" s="56" t="n">
        <f aca="false">Q65+Q74+Q86+Q87</f>
        <v>443913.900862643</v>
      </c>
      <c r="R126" s="56" t="n">
        <f aca="false">R65+R74+R86+R87</f>
        <v>7488224.70330122</v>
      </c>
      <c r="S126" s="56" t="n">
        <f aca="false">S65+S74+S86+S87</f>
        <v>221646.1733216</v>
      </c>
      <c r="T126" s="56" t="n">
        <f aca="false">T65+T74+T86+T87</f>
        <v>3586462.86462389</v>
      </c>
      <c r="U126" s="56" t="n">
        <f aca="false">U65+U74+U86+U87</f>
        <v>140373.104753853</v>
      </c>
      <c r="V126" s="56" t="n">
        <f aca="false">V65+V74+V86+V87</f>
        <v>2266304.80724316</v>
      </c>
      <c r="W126" s="56" t="n">
        <f aca="false">W65+W74+W86+W87</f>
        <v>315175.764791469</v>
      </c>
      <c r="X126" s="56" t="n">
        <f aca="false">X65+X74+X86+X87</f>
        <v>5132735.39997608</v>
      </c>
      <c r="Y126" s="56" t="n">
        <f aca="false">Y65+Y74+Y86+Y87</f>
        <v>156764.311859953</v>
      </c>
      <c r="Z126" s="56" t="n">
        <f aca="false">Z65+Z74+Z86+Z87</f>
        <v>2532555.17175692</v>
      </c>
      <c r="AA126" s="56" t="n">
        <f aca="false">AA65+AA74+AA86+AA87</f>
        <v>156764.311859953</v>
      </c>
      <c r="AB126" s="56" t="n">
        <f aca="false">AB65+AB74+AB86+AB87</f>
        <v>2532555.17175692</v>
      </c>
      <c r="AC126" s="56" t="n">
        <f aca="false">AC65+AC74+AC86+AC87</f>
        <v>156764.311859953</v>
      </c>
      <c r="AD126" s="56" t="n">
        <f aca="false">AD65+AD74+AD86+AD87</f>
        <v>2532555.17175692</v>
      </c>
      <c r="AE126" s="56" t="n">
        <f aca="false">AE65+AE74+AE86+AE87</f>
        <v>156764.311859953</v>
      </c>
      <c r="AF126" s="56" t="n">
        <f aca="false">AF65+AF74+AF86+AF87</f>
        <v>2532555.17175692</v>
      </c>
      <c r="AG126" s="56" t="n">
        <f aca="false">AG65+AG74+AG86+AG87</f>
        <v>156764.311859953</v>
      </c>
      <c r="AH126" s="56" t="n">
        <f aca="false">AH65+AH74+AH86+AH87</f>
        <v>2532555.17175692</v>
      </c>
    </row>
    <row r="127" customFormat="false" ht="15" hidden="false" customHeight="false" outlineLevel="0" collapsed="false">
      <c r="A127" s="44" t="s">
        <v>1013</v>
      </c>
      <c r="B127" s="45" t="s">
        <v>929</v>
      </c>
      <c r="C127" s="56" t="n">
        <f aca="false">C51+C72+C89</f>
        <v>202971.93447017</v>
      </c>
      <c r="D127" s="56" t="n">
        <f aca="false">D51+D72+D89</f>
        <v>2781783.43731922</v>
      </c>
      <c r="E127" s="56" t="n">
        <f aca="false">E51+E72+E89</f>
        <v>338286.557450284</v>
      </c>
      <c r="F127" s="56" t="n">
        <f aca="false">F51+F72+F89</f>
        <v>4636305.72886537</v>
      </c>
      <c r="G127" s="56" t="n">
        <f aca="false">G51+G72+G89</f>
        <v>126857.459043857</v>
      </c>
      <c r="H127" s="56" t="n">
        <f aca="false">H51+H72+H89</f>
        <v>1738614.64832451</v>
      </c>
      <c r="I127" s="56" t="n">
        <f aca="false">I51+I72+I89</f>
        <v>101485.967235085</v>
      </c>
      <c r="J127" s="56" t="n">
        <f aca="false">J51+J72+J89</f>
        <v>1390891.71865961</v>
      </c>
      <c r="K127" s="56" t="n">
        <f aca="false">K51+K72+K89</f>
        <v>202971.93447017</v>
      </c>
      <c r="L127" s="56" t="n">
        <f aca="false">L51+L72+L89</f>
        <v>2781783.43731922</v>
      </c>
      <c r="M127" s="56" t="n">
        <f aca="false">M51+M72+M89</f>
        <v>202971.93447017</v>
      </c>
      <c r="N127" s="56" t="n">
        <f aca="false">N51+N72+N89</f>
        <v>2781783.43731922</v>
      </c>
      <c r="O127" s="56" t="n">
        <f aca="false">O51+O72+O89</f>
        <v>73255.9391887878</v>
      </c>
      <c r="P127" s="56" t="n">
        <f aca="false">P51+P72+P89</f>
        <v>882342.626652557</v>
      </c>
      <c r="Q127" s="56" t="n">
        <f aca="false">Q51+Q72+Q89</f>
        <v>573589.06384555</v>
      </c>
      <c r="R127" s="56" t="n">
        <f aca="false">R51+R72+R89</f>
        <v>8208757.18208113</v>
      </c>
      <c r="S127" s="56" t="n">
        <f aca="false">S51+S72+S89</f>
        <v>202971.93447017</v>
      </c>
      <c r="T127" s="56" t="n">
        <f aca="false">T51+T72+T89</f>
        <v>2781783.43731922</v>
      </c>
      <c r="U127" s="56" t="n">
        <f aca="false">U51+U72+U89</f>
        <v>202971.93447017</v>
      </c>
      <c r="V127" s="56" t="n">
        <f aca="false">V51+V72+V89</f>
        <v>2781783.43731922</v>
      </c>
      <c r="W127" s="56" t="n">
        <f aca="false">W51+W72+W89</f>
        <v>202971.93447017</v>
      </c>
      <c r="X127" s="56" t="n">
        <f aca="false">X51+X72+X89</f>
        <v>2781783.43731922</v>
      </c>
      <c r="Y127" s="56" t="n">
        <f aca="false">Y51+Y72+Y89</f>
        <v>202971.93447017</v>
      </c>
      <c r="Z127" s="56" t="n">
        <f aca="false">Z51+Z72+Z89</f>
        <v>2781783.43731922</v>
      </c>
      <c r="AA127" s="56" t="n">
        <f aca="false">AA51+AA72+AA89</f>
        <v>202971.93447017</v>
      </c>
      <c r="AB127" s="56" t="n">
        <f aca="false">AB51+AB72+AB89</f>
        <v>2781783.43731922</v>
      </c>
      <c r="AC127" s="56" t="n">
        <f aca="false">AC51+AC72+AC89</f>
        <v>202971.93447017</v>
      </c>
      <c r="AD127" s="56" t="n">
        <f aca="false">AD51+AD72+AD89</f>
        <v>2781783.43731922</v>
      </c>
      <c r="AE127" s="56" t="n">
        <f aca="false">AE51+AE72+AE89</f>
        <v>202971.93447017</v>
      </c>
      <c r="AF127" s="56" t="n">
        <f aca="false">AF51+AF72+AF89</f>
        <v>2781783.43731922</v>
      </c>
      <c r="AG127" s="56" t="n">
        <f aca="false">AG51+AG72+AG89</f>
        <v>228343.426278942</v>
      </c>
      <c r="AH127" s="56" t="n">
        <f aca="false">AH51+AH72+AH89</f>
        <v>3129506.36698413</v>
      </c>
    </row>
    <row r="128" customFormat="false" ht="15" hidden="false" customHeight="false" outlineLevel="0" collapsed="false">
      <c r="A128" s="44" t="s">
        <v>1014</v>
      </c>
      <c r="B128" s="45" t="s">
        <v>929</v>
      </c>
      <c r="C128" s="56" t="n">
        <f aca="false">C105</f>
        <v>440701.530936849</v>
      </c>
      <c r="D128" s="56" t="n">
        <f aca="false">D105</f>
        <v>679088.209405565</v>
      </c>
      <c r="E128" s="56" t="n">
        <f aca="false">E105</f>
        <v>440701.530936849</v>
      </c>
      <c r="F128" s="56" t="n">
        <f aca="false">F105</f>
        <v>679088.209405565</v>
      </c>
      <c r="G128" s="56" t="n">
        <f aca="false">G105</f>
        <v>440701.530936849</v>
      </c>
      <c r="H128" s="56" t="n">
        <f aca="false">H105</f>
        <v>679088.209405565</v>
      </c>
      <c r="I128" s="56" t="n">
        <f aca="false">I105</f>
        <v>440701.530936849</v>
      </c>
      <c r="J128" s="56" t="n">
        <f aca="false">J105</f>
        <v>679088.209405565</v>
      </c>
      <c r="K128" s="56" t="n">
        <f aca="false">K105</f>
        <v>440701.530936849</v>
      </c>
      <c r="L128" s="56" t="n">
        <f aca="false">L105</f>
        <v>679088.209405565</v>
      </c>
      <c r="M128" s="56" t="n">
        <f aca="false">M105</f>
        <v>440701.530936849</v>
      </c>
      <c r="N128" s="56" t="n">
        <f aca="false">N105</f>
        <v>679088.209405565</v>
      </c>
      <c r="O128" s="56" t="n">
        <f aca="false">O105</f>
        <v>440701.530936849</v>
      </c>
      <c r="P128" s="56" t="n">
        <f aca="false">P105</f>
        <v>679088.209405565</v>
      </c>
      <c r="Q128" s="56" t="n">
        <f aca="false">Q105</f>
        <v>440701.530936849</v>
      </c>
      <c r="R128" s="56" t="n">
        <f aca="false">R105</f>
        <v>679088.209405565</v>
      </c>
      <c r="S128" s="56" t="n">
        <f aca="false">S105</f>
        <v>440701.530936849</v>
      </c>
      <c r="T128" s="56" t="n">
        <f aca="false">T105</f>
        <v>679088.209405565</v>
      </c>
      <c r="U128" s="56" t="n">
        <f aca="false">U105</f>
        <v>440701.530936849</v>
      </c>
      <c r="V128" s="56" t="n">
        <f aca="false">V105</f>
        <v>679088.209405565</v>
      </c>
      <c r="W128" s="56" t="n">
        <f aca="false">W105</f>
        <v>443326.377419699</v>
      </c>
      <c r="X128" s="56" t="n">
        <f aca="false">X105</f>
        <v>701608.377620974</v>
      </c>
      <c r="Y128" s="56" t="n">
        <f aca="false">Y105</f>
        <v>2580.10551390417</v>
      </c>
      <c r="Z128" s="56" t="n">
        <f aca="false">Z105</f>
        <v>21906.0712711473</v>
      </c>
      <c r="AA128" s="56" t="n">
        <f aca="false">AA105</f>
        <v>1316944.38178274</v>
      </c>
      <c r="AB128" s="56" t="n">
        <f aca="false">AB105</f>
        <v>1993452.4856744</v>
      </c>
      <c r="AC128" s="56" t="n">
        <f aca="false">AC105</f>
        <v>440701.530936849</v>
      </c>
      <c r="AD128" s="56" t="n">
        <f aca="false">AD105</f>
        <v>679088.209405565</v>
      </c>
      <c r="AE128" s="56" t="n">
        <f aca="false">AE105</f>
        <v>440701.530936849</v>
      </c>
      <c r="AF128" s="56" t="n">
        <f aca="false">AF105</f>
        <v>679088.209405565</v>
      </c>
      <c r="AG128" s="56" t="n">
        <f aca="false">AG105</f>
        <v>440701.530936849</v>
      </c>
      <c r="AH128" s="56" t="n">
        <f aca="false">AH105</f>
        <v>679088.209405565</v>
      </c>
    </row>
    <row r="129" customFormat="false" ht="15" hidden="false" customHeight="false" outlineLevel="0" collapsed="false">
      <c r="A129" s="44" t="s">
        <v>1015</v>
      </c>
      <c r="B129" s="45" t="s">
        <v>929</v>
      </c>
      <c r="C129" s="56" t="n">
        <f aca="false">C121</f>
        <v>12930818.7331223</v>
      </c>
      <c r="D129" s="56" t="n">
        <f aca="false">D121</f>
        <v>81743625.0073967</v>
      </c>
      <c r="E129" s="56" t="n">
        <f aca="false">E121</f>
        <v>18763190.6221521</v>
      </c>
      <c r="F129" s="56" t="n">
        <f aca="false">F121</f>
        <v>121251705.900236</v>
      </c>
      <c r="G129" s="56" t="n">
        <f aca="false">G121</f>
        <v>9650109.54554305</v>
      </c>
      <c r="H129" s="56" t="n">
        <f aca="false">H121</f>
        <v>59520329.5051744</v>
      </c>
      <c r="I129" s="56" t="n">
        <f aca="false">I121</f>
        <v>8556539.81634996</v>
      </c>
      <c r="J129" s="56" t="n">
        <f aca="false">J121</f>
        <v>52112564.337767</v>
      </c>
      <c r="K129" s="56" t="n">
        <f aca="false">K121</f>
        <v>9379607.91348774</v>
      </c>
      <c r="L129" s="56" t="n">
        <f aca="false">L121</f>
        <v>62971641.8370263</v>
      </c>
      <c r="M129" s="56" t="n">
        <f aca="false">M121</f>
        <v>17689441.2314326</v>
      </c>
      <c r="N129" s="56" t="n">
        <f aca="false">N121</f>
        <v>106898082.455693</v>
      </c>
      <c r="O129" s="56" t="n">
        <f aca="false">O121</f>
        <v>11319290.273096</v>
      </c>
      <c r="P129" s="56" t="n">
        <f aca="false">P121</f>
        <v>56306148.9804465</v>
      </c>
      <c r="Q129" s="56" t="n">
        <f aca="false">Q121</f>
        <v>17535185.7617688</v>
      </c>
      <c r="R129" s="56" t="n">
        <f aca="false">R121</f>
        <v>154422127.94154</v>
      </c>
      <c r="S129" s="56" t="n">
        <f aca="false">S121</f>
        <v>13384991.7633538</v>
      </c>
      <c r="T129" s="56" t="n">
        <f aca="false">T121</f>
        <v>89120978.8574655</v>
      </c>
      <c r="U129" s="56" t="n">
        <f aca="false">U121</f>
        <v>12816080.2833796</v>
      </c>
      <c r="V129" s="56" t="n">
        <f aca="false">V121</f>
        <v>79879872.4558003</v>
      </c>
      <c r="W129" s="56" t="n">
        <f aca="false">W121</f>
        <v>14058072.8290229</v>
      </c>
      <c r="X129" s="56" t="n">
        <f aca="false">X121</f>
        <v>100102527.782439</v>
      </c>
      <c r="Y129" s="56" t="n">
        <f aca="false">Y121</f>
        <v>9863968.75516169</v>
      </c>
      <c r="Z129" s="56" t="n">
        <f aca="false">Z121</f>
        <v>77143350.0404557</v>
      </c>
      <c r="AA129" s="56" t="n">
        <f aca="false">AA121</f>
        <v>19064518.6890435</v>
      </c>
      <c r="AB129" s="56" t="n">
        <f aca="false">AB121</f>
        <v>90944174.9412785</v>
      </c>
      <c r="AC129" s="56" t="n">
        <f aca="false">AC121</f>
        <v>6280683.38465941</v>
      </c>
      <c r="AD129" s="56" t="n">
        <f aca="false">AD121</f>
        <v>39704046.4321641</v>
      </c>
      <c r="AE129" s="56" t="n">
        <f aca="false">AE121</f>
        <v>17364242.2987642</v>
      </c>
      <c r="AF129" s="56" t="n">
        <f aca="false">AF121</f>
        <v>109770010.724218</v>
      </c>
      <c r="AG129" s="56" t="n">
        <f aca="false">AG121</f>
        <v>14024388.4623154</v>
      </c>
      <c r="AH129" s="56" t="n">
        <f aca="false">AH121</f>
        <v>89151390.1748041</v>
      </c>
    </row>
    <row r="130" customFormat="false" ht="15" hidden="false" customHeight="false" outlineLevel="0" collapsed="false">
      <c r="A130" s="72" t="s">
        <v>1038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</row>
    <row r="131" customFormat="false" ht="15" hidden="false" customHeight="false" outlineLevel="0" collapsed="false">
      <c r="A131" s="44" t="s">
        <v>1039</v>
      </c>
      <c r="B131" s="45" t="s">
        <v>61</v>
      </c>
      <c r="C131" s="88" t="n">
        <f aca="false">C106/$C$106</f>
        <v>1</v>
      </c>
      <c r="D131" s="88" t="n">
        <f aca="false">D106/$D$106</f>
        <v>1</v>
      </c>
      <c r="E131" s="88" t="n">
        <f aca="false">E106/$C$106</f>
        <v>1.45104428492916</v>
      </c>
      <c r="F131" s="88" t="n">
        <f aca="false">F106/$D$106</f>
        <v>1.48331696678811</v>
      </c>
      <c r="G131" s="88" t="n">
        <f aca="false">G106/$C$106</f>
        <v>0.746287589727345</v>
      </c>
      <c r="H131" s="88" t="n">
        <f aca="false">H106/$D$106</f>
        <v>0.728134206181689</v>
      </c>
      <c r="I131" s="88" t="n">
        <f aca="false">I106/$C$106</f>
        <v>0.661716786303127</v>
      </c>
      <c r="J131" s="88" t="n">
        <f aca="false">J106/$D$106</f>
        <v>0.637512274908919</v>
      </c>
      <c r="K131" s="88" t="n">
        <f aca="false">K106/$C$106</f>
        <v>0.72536844782008</v>
      </c>
      <c r="L131" s="88" t="n">
        <f aca="false">L106/$D$106</f>
        <v>0.770355386506633</v>
      </c>
      <c r="M131" s="88" t="n">
        <f aca="false">M106/$C$106</f>
        <v>1.36800627992109</v>
      </c>
      <c r="N131" s="88" t="n">
        <f aca="false">N106/$D$106</f>
        <v>1.30772378208111</v>
      </c>
      <c r="O131" s="88" t="n">
        <f aca="false">O106/$C$106</f>
        <v>0.875373053069073</v>
      </c>
      <c r="P131" s="88" t="n">
        <f aca="false">P106/$D$106</f>
        <v>0.688813946963467</v>
      </c>
      <c r="Q131" s="88" t="n">
        <f aca="false">Q106/$C$106</f>
        <v>1.35607699123122</v>
      </c>
      <c r="R131" s="88" t="n">
        <f aca="false">R106/$D$106</f>
        <v>1.88910300867581</v>
      </c>
      <c r="S131" s="88" t="n">
        <f aca="false">S106/$C$106</f>
        <v>1.03512330035748</v>
      </c>
      <c r="T131" s="88" t="n">
        <f aca="false">T106/$D$106</f>
        <v>1.09024989837925</v>
      </c>
      <c r="U131" s="88" t="n">
        <f aca="false">U106/$C$106</f>
        <v>0.991126745172848</v>
      </c>
      <c r="V131" s="88" t="n">
        <f aca="false">V106/$D$106</f>
        <v>0.977200025672611</v>
      </c>
      <c r="W131" s="88" t="n">
        <f aca="false">W106/$C$106</f>
        <v>1.08717577124588</v>
      </c>
      <c r="X131" s="88" t="n">
        <f aca="false">X106/$D$106</f>
        <v>1.22459124822738</v>
      </c>
      <c r="Y131" s="88" t="n">
        <f aca="false">Y106/$C$106</f>
        <v>0.762826311213777</v>
      </c>
      <c r="Z131" s="88" t="n">
        <f aca="false">Z106/$D$106</f>
        <v>0.94372313478238</v>
      </c>
      <c r="AA131" s="88" t="n">
        <f aca="false">AA106/$C$106</f>
        <v>1.47434737757245</v>
      </c>
      <c r="AB131" s="88" t="n">
        <f aca="false">AB106/$D$106</f>
        <v>1.11255373043524</v>
      </c>
      <c r="AC131" s="88" t="n">
        <f aca="false">AC106/$C$106</f>
        <v>1</v>
      </c>
      <c r="AD131" s="88" t="n">
        <f aca="false">AD106/$D$106</f>
        <v>1</v>
      </c>
      <c r="AE131" s="88" t="n">
        <f aca="false">AE106/$C$106</f>
        <v>1</v>
      </c>
      <c r="AF131" s="88" t="n">
        <f aca="false">AF106/$D$106</f>
        <v>1</v>
      </c>
      <c r="AG131" s="88" t="n">
        <f aca="false">AG106/$C$106</f>
        <v>1.08457080342422</v>
      </c>
      <c r="AH131" s="88" t="n">
        <f aca="false">AH106/$D$106</f>
        <v>1.09062193127277</v>
      </c>
    </row>
    <row r="132" customFormat="false" ht="15" hidden="false" customHeight="false" outlineLevel="0" collapsed="false">
      <c r="A132" s="44" t="s">
        <v>1040</v>
      </c>
      <c r="B132" s="45" t="s">
        <v>61</v>
      </c>
      <c r="C132" s="88" t="n">
        <f aca="false">C120/$C$120</f>
        <v>1</v>
      </c>
      <c r="D132" s="88" t="n">
        <f aca="false">D120/$D$120</f>
        <v>1</v>
      </c>
      <c r="E132" s="88" t="n">
        <f aca="false">E120/$C$120</f>
        <v>1.45104428492916</v>
      </c>
      <c r="F132" s="88" t="n">
        <f aca="false">F120/$D$120</f>
        <v>1.48331696678811</v>
      </c>
      <c r="G132" s="88" t="n">
        <f aca="false">G120/$C$120</f>
        <v>0.746287589727345</v>
      </c>
      <c r="H132" s="88" t="n">
        <f aca="false">H120/$D$120</f>
        <v>0.728134206181689</v>
      </c>
      <c r="I132" s="88" t="n">
        <f aca="false">I120/$C$120</f>
        <v>0.661716786303127</v>
      </c>
      <c r="J132" s="88" t="n">
        <f aca="false">J120/$D$120</f>
        <v>0.637512274908919</v>
      </c>
      <c r="K132" s="88" t="n">
        <f aca="false">K120/$C$120</f>
        <v>0.72536844782008</v>
      </c>
      <c r="L132" s="88" t="n">
        <f aca="false">L120/$D$120</f>
        <v>0.770355386506633</v>
      </c>
      <c r="M132" s="88" t="n">
        <f aca="false">M120/$C$120</f>
        <v>1.36800627992109</v>
      </c>
      <c r="N132" s="88" t="n">
        <f aca="false">N120/$D$120</f>
        <v>1.30772378208111</v>
      </c>
      <c r="O132" s="88" t="n">
        <f aca="false">O120/$C$120</f>
        <v>0.875373053069073</v>
      </c>
      <c r="P132" s="88" t="n">
        <f aca="false">P120/$D$120</f>
        <v>0.688813946963467</v>
      </c>
      <c r="Q132" s="88" t="n">
        <f aca="false">Q120/$C$120</f>
        <v>1.35607699123122</v>
      </c>
      <c r="R132" s="88" t="n">
        <f aca="false">R120/$D$120</f>
        <v>1.88910300867581</v>
      </c>
      <c r="S132" s="88" t="n">
        <f aca="false">S120/$C$120</f>
        <v>1.03512330035748</v>
      </c>
      <c r="T132" s="88" t="n">
        <f aca="false">T120/$D$120</f>
        <v>1.09024989837925</v>
      </c>
      <c r="U132" s="88" t="n">
        <f aca="false">U120/$C$120</f>
        <v>0.991126745172848</v>
      </c>
      <c r="V132" s="88" t="n">
        <f aca="false">V120/$D$120</f>
        <v>0.977200025672611</v>
      </c>
      <c r="W132" s="88" t="n">
        <f aca="false">W120/$C$120</f>
        <v>1.08717577124588</v>
      </c>
      <c r="X132" s="88" t="n">
        <f aca="false">X120/$D$120</f>
        <v>1.22459124822738</v>
      </c>
      <c r="Y132" s="88" t="n">
        <f aca="false">Y120/$C$120</f>
        <v>0.762826311213777</v>
      </c>
      <c r="Z132" s="88" t="n">
        <f aca="false">Z120/$D$120</f>
        <v>0.94372313478238</v>
      </c>
      <c r="AA132" s="88" t="n">
        <f aca="false">AA120/$C$120</f>
        <v>1.47434737757245</v>
      </c>
      <c r="AB132" s="88" t="n">
        <f aca="false">AB120/$D$120</f>
        <v>1.11255373043524</v>
      </c>
      <c r="AC132" s="88" t="n">
        <f aca="false">AC120/$C$120</f>
        <v>0.55</v>
      </c>
      <c r="AD132" s="88" t="n">
        <f aca="false">AD120/$D$120</f>
        <v>0.55</v>
      </c>
      <c r="AE132" s="88" t="n">
        <f aca="false">AE120/$C$120</f>
        <v>1.3</v>
      </c>
      <c r="AF132" s="88" t="n">
        <f aca="false">AF120/$D$120</f>
        <v>1.3</v>
      </c>
      <c r="AG132" s="88" t="n">
        <f aca="false">AG120/$C$120</f>
        <v>1.08457080342422</v>
      </c>
      <c r="AH132" s="88" t="n">
        <f aca="false">AH120/$D$120</f>
        <v>1.09062193127277</v>
      </c>
    </row>
    <row r="133" customFormat="false" ht="15" hidden="false" customHeight="false" outlineLevel="0" collapsed="false">
      <c r="A133" s="44" t="s">
        <v>1041</v>
      </c>
      <c r="B133" s="45" t="s">
        <v>61</v>
      </c>
      <c r="C133" s="88" t="n">
        <f aca="false">C111/$C$111</f>
        <v>1</v>
      </c>
      <c r="D133" s="88" t="n">
        <f aca="false">D111/$D$111</f>
        <v>1</v>
      </c>
      <c r="E133" s="88" t="n">
        <f aca="false">E111/$C$111</f>
        <v>0.864217366515299</v>
      </c>
      <c r="F133" s="88" t="n">
        <f aca="false">F111/$D$111</f>
        <v>0.891490037213684</v>
      </c>
      <c r="G133" s="88" t="n">
        <f aca="false">G111/$C$111</f>
        <v>1.18239682934504</v>
      </c>
      <c r="H133" s="88" t="n">
        <f aca="false">H111/$D$111</f>
        <v>1.12983574434381</v>
      </c>
      <c r="I133" s="88" t="n">
        <f aca="false">I111/$C$111</f>
        <v>1.29180132122434</v>
      </c>
      <c r="J133" s="88" t="n">
        <f aca="false">J111/$D$111</f>
        <v>1.20019242522768</v>
      </c>
      <c r="K133" s="88" t="n">
        <f aca="false">K111/$C$111</f>
        <v>1.56415911814895</v>
      </c>
      <c r="L133" s="88" t="n">
        <f aca="false">L111/$D$111</f>
        <v>1.32244280655564</v>
      </c>
      <c r="M133" s="88" t="n">
        <f aca="false">M111/$C$111</f>
        <v>0.674168060831283</v>
      </c>
      <c r="N133" s="88" t="n">
        <f aca="false">N111/$D$111</f>
        <v>0.7537364608959</v>
      </c>
      <c r="O133" s="88" t="n">
        <f aca="false">O111/$C$111</f>
        <v>0.430497338631041</v>
      </c>
      <c r="P133" s="88" t="n">
        <f aca="false">P111/$D$111</f>
        <v>0.472227522774142</v>
      </c>
      <c r="Q133" s="88" t="n">
        <f aca="false">Q111/$C$111</f>
        <v>1.92721934011606</v>
      </c>
      <c r="R133" s="88" t="n">
        <f aca="false">R111/$D$111</f>
        <v>1.51939558539357</v>
      </c>
      <c r="S133" s="88" t="n">
        <f aca="false">S111/$C$111</f>
        <v>1.12831261594143</v>
      </c>
      <c r="T133" s="88" t="n">
        <f aca="false">T111/$D$111</f>
        <v>1.09352955446616</v>
      </c>
      <c r="U133" s="88" t="n">
        <f aca="false">U111/$C$111</f>
        <v>0.965689061507327</v>
      </c>
      <c r="V133" s="88" t="n">
        <f aca="false">V111/$D$111</f>
        <v>0.973464991648641</v>
      </c>
      <c r="W133" s="88" t="n">
        <f aca="false">W111/$C$111</f>
        <v>1.29455696223437</v>
      </c>
      <c r="X133" s="88" t="n">
        <f aca="false">X111/$D$111</f>
        <v>1.20451590679153</v>
      </c>
      <c r="Y133" s="88" t="n">
        <f aca="false">Y111/$C$111</f>
        <v>1</v>
      </c>
      <c r="Z133" s="88" t="n">
        <f aca="false">Z111/$D$111</f>
        <v>1</v>
      </c>
      <c r="AA133" s="88" t="n">
        <f aca="false">AA111/$C$111</f>
        <v>1</v>
      </c>
      <c r="AB133" s="88" t="n">
        <f aca="false">AB111/$D$111</f>
        <v>1</v>
      </c>
      <c r="AC133" s="88" t="n">
        <f aca="false">AC111/$C$111</f>
        <v>1</v>
      </c>
      <c r="AD133" s="88" t="n">
        <f aca="false">AD111/$D$111</f>
        <v>1</v>
      </c>
      <c r="AE133" s="88" t="n">
        <f aca="false">AE111/$C$111</f>
        <v>1</v>
      </c>
      <c r="AF133" s="88" t="n">
        <f aca="false">AF111/$D$111</f>
        <v>1</v>
      </c>
      <c r="AG133" s="88" t="n">
        <f aca="false">AG111/$C$111</f>
        <v>0.963512229795703</v>
      </c>
      <c r="AH133" s="88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1042</v>
      </c>
    </row>
    <row r="2" customFormat="false" ht="15" hidden="false" customHeight="true" outlineLevel="0" collapsed="false">
      <c r="A2" s="3" t="s">
        <v>1043</v>
      </c>
    </row>
    <row r="4" customFormat="false" ht="15" hidden="false" customHeight="true" outlineLevel="0" collapsed="false">
      <c r="A4" s="19" t="s">
        <v>1044</v>
      </c>
      <c r="B4" s="19" t="s">
        <v>41</v>
      </c>
      <c r="C4" s="111" t="str">
        <f aca="false">Spec_Rack!C4</f>
        <v>Hopper H100</v>
      </c>
      <c r="D4" s="111" t="str">
        <f aca="false">Spec_Rack!C4</f>
        <v>Hopper H100</v>
      </c>
      <c r="E4" s="111" t="str">
        <f aca="false">Spec_Rack!C4</f>
        <v>Hopper H100</v>
      </c>
      <c r="F4" s="111" t="str">
        <f aca="false">Spec_Rack!D4</f>
        <v>GB200 NVL72</v>
      </c>
      <c r="G4" s="111" t="str">
        <f aca="false">Spec_Rack!D4</f>
        <v>GB200 NVL72</v>
      </c>
      <c r="H4" s="111" t="str">
        <f aca="false">Spec_Rack!D4</f>
        <v>GB200 NVL72</v>
      </c>
      <c r="I4" s="111" t="str">
        <f aca="false">Spec_Rack!E4</f>
        <v>GB300 NVL72</v>
      </c>
      <c r="J4" s="111" t="str">
        <f aca="false">Spec_Rack!E4</f>
        <v>GB300 NVL72</v>
      </c>
      <c r="K4" s="111" t="str">
        <f aca="false">Spec_Rack!E4</f>
        <v>GB300 NVL72</v>
      </c>
      <c r="L4" s="111" t="str">
        <f aca="false">Spec_Rack!F4</f>
        <v>VR200 NVL72</v>
      </c>
      <c r="M4" s="111" t="str">
        <f aca="false">Spec_Rack!F4</f>
        <v>VR200 NVL72</v>
      </c>
      <c r="N4" s="111" t="str">
        <f aca="false">Spec_Rack!F4</f>
        <v>VR200 NVL72</v>
      </c>
      <c r="O4" s="111" t="str">
        <f aca="false">Spec_Rack!G4</f>
        <v>Rubin Ultra NVL576</v>
      </c>
      <c r="P4" s="111" t="str">
        <f aca="false">Spec_Rack!G4</f>
        <v>Rubin Ultra NVL576</v>
      </c>
      <c r="Q4" s="111" t="str">
        <f aca="false">Spec_Rack!G4</f>
        <v>Rubin Ultra NVL576</v>
      </c>
    </row>
    <row r="5" customFormat="false" ht="15" hidden="false" customHeight="true" outlineLevel="0" collapsed="false">
      <c r="A5" s="19" t="s">
        <v>22</v>
      </c>
      <c r="C5" s="25" t="s">
        <v>42</v>
      </c>
      <c r="D5" s="25" t="s">
        <v>43</v>
      </c>
      <c r="E5" s="25" t="s">
        <v>44</v>
      </c>
      <c r="F5" s="25" t="s">
        <v>42</v>
      </c>
      <c r="G5" s="25" t="s">
        <v>43</v>
      </c>
      <c r="H5" s="25" t="s">
        <v>44</v>
      </c>
      <c r="I5" s="25" t="s">
        <v>42</v>
      </c>
      <c r="J5" s="25" t="s">
        <v>43</v>
      </c>
      <c r="K5" s="25" t="s">
        <v>44</v>
      </c>
      <c r="L5" s="25" t="s">
        <v>42</v>
      </c>
      <c r="M5" s="25" t="s">
        <v>43</v>
      </c>
      <c r="N5" s="25" t="s">
        <v>44</v>
      </c>
      <c r="O5" s="25" t="s">
        <v>42</v>
      </c>
      <c r="P5" s="25" t="s">
        <v>43</v>
      </c>
      <c r="Q5" s="25" t="s">
        <v>44</v>
      </c>
    </row>
    <row r="6" customFormat="false" ht="15" hidden="false" customHeight="true" outlineLevel="0" collapsed="false">
      <c r="A6" s="19" t="s">
        <v>780</v>
      </c>
      <c r="B6" s="20" t="s">
        <v>649</v>
      </c>
      <c r="C6" s="113" t="n">
        <f aca="false">DC_Cost!C12</f>
        <v>22439</v>
      </c>
      <c r="D6" s="135" t="n">
        <f aca="false">DC_Cost!D12</f>
        <v>22439</v>
      </c>
      <c r="E6" s="113" t="n">
        <f aca="false">DC_Cost!E12</f>
        <v>22439</v>
      </c>
      <c r="F6" s="113" t="n">
        <f aca="false">DC_Cost!F12</f>
        <v>7076</v>
      </c>
      <c r="G6" s="135" t="n">
        <f aca="false">DC_Cost!G12</f>
        <v>7076</v>
      </c>
      <c r="H6" s="113" t="n">
        <f aca="false">DC_Cost!H12</f>
        <v>7076</v>
      </c>
      <c r="I6" s="113" t="n">
        <f aca="false">DC_Cost!I12</f>
        <v>6715</v>
      </c>
      <c r="J6" s="135" t="n">
        <f aca="false">DC_Cost!J12</f>
        <v>6715</v>
      </c>
      <c r="K6" s="113" t="n">
        <f aca="false">DC_Cost!K12</f>
        <v>6715</v>
      </c>
      <c r="L6" s="113" t="n">
        <f aca="false">DC_Cost!L12</f>
        <v>4052</v>
      </c>
      <c r="M6" s="135" t="n">
        <f aca="false">DC_Cost!M12</f>
        <v>4052</v>
      </c>
      <c r="N6" s="113" t="n">
        <f aca="false">DC_Cost!N12</f>
        <v>4052</v>
      </c>
      <c r="O6" s="113" t="n">
        <f aca="false">DC_Cost!O12</f>
        <v>1533</v>
      </c>
      <c r="P6" s="135" t="n">
        <f aca="false">DC_Cost!P12</f>
        <v>1533</v>
      </c>
      <c r="Q6" s="113" t="n">
        <f aca="false">DC_Cost!Q12</f>
        <v>1533</v>
      </c>
    </row>
    <row r="7" customFormat="false" ht="15" hidden="false" customHeight="true" outlineLevel="0" collapsed="false">
      <c r="A7" s="19" t="s">
        <v>781</v>
      </c>
      <c r="B7" s="20" t="s">
        <v>643</v>
      </c>
      <c r="C7" s="113" t="n">
        <f aca="false">DC_Cost!C14</f>
        <v>718048</v>
      </c>
      <c r="D7" s="135" t="n">
        <f aca="false">DC_Cost!D14</f>
        <v>718048</v>
      </c>
      <c r="E7" s="113" t="n">
        <f aca="false">DC_Cost!E14</f>
        <v>718048</v>
      </c>
      <c r="F7" s="113" t="n">
        <f aca="false">DC_Cost!F14</f>
        <v>509472</v>
      </c>
      <c r="G7" s="135" t="n">
        <f aca="false">DC_Cost!G14</f>
        <v>509472</v>
      </c>
      <c r="H7" s="113" t="n">
        <f aca="false">DC_Cost!H14</f>
        <v>509472</v>
      </c>
      <c r="I7" s="113" t="n">
        <f aca="false">DC_Cost!I14</f>
        <v>483480</v>
      </c>
      <c r="J7" s="135" t="n">
        <f aca="false">DC_Cost!J14</f>
        <v>483480</v>
      </c>
      <c r="K7" s="113" t="n">
        <f aca="false">DC_Cost!K14</f>
        <v>483480</v>
      </c>
      <c r="L7" s="113" t="n">
        <f aca="false">DC_Cost!L14</f>
        <v>291744</v>
      </c>
      <c r="M7" s="135" t="n">
        <f aca="false">DC_Cost!M14</f>
        <v>291744</v>
      </c>
      <c r="N7" s="113" t="n">
        <f aca="false">DC_Cost!N14</f>
        <v>291744</v>
      </c>
      <c r="O7" s="113" t="n">
        <f aca="false">DC_Cost!O14</f>
        <v>220752</v>
      </c>
      <c r="P7" s="135" t="n">
        <f aca="false">DC_Cost!P14</f>
        <v>220752</v>
      </c>
      <c r="Q7" s="113" t="n">
        <f aca="false">DC_Cost!Q14</f>
        <v>220752</v>
      </c>
    </row>
    <row r="8" customFormat="false" ht="15" hidden="false" customHeight="true" outlineLevel="0" collapsed="false">
      <c r="A8" s="19" t="s">
        <v>1045</v>
      </c>
      <c r="B8" s="15" t="s">
        <v>49</v>
      </c>
      <c r="C8" s="115" t="n">
        <f aca="false">DC_Cost!C16/1000</f>
        <v>1.1</v>
      </c>
      <c r="D8" s="136" t="n">
        <f aca="false">DC_Cost!D16/1000</f>
        <v>1.2</v>
      </c>
      <c r="E8" s="115" t="n">
        <f aca="false">DC_Cost!E16/1000</f>
        <v>1.3</v>
      </c>
      <c r="F8" s="115" t="n">
        <f aca="false">DC_Cost!F16/1000</f>
        <v>1.1</v>
      </c>
      <c r="G8" s="136" t="n">
        <f aca="false">DC_Cost!G16/1000</f>
        <v>1.2</v>
      </c>
      <c r="H8" s="115" t="n">
        <f aca="false">DC_Cost!H16/1000</f>
        <v>1.3</v>
      </c>
      <c r="I8" s="115" t="n">
        <f aca="false">DC_Cost!I16/1000</f>
        <v>1.1</v>
      </c>
      <c r="J8" s="136" t="n">
        <f aca="false">DC_Cost!J16/1000</f>
        <v>1.2</v>
      </c>
      <c r="K8" s="115" t="n">
        <f aca="false">DC_Cost!K16/1000</f>
        <v>1.3</v>
      </c>
      <c r="L8" s="115" t="n">
        <f aca="false">DC_Cost!L16/1000</f>
        <v>1.1</v>
      </c>
      <c r="M8" s="136" t="n">
        <f aca="false">DC_Cost!M16/1000</f>
        <v>1.2</v>
      </c>
      <c r="N8" s="115" t="n">
        <f aca="false">DC_Cost!N16/1000</f>
        <v>1.3</v>
      </c>
      <c r="O8" s="115" t="n">
        <f aca="false">DC_Cost!O16/1000</f>
        <v>1.1</v>
      </c>
      <c r="P8" s="136" t="n">
        <f aca="false">DC_Cost!P16/1000</f>
        <v>1.2</v>
      </c>
      <c r="Q8" s="115" t="n">
        <f aca="false">DC_Cost!Q16/1000</f>
        <v>1.3</v>
      </c>
    </row>
    <row r="9" customFormat="false" ht="15" hidden="false" customHeight="true" outlineLevel="0" collapsed="false">
      <c r="A9" s="19" t="s">
        <v>1046</v>
      </c>
      <c r="B9" s="15" t="s">
        <v>787</v>
      </c>
      <c r="C9" s="116" t="n">
        <f aca="false">DC_Cost!C24</f>
        <v>21.4202694</v>
      </c>
      <c r="D9" s="137" t="n">
        <f aca="false">DC_Cost!D24</f>
        <v>27.510214</v>
      </c>
      <c r="E9" s="116" t="n">
        <f aca="false">DC_Cost!E24</f>
        <v>34.1207434</v>
      </c>
      <c r="F9" s="116" t="n">
        <f aca="false">DC_Cost!F24</f>
        <v>20.9562816</v>
      </c>
      <c r="G9" s="137" t="n">
        <f aca="false">DC_Cost!G24</f>
        <v>24.383896</v>
      </c>
      <c r="H9" s="116" t="n">
        <f aca="false">DC_Cost!H24</f>
        <v>28.0747376</v>
      </c>
      <c r="I9" s="116" t="n">
        <f aca="false">DC_Cost!I24</f>
        <v>28.348044</v>
      </c>
      <c r="J9" s="137" t="n">
        <f aca="false">DC_Cost!J24</f>
        <v>37.17424</v>
      </c>
      <c r="K9" s="116" t="n">
        <f aca="false">DC_Cost!K24</f>
        <v>50.581409</v>
      </c>
      <c r="L9" s="116" t="n">
        <f aca="false">DC_Cost!L24</f>
        <v>28.5933432</v>
      </c>
      <c r="M9" s="137" t="n">
        <f aca="false">DC_Cost!M24</f>
        <v>34.912032</v>
      </c>
      <c r="N9" s="116" t="n">
        <f aca="false">DC_Cost!N24</f>
        <v>42.6375752</v>
      </c>
      <c r="O9" s="116" t="n">
        <f aca="false">DC_Cost!O24</f>
        <v>37.7320356</v>
      </c>
      <c r="P9" s="137" t="n">
        <f aca="false">DC_Cost!P24</f>
        <v>52.722936</v>
      </c>
      <c r="Q9" s="116" t="n">
        <f aca="false">DC_Cost!Q24</f>
        <v>68.9316516</v>
      </c>
    </row>
    <row r="10" customFormat="false" ht="15" hidden="false" customHeight="true" outlineLevel="0" collapsed="false">
      <c r="A10" s="19" t="s">
        <v>1047</v>
      </c>
      <c r="B10" s="15" t="s">
        <v>787</v>
      </c>
      <c r="C10" s="116" t="n">
        <f aca="false">DC_Cost!C32</f>
        <v>10.212</v>
      </c>
      <c r="D10" s="137" t="n">
        <f aca="false">DC_Cost!D32</f>
        <v>12.67</v>
      </c>
      <c r="E10" s="116" t="n">
        <f aca="false">DC_Cost!E32</f>
        <v>16.186</v>
      </c>
      <c r="F10" s="116" t="n">
        <f aca="false">DC_Cost!F32</f>
        <v>10.212</v>
      </c>
      <c r="G10" s="137" t="n">
        <f aca="false">DC_Cost!G32</f>
        <v>12.67</v>
      </c>
      <c r="H10" s="116" t="n">
        <f aca="false">DC_Cost!H32</f>
        <v>16.186</v>
      </c>
      <c r="I10" s="116" t="n">
        <f aca="false">DC_Cost!I32</f>
        <v>10.212</v>
      </c>
      <c r="J10" s="137" t="n">
        <f aca="false">DC_Cost!J32</f>
        <v>12.67</v>
      </c>
      <c r="K10" s="116" t="n">
        <f aca="false">DC_Cost!K32</f>
        <v>16.186</v>
      </c>
      <c r="L10" s="116" t="n">
        <f aca="false">DC_Cost!L32</f>
        <v>10.212</v>
      </c>
      <c r="M10" s="137" t="n">
        <f aca="false">DC_Cost!M32</f>
        <v>12.67</v>
      </c>
      <c r="N10" s="116" t="n">
        <f aca="false">DC_Cost!N32</f>
        <v>16.186</v>
      </c>
      <c r="O10" s="116" t="n">
        <f aca="false">DC_Cost!O32</f>
        <v>10.212</v>
      </c>
      <c r="P10" s="137" t="n">
        <f aca="false">DC_Cost!P32</f>
        <v>12.67</v>
      </c>
      <c r="Q10" s="116" t="n">
        <f aca="false">DC_Cost!Q32</f>
        <v>16.186</v>
      </c>
    </row>
    <row r="11" customFormat="false" ht="15" hidden="false" customHeight="true" outlineLevel="0" collapsed="false">
      <c r="A11" s="19" t="s">
        <v>1048</v>
      </c>
      <c r="B11" s="15" t="s">
        <v>787</v>
      </c>
      <c r="C11" s="116" t="n">
        <f aca="false">DC_Cost!C33</f>
        <v>31.6322694</v>
      </c>
      <c r="D11" s="137" t="n">
        <f aca="false">DC_Cost!D33</f>
        <v>40.180214</v>
      </c>
      <c r="E11" s="116" t="n">
        <f aca="false">DC_Cost!E33</f>
        <v>50.3067434</v>
      </c>
      <c r="F11" s="116" t="n">
        <f aca="false">DC_Cost!F33</f>
        <v>31.1682816</v>
      </c>
      <c r="G11" s="137" t="n">
        <f aca="false">DC_Cost!G33</f>
        <v>37.053896</v>
      </c>
      <c r="H11" s="116" t="n">
        <f aca="false">DC_Cost!H33</f>
        <v>44.2607376</v>
      </c>
      <c r="I11" s="116" t="n">
        <f aca="false">DC_Cost!I33</f>
        <v>38.560044</v>
      </c>
      <c r="J11" s="137" t="n">
        <f aca="false">DC_Cost!J33</f>
        <v>49.84424</v>
      </c>
      <c r="K11" s="116" t="n">
        <f aca="false">DC_Cost!K33</f>
        <v>66.767409</v>
      </c>
      <c r="L11" s="116" t="n">
        <f aca="false">DC_Cost!L33</f>
        <v>38.8053432</v>
      </c>
      <c r="M11" s="137" t="n">
        <f aca="false">DC_Cost!M33</f>
        <v>47.582032</v>
      </c>
      <c r="N11" s="116" t="n">
        <f aca="false">DC_Cost!N33</f>
        <v>58.8235752</v>
      </c>
      <c r="O11" s="116" t="n">
        <f aca="false">DC_Cost!O33</f>
        <v>47.9440356</v>
      </c>
      <c r="P11" s="137" t="n">
        <f aca="false">DC_Cost!P33</f>
        <v>65.392936</v>
      </c>
      <c r="Q11" s="116" t="n">
        <f aca="false">DC_Cost!Q33</f>
        <v>85.1176516</v>
      </c>
    </row>
    <row r="12" customFormat="false" ht="15" hidden="false" customHeight="true" outlineLevel="0" collapsed="false">
      <c r="A12" s="19" t="s">
        <v>1049</v>
      </c>
      <c r="B12" s="15" t="s">
        <v>1050</v>
      </c>
      <c r="C12" s="138" t="n">
        <f aca="false">DC_Cost!C49</f>
        <v>5.39897242953333</v>
      </c>
      <c r="D12" s="139" t="n">
        <f aca="false">DC_Cost!D49</f>
        <v>7.49682782333333</v>
      </c>
      <c r="E12" s="138" t="n">
        <f aca="false">DC_Cost!E49</f>
        <v>12.9492728665333</v>
      </c>
      <c r="F12" s="138" t="n">
        <f aca="false">DC_Cost!F49</f>
        <v>5.31096941013333</v>
      </c>
      <c r="G12" s="139" t="n">
        <f aca="false">DC_Cost!G49</f>
        <v>6.86635369333333</v>
      </c>
      <c r="H12" s="138" t="n">
        <f aca="false">DC_Cost!H49</f>
        <v>11.1475631381333</v>
      </c>
      <c r="I12" s="138" t="n">
        <f aca="false">DC_Cost!I49</f>
        <v>6.71294034533333</v>
      </c>
      <c r="J12" s="139" t="n">
        <f aca="false">DC_Cost!J49</f>
        <v>9.44573973333333</v>
      </c>
      <c r="K12" s="138" t="n">
        <f aca="false">DC_Cost!K49</f>
        <v>17.8545512153333</v>
      </c>
      <c r="L12" s="138" t="n">
        <f aca="false">DC_Cost!L49</f>
        <v>6.75946542693333</v>
      </c>
      <c r="M12" s="139" t="n">
        <f aca="false">DC_Cost!M49</f>
        <v>8.98952778666667</v>
      </c>
      <c r="N12" s="138" t="n">
        <f aca="false">DC_Cost!N49</f>
        <v>15.4872887429333</v>
      </c>
      <c r="O12" s="138" t="n">
        <f aca="false">DC_Cost!O49</f>
        <v>8.49277075213334</v>
      </c>
      <c r="P12" s="139" t="n">
        <f aca="false">DC_Cost!P49</f>
        <v>12.5813934266667</v>
      </c>
      <c r="Q12" s="138" t="n">
        <f aca="false">DC_Cost!Q49</f>
        <v>23.3229235101333</v>
      </c>
    </row>
    <row r="13" customFormat="false" ht="15" hidden="false" customHeight="true" outlineLevel="0" collapsed="false">
      <c r="A13" s="19" t="s">
        <v>1051</v>
      </c>
      <c r="B13" s="15" t="s">
        <v>1050</v>
      </c>
      <c r="C13" s="138" t="n">
        <f aca="false">DC_Cost!C55</f>
        <v>7.0000433103819</v>
      </c>
      <c r="D13" s="139" t="n">
        <f aca="false">DC_Cost!D55</f>
        <v>10.0957952959174</v>
      </c>
      <c r="E13" s="138" t="n">
        <f aca="false">DC_Cost!E55</f>
        <v>17.4059720636914</v>
      </c>
      <c r="F13" s="138" t="n">
        <f aca="false">DC_Cost!F55</f>
        <v>6.88900389081935</v>
      </c>
      <c r="G13" s="139" t="n">
        <f aca="false">DC_Cost!G55</f>
        <v>9.2685484797567</v>
      </c>
      <c r="H13" s="138" t="n">
        <f aca="false">DC_Cost!H55</f>
        <v>15.0831317178447</v>
      </c>
      <c r="I13" s="138" t="n">
        <f aca="false">DC_Cost!I55</f>
        <v>8.65796636448843</v>
      </c>
      <c r="J13" s="139" t="n">
        <f aca="false">DC_Cost!J55</f>
        <v>12.6529678995341</v>
      </c>
      <c r="K13" s="138" t="n">
        <f aca="false">DC_Cost!K55</f>
        <v>23.7300642726621</v>
      </c>
      <c r="L13" s="138" t="n">
        <f aca="false">DC_Cost!L55</f>
        <v>8.7166702372781</v>
      </c>
      <c r="M13" s="139" t="n">
        <f aca="false">DC_Cost!M55</f>
        <v>12.0543709668186</v>
      </c>
      <c r="N13" s="138" t="n">
        <f aca="false">DC_Cost!N55</f>
        <v>20.6780894215396</v>
      </c>
      <c r="O13" s="138" t="n">
        <f aca="false">DC_Cost!O55</f>
        <v>10.9036999386122</v>
      </c>
      <c r="P13" s="139" t="n">
        <f aca="false">DC_Cost!P55</f>
        <v>16.7672676161495</v>
      </c>
      <c r="Q13" s="138" t="n">
        <f aca="false">DC_Cost!Q55</f>
        <v>30.7801210005857</v>
      </c>
    </row>
    <row r="14" customFormat="false" ht="15" hidden="false" customHeight="true" outlineLevel="0" collapsed="false">
      <c r="A14" s="19" t="s">
        <v>818</v>
      </c>
      <c r="B14" s="15" t="s">
        <v>760</v>
      </c>
      <c r="C14" s="138" t="n">
        <f aca="false">DC_Cost!C58</f>
        <v>1.11286669150028</v>
      </c>
      <c r="D14" s="139" t="n">
        <f aca="false">DC_Cost!D58</f>
        <v>1.60502925637165</v>
      </c>
      <c r="E14" s="138" t="n">
        <f aca="false">DC_Cost!E58</f>
        <v>2.76720095633376</v>
      </c>
      <c r="F14" s="138" t="n">
        <f aca="false">DC_Cost!F58</f>
        <v>1.54359016643037</v>
      </c>
      <c r="G14" s="139" t="n">
        <f aca="false">DC_Cost!G58</f>
        <v>2.07676472784428</v>
      </c>
      <c r="H14" s="138" t="n">
        <f aca="false">DC_Cost!H58</f>
        <v>3.37961397142862</v>
      </c>
      <c r="I14" s="138" t="n">
        <f aca="false">DC_Cost!I58</f>
        <v>2.04424655562441</v>
      </c>
      <c r="J14" s="139" t="n">
        <f aca="false">DC_Cost!J58</f>
        <v>2.98751288214055</v>
      </c>
      <c r="K14" s="138" t="n">
        <f aca="false">DC_Cost!K58</f>
        <v>5.6029441686335</v>
      </c>
      <c r="L14" s="138" t="n">
        <f aca="false">DC_Cost!L58</f>
        <v>3.41070829238845</v>
      </c>
      <c r="M14" s="139" t="n">
        <f aca="false">DC_Cost!M58</f>
        <v>4.71670281161092</v>
      </c>
      <c r="N14" s="138" t="n">
        <f aca="false">DC_Cost!N58</f>
        <v>8.09104040200768</v>
      </c>
      <c r="O14" s="138" t="n">
        <f aca="false">DC_Cost!O58</f>
        <v>5.63852017134344</v>
      </c>
      <c r="P14" s="139" t="n">
        <f aca="false">DC_Cost!P58</f>
        <v>8.6706876752155</v>
      </c>
      <c r="Q14" s="138" t="n">
        <f aca="false">DC_Cost!Q58</f>
        <v>15.9170129511363</v>
      </c>
    </row>
    <row r="15" customFormat="false" ht="15" hidden="false" customHeight="true" outlineLevel="0" collapsed="false">
      <c r="A15" s="19" t="s">
        <v>1052</v>
      </c>
      <c r="B15" s="15" t="s">
        <v>1050</v>
      </c>
      <c r="C15" s="138" t="n">
        <f aca="false">DC_Cost!C43</f>
        <v>0.404712</v>
      </c>
      <c r="D15" s="139" t="n">
        <f aca="false">DC_Cost!D43</f>
        <v>0.672768</v>
      </c>
      <c r="E15" s="138" t="n">
        <f aca="false">DC_Cost!E43</f>
        <v>1.02492</v>
      </c>
      <c r="F15" s="138" t="n">
        <f aca="false">DC_Cost!F43</f>
        <v>0.404712</v>
      </c>
      <c r="G15" s="139" t="n">
        <f aca="false">DC_Cost!G43</f>
        <v>0.672768</v>
      </c>
      <c r="H15" s="138" t="n">
        <f aca="false">DC_Cost!H43</f>
        <v>1.02492</v>
      </c>
      <c r="I15" s="138" t="n">
        <f aca="false">DC_Cost!I43</f>
        <v>0.404712</v>
      </c>
      <c r="J15" s="139" t="n">
        <f aca="false">DC_Cost!J43</f>
        <v>0.672768</v>
      </c>
      <c r="K15" s="138" t="n">
        <f aca="false">DC_Cost!K43</f>
        <v>1.02492</v>
      </c>
      <c r="L15" s="138" t="n">
        <f aca="false">DC_Cost!L43</f>
        <v>0.404712</v>
      </c>
      <c r="M15" s="139" t="n">
        <f aca="false">DC_Cost!M43</f>
        <v>0.672768</v>
      </c>
      <c r="N15" s="138" t="n">
        <f aca="false">DC_Cost!N43</f>
        <v>1.02492</v>
      </c>
      <c r="O15" s="138" t="n">
        <f aca="false">DC_Cost!O43</f>
        <v>0.404712</v>
      </c>
      <c r="P15" s="139" t="n">
        <f aca="false">DC_Cost!P43</f>
        <v>0.672768</v>
      </c>
      <c r="Q15" s="138" t="n">
        <f aca="false">DC_Cost!Q43</f>
        <v>1.02492</v>
      </c>
    </row>
    <row r="17" customFormat="false" ht="15" hidden="false" customHeight="true" outlineLevel="0" collapsed="false">
      <c r="A17" s="140" t="s">
        <v>1053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204</v>
      </c>
      <c r="C18" s="10"/>
    </row>
    <row r="19" customFormat="false" ht="15" hidden="false" customHeight="true" outlineLevel="0" collapsed="false">
      <c r="A19" s="141" t="s">
        <v>1054</v>
      </c>
      <c r="B19" s="31" t="s">
        <v>300</v>
      </c>
      <c r="C19" s="113" t="n">
        <f aca="false">INDEX(Perf!$C$95:$Q$95,3*(Unit_Cost!C$6-1)+1)</f>
        <v>106537.426468019</v>
      </c>
      <c r="D19" s="142" t="n">
        <f aca="false">INDEX(Perf!$C$95:$Q$95,3*(Unit_Cost!D$6-1)+1)</f>
        <v>106537.426468019</v>
      </c>
      <c r="E19" s="142" t="n">
        <f aca="false">INDEX(Perf!$C$95:$Q$95,3*(Unit_Cost!E$6-1)+1)</f>
        <v>106537.426468019</v>
      </c>
      <c r="F19" s="142" t="n">
        <f aca="false">INDEX(Perf!$C$95:$Q$95,3*(Unit_Cost!F$6-1)+1)</f>
        <v>1674189.23865346</v>
      </c>
      <c r="G19" s="142" t="n">
        <f aca="false">INDEX(Perf!$C$95:$Q$95,3*(Unit_Cost!G$6-1)+1)</f>
        <v>1674189.23865346</v>
      </c>
      <c r="H19" s="142" t="n">
        <f aca="false">INDEX(Perf!$C$95:$Q$95,3*(Unit_Cost!H$6-1)+1)</f>
        <v>1674189.23865346</v>
      </c>
      <c r="I19" s="142" t="n">
        <f aca="false">INDEX(Perf!$C$95:$Q$95,3*(Unit_Cost!I$6-1)+1)</f>
        <v>2511283.85798019</v>
      </c>
      <c r="J19" s="142" t="n">
        <f aca="false">INDEX(Perf!$C$95:$Q$95,3*(Unit_Cost!J$6-1)+1)</f>
        <v>2511283.85798019</v>
      </c>
      <c r="K19" s="142" t="n">
        <f aca="false">INDEX(Perf!$C$95:$Q$95,3*(Unit_Cost!K$6-1)+1)</f>
        <v>2511283.85798019</v>
      </c>
      <c r="L19" s="142" t="n">
        <f aca="false">INDEX(Perf!$C$95:$Q$95,3*(Unit_Cost!L$6-1)+1)</f>
        <v>6139828.53444362</v>
      </c>
      <c r="M19" s="142" t="n">
        <f aca="false">INDEX(Perf!$C$95:$Q$95,3*(Unit_Cost!M$6-1)+1)</f>
        <v>6139828.53444362</v>
      </c>
      <c r="N19" s="142" t="n">
        <f aca="false">INDEX(Perf!$C$95:$Q$95,3*(Unit_Cost!N$6-1)+1)</f>
        <v>6139828.53444362</v>
      </c>
      <c r="O19" s="142" t="n">
        <f aca="false">INDEX(Perf!$C$95:$Q$95,3*(Unit_Cost!O$6-1)+1)</f>
        <v>25922780.3335087</v>
      </c>
      <c r="P19" s="142" t="n">
        <f aca="false">INDEX(Perf!$C$95:$Q$95,3*(Unit_Cost!P$6-1)+1)</f>
        <v>25922780.3335087</v>
      </c>
      <c r="Q19" s="142" t="n">
        <f aca="false">INDEX(Perf!$C$95:$Q$95,3*(Unit_Cost!Q$6-1)+1)</f>
        <v>25922780.3335087</v>
      </c>
    </row>
    <row r="20" customFormat="false" ht="15" hidden="false" customHeight="true" outlineLevel="0" collapsed="false">
      <c r="A20" s="141" t="s">
        <v>1055</v>
      </c>
      <c r="B20" s="31" t="s">
        <v>300</v>
      </c>
      <c r="C20" s="113" t="n">
        <f aca="false">INDEX(Perf!$C$96:$Q$96,3*(Unit_Cost!C$6-1)+1)</f>
        <v>11837.4918297798</v>
      </c>
      <c r="D20" s="142" t="n">
        <f aca="false">INDEX(Perf!$C$96:$Q$96,3*(Unit_Cost!D$6-1)+1)</f>
        <v>11837.4918297798</v>
      </c>
      <c r="E20" s="142" t="n">
        <f aca="false">INDEX(Perf!$C$96:$Q$96,3*(Unit_Cost!E$6-1)+1)</f>
        <v>11837.4918297798</v>
      </c>
      <c r="F20" s="142" t="n">
        <f aca="false">INDEX(Perf!$C$96:$Q$96,3*(Unit_Cost!F$6-1)+1)</f>
        <v>186021.026517051</v>
      </c>
      <c r="G20" s="142" t="n">
        <f aca="false">INDEX(Perf!$C$96:$Q$96,3*(Unit_Cost!G$6-1)+1)</f>
        <v>186021.026517051</v>
      </c>
      <c r="H20" s="142" t="n">
        <f aca="false">INDEX(Perf!$C$96:$Q$96,3*(Unit_Cost!H$6-1)+1)</f>
        <v>186021.026517051</v>
      </c>
      <c r="I20" s="142" t="n">
        <f aca="false">INDEX(Perf!$C$96:$Q$96,3*(Unit_Cost!I$6-1)+1)</f>
        <v>279031.539775577</v>
      </c>
      <c r="J20" s="142" t="n">
        <f aca="false">INDEX(Perf!$C$96:$Q$96,3*(Unit_Cost!J$6-1)+1)</f>
        <v>279031.539775577</v>
      </c>
      <c r="K20" s="142" t="n">
        <f aca="false">INDEX(Perf!$C$96:$Q$96,3*(Unit_Cost!K$6-1)+1)</f>
        <v>279031.539775577</v>
      </c>
      <c r="L20" s="142" t="n">
        <f aca="false">INDEX(Perf!$C$96:$Q$96,3*(Unit_Cost!L$6-1)+1)</f>
        <v>682203.170493735</v>
      </c>
      <c r="M20" s="142" t="n">
        <f aca="false">INDEX(Perf!$C$96:$Q$96,3*(Unit_Cost!M$6-1)+1)</f>
        <v>682203.170493735</v>
      </c>
      <c r="N20" s="142" t="n">
        <f aca="false">INDEX(Perf!$C$96:$Q$96,3*(Unit_Cost!N$6-1)+1)</f>
        <v>682203.170493735</v>
      </c>
      <c r="O20" s="142" t="n">
        <f aca="false">INDEX(Perf!$C$96:$Q$96,3*(Unit_Cost!O$6-1)+1)</f>
        <v>2880308.92594541</v>
      </c>
      <c r="P20" s="142" t="n">
        <f aca="false">INDEX(Perf!$C$96:$Q$96,3*(Unit_Cost!P$6-1)+1)</f>
        <v>2880308.92594541</v>
      </c>
      <c r="Q20" s="142" t="n">
        <f aca="false">INDEX(Perf!$C$96:$Q$96,3*(Unit_Cost!Q$6-1)+1)</f>
        <v>2880308.92594541</v>
      </c>
    </row>
    <row r="21" customFormat="false" ht="15" hidden="false" customHeight="true" outlineLevel="0" collapsed="false">
      <c r="A21" s="141" t="s">
        <v>1056</v>
      </c>
      <c r="B21" s="31" t="s">
        <v>707</v>
      </c>
      <c r="C21" s="135" t="n">
        <f aca="false">INDEX(Perf!$C$98:$Q$98,3*(Unit_Cost!C$6-1)+1)</f>
        <v>75389750703.5004</v>
      </c>
      <c r="D21" s="143" t="n">
        <f aca="false">INDEX(Perf!$C$98:$Q$98,3*(Unit_Cost!D$6-1)+1)</f>
        <v>75389750703.5004</v>
      </c>
      <c r="E21" s="143" t="n">
        <f aca="false">INDEX(Perf!$C$98:$Q$98,3*(Unit_Cost!E$6-1)+1)</f>
        <v>75389750703.5004</v>
      </c>
      <c r="F21" s="143" t="n">
        <f aca="false">INDEX(Perf!$C$98:$Q$98,3*(Unit_Cost!F$6-1)+1)</f>
        <v>373593212430.323</v>
      </c>
      <c r="G21" s="143" t="n">
        <f aca="false">INDEX(Perf!$C$98:$Q$98,3*(Unit_Cost!G$6-1)+1)</f>
        <v>373593212430.323</v>
      </c>
      <c r="H21" s="143" t="n">
        <f aca="false">INDEX(Perf!$C$98:$Q$98,3*(Unit_Cost!H$6-1)+1)</f>
        <v>373593212430.323</v>
      </c>
      <c r="I21" s="143" t="n">
        <f aca="false">INDEX(Perf!$C$98:$Q$98,3*(Unit_Cost!I$6-1)+1)</f>
        <v>531800117609.444</v>
      </c>
      <c r="J21" s="143" t="n">
        <f aca="false">INDEX(Perf!$C$98:$Q$98,3*(Unit_Cost!J$6-1)+1)</f>
        <v>531800117609.444</v>
      </c>
      <c r="K21" s="143" t="n">
        <f aca="false">INDEX(Perf!$C$98:$Q$98,3*(Unit_Cost!K$6-1)+1)</f>
        <v>531800117609.444</v>
      </c>
      <c r="L21" s="143" t="n">
        <f aca="false">INDEX(Perf!$C$98:$Q$98,3*(Unit_Cost!L$6-1)+1)</f>
        <v>784571063547.291</v>
      </c>
      <c r="M21" s="143" t="n">
        <f aca="false">INDEX(Perf!$C$98:$Q$98,3*(Unit_Cost!M$6-1)+1)</f>
        <v>784571063547.291</v>
      </c>
      <c r="N21" s="143" t="n">
        <f aca="false">INDEX(Perf!$C$98:$Q$98,3*(Unit_Cost!N$6-1)+1)</f>
        <v>784571063547.291</v>
      </c>
      <c r="O21" s="143" t="n">
        <f aca="false">INDEX(Perf!$C$98:$Q$98,3*(Unit_Cost!O$6-1)+1)</f>
        <v>1253228727316.01</v>
      </c>
      <c r="P21" s="143" t="n">
        <f aca="false">INDEX(Perf!$C$98:$Q$98,3*(Unit_Cost!P$6-1)+1)</f>
        <v>1253228727316.01</v>
      </c>
      <c r="Q21" s="143" t="n">
        <f aca="false">INDEX(Perf!$C$98:$Q$98,3*(Unit_Cost!Q$6-1)+1)</f>
        <v>1253228727316.01</v>
      </c>
    </row>
    <row r="22" customFormat="false" ht="15" hidden="false" customHeight="true" outlineLevel="0" collapsed="false">
      <c r="A22" s="14" t="s">
        <v>1057</v>
      </c>
      <c r="B22" s="31" t="s">
        <v>61</v>
      </c>
      <c r="C22" s="115" t="n">
        <f aca="false">INDEX(Perf!$C$120:$Q$120,3*(Unit_Cost!C$6-1)+1)</f>
        <v>0.0960904043065772</v>
      </c>
      <c r="D22" s="144" t="n">
        <f aca="false">INDEX(Perf!$C$120:$Q$120,3*(Unit_Cost!D$6-1)+1)</f>
        <v>0.0960904043065772</v>
      </c>
      <c r="E22" s="144" t="n">
        <f aca="false">INDEX(Perf!$C$120:$Q$120,3*(Unit_Cost!E$6-1)+1)</f>
        <v>0.0960904043065772</v>
      </c>
      <c r="F22" s="144" t="n">
        <f aca="false">INDEX(Perf!$C$120:$Q$120,3*(Unit_Cost!F$6-1)+1)</f>
        <v>0.476175109927189</v>
      </c>
      <c r="G22" s="144" t="n">
        <f aca="false">INDEX(Perf!$C$120:$Q$120,3*(Unit_Cost!G$6-1)+1)</f>
        <v>0.476175109927189</v>
      </c>
      <c r="H22" s="144" t="n">
        <f aca="false">INDEX(Perf!$C$120:$Q$120,3*(Unit_Cost!H$6-1)+1)</f>
        <v>0.476175109927189</v>
      </c>
      <c r="I22" s="144" t="n">
        <f aca="false">INDEX(Perf!$C$120:$Q$120,3*(Unit_Cost!I$6-1)+1)</f>
        <v>0.677822752224648</v>
      </c>
      <c r="J22" s="144" t="n">
        <f aca="false">INDEX(Perf!$C$120:$Q$120,3*(Unit_Cost!J$6-1)+1)</f>
        <v>0.677822752224648</v>
      </c>
      <c r="K22" s="144" t="n">
        <f aca="false">INDEX(Perf!$C$120:$Q$120,3*(Unit_Cost!K$6-1)+1)</f>
        <v>0.677822752224648</v>
      </c>
      <c r="L22" s="144" t="n">
        <f aca="false">INDEX(Perf!$C$120:$Q$120,3*(Unit_Cost!L$6-1)+1)</f>
        <v>1</v>
      </c>
      <c r="M22" s="144" t="n">
        <f aca="false">INDEX(Perf!$C$120:$Q$120,3*(Unit_Cost!M$6-1)+1)</f>
        <v>1</v>
      </c>
      <c r="N22" s="144" t="n">
        <f aca="false">INDEX(Perf!$C$120:$Q$120,3*(Unit_Cost!N$6-1)+1)</f>
        <v>1</v>
      </c>
      <c r="O22" s="144" t="n">
        <f aca="false">INDEX(Perf!$C$120:$Q$120,3*(Unit_Cost!O$6-1)+1)</f>
        <v>1.59734252962348</v>
      </c>
      <c r="P22" s="144" t="n">
        <f aca="false">INDEX(Perf!$C$120:$Q$120,3*(Unit_Cost!P$6-1)+1)</f>
        <v>1.59734252962348</v>
      </c>
      <c r="Q22" s="144" t="n">
        <f aca="false">INDEX(Perf!$C$120:$Q$120,3*(Unit_Cost!Q$6-1)+1)</f>
        <v>1.59734252962348</v>
      </c>
    </row>
    <row r="23" customFormat="false" ht="15" hidden="false" customHeight="true" outlineLevel="0" collapsed="false">
      <c r="A23" s="30" t="s">
        <v>1058</v>
      </c>
      <c r="B23" s="31" t="s">
        <v>715</v>
      </c>
      <c r="C23" s="145" t="n">
        <f aca="false">Unit_Cost!C16</f>
        <v>0.0395652738991736</v>
      </c>
      <c r="D23" s="145" t="n">
        <f aca="false">Unit_Cost!D16</f>
        <v>0.0570629192423047</v>
      </c>
      <c r="E23" s="145" t="n">
        <f aca="false">Unit_Cost!E16</f>
        <v>0.0983811130368197</v>
      </c>
      <c r="F23" s="145" t="n">
        <f aca="false">Unit_Cost!F16</f>
        <v>0.00543023762175232</v>
      </c>
      <c r="G23" s="145" t="n">
        <f aca="false">Unit_Cost!G16</f>
        <v>0.00730590684102865</v>
      </c>
      <c r="H23" s="145" t="n">
        <f aca="false">Unit_Cost!H16</f>
        <v>0.0118892354549599</v>
      </c>
      <c r="I23" s="145" t="n">
        <f aca="false">Unit_Cost!I16</f>
        <v>0.00479434018860947</v>
      </c>
      <c r="J23" s="145" t="n">
        <f aca="false">Unit_Cost!J16</f>
        <v>0.00700656828083046</v>
      </c>
      <c r="K23" s="145" t="n">
        <f aca="false">Unit_Cost!K16</f>
        <v>0.0131404992848378</v>
      </c>
      <c r="L23" s="145" t="n">
        <f aca="false">Unit_Cost!L16</f>
        <v>0.00342817800234057</v>
      </c>
      <c r="M23" s="145" t="n">
        <f aca="false">Unit_Cost!M16</f>
        <v>0.00474086184926097</v>
      </c>
      <c r="N23" s="145" t="n">
        <f aca="false">Unit_Cost!N16</f>
        <v>0.00813248285821226</v>
      </c>
      <c r="O23" s="145" t="n">
        <f aca="false">Unit_Cost!O16</f>
        <v>0.00271724694657648</v>
      </c>
      <c r="P23" s="145" t="n">
        <f aca="false">Unit_Cost!P16</f>
        <v>0.0041784721689812</v>
      </c>
      <c r="Q23" s="145" t="n">
        <f aca="false">Unit_Cost!Q16</f>
        <v>0.00767053296357873</v>
      </c>
    </row>
    <row r="24" customFormat="false" ht="15" hidden="false" customHeight="true" outlineLevel="0" collapsed="false">
      <c r="A24" s="30" t="s">
        <v>1059</v>
      </c>
      <c r="B24" s="31" t="s">
        <v>715</v>
      </c>
      <c r="C24" s="146" t="n">
        <f aca="false">Unit_Cost!C17</f>
        <v>8.64017334095354E-006</v>
      </c>
      <c r="D24" s="146" t="n">
        <f aca="false">Unit_Cost!D17</f>
        <v>1.24612688098854E-005</v>
      </c>
      <c r="E24" s="146" t="n">
        <f aca="false">Unit_Cost!E17</f>
        <v>2.14842407582024E-005</v>
      </c>
      <c r="F24" s="146" t="n">
        <f aca="false">Unit_Cost!F17</f>
        <v>1.19842625421469E-005</v>
      </c>
      <c r="G24" s="146" t="n">
        <f aca="false">Unit_Cost!G17</f>
        <v>1.61237705953466E-005</v>
      </c>
      <c r="H24" s="146" t="n">
        <f aca="false">Unit_Cost!H17</f>
        <v>2.62389473615083E-005</v>
      </c>
      <c r="I24" s="146" t="n">
        <f aca="false">Unit_Cost!I17</f>
        <v>1.58713031193618E-005</v>
      </c>
      <c r="J24" s="146" t="n">
        <f aca="false">Unit_Cost!J17</f>
        <v>2.31947180710634E-005</v>
      </c>
      <c r="K24" s="146" t="n">
        <f aca="false">Unit_Cost!K17</f>
        <v>4.35006359759184E-005</v>
      </c>
      <c r="L24" s="146" t="n">
        <f aca="false">Unit_Cost!L17</f>
        <v>2.64803602145159E-005</v>
      </c>
      <c r="M24" s="146" t="n">
        <f aca="false">Unit_Cost!M17</f>
        <v>3.6619956551257E-005</v>
      </c>
      <c r="N24" s="146" t="n">
        <f aca="false">Unit_Cost!N17</f>
        <v>6.28179386766985E-005</v>
      </c>
      <c r="O24" s="146" t="n">
        <f aca="false">Unit_Cost!O17</f>
        <v>4.37768441080692E-005</v>
      </c>
      <c r="P24" s="146" t="n">
        <f aca="false">Unit_Cost!P17</f>
        <v>6.73182557006314E-005</v>
      </c>
      <c r="Q24" s="146" t="n">
        <f aca="false">Unit_Cost!Q17</f>
        <v>0.000123577919995628</v>
      </c>
    </row>
    <row r="25" customFormat="false" ht="15" hidden="false" customHeight="true" outlineLevel="0" collapsed="false">
      <c r="A25" s="31" t="s">
        <v>1060</v>
      </c>
      <c r="B25" s="31" t="s">
        <v>715</v>
      </c>
      <c r="C25" s="39" t="n">
        <f aca="false">Unit_Cost!C18</f>
        <v>0.519140338600757</v>
      </c>
      <c r="D25" s="39" t="n">
        <f aca="false">Unit_Cost!D18</f>
        <v>0.748728880090389</v>
      </c>
      <c r="E25" s="39" t="n">
        <f aca="false">Unit_Cost!E18</f>
        <v>1.29086947468145</v>
      </c>
      <c r="F25" s="39" t="n">
        <f aca="false">Unit_Cost!F18</f>
        <v>0.122516775346788</v>
      </c>
      <c r="G25" s="39" t="n">
        <f aca="false">Unit_Cost!G18</f>
        <v>0.164835539343861</v>
      </c>
      <c r="H25" s="39" t="n">
        <f aca="false">Unit_Cost!H18</f>
        <v>0.268244392003298</v>
      </c>
      <c r="I25" s="39" t="n">
        <f aca="false">Unit_Cost!I18</f>
        <v>0.108169686252955</v>
      </c>
      <c r="J25" s="39" t="n">
        <f aca="false">Unit_Cost!J18</f>
        <v>0.15808187630239</v>
      </c>
      <c r="K25" s="39" t="n">
        <f aca="false">Unit_Cost!K18</f>
        <v>0.296475349877152</v>
      </c>
      <c r="L25" s="39" t="n">
        <f aca="false">Unit_Cost!L18</f>
        <v>0.0725655593101862</v>
      </c>
      <c r="M25" s="39" t="n">
        <f aca="false">Unit_Cost!M18</f>
        <v>0.1003516420294</v>
      </c>
      <c r="N25" s="39" t="n">
        <f aca="false">Unit_Cost!N18</f>
        <v>0.172143385432075</v>
      </c>
      <c r="O25" s="39" t="n">
        <f aca="false">Unit_Cost!O18</f>
        <v>0.0565664051908884</v>
      </c>
      <c r="P25" s="39" t="n">
        <f aca="false">Unit_Cost!P18</f>
        <v>0.0869855241119093</v>
      </c>
      <c r="Q25" s="39" t="n">
        <f aca="false">Unit_Cost!Q18</f>
        <v>0.159681649912067</v>
      </c>
    </row>
    <row r="26" customFormat="false" ht="15" hidden="false" customHeight="true" outlineLevel="0" collapsed="false">
      <c r="A26" s="31" t="s">
        <v>1061</v>
      </c>
      <c r="B26" s="31" t="s">
        <v>715</v>
      </c>
      <c r="C26" s="145" t="n">
        <f aca="false">Unit_Cost!C22</f>
        <v>0.400401004806236</v>
      </c>
      <c r="D26" s="145" t="n">
        <f aca="false">Unit_Cost!D22</f>
        <v>0.55598309354239</v>
      </c>
      <c r="E26" s="145" t="n">
        <f aca="false">Unit_Cost!E22</f>
        <v>0.960349758207274</v>
      </c>
      <c r="F26" s="145" t="n">
        <f aca="false">Unit_Cost!F22</f>
        <v>0.0944523847579912</v>
      </c>
      <c r="G26" s="145" t="n">
        <f aca="false">Unit_Cost!G22</f>
        <v>0.122113955258291</v>
      </c>
      <c r="H26" s="145" t="n">
        <f aca="false">Unit_Cost!H22</f>
        <v>0.198252680692909</v>
      </c>
      <c r="I26" s="145" t="n">
        <f aca="false">Unit_Cost!I22</f>
        <v>0.083869192882042</v>
      </c>
      <c r="J26" s="145" t="n">
        <f aca="false">Unit_Cost!J22</f>
        <v>0.118011858716907</v>
      </c>
      <c r="K26" s="145" t="n">
        <f aca="false">Unit_Cost!K22</f>
        <v>0.223068688632408</v>
      </c>
      <c r="L26" s="145" t="n">
        <f aca="false">Unit_Cost!L22</f>
        <v>0.0562719910230825</v>
      </c>
      <c r="M26" s="145" t="n">
        <f aca="false">Unit_Cost!M22</f>
        <v>0.0748370758577218</v>
      </c>
      <c r="N26" s="145" t="n">
        <f aca="false">Unit_Cost!N22</f>
        <v>0.128930398791849</v>
      </c>
      <c r="O26" s="145" t="n">
        <f aca="false">Unit_Cost!O22</f>
        <v>0.0440589446025828</v>
      </c>
      <c r="P26" s="145" t="n">
        <f aca="false">Unit_Cost!P22</f>
        <v>0.0652699728024053</v>
      </c>
      <c r="Q26" s="145" t="n">
        <f aca="false">Unit_Cost!Q22</f>
        <v>0.120995070383257</v>
      </c>
    </row>
    <row r="27" customFormat="false" ht="15" hidden="false" customHeight="true" outlineLevel="0" collapsed="false">
      <c r="A27" s="31" t="s">
        <v>1062</v>
      </c>
      <c r="B27" s="31" t="s">
        <v>731</v>
      </c>
      <c r="C27" s="147" t="n">
        <f aca="false">INDEX(Perf!$C$117:$Q$117,3*(Unit_Cost!C$6-1)+1)</f>
        <v>3.24809227036642</v>
      </c>
      <c r="D27" s="147" t="n">
        <f aca="false">INDEX(Perf!$C$117:$Q$117,3*(Unit_Cost!D$6-1)+1)</f>
        <v>3.24809227036642</v>
      </c>
      <c r="E27" s="147" t="n">
        <f aca="false">INDEX(Perf!$C$117:$Q$117,3*(Unit_Cost!E$6-1)+1)</f>
        <v>3.24809227036642</v>
      </c>
      <c r="F27" s="147" t="n">
        <f aca="false">INDEX(Perf!$C$117:$Q$117,3*(Unit_Cost!F$6-1)+1)</f>
        <v>16.097973448591</v>
      </c>
      <c r="G27" s="147" t="n">
        <f aca="false">INDEX(Perf!$C$117:$Q$117,3*(Unit_Cost!G$6-1)+1)</f>
        <v>16.097973448591</v>
      </c>
      <c r="H27" s="147" t="n">
        <f aca="false">INDEX(Perf!$C$117:$Q$117,3*(Unit_Cost!H$6-1)+1)</f>
        <v>16.097973448591</v>
      </c>
      <c r="I27" s="147" t="n">
        <f aca="false">INDEX(Perf!$C$117:$Q$117,3*(Unit_Cost!I$6-1)+1)</f>
        <v>22.9131738866806</v>
      </c>
      <c r="J27" s="147" t="n">
        <f aca="false">INDEX(Perf!$C$117:$Q$117,3*(Unit_Cost!J$6-1)+1)</f>
        <v>22.9131738866806</v>
      </c>
      <c r="K27" s="147" t="n">
        <f aca="false">INDEX(Perf!$C$117:$Q$117,3*(Unit_Cost!K$6-1)+1)</f>
        <v>22.9131738866806</v>
      </c>
      <c r="L27" s="147" t="n">
        <f aca="false">INDEX(Perf!$C$117:$Q$117,3*(Unit_Cost!L$6-1)+1)</f>
        <v>33.8096284936322</v>
      </c>
      <c r="M27" s="147" t="n">
        <f aca="false">INDEX(Perf!$C$117:$Q$117,3*(Unit_Cost!M$6-1)+1)</f>
        <v>33.8096284936322</v>
      </c>
      <c r="N27" s="147" t="n">
        <f aca="false">INDEX(Perf!$C$117:$Q$117,3*(Unit_Cost!N$6-1)+1)</f>
        <v>33.8096284936322</v>
      </c>
      <c r="O27" s="147" t="n">
        <f aca="false">INDEX(Perf!$C$117:$Q$117,3*(Unit_Cost!O$6-1)+1)</f>
        <v>54.0057923614764</v>
      </c>
      <c r="P27" s="147" t="n">
        <f aca="false">INDEX(Perf!$C$117:$Q$117,3*(Unit_Cost!P$6-1)+1)</f>
        <v>54.0057923614764</v>
      </c>
      <c r="Q27" s="147" t="n">
        <f aca="false">INDEX(Perf!$C$117:$Q$117,3*(Unit_Cost!Q$6-1)+1)</f>
        <v>54.0057923614764</v>
      </c>
    </row>
    <row r="28" customFormat="false" ht="15" hidden="false" customHeight="true" outlineLevel="0" collapsed="false">
      <c r="A28" s="148" t="s">
        <v>205</v>
      </c>
    </row>
    <row r="29" customFormat="false" ht="15" hidden="false" customHeight="true" outlineLevel="0" collapsed="false">
      <c r="A29" s="30" t="s">
        <v>1063</v>
      </c>
      <c r="B29" s="31" t="s">
        <v>300</v>
      </c>
      <c r="C29" s="142" t="n">
        <f aca="false">INDEX(Perf!$C$95:$Q$95,3*(Unit_Cost!C$6-1)+2)</f>
        <v>30535.2248708252</v>
      </c>
      <c r="D29" s="142" t="n">
        <f aca="false">INDEX(Perf!$C$95:$Q$95,3*(Unit_Cost!D$6-1)+2)</f>
        <v>30535.2248708252</v>
      </c>
      <c r="E29" s="142" t="n">
        <f aca="false">INDEX(Perf!$C$95:$Q$95,3*(Unit_Cost!E$6-1)+2)</f>
        <v>30535.2248708252</v>
      </c>
      <c r="F29" s="142" t="n">
        <f aca="false">INDEX(Perf!$C$95:$Q$95,3*(Unit_Cost!F$6-1)+2)</f>
        <v>475684.230660434</v>
      </c>
      <c r="G29" s="142" t="n">
        <f aca="false">INDEX(Perf!$C$95:$Q$95,3*(Unit_Cost!G$6-1)+2)</f>
        <v>475684.230660434</v>
      </c>
      <c r="H29" s="142" t="n">
        <f aca="false">INDEX(Perf!$C$95:$Q$95,3*(Unit_Cost!H$6-1)+2)</f>
        <v>475684.230660434</v>
      </c>
      <c r="I29" s="142" t="n">
        <f aca="false">INDEX(Perf!$C$95:$Q$95,3*(Unit_Cost!I$6-1)+2)</f>
        <v>713526.345990651</v>
      </c>
      <c r="J29" s="142" t="n">
        <f aca="false">INDEX(Perf!$C$95:$Q$95,3*(Unit_Cost!J$6-1)+2)</f>
        <v>713526.345990651</v>
      </c>
      <c r="K29" s="142" t="n">
        <f aca="false">INDEX(Perf!$C$95:$Q$95,3*(Unit_Cost!K$6-1)+2)</f>
        <v>713526.345990651</v>
      </c>
      <c r="L29" s="142" t="n">
        <f aca="false">INDEX(Perf!$C$95:$Q$95,3*(Unit_Cost!L$6-1)+2)</f>
        <v>1863289.56275099</v>
      </c>
      <c r="M29" s="142" t="n">
        <f aca="false">INDEX(Perf!$C$95:$Q$95,3*(Unit_Cost!M$6-1)+2)</f>
        <v>1863289.56275099</v>
      </c>
      <c r="N29" s="142" t="n">
        <f aca="false">INDEX(Perf!$C$95:$Q$95,3*(Unit_Cost!N$6-1)+2)</f>
        <v>1863289.56275099</v>
      </c>
      <c r="O29" s="142" t="n">
        <f aca="false">INDEX(Perf!$C$95:$Q$95,3*(Unit_Cost!O$6-1)+2)</f>
        <v>8001333.61896495</v>
      </c>
      <c r="P29" s="142" t="n">
        <f aca="false">INDEX(Perf!$C$95:$Q$95,3*(Unit_Cost!P$6-1)+2)</f>
        <v>8001333.61896495</v>
      </c>
      <c r="Q29" s="142" t="n">
        <f aca="false">INDEX(Perf!$C$95:$Q$95,3*(Unit_Cost!Q$6-1)+2)</f>
        <v>8001333.61896495</v>
      </c>
    </row>
    <row r="30" customFormat="false" ht="15" hidden="false" customHeight="true" outlineLevel="0" collapsed="false">
      <c r="A30" s="30" t="s">
        <v>1064</v>
      </c>
      <c r="B30" s="31" t="s">
        <v>300</v>
      </c>
      <c r="C30" s="142" t="n">
        <f aca="false">INDEX(Perf!$C$96:$Q$96,3*(Unit_Cost!C$6-1)+2)</f>
        <v>3392.80276342502</v>
      </c>
      <c r="D30" s="142" t="n">
        <f aca="false">INDEX(Perf!$C$96:$Q$96,3*(Unit_Cost!D$6-1)+2)</f>
        <v>3392.80276342502</v>
      </c>
      <c r="E30" s="142" t="n">
        <f aca="false">INDEX(Perf!$C$96:$Q$96,3*(Unit_Cost!E$6-1)+2)</f>
        <v>3392.80276342502</v>
      </c>
      <c r="F30" s="142" t="n">
        <f aca="false">INDEX(Perf!$C$96:$Q$96,3*(Unit_Cost!F$6-1)+2)</f>
        <v>52853.8034067149</v>
      </c>
      <c r="G30" s="142" t="n">
        <f aca="false">INDEX(Perf!$C$96:$Q$96,3*(Unit_Cost!G$6-1)+2)</f>
        <v>52853.8034067149</v>
      </c>
      <c r="H30" s="142" t="n">
        <f aca="false">INDEX(Perf!$C$96:$Q$96,3*(Unit_Cost!H$6-1)+2)</f>
        <v>52853.8034067149</v>
      </c>
      <c r="I30" s="142" t="n">
        <f aca="false">INDEX(Perf!$C$96:$Q$96,3*(Unit_Cost!I$6-1)+2)</f>
        <v>79280.7051100723</v>
      </c>
      <c r="J30" s="142" t="n">
        <f aca="false">INDEX(Perf!$C$96:$Q$96,3*(Unit_Cost!J$6-1)+2)</f>
        <v>79280.7051100723</v>
      </c>
      <c r="K30" s="142" t="n">
        <f aca="false">INDEX(Perf!$C$96:$Q$96,3*(Unit_Cost!K$6-1)+2)</f>
        <v>79280.7051100723</v>
      </c>
      <c r="L30" s="142" t="n">
        <f aca="false">INDEX(Perf!$C$96:$Q$96,3*(Unit_Cost!L$6-1)+2)</f>
        <v>207032.173638999</v>
      </c>
      <c r="M30" s="142" t="n">
        <f aca="false">INDEX(Perf!$C$96:$Q$96,3*(Unit_Cost!M$6-1)+2)</f>
        <v>207032.173638999</v>
      </c>
      <c r="N30" s="142" t="n">
        <f aca="false">INDEX(Perf!$C$96:$Q$96,3*(Unit_Cost!N$6-1)+2)</f>
        <v>207032.173638999</v>
      </c>
      <c r="O30" s="142" t="n">
        <f aca="false">INDEX(Perf!$C$96:$Q$96,3*(Unit_Cost!O$6-1)+2)</f>
        <v>889037.068773883</v>
      </c>
      <c r="P30" s="142" t="n">
        <f aca="false">INDEX(Perf!$C$96:$Q$96,3*(Unit_Cost!P$6-1)+2)</f>
        <v>889037.068773883</v>
      </c>
      <c r="Q30" s="142" t="n">
        <f aca="false">INDEX(Perf!$C$96:$Q$96,3*(Unit_Cost!Q$6-1)+2)</f>
        <v>889037.068773883</v>
      </c>
    </row>
    <row r="31" customFormat="false" ht="15" hidden="false" customHeight="true" outlineLevel="0" collapsed="false">
      <c r="A31" s="30" t="s">
        <v>1065</v>
      </c>
      <c r="B31" s="31" t="s">
        <v>707</v>
      </c>
      <c r="C31" s="143" t="n">
        <f aca="false">INDEX(Perf!$C$98:$Q$98,3*(Unit_Cost!C$6-1)+2)</f>
        <v>21607833669.3996</v>
      </c>
      <c r="D31" s="143" t="n">
        <f aca="false">INDEX(Perf!$C$98:$Q$98,3*(Unit_Cost!D$6-1)+2)</f>
        <v>21607833669.3996</v>
      </c>
      <c r="E31" s="143" t="n">
        <f aca="false">INDEX(Perf!$C$98:$Q$98,3*(Unit_Cost!E$6-1)+2)</f>
        <v>21607833669.3996</v>
      </c>
      <c r="F31" s="143" t="n">
        <f aca="false">INDEX(Perf!$C$98:$Q$98,3*(Unit_Cost!F$6-1)+2)</f>
        <v>106148334807.008</v>
      </c>
      <c r="G31" s="143" t="n">
        <f aca="false">INDEX(Perf!$C$98:$Q$98,3*(Unit_Cost!G$6-1)+2)</f>
        <v>106148334807.008</v>
      </c>
      <c r="H31" s="143" t="n">
        <f aca="false">INDEX(Perf!$C$98:$Q$98,3*(Unit_Cost!H$6-1)+2)</f>
        <v>106148334807.008</v>
      </c>
      <c r="I31" s="143" t="n">
        <f aca="false">INDEX(Perf!$C$98:$Q$98,3*(Unit_Cost!I$6-1)+2)</f>
        <v>151099364378.687</v>
      </c>
      <c r="J31" s="143" t="n">
        <f aca="false">INDEX(Perf!$C$98:$Q$98,3*(Unit_Cost!J$6-1)+2)</f>
        <v>151099364378.687</v>
      </c>
      <c r="K31" s="143" t="n">
        <f aca="false">INDEX(Perf!$C$98:$Q$98,3*(Unit_Cost!K$6-1)+2)</f>
        <v>151099364378.687</v>
      </c>
      <c r="L31" s="143" t="n">
        <f aca="false">INDEX(Perf!$C$98:$Q$98,3*(Unit_Cost!L$6-1)+2)</f>
        <v>238098354985.508</v>
      </c>
      <c r="M31" s="143" t="n">
        <f aca="false">INDEX(Perf!$C$98:$Q$98,3*(Unit_Cost!M$6-1)+2)</f>
        <v>238098354985.508</v>
      </c>
      <c r="N31" s="143" t="n">
        <f aca="false">INDEX(Perf!$C$98:$Q$98,3*(Unit_Cost!N$6-1)+2)</f>
        <v>238098354985.508</v>
      </c>
      <c r="O31" s="143" t="n">
        <f aca="false">INDEX(Perf!$C$98:$Q$98,3*(Unit_Cost!O$6-1)+2)</f>
        <v>386821977392.771</v>
      </c>
      <c r="P31" s="143" t="n">
        <f aca="false">INDEX(Perf!$C$98:$Q$98,3*(Unit_Cost!P$6-1)+2)</f>
        <v>386821977392.771</v>
      </c>
      <c r="Q31" s="143" t="n">
        <f aca="false">INDEX(Perf!$C$98:$Q$98,3*(Unit_Cost!Q$6-1)+2)</f>
        <v>386821977392.771</v>
      </c>
    </row>
    <row r="32" customFormat="false" ht="15" hidden="false" customHeight="true" outlineLevel="0" collapsed="false">
      <c r="A32" s="31" t="s">
        <v>1066</v>
      </c>
      <c r="B32" s="31" t="s">
        <v>61</v>
      </c>
      <c r="C32" s="144" t="n">
        <f aca="false">INDEX(Perf!$C$120:$Q$120,3*(Unit_Cost!C$6-1)+2)</f>
        <v>0.090751713386322</v>
      </c>
      <c r="D32" s="144" t="n">
        <f aca="false">INDEX(Perf!$C$120:$Q$120,3*(Unit_Cost!D$6-1)+2)</f>
        <v>0.090751713386322</v>
      </c>
      <c r="E32" s="144" t="n">
        <f aca="false">INDEX(Perf!$C$120:$Q$120,3*(Unit_Cost!E$6-1)+2)</f>
        <v>0.090751713386322</v>
      </c>
      <c r="F32" s="144" t="n">
        <f aca="false">INDEX(Perf!$C$120:$Q$120,3*(Unit_Cost!F$6-1)+2)</f>
        <v>0.445817170023996</v>
      </c>
      <c r="G32" s="144" t="n">
        <f aca="false">INDEX(Perf!$C$120:$Q$120,3*(Unit_Cost!G$6-1)+2)</f>
        <v>0.445817170023996</v>
      </c>
      <c r="H32" s="144" t="n">
        <f aca="false">INDEX(Perf!$C$120:$Q$120,3*(Unit_Cost!H$6-1)+2)</f>
        <v>0.445817170023996</v>
      </c>
      <c r="I32" s="144" t="n">
        <f aca="false">INDEX(Perf!$C$120:$Q$120,3*(Unit_Cost!I$6-1)+2)</f>
        <v>0.634609022762394</v>
      </c>
      <c r="J32" s="144" t="n">
        <f aca="false">INDEX(Perf!$C$120:$Q$120,3*(Unit_Cost!J$6-1)+2)</f>
        <v>0.634609022762394</v>
      </c>
      <c r="K32" s="144" t="n">
        <f aca="false">INDEX(Perf!$C$120:$Q$120,3*(Unit_Cost!K$6-1)+2)</f>
        <v>0.634609022762394</v>
      </c>
      <c r="L32" s="144" t="n">
        <f aca="false">INDEX(Perf!$C$120:$Q$120,3*(Unit_Cost!L$6-1)+2)</f>
        <v>1</v>
      </c>
      <c r="M32" s="144" t="n">
        <f aca="false">INDEX(Perf!$C$120:$Q$120,3*(Unit_Cost!M$6-1)+2)</f>
        <v>1</v>
      </c>
      <c r="N32" s="144" t="n">
        <f aca="false">INDEX(Perf!$C$120:$Q$120,3*(Unit_Cost!N$6-1)+2)</f>
        <v>1</v>
      </c>
      <c r="O32" s="144" t="n">
        <f aca="false">INDEX(Perf!$C$120:$Q$120,3*(Unit_Cost!O$6-1)+2)</f>
        <v>1.62463103710362</v>
      </c>
      <c r="P32" s="144" t="n">
        <f aca="false">INDEX(Perf!$C$120:$Q$120,3*(Unit_Cost!P$6-1)+2)</f>
        <v>1.62463103710362</v>
      </c>
      <c r="Q32" s="144" t="n">
        <f aca="false">INDEX(Perf!$C$120:$Q$120,3*(Unit_Cost!Q$6-1)+2)</f>
        <v>1.62463103710362</v>
      </c>
    </row>
    <row r="33" customFormat="false" ht="15" hidden="false" customHeight="true" outlineLevel="0" collapsed="false">
      <c r="A33" s="30" t="s">
        <v>1067</v>
      </c>
      <c r="B33" s="31" t="s">
        <v>715</v>
      </c>
      <c r="C33" s="145" t="n">
        <f aca="false">Unit_Cost!C29</f>
        <v>0.138822117979685</v>
      </c>
      <c r="D33" s="145" t="n">
        <f aca="false">Unit_Cost!D29</f>
        <v>0.200215859177609</v>
      </c>
      <c r="E33" s="145" t="n">
        <f aca="false">Unit_Cost!E29</f>
        <v>0.345188422447781</v>
      </c>
      <c r="F33" s="145" t="n">
        <f aca="false">Unit_Cost!F29</f>
        <v>0.0190529980837658</v>
      </c>
      <c r="G33" s="145" t="n">
        <f aca="false">Unit_Cost!G29</f>
        <v>0.0256341321942687</v>
      </c>
      <c r="H33" s="145" t="n">
        <f aca="false">Unit_Cost!H29</f>
        <v>0.041715592598265</v>
      </c>
      <c r="I33" s="145" t="n">
        <f aca="false">Unit_Cost!I29</f>
        <v>0.0168218337371801</v>
      </c>
      <c r="J33" s="145" t="n">
        <f aca="false">Unit_Cost!J29</f>
        <v>0.0245838472139196</v>
      </c>
      <c r="K33" s="145" t="n">
        <f aca="false">Unit_Cost!K29</f>
        <v>0.0461058843338328</v>
      </c>
      <c r="L33" s="145" t="n">
        <f aca="false">Unit_Cost!L29</f>
        <v>0.0120283997605846</v>
      </c>
      <c r="M33" s="145" t="n">
        <f aca="false">Unit_Cost!M29</f>
        <v>0.0166341950428717</v>
      </c>
      <c r="N33" s="145" t="n">
        <f aca="false">Unit_Cost!N29</f>
        <v>0.0285343277968332</v>
      </c>
      <c r="O33" s="145" t="n">
        <f aca="false">Unit_Cost!O29</f>
        <v>0.00953396600157135</v>
      </c>
      <c r="P33" s="145" t="n">
        <f aca="false">Unit_Cost!P29</f>
        <v>0.014660946311034</v>
      </c>
      <c r="Q33" s="145" t="n">
        <f aca="false">Unit_Cost!Q29</f>
        <v>0.0269134907229653</v>
      </c>
    </row>
    <row r="34" customFormat="false" ht="15" hidden="false" customHeight="true" outlineLevel="0" collapsed="false">
      <c r="A34" s="30" t="s">
        <v>1068</v>
      </c>
      <c r="B34" s="31" t="s">
        <v>715</v>
      </c>
      <c r="C34" s="146" t="n">
        <f aca="false">Unit_Cost!C30</f>
        <v>1.22569900883294E-005</v>
      </c>
      <c r="D34" s="146" t="n">
        <f aca="false">Unit_Cost!D30</f>
        <v>1.76776138930933E-005</v>
      </c>
      <c r="E34" s="146" t="n">
        <f aca="false">Unit_Cost!E30</f>
        <v>3.04776438662871E-005</v>
      </c>
      <c r="F34" s="146" t="n">
        <f aca="false">Unit_Cost!F30</f>
        <v>1.70009305830457E-005</v>
      </c>
      <c r="G34" s="146" t="n">
        <f aca="false">Unit_Cost!G30</f>
        <v>2.28732559608405E-005</v>
      </c>
      <c r="H34" s="146" t="n">
        <f aca="false">Unit_Cost!H30</f>
        <v>3.72226927686513E-005</v>
      </c>
      <c r="I34" s="146" t="n">
        <f aca="false">Unit_Cost!I30</f>
        <v>2.25151044251411E-005</v>
      </c>
      <c r="J34" s="146" t="n">
        <f aca="false">Unit_Cost!J30</f>
        <v>3.29041349380202E-005</v>
      </c>
      <c r="K34" s="146" t="n">
        <f aca="false">Unit_Cost!K30</f>
        <v>6.17102045239773E-005</v>
      </c>
      <c r="L34" s="146" t="n">
        <f aca="false">Unit_Cost!L30</f>
        <v>3.75651621647784E-005</v>
      </c>
      <c r="M34" s="146" t="n">
        <f aca="false">Unit_Cost!M30</f>
        <v>5.19492406889925E-005</v>
      </c>
      <c r="N34" s="146" t="n">
        <f aca="false">Unit_Cost!N30</f>
        <v>8.91138199832235E-005</v>
      </c>
      <c r="O34" s="146" t="n">
        <f aca="false">Unit_Cost!O30</f>
        <v>6.21020346649354E-005</v>
      </c>
      <c r="P34" s="146" t="n">
        <f aca="false">Unit_Cost!P30</f>
        <v>9.54979906450818E-005</v>
      </c>
      <c r="Q34" s="146" t="n">
        <f aca="false">Unit_Cost!Q30</f>
        <v>0.000175308212086821</v>
      </c>
    </row>
    <row r="35" customFormat="false" ht="15" hidden="false" customHeight="true" outlineLevel="0" collapsed="false">
      <c r="A35" s="31" t="s">
        <v>1069</v>
      </c>
      <c r="B35" s="31" t="s">
        <v>715</v>
      </c>
      <c r="C35" s="39" t="n">
        <f aca="false">Unit_Cost!C31</f>
        <v>1.80505035861887</v>
      </c>
      <c r="D35" s="39" t="n">
        <f aca="false">Unit_Cost!D31</f>
        <v>2.60332945260651</v>
      </c>
      <c r="E35" s="39" t="n">
        <f aca="false">Unit_Cost!E31</f>
        <v>4.48835167477874</v>
      </c>
      <c r="F35" s="39" t="n">
        <f aca="false">Unit_Cost!F31</f>
        <v>0.431674061993538</v>
      </c>
      <c r="G35" s="39" t="n">
        <f aca="false">Unit_Cost!G31</f>
        <v>0.580779461653743</v>
      </c>
      <c r="H35" s="39" t="n">
        <f aca="false">Unit_Cost!H31</f>
        <v>0.945128909696581</v>
      </c>
      <c r="I35" s="39" t="n">
        <f aca="false">Unit_Cost!I31</f>
        <v>0.381123709118288</v>
      </c>
      <c r="J35" s="39" t="n">
        <f aca="false">Unit_Cost!J31</f>
        <v>0.556983690420006</v>
      </c>
      <c r="K35" s="39" t="n">
        <f aca="false">Unit_Cost!K31</f>
        <v>1.04459751083206</v>
      </c>
      <c r="L35" s="39" t="n">
        <f aca="false">Unit_Cost!L31</f>
        <v>0.233258623605598</v>
      </c>
      <c r="M35" s="39" t="n">
        <f aca="false">Unit_Cost!M31</f>
        <v>0.32257569732607</v>
      </c>
      <c r="N35" s="39" t="n">
        <f aca="false">Unit_Cost!N31</f>
        <v>0.553346925599419</v>
      </c>
      <c r="O35" s="39" t="n">
        <f aca="false">Unit_Cost!O31</f>
        <v>0.177419388787309</v>
      </c>
      <c r="P35" s="39" t="n">
        <f aca="false">Unit_Cost!P31</f>
        <v>0.272828341649056</v>
      </c>
      <c r="Q35" s="39" t="n">
        <f aca="false">Unit_Cost!Q31</f>
        <v>0.50083827374824</v>
      </c>
    </row>
    <row r="36" customFormat="false" ht="15" hidden="false" customHeight="true" outlineLevel="0" collapsed="false">
      <c r="A36" s="31" t="s">
        <v>1070</v>
      </c>
      <c r="B36" s="31" t="s">
        <v>715</v>
      </c>
      <c r="C36" s="145" t="n">
        <f aca="false">Unit_Cost!C35</f>
        <v>1.39219383195086</v>
      </c>
      <c r="D36" s="145" t="n">
        <f aca="false">Unit_Cost!D35</f>
        <v>1.93315257506221</v>
      </c>
      <c r="E36" s="145" t="n">
        <f aca="false">Unit_Cost!E35</f>
        <v>3.33913500176821</v>
      </c>
      <c r="F36" s="145" t="n">
        <f aca="false">Unit_Cost!F35</f>
        <v>0.33279234193073</v>
      </c>
      <c r="G36" s="145" t="n">
        <f aca="false">Unit_Cost!G35</f>
        <v>0.430254770771076</v>
      </c>
      <c r="H36" s="145" t="n">
        <f aca="false">Unit_Cost!H35</f>
        <v>0.698520996276446</v>
      </c>
      <c r="I36" s="145" t="n">
        <f aca="false">Unit_Cost!I35</f>
        <v>0.295503657070907</v>
      </c>
      <c r="J36" s="145" t="n">
        <f aca="false">Unit_Cost!J35</f>
        <v>0.415801495522061</v>
      </c>
      <c r="K36" s="145" t="n">
        <f aca="false">Unit_Cost!K35</f>
        <v>0.785957405856976</v>
      </c>
      <c r="L36" s="145" t="n">
        <f aca="false">Unit_Cost!L35</f>
        <v>0.18088370431327</v>
      </c>
      <c r="M36" s="145" t="n">
        <f aca="false">Unit_Cost!M35</f>
        <v>0.240560308156951</v>
      </c>
      <c r="N36" s="145" t="n">
        <f aca="false">Unit_Cost!N35</f>
        <v>0.41444078498112</v>
      </c>
      <c r="O36" s="145" t="n">
        <f aca="false">Unit_Cost!O35</f>
        <v>0.138189990960629</v>
      </c>
      <c r="P36" s="145" t="n">
        <f aca="false">Unit_Cost!P35</f>
        <v>0.204717953026867</v>
      </c>
      <c r="Q36" s="145" t="n">
        <f aca="false">Unit_Cost!Q35</f>
        <v>0.379498597466694</v>
      </c>
    </row>
    <row r="37" customFormat="false" ht="15" hidden="false" customHeight="true" outlineLevel="0" collapsed="false">
      <c r="A37" s="31" t="s">
        <v>1071</v>
      </c>
      <c r="B37" s="31" t="s">
        <v>731</v>
      </c>
      <c r="C37" s="147" t="n">
        <f aca="false">INDEX(Perf!$C$117:$Q$117,3*(Unit_Cost!C$6-1)+2)</f>
        <v>0.93095197776906</v>
      </c>
      <c r="D37" s="147" t="n">
        <f aca="false">INDEX(Perf!$C$117:$Q$117,3*(Unit_Cost!D$6-1)+2)</f>
        <v>0.93095197776906</v>
      </c>
      <c r="E37" s="147" t="n">
        <f aca="false">INDEX(Perf!$C$117:$Q$117,3*(Unit_Cost!E$6-1)+2)</f>
        <v>0.93095197776906</v>
      </c>
      <c r="F37" s="147" t="n">
        <f aca="false">INDEX(Perf!$C$117:$Q$117,3*(Unit_Cost!F$6-1)+2)</f>
        <v>4.5738868332734</v>
      </c>
      <c r="G37" s="147" t="n">
        <f aca="false">INDEX(Perf!$C$117:$Q$117,3*(Unit_Cost!G$6-1)+2)</f>
        <v>4.5738868332734</v>
      </c>
      <c r="H37" s="147" t="n">
        <f aca="false">INDEX(Perf!$C$117:$Q$117,3*(Unit_Cost!H$6-1)+2)</f>
        <v>4.5738868332734</v>
      </c>
      <c r="I37" s="147" t="n">
        <f aca="false">INDEX(Perf!$C$117:$Q$117,3*(Unit_Cost!I$6-1)+2)</f>
        <v>6.51027687947674</v>
      </c>
      <c r="J37" s="147" t="n">
        <f aca="false">INDEX(Perf!$C$117:$Q$117,3*(Unit_Cost!J$6-1)+2)</f>
        <v>6.51027687947674</v>
      </c>
      <c r="K37" s="147" t="n">
        <f aca="false">INDEX(Perf!$C$117:$Q$117,3*(Unit_Cost!K$6-1)+2)</f>
        <v>6.51027687947674</v>
      </c>
      <c r="L37" s="147" t="n">
        <f aca="false">INDEX(Perf!$C$117:$Q$117,3*(Unit_Cost!L$6-1)+2)</f>
        <v>10.2604050812279</v>
      </c>
      <c r="M37" s="147" t="n">
        <f aca="false">INDEX(Perf!$C$117:$Q$117,3*(Unit_Cost!M$6-1)+2)</f>
        <v>10.2604050812279</v>
      </c>
      <c r="N37" s="147" t="n">
        <f aca="false">INDEX(Perf!$C$117:$Q$117,3*(Unit_Cost!N$6-1)+2)</f>
        <v>10.2604050812279</v>
      </c>
      <c r="O37" s="147" t="n">
        <f aca="false">INDEX(Perf!$C$117:$Q$117,3*(Unit_Cost!O$6-1)+2)</f>
        <v>16.6694450395103</v>
      </c>
      <c r="P37" s="147" t="n">
        <f aca="false">INDEX(Perf!$C$117:$Q$117,3*(Unit_Cost!P$6-1)+2)</f>
        <v>16.6694450395103</v>
      </c>
      <c r="Q37" s="147" t="n">
        <f aca="false">INDEX(Perf!$C$117:$Q$117,3*(Unit_Cost!Q$6-1)+2)</f>
        <v>16.6694450395103</v>
      </c>
    </row>
    <row r="38" customFormat="false" ht="15" hidden="false" customHeight="true" outlineLevel="0" collapsed="false">
      <c r="A38" s="148" t="s">
        <v>206</v>
      </c>
    </row>
    <row r="39" customFormat="false" ht="15" hidden="false" customHeight="true" outlineLevel="0" collapsed="false">
      <c r="A39" s="30" t="s">
        <v>1072</v>
      </c>
      <c r="B39" s="31" t="s">
        <v>300</v>
      </c>
      <c r="C39" s="142" t="n">
        <f aca="false">INDEX(Perf!$C$95:$Q$95,3*(Unit_Cost!C$6-1)+3)</f>
        <v>5579.27013513099</v>
      </c>
      <c r="D39" s="142" t="n">
        <f aca="false">INDEX(Perf!$C$95:$Q$95,3*(Unit_Cost!D$6-1)+3)</f>
        <v>5579.27013513099</v>
      </c>
      <c r="E39" s="142" t="n">
        <f aca="false">INDEX(Perf!$C$95:$Q$95,3*(Unit_Cost!E$6-1)+3)</f>
        <v>5579.27013513099</v>
      </c>
      <c r="F39" s="142" t="n">
        <f aca="false">INDEX(Perf!$C$95:$Q$95,3*(Unit_Cost!F$6-1)+3)</f>
        <v>92195.7410789118</v>
      </c>
      <c r="G39" s="142" t="n">
        <f aca="false">INDEX(Perf!$C$95:$Q$95,3*(Unit_Cost!G$6-1)+3)</f>
        <v>92195.7410789118</v>
      </c>
      <c r="H39" s="142" t="n">
        <f aca="false">INDEX(Perf!$C$95:$Q$95,3*(Unit_Cost!H$6-1)+3)</f>
        <v>92195.7410789118</v>
      </c>
      <c r="I39" s="142" t="n">
        <f aca="false">INDEX(Perf!$C$95:$Q$95,3*(Unit_Cost!I$6-1)+3)</f>
        <v>115025.957282061</v>
      </c>
      <c r="J39" s="142" t="n">
        <f aca="false">INDEX(Perf!$C$95:$Q$95,3*(Unit_Cost!J$6-1)+3)</f>
        <v>115025.957282061</v>
      </c>
      <c r="K39" s="142" t="n">
        <f aca="false">INDEX(Perf!$C$95:$Q$95,3*(Unit_Cost!K$6-1)+3)</f>
        <v>115025.957282061</v>
      </c>
      <c r="L39" s="142" t="n">
        <f aca="false">INDEX(Perf!$C$95:$Q$95,3*(Unit_Cost!L$6-1)+3)</f>
        <v>404208.12106271</v>
      </c>
      <c r="M39" s="142" t="n">
        <f aca="false">INDEX(Perf!$C$95:$Q$95,3*(Unit_Cost!M$6-1)+3)</f>
        <v>404208.12106271</v>
      </c>
      <c r="N39" s="142" t="n">
        <f aca="false">INDEX(Perf!$C$95:$Q$95,3*(Unit_Cost!N$6-1)+3)</f>
        <v>404208.12106271</v>
      </c>
      <c r="O39" s="142" t="n">
        <f aca="false">INDEX(Perf!$C$95:$Q$95,3*(Unit_Cost!O$6-1)+3)</f>
        <v>1835327.74127395</v>
      </c>
      <c r="P39" s="142" t="n">
        <f aca="false">INDEX(Perf!$C$95:$Q$95,3*(Unit_Cost!P$6-1)+3)</f>
        <v>1835327.74127395</v>
      </c>
      <c r="Q39" s="142" t="n">
        <f aca="false">INDEX(Perf!$C$95:$Q$95,3*(Unit_Cost!Q$6-1)+3)</f>
        <v>1835327.74127395</v>
      </c>
    </row>
    <row r="40" customFormat="false" ht="15" hidden="false" customHeight="true" outlineLevel="0" collapsed="false">
      <c r="A40" s="30" t="s">
        <v>1073</v>
      </c>
      <c r="B40" s="31" t="s">
        <v>300</v>
      </c>
      <c r="C40" s="142" t="n">
        <f aca="false">INDEX(Perf!$C$96:$Q$96,3*(Unit_Cost!C$6-1)+3)</f>
        <v>619.918903903443</v>
      </c>
      <c r="D40" s="142" t="n">
        <f aca="false">INDEX(Perf!$C$96:$Q$96,3*(Unit_Cost!D$6-1)+3)</f>
        <v>619.918903903443</v>
      </c>
      <c r="E40" s="142" t="n">
        <f aca="false">INDEX(Perf!$C$96:$Q$96,3*(Unit_Cost!E$6-1)+3)</f>
        <v>619.918903903443</v>
      </c>
      <c r="F40" s="142" t="n">
        <f aca="false">INDEX(Perf!$C$96:$Q$96,3*(Unit_Cost!F$6-1)+3)</f>
        <v>10243.9712309902</v>
      </c>
      <c r="G40" s="142" t="n">
        <f aca="false">INDEX(Perf!$C$96:$Q$96,3*(Unit_Cost!G$6-1)+3)</f>
        <v>10243.9712309902</v>
      </c>
      <c r="H40" s="142" t="n">
        <f aca="false">INDEX(Perf!$C$96:$Q$96,3*(Unit_Cost!H$6-1)+3)</f>
        <v>10243.9712309902</v>
      </c>
      <c r="I40" s="142" t="n">
        <f aca="false">INDEX(Perf!$C$96:$Q$96,3*(Unit_Cost!I$6-1)+3)</f>
        <v>12780.661920229</v>
      </c>
      <c r="J40" s="142" t="n">
        <f aca="false">INDEX(Perf!$C$96:$Q$96,3*(Unit_Cost!J$6-1)+3)</f>
        <v>12780.661920229</v>
      </c>
      <c r="K40" s="142" t="n">
        <f aca="false">INDEX(Perf!$C$96:$Q$96,3*(Unit_Cost!K$6-1)+3)</f>
        <v>12780.661920229</v>
      </c>
      <c r="L40" s="142" t="n">
        <f aca="false">INDEX(Perf!$C$96:$Q$96,3*(Unit_Cost!L$6-1)+3)</f>
        <v>44912.0134514122</v>
      </c>
      <c r="M40" s="142" t="n">
        <f aca="false">INDEX(Perf!$C$96:$Q$96,3*(Unit_Cost!M$6-1)+3)</f>
        <v>44912.0134514122</v>
      </c>
      <c r="N40" s="142" t="n">
        <f aca="false">INDEX(Perf!$C$96:$Q$96,3*(Unit_Cost!N$6-1)+3)</f>
        <v>44912.0134514122</v>
      </c>
      <c r="O40" s="142" t="n">
        <f aca="false">INDEX(Perf!$C$96:$Q$96,3*(Unit_Cost!O$6-1)+3)</f>
        <v>203925.304585995</v>
      </c>
      <c r="P40" s="142" t="n">
        <f aca="false">INDEX(Perf!$C$96:$Q$96,3*(Unit_Cost!P$6-1)+3)</f>
        <v>203925.304585995</v>
      </c>
      <c r="Q40" s="142" t="n">
        <f aca="false">INDEX(Perf!$C$96:$Q$96,3*(Unit_Cost!Q$6-1)+3)</f>
        <v>203925.304585995</v>
      </c>
    </row>
    <row r="41" customFormat="false" ht="15" hidden="false" customHeight="true" outlineLevel="0" collapsed="false">
      <c r="A41" s="30" t="s">
        <v>1074</v>
      </c>
      <c r="B41" s="31" t="s">
        <v>707</v>
      </c>
      <c r="C41" s="143" t="n">
        <f aca="false">INDEX(Perf!$C$98:$Q$98,3*(Unit_Cost!C$6-1)+3)</f>
        <v>3948094097.44167</v>
      </c>
      <c r="D41" s="143" t="n">
        <f aca="false">INDEX(Perf!$C$98:$Q$98,3*(Unit_Cost!D$6-1)+3)</f>
        <v>3948094097.44167</v>
      </c>
      <c r="E41" s="143" t="n">
        <f aca="false">INDEX(Perf!$C$98:$Q$98,3*(Unit_Cost!E$6-1)+3)</f>
        <v>3948094097.44167</v>
      </c>
      <c r="F41" s="143" t="n">
        <f aca="false">INDEX(Perf!$C$98:$Q$98,3*(Unit_Cost!F$6-1)+3)</f>
        <v>20573363086.3425</v>
      </c>
      <c r="G41" s="143" t="n">
        <f aca="false">INDEX(Perf!$C$98:$Q$98,3*(Unit_Cost!G$6-1)+3)</f>
        <v>20573363086.3425</v>
      </c>
      <c r="H41" s="143" t="n">
        <f aca="false">INDEX(Perf!$C$98:$Q$98,3*(Unit_Cost!H$6-1)+3)</f>
        <v>20573363086.3425</v>
      </c>
      <c r="I41" s="143" t="n">
        <f aca="false">INDEX(Perf!$C$98:$Q$98,3*(Unit_Cost!I$6-1)+3)</f>
        <v>24358384424.1081</v>
      </c>
      <c r="J41" s="143" t="n">
        <f aca="false">INDEX(Perf!$C$98:$Q$98,3*(Unit_Cost!J$6-1)+3)</f>
        <v>24358384424.1081</v>
      </c>
      <c r="K41" s="143" t="n">
        <f aca="false">INDEX(Perf!$C$98:$Q$98,3*(Unit_Cost!K$6-1)+3)</f>
        <v>24358384424.1081</v>
      </c>
      <c r="L41" s="143" t="n">
        <f aca="false">INDEX(Perf!$C$98:$Q$98,3*(Unit_Cost!L$6-1)+3)</f>
        <v>51651278803.2379</v>
      </c>
      <c r="M41" s="143" t="n">
        <f aca="false">INDEX(Perf!$C$98:$Q$98,3*(Unit_Cost!M$6-1)+3)</f>
        <v>51651278803.2379</v>
      </c>
      <c r="N41" s="143" t="n">
        <f aca="false">INDEX(Perf!$C$98:$Q$98,3*(Unit_Cost!N$6-1)+3)</f>
        <v>51651278803.2379</v>
      </c>
      <c r="O41" s="143" t="n">
        <f aca="false">INDEX(Perf!$C$98:$Q$98,3*(Unit_Cost!O$6-1)+3)</f>
        <v>88728347029.634</v>
      </c>
      <c r="P41" s="143" t="n">
        <f aca="false">INDEX(Perf!$C$98:$Q$98,3*(Unit_Cost!P$6-1)+3)</f>
        <v>88728347029.634</v>
      </c>
      <c r="Q41" s="143" t="n">
        <f aca="false">INDEX(Perf!$C$98:$Q$98,3*(Unit_Cost!Q$6-1)+3)</f>
        <v>88728347029.634</v>
      </c>
    </row>
    <row r="42" customFormat="false" ht="15" hidden="false" customHeight="true" outlineLevel="0" collapsed="false">
      <c r="A42" s="31" t="s">
        <v>1075</v>
      </c>
      <c r="B42" s="31" t="s">
        <v>61</v>
      </c>
      <c r="C42" s="144" t="n">
        <f aca="false">INDEX(Perf!$C$120:$Q$120,3*(Unit_Cost!C$6-1)+3)</f>
        <v>0.0764374898147571</v>
      </c>
      <c r="D42" s="144" t="n">
        <f aca="false">INDEX(Perf!$C$120:$Q$120,3*(Unit_Cost!D$6-1)+3)</f>
        <v>0.0764374898147571</v>
      </c>
      <c r="E42" s="144" t="n">
        <f aca="false">INDEX(Perf!$C$120:$Q$120,3*(Unit_Cost!E$6-1)+3)</f>
        <v>0.0764374898147571</v>
      </c>
      <c r="F42" s="144" t="n">
        <f aca="false">INDEX(Perf!$C$120:$Q$120,3*(Unit_Cost!F$6-1)+3)</f>
        <v>0.398312753585741</v>
      </c>
      <c r="G42" s="144" t="n">
        <f aca="false">INDEX(Perf!$C$120:$Q$120,3*(Unit_Cost!G$6-1)+3)</f>
        <v>0.398312753585741</v>
      </c>
      <c r="H42" s="144" t="n">
        <f aca="false">INDEX(Perf!$C$120:$Q$120,3*(Unit_Cost!H$6-1)+3)</f>
        <v>0.398312753585741</v>
      </c>
      <c r="I42" s="144" t="n">
        <f aca="false">INDEX(Perf!$C$120:$Q$120,3*(Unit_Cost!I$6-1)+3)</f>
        <v>0.471593056135159</v>
      </c>
      <c r="J42" s="144" t="n">
        <f aca="false">INDEX(Perf!$C$120:$Q$120,3*(Unit_Cost!J$6-1)+3)</f>
        <v>0.471593056135159</v>
      </c>
      <c r="K42" s="144" t="n">
        <f aca="false">INDEX(Perf!$C$120:$Q$120,3*(Unit_Cost!K$6-1)+3)</f>
        <v>0.471593056135159</v>
      </c>
      <c r="L42" s="144" t="n">
        <f aca="false">INDEX(Perf!$C$120:$Q$120,3*(Unit_Cost!L$6-1)+3)</f>
        <v>1</v>
      </c>
      <c r="M42" s="144" t="n">
        <f aca="false">INDEX(Perf!$C$120:$Q$120,3*(Unit_Cost!M$6-1)+3)</f>
        <v>1</v>
      </c>
      <c r="N42" s="144" t="n">
        <f aca="false">INDEX(Perf!$C$120:$Q$120,3*(Unit_Cost!N$6-1)+3)</f>
        <v>1</v>
      </c>
      <c r="O42" s="144" t="n">
        <f aca="false">INDEX(Perf!$C$120:$Q$120,3*(Unit_Cost!O$6-1)+3)</f>
        <v>1.71783446771258</v>
      </c>
      <c r="P42" s="144" t="n">
        <f aca="false">INDEX(Perf!$C$120:$Q$120,3*(Unit_Cost!P$6-1)+3)</f>
        <v>1.71783446771258</v>
      </c>
      <c r="Q42" s="144" t="n">
        <f aca="false">INDEX(Perf!$C$120:$Q$120,3*(Unit_Cost!Q$6-1)+3)</f>
        <v>1.71783446771258</v>
      </c>
    </row>
    <row r="43" customFormat="false" ht="15" hidden="false" customHeight="true" outlineLevel="0" collapsed="false">
      <c r="A43" s="30" t="s">
        <v>1076</v>
      </c>
      <c r="B43" s="31" t="s">
        <v>715</v>
      </c>
      <c r="C43" s="145" t="n">
        <f aca="false">Unit_Cost!C42</f>
        <v>0.458753834035265</v>
      </c>
      <c r="D43" s="145" t="n">
        <f aca="false">Unit_Cost!D42</f>
        <v>0.661636591986257</v>
      </c>
      <c r="E43" s="145" t="n">
        <f aca="false">Unit_Cost!E42</f>
        <v>1.14071528778777</v>
      </c>
      <c r="F43" s="145" t="n">
        <f aca="false">Unit_Cost!F42</f>
        <v>0.062962848053314</v>
      </c>
      <c r="G43" s="145" t="n">
        <f aca="false">Unit_Cost!G42</f>
        <v>0.0847109711149092</v>
      </c>
      <c r="H43" s="145" t="n">
        <f aca="false">Unit_Cost!H42</f>
        <v>0.137854027312188</v>
      </c>
      <c r="I43" s="145" t="n">
        <f aca="false">Unit_Cost!I42</f>
        <v>0.0555897059830512</v>
      </c>
      <c r="J43" s="145" t="n">
        <f aca="false">Unit_Cost!J42</f>
        <v>0.0812401822479987</v>
      </c>
      <c r="K43" s="145" t="n">
        <f aca="false">Unit_Cost!K42</f>
        <v>0.152362256948331</v>
      </c>
      <c r="L43" s="145" t="n">
        <f aca="false">Unit_Cost!L42</f>
        <v>0.0397492459255272</v>
      </c>
      <c r="M43" s="145" t="n">
        <f aca="false">Unit_Cost!M42</f>
        <v>0.054969632095114</v>
      </c>
      <c r="N43" s="145" t="n">
        <f aca="false">Unit_Cost!N42</f>
        <v>0.0942950047796553</v>
      </c>
      <c r="O43" s="145" t="n">
        <f aca="false">Unit_Cost!O42</f>
        <v>0.0315060994633634</v>
      </c>
      <c r="P43" s="145" t="n">
        <f aca="false">Unit_Cost!P42</f>
        <v>0.0484488021696676</v>
      </c>
      <c r="Q43" s="145" t="n">
        <f aca="false">Unit_Cost!Q42</f>
        <v>0.0889387601638498</v>
      </c>
    </row>
    <row r="44" customFormat="false" ht="15" hidden="false" customHeight="true" outlineLevel="0" collapsed="false">
      <c r="A44" s="30" t="s">
        <v>1077</v>
      </c>
      <c r="B44" s="31" t="s">
        <v>715</v>
      </c>
      <c r="C44" s="146" t="n">
        <f aca="false">Unit_Cost!C43</f>
        <v>0.000178058670640044</v>
      </c>
      <c r="D44" s="146" t="n">
        <f aca="false">Unit_Cost!D43</f>
        <v>0.000256804681019464</v>
      </c>
      <c r="E44" s="146" t="n">
        <f aca="false">Unit_Cost!E43</f>
        <v>0.000442752153013402</v>
      </c>
      <c r="F44" s="146" t="n">
        <f aca="false">Unit_Cost!F43</f>
        <v>0.00024697442662886</v>
      </c>
      <c r="G44" s="146" t="n">
        <f aca="false">Unit_Cost!G43</f>
        <v>0.000332282356455085</v>
      </c>
      <c r="H44" s="146" t="n">
        <f aca="false">Unit_Cost!H43</f>
        <v>0.000540738235428579</v>
      </c>
      <c r="I44" s="146" t="n">
        <f aca="false">Unit_Cost!I43</f>
        <v>0.000327079448899906</v>
      </c>
      <c r="J44" s="146" t="n">
        <f aca="false">Unit_Cost!J43</f>
        <v>0.000478002061142488</v>
      </c>
      <c r="K44" s="146" t="n">
        <f aca="false">Unit_Cost!K43</f>
        <v>0.00089647106698136</v>
      </c>
      <c r="L44" s="146" t="n">
        <f aca="false">Unit_Cost!L43</f>
        <v>0.000545713326782153</v>
      </c>
      <c r="M44" s="146" t="n">
        <f aca="false">Unit_Cost!M43</f>
        <v>0.000754672449857747</v>
      </c>
      <c r="N44" s="146" t="n">
        <f aca="false">Unit_Cost!N43</f>
        <v>0.00129456646432123</v>
      </c>
      <c r="O44" s="146" t="n">
        <f aca="false">Unit_Cost!O43</f>
        <v>0.000902163227414951</v>
      </c>
      <c r="P44" s="146" t="n">
        <f aca="false">Unit_Cost!P43</f>
        <v>0.00138731002803448</v>
      </c>
      <c r="Q44" s="146" t="n">
        <f aca="false">Unit_Cost!Q43</f>
        <v>0.00254672207218181</v>
      </c>
    </row>
    <row r="45" customFormat="false" ht="15" hidden="false" customHeight="true" outlineLevel="0" collapsed="false">
      <c r="A45" s="31" t="s">
        <v>1078</v>
      </c>
      <c r="B45" s="31" t="s">
        <v>715</v>
      </c>
      <c r="C45" s="39" t="n">
        <f aca="false">Unit_Cost!C44</f>
        <v>12.2871345417539</v>
      </c>
      <c r="D45" s="39" t="n">
        <f aca="false">Unit_Cost!D44</f>
        <v>17.7210896571117</v>
      </c>
      <c r="E45" s="39" t="n">
        <f aca="false">Unit_Cost!E44</f>
        <v>30.5525996188327</v>
      </c>
      <c r="F45" s="39" t="n">
        <f aca="false">Unit_Cost!F44</f>
        <v>2.50995301687188</v>
      </c>
      <c r="G45" s="39" t="n">
        <f aca="false">Unit_Cost!G44</f>
        <v>3.37692089995637</v>
      </c>
      <c r="H45" s="39" t="n">
        <f aca="false">Unit_Cost!H44</f>
        <v>5.49541741579386</v>
      </c>
      <c r="I45" s="39" t="n">
        <f aca="false">Unit_Cost!I44</f>
        <v>2.75425055641743</v>
      </c>
      <c r="J45" s="39" t="n">
        <f aca="false">Unit_Cost!J44</f>
        <v>4.02513043023155</v>
      </c>
      <c r="K45" s="39" t="n">
        <f aca="false">Unit_Cost!K44</f>
        <v>7.54894856081632</v>
      </c>
      <c r="L45" s="39" t="n">
        <f aca="false">Unit_Cost!L44</f>
        <v>1.20084610690165</v>
      </c>
      <c r="M45" s="39" t="n">
        <f aca="false">Unit_Cost!M44</f>
        <v>1.66066216257053</v>
      </c>
      <c r="N45" s="39" t="n">
        <f aca="false">Unit_Cost!N44</f>
        <v>2.84870283079263</v>
      </c>
      <c r="O45" s="39" t="n">
        <f aca="false">Unit_Cost!O44</f>
        <v>0.853948360024336</v>
      </c>
      <c r="P45" s="39" t="n">
        <f aca="false">Unit_Cost!P44</f>
        <v>1.31316716009359</v>
      </c>
      <c r="Q45" s="39" t="n">
        <f aca="false">Unit_Cost!Q44</f>
        <v>2.4106160292179</v>
      </c>
    </row>
    <row r="46" customFormat="false" ht="15" hidden="false" customHeight="true" outlineLevel="0" collapsed="false">
      <c r="A46" s="31" t="s">
        <v>1079</v>
      </c>
      <c r="B46" s="31" t="s">
        <v>715</v>
      </c>
      <c r="C46" s="145" t="n">
        <f aca="false">Unit_Cost!C48</f>
        <v>9.47678431224973</v>
      </c>
      <c r="D46" s="145" t="n">
        <f aca="false">Unit_Cost!D48</f>
        <v>13.1591374534846</v>
      </c>
      <c r="E46" s="145" t="n">
        <f aca="false">Unit_Cost!E48</f>
        <v>22.7297819276346</v>
      </c>
      <c r="F46" s="145" t="n">
        <f aca="false">Unit_Cost!F48</f>
        <v>1.9350088786048</v>
      </c>
      <c r="G46" s="145" t="n">
        <f aca="false">Unit_Cost!G48</f>
        <v>2.50170060006188</v>
      </c>
      <c r="H46" s="145" t="n">
        <f aca="false">Unit_Cost!H48</f>
        <v>4.06152473895609</v>
      </c>
      <c r="I46" s="145" t="n">
        <f aca="false">Unit_Cost!I48</f>
        <v>2.13550375491945</v>
      </c>
      <c r="J46" s="145" t="n">
        <f aca="false">Unit_Cost!J48</f>
        <v>3.00485504575471</v>
      </c>
      <c r="K46" s="145" t="n">
        <f aca="false">Unit_Cost!K48</f>
        <v>5.6798450755267</v>
      </c>
      <c r="L46" s="145" t="n">
        <f aca="false">Unit_Cost!L48</f>
        <v>0.931213126310015</v>
      </c>
      <c r="M46" s="145" t="n">
        <f aca="false">Unit_Cost!M48</f>
        <v>1.23843614036657</v>
      </c>
      <c r="N46" s="145" t="n">
        <f aca="false">Unit_Cost!N48</f>
        <v>2.13359572946523</v>
      </c>
      <c r="O46" s="145" t="n">
        <f aca="false">Unit_Cost!O48</f>
        <v>0.665130891044125</v>
      </c>
      <c r="P46" s="145" t="n">
        <f aca="false">Unit_Cost!P48</f>
        <v>0.985340787440122</v>
      </c>
      <c r="Q46" s="145" t="n">
        <f aca="false">Unit_Cost!Q48</f>
        <v>1.82658844195838</v>
      </c>
    </row>
    <row r="47" customFormat="false" ht="15" hidden="false" customHeight="true" outlineLevel="0" collapsed="false">
      <c r="A47" s="31" t="s">
        <v>1080</v>
      </c>
      <c r="B47" s="31" t="s">
        <v>731</v>
      </c>
      <c r="C47" s="147" t="n">
        <f aca="false">INDEX(Perf!$C$117:$Q$117,3*(Unit_Cost!C$6-1)+3)</f>
        <v>0.170099699241798</v>
      </c>
      <c r="D47" s="147" t="n">
        <f aca="false">INDEX(Perf!$C$117:$Q$117,3*(Unit_Cost!D$6-1)+3)</f>
        <v>0.170099699241798</v>
      </c>
      <c r="E47" s="147" t="n">
        <f aca="false">INDEX(Perf!$C$117:$Q$117,3*(Unit_Cost!E$6-1)+3)</f>
        <v>0.170099699241798</v>
      </c>
      <c r="F47" s="147" t="n">
        <f aca="false">INDEX(Perf!$C$117:$Q$117,3*(Unit_Cost!F$6-1)+3)</f>
        <v>0.886497510374152</v>
      </c>
      <c r="G47" s="147" t="n">
        <f aca="false">INDEX(Perf!$C$117:$Q$117,3*(Unit_Cost!G$6-1)+3)</f>
        <v>0.886497510374152</v>
      </c>
      <c r="H47" s="147" t="n">
        <f aca="false">INDEX(Perf!$C$117:$Q$117,3*(Unit_Cost!H$6-1)+3)</f>
        <v>0.886497510374152</v>
      </c>
      <c r="I47" s="147" t="n">
        <f aca="false">INDEX(Perf!$C$117:$Q$117,3*(Unit_Cost!I$6-1)+3)</f>
        <v>1.04950690950785</v>
      </c>
      <c r="J47" s="147" t="n">
        <f aca="false">INDEX(Perf!$C$117:$Q$117,3*(Unit_Cost!J$6-1)+3)</f>
        <v>1.04950690950785</v>
      </c>
      <c r="K47" s="147" t="n">
        <f aca="false">INDEX(Perf!$C$117:$Q$117,3*(Unit_Cost!K$6-1)+3)</f>
        <v>1.04950690950785</v>
      </c>
      <c r="L47" s="147" t="n">
        <f aca="false">INDEX(Perf!$C$117:$Q$117,3*(Unit_Cost!L$6-1)+3)</f>
        <v>2.22581564461845</v>
      </c>
      <c r="M47" s="147" t="n">
        <f aca="false">INDEX(Perf!$C$117:$Q$117,3*(Unit_Cost!M$6-1)+3)</f>
        <v>2.22581564461845</v>
      </c>
      <c r="N47" s="147" t="n">
        <f aca="false">INDEX(Perf!$C$117:$Q$117,3*(Unit_Cost!N$6-1)+3)</f>
        <v>2.22581564461845</v>
      </c>
      <c r="O47" s="147" t="n">
        <f aca="false">INDEX(Perf!$C$117:$Q$117,3*(Unit_Cost!O$6-1)+3)</f>
        <v>3.8235994609874</v>
      </c>
      <c r="P47" s="147" t="n">
        <f aca="false">INDEX(Perf!$C$117:$Q$117,3*(Unit_Cost!P$6-1)+3)</f>
        <v>3.8235994609874</v>
      </c>
      <c r="Q47" s="147" t="n">
        <f aca="false">INDEX(Perf!$C$117:$Q$117,3*(Unit_Cost!Q$6-1)+3)</f>
        <v>3.8235994609874</v>
      </c>
    </row>
    <row r="48" customFormat="false" ht="15" hidden="false" customHeight="true" outlineLevel="0" collapsed="false">
      <c r="A48" s="30" t="s">
        <v>1081</v>
      </c>
      <c r="B48" s="31" t="s">
        <v>57</v>
      </c>
      <c r="C48" s="149" t="n">
        <f aca="false">Serving!$C$17</f>
        <v>0.6</v>
      </c>
    </row>
    <row r="50" customFormat="false" ht="15" hidden="false" customHeight="true" outlineLevel="0" collapsed="false">
      <c r="A50" s="30" t="s">
        <v>1082</v>
      </c>
      <c r="C50" s="38" t="s">
        <v>1083</v>
      </c>
    </row>
    <row r="52" customFormat="false" ht="15" hidden="false" customHeight="true" outlineLevel="0" collapsed="false">
      <c r="A52" s="29" t="s">
        <v>1084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148" t="s">
        <v>204</v>
      </c>
    </row>
    <row r="54" customFormat="false" ht="15" hidden="false" customHeight="true" outlineLevel="0" collapsed="false">
      <c r="A54" s="30" t="s">
        <v>1085</v>
      </c>
      <c r="B54" s="31" t="s">
        <v>929</v>
      </c>
      <c r="C54" s="142" t="n">
        <f aca="false">INDEX(Training!$C$106:$Q$106,3*(Unit_Cost!C$6-1)+1)</f>
        <v>7049662.57742717</v>
      </c>
      <c r="D54" s="142" t="n">
        <f aca="false">INDEX(Training!$C$106:$Q$106,3*(Unit_Cost!D$6-1)+1)</f>
        <v>7049662.57742717</v>
      </c>
      <c r="E54" s="142" t="n">
        <f aca="false">INDEX(Training!$C$106:$Q$106,3*(Unit_Cost!E$6-1)+1)</f>
        <v>7049662.57742717</v>
      </c>
      <c r="F54" s="142" t="n">
        <f aca="false">INDEX(Training!$C$106:$Q$106,3*(Unit_Cost!F$6-1)+1)</f>
        <v>2068618.4406228</v>
      </c>
      <c r="G54" s="142" t="n">
        <f aca="false">INDEX(Training!$C$106:$Q$106,3*(Unit_Cost!G$6-1)+1)</f>
        <v>2068618.4406228</v>
      </c>
      <c r="H54" s="142" t="n">
        <f aca="false">INDEX(Training!$C$106:$Q$106,3*(Unit_Cost!H$6-1)+1)</f>
        <v>2068618.4406228</v>
      </c>
      <c r="I54" s="142" t="n">
        <f aca="false">INDEX(Training!$C$106:$Q$106,3*(Unit_Cost!I$6-1)+1)</f>
        <v>1767109.34138484</v>
      </c>
      <c r="J54" s="142" t="n">
        <f aca="false">INDEX(Training!$C$106:$Q$106,3*(Unit_Cost!J$6-1)+1)</f>
        <v>1767109.34138484</v>
      </c>
      <c r="K54" s="142" t="n">
        <f aca="false">INDEX(Training!$C$106:$Q$106,3*(Unit_Cost!K$6-1)+1)</f>
        <v>1767109.34138484</v>
      </c>
      <c r="L54" s="142" t="n">
        <f aca="false">INDEX(Training!$C$106:$Q$106,3*(Unit_Cost!L$6-1)+1)</f>
        <v>612796.140156143</v>
      </c>
      <c r="M54" s="142" t="n">
        <f aca="false">INDEX(Training!$C$106:$Q$106,3*(Unit_Cost!M$6-1)+1)</f>
        <v>612796.140156143</v>
      </c>
      <c r="N54" s="142" t="n">
        <f aca="false">INDEX(Training!$C$106:$Q$106,3*(Unit_Cost!N$6-1)+1)</f>
        <v>612796.140156143</v>
      </c>
      <c r="O54" s="142" t="n">
        <f aca="false">INDEX(Training!$C$106:$Q$106,3*(Unit_Cost!O$6-1)+1)</f>
        <v>299772.8335215</v>
      </c>
      <c r="P54" s="142" t="n">
        <f aca="false">INDEX(Training!$C$106:$Q$106,3*(Unit_Cost!P$6-1)+1)</f>
        <v>299772.8335215</v>
      </c>
      <c r="Q54" s="142" t="n">
        <f aca="false">INDEX(Training!$C$106:$Q$106,3*(Unit_Cost!Q$6-1)+1)</f>
        <v>299772.8335215</v>
      </c>
    </row>
    <row r="55" customFormat="false" ht="15" hidden="false" customHeight="true" outlineLevel="0" collapsed="false">
      <c r="A55" s="30" t="s">
        <v>1086</v>
      </c>
      <c r="B55" s="31" t="s">
        <v>785</v>
      </c>
      <c r="C55" s="150" t="n">
        <f aca="false">INDEX(Training!$C$106:$Q$106,3*(Unit_Cost!C$6-1)+1)*Unit_Cost!C$8/1000000</f>
        <v>7.84533466873469</v>
      </c>
      <c r="D55" s="150" t="n">
        <f aca="false">INDEX(Training!$C$106:$Q$106,3*(Unit_Cost!D$6-1)+1)*Unit_Cost!D$8/1000000</f>
        <v>11.314914684319</v>
      </c>
      <c r="E55" s="150" t="n">
        <f aca="false">INDEX(Training!$C$106:$Q$106,3*(Unit_Cost!E$6-1)+1)*Unit_Cost!E$8/1000000</f>
        <v>19.5078330260868</v>
      </c>
      <c r="F55" s="150" t="n">
        <f aca="false">INDEX(Training!$C$106:$Q$106,3*(Unit_Cost!F$6-1)+1)*Unit_Cost!F$8/1000000</f>
        <v>3.19309908304189</v>
      </c>
      <c r="G55" s="150" t="n">
        <f aca="false">INDEX(Training!$C$106:$Q$106,3*(Unit_Cost!G$6-1)+1)*Unit_Cost!G$8/1000000</f>
        <v>4.29603381285367</v>
      </c>
      <c r="H55" s="150" t="n">
        <f aca="false">INDEX(Training!$C$106:$Q$106,3*(Unit_Cost!H$6-1)+1)*Unit_Cost!H$8/1000000</f>
        <v>6.99113178348369</v>
      </c>
      <c r="I55" s="150" t="n">
        <f aca="false">INDEX(Training!$C$106:$Q$106,3*(Unit_Cost!I$6-1)+1)*Unit_Cost!I$8/1000000</f>
        <v>3.61240718453769</v>
      </c>
      <c r="J55" s="150" t="n">
        <f aca="false">INDEX(Training!$C$106:$Q$106,3*(Unit_Cost!J$6-1)+1)*Unit_Cost!J$8/1000000</f>
        <v>5.27926192153812</v>
      </c>
      <c r="K55" s="150" t="n">
        <f aca="false">INDEX(Training!$C$106:$Q$106,3*(Unit_Cost!K$6-1)+1)*Unit_Cost!K$8/1000000</f>
        <v>9.90101497964998</v>
      </c>
      <c r="L55" s="150" t="n">
        <f aca="false">INDEX(Training!$C$106:$Q$106,3*(Unit_Cost!L$6-1)+1)*Unit_Cost!L$8/1000000</f>
        <v>2.09006887677419</v>
      </c>
      <c r="M55" s="150" t="n">
        <f aca="false">INDEX(Training!$C$106:$Q$106,3*(Unit_Cost!M$6-1)+1)*Unit_Cost!M$8/1000000</f>
        <v>2.8903772772188</v>
      </c>
      <c r="N55" s="150" t="n">
        <f aca="false">INDEX(Training!$C$106:$Q$106,3*(Unit_Cost!N$6-1)+1)*Unit_Cost!N$8/1000000</f>
        <v>4.95815832819771</v>
      </c>
      <c r="O55" s="150" t="n">
        <f aca="false">INDEX(Training!$C$106:$Q$106,3*(Unit_Cost!O$6-1)+1)*Unit_Cost!O$8/1000000</f>
        <v>1.69027516863176</v>
      </c>
      <c r="P55" s="150" t="n">
        <f aca="false">INDEX(Training!$C$106:$Q$106,3*(Unit_Cost!P$6-1)+1)*Unit_Cost!P$8/1000000</f>
        <v>2.5992366129793</v>
      </c>
      <c r="Q55" s="150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0" t="s">
        <v>1087</v>
      </c>
      <c r="B56" s="31" t="s">
        <v>57</v>
      </c>
      <c r="C56" s="151" t="n">
        <f aca="false">INDEX(Training!$C$110:$Q$110,3*(Unit_Cost!C$6-1)+1)</f>
        <v>0.130452785650306</v>
      </c>
      <c r="D56" s="151" t="n">
        <f aca="false">INDEX(Training!$C$110:$Q$110,3*(Unit_Cost!D$6-1)+1)</f>
        <v>0.130452785650306</v>
      </c>
      <c r="E56" s="151" t="n">
        <f aca="false">INDEX(Training!$C$110:$Q$110,3*(Unit_Cost!E$6-1)+1)</f>
        <v>0.130452785650306</v>
      </c>
      <c r="F56" s="151" t="n">
        <f aca="false">INDEX(Training!$C$110:$Q$110,3*(Unit_Cost!F$6-1)+1)</f>
        <v>0.130452785650306</v>
      </c>
      <c r="G56" s="151" t="n">
        <f aca="false">INDEX(Training!$C$110:$Q$110,3*(Unit_Cost!G$6-1)+1)</f>
        <v>0.130452785650306</v>
      </c>
      <c r="H56" s="151" t="n">
        <f aca="false">INDEX(Training!$C$110:$Q$110,3*(Unit_Cost!H$6-1)+1)</f>
        <v>0.130452785650306</v>
      </c>
      <c r="I56" s="151" t="n">
        <f aca="false">INDEX(Training!$C$110:$Q$110,3*(Unit_Cost!I$6-1)+1)</f>
        <v>0.130452785650306</v>
      </c>
      <c r="J56" s="151" t="n">
        <f aca="false">INDEX(Training!$C$110:$Q$110,3*(Unit_Cost!J$6-1)+1)</f>
        <v>0.130452785650306</v>
      </c>
      <c r="K56" s="151" t="n">
        <f aca="false">INDEX(Training!$C$110:$Q$110,3*(Unit_Cost!K$6-1)+1)</f>
        <v>0.130452785650306</v>
      </c>
      <c r="L56" s="151" t="n">
        <f aca="false">INDEX(Training!$C$110:$Q$110,3*(Unit_Cost!L$6-1)+1)</f>
        <v>0.130452785650306</v>
      </c>
      <c r="M56" s="151" t="n">
        <f aca="false">INDEX(Training!$C$110:$Q$110,3*(Unit_Cost!M$6-1)+1)</f>
        <v>0.130452785650306</v>
      </c>
      <c r="N56" s="151" t="n">
        <f aca="false">INDEX(Training!$C$110:$Q$110,3*(Unit_Cost!N$6-1)+1)</f>
        <v>0.130452785650306</v>
      </c>
      <c r="O56" s="151" t="n">
        <f aca="false">INDEX(Training!$C$110:$Q$110,3*(Unit_Cost!O$6-1)+1)</f>
        <v>0.130452785650306</v>
      </c>
      <c r="P56" s="151" t="n">
        <f aca="false">INDEX(Training!$C$110:$Q$110,3*(Unit_Cost!P$6-1)+1)</f>
        <v>0.130452785650306</v>
      </c>
      <c r="Q56" s="151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0" t="s">
        <v>1088</v>
      </c>
      <c r="B57" s="31" t="s">
        <v>57</v>
      </c>
      <c r="C57" s="152" t="n">
        <f aca="false">INDEX(Training!$C$111:$Q$111,3*(Unit_Cost!C$6-1)+1)</f>
        <v>0.279408140296129</v>
      </c>
      <c r="D57" s="152" t="n">
        <f aca="false">INDEX(Training!$C$111:$Q$111,3*(Unit_Cost!D$6-1)+1)</f>
        <v>0.279408140296129</v>
      </c>
      <c r="E57" s="152" t="n">
        <f aca="false">INDEX(Training!$C$111:$Q$111,3*(Unit_Cost!E$6-1)+1)</f>
        <v>0.279408140296129</v>
      </c>
      <c r="F57" s="152" t="n">
        <f aca="false">INDEX(Training!$C$111:$Q$111,3*(Unit_Cost!F$6-1)+1)</f>
        <v>0.267799526369732</v>
      </c>
      <c r="G57" s="152" t="n">
        <f aca="false">INDEX(Training!$C$111:$Q$111,3*(Unit_Cost!G$6-1)+1)</f>
        <v>0.267799526369732</v>
      </c>
      <c r="H57" s="152" t="n">
        <f aca="false">INDEX(Training!$C$111:$Q$111,3*(Unit_Cost!H$6-1)+1)</f>
        <v>0.267799526369732</v>
      </c>
      <c r="I57" s="152" t="n">
        <f aca="false">INDEX(Training!$C$111:$Q$111,3*(Unit_Cost!I$6-1)+1)</f>
        <v>0.236922255702585</v>
      </c>
      <c r="J57" s="152" t="n">
        <f aca="false">INDEX(Training!$C$111:$Q$111,3*(Unit_Cost!J$6-1)+1)</f>
        <v>0.236922255702585</v>
      </c>
      <c r="K57" s="152" t="n">
        <f aca="false">INDEX(Training!$C$111:$Q$111,3*(Unit_Cost!K$6-1)+1)</f>
        <v>0.236922255702585</v>
      </c>
      <c r="L57" s="152" t="n">
        <f aca="false">INDEX(Training!$C$111:$Q$111,3*(Unit_Cost!L$6-1)+1)</f>
        <v>0.258240005282762</v>
      </c>
      <c r="M57" s="152" t="n">
        <f aca="false">INDEX(Training!$C$111:$Q$111,3*(Unit_Cost!M$6-1)+1)</f>
        <v>0.258240005282762</v>
      </c>
      <c r="N57" s="152" t="n">
        <f aca="false">INDEX(Training!$C$111:$Q$111,3*(Unit_Cost!N$6-1)+1)</f>
        <v>0.258240005282762</v>
      </c>
      <c r="O57" s="152" t="n">
        <f aca="false">INDEX(Training!$C$111:$Q$111,3*(Unit_Cost!O$6-1)+1)</f>
        <v>0.25405148606166</v>
      </c>
      <c r="P57" s="152" t="n">
        <f aca="false">INDEX(Training!$C$111:$Q$111,3*(Unit_Cost!P$6-1)+1)</f>
        <v>0.25405148606166</v>
      </c>
      <c r="Q57" s="152" t="n">
        <f aca="false">INDEX(Training!$C$111:$Q$111,3*(Unit_Cost!Q$6-1)+1)</f>
        <v>0.25405148606166</v>
      </c>
    </row>
    <row r="58" customFormat="false" ht="15" hidden="false" customHeight="true" outlineLevel="0" collapsed="false">
      <c r="A58" s="31" t="s">
        <v>1089</v>
      </c>
      <c r="B58" s="31" t="s">
        <v>57</v>
      </c>
      <c r="C58" s="151" t="n">
        <f aca="false">INDEX(Training!$C$77:$Q$77,3*(Unit_Cost!C$6-1)+1)</f>
        <v>0.0686261881970528</v>
      </c>
      <c r="D58" s="151" t="n">
        <f aca="false">INDEX(Training!$C$77:$Q$77,3*(Unit_Cost!D$6-1)+1)</f>
        <v>0.0686261881970528</v>
      </c>
      <c r="E58" s="151" t="n">
        <f aca="false">INDEX(Training!$C$77:$Q$77,3*(Unit_Cost!E$6-1)+1)</f>
        <v>0.0686261881970528</v>
      </c>
      <c r="F58" s="151" t="n">
        <f aca="false">INDEX(Training!$C$77:$Q$77,3*(Unit_Cost!F$6-1)+1)</f>
        <v>0.0904908583911183</v>
      </c>
      <c r="G58" s="151" t="n">
        <f aca="false">INDEX(Training!$C$77:$Q$77,3*(Unit_Cost!G$6-1)+1)</f>
        <v>0.0904908583911183</v>
      </c>
      <c r="H58" s="151" t="n">
        <f aca="false">INDEX(Training!$C$77:$Q$77,3*(Unit_Cost!H$6-1)+1)</f>
        <v>0.0904908583911183</v>
      </c>
      <c r="I58" s="151" t="n">
        <f aca="false">INDEX(Training!$C$77:$Q$77,3*(Unit_Cost!I$6-1)+1)</f>
        <v>0.106639040611353</v>
      </c>
      <c r="J58" s="151" t="n">
        <f aca="false">INDEX(Training!$C$77:$Q$77,3*(Unit_Cost!J$6-1)+1)</f>
        <v>0.106639040611353</v>
      </c>
      <c r="K58" s="151" t="n">
        <f aca="false">INDEX(Training!$C$77:$Q$77,3*(Unit_Cost!K$6-1)+1)</f>
        <v>0.106639040611353</v>
      </c>
      <c r="L58" s="151" t="n">
        <f aca="false">INDEX(Training!$C$77:$Q$77,3*(Unit_Cost!L$6-1)+1)</f>
        <v>0.0855701299880151</v>
      </c>
      <c r="M58" s="151" t="n">
        <f aca="false">INDEX(Training!$C$77:$Q$77,3*(Unit_Cost!M$6-1)+1)</f>
        <v>0.0855701299880151</v>
      </c>
      <c r="N58" s="151" t="n">
        <f aca="false">INDEX(Training!$C$77:$Q$77,3*(Unit_Cost!N$6-1)+1)</f>
        <v>0.0855701299880151</v>
      </c>
      <c r="O58" s="151" t="n">
        <f aca="false">INDEX(Training!$C$77:$Q$77,3*(Unit_Cost!O$6-1)+1)</f>
        <v>0.0874768793307214</v>
      </c>
      <c r="P58" s="151" t="n">
        <f aca="false">INDEX(Training!$C$77:$Q$77,3*(Unit_Cost!P$6-1)+1)</f>
        <v>0.0874768793307214</v>
      </c>
      <c r="Q58" s="151" t="n">
        <f aca="false">INDEX(Training!$C$77:$Q$77,3*(Unit_Cost!Q$6-1)+1)</f>
        <v>0.0874768793307214</v>
      </c>
    </row>
    <row r="59" customFormat="false" ht="15" hidden="false" customHeight="true" outlineLevel="0" collapsed="false">
      <c r="A59" s="30" t="s">
        <v>1090</v>
      </c>
      <c r="B59" s="31" t="s">
        <v>929</v>
      </c>
      <c r="C59" s="143" t="n">
        <f aca="false">INDEX(Training!$C$120:$Q$120,3*(Unit_Cost!C$6-1)+1)</f>
        <v>56397300.6194174</v>
      </c>
      <c r="D59" s="143" t="n">
        <f aca="false">INDEX(Training!$C$120:$Q$120,3*(Unit_Cost!D$6-1)+1)</f>
        <v>56397300.6194174</v>
      </c>
      <c r="E59" s="143" t="n">
        <f aca="false">INDEX(Training!$C$120:$Q$120,3*(Unit_Cost!E$6-1)+1)</f>
        <v>56397300.6194174</v>
      </c>
      <c r="F59" s="143" t="n">
        <f aca="false">INDEX(Training!$C$120:$Q$120,3*(Unit_Cost!F$6-1)+1)</f>
        <v>16548947.5249824</v>
      </c>
      <c r="G59" s="143" t="n">
        <f aca="false">INDEX(Training!$C$120:$Q$120,3*(Unit_Cost!G$6-1)+1)</f>
        <v>16548947.5249824</v>
      </c>
      <c r="H59" s="143" t="n">
        <f aca="false">INDEX(Training!$C$120:$Q$120,3*(Unit_Cost!H$6-1)+1)</f>
        <v>16548947.5249824</v>
      </c>
      <c r="I59" s="143" t="n">
        <f aca="false">INDEX(Training!$C$120:$Q$120,3*(Unit_Cost!I$6-1)+1)</f>
        <v>14136874.7310787</v>
      </c>
      <c r="J59" s="143" t="n">
        <f aca="false">INDEX(Training!$C$120:$Q$120,3*(Unit_Cost!J$6-1)+1)</f>
        <v>14136874.7310787</v>
      </c>
      <c r="K59" s="143" t="n">
        <f aca="false">INDEX(Training!$C$120:$Q$120,3*(Unit_Cost!K$6-1)+1)</f>
        <v>14136874.7310787</v>
      </c>
      <c r="L59" s="143" t="n">
        <f aca="false">INDEX(Training!$C$120:$Q$120,3*(Unit_Cost!L$6-1)+1)</f>
        <v>4902369.12124914</v>
      </c>
      <c r="M59" s="143" t="n">
        <f aca="false">INDEX(Training!$C$120:$Q$120,3*(Unit_Cost!M$6-1)+1)</f>
        <v>4902369.12124914</v>
      </c>
      <c r="N59" s="143" t="n">
        <f aca="false">INDEX(Training!$C$120:$Q$120,3*(Unit_Cost!N$6-1)+1)</f>
        <v>4902369.12124914</v>
      </c>
      <c r="O59" s="143" t="n">
        <f aca="false">INDEX(Training!$C$120:$Q$120,3*(Unit_Cost!O$6-1)+1)</f>
        <v>2398182.668172</v>
      </c>
      <c r="P59" s="143" t="n">
        <f aca="false">INDEX(Training!$C$120:$Q$120,3*(Unit_Cost!P$6-1)+1)</f>
        <v>2398182.668172</v>
      </c>
      <c r="Q59" s="143" t="n">
        <f aca="false">INDEX(Training!$C$120:$Q$120,3*(Unit_Cost!Q$6-1)+1)</f>
        <v>2398182.668172</v>
      </c>
    </row>
    <row r="60" customFormat="false" ht="15" hidden="false" customHeight="true" outlineLevel="0" collapsed="false">
      <c r="A60" s="30" t="s">
        <v>1091</v>
      </c>
      <c r="B60" s="31" t="s">
        <v>785</v>
      </c>
      <c r="C60" s="143" t="n">
        <f aca="false">INDEX(Training!$C$120:$Q$120,3*(Unit_Cost!C$6-1)+1)*Unit_Cost!C$8/1000000</f>
        <v>62.7626773498775</v>
      </c>
      <c r="D60" s="143" t="n">
        <f aca="false">INDEX(Training!$C$120:$Q$120,3*(Unit_Cost!D$6-1)+1)*Unit_Cost!D$8/1000000</f>
        <v>90.5193174745518</v>
      </c>
      <c r="E60" s="143" t="n">
        <f aca="false">INDEX(Training!$C$120:$Q$120,3*(Unit_Cost!E$6-1)+1)*Unit_Cost!E$8/1000000</f>
        <v>156.062664208694</v>
      </c>
      <c r="F60" s="143" t="n">
        <f aca="false">INDEX(Training!$C$120:$Q$120,3*(Unit_Cost!F$6-1)+1)*Unit_Cost!F$8/1000000</f>
        <v>25.5447926643351</v>
      </c>
      <c r="G60" s="143" t="n">
        <f aca="false">INDEX(Training!$C$120:$Q$120,3*(Unit_Cost!G$6-1)+1)*Unit_Cost!G$8/1000000</f>
        <v>34.3682705028293</v>
      </c>
      <c r="H60" s="143" t="n">
        <f aca="false">INDEX(Training!$C$120:$Q$120,3*(Unit_Cost!H$6-1)+1)*Unit_Cost!H$8/1000000</f>
        <v>55.9290542678695</v>
      </c>
      <c r="I60" s="143" t="n">
        <f aca="false">INDEX(Training!$C$120:$Q$120,3*(Unit_Cost!I$6-1)+1)*Unit_Cost!I$8/1000000</f>
        <v>28.8992574763015</v>
      </c>
      <c r="J60" s="143" t="n">
        <f aca="false">INDEX(Training!$C$120:$Q$120,3*(Unit_Cost!J$6-1)+1)*Unit_Cost!J$8/1000000</f>
        <v>42.2340953723049</v>
      </c>
      <c r="K60" s="143" t="n">
        <f aca="false">INDEX(Training!$C$120:$Q$120,3*(Unit_Cost!K$6-1)+1)*Unit_Cost!K$8/1000000</f>
        <v>79.2081198371999</v>
      </c>
      <c r="L60" s="143" t="n">
        <f aca="false">INDEX(Training!$C$120:$Q$120,3*(Unit_Cost!L$6-1)+1)*Unit_Cost!L$8/1000000</f>
        <v>16.7205510141935</v>
      </c>
      <c r="M60" s="143" t="n">
        <f aca="false">INDEX(Training!$C$120:$Q$120,3*(Unit_Cost!M$6-1)+1)*Unit_Cost!M$8/1000000</f>
        <v>23.1230182177504</v>
      </c>
      <c r="N60" s="143" t="n">
        <f aca="false">INDEX(Training!$C$120:$Q$120,3*(Unit_Cost!N$6-1)+1)*Unit_Cost!N$8/1000000</f>
        <v>39.6652666255817</v>
      </c>
      <c r="O60" s="143" t="n">
        <f aca="false">INDEX(Training!$C$120:$Q$120,3*(Unit_Cost!O$6-1)+1)*Unit_Cost!O$8/1000000</f>
        <v>13.5222013490541</v>
      </c>
      <c r="P60" s="143" t="n">
        <f aca="false">INDEX(Training!$C$120:$Q$120,3*(Unit_Cost!P$6-1)+1)*Unit_Cost!P$8/1000000</f>
        <v>20.7938929038344</v>
      </c>
      <c r="Q60" s="143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0" t="s">
        <v>1092</v>
      </c>
      <c r="B61" s="31" t="s">
        <v>57</v>
      </c>
      <c r="C61" s="153" t="n">
        <f aca="false">INDEX(Training!$C$123:$Q$123,3*(Unit_Cost!C$6-1)+1)</f>
        <v>0.00896604128960073</v>
      </c>
      <c r="D61" s="153" t="n">
        <f aca="false">INDEX(Training!$C$123:$Q$123,3*(Unit_Cost!D$6-1)+1)</f>
        <v>0.00896604128960073</v>
      </c>
      <c r="E61" s="153" t="n">
        <f aca="false">INDEX(Training!$C$123:$Q$123,3*(Unit_Cost!E$6-1)+1)</f>
        <v>0.00896604128960073</v>
      </c>
      <c r="F61" s="153" t="n">
        <f aca="false">INDEX(Training!$C$123:$Q$123,3*(Unit_Cost!F$6-1)+1)</f>
        <v>0.00370805316257368</v>
      </c>
      <c r="G61" s="153" t="n">
        <f aca="false">INDEX(Training!$C$123:$Q$123,3*(Unit_Cost!G$6-1)+1)</f>
        <v>0.00370805316257368</v>
      </c>
      <c r="H61" s="153" t="n">
        <f aca="false">INDEX(Training!$C$123:$Q$123,3*(Unit_Cost!H$6-1)+1)</f>
        <v>0.00370805316257368</v>
      </c>
      <c r="I61" s="153" t="n">
        <f aca="false">INDEX(Training!$C$123:$Q$123,3*(Unit_Cost!I$6-1)+1)</f>
        <v>0.00333788054373079</v>
      </c>
      <c r="J61" s="153" t="n">
        <f aca="false">INDEX(Training!$C$123:$Q$123,3*(Unit_Cost!J$6-1)+1)</f>
        <v>0.00333788054373079</v>
      </c>
      <c r="K61" s="153" t="n">
        <f aca="false">INDEX(Training!$C$123:$Q$123,3*(Unit_Cost!K$6-1)+1)</f>
        <v>0.00333788054373079</v>
      </c>
      <c r="L61" s="153" t="n">
        <f aca="false">INDEX(Training!$C$123:$Q$123,3*(Unit_Cost!L$6-1)+1)</f>
        <v>0.00191822686404789</v>
      </c>
      <c r="M61" s="153" t="n">
        <f aca="false">INDEX(Training!$C$123:$Q$123,3*(Unit_Cost!M$6-1)+1)</f>
        <v>0.00191822686404789</v>
      </c>
      <c r="N61" s="153" t="n">
        <f aca="false">INDEX(Training!$C$123:$Q$123,3*(Unit_Cost!N$6-1)+1)</f>
        <v>0.00191822686404789</v>
      </c>
      <c r="O61" s="153" t="n">
        <f aca="false">INDEX(Training!$C$123:$Q$123,3*(Unit_Cost!O$6-1)+1)</f>
        <v>0.00124014797043059</v>
      </c>
      <c r="P61" s="153" t="n">
        <f aca="false">INDEX(Training!$C$123:$Q$123,3*(Unit_Cost!P$6-1)+1)</f>
        <v>0.00124014797043059</v>
      </c>
      <c r="Q61" s="153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148" t="s">
        <v>205</v>
      </c>
    </row>
    <row r="63" customFormat="false" ht="15" hidden="false" customHeight="true" outlineLevel="0" collapsed="false">
      <c r="A63" s="30" t="s">
        <v>1093</v>
      </c>
      <c r="B63" s="31" t="s">
        <v>929</v>
      </c>
      <c r="C63" s="142" t="n">
        <f aca="false">INDEX(Training!$C$106:$Q$106,3*(Unit_Cost!C$6-1)+2)</f>
        <v>20624185.4562119</v>
      </c>
      <c r="D63" s="142" t="n">
        <f aca="false">INDEX(Training!$C$106:$Q$106,3*(Unit_Cost!D$6-1)+2)</f>
        <v>20624185.4562119</v>
      </c>
      <c r="E63" s="142" t="n">
        <f aca="false">INDEX(Training!$C$106:$Q$106,3*(Unit_Cost!E$6-1)+2)</f>
        <v>20624185.4562119</v>
      </c>
      <c r="F63" s="142" t="n">
        <f aca="false">INDEX(Training!$C$106:$Q$106,3*(Unit_Cost!F$6-1)+2)</f>
        <v>6137830.23251387</v>
      </c>
      <c r="G63" s="142" t="n">
        <f aca="false">INDEX(Training!$C$106:$Q$106,3*(Unit_Cost!G$6-1)+2)</f>
        <v>6137830.23251387</v>
      </c>
      <c r="H63" s="142" t="n">
        <f aca="false">INDEX(Training!$C$106:$Q$106,3*(Unit_Cost!H$6-1)+2)</f>
        <v>6137830.23251387</v>
      </c>
      <c r="I63" s="142" t="n">
        <f aca="false">INDEX(Training!$C$106:$Q$106,3*(Unit_Cost!I$6-1)+2)</f>
        <v>5444807.46316246</v>
      </c>
      <c r="J63" s="142" t="n">
        <f aca="false">INDEX(Training!$C$106:$Q$106,3*(Unit_Cost!J$6-1)+2)</f>
        <v>5444807.46316246</v>
      </c>
      <c r="K63" s="142" t="n">
        <f aca="false">INDEX(Training!$C$106:$Q$106,3*(Unit_Cost!K$6-1)+2)</f>
        <v>5444807.46316246</v>
      </c>
      <c r="L63" s="142" t="n">
        <f aca="false">INDEX(Training!$C$106:$Q$106,3*(Unit_Cost!L$6-1)+2)</f>
        <v>1847259.81901747</v>
      </c>
      <c r="M63" s="142" t="n">
        <f aca="false">INDEX(Training!$C$106:$Q$106,3*(Unit_Cost!M$6-1)+2)</f>
        <v>1847259.81901747</v>
      </c>
      <c r="N63" s="142" t="n">
        <f aca="false">INDEX(Training!$C$106:$Q$106,3*(Unit_Cost!N$6-1)+2)</f>
        <v>1847259.81901747</v>
      </c>
      <c r="O63" s="142" t="n">
        <f aca="false">INDEX(Training!$C$106:$Q$106,3*(Unit_Cost!O$6-1)+2)</f>
        <v>910613.498748029</v>
      </c>
      <c r="P63" s="142" t="n">
        <f aca="false">INDEX(Training!$C$106:$Q$106,3*(Unit_Cost!P$6-1)+2)</f>
        <v>910613.498748029</v>
      </c>
      <c r="Q63" s="142" t="n">
        <f aca="false">INDEX(Training!$C$106:$Q$106,3*(Unit_Cost!Q$6-1)+2)</f>
        <v>910613.498748029</v>
      </c>
    </row>
    <row r="64" customFormat="false" ht="15" hidden="false" customHeight="true" outlineLevel="0" collapsed="false">
      <c r="A64" s="30" t="s">
        <v>1094</v>
      </c>
      <c r="B64" s="31" t="s">
        <v>785</v>
      </c>
      <c r="C64" s="150" t="n">
        <f aca="false">INDEX(Training!$C$106:$Q$106,3*(Unit_Cost!C$6-1)+2)*Unit_Cost!C$8/1000000</f>
        <v>22.9519690335426</v>
      </c>
      <c r="D64" s="150" t="n">
        <f aca="false">INDEX(Training!$C$106:$Q$106,3*(Unit_Cost!D$6-1)+2)*Unit_Cost!D$8/1000000</f>
        <v>33.1024210460547</v>
      </c>
      <c r="E64" s="150" t="n">
        <f aca="false">INDEX(Training!$C$106:$Q$106,3*(Unit_Cost!E$6-1)+2)*Unit_Cost!E$8/1000000</f>
        <v>57.0712657180343</v>
      </c>
      <c r="F64" s="150" t="n">
        <f aca="false">INDEX(Training!$C$106:$Q$106,3*(Unit_Cost!F$6-1)+2)*Unit_Cost!F$8/1000000</f>
        <v>9.47429439012748</v>
      </c>
      <c r="G64" s="150" t="n">
        <f aca="false">INDEX(Training!$C$106:$Q$106,3*(Unit_Cost!G$6-1)+2)*Unit_Cost!G$8/1000000</f>
        <v>12.7468293323811</v>
      </c>
      <c r="H64" s="150" t="n">
        <f aca="false">INDEX(Training!$C$106:$Q$106,3*(Unit_Cost!H$6-1)+2)*Unit_Cost!H$8/1000000</f>
        <v>20.7434968080608</v>
      </c>
      <c r="I64" s="150" t="n">
        <f aca="false">INDEX(Training!$C$106:$Q$106,3*(Unit_Cost!I$6-1)+2)*Unit_Cost!I$8/1000000</f>
        <v>11.130528902608</v>
      </c>
      <c r="J64" s="150" t="n">
        <f aca="false">INDEX(Training!$C$106:$Q$106,3*(Unit_Cost!J$6-1)+2)*Unit_Cost!J$8/1000000</f>
        <v>16.2664324369729</v>
      </c>
      <c r="K64" s="150" t="n">
        <f aca="false">INDEX(Training!$C$106:$Q$106,3*(Unit_Cost!K$6-1)+2)*Unit_Cost!K$8/1000000</f>
        <v>30.5069522250583</v>
      </c>
      <c r="L64" s="150" t="n">
        <f aca="false">INDEX(Training!$C$106:$Q$106,3*(Unit_Cost!L$6-1)+2)*Unit_Cost!L$8/1000000</f>
        <v>6.30046438291889</v>
      </c>
      <c r="M64" s="150" t="n">
        <f aca="false">INDEX(Training!$C$106:$Q$106,3*(Unit_Cost!M$6-1)+2)*Unit_Cost!M$8/1000000</f>
        <v>8.71297558213558</v>
      </c>
      <c r="N64" s="150" t="n">
        <f aca="false">INDEX(Training!$C$106:$Q$106,3*(Unit_Cost!N$6-1)+2)*Unit_Cost!N$8/1000000</f>
        <v>14.9462538286758</v>
      </c>
      <c r="O64" s="150" t="n">
        <f aca="false">INDEX(Training!$C$106:$Q$106,3*(Unit_Cost!O$6-1)+2)*Unit_Cost!O$8/1000000</f>
        <v>5.13451258098838</v>
      </c>
      <c r="P64" s="150" t="n">
        <f aca="false">INDEX(Training!$C$106:$Q$106,3*(Unit_Cost!P$6-1)+2)*Unit_Cost!P$8/1000000</f>
        <v>7.89564524047939</v>
      </c>
      <c r="Q64" s="150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0" t="s">
        <v>1095</v>
      </c>
      <c r="B65" s="31" t="s">
        <v>57</v>
      </c>
      <c r="C65" s="151" t="n">
        <f aca="false">INDEX(Training!$C$110:$Q$110,3*(Unit_Cost!C$6-1)+2)</f>
        <v>0.127443286691429</v>
      </c>
      <c r="D65" s="151" t="n">
        <f aca="false">INDEX(Training!$C$110:$Q$110,3*(Unit_Cost!D$6-1)+2)</f>
        <v>0.127443286691429</v>
      </c>
      <c r="E65" s="151" t="n">
        <f aca="false">INDEX(Training!$C$110:$Q$110,3*(Unit_Cost!E$6-1)+2)</f>
        <v>0.127443286691429</v>
      </c>
      <c r="F65" s="151" t="n">
        <f aca="false">INDEX(Training!$C$110:$Q$110,3*(Unit_Cost!F$6-1)+2)</f>
        <v>0.127443286691429</v>
      </c>
      <c r="G65" s="151" t="n">
        <f aca="false">INDEX(Training!$C$110:$Q$110,3*(Unit_Cost!G$6-1)+2)</f>
        <v>0.127443286691429</v>
      </c>
      <c r="H65" s="151" t="n">
        <f aca="false">INDEX(Training!$C$110:$Q$110,3*(Unit_Cost!H$6-1)+2)</f>
        <v>0.127443286691429</v>
      </c>
      <c r="I65" s="151" t="n">
        <f aca="false">INDEX(Training!$C$110:$Q$110,3*(Unit_Cost!I$6-1)+2)</f>
        <v>0.127443286691429</v>
      </c>
      <c r="J65" s="151" t="n">
        <f aca="false">INDEX(Training!$C$110:$Q$110,3*(Unit_Cost!J$6-1)+2)</f>
        <v>0.127443286691429</v>
      </c>
      <c r="K65" s="151" t="n">
        <f aca="false">INDEX(Training!$C$110:$Q$110,3*(Unit_Cost!K$6-1)+2)</f>
        <v>0.127443286691429</v>
      </c>
      <c r="L65" s="151" t="n">
        <f aca="false">INDEX(Training!$C$110:$Q$110,3*(Unit_Cost!L$6-1)+2)</f>
        <v>0.127443286691429</v>
      </c>
      <c r="M65" s="151" t="n">
        <f aca="false">INDEX(Training!$C$110:$Q$110,3*(Unit_Cost!M$6-1)+2)</f>
        <v>0.127443286691429</v>
      </c>
      <c r="N65" s="151" t="n">
        <f aca="false">INDEX(Training!$C$110:$Q$110,3*(Unit_Cost!N$6-1)+2)</f>
        <v>0.127443286691429</v>
      </c>
      <c r="O65" s="151" t="n">
        <f aca="false">INDEX(Training!$C$110:$Q$110,3*(Unit_Cost!O$6-1)+2)</f>
        <v>0.127443286691429</v>
      </c>
      <c r="P65" s="151" t="n">
        <f aca="false">INDEX(Training!$C$110:$Q$110,3*(Unit_Cost!P$6-1)+2)</f>
        <v>0.127443286691429</v>
      </c>
      <c r="Q65" s="151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0" t="s">
        <v>1096</v>
      </c>
      <c r="B66" s="31" t="s">
        <v>57</v>
      </c>
      <c r="C66" s="152" t="n">
        <f aca="false">INDEX(Training!$C$111:$Q$111,3*(Unit_Cost!C$6-1)+2)</f>
        <v>0.284542232288169</v>
      </c>
      <c r="D66" s="152" t="n">
        <f aca="false">INDEX(Training!$C$111:$Q$111,3*(Unit_Cost!D$6-1)+2)</f>
        <v>0.284542232288169</v>
      </c>
      <c r="E66" s="152" t="n">
        <f aca="false">INDEX(Training!$C$111:$Q$111,3*(Unit_Cost!E$6-1)+2)</f>
        <v>0.284542232288169</v>
      </c>
      <c r="F66" s="152" t="n">
        <f aca="false">INDEX(Training!$C$111:$Q$111,3*(Unit_Cost!F$6-1)+2)</f>
        <v>0.267933697909655</v>
      </c>
      <c r="G66" s="152" t="n">
        <f aca="false">INDEX(Training!$C$111:$Q$111,3*(Unit_Cost!G$6-1)+2)</f>
        <v>0.267933697909655</v>
      </c>
      <c r="H66" s="152" t="n">
        <f aca="false">INDEX(Training!$C$111:$Q$111,3*(Unit_Cost!H$6-1)+2)</f>
        <v>0.267933697909655</v>
      </c>
      <c r="I66" s="152" t="n">
        <f aca="false">INDEX(Training!$C$111:$Q$111,3*(Unit_Cost!I$6-1)+2)</f>
        <v>0.235841368919199</v>
      </c>
      <c r="J66" s="152" t="n">
        <f aca="false">INDEX(Training!$C$111:$Q$111,3*(Unit_Cost!J$6-1)+2)</f>
        <v>0.235841368919199</v>
      </c>
      <c r="K66" s="152" t="n">
        <f aca="false">INDEX(Training!$C$111:$Q$111,3*(Unit_Cost!K$6-1)+2)</f>
        <v>0.235841368919199</v>
      </c>
      <c r="L66" s="152" t="n">
        <f aca="false">INDEX(Training!$C$111:$Q$111,3*(Unit_Cost!L$6-1)+2)</f>
        <v>0.255756373112</v>
      </c>
      <c r="M66" s="152" t="n">
        <f aca="false">INDEX(Training!$C$111:$Q$111,3*(Unit_Cost!M$6-1)+2)</f>
        <v>0.255756373112</v>
      </c>
      <c r="N66" s="152" t="n">
        <f aca="false">INDEX(Training!$C$111:$Q$111,3*(Unit_Cost!N$6-1)+2)</f>
        <v>0.255756373112</v>
      </c>
      <c r="O66" s="152" t="n">
        <f aca="false">INDEX(Training!$C$111:$Q$111,3*(Unit_Cost!O$6-1)+2)</f>
        <v>0.250877249509988</v>
      </c>
      <c r="P66" s="152" t="n">
        <f aca="false">INDEX(Training!$C$111:$Q$111,3*(Unit_Cost!P$6-1)+2)</f>
        <v>0.250877249509988</v>
      </c>
      <c r="Q66" s="152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1" t="s">
        <v>1097</v>
      </c>
      <c r="B67" s="31" t="s">
        <v>57</v>
      </c>
      <c r="C67" s="151" t="n">
        <f aca="false">INDEX(Training!$C$77:$Q$77,3*(Unit_Cost!C$6-1)+2)</f>
        <v>0.0649858992202838</v>
      </c>
      <c r="D67" s="151" t="n">
        <f aca="false">INDEX(Training!$C$77:$Q$77,3*(Unit_Cost!D$6-1)+2)</f>
        <v>0.0649858992202838</v>
      </c>
      <c r="E67" s="151" t="n">
        <f aca="false">INDEX(Training!$C$77:$Q$77,3*(Unit_Cost!E$6-1)+2)</f>
        <v>0.0649858992202838</v>
      </c>
      <c r="F67" s="151" t="n">
        <f aca="false">INDEX(Training!$C$77:$Q$77,3*(Unit_Cost!F$6-1)+2)</f>
        <v>0.0877936139255299</v>
      </c>
      <c r="G67" s="151" t="n">
        <f aca="false">INDEX(Training!$C$77:$Q$77,3*(Unit_Cost!G$6-1)+2)</f>
        <v>0.0877936139255299</v>
      </c>
      <c r="H67" s="151" t="n">
        <f aca="false">INDEX(Training!$C$77:$Q$77,3*(Unit_Cost!H$6-1)+2)</f>
        <v>0.0877936139255299</v>
      </c>
      <c r="I67" s="151" t="n">
        <f aca="false">INDEX(Training!$C$77:$Q$77,3*(Unit_Cost!I$6-1)+2)</f>
        <v>0.104147246417747</v>
      </c>
      <c r="J67" s="151" t="n">
        <f aca="false">INDEX(Training!$C$77:$Q$77,3*(Unit_Cost!J$6-1)+2)</f>
        <v>0.104147246417747</v>
      </c>
      <c r="K67" s="151" t="n">
        <f aca="false">INDEX(Training!$C$77:$Q$77,3*(Unit_Cost!K$6-1)+2)</f>
        <v>0.104147246417747</v>
      </c>
      <c r="L67" s="151" t="n">
        <f aca="false">INDEX(Training!$C$77:$Q$77,3*(Unit_Cost!L$6-1)+2)</f>
        <v>0.0841710668603695</v>
      </c>
      <c r="M67" s="151" t="n">
        <f aca="false">INDEX(Training!$C$77:$Q$77,3*(Unit_Cost!M$6-1)+2)</f>
        <v>0.0841710668603695</v>
      </c>
      <c r="N67" s="151" t="n">
        <f aca="false">INDEX(Training!$C$77:$Q$77,3*(Unit_Cost!N$6-1)+2)</f>
        <v>0.0841710668603695</v>
      </c>
      <c r="O67" s="151" t="n">
        <f aca="false">INDEX(Training!$C$77:$Q$77,3*(Unit_Cost!O$6-1)+2)</f>
        <v>0.0863769281366727</v>
      </c>
      <c r="P67" s="151" t="n">
        <f aca="false">INDEX(Training!$C$77:$Q$77,3*(Unit_Cost!P$6-1)+2)</f>
        <v>0.0863769281366727</v>
      </c>
      <c r="Q67" s="151" t="n">
        <f aca="false">INDEX(Training!$C$77:$Q$77,3*(Unit_Cost!Q$6-1)+2)</f>
        <v>0.0863769281366727</v>
      </c>
    </row>
    <row r="68" customFormat="false" ht="15" hidden="false" customHeight="true" outlineLevel="0" collapsed="false">
      <c r="A68" s="30" t="s">
        <v>1098</v>
      </c>
      <c r="B68" s="31" t="s">
        <v>929</v>
      </c>
      <c r="C68" s="143" t="n">
        <f aca="false">INDEX(Training!$C$120:$Q$120,3*(Unit_Cost!C$6-1)+2)</f>
        <v>164993483.649695</v>
      </c>
      <c r="D68" s="143" t="n">
        <f aca="false">INDEX(Training!$C$120:$Q$120,3*(Unit_Cost!D$6-1)+2)</f>
        <v>164993483.649695</v>
      </c>
      <c r="E68" s="143" t="n">
        <f aca="false">INDEX(Training!$C$120:$Q$120,3*(Unit_Cost!E$6-1)+2)</f>
        <v>164993483.649695</v>
      </c>
      <c r="F68" s="143" t="n">
        <f aca="false">INDEX(Training!$C$120:$Q$120,3*(Unit_Cost!F$6-1)+2)</f>
        <v>49102641.860111</v>
      </c>
      <c r="G68" s="143" t="n">
        <f aca="false">INDEX(Training!$C$120:$Q$120,3*(Unit_Cost!G$6-1)+2)</f>
        <v>49102641.860111</v>
      </c>
      <c r="H68" s="143" t="n">
        <f aca="false">INDEX(Training!$C$120:$Q$120,3*(Unit_Cost!H$6-1)+2)</f>
        <v>49102641.860111</v>
      </c>
      <c r="I68" s="143" t="n">
        <f aca="false">INDEX(Training!$C$120:$Q$120,3*(Unit_Cost!I$6-1)+2)</f>
        <v>43558459.7052997</v>
      </c>
      <c r="J68" s="143" t="n">
        <f aca="false">INDEX(Training!$C$120:$Q$120,3*(Unit_Cost!J$6-1)+2)</f>
        <v>43558459.7052997</v>
      </c>
      <c r="K68" s="143" t="n">
        <f aca="false">INDEX(Training!$C$120:$Q$120,3*(Unit_Cost!K$6-1)+2)</f>
        <v>43558459.7052997</v>
      </c>
      <c r="L68" s="143" t="n">
        <f aca="false">INDEX(Training!$C$120:$Q$120,3*(Unit_Cost!L$6-1)+2)</f>
        <v>14778078.5521398</v>
      </c>
      <c r="M68" s="143" t="n">
        <f aca="false">INDEX(Training!$C$120:$Q$120,3*(Unit_Cost!M$6-1)+2)</f>
        <v>14778078.5521398</v>
      </c>
      <c r="N68" s="143" t="n">
        <f aca="false">INDEX(Training!$C$120:$Q$120,3*(Unit_Cost!N$6-1)+2)</f>
        <v>14778078.5521398</v>
      </c>
      <c r="O68" s="143" t="n">
        <f aca="false">INDEX(Training!$C$120:$Q$120,3*(Unit_Cost!O$6-1)+2)</f>
        <v>7284907.98998423</v>
      </c>
      <c r="P68" s="143" t="n">
        <f aca="false">INDEX(Training!$C$120:$Q$120,3*(Unit_Cost!P$6-1)+2)</f>
        <v>7284907.98998423</v>
      </c>
      <c r="Q68" s="143" t="n">
        <f aca="false">INDEX(Training!$C$120:$Q$120,3*(Unit_Cost!Q$6-1)+2)</f>
        <v>7284907.98998423</v>
      </c>
    </row>
    <row r="69" customFormat="false" ht="15" hidden="false" customHeight="true" outlineLevel="0" collapsed="false">
      <c r="A69" s="30" t="s">
        <v>1099</v>
      </c>
      <c r="B69" s="31" t="s">
        <v>785</v>
      </c>
      <c r="C69" s="143" t="n">
        <f aca="false">INDEX(Training!$C$120:$Q$120,3*(Unit_Cost!C$6-1)+2)*Unit_Cost!C$8/1000000</f>
        <v>183.615752268341</v>
      </c>
      <c r="D69" s="143" t="n">
        <f aca="false">INDEX(Training!$C$120:$Q$120,3*(Unit_Cost!D$6-1)+2)*Unit_Cost!D$8/1000000</f>
        <v>264.819368368438</v>
      </c>
      <c r="E69" s="143" t="n">
        <f aca="false">INDEX(Training!$C$120:$Q$120,3*(Unit_Cost!E$6-1)+2)*Unit_Cost!E$8/1000000</f>
        <v>456.570125744274</v>
      </c>
      <c r="F69" s="143" t="n">
        <f aca="false">INDEX(Training!$C$120:$Q$120,3*(Unit_Cost!F$6-1)+2)*Unit_Cost!F$8/1000000</f>
        <v>75.7943551210198</v>
      </c>
      <c r="G69" s="143" t="n">
        <f aca="false">INDEX(Training!$C$120:$Q$120,3*(Unit_Cost!G$6-1)+2)*Unit_Cost!G$8/1000000</f>
        <v>101.974634659049</v>
      </c>
      <c r="H69" s="143" t="n">
        <f aca="false">INDEX(Training!$C$120:$Q$120,3*(Unit_Cost!H$6-1)+2)*Unit_Cost!H$8/1000000</f>
        <v>165.947974464487</v>
      </c>
      <c r="I69" s="143" t="n">
        <f aca="false">INDEX(Training!$C$120:$Q$120,3*(Unit_Cost!I$6-1)+2)*Unit_Cost!I$8/1000000</f>
        <v>89.0442312208636</v>
      </c>
      <c r="J69" s="143" t="n">
        <f aca="false">INDEX(Training!$C$120:$Q$120,3*(Unit_Cost!J$6-1)+2)*Unit_Cost!J$8/1000000</f>
        <v>130.131459495783</v>
      </c>
      <c r="K69" s="143" t="n">
        <f aca="false">INDEX(Training!$C$120:$Q$120,3*(Unit_Cost!K$6-1)+2)*Unit_Cost!K$8/1000000</f>
        <v>244.055617800466</v>
      </c>
      <c r="L69" s="143" t="n">
        <f aca="false">INDEX(Training!$C$120:$Q$120,3*(Unit_Cost!L$6-1)+2)*Unit_Cost!L$8/1000000</f>
        <v>50.4037150633511</v>
      </c>
      <c r="M69" s="143" t="n">
        <f aca="false">INDEX(Training!$C$120:$Q$120,3*(Unit_Cost!M$6-1)+2)*Unit_Cost!M$8/1000000</f>
        <v>69.7038046570847</v>
      </c>
      <c r="N69" s="143" t="n">
        <f aca="false">INDEX(Training!$C$120:$Q$120,3*(Unit_Cost!N$6-1)+2)*Unit_Cost!N$8/1000000</f>
        <v>119.570030629406</v>
      </c>
      <c r="O69" s="143" t="n">
        <f aca="false">INDEX(Training!$C$120:$Q$120,3*(Unit_Cost!O$6-1)+2)*Unit_Cost!O$8/1000000</f>
        <v>41.0761006479071</v>
      </c>
      <c r="P69" s="143" t="n">
        <f aca="false">INDEX(Training!$C$120:$Q$120,3*(Unit_Cost!P$6-1)+2)*Unit_Cost!P$8/1000000</f>
        <v>63.1651619238351</v>
      </c>
      <c r="Q69" s="143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0" t="s">
        <v>1100</v>
      </c>
      <c r="B70" s="31" t="s">
        <v>57</v>
      </c>
      <c r="C70" s="153" t="n">
        <f aca="false">INDEX(Training!$C$123:$Q$123,3*(Unit_Cost!C$6-1)+2)</f>
        <v>0.0262306594583518</v>
      </c>
      <c r="D70" s="153" t="n">
        <f aca="false">INDEX(Training!$C$123:$Q$123,3*(Unit_Cost!D$6-1)+2)</f>
        <v>0.0262306594583518</v>
      </c>
      <c r="E70" s="153" t="n">
        <f aca="false">INDEX(Training!$C$123:$Q$123,3*(Unit_Cost!E$6-1)+2)</f>
        <v>0.0262306594583518</v>
      </c>
      <c r="F70" s="153" t="n">
        <f aca="false">INDEX(Training!$C$123:$Q$123,3*(Unit_Cost!F$6-1)+2)</f>
        <v>0.0110022227193147</v>
      </c>
      <c r="G70" s="153" t="n">
        <f aca="false">INDEX(Training!$C$123:$Q$123,3*(Unit_Cost!G$6-1)+2)</f>
        <v>0.0110022227193147</v>
      </c>
      <c r="H70" s="153" t="n">
        <f aca="false">INDEX(Training!$C$123:$Q$123,3*(Unit_Cost!H$6-1)+2)</f>
        <v>0.0110022227193147</v>
      </c>
      <c r="I70" s="153" t="n">
        <f aca="false">INDEX(Training!$C$123:$Q$123,3*(Unit_Cost!I$6-1)+2)</f>
        <v>0.0102846589455565</v>
      </c>
      <c r="J70" s="153" t="n">
        <f aca="false">INDEX(Training!$C$123:$Q$123,3*(Unit_Cost!J$6-1)+2)</f>
        <v>0.0102846589455565</v>
      </c>
      <c r="K70" s="153" t="n">
        <f aca="false">INDEX(Training!$C$123:$Q$123,3*(Unit_Cost!K$6-1)+2)</f>
        <v>0.0102846589455565</v>
      </c>
      <c r="L70" s="153" t="n">
        <f aca="false">INDEX(Training!$C$123:$Q$123,3*(Unit_Cost!L$6-1)+2)</f>
        <v>0.00578245060227154</v>
      </c>
      <c r="M70" s="153" t="n">
        <f aca="false">INDEX(Training!$C$123:$Q$123,3*(Unit_Cost!M$6-1)+2)</f>
        <v>0.00578245060227154</v>
      </c>
      <c r="N70" s="153" t="n">
        <f aca="false">INDEX(Training!$C$123:$Q$123,3*(Unit_Cost!N$6-1)+2)</f>
        <v>0.00578245060227154</v>
      </c>
      <c r="O70" s="153" t="n">
        <f aca="false">INDEX(Training!$C$123:$Q$123,3*(Unit_Cost!O$6-1)+2)</f>
        <v>0.00376717085752225</v>
      </c>
      <c r="P70" s="153" t="n">
        <f aca="false">INDEX(Training!$C$123:$Q$123,3*(Unit_Cost!P$6-1)+2)</f>
        <v>0.00376717085752225</v>
      </c>
      <c r="Q70" s="153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148" t="s">
        <v>206</v>
      </c>
    </row>
    <row r="72" customFormat="false" ht="15" hidden="false" customHeight="true" outlineLevel="0" collapsed="false">
      <c r="A72" s="30" t="s">
        <v>1101</v>
      </c>
      <c r="B72" s="31" t="s">
        <v>929</v>
      </c>
      <c r="C72" s="142" t="n">
        <f aca="false">INDEX(Training!$C$106:$Q$106,3*(Unit_Cost!C$6-1)+3)</f>
        <v>128603353.384478</v>
      </c>
      <c r="D72" s="142" t="n">
        <f aca="false">INDEX(Training!$C$106:$Q$106,3*(Unit_Cost!D$6-1)+3)</f>
        <v>128603353.384478</v>
      </c>
      <c r="E72" s="142" t="n">
        <f aca="false">INDEX(Training!$C$106:$Q$106,3*(Unit_Cost!E$6-1)+3)</f>
        <v>128603353.384478</v>
      </c>
      <c r="F72" s="142" t="n">
        <f aca="false">INDEX(Training!$C$106:$Q$106,3*(Unit_Cost!F$6-1)+3)</f>
        <v>38572173.855701</v>
      </c>
      <c r="G72" s="142" t="n">
        <f aca="false">INDEX(Training!$C$106:$Q$106,3*(Unit_Cost!G$6-1)+3)</f>
        <v>38572173.855701</v>
      </c>
      <c r="H72" s="142" t="n">
        <f aca="false">INDEX(Training!$C$106:$Q$106,3*(Unit_Cost!H$6-1)+3)</f>
        <v>38572173.855701</v>
      </c>
      <c r="I72" s="142" t="n">
        <f aca="false">INDEX(Training!$C$106:$Q$106,3*(Unit_Cost!I$6-1)+3)</f>
        <v>34901348.2289244</v>
      </c>
      <c r="J72" s="142" t="n">
        <f aca="false">INDEX(Training!$C$106:$Q$106,3*(Unit_Cost!J$6-1)+3)</f>
        <v>34901348.2289244</v>
      </c>
      <c r="K72" s="142" t="n">
        <f aca="false">INDEX(Training!$C$106:$Q$106,3*(Unit_Cost!K$6-1)+3)</f>
        <v>34901348.2289244</v>
      </c>
      <c r="L72" s="142" t="n">
        <f aca="false">INDEX(Training!$C$106:$Q$106,3*(Unit_Cost!L$6-1)+3)</f>
        <v>11677660.7153424</v>
      </c>
      <c r="M72" s="142" t="n">
        <f aca="false">INDEX(Training!$C$106:$Q$106,3*(Unit_Cost!M$6-1)+3)</f>
        <v>11677660.7153424</v>
      </c>
      <c r="N72" s="142" t="n">
        <f aca="false">INDEX(Training!$C$106:$Q$106,3*(Unit_Cost!N$6-1)+3)</f>
        <v>11677660.7153424</v>
      </c>
      <c r="O72" s="142" t="n">
        <f aca="false">INDEX(Training!$C$106:$Q$106,3*(Unit_Cost!O$6-1)+3)</f>
        <v>5769868.9978651</v>
      </c>
      <c r="P72" s="142" t="n">
        <f aca="false">INDEX(Training!$C$106:$Q$106,3*(Unit_Cost!P$6-1)+3)</f>
        <v>5769868.9978651</v>
      </c>
      <c r="Q72" s="142" t="n">
        <f aca="false">INDEX(Training!$C$106:$Q$106,3*(Unit_Cost!Q$6-1)+3)</f>
        <v>5769868.9978651</v>
      </c>
    </row>
    <row r="73" customFormat="false" ht="15" hidden="false" customHeight="true" outlineLevel="0" collapsed="false">
      <c r="A73" s="30" t="s">
        <v>1102</v>
      </c>
      <c r="B73" s="31" t="s">
        <v>785</v>
      </c>
      <c r="C73" s="150" t="n">
        <f aca="false">INDEX(Training!$C$106:$Q$106,3*(Unit_Cost!C$6-1)+3)*Unit_Cost!C$8/1000000</f>
        <v>143.118388396825</v>
      </c>
      <c r="D73" s="150" t="n">
        <f aca="false">INDEX(Training!$C$106:$Q$106,3*(Unit_Cost!D$6-1)+3)*Unit_Cost!D$8/1000000</f>
        <v>206.412144649589</v>
      </c>
      <c r="E73" s="150" t="n">
        <f aca="false">INDEX(Training!$C$106:$Q$106,3*(Unit_Cost!E$6-1)+3)*Unit_Cost!E$8/1000000</f>
        <v>355.871322473256</v>
      </c>
      <c r="F73" s="150" t="n">
        <f aca="false">INDEX(Training!$C$106:$Q$106,3*(Unit_Cost!F$6-1)+3)*Unit_Cost!F$8/1000000</f>
        <v>59.5396282615028</v>
      </c>
      <c r="G73" s="150" t="n">
        <f aca="false">INDEX(Training!$C$106:$Q$106,3*(Unit_Cost!G$6-1)+3)*Unit_Cost!G$8/1000000</f>
        <v>80.105330139797</v>
      </c>
      <c r="H73" s="150" t="n">
        <f aca="false">INDEX(Training!$C$106:$Q$106,3*(Unit_Cost!H$6-1)+3)*Unit_Cost!H$8/1000000</f>
        <v>130.359057671101</v>
      </c>
      <c r="I73" s="150" t="n">
        <f aca="false">INDEX(Training!$C$106:$Q$106,3*(Unit_Cost!I$6-1)+3)*Unit_Cost!I$8/1000000</f>
        <v>71.3469609036269</v>
      </c>
      <c r="J73" s="150" t="n">
        <f aca="false">INDEX(Training!$C$106:$Q$106,3*(Unit_Cost!J$6-1)+3)*Unit_Cost!J$8/1000000</f>
        <v>104.268227437985</v>
      </c>
      <c r="K73" s="150" t="n">
        <f aca="false">INDEX(Training!$C$106:$Q$106,3*(Unit_Cost!K$6-1)+3)*Unit_Cost!K$8/1000000</f>
        <v>195.550305536699</v>
      </c>
      <c r="L73" s="150" t="n">
        <f aca="false">INDEX(Training!$C$106:$Q$106,3*(Unit_Cost!L$6-1)+3)*Unit_Cost!L$8/1000000</f>
        <v>39.8290942375172</v>
      </c>
      <c r="M73" s="150" t="n">
        <f aca="false">INDEX(Training!$C$106:$Q$106,3*(Unit_Cost!M$6-1)+3)*Unit_Cost!M$8/1000000</f>
        <v>55.0800551290938</v>
      </c>
      <c r="N73" s="150" t="n">
        <f aca="false">INDEX(Training!$C$106:$Q$106,3*(Unit_Cost!N$6-1)+3)*Unit_Cost!N$8/1000000</f>
        <v>94.4844246487731</v>
      </c>
      <c r="O73" s="150" t="n">
        <f aca="false">INDEX(Training!$C$106:$Q$106,3*(Unit_Cost!O$6-1)+3)*Unit_Cost!O$8/1000000</f>
        <v>32.5335227304716</v>
      </c>
      <c r="P73" s="150" t="n">
        <f aca="false">INDEX(Training!$C$106:$Q$106,3*(Unit_Cost!P$6-1)+3)*Unit_Cost!P$8/1000000</f>
        <v>50.0287320073969</v>
      </c>
      <c r="Q73" s="150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0" t="s">
        <v>1103</v>
      </c>
      <c r="B74" s="31" t="s">
        <v>57</v>
      </c>
      <c r="C74" s="151" t="n">
        <f aca="false">INDEX(Training!$C$110:$Q$110,3*(Unit_Cost!C$6-1)+3)</f>
        <v>0.268885180199482</v>
      </c>
      <c r="D74" s="151" t="n">
        <f aca="false">INDEX(Training!$C$110:$Q$110,3*(Unit_Cost!D$6-1)+3)</f>
        <v>0.268885180199482</v>
      </c>
      <c r="E74" s="151" t="n">
        <f aca="false">INDEX(Training!$C$110:$Q$110,3*(Unit_Cost!E$6-1)+3)</f>
        <v>0.268885180199482</v>
      </c>
      <c r="F74" s="151" t="n">
        <f aca="false">INDEX(Training!$C$110:$Q$110,3*(Unit_Cost!F$6-1)+3)</f>
        <v>0.268885180199482</v>
      </c>
      <c r="G74" s="151" t="n">
        <f aca="false">INDEX(Training!$C$110:$Q$110,3*(Unit_Cost!G$6-1)+3)</f>
        <v>0.268885180199482</v>
      </c>
      <c r="H74" s="151" t="n">
        <f aca="false">INDEX(Training!$C$110:$Q$110,3*(Unit_Cost!H$6-1)+3)</f>
        <v>0.268885180199482</v>
      </c>
      <c r="I74" s="151" t="n">
        <f aca="false">INDEX(Training!$C$110:$Q$110,3*(Unit_Cost!I$6-1)+3)</f>
        <v>0.268885180199482</v>
      </c>
      <c r="J74" s="151" t="n">
        <f aca="false">INDEX(Training!$C$110:$Q$110,3*(Unit_Cost!J$6-1)+3)</f>
        <v>0.268885180199482</v>
      </c>
      <c r="K74" s="151" t="n">
        <f aca="false">INDEX(Training!$C$110:$Q$110,3*(Unit_Cost!K$6-1)+3)</f>
        <v>0.268885180199482</v>
      </c>
      <c r="L74" s="151" t="n">
        <f aca="false">INDEX(Training!$C$110:$Q$110,3*(Unit_Cost!L$6-1)+3)</f>
        <v>0.268885180199482</v>
      </c>
      <c r="M74" s="151" t="n">
        <f aca="false">INDEX(Training!$C$110:$Q$110,3*(Unit_Cost!M$6-1)+3)</f>
        <v>0.268885180199482</v>
      </c>
      <c r="N74" s="151" t="n">
        <f aca="false">INDEX(Training!$C$110:$Q$110,3*(Unit_Cost!N$6-1)+3)</f>
        <v>0.268885180199482</v>
      </c>
      <c r="O74" s="151" t="n">
        <f aca="false">INDEX(Training!$C$110:$Q$110,3*(Unit_Cost!O$6-1)+3)</f>
        <v>0.268885180199482</v>
      </c>
      <c r="P74" s="151" t="n">
        <f aca="false">INDEX(Training!$C$110:$Q$110,3*(Unit_Cost!P$6-1)+3)</f>
        <v>0.268885180199482</v>
      </c>
      <c r="Q74" s="151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0" t="s">
        <v>1104</v>
      </c>
      <c r="B75" s="31" t="s">
        <v>57</v>
      </c>
      <c r="C75" s="152" t="n">
        <f aca="false">INDEX(Training!$C$111:$Q$111,3*(Unit_Cost!C$6-1)+3)</f>
        <v>0.525805967800996</v>
      </c>
      <c r="D75" s="152" t="n">
        <f aca="false">INDEX(Training!$C$111:$Q$111,3*(Unit_Cost!D$6-1)+3)</f>
        <v>0.525805967800996</v>
      </c>
      <c r="E75" s="152" t="n">
        <f aca="false">INDEX(Training!$C$111:$Q$111,3*(Unit_Cost!E$6-1)+3)</f>
        <v>0.525805967800996</v>
      </c>
      <c r="F75" s="152" t="n">
        <f aca="false">INDEX(Training!$C$111:$Q$111,3*(Unit_Cost!F$6-1)+3)</f>
        <v>0.50338514901022</v>
      </c>
      <c r="G75" s="152" t="n">
        <f aca="false">INDEX(Training!$C$111:$Q$111,3*(Unit_Cost!G$6-1)+3)</f>
        <v>0.50338514901022</v>
      </c>
      <c r="H75" s="152" t="n">
        <f aca="false">INDEX(Training!$C$111:$Q$111,3*(Unit_Cost!H$6-1)+3)</f>
        <v>0.50338514901022</v>
      </c>
      <c r="I75" s="152" t="n">
        <f aca="false">INDEX(Training!$C$111:$Q$111,3*(Unit_Cost!I$6-1)+3)</f>
        <v>0.460033612200459</v>
      </c>
      <c r="J75" s="152" t="n">
        <f aca="false">INDEX(Training!$C$111:$Q$111,3*(Unit_Cost!J$6-1)+3)</f>
        <v>0.460033612200459</v>
      </c>
      <c r="K75" s="152" t="n">
        <f aca="false">INDEX(Training!$C$111:$Q$111,3*(Unit_Cost!K$6-1)+3)</f>
        <v>0.460033612200459</v>
      </c>
      <c r="L75" s="152" t="n">
        <f aca="false">INDEX(Training!$C$111:$Q$111,3*(Unit_Cost!L$6-1)+3)</f>
        <v>0.483184395630212</v>
      </c>
      <c r="M75" s="152" t="n">
        <f aca="false">INDEX(Training!$C$111:$Q$111,3*(Unit_Cost!M$6-1)+3)</f>
        <v>0.483184395630212</v>
      </c>
      <c r="N75" s="152" t="n">
        <f aca="false">INDEX(Training!$C$111:$Q$111,3*(Unit_Cost!N$6-1)+3)</f>
        <v>0.483184395630212</v>
      </c>
      <c r="O75" s="152" t="n">
        <f aca="false">INDEX(Training!$C$111:$Q$111,3*(Unit_Cost!O$6-1)+3)</f>
        <v>0.474258961133909</v>
      </c>
      <c r="P75" s="152" t="n">
        <f aca="false">INDEX(Training!$C$111:$Q$111,3*(Unit_Cost!P$6-1)+3)</f>
        <v>0.474258961133909</v>
      </c>
      <c r="Q75" s="152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1" t="s">
        <v>1105</v>
      </c>
      <c r="B76" s="31" t="s">
        <v>57</v>
      </c>
      <c r="C76" s="151" t="n">
        <f aca="false">INDEX(Training!$C$77:$Q$77,3*(Unit_Cost!C$6-1)+3)</f>
        <v>0.0593840323799956</v>
      </c>
      <c r="D76" s="151" t="n">
        <f aca="false">INDEX(Training!$C$77:$Q$77,3*(Unit_Cost!D$6-1)+3)</f>
        <v>0.0593840323799956</v>
      </c>
      <c r="E76" s="151" t="n">
        <f aca="false">INDEX(Training!$C$77:$Q$77,3*(Unit_Cost!E$6-1)+3)</f>
        <v>0.0593840323799956</v>
      </c>
      <c r="F76" s="151" t="n">
        <f aca="false">INDEX(Training!$C$77:$Q$77,3*(Unit_Cost!F$6-1)+3)</f>
        <v>0.0811229223527572</v>
      </c>
      <c r="G76" s="151" t="n">
        <f aca="false">INDEX(Training!$C$77:$Q$77,3*(Unit_Cost!G$6-1)+3)</f>
        <v>0.0811229223527572</v>
      </c>
      <c r="H76" s="151" t="n">
        <f aca="false">INDEX(Training!$C$77:$Q$77,3*(Unit_Cost!H$6-1)+3)</f>
        <v>0.0811229223527572</v>
      </c>
      <c r="I76" s="151" t="n">
        <f aca="false">INDEX(Training!$C$77:$Q$77,3*(Unit_Cost!I$6-1)+3)</f>
        <v>0.0965420170160029</v>
      </c>
      <c r="J76" s="151" t="n">
        <f aca="false">INDEX(Training!$C$77:$Q$77,3*(Unit_Cost!J$6-1)+3)</f>
        <v>0.0965420170160029</v>
      </c>
      <c r="K76" s="151" t="n">
        <f aca="false">INDEX(Training!$C$77:$Q$77,3*(Unit_Cost!K$6-1)+3)</f>
        <v>0.0965420170160029</v>
      </c>
      <c r="L76" s="151" t="n">
        <f aca="false">INDEX(Training!$C$77:$Q$77,3*(Unit_Cost!L$6-1)+3)</f>
        <v>0.0791695298591089</v>
      </c>
      <c r="M76" s="151" t="n">
        <f aca="false">INDEX(Training!$C$77:$Q$77,3*(Unit_Cost!M$6-1)+3)</f>
        <v>0.0791695298591089</v>
      </c>
      <c r="N76" s="151" t="n">
        <f aca="false">INDEX(Training!$C$77:$Q$77,3*(Unit_Cost!N$6-1)+3)</f>
        <v>0.0791695298591089</v>
      </c>
      <c r="O76" s="151" t="n">
        <f aca="false">INDEX(Training!$C$77:$Q$77,3*(Unit_Cost!O$6-1)+3)</f>
        <v>0.082058403212962</v>
      </c>
      <c r="P76" s="151" t="n">
        <f aca="false">INDEX(Training!$C$77:$Q$77,3*(Unit_Cost!P$6-1)+3)</f>
        <v>0.082058403212962</v>
      </c>
      <c r="Q76" s="151" t="n">
        <f aca="false">INDEX(Training!$C$77:$Q$77,3*(Unit_Cost!Q$6-1)+3)</f>
        <v>0.082058403212962</v>
      </c>
    </row>
    <row r="77" customFormat="false" ht="15" hidden="false" customHeight="true" outlineLevel="0" collapsed="false">
      <c r="A77" s="30" t="s">
        <v>1106</v>
      </c>
      <c r="B77" s="31" t="s">
        <v>929</v>
      </c>
      <c r="C77" s="143" t="n">
        <f aca="false">INDEX(Training!$C$120:$Q$120,3*(Unit_Cost!C$6-1)+3)</f>
        <v>1028826827.07582</v>
      </c>
      <c r="D77" s="143" t="n">
        <f aca="false">INDEX(Training!$C$120:$Q$120,3*(Unit_Cost!D$6-1)+3)</f>
        <v>1028826827.07582</v>
      </c>
      <c r="E77" s="143" t="n">
        <f aca="false">INDEX(Training!$C$120:$Q$120,3*(Unit_Cost!E$6-1)+3)</f>
        <v>1028826827.07582</v>
      </c>
      <c r="F77" s="143" t="n">
        <f aca="false">INDEX(Training!$C$120:$Q$120,3*(Unit_Cost!F$6-1)+3)</f>
        <v>308577390.845608</v>
      </c>
      <c r="G77" s="143" t="n">
        <f aca="false">INDEX(Training!$C$120:$Q$120,3*(Unit_Cost!G$6-1)+3)</f>
        <v>308577390.845608</v>
      </c>
      <c r="H77" s="143" t="n">
        <f aca="false">INDEX(Training!$C$120:$Q$120,3*(Unit_Cost!H$6-1)+3)</f>
        <v>308577390.845608</v>
      </c>
      <c r="I77" s="143" t="n">
        <f aca="false">INDEX(Training!$C$120:$Q$120,3*(Unit_Cost!I$6-1)+3)</f>
        <v>279210785.831395</v>
      </c>
      <c r="J77" s="143" t="n">
        <f aca="false">INDEX(Training!$C$120:$Q$120,3*(Unit_Cost!J$6-1)+3)</f>
        <v>279210785.831395</v>
      </c>
      <c r="K77" s="143" t="n">
        <f aca="false">INDEX(Training!$C$120:$Q$120,3*(Unit_Cost!K$6-1)+3)</f>
        <v>279210785.831395</v>
      </c>
      <c r="L77" s="143" t="n">
        <f aca="false">INDEX(Training!$C$120:$Q$120,3*(Unit_Cost!L$6-1)+3)</f>
        <v>93421285.7227391</v>
      </c>
      <c r="M77" s="143" t="n">
        <f aca="false">INDEX(Training!$C$120:$Q$120,3*(Unit_Cost!M$6-1)+3)</f>
        <v>93421285.7227391</v>
      </c>
      <c r="N77" s="143" t="n">
        <f aca="false">INDEX(Training!$C$120:$Q$120,3*(Unit_Cost!N$6-1)+3)</f>
        <v>93421285.7227391</v>
      </c>
      <c r="O77" s="143" t="n">
        <f aca="false">INDEX(Training!$C$120:$Q$120,3*(Unit_Cost!O$6-1)+3)</f>
        <v>46158951.9829208</v>
      </c>
      <c r="P77" s="143" t="n">
        <f aca="false">INDEX(Training!$C$120:$Q$120,3*(Unit_Cost!P$6-1)+3)</f>
        <v>46158951.9829208</v>
      </c>
      <c r="Q77" s="143" t="n">
        <f aca="false">INDEX(Training!$C$120:$Q$120,3*(Unit_Cost!Q$6-1)+3)</f>
        <v>46158951.9829208</v>
      </c>
    </row>
    <row r="78" customFormat="false" ht="15" hidden="false" customHeight="true" outlineLevel="0" collapsed="false">
      <c r="A78" s="30" t="s">
        <v>1107</v>
      </c>
      <c r="B78" s="31" t="s">
        <v>785</v>
      </c>
      <c r="C78" s="143" t="n">
        <f aca="false">INDEX(Training!$C$120:$Q$120,3*(Unit_Cost!C$6-1)+3)*Unit_Cost!C$8/1000000</f>
        <v>1144.9471071746</v>
      </c>
      <c r="D78" s="143" t="n">
        <f aca="false">INDEX(Training!$C$120:$Q$120,3*(Unit_Cost!D$6-1)+3)*Unit_Cost!D$8/1000000</f>
        <v>1651.29715719671</v>
      </c>
      <c r="E78" s="143" t="n">
        <f aca="false">INDEX(Training!$C$120:$Q$120,3*(Unit_Cost!E$6-1)+3)*Unit_Cost!E$8/1000000</f>
        <v>2846.97057978605</v>
      </c>
      <c r="F78" s="143" t="n">
        <f aca="false">INDEX(Training!$C$120:$Q$120,3*(Unit_Cost!F$6-1)+3)*Unit_Cost!F$8/1000000</f>
        <v>476.317026092022</v>
      </c>
      <c r="G78" s="143" t="n">
        <f aca="false">INDEX(Training!$C$120:$Q$120,3*(Unit_Cost!G$6-1)+3)*Unit_Cost!G$8/1000000</f>
        <v>640.842641118376</v>
      </c>
      <c r="H78" s="143" t="n">
        <f aca="false">INDEX(Training!$C$120:$Q$120,3*(Unit_Cost!H$6-1)+3)*Unit_Cost!H$8/1000000</f>
        <v>1042.8724613688</v>
      </c>
      <c r="I78" s="143" t="n">
        <f aca="false">INDEX(Training!$C$120:$Q$120,3*(Unit_Cost!I$6-1)+3)*Unit_Cost!I$8/1000000</f>
        <v>570.775687229015</v>
      </c>
      <c r="J78" s="143" t="n">
        <f aca="false">INDEX(Training!$C$120:$Q$120,3*(Unit_Cost!J$6-1)+3)*Unit_Cost!J$8/1000000</f>
        <v>834.145819503879</v>
      </c>
      <c r="K78" s="143" t="n">
        <f aca="false">INDEX(Training!$C$120:$Q$120,3*(Unit_Cost!K$6-1)+3)*Unit_Cost!K$8/1000000</f>
        <v>1564.40244429359</v>
      </c>
      <c r="L78" s="143" t="n">
        <f aca="false">INDEX(Training!$C$120:$Q$120,3*(Unit_Cost!L$6-1)+3)*Unit_Cost!L$8/1000000</f>
        <v>318.632753900137</v>
      </c>
      <c r="M78" s="143" t="n">
        <f aca="false">INDEX(Training!$C$120:$Q$120,3*(Unit_Cost!M$6-1)+3)*Unit_Cost!M$8/1000000</f>
        <v>440.64044103275</v>
      </c>
      <c r="N78" s="143" t="n">
        <f aca="false">INDEX(Training!$C$120:$Q$120,3*(Unit_Cost!N$6-1)+3)*Unit_Cost!N$8/1000000</f>
        <v>755.875397190185</v>
      </c>
      <c r="O78" s="143" t="n">
        <f aca="false">INDEX(Training!$C$120:$Q$120,3*(Unit_Cost!O$6-1)+3)*Unit_Cost!O$8/1000000</f>
        <v>260.268181843772</v>
      </c>
      <c r="P78" s="143" t="n">
        <f aca="false">INDEX(Training!$C$120:$Q$120,3*(Unit_Cost!P$6-1)+3)*Unit_Cost!P$8/1000000</f>
        <v>400.229856059175</v>
      </c>
      <c r="Q78" s="143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0" t="s">
        <v>1108</v>
      </c>
      <c r="B79" s="31" t="s">
        <v>57</v>
      </c>
      <c r="C79" s="153" t="n">
        <f aca="false">INDEX(Training!$C$123:$Q$123,3*(Unit_Cost!C$6-1)+3)</f>
        <v>0.163562860457807</v>
      </c>
      <c r="D79" s="153" t="n">
        <f aca="false">INDEX(Training!$C$123:$Q$123,3*(Unit_Cost!D$6-1)+3)</f>
        <v>0.163562860457807</v>
      </c>
      <c r="E79" s="153" t="n">
        <f aca="false">INDEX(Training!$C$123:$Q$123,3*(Unit_Cost!E$6-1)+3)</f>
        <v>0.163562860457807</v>
      </c>
      <c r="F79" s="153" t="n">
        <f aca="false">INDEX(Training!$C$123:$Q$123,3*(Unit_Cost!F$6-1)+3)</f>
        <v>0.069141639871446</v>
      </c>
      <c r="G79" s="153" t="n">
        <f aca="false">INDEX(Training!$C$123:$Q$123,3*(Unit_Cost!G$6-1)+3)</f>
        <v>0.069141639871446</v>
      </c>
      <c r="H79" s="153" t="n">
        <f aca="false">INDEX(Training!$C$123:$Q$123,3*(Unit_Cost!H$6-1)+3)</f>
        <v>0.069141639871446</v>
      </c>
      <c r="I79" s="153" t="n">
        <f aca="false">INDEX(Training!$C$123:$Q$123,3*(Unit_Cost!I$6-1)+3)</f>
        <v>0.0659249139116678</v>
      </c>
      <c r="J79" s="153" t="n">
        <f aca="false">INDEX(Training!$C$123:$Q$123,3*(Unit_Cost!J$6-1)+3)</f>
        <v>0.0659249139116678</v>
      </c>
      <c r="K79" s="153" t="n">
        <f aca="false">INDEX(Training!$C$123:$Q$123,3*(Unit_Cost!K$6-1)+3)</f>
        <v>0.0659249139116678</v>
      </c>
      <c r="L79" s="153" t="n">
        <f aca="false">INDEX(Training!$C$123:$Q$123,3*(Unit_Cost!L$6-1)+3)</f>
        <v>0.0365544118598703</v>
      </c>
      <c r="M79" s="153" t="n">
        <f aca="false">INDEX(Training!$C$123:$Q$123,3*(Unit_Cost!M$6-1)+3)</f>
        <v>0.0365544118598703</v>
      </c>
      <c r="N79" s="153" t="n">
        <f aca="false">INDEX(Training!$C$123:$Q$123,3*(Unit_Cost!N$6-1)+3)</f>
        <v>0.0365544118598703</v>
      </c>
      <c r="O79" s="153" t="n">
        <f aca="false">INDEX(Training!$C$123:$Q$123,3*(Unit_Cost!O$6-1)+3)</f>
        <v>0.0238697124195531</v>
      </c>
      <c r="P79" s="153" t="n">
        <f aca="false">INDEX(Training!$C$123:$Q$123,3*(Unit_Cost!P$6-1)+3)</f>
        <v>0.0238697124195531</v>
      </c>
      <c r="Q79" s="153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0" t="s">
        <v>1109</v>
      </c>
      <c r="B80" s="31" t="s">
        <v>61</v>
      </c>
      <c r="C80" s="154" t="n">
        <f aca="false">Train_In!$C$13</f>
        <v>8</v>
      </c>
    </row>
    <row r="81" customFormat="false" ht="15" hidden="false" customHeight="true" outlineLevel="0" collapsed="false">
      <c r="A81" s="30" t="s">
        <v>1110</v>
      </c>
      <c r="B81" s="30" t="s">
        <v>852</v>
      </c>
      <c r="C81" s="155" t="n">
        <f aca="false">Train_In!$C$16</f>
        <v>4</v>
      </c>
      <c r="D81" s="156" t="str">
        <f aca="false">INDEX(Spec_Rack!$C$4:$G$4,C81)</f>
        <v>VR200 NVL72</v>
      </c>
    </row>
    <row r="82" customFormat="false" ht="15" hidden="false" customHeight="true" outlineLevel="0" collapsed="false">
      <c r="A82" s="30" t="s">
        <v>1111</v>
      </c>
      <c r="B82" s="30" t="s">
        <v>852</v>
      </c>
      <c r="C82" s="155" t="n">
        <f aca="false">Train_In!$C$17</f>
        <v>3</v>
      </c>
      <c r="D82" s="156" t="str">
        <f aca="false">INDEX(Spec_Rack!$C$4:$G$4,C82)</f>
        <v>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1" t="s">
        <v>1112</v>
      </c>
    </row>
    <row r="2" customFormat="false" ht="15" hidden="false" customHeight="false" outlineLevel="0" collapsed="false">
      <c r="A2" s="54" t="s">
        <v>1113</v>
      </c>
    </row>
    <row r="4" customFormat="false" ht="15" hidden="false" customHeight="false" outlineLevel="0" collapsed="false">
      <c r="A4" s="9" t="s">
        <v>1114</v>
      </c>
    </row>
    <row r="5" customFormat="false" ht="15" hidden="false" customHeight="false" outlineLevel="0" collapsed="false">
      <c r="A5" s="45" t="s">
        <v>1115</v>
      </c>
      <c r="B5" s="45" t="s">
        <v>57</v>
      </c>
      <c r="C5" s="47" t="n">
        <v>0.6</v>
      </c>
      <c r="F5" s="42" t="s">
        <v>1116</v>
      </c>
    </row>
    <row r="6" customFormat="false" ht="15" hidden="false" customHeight="false" outlineLevel="0" collapsed="false">
      <c r="A6" s="45" t="s">
        <v>1117</v>
      </c>
      <c r="B6" s="45" t="s">
        <v>1118</v>
      </c>
      <c r="C6" s="48" t="n">
        <v>10</v>
      </c>
      <c r="F6" s="42" t="s">
        <v>1119</v>
      </c>
    </row>
    <row r="7" customFormat="false" ht="15" hidden="false" customHeight="false" outlineLevel="0" collapsed="false">
      <c r="A7" s="45" t="s">
        <v>1120</v>
      </c>
      <c r="B7" s="45" t="s">
        <v>1118</v>
      </c>
      <c r="C7" s="48" t="n">
        <v>40</v>
      </c>
      <c r="F7" s="42" t="s">
        <v>1121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1" t="s">
        <v>1122</v>
      </c>
    </row>
    <row r="2" customFormat="false" ht="15" hidden="false" customHeight="false" outlineLevel="0" collapsed="false">
      <c r="A2" s="54" t="s">
        <v>1123</v>
      </c>
    </row>
    <row r="4" customFormat="false" ht="30" hidden="false" customHeight="true" outlineLevel="0" collapsed="false">
      <c r="A4" s="64" t="s">
        <v>1124</v>
      </c>
      <c r="B4" s="64" t="s">
        <v>1125</v>
      </c>
      <c r="C4" s="64" t="s">
        <v>1126</v>
      </c>
      <c r="D4" s="64" t="s">
        <v>1127</v>
      </c>
      <c r="E4" s="64" t="s">
        <v>1128</v>
      </c>
      <c r="F4" s="64" t="s">
        <v>1129</v>
      </c>
      <c r="G4" s="64" t="s">
        <v>1130</v>
      </c>
      <c r="H4" s="64" t="s">
        <v>1131</v>
      </c>
      <c r="I4" s="64" t="s">
        <v>1132</v>
      </c>
      <c r="J4" s="64" t="s">
        <v>1133</v>
      </c>
      <c r="K4" s="64" t="s">
        <v>45</v>
      </c>
      <c r="L4" s="64" t="s">
        <v>266</v>
      </c>
    </row>
    <row r="5" customFormat="false" ht="15" hidden="false" customHeight="false" outlineLevel="0" collapsed="false">
      <c r="A5" s="45" t="s">
        <v>1134</v>
      </c>
      <c r="B5" s="59" t="n">
        <v>0.5</v>
      </c>
      <c r="C5" s="59" t="n">
        <v>0.7</v>
      </c>
      <c r="D5" s="59" t="n">
        <v>1</v>
      </c>
      <c r="E5" s="59" t="n">
        <v>0.8</v>
      </c>
      <c r="F5" s="59" t="n">
        <v>0.9</v>
      </c>
      <c r="G5" s="59" t="n">
        <v>1</v>
      </c>
      <c r="H5" s="88" t="n">
        <f aca="false">F5/C5</f>
        <v>1.28571428571429</v>
      </c>
      <c r="I5" s="57" t="n">
        <f aca="false">E5/D5</f>
        <v>0.8</v>
      </c>
      <c r="J5" s="57" t="n">
        <f aca="false">G5/B5</f>
        <v>2</v>
      </c>
      <c r="K5" s="42" t="s">
        <v>58</v>
      </c>
      <c r="L5" s="42" t="s">
        <v>1135</v>
      </c>
    </row>
    <row r="6" customFormat="false" ht="15" hidden="false" customHeight="false" outlineLevel="0" collapsed="false">
      <c r="A6" s="45" t="s">
        <v>1136</v>
      </c>
      <c r="B6" s="59" t="n">
        <v>0.6</v>
      </c>
      <c r="C6" s="59" t="n">
        <v>0.8</v>
      </c>
      <c r="D6" s="59" t="n">
        <v>1.1</v>
      </c>
      <c r="E6" s="59" t="n">
        <v>0.7</v>
      </c>
      <c r="F6" s="59" t="n">
        <v>0.8</v>
      </c>
      <c r="G6" s="59" t="n">
        <v>1</v>
      </c>
      <c r="H6" s="88" t="n">
        <f aca="false">F6/C6</f>
        <v>1</v>
      </c>
      <c r="I6" s="57" t="n">
        <f aca="false">E6/D6</f>
        <v>0.636363636363636</v>
      </c>
      <c r="J6" s="57" t="n">
        <f aca="false">G6/B6</f>
        <v>1.66666666666667</v>
      </c>
      <c r="K6" s="42" t="s">
        <v>58</v>
      </c>
      <c r="L6" s="54" t="s">
        <v>1137</v>
      </c>
    </row>
    <row r="7" customFormat="false" ht="15" hidden="false" customHeight="false" outlineLevel="0" collapsed="false">
      <c r="A7" s="45" t="s">
        <v>1138</v>
      </c>
      <c r="B7" s="59" t="n">
        <v>0.3</v>
      </c>
      <c r="C7" s="59" t="n">
        <v>0.5</v>
      </c>
      <c r="D7" s="59" t="n">
        <v>0.8</v>
      </c>
      <c r="E7" s="59" t="n">
        <v>0.6</v>
      </c>
      <c r="F7" s="59" t="n">
        <v>0.7</v>
      </c>
      <c r="G7" s="59" t="n">
        <v>0.9</v>
      </c>
      <c r="H7" s="88" t="n">
        <f aca="false">F7/C7</f>
        <v>1.4</v>
      </c>
      <c r="I7" s="57" t="n">
        <f aca="false">E7/D7</f>
        <v>0.75</v>
      </c>
      <c r="J7" s="57" t="n">
        <f aca="false">G7/B7</f>
        <v>3</v>
      </c>
      <c r="K7" s="42" t="s">
        <v>58</v>
      </c>
      <c r="L7" s="42" t="s">
        <v>1139</v>
      </c>
    </row>
    <row r="8" customFormat="false" ht="15" hidden="false" customHeight="false" outlineLevel="0" collapsed="false">
      <c r="A8" s="45" t="s">
        <v>1140</v>
      </c>
      <c r="B8" s="59" t="n">
        <v>0.2</v>
      </c>
      <c r="C8" s="59" t="n">
        <v>0.4</v>
      </c>
      <c r="D8" s="59" t="n">
        <v>0.8</v>
      </c>
      <c r="E8" s="59" t="n">
        <v>0.8</v>
      </c>
      <c r="F8" s="59" t="n">
        <v>1</v>
      </c>
      <c r="G8" s="59" t="n">
        <v>1.2</v>
      </c>
      <c r="H8" s="88" t="n">
        <f aca="false">F8/C8</f>
        <v>2.5</v>
      </c>
      <c r="I8" s="57" t="n">
        <f aca="false">E8/D8</f>
        <v>1</v>
      </c>
      <c r="J8" s="57" t="n">
        <f aca="false">G8/B8</f>
        <v>6</v>
      </c>
      <c r="K8" s="42" t="s">
        <v>58</v>
      </c>
      <c r="L8" s="54" t="s">
        <v>1141</v>
      </c>
    </row>
    <row r="9" customFormat="false" ht="15" hidden="false" customHeight="false" outlineLevel="0" collapsed="false">
      <c r="A9" s="45" t="s">
        <v>1142</v>
      </c>
      <c r="B9" s="59" t="n">
        <v>0.4</v>
      </c>
      <c r="C9" s="59" t="n">
        <v>0.6</v>
      </c>
      <c r="D9" s="59" t="n">
        <v>0.9</v>
      </c>
      <c r="E9" s="59" t="n">
        <v>0.7</v>
      </c>
      <c r="F9" s="59" t="n">
        <v>0.8</v>
      </c>
      <c r="G9" s="59" t="n">
        <v>1</v>
      </c>
      <c r="H9" s="88" t="n">
        <f aca="false">F9/C9</f>
        <v>1.33333333333333</v>
      </c>
      <c r="I9" s="57" t="n">
        <f aca="false">E9/D9</f>
        <v>0.777777777777778</v>
      </c>
      <c r="J9" s="57" t="n">
        <f aca="false">G9/B9</f>
        <v>2.5</v>
      </c>
      <c r="K9" s="42" t="s">
        <v>58</v>
      </c>
      <c r="L9" s="54" t="s">
        <v>1143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1144</v>
      </c>
    </row>
    <row r="2" customFormat="false" ht="15" hidden="false" customHeight="true" outlineLevel="0" collapsed="false">
      <c r="A2" s="10" t="s">
        <v>1145</v>
      </c>
    </row>
    <row r="4" customFormat="false" ht="30" hidden="false" customHeight="true" outlineLevel="0" collapsed="false">
      <c r="A4" s="19" t="s">
        <v>737</v>
      </c>
      <c r="C4" s="157" t="s">
        <v>43</v>
      </c>
      <c r="D4" s="157" t="s">
        <v>1146</v>
      </c>
      <c r="E4" s="157" t="s">
        <v>1147</v>
      </c>
      <c r="F4" s="157" t="s">
        <v>1148</v>
      </c>
      <c r="G4" s="157" t="s">
        <v>1149</v>
      </c>
      <c r="H4" s="157" t="s">
        <v>1150</v>
      </c>
      <c r="I4" s="157" t="s">
        <v>1151</v>
      </c>
      <c r="J4" s="157" t="s">
        <v>1152</v>
      </c>
      <c r="K4" s="157" t="s">
        <v>1153</v>
      </c>
      <c r="L4" s="157" t="s">
        <v>1154</v>
      </c>
      <c r="M4" s="157" t="s">
        <v>1155</v>
      </c>
      <c r="N4" s="158" t="s">
        <v>1156</v>
      </c>
      <c r="O4" s="158" t="s">
        <v>1157</v>
      </c>
      <c r="P4" s="158" t="s">
        <v>1158</v>
      </c>
      <c r="Q4" s="158" t="s">
        <v>1159</v>
      </c>
      <c r="R4" s="157" t="s">
        <v>1160</v>
      </c>
      <c r="S4" s="157" t="s">
        <v>1161</v>
      </c>
      <c r="T4" s="158" t="s">
        <v>1162</v>
      </c>
      <c r="U4" s="158" t="s">
        <v>1163</v>
      </c>
      <c r="V4" s="157" t="s">
        <v>1164</v>
      </c>
      <c r="W4" s="157" t="s">
        <v>1165</v>
      </c>
      <c r="X4" s="157" t="s">
        <v>1166</v>
      </c>
      <c r="Y4" s="157" t="s">
        <v>1167</v>
      </c>
    </row>
    <row r="6" customFormat="false" ht="15" hidden="false" customHeight="true" outlineLevel="0" collapsed="false">
      <c r="A6" s="24" t="s">
        <v>776</v>
      </c>
      <c r="B6" s="13"/>
      <c r="C6" s="13"/>
    </row>
    <row r="7" customFormat="false" ht="15" hidden="false" customHeight="true" outlineLevel="0" collapsed="false">
      <c r="A7" s="14" t="s">
        <v>777</v>
      </c>
      <c r="B7" s="15" t="s">
        <v>778</v>
      </c>
      <c r="C7" s="16" t="n">
        <f aca="false">Inputs!$E$5*1000</f>
        <v>1000</v>
      </c>
      <c r="D7" s="16" t="n">
        <f aca="false">Inputs!$E$5*1000</f>
        <v>1000</v>
      </c>
      <c r="E7" s="16" t="n">
        <f aca="false">Inputs!$E$5*1000</f>
        <v>1000</v>
      </c>
      <c r="F7" s="16" t="n">
        <f aca="false">Inputs!$E$5*1000</f>
        <v>1000</v>
      </c>
      <c r="G7" s="16" t="n">
        <f aca="false">Inputs!$E$5*1000</f>
        <v>1000</v>
      </c>
      <c r="H7" s="16" t="n">
        <f aca="false">Inputs!$E$5*1000</f>
        <v>1000</v>
      </c>
      <c r="I7" s="16" t="n">
        <f aca="false">Inputs!$E$5*1000</f>
        <v>1000</v>
      </c>
      <c r="J7" s="16" t="n">
        <f aca="false">Inputs!$E$5*1000</f>
        <v>1000</v>
      </c>
      <c r="K7" s="16" t="n">
        <f aca="false">Inputs!$E$5*1000</f>
        <v>1000</v>
      </c>
      <c r="L7" s="16" t="n">
        <f aca="false">Inputs!$E$5*1000</f>
        <v>1000</v>
      </c>
      <c r="M7" s="16" t="n">
        <f aca="false">Inputs!$E$5*1000</f>
        <v>1000</v>
      </c>
      <c r="N7" s="16" t="n">
        <f aca="false">Inputs!$E$5*1000</f>
        <v>1000</v>
      </c>
      <c r="O7" s="16" t="n">
        <f aca="false">Inputs!$E$5*1000</f>
        <v>1000</v>
      </c>
      <c r="P7" s="16" t="n">
        <f aca="false">Inputs!$E$5*1000</f>
        <v>1000</v>
      </c>
      <c r="Q7" s="16" t="n">
        <f aca="false">Inputs!$E$5*1000</f>
        <v>1000</v>
      </c>
      <c r="R7" s="16" t="n">
        <f aca="false">Inputs!$E$5*1000</f>
        <v>1000</v>
      </c>
      <c r="S7" s="16" t="n">
        <f aca="false">Inputs!$E$5*1000</f>
        <v>1000</v>
      </c>
      <c r="T7" s="16" t="n">
        <f aca="false">Inputs!$E$5*1000</f>
        <v>1000</v>
      </c>
      <c r="U7" s="16" t="n">
        <f aca="false">Inputs!$E$5*1000</f>
        <v>1000</v>
      </c>
      <c r="V7" s="16" t="n">
        <f aca="false">Inputs!$E$5*1000</f>
        <v>1000</v>
      </c>
      <c r="W7" s="16" t="n">
        <f aca="false">Inputs!$E$5*1000</f>
        <v>1000</v>
      </c>
      <c r="X7" s="16" t="n">
        <f aca="false">Inputs!$E$5*1000</f>
        <v>1000</v>
      </c>
      <c r="Y7" s="16" t="n">
        <f aca="false">Inputs!$E$5*1000</f>
        <v>1000</v>
      </c>
    </row>
    <row r="8" customFormat="false" ht="15" hidden="false" customHeight="true" outlineLevel="0" collapsed="false">
      <c r="A8" s="19" t="s">
        <v>56</v>
      </c>
      <c r="B8" s="15" t="s">
        <v>57</v>
      </c>
      <c r="C8" s="112" t="n">
        <f aca="false">Inputs!$E$8</f>
        <v>0.08</v>
      </c>
      <c r="D8" s="112" t="n">
        <f aca="false">Inputs!$E$8</f>
        <v>0.08</v>
      </c>
      <c r="E8" s="112" t="n">
        <f aca="false">Inputs!$E$8</f>
        <v>0.08</v>
      </c>
      <c r="F8" s="112" t="n">
        <f aca="false">Inputs!$E$8</f>
        <v>0.08</v>
      </c>
      <c r="G8" s="112" t="n">
        <f aca="false">Inputs!$E$8</f>
        <v>0.08</v>
      </c>
      <c r="H8" s="112" t="n">
        <f aca="false">Inputs!$E$8</f>
        <v>0.08</v>
      </c>
      <c r="I8" s="112" t="n">
        <f aca="false">Inputs!$E$8</f>
        <v>0.08</v>
      </c>
      <c r="J8" s="112" t="n">
        <f aca="false">Inputs!$E$8</f>
        <v>0.08</v>
      </c>
      <c r="K8" s="112" t="n">
        <f aca="false">Inputs!$E$8</f>
        <v>0.08</v>
      </c>
      <c r="L8" s="112" t="n">
        <f aca="false">Inputs!$E$8</f>
        <v>0.08</v>
      </c>
      <c r="M8" s="112" t="n">
        <f aca="false">Inputs!$E$8</f>
        <v>0.08</v>
      </c>
      <c r="N8" s="112" t="n">
        <f aca="false">Inputs!$E$8</f>
        <v>0.08</v>
      </c>
      <c r="O8" s="112" t="n">
        <f aca="false">Inputs!$E$8</f>
        <v>0.08</v>
      </c>
      <c r="P8" s="112" t="n">
        <f aca="false">Inputs!$E$8</f>
        <v>0.08</v>
      </c>
      <c r="Q8" s="112" t="n">
        <f aca="false">Inputs!$E$8</f>
        <v>0.08</v>
      </c>
      <c r="R8" s="112" t="n">
        <f aca="false">Inputs!$E$8</f>
        <v>0.08</v>
      </c>
      <c r="S8" s="112" t="n">
        <f aca="false">Inputs!$E$8</f>
        <v>0.08</v>
      </c>
      <c r="T8" s="112" t="n">
        <f aca="false">Inputs!$E$8</f>
        <v>0.08</v>
      </c>
      <c r="U8" s="112" t="n">
        <f aca="false">Inputs!$E$8</f>
        <v>0.08</v>
      </c>
      <c r="V8" s="112" t="n">
        <f aca="false">Inputs!$E$8</f>
        <v>0.08</v>
      </c>
      <c r="W8" s="112" t="n">
        <f aca="false">Inputs!$E$8</f>
        <v>0.08</v>
      </c>
      <c r="X8" s="21" t="n">
        <f aca="false">0.05</f>
        <v>0.05</v>
      </c>
      <c r="Y8" s="21" t="n">
        <f aca="false">0.12</f>
        <v>0.12</v>
      </c>
    </row>
    <row r="9" customFormat="false" ht="15" hidden="false" customHeight="true" outlineLevel="0" collapsed="false">
      <c r="A9" s="19" t="s">
        <v>779</v>
      </c>
      <c r="B9" s="15" t="s">
        <v>778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650</v>
      </c>
      <c r="B10" s="15" t="s">
        <v>651</v>
      </c>
      <c r="C10" s="113" t="n">
        <f aca="false">Spec_Rack!F9</f>
        <v>227</v>
      </c>
      <c r="D10" s="113" t="n">
        <f aca="false">Spec_Rack!F9</f>
        <v>227</v>
      </c>
      <c r="E10" s="113" t="n">
        <f aca="false">Spec_Rack!F9</f>
        <v>227</v>
      </c>
      <c r="F10" s="113" t="n">
        <f aca="false">Spec_Rack!F8</f>
        <v>190</v>
      </c>
      <c r="G10" s="113" t="n">
        <f aca="false">Spec_Rack!F10</f>
        <v>230</v>
      </c>
      <c r="H10" s="113" t="n">
        <f aca="false">Spec_Rack!F9</f>
        <v>227</v>
      </c>
      <c r="I10" s="113" t="n">
        <f aca="false">Spec_Rack!F9</f>
        <v>227</v>
      </c>
      <c r="J10" s="113" t="n">
        <f aca="false">Spec_Rack!F9</f>
        <v>227</v>
      </c>
      <c r="K10" s="113" t="n">
        <f aca="false">Spec_Rack!F9</f>
        <v>227</v>
      </c>
      <c r="L10" s="113" t="n">
        <f aca="false">Spec_Rack!F9</f>
        <v>227</v>
      </c>
      <c r="M10" s="113" t="n">
        <f aca="false">Spec_Rack!F9</f>
        <v>227</v>
      </c>
      <c r="N10" s="113" t="n">
        <f aca="false">Spec_Rack!F9</f>
        <v>227</v>
      </c>
      <c r="O10" s="113" t="n">
        <f aca="false">Spec_Rack!F9</f>
        <v>227</v>
      </c>
      <c r="P10" s="113" t="n">
        <f aca="false">Spec_Rack!F9</f>
        <v>227</v>
      </c>
      <c r="Q10" s="113" t="n">
        <f aca="false">Spec_Rack!F9</f>
        <v>227</v>
      </c>
      <c r="R10" s="113" t="n">
        <f aca="false">Spec_Rack!F9</f>
        <v>227</v>
      </c>
      <c r="S10" s="113" t="n">
        <f aca="false">Spec_Rack!F9</f>
        <v>227</v>
      </c>
      <c r="T10" s="113" t="n">
        <f aca="false">Spec_Rack!F9</f>
        <v>227</v>
      </c>
      <c r="U10" s="113" t="n">
        <f aca="false">Spec_Rack!F9</f>
        <v>227</v>
      </c>
      <c r="V10" s="113" t="n">
        <f aca="false">Spec_Rack!F9</f>
        <v>227</v>
      </c>
      <c r="W10" s="113" t="n">
        <f aca="false">Spec_Rack!F9</f>
        <v>227</v>
      </c>
      <c r="X10" s="113" t="n">
        <f aca="false">Spec_Rack!F9</f>
        <v>227</v>
      </c>
      <c r="Y10" s="113" t="n">
        <f aca="false">Spec_Rack!F9</f>
        <v>227</v>
      </c>
    </row>
    <row r="11" customFormat="false" ht="15" hidden="false" customHeight="true" outlineLevel="0" collapsed="false">
      <c r="A11" s="19" t="s">
        <v>780</v>
      </c>
      <c r="B11" s="20" t="s">
        <v>649</v>
      </c>
      <c r="C11" s="114" t="n">
        <f aca="false">FLOOR(C9*1000/C10,1)</f>
        <v>4052</v>
      </c>
      <c r="D11" s="114" t="n">
        <f aca="false">FLOOR(D9*1000/D10,1)</f>
        <v>4052</v>
      </c>
      <c r="E11" s="114" t="n">
        <f aca="false">FLOOR(E9*1000/E10,1)</f>
        <v>4052</v>
      </c>
      <c r="F11" s="114" t="n">
        <f aca="false">FLOOR(F9*1000/F10,1)</f>
        <v>4842</v>
      </c>
      <c r="G11" s="114" t="n">
        <f aca="false">FLOOR(G9*1000/G10,1)</f>
        <v>4000</v>
      </c>
      <c r="H11" s="114" t="n">
        <f aca="false">FLOOR(H9*1000/H10,1)</f>
        <v>4052</v>
      </c>
      <c r="I11" s="114" t="n">
        <f aca="false">FLOOR(I9*1000/I10,1)</f>
        <v>4052</v>
      </c>
      <c r="J11" s="114" t="n">
        <f aca="false">FLOOR(J9*1000/J10,1)</f>
        <v>4052</v>
      </c>
      <c r="K11" s="114" t="n">
        <f aca="false">FLOOR(K9*1000/K10,1)</f>
        <v>4052</v>
      </c>
      <c r="L11" s="114" t="n">
        <f aca="false">FLOOR(L9*1000/L10,1)</f>
        <v>4052</v>
      </c>
      <c r="M11" s="114" t="n">
        <f aca="false">FLOOR(M9*1000/M10,1)</f>
        <v>4052</v>
      </c>
      <c r="N11" s="114" t="n">
        <f aca="false">FLOOR(N9*1000/N10,1)</f>
        <v>4052</v>
      </c>
      <c r="O11" s="114" t="n">
        <f aca="false">FLOOR(O9*1000/O10,1)</f>
        <v>4052</v>
      </c>
      <c r="P11" s="114" t="n">
        <f aca="false">FLOOR(P9*1000/P10,1)</f>
        <v>4052</v>
      </c>
      <c r="Q11" s="114" t="n">
        <f aca="false">FLOOR(Q9*1000/Q10,1)</f>
        <v>4052</v>
      </c>
      <c r="R11" s="114" t="n">
        <f aca="false">FLOOR(R9*1000/R10,1)</f>
        <v>4052</v>
      </c>
      <c r="S11" s="114" t="n">
        <f aca="false">FLOOR(S9*1000/S10,1)</f>
        <v>4052</v>
      </c>
      <c r="T11" s="114" t="n">
        <f aca="false">FLOOR(T9*1000/T10,1)</f>
        <v>4052</v>
      </c>
      <c r="U11" s="114" t="n">
        <f aca="false">FLOOR(U9*1000/U10,1)</f>
        <v>4052</v>
      </c>
      <c r="V11" s="114" t="n">
        <f aca="false">FLOOR(V9*1000/V10,1)</f>
        <v>4052</v>
      </c>
      <c r="W11" s="114" t="n">
        <f aca="false">FLOOR(W9*1000/W10,1)</f>
        <v>4052</v>
      </c>
      <c r="X11" s="114" t="n">
        <f aca="false">FLOOR(X9*1000/X10,1)</f>
        <v>4185</v>
      </c>
      <c r="Y11" s="114" t="n">
        <f aca="false">FLOOR(Y9*1000/Y10,1)</f>
        <v>3876</v>
      </c>
    </row>
    <row r="12" customFormat="false" ht="15" hidden="false" customHeight="true" outlineLevel="0" collapsed="false">
      <c r="A12" s="14" t="s">
        <v>135</v>
      </c>
      <c r="B12" s="20" t="s">
        <v>643</v>
      </c>
      <c r="C12" s="113" t="n">
        <f aca="false">Spec_Rack!F6</f>
        <v>72</v>
      </c>
      <c r="D12" s="113" t="n">
        <f aca="false">Spec_Rack!F6</f>
        <v>72</v>
      </c>
      <c r="E12" s="113" t="n">
        <f aca="false">Spec_Rack!F6</f>
        <v>72</v>
      </c>
      <c r="F12" s="113" t="n">
        <f aca="false">Spec_Rack!F6</f>
        <v>72</v>
      </c>
      <c r="G12" s="113" t="n">
        <f aca="false">Spec_Rack!F6</f>
        <v>72</v>
      </c>
      <c r="H12" s="113" t="n">
        <f aca="false">Spec_Rack!F6</f>
        <v>72</v>
      </c>
      <c r="I12" s="113" t="n">
        <f aca="false">Spec_Rack!F6</f>
        <v>72</v>
      </c>
      <c r="J12" s="113" t="n">
        <f aca="false">Spec_Rack!F6</f>
        <v>72</v>
      </c>
      <c r="K12" s="113" t="n">
        <f aca="false">Spec_Rack!F6</f>
        <v>72</v>
      </c>
      <c r="L12" s="113" t="n">
        <f aca="false">Spec_Rack!F6</f>
        <v>72</v>
      </c>
      <c r="M12" s="113" t="n">
        <f aca="false">Spec_Rack!F6</f>
        <v>72</v>
      </c>
      <c r="N12" s="113" t="n">
        <f aca="false">Spec_Rack!F6</f>
        <v>72</v>
      </c>
      <c r="O12" s="113" t="n">
        <f aca="false">Spec_Rack!F6</f>
        <v>72</v>
      </c>
      <c r="P12" s="113" t="n">
        <f aca="false">Spec_Rack!F6</f>
        <v>72</v>
      </c>
      <c r="Q12" s="113" t="n">
        <f aca="false">Spec_Rack!F6</f>
        <v>72</v>
      </c>
      <c r="R12" s="113" t="n">
        <f aca="false">Spec_Rack!F6</f>
        <v>72</v>
      </c>
      <c r="S12" s="113" t="n">
        <f aca="false">Spec_Rack!F6</f>
        <v>72</v>
      </c>
      <c r="T12" s="113" t="n">
        <f aca="false">Spec_Rack!F6</f>
        <v>72</v>
      </c>
      <c r="U12" s="113" t="n">
        <f aca="false">Spec_Rack!F6</f>
        <v>72</v>
      </c>
      <c r="V12" s="113" t="n">
        <f aca="false">Spec_Rack!F6</f>
        <v>72</v>
      </c>
      <c r="W12" s="113" t="n">
        <f aca="false">Spec_Rack!F6</f>
        <v>72</v>
      </c>
      <c r="X12" s="113" t="n">
        <f aca="false">Spec_Rack!F6</f>
        <v>72</v>
      </c>
      <c r="Y12" s="113" t="n">
        <f aca="false">Spec_Rack!F6</f>
        <v>72</v>
      </c>
    </row>
    <row r="13" customFormat="false" ht="15" hidden="false" customHeight="true" outlineLevel="0" collapsed="false">
      <c r="A13" s="19" t="s">
        <v>781</v>
      </c>
      <c r="B13" s="20" t="s">
        <v>643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60</v>
      </c>
      <c r="B14" s="15" t="s">
        <v>61</v>
      </c>
      <c r="C14" s="115" t="n">
        <f aca="false">Inputs!$E$9</f>
        <v>1.2</v>
      </c>
      <c r="D14" s="115" t="n">
        <f aca="false">Inputs!$E$9</f>
        <v>1.2</v>
      </c>
      <c r="E14" s="115" t="n">
        <f aca="false">Inputs!$E$9</f>
        <v>1.2</v>
      </c>
      <c r="F14" s="115" t="n">
        <f aca="false">Inputs!$E$9</f>
        <v>1.2</v>
      </c>
      <c r="G14" s="115" t="n">
        <f aca="false">Inputs!$E$9</f>
        <v>1.2</v>
      </c>
      <c r="H14" s="115" t="n">
        <f aca="false">Inputs!$E$9</f>
        <v>1.2</v>
      </c>
      <c r="I14" s="115" t="n">
        <f aca="false">Inputs!$E$9</f>
        <v>1.2</v>
      </c>
      <c r="J14" s="115" t="n">
        <f aca="false">Inputs!$E$9</f>
        <v>1.2</v>
      </c>
      <c r="K14" s="115" t="n">
        <f aca="false">Inputs!$E$9</f>
        <v>1.2</v>
      </c>
      <c r="L14" s="115" t="n">
        <f aca="false">Inputs!$E$9</f>
        <v>1.2</v>
      </c>
      <c r="M14" s="115" t="n">
        <f aca="false">Inputs!$E$9</f>
        <v>1.2</v>
      </c>
      <c r="N14" s="115" t="n">
        <f aca="false">Inputs!$E$9</f>
        <v>1.2</v>
      </c>
      <c r="O14" s="115" t="n">
        <f aca="false">Inputs!$E$9</f>
        <v>1.2</v>
      </c>
      <c r="P14" s="115" t="n">
        <f aca="false">Inputs!$E$9</f>
        <v>1.2</v>
      </c>
      <c r="Q14" s="115" t="n">
        <f aca="false">Inputs!$E$9</f>
        <v>1.2</v>
      </c>
      <c r="R14" s="115" t="n">
        <f aca="false">Inputs!$E$9</f>
        <v>1.2</v>
      </c>
      <c r="S14" s="115" t="n">
        <f aca="false">Inputs!$E$9</f>
        <v>1.2</v>
      </c>
      <c r="T14" s="115" t="n">
        <f aca="false">Inputs!$D$9</f>
        <v>1.1</v>
      </c>
      <c r="U14" s="115" t="n">
        <f aca="false">Inputs!$F$9</f>
        <v>1.3</v>
      </c>
      <c r="V14" s="115" t="n">
        <f aca="false">Inputs!$E$9</f>
        <v>1.2</v>
      </c>
      <c r="W14" s="115" t="n">
        <f aca="false">Inputs!$E$9</f>
        <v>1.2</v>
      </c>
      <c r="X14" s="115" t="n">
        <f aca="false">Inputs!$E$9</f>
        <v>1.2</v>
      </c>
      <c r="Y14" s="115" t="n">
        <f aca="false">Inputs!$E$9</f>
        <v>1.2</v>
      </c>
    </row>
    <row r="15" customFormat="false" ht="15" hidden="false" customHeight="true" outlineLevel="0" collapsed="false">
      <c r="A15" s="19" t="s">
        <v>782</v>
      </c>
      <c r="B15" s="15" t="s">
        <v>778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783</v>
      </c>
      <c r="B16" s="13"/>
      <c r="C16" s="13"/>
    </row>
    <row r="17" customFormat="false" ht="15" hidden="false" customHeight="true" outlineLevel="0" collapsed="false">
      <c r="A17" s="19" t="s">
        <v>784</v>
      </c>
      <c r="B17" s="15" t="s">
        <v>785</v>
      </c>
      <c r="C17" s="116" t="n">
        <f aca="false">Spec_Rack!F12</f>
        <v>7.8</v>
      </c>
      <c r="D17" s="116" t="n">
        <f aca="false">Spec_Rack!F11</f>
        <v>6.7</v>
      </c>
      <c r="E17" s="116" t="n">
        <f aca="false">Spec_Rack!F13</f>
        <v>9.1</v>
      </c>
      <c r="F17" s="116" t="n">
        <f aca="false">Spec_Rack!F12</f>
        <v>7.8</v>
      </c>
      <c r="G17" s="116" t="n">
        <f aca="false">Spec_Rack!F12</f>
        <v>7.8</v>
      </c>
      <c r="H17" s="116" t="n">
        <f aca="false">Spec_Rack!F12</f>
        <v>7.8</v>
      </c>
      <c r="I17" s="116" t="n">
        <f aca="false">Spec_Rack!F12</f>
        <v>7.8</v>
      </c>
      <c r="J17" s="116" t="n">
        <f aca="false">Spec_Rack!F12</f>
        <v>7.8</v>
      </c>
      <c r="K17" s="116" t="n">
        <f aca="false">Spec_Rack!F12</f>
        <v>7.8</v>
      </c>
      <c r="L17" s="116" t="n">
        <f aca="false">Spec_Rack!F12</f>
        <v>7.8</v>
      </c>
      <c r="M17" s="116" t="n">
        <f aca="false">Spec_Rack!F12</f>
        <v>7.8</v>
      </c>
      <c r="N17" s="116" t="n">
        <f aca="false">Spec_Rack!F12</f>
        <v>7.8</v>
      </c>
      <c r="O17" s="116" t="n">
        <f aca="false">Spec_Rack!F12</f>
        <v>7.8</v>
      </c>
      <c r="P17" s="116" t="n">
        <f aca="false">Spec_Rack!F12</f>
        <v>7.8</v>
      </c>
      <c r="Q17" s="116" t="n">
        <f aca="false">Spec_Rack!F12</f>
        <v>7.8</v>
      </c>
      <c r="R17" s="116" t="n">
        <f aca="false">Spec_Rack!F12</f>
        <v>7.8</v>
      </c>
      <c r="S17" s="116" t="n">
        <f aca="false">Spec_Rack!F12</f>
        <v>7.8</v>
      </c>
      <c r="T17" s="116" t="n">
        <f aca="false">Spec_Rack!F12</f>
        <v>7.8</v>
      </c>
      <c r="U17" s="116" t="n">
        <f aca="false">Spec_Rack!F12</f>
        <v>7.8</v>
      </c>
      <c r="V17" s="116" t="n">
        <f aca="false">Spec_Rack!F12</f>
        <v>7.8</v>
      </c>
      <c r="W17" s="116" t="n">
        <f aca="false">Spec_Rack!F12</f>
        <v>7.8</v>
      </c>
      <c r="X17" s="116" t="n">
        <f aca="false">Spec_Rack!F12</f>
        <v>7.8</v>
      </c>
      <c r="Y17" s="116" t="n">
        <f aca="false">Spec_Rack!F12</f>
        <v>7.8</v>
      </c>
    </row>
    <row r="18" customFormat="false" ht="15" hidden="false" customHeight="true" outlineLevel="0" collapsed="false">
      <c r="A18" s="19" t="s">
        <v>786</v>
      </c>
      <c r="B18" s="15" t="s">
        <v>787</v>
      </c>
      <c r="C18" s="117" t="n">
        <f aca="false">C11*C17/1000</f>
        <v>31.6056</v>
      </c>
      <c r="D18" s="117" t="n">
        <f aca="false">D11*D17/1000</f>
        <v>27.1484</v>
      </c>
      <c r="E18" s="117" t="n">
        <f aca="false">E11*E17/1000</f>
        <v>36.8732</v>
      </c>
      <c r="F18" s="117" t="n">
        <f aca="false">F11*F17/1000</f>
        <v>37.7676</v>
      </c>
      <c r="G18" s="117" t="n">
        <f aca="false">G11*G17/1000</f>
        <v>31.2</v>
      </c>
      <c r="H18" s="117" t="n">
        <f aca="false">H11*H17/1000</f>
        <v>31.6056</v>
      </c>
      <c r="I18" s="117" t="n">
        <f aca="false">I11*I17/1000</f>
        <v>31.6056</v>
      </c>
      <c r="J18" s="117" t="n">
        <f aca="false">J11*J17/1000</f>
        <v>31.6056</v>
      </c>
      <c r="K18" s="117" t="n">
        <f aca="false">K11*K17/1000</f>
        <v>31.6056</v>
      </c>
      <c r="L18" s="117" t="n">
        <f aca="false">L11*L17/1000</f>
        <v>31.6056</v>
      </c>
      <c r="M18" s="117" t="n">
        <f aca="false">M11*M17/1000</f>
        <v>31.6056</v>
      </c>
      <c r="N18" s="117" t="n">
        <f aca="false">N11*N17/1000</f>
        <v>31.6056</v>
      </c>
      <c r="O18" s="117" t="n">
        <f aca="false">O11*O17/1000</f>
        <v>31.6056</v>
      </c>
      <c r="P18" s="117" t="n">
        <f aca="false">P11*P17/1000</f>
        <v>31.6056</v>
      </c>
      <c r="Q18" s="117" t="n">
        <f aca="false">Q11*Q17/1000</f>
        <v>31.6056</v>
      </c>
      <c r="R18" s="117" t="n">
        <f aca="false">R11*R17/1000</f>
        <v>31.6056</v>
      </c>
      <c r="S18" s="117" t="n">
        <f aca="false">S11*S17/1000</f>
        <v>31.6056</v>
      </c>
      <c r="T18" s="117" t="n">
        <f aca="false">T11*T17/1000</f>
        <v>31.6056</v>
      </c>
      <c r="U18" s="117" t="n">
        <f aca="false">U11*U17/1000</f>
        <v>31.6056</v>
      </c>
      <c r="V18" s="117" t="n">
        <f aca="false">V11*V17/1000</f>
        <v>31.6056</v>
      </c>
      <c r="W18" s="117" t="n">
        <f aca="false">W11*W17/1000</f>
        <v>31.6056</v>
      </c>
      <c r="X18" s="117" t="n">
        <f aca="false">X11*X17/1000</f>
        <v>32.643</v>
      </c>
      <c r="Y18" s="117" t="n">
        <f aca="false">Y11*Y17/1000</f>
        <v>30.2328</v>
      </c>
    </row>
    <row r="19" customFormat="false" ht="15" hidden="false" customHeight="true" outlineLevel="0" collapsed="false">
      <c r="A19" s="14" t="s">
        <v>71</v>
      </c>
      <c r="B19" s="15" t="s">
        <v>57</v>
      </c>
      <c r="C19" s="112" t="n">
        <f aca="false">Inputs!$E$13</f>
        <v>0.1</v>
      </c>
      <c r="D19" s="112" t="n">
        <f aca="false">Inputs!$E$13</f>
        <v>0.1</v>
      </c>
      <c r="E19" s="112" t="n">
        <f aca="false">Inputs!$E$13</f>
        <v>0.1</v>
      </c>
      <c r="F19" s="112" t="n">
        <f aca="false">Inputs!$E$13</f>
        <v>0.1</v>
      </c>
      <c r="G19" s="112" t="n">
        <f aca="false">Inputs!$E$13</f>
        <v>0.1</v>
      </c>
      <c r="H19" s="112" t="n">
        <f aca="false">Inputs!$D$13</f>
        <v>0.05</v>
      </c>
      <c r="I19" s="112" t="n">
        <f aca="false">Inputs!$F$13</f>
        <v>0.15</v>
      </c>
      <c r="J19" s="112" t="n">
        <f aca="false">Inputs!$E$13</f>
        <v>0.1</v>
      </c>
      <c r="K19" s="112" t="n">
        <f aca="false">Inputs!$E$13</f>
        <v>0.1</v>
      </c>
      <c r="L19" s="112" t="n">
        <f aca="false">Inputs!$E$13</f>
        <v>0.1</v>
      </c>
      <c r="M19" s="112" t="n">
        <f aca="false">Inputs!$E$13</f>
        <v>0.1</v>
      </c>
      <c r="N19" s="112" t="n">
        <f aca="false">Inputs!$E$13</f>
        <v>0.1</v>
      </c>
      <c r="O19" s="112" t="n">
        <f aca="false">Inputs!$E$13</f>
        <v>0.1</v>
      </c>
      <c r="P19" s="112" t="n">
        <f aca="false">Inputs!$E$13</f>
        <v>0.1</v>
      </c>
      <c r="Q19" s="112" t="n">
        <f aca="false">Inputs!$E$13</f>
        <v>0.1</v>
      </c>
      <c r="R19" s="112" t="n">
        <f aca="false">Inputs!$E$13</f>
        <v>0.1</v>
      </c>
      <c r="S19" s="112" t="n">
        <f aca="false">Inputs!$E$13</f>
        <v>0.1</v>
      </c>
      <c r="T19" s="112" t="n">
        <f aca="false">Inputs!$E$13</f>
        <v>0.1</v>
      </c>
      <c r="U19" s="112" t="n">
        <f aca="false">Inputs!$E$13</f>
        <v>0.1</v>
      </c>
      <c r="V19" s="112" t="n">
        <f aca="false">Inputs!$E$13</f>
        <v>0.1</v>
      </c>
      <c r="W19" s="112" t="n">
        <f aca="false">Inputs!$E$13</f>
        <v>0.1</v>
      </c>
      <c r="X19" s="112" t="n">
        <f aca="false">Inputs!$E$13</f>
        <v>0.1</v>
      </c>
      <c r="Y19" s="112" t="n">
        <f aca="false">Inputs!$E$13</f>
        <v>0.1</v>
      </c>
    </row>
    <row r="20" customFormat="false" ht="15" hidden="false" customHeight="true" outlineLevel="0" collapsed="false">
      <c r="A20" s="14" t="s">
        <v>788</v>
      </c>
      <c r="B20" s="15" t="s">
        <v>787</v>
      </c>
      <c r="C20" s="117" t="n">
        <f aca="false">C18*C19</f>
        <v>3.16056</v>
      </c>
      <c r="D20" s="117" t="n">
        <f aca="false">D18*D19</f>
        <v>2.71484</v>
      </c>
      <c r="E20" s="117" t="n">
        <f aca="false">E18*E19</f>
        <v>3.68732</v>
      </c>
      <c r="F20" s="117" t="n">
        <f aca="false">F18*F19</f>
        <v>3.77676</v>
      </c>
      <c r="G20" s="117" t="n">
        <f aca="false">G18*G19</f>
        <v>3.12</v>
      </c>
      <c r="H20" s="117" t="n">
        <f aca="false">H18*H19</f>
        <v>1.58028</v>
      </c>
      <c r="I20" s="117" t="n">
        <f aca="false">I18*I19</f>
        <v>4.74084</v>
      </c>
      <c r="J20" s="117" t="n">
        <f aca="false">J18*J19</f>
        <v>3.16056</v>
      </c>
      <c r="K20" s="117" t="n">
        <f aca="false">K18*K19</f>
        <v>3.16056</v>
      </c>
      <c r="L20" s="117" t="n">
        <f aca="false">L18*L19</f>
        <v>3.16056</v>
      </c>
      <c r="M20" s="117" t="n">
        <f aca="false">M18*M19</f>
        <v>3.16056</v>
      </c>
      <c r="N20" s="117" t="n">
        <f aca="false">N18*N19</f>
        <v>3.16056</v>
      </c>
      <c r="O20" s="117" t="n">
        <f aca="false">O18*O19</f>
        <v>3.16056</v>
      </c>
      <c r="P20" s="117" t="n">
        <f aca="false">P18*P19</f>
        <v>3.16056</v>
      </c>
      <c r="Q20" s="117" t="n">
        <f aca="false">Q18*Q19</f>
        <v>3.16056</v>
      </c>
      <c r="R20" s="117" t="n">
        <f aca="false">R18*R19</f>
        <v>3.16056</v>
      </c>
      <c r="S20" s="117" t="n">
        <f aca="false">S18*S19</f>
        <v>3.16056</v>
      </c>
      <c r="T20" s="117" t="n">
        <f aca="false">T18*T19</f>
        <v>3.16056</v>
      </c>
      <c r="U20" s="117" t="n">
        <f aca="false">U18*U19</f>
        <v>3.16056</v>
      </c>
      <c r="V20" s="117" t="n">
        <f aca="false">V18*V19</f>
        <v>3.16056</v>
      </c>
      <c r="W20" s="117" t="n">
        <f aca="false">W18*W19</f>
        <v>3.16056</v>
      </c>
      <c r="X20" s="117" t="n">
        <f aca="false">X18*X19</f>
        <v>3.2643</v>
      </c>
      <c r="Y20" s="117" t="n">
        <f aca="false">Y18*Y19</f>
        <v>3.02328</v>
      </c>
    </row>
    <row r="21" customFormat="false" ht="15" hidden="false" customHeight="true" outlineLevel="0" collapsed="false">
      <c r="A21" s="19" t="s">
        <v>789</v>
      </c>
      <c r="B21" s="15" t="s">
        <v>74</v>
      </c>
      <c r="C21" s="113" t="n">
        <f aca="false">Inputs!$E$14</f>
        <v>500</v>
      </c>
      <c r="D21" s="113" t="n">
        <f aca="false">Inputs!$E$14</f>
        <v>500</v>
      </c>
      <c r="E21" s="113" t="n">
        <f aca="false">Inputs!$E$14</f>
        <v>500</v>
      </c>
      <c r="F21" s="113" t="n">
        <f aca="false">Inputs!$E$14</f>
        <v>500</v>
      </c>
      <c r="G21" s="113" t="n">
        <f aca="false">Inputs!$E$14</f>
        <v>500</v>
      </c>
      <c r="H21" s="113" t="n">
        <f aca="false">Inputs!$E$14</f>
        <v>500</v>
      </c>
      <c r="I21" s="113" t="n">
        <f aca="false">Inputs!$E$14</f>
        <v>500</v>
      </c>
      <c r="J21" s="113" t="n">
        <f aca="false">Inputs!$E$14</f>
        <v>500</v>
      </c>
      <c r="K21" s="113" t="n">
        <f aca="false">Inputs!$E$14</f>
        <v>500</v>
      </c>
      <c r="L21" s="113" t="n">
        <f aca="false">Inputs!$E$14</f>
        <v>500</v>
      </c>
      <c r="M21" s="113" t="n">
        <f aca="false">Inputs!$E$14</f>
        <v>500</v>
      </c>
      <c r="N21" s="113" t="n">
        <f aca="false">Inputs!$E$14</f>
        <v>500</v>
      </c>
      <c r="O21" s="113" t="n">
        <f aca="false">Inputs!$E$14</f>
        <v>500</v>
      </c>
      <c r="P21" s="113" t="n">
        <f aca="false">Inputs!$E$14</f>
        <v>500</v>
      </c>
      <c r="Q21" s="113" t="n">
        <f aca="false">Inputs!$E$14</f>
        <v>500</v>
      </c>
      <c r="R21" s="113" t="n">
        <f aca="false">Inputs!$E$14</f>
        <v>500</v>
      </c>
      <c r="S21" s="113" t="n">
        <f aca="false">Inputs!$E$14</f>
        <v>500</v>
      </c>
      <c r="T21" s="113" t="n">
        <f aca="false">Inputs!$E$14</f>
        <v>500</v>
      </c>
      <c r="U21" s="113" t="n">
        <f aca="false">Inputs!$E$14</f>
        <v>500</v>
      </c>
      <c r="V21" s="113" t="n">
        <f aca="false">Inputs!$E$14</f>
        <v>500</v>
      </c>
      <c r="W21" s="113" t="n">
        <f aca="false">Inputs!$E$14</f>
        <v>500</v>
      </c>
      <c r="X21" s="113" t="n">
        <f aca="false">Inputs!$E$14</f>
        <v>500</v>
      </c>
      <c r="Y21" s="113" t="n">
        <f aca="false">Inputs!$E$14</f>
        <v>500</v>
      </c>
    </row>
    <row r="22" customFormat="false" ht="15" hidden="false" customHeight="true" outlineLevel="0" collapsed="false">
      <c r="A22" s="19" t="s">
        <v>789</v>
      </c>
      <c r="B22" s="15" t="s">
        <v>787</v>
      </c>
      <c r="C22" s="117" t="n">
        <f aca="false">C13*C21/1000000000</f>
        <v>0.145872</v>
      </c>
      <c r="D22" s="117" t="n">
        <f aca="false">D13*D21/1000000000</f>
        <v>0.145872</v>
      </c>
      <c r="E22" s="117" t="n">
        <f aca="false">E13*E21/1000000000</f>
        <v>0.145872</v>
      </c>
      <c r="F22" s="117" t="n">
        <f aca="false">F13*F21/1000000000</f>
        <v>0.174312</v>
      </c>
      <c r="G22" s="117" t="n">
        <f aca="false">G13*G21/1000000000</f>
        <v>0.144</v>
      </c>
      <c r="H22" s="117" t="n">
        <f aca="false">H13*H21/1000000000</f>
        <v>0.145872</v>
      </c>
      <c r="I22" s="117" t="n">
        <f aca="false">I13*I21/1000000000</f>
        <v>0.145872</v>
      </c>
      <c r="J22" s="117" t="n">
        <f aca="false">J13*J21/1000000000</f>
        <v>0.145872</v>
      </c>
      <c r="K22" s="117" t="n">
        <f aca="false">K13*K21/1000000000</f>
        <v>0.145872</v>
      </c>
      <c r="L22" s="117" t="n">
        <f aca="false">L13*L21/1000000000</f>
        <v>0.145872</v>
      </c>
      <c r="M22" s="117" t="n">
        <f aca="false">M13*M21/1000000000</f>
        <v>0.145872</v>
      </c>
      <c r="N22" s="117" t="n">
        <f aca="false">N13*N21/1000000000</f>
        <v>0.145872</v>
      </c>
      <c r="O22" s="117" t="n">
        <f aca="false">O13*O21/1000000000</f>
        <v>0.145872</v>
      </c>
      <c r="P22" s="117" t="n">
        <f aca="false">P13*P21/1000000000</f>
        <v>0.145872</v>
      </c>
      <c r="Q22" s="117" t="n">
        <f aca="false">Q13*Q21/1000000000</f>
        <v>0.145872</v>
      </c>
      <c r="R22" s="117" t="n">
        <f aca="false">R13*R21/1000000000</f>
        <v>0.145872</v>
      </c>
      <c r="S22" s="117" t="n">
        <f aca="false">S13*S21/1000000000</f>
        <v>0.145872</v>
      </c>
      <c r="T22" s="117" t="n">
        <f aca="false">T13*T21/1000000000</f>
        <v>0.145872</v>
      </c>
      <c r="U22" s="117" t="n">
        <f aca="false">U13*U21/1000000000</f>
        <v>0.145872</v>
      </c>
      <c r="V22" s="117" t="n">
        <f aca="false">V13*V21/1000000000</f>
        <v>0.145872</v>
      </c>
      <c r="W22" s="117" t="n">
        <f aca="false">W13*W21/1000000000</f>
        <v>0.145872</v>
      </c>
      <c r="X22" s="117" t="n">
        <f aca="false">X13*X21/1000000000</f>
        <v>0.15066</v>
      </c>
      <c r="Y22" s="117" t="n">
        <f aca="false">Y13*Y21/1000000000</f>
        <v>0.139536</v>
      </c>
    </row>
    <row r="23" customFormat="false" ht="15" hidden="false" customHeight="true" outlineLevel="0" collapsed="false">
      <c r="A23" s="14" t="s">
        <v>790</v>
      </c>
      <c r="B23" s="15" t="s">
        <v>787</v>
      </c>
      <c r="C23" s="117" t="n">
        <f aca="false">C18+C20+C22</f>
        <v>34.912032</v>
      </c>
      <c r="D23" s="117" t="n">
        <f aca="false">D18+D20+D22</f>
        <v>30.009112</v>
      </c>
      <c r="E23" s="117" t="n">
        <f aca="false">E18+E20+E22</f>
        <v>40.706392</v>
      </c>
      <c r="F23" s="117" t="n">
        <f aca="false">F18+F20+F22</f>
        <v>41.718672</v>
      </c>
      <c r="G23" s="117" t="n">
        <f aca="false">G18+G20+G22</f>
        <v>34.464</v>
      </c>
      <c r="H23" s="117" t="n">
        <f aca="false">H18+H20+H22</f>
        <v>33.331752</v>
      </c>
      <c r="I23" s="117" t="n">
        <f aca="false">I18+I20+I22</f>
        <v>36.492312</v>
      </c>
      <c r="J23" s="117" t="n">
        <f aca="false">J18+J20+J22</f>
        <v>34.912032</v>
      </c>
      <c r="K23" s="117" t="n">
        <f aca="false">K18+K20+K22</f>
        <v>34.912032</v>
      </c>
      <c r="L23" s="117" t="n">
        <f aca="false">L18+L20+L22</f>
        <v>34.912032</v>
      </c>
      <c r="M23" s="117" t="n">
        <f aca="false">M18+M20+M22</f>
        <v>34.912032</v>
      </c>
      <c r="N23" s="117" t="n">
        <f aca="false">N18+N20+N22</f>
        <v>34.912032</v>
      </c>
      <c r="O23" s="117" t="n">
        <f aca="false">O18+O20+O22</f>
        <v>34.912032</v>
      </c>
      <c r="P23" s="117" t="n">
        <f aca="false">P18+P20+P22</f>
        <v>34.912032</v>
      </c>
      <c r="Q23" s="117" t="n">
        <f aca="false">Q18+Q20+Q22</f>
        <v>34.912032</v>
      </c>
      <c r="R23" s="117" t="n">
        <f aca="false">R18+R20+R22</f>
        <v>34.912032</v>
      </c>
      <c r="S23" s="117" t="n">
        <f aca="false">S18+S20+S22</f>
        <v>34.912032</v>
      </c>
      <c r="T23" s="117" t="n">
        <f aca="false">T18+T20+T22</f>
        <v>34.912032</v>
      </c>
      <c r="U23" s="117" t="n">
        <f aca="false">U18+U20+U22</f>
        <v>34.912032</v>
      </c>
      <c r="V23" s="117" t="n">
        <f aca="false">V18+V20+V22</f>
        <v>34.912032</v>
      </c>
      <c r="W23" s="117" t="n">
        <f aca="false">W18+W20+W22</f>
        <v>34.912032</v>
      </c>
      <c r="X23" s="117" t="n">
        <f aca="false">X18+X20+X22</f>
        <v>36.05796</v>
      </c>
      <c r="Y23" s="117" t="n">
        <f aca="false">Y18+Y20+Y22</f>
        <v>33.395616</v>
      </c>
    </row>
    <row r="24" customFormat="false" ht="15" hidden="false" customHeight="true" outlineLevel="0" collapsed="false">
      <c r="A24" s="19" t="s">
        <v>77</v>
      </c>
      <c r="B24" s="15" t="s">
        <v>787</v>
      </c>
      <c r="C24" s="117" t="n">
        <f aca="false">C7*Inputs!$E$16/1000</f>
        <v>0.02</v>
      </c>
      <c r="D24" s="117" t="n">
        <f aca="false">D7*Inputs!$E$16/1000</f>
        <v>0.02</v>
      </c>
      <c r="E24" s="117" t="n">
        <f aca="false">E7*Inputs!$E$16/1000</f>
        <v>0.02</v>
      </c>
      <c r="F24" s="117" t="n">
        <f aca="false">F7*Inputs!$E$16/1000</f>
        <v>0.02</v>
      </c>
      <c r="G24" s="117" t="n">
        <f aca="false">G7*Inputs!$E$16/1000</f>
        <v>0.02</v>
      </c>
      <c r="H24" s="117" t="n">
        <f aca="false">H7*Inputs!$E$16/1000</f>
        <v>0.02</v>
      </c>
      <c r="I24" s="117" t="n">
        <f aca="false">I7*Inputs!$E$16/1000</f>
        <v>0.02</v>
      </c>
      <c r="J24" s="117" t="n">
        <f aca="false">J7*Inputs!$E$16/1000</f>
        <v>0.02</v>
      </c>
      <c r="K24" s="117" t="n">
        <f aca="false">K7*Inputs!$E$16/1000</f>
        <v>0.02</v>
      </c>
      <c r="L24" s="117" t="n">
        <f aca="false">L7*Inputs!$E$16/1000</f>
        <v>0.02</v>
      </c>
      <c r="M24" s="117" t="n">
        <f aca="false">M7*Inputs!$E$16/1000</f>
        <v>0.02</v>
      </c>
      <c r="N24" s="117" t="n">
        <f aca="false">N7*Inputs!$E$16/1000</f>
        <v>0.02</v>
      </c>
      <c r="O24" s="117" t="n">
        <f aca="false">O7*Inputs!$E$16/1000</f>
        <v>0.02</v>
      </c>
      <c r="P24" s="117" t="n">
        <f aca="false">P7*Inputs!$E$16/1000</f>
        <v>0.02</v>
      </c>
      <c r="Q24" s="117" t="n">
        <f aca="false">Q7*Inputs!$E$16/1000</f>
        <v>0.02</v>
      </c>
      <c r="R24" s="117" t="n">
        <f aca="false">R7*Inputs!$E$16/1000</f>
        <v>0.02</v>
      </c>
      <c r="S24" s="117" t="n">
        <f aca="false">S7*Inputs!$E$16/1000</f>
        <v>0.02</v>
      </c>
      <c r="T24" s="117" t="n">
        <f aca="false">T7*Inputs!$E$16/1000</f>
        <v>0.02</v>
      </c>
      <c r="U24" s="117" t="n">
        <f aca="false">U7*Inputs!$E$16/1000</f>
        <v>0.02</v>
      </c>
      <c r="V24" s="117" t="n">
        <f aca="false">V7*Inputs!$E$16/1000</f>
        <v>0.02</v>
      </c>
      <c r="W24" s="117" t="n">
        <f aca="false">W7*Inputs!$E$16/1000</f>
        <v>0.02</v>
      </c>
      <c r="X24" s="117" t="n">
        <f aca="false">X7*Inputs!$E$16/1000</f>
        <v>0.02</v>
      </c>
      <c r="Y24" s="117" t="n">
        <f aca="false">Y7*Inputs!$E$16/1000</f>
        <v>0.02</v>
      </c>
    </row>
    <row r="25" customFormat="false" ht="15" hidden="false" customHeight="true" outlineLevel="0" collapsed="false">
      <c r="A25" s="19" t="s">
        <v>791</v>
      </c>
      <c r="B25" s="15" t="s">
        <v>787</v>
      </c>
      <c r="C25" s="117" t="n">
        <f aca="false">C7*Inputs!$E$17/1000</f>
        <v>3.6</v>
      </c>
      <c r="D25" s="117" t="n">
        <f aca="false">D7*Inputs!$E$17/1000</f>
        <v>3.6</v>
      </c>
      <c r="E25" s="117" t="n">
        <f aca="false">E7*Inputs!$E$17/1000</f>
        <v>3.6</v>
      </c>
      <c r="F25" s="117" t="n">
        <f aca="false">F7*Inputs!$E$17/1000</f>
        <v>3.6</v>
      </c>
      <c r="G25" s="117" t="n">
        <f aca="false">G7*Inputs!$E$17/1000</f>
        <v>3.6</v>
      </c>
      <c r="H25" s="117" t="n">
        <f aca="false">H7*Inputs!$E$17/1000</f>
        <v>3.6</v>
      </c>
      <c r="I25" s="117" t="n">
        <f aca="false">I7*Inputs!$E$17/1000</f>
        <v>3.6</v>
      </c>
      <c r="J25" s="117" t="n">
        <f aca="false">J7*Inputs!$D$17/1000</f>
        <v>3</v>
      </c>
      <c r="K25" s="117" t="n">
        <f aca="false">K7*Inputs!$F$17/1000</f>
        <v>4.5</v>
      </c>
      <c r="L25" s="117" t="n">
        <f aca="false">L7*Inputs!$E$17/1000</f>
        <v>3.6</v>
      </c>
      <c r="M25" s="117" t="n">
        <f aca="false">M7*Inputs!$E$17/1000</f>
        <v>3.6</v>
      </c>
      <c r="N25" s="117" t="n">
        <f aca="false">N7*Inputs!$E$17/1000</f>
        <v>3.6</v>
      </c>
      <c r="O25" s="117" t="n">
        <f aca="false">O7*Inputs!$E$17/1000</f>
        <v>3.6</v>
      </c>
      <c r="P25" s="117" t="n">
        <f aca="false">P7*Inputs!$E$17/1000</f>
        <v>3.6</v>
      </c>
      <c r="Q25" s="117" t="n">
        <f aca="false">Q7*Inputs!$E$17/1000</f>
        <v>3.6</v>
      </c>
      <c r="R25" s="117" t="n">
        <f aca="false">R7*Inputs!$E$17/1000</f>
        <v>3.6</v>
      </c>
      <c r="S25" s="117" t="n">
        <f aca="false">S7*Inputs!$E$17/1000</f>
        <v>3.6</v>
      </c>
      <c r="T25" s="117" t="n">
        <f aca="false">T7*Inputs!$E$17/1000</f>
        <v>3.6</v>
      </c>
      <c r="U25" s="117" t="n">
        <f aca="false">U7*Inputs!$E$17/1000</f>
        <v>3.6</v>
      </c>
      <c r="V25" s="117" t="n">
        <f aca="false">V7*Inputs!$E$17/1000</f>
        <v>3.6</v>
      </c>
      <c r="W25" s="117" t="n">
        <f aca="false">W7*Inputs!$E$17/1000</f>
        <v>3.6</v>
      </c>
      <c r="X25" s="117" t="n">
        <f aca="false">X7*Inputs!$E$17/1000</f>
        <v>3.6</v>
      </c>
      <c r="Y25" s="117" t="n">
        <f aca="false">Y7*Inputs!$E$17/1000</f>
        <v>3.6</v>
      </c>
    </row>
    <row r="26" customFormat="false" ht="15" hidden="false" customHeight="true" outlineLevel="0" collapsed="false">
      <c r="A26" s="19" t="s">
        <v>792</v>
      </c>
      <c r="B26" s="15" t="s">
        <v>787</v>
      </c>
      <c r="C26" s="117" t="n">
        <f aca="false">C7*Inputs!$E$18/1000</f>
        <v>4.5</v>
      </c>
      <c r="D26" s="117" t="n">
        <f aca="false">D7*Inputs!$E$18/1000</f>
        <v>4.5</v>
      </c>
      <c r="E26" s="117" t="n">
        <f aca="false">E7*Inputs!$E$18/1000</f>
        <v>4.5</v>
      </c>
      <c r="F26" s="117" t="n">
        <f aca="false">F7*Inputs!$E$18/1000</f>
        <v>4.5</v>
      </c>
      <c r="G26" s="117" t="n">
        <f aca="false">G7*Inputs!$E$18/1000</f>
        <v>4.5</v>
      </c>
      <c r="H26" s="117" t="n">
        <f aca="false">H7*Inputs!$E$18/1000</f>
        <v>4.5</v>
      </c>
      <c r="I26" s="117" t="n">
        <f aca="false">I7*Inputs!$E$18/1000</f>
        <v>4.5</v>
      </c>
      <c r="J26" s="117" t="n">
        <f aca="false">J7*Inputs!$E$18/1000</f>
        <v>4.5</v>
      </c>
      <c r="K26" s="117" t="n">
        <f aca="false">K7*Inputs!$E$18/1000</f>
        <v>4.5</v>
      </c>
      <c r="L26" s="117" t="n">
        <f aca="false">L7*Inputs!$D$18/1000</f>
        <v>3.8</v>
      </c>
      <c r="M26" s="117" t="n">
        <f aca="false">M7*Inputs!$F$18/1000</f>
        <v>5.5</v>
      </c>
      <c r="N26" s="117" t="n">
        <f aca="false">N7*Inputs!$E$18/1000</f>
        <v>4.5</v>
      </c>
      <c r="O26" s="117" t="n">
        <f aca="false">O7*Inputs!$E$18/1000</f>
        <v>4.5</v>
      </c>
      <c r="P26" s="117" t="n">
        <f aca="false">P7*Inputs!$E$18/1000</f>
        <v>4.5</v>
      </c>
      <c r="Q26" s="117" t="n">
        <f aca="false">Q7*Inputs!$E$18/1000</f>
        <v>4.5</v>
      </c>
      <c r="R26" s="117" t="n">
        <f aca="false">R7*Inputs!$E$18/1000</f>
        <v>4.5</v>
      </c>
      <c r="S26" s="117" t="n">
        <f aca="false">S7*Inputs!$E$18/1000</f>
        <v>4.5</v>
      </c>
      <c r="T26" s="117" t="n">
        <f aca="false">T7*Inputs!$E$18/1000</f>
        <v>4.5</v>
      </c>
      <c r="U26" s="117" t="n">
        <f aca="false">U7*Inputs!$E$18/1000</f>
        <v>4.5</v>
      </c>
      <c r="V26" s="117" t="n">
        <f aca="false">V7*Inputs!$E$18/1000</f>
        <v>4.5</v>
      </c>
      <c r="W26" s="117" t="n">
        <f aca="false">W7*Inputs!$E$18/1000</f>
        <v>4.5</v>
      </c>
      <c r="X26" s="117" t="n">
        <f aca="false">X7*Inputs!$E$18/1000</f>
        <v>4.5</v>
      </c>
      <c r="Y26" s="117" t="n">
        <f aca="false">Y7*Inputs!$E$18/1000</f>
        <v>4.5</v>
      </c>
    </row>
    <row r="27" customFormat="false" ht="15" hidden="false" customHeight="true" outlineLevel="0" collapsed="false">
      <c r="A27" s="19" t="s">
        <v>793</v>
      </c>
      <c r="B27" s="15" t="s">
        <v>787</v>
      </c>
      <c r="C27" s="117" t="n">
        <f aca="false">C7*Inputs!$E$19/1000</f>
        <v>2.5</v>
      </c>
      <c r="D27" s="117" t="n">
        <f aca="false">D7*Inputs!$E$19/1000</f>
        <v>2.5</v>
      </c>
      <c r="E27" s="117" t="n">
        <f aca="false">E7*Inputs!$E$19/1000</f>
        <v>2.5</v>
      </c>
      <c r="F27" s="117" t="n">
        <f aca="false">F7*Inputs!$E$19/1000</f>
        <v>2.5</v>
      </c>
      <c r="G27" s="117" t="n">
        <f aca="false">G7*Inputs!$E$19/1000</f>
        <v>2.5</v>
      </c>
      <c r="H27" s="117" t="n">
        <f aca="false">H7*Inputs!$E$19/1000</f>
        <v>2.5</v>
      </c>
      <c r="I27" s="117" t="n">
        <f aca="false">I7*Inputs!$E$19/1000</f>
        <v>2.5</v>
      </c>
      <c r="J27" s="117" t="n">
        <f aca="false">J7*Inputs!$E$19/1000</f>
        <v>2.5</v>
      </c>
      <c r="K27" s="117" t="n">
        <f aca="false">K7*Inputs!$E$19/1000</f>
        <v>2.5</v>
      </c>
      <c r="L27" s="117" t="n">
        <f aca="false">L7*Inputs!$E$19/1000</f>
        <v>2.5</v>
      </c>
      <c r="M27" s="117" t="n">
        <f aca="false">M7*Inputs!$E$19/1000</f>
        <v>2.5</v>
      </c>
      <c r="N27" s="117" t="n">
        <f aca="false">N7*Inputs!$E$19/1000</f>
        <v>2.5</v>
      </c>
      <c r="O27" s="117" t="n">
        <f aca="false">O7*Inputs!$E$19/1000</f>
        <v>2.5</v>
      </c>
      <c r="P27" s="117" t="n">
        <f aca="false">P7*Inputs!$E$19/1000</f>
        <v>2.5</v>
      </c>
      <c r="Q27" s="117" t="n">
        <f aca="false">Q7*Inputs!$E$19/1000</f>
        <v>2.5</v>
      </c>
      <c r="R27" s="117" t="n">
        <f aca="false">R7*Inputs!$E$19/1000</f>
        <v>2.5</v>
      </c>
      <c r="S27" s="117" t="n">
        <f aca="false">S7*Inputs!$E$19/1000</f>
        <v>2.5</v>
      </c>
      <c r="T27" s="117" t="n">
        <f aca="false">T7*Inputs!$E$19/1000</f>
        <v>2.5</v>
      </c>
      <c r="U27" s="117" t="n">
        <f aca="false">U7*Inputs!$E$19/1000</f>
        <v>2.5</v>
      </c>
      <c r="V27" s="117" t="n">
        <f aca="false">V7*Inputs!$E$19/1000</f>
        <v>2.5</v>
      </c>
      <c r="W27" s="117" t="n">
        <f aca="false">W7*Inputs!$E$19/1000</f>
        <v>2.5</v>
      </c>
      <c r="X27" s="117" t="n">
        <f aca="false">X7*Inputs!$E$19/1000</f>
        <v>2.5</v>
      </c>
      <c r="Y27" s="117" t="n">
        <f aca="false">Y7*Inputs!$E$19/1000</f>
        <v>2.5</v>
      </c>
    </row>
    <row r="28" customFormat="false" ht="15" hidden="false" customHeight="true" outlineLevel="0" collapsed="false">
      <c r="A28" s="19" t="s">
        <v>794</v>
      </c>
      <c r="B28" s="15" t="s">
        <v>787</v>
      </c>
      <c r="C28" s="117" t="n">
        <f aca="false">C7*Inputs!$E$20/1000</f>
        <v>0.4</v>
      </c>
      <c r="D28" s="117" t="n">
        <f aca="false">D7*Inputs!$E$20/1000</f>
        <v>0.4</v>
      </c>
      <c r="E28" s="117" t="n">
        <f aca="false">E7*Inputs!$E$20/1000</f>
        <v>0.4</v>
      </c>
      <c r="F28" s="117" t="n">
        <f aca="false">F7*Inputs!$E$20/1000</f>
        <v>0.4</v>
      </c>
      <c r="G28" s="117" t="n">
        <f aca="false">G7*Inputs!$E$20/1000</f>
        <v>0.4</v>
      </c>
      <c r="H28" s="117" t="n">
        <f aca="false">H7*Inputs!$E$20/1000</f>
        <v>0.4</v>
      </c>
      <c r="I28" s="117" t="n">
        <f aca="false">I7*Inputs!$E$20/1000</f>
        <v>0.4</v>
      </c>
      <c r="J28" s="117" t="n">
        <f aca="false">J7*Inputs!$E$20/1000</f>
        <v>0.4</v>
      </c>
      <c r="K28" s="117" t="n">
        <f aca="false">K7*Inputs!$E$20/1000</f>
        <v>0.4</v>
      </c>
      <c r="L28" s="117" t="n">
        <f aca="false">L7*Inputs!$E$20/1000</f>
        <v>0.4</v>
      </c>
      <c r="M28" s="117" t="n">
        <f aca="false">M7*Inputs!$E$20/1000</f>
        <v>0.4</v>
      </c>
      <c r="N28" s="117" t="n">
        <f aca="false">N7*Inputs!$E$20/1000</f>
        <v>0.4</v>
      </c>
      <c r="O28" s="117" t="n">
        <f aca="false">O7*Inputs!$E$20/1000</f>
        <v>0.4</v>
      </c>
      <c r="P28" s="117" t="n">
        <f aca="false">P7*Inputs!$E$20/1000</f>
        <v>0.4</v>
      </c>
      <c r="Q28" s="117" t="n">
        <f aca="false">Q7*Inputs!$E$20/1000</f>
        <v>0.4</v>
      </c>
      <c r="R28" s="117" t="n">
        <f aca="false">R7*Inputs!$E$20/1000</f>
        <v>0.4</v>
      </c>
      <c r="S28" s="117" t="n">
        <f aca="false">S7*Inputs!$E$20/1000</f>
        <v>0.4</v>
      </c>
      <c r="T28" s="117" t="n">
        <f aca="false">T7*Inputs!$E$20/1000</f>
        <v>0.4</v>
      </c>
      <c r="U28" s="117" t="n">
        <f aca="false">U7*Inputs!$E$20/1000</f>
        <v>0.4</v>
      </c>
      <c r="V28" s="117" t="n">
        <f aca="false">V7*Inputs!$E$20/1000</f>
        <v>0.4</v>
      </c>
      <c r="W28" s="117" t="n">
        <f aca="false">W7*Inputs!$E$20/1000</f>
        <v>0.4</v>
      </c>
      <c r="X28" s="117" t="n">
        <f aca="false">X7*Inputs!$E$20/1000</f>
        <v>0.4</v>
      </c>
      <c r="Y28" s="117" t="n">
        <f aca="false">Y7*Inputs!$E$20/1000</f>
        <v>0.4</v>
      </c>
    </row>
    <row r="29" customFormat="false" ht="15" hidden="false" customHeight="true" outlineLevel="0" collapsed="false">
      <c r="A29" s="19" t="s">
        <v>795</v>
      </c>
      <c r="B29" s="15" t="s">
        <v>57</v>
      </c>
      <c r="C29" s="112" t="n">
        <f aca="false">Inputs!$E$21</f>
        <v>0.15</v>
      </c>
      <c r="D29" s="112" t="n">
        <f aca="false">Inputs!$E$21</f>
        <v>0.15</v>
      </c>
      <c r="E29" s="112" t="n">
        <f aca="false">Inputs!$E$21</f>
        <v>0.15</v>
      </c>
      <c r="F29" s="112" t="n">
        <f aca="false">Inputs!$E$21</f>
        <v>0.15</v>
      </c>
      <c r="G29" s="112" t="n">
        <f aca="false">Inputs!$E$21</f>
        <v>0.15</v>
      </c>
      <c r="H29" s="112" t="n">
        <f aca="false">Inputs!$E$21</f>
        <v>0.15</v>
      </c>
      <c r="I29" s="112" t="n">
        <f aca="false">Inputs!$E$21</f>
        <v>0.15</v>
      </c>
      <c r="J29" s="112" t="n">
        <f aca="false">Inputs!$E$21</f>
        <v>0.15</v>
      </c>
      <c r="K29" s="112" t="n">
        <f aca="false">Inputs!$E$21</f>
        <v>0.15</v>
      </c>
      <c r="L29" s="112" t="n">
        <f aca="false">Inputs!$E$21</f>
        <v>0.15</v>
      </c>
      <c r="M29" s="112" t="n">
        <f aca="false">Inputs!$E$21</f>
        <v>0.15</v>
      </c>
      <c r="N29" s="112" t="n">
        <f aca="false">Inputs!$E$21</f>
        <v>0.15</v>
      </c>
      <c r="O29" s="112" t="n">
        <f aca="false">Inputs!$E$21</f>
        <v>0.15</v>
      </c>
      <c r="P29" s="112" t="n">
        <f aca="false">Inputs!$E$21</f>
        <v>0.15</v>
      </c>
      <c r="Q29" s="112" t="n">
        <f aca="false">Inputs!$E$21</f>
        <v>0.15</v>
      </c>
      <c r="R29" s="112" t="n">
        <f aca="false">Inputs!$E$21</f>
        <v>0.15</v>
      </c>
      <c r="S29" s="112" t="n">
        <f aca="false">Inputs!$E$21</f>
        <v>0.15</v>
      </c>
      <c r="T29" s="112" t="n">
        <f aca="false">Inputs!$E$21</f>
        <v>0.15</v>
      </c>
      <c r="U29" s="112" t="n">
        <f aca="false">Inputs!$E$21</f>
        <v>0.15</v>
      </c>
      <c r="V29" s="112" t="n">
        <f aca="false">Inputs!$E$21</f>
        <v>0.15</v>
      </c>
      <c r="W29" s="112" t="n">
        <f aca="false">Inputs!$E$21</f>
        <v>0.15</v>
      </c>
      <c r="X29" s="112" t="n">
        <f aca="false">Inputs!$E$21</f>
        <v>0.15</v>
      </c>
      <c r="Y29" s="112" t="n">
        <f aca="false">Inputs!$E$21</f>
        <v>0.15</v>
      </c>
    </row>
    <row r="30" customFormat="false" ht="15" hidden="false" customHeight="true" outlineLevel="0" collapsed="false">
      <c r="A30" s="19" t="s">
        <v>87</v>
      </c>
      <c r="B30" s="15" t="s">
        <v>787</v>
      </c>
      <c r="C30" s="117" t="n">
        <f aca="false">(C25+C26+C27+C28)*C29</f>
        <v>1.65</v>
      </c>
      <c r="D30" s="117" t="n">
        <f aca="false">(D25+D26+D27+D28)*D29</f>
        <v>1.65</v>
      </c>
      <c r="E30" s="117" t="n">
        <f aca="false">(E25+E26+E27+E28)*E29</f>
        <v>1.65</v>
      </c>
      <c r="F30" s="117" t="n">
        <f aca="false">(F25+F26+F27+F28)*F29</f>
        <v>1.65</v>
      </c>
      <c r="G30" s="117" t="n">
        <f aca="false">(G25+G26+G27+G28)*G29</f>
        <v>1.65</v>
      </c>
      <c r="H30" s="117" t="n">
        <f aca="false">(H25+H26+H27+H28)*H29</f>
        <v>1.65</v>
      </c>
      <c r="I30" s="117" t="n">
        <f aca="false">(I25+I26+I27+I28)*I29</f>
        <v>1.65</v>
      </c>
      <c r="J30" s="117" t="n">
        <f aca="false">(J25+J26+J27+J28)*J29</f>
        <v>1.56</v>
      </c>
      <c r="K30" s="117" t="n">
        <f aca="false">(K25+K26+K27+K28)*K29</f>
        <v>1.785</v>
      </c>
      <c r="L30" s="117" t="n">
        <f aca="false">(L25+L26+L27+L28)*L29</f>
        <v>1.545</v>
      </c>
      <c r="M30" s="117" t="n">
        <f aca="false">(M25+M26+M27+M28)*M29</f>
        <v>1.8</v>
      </c>
      <c r="N30" s="117" t="n">
        <f aca="false">(N25+N26+N27+N28)*N29</f>
        <v>1.65</v>
      </c>
      <c r="O30" s="117" t="n">
        <f aca="false">(O25+O26+O27+O28)*O29</f>
        <v>1.65</v>
      </c>
      <c r="P30" s="117" t="n">
        <f aca="false">(P25+P26+P27+P28)*P29</f>
        <v>1.65</v>
      </c>
      <c r="Q30" s="117" t="n">
        <f aca="false">(Q25+Q26+Q27+Q28)*Q29</f>
        <v>1.65</v>
      </c>
      <c r="R30" s="117" t="n">
        <f aca="false">(R25+R26+R27+R28)*R29</f>
        <v>1.65</v>
      </c>
      <c r="S30" s="117" t="n">
        <f aca="false">(S25+S26+S27+S28)*S29</f>
        <v>1.65</v>
      </c>
      <c r="T30" s="117" t="n">
        <f aca="false">(T25+T26+T27+T28)*T29</f>
        <v>1.65</v>
      </c>
      <c r="U30" s="117" t="n">
        <f aca="false">(U25+U26+U27+U28)*U29</f>
        <v>1.65</v>
      </c>
      <c r="V30" s="117" t="n">
        <f aca="false">(V25+V26+V27+V28)*V29</f>
        <v>1.65</v>
      </c>
      <c r="W30" s="117" t="n">
        <f aca="false">(W25+W26+W27+W28)*W29</f>
        <v>1.65</v>
      </c>
      <c r="X30" s="117" t="n">
        <f aca="false">(X25+X26+X27+X28)*X29</f>
        <v>1.65</v>
      </c>
      <c r="Y30" s="117" t="n">
        <f aca="false">(Y25+Y26+Y27+Y28)*Y29</f>
        <v>1.65</v>
      </c>
    </row>
    <row r="31" customFormat="false" ht="15" hidden="false" customHeight="true" outlineLevel="0" collapsed="false">
      <c r="A31" s="19" t="s">
        <v>796</v>
      </c>
      <c r="B31" s="15" t="s">
        <v>787</v>
      </c>
      <c r="C31" s="117" t="n">
        <f aca="false">C24+C25+C26+C27+C28+C30</f>
        <v>12.67</v>
      </c>
      <c r="D31" s="117" t="n">
        <f aca="false">D24+D25+D26+D27+D28+D30</f>
        <v>12.67</v>
      </c>
      <c r="E31" s="117" t="n">
        <f aca="false">E24+E25+E26+E27+E28+E30</f>
        <v>12.67</v>
      </c>
      <c r="F31" s="117" t="n">
        <f aca="false">F24+F25+F26+F27+F28+F30</f>
        <v>12.67</v>
      </c>
      <c r="G31" s="117" t="n">
        <f aca="false">G24+G25+G26+G27+G28+G30</f>
        <v>12.67</v>
      </c>
      <c r="H31" s="117" t="n">
        <f aca="false">H24+H25+H26+H27+H28+H30</f>
        <v>12.67</v>
      </c>
      <c r="I31" s="117" t="n">
        <f aca="false">I24+I25+I26+I27+I28+I30</f>
        <v>12.67</v>
      </c>
      <c r="J31" s="117" t="n">
        <f aca="false">J24+J25+J26+J27+J28+J30</f>
        <v>11.98</v>
      </c>
      <c r="K31" s="117" t="n">
        <f aca="false">K24+K25+K26+K27+K28+K30</f>
        <v>13.705</v>
      </c>
      <c r="L31" s="117" t="n">
        <f aca="false">L24+L25+L26+L27+L28+L30</f>
        <v>11.865</v>
      </c>
      <c r="M31" s="117" t="n">
        <f aca="false">M24+M25+M26+M27+M28+M30</f>
        <v>13.82</v>
      </c>
      <c r="N31" s="117" t="n">
        <f aca="false">N24+N25+N26+N27+N28+N30</f>
        <v>12.67</v>
      </c>
      <c r="O31" s="117" t="n">
        <f aca="false">O24+O25+O26+O27+O28+O30</f>
        <v>12.67</v>
      </c>
      <c r="P31" s="117" t="n">
        <f aca="false">P24+P25+P26+P27+P28+P30</f>
        <v>12.67</v>
      </c>
      <c r="Q31" s="117" t="n">
        <f aca="false">Q24+Q25+Q26+Q27+Q28+Q30</f>
        <v>12.67</v>
      </c>
      <c r="R31" s="117" t="n">
        <f aca="false">R24+R25+R26+R27+R28+R30</f>
        <v>12.67</v>
      </c>
      <c r="S31" s="117" t="n">
        <f aca="false">S24+S25+S26+S27+S28+S30</f>
        <v>12.67</v>
      </c>
      <c r="T31" s="117" t="n">
        <f aca="false">T24+T25+T26+T27+T28+T30</f>
        <v>12.67</v>
      </c>
      <c r="U31" s="117" t="n">
        <f aca="false">U24+U25+U26+U27+U28+U30</f>
        <v>12.67</v>
      </c>
      <c r="V31" s="117" t="n">
        <f aca="false">V24+V25+V26+V27+V28+V30</f>
        <v>12.67</v>
      </c>
      <c r="W31" s="117" t="n">
        <f aca="false">W24+W25+W26+W27+W28+W30</f>
        <v>12.67</v>
      </c>
      <c r="X31" s="117" t="n">
        <f aca="false">X24+X25+X26+X27+X28+X30</f>
        <v>12.67</v>
      </c>
      <c r="Y31" s="117" t="n">
        <f aca="false">Y24+Y25+Y26+Y27+Y28+Y30</f>
        <v>12.67</v>
      </c>
    </row>
    <row r="32" customFormat="false" ht="15" hidden="false" customHeight="true" outlineLevel="0" collapsed="false">
      <c r="A32" s="19" t="s">
        <v>797</v>
      </c>
      <c r="B32" s="15" t="s">
        <v>787</v>
      </c>
      <c r="C32" s="118" t="n">
        <f aca="false">C23+C31</f>
        <v>47.582032</v>
      </c>
      <c r="D32" s="118" t="n">
        <f aca="false">D23+D31</f>
        <v>42.679112</v>
      </c>
      <c r="E32" s="118" t="n">
        <f aca="false">E23+E31</f>
        <v>53.376392</v>
      </c>
      <c r="F32" s="118" t="n">
        <f aca="false">F23+F31</f>
        <v>54.388672</v>
      </c>
      <c r="G32" s="118" t="n">
        <f aca="false">G23+G31</f>
        <v>47.134</v>
      </c>
      <c r="H32" s="118" t="n">
        <f aca="false">H23+H31</f>
        <v>46.001752</v>
      </c>
      <c r="I32" s="118" t="n">
        <f aca="false">I23+I31</f>
        <v>49.162312</v>
      </c>
      <c r="J32" s="118" t="n">
        <f aca="false">J23+J31</f>
        <v>46.892032</v>
      </c>
      <c r="K32" s="118" t="n">
        <f aca="false">K23+K31</f>
        <v>48.617032</v>
      </c>
      <c r="L32" s="118" t="n">
        <f aca="false">L23+L31</f>
        <v>46.777032</v>
      </c>
      <c r="M32" s="118" t="n">
        <f aca="false">M23+M31</f>
        <v>48.732032</v>
      </c>
      <c r="N32" s="118" t="n">
        <f aca="false">N23+N31</f>
        <v>47.582032</v>
      </c>
      <c r="O32" s="118" t="n">
        <f aca="false">O23+O31</f>
        <v>47.582032</v>
      </c>
      <c r="P32" s="118" t="n">
        <f aca="false">P23+P31</f>
        <v>47.582032</v>
      </c>
      <c r="Q32" s="118" t="n">
        <f aca="false">Q23+Q31</f>
        <v>47.582032</v>
      </c>
      <c r="R32" s="118" t="n">
        <f aca="false">R23+R31</f>
        <v>47.582032</v>
      </c>
      <c r="S32" s="118" t="n">
        <f aca="false">S23+S31</f>
        <v>47.582032</v>
      </c>
      <c r="T32" s="118" t="n">
        <f aca="false">T23+T31</f>
        <v>47.582032</v>
      </c>
      <c r="U32" s="118" t="n">
        <f aca="false">U23+U31</f>
        <v>47.582032</v>
      </c>
      <c r="V32" s="118" t="n">
        <f aca="false">V23+V31</f>
        <v>47.582032</v>
      </c>
      <c r="W32" s="118" t="n">
        <f aca="false">W23+W31</f>
        <v>47.582032</v>
      </c>
      <c r="X32" s="118" t="n">
        <f aca="false">X23+X31</f>
        <v>48.72796</v>
      </c>
      <c r="Y32" s="118" t="n">
        <f aca="false">Y23+Y31</f>
        <v>46.065616</v>
      </c>
    </row>
    <row r="33" customFormat="false" ht="15" hidden="false" customHeight="true" outlineLevel="0" collapsed="false">
      <c r="A33" s="19" t="s">
        <v>798</v>
      </c>
      <c r="B33" s="15" t="s">
        <v>799</v>
      </c>
      <c r="C33" s="119" t="n">
        <f aca="false">C32*1000000/C13</f>
        <v>163.095151914007</v>
      </c>
      <c r="D33" s="119" t="n">
        <f aca="false">D32*1000000/D13</f>
        <v>146.289596358451</v>
      </c>
      <c r="E33" s="119" t="n">
        <f aca="false">E32*1000000/E13</f>
        <v>182.956263025118</v>
      </c>
      <c r="F33" s="119" t="n">
        <f aca="false">F32*1000000/F13</f>
        <v>156.009546101244</v>
      </c>
      <c r="G33" s="119" t="n">
        <f aca="false">G32*1000000/G13</f>
        <v>163.659722222222</v>
      </c>
      <c r="H33" s="119" t="n">
        <f aca="false">H32*1000000/H13</f>
        <v>157.67848524734</v>
      </c>
      <c r="I33" s="119" t="n">
        <f aca="false">I32*1000000/I13</f>
        <v>168.511818580673</v>
      </c>
      <c r="J33" s="119" t="n">
        <f aca="false">J32*1000000/J13</f>
        <v>160.73006471427</v>
      </c>
      <c r="K33" s="119" t="n">
        <f aca="false">K32*1000000/K13</f>
        <v>166.642782713612</v>
      </c>
      <c r="L33" s="119" t="n">
        <f aca="false">L32*1000000/L13</f>
        <v>160.335883514314</v>
      </c>
      <c r="M33" s="119" t="n">
        <f aca="false">M32*1000000/M13</f>
        <v>167.036963913568</v>
      </c>
      <c r="N33" s="119" t="n">
        <f aca="false">N32*1000000/N13</f>
        <v>163.095151914007</v>
      </c>
      <c r="O33" s="119" t="n">
        <f aca="false">O32*1000000/O13</f>
        <v>163.095151914007</v>
      </c>
      <c r="P33" s="119" t="n">
        <f aca="false">P32*1000000/P13</f>
        <v>163.095151914007</v>
      </c>
      <c r="Q33" s="119" t="n">
        <f aca="false">Q32*1000000/Q13</f>
        <v>163.095151914007</v>
      </c>
      <c r="R33" s="119" t="n">
        <f aca="false">R32*1000000/R13</f>
        <v>163.095151914007</v>
      </c>
      <c r="S33" s="119" t="n">
        <f aca="false">S32*1000000/S13</f>
        <v>163.095151914007</v>
      </c>
      <c r="T33" s="119" t="n">
        <f aca="false">T32*1000000/T13</f>
        <v>163.095151914007</v>
      </c>
      <c r="U33" s="119" t="n">
        <f aca="false">U32*1000000/U13</f>
        <v>163.095151914007</v>
      </c>
      <c r="V33" s="119" t="n">
        <f aca="false">V32*1000000/V13</f>
        <v>163.095151914007</v>
      </c>
      <c r="W33" s="119" t="n">
        <f aca="false">W32*1000000/W13</f>
        <v>163.095151914007</v>
      </c>
      <c r="X33" s="119" t="n">
        <f aca="false">X32*1000000/X13</f>
        <v>161.714987388823</v>
      </c>
      <c r="Y33" s="119" t="n">
        <f aca="false">Y32*1000000/Y13</f>
        <v>165.067136796239</v>
      </c>
    </row>
    <row r="34" customFormat="false" ht="15" hidden="false" customHeight="true" outlineLevel="0" collapsed="false">
      <c r="A34" s="19" t="s">
        <v>800</v>
      </c>
      <c r="B34" s="15" t="s">
        <v>785</v>
      </c>
      <c r="C34" s="119" t="n">
        <f aca="false">C32*1000/C7</f>
        <v>47.582032</v>
      </c>
      <c r="D34" s="119" t="n">
        <f aca="false">D32*1000/D7</f>
        <v>42.679112</v>
      </c>
      <c r="E34" s="119" t="n">
        <f aca="false">E32*1000/E7</f>
        <v>53.376392</v>
      </c>
      <c r="F34" s="119" t="n">
        <f aca="false">F32*1000/F7</f>
        <v>54.388672</v>
      </c>
      <c r="G34" s="119" t="n">
        <f aca="false">G32*1000/G7</f>
        <v>47.134</v>
      </c>
      <c r="H34" s="119" t="n">
        <f aca="false">H32*1000/H7</f>
        <v>46.001752</v>
      </c>
      <c r="I34" s="119" t="n">
        <f aca="false">I32*1000/I7</f>
        <v>49.162312</v>
      </c>
      <c r="J34" s="119" t="n">
        <f aca="false">J32*1000/J7</f>
        <v>46.892032</v>
      </c>
      <c r="K34" s="119" t="n">
        <f aca="false">K32*1000/K7</f>
        <v>48.617032</v>
      </c>
      <c r="L34" s="119" t="n">
        <f aca="false">L32*1000/L7</f>
        <v>46.777032</v>
      </c>
      <c r="M34" s="119" t="n">
        <f aca="false">M32*1000/M7</f>
        <v>48.732032</v>
      </c>
      <c r="N34" s="119" t="n">
        <f aca="false">N32*1000/N7</f>
        <v>47.582032</v>
      </c>
      <c r="O34" s="119" t="n">
        <f aca="false">O32*1000/O7</f>
        <v>47.582032</v>
      </c>
      <c r="P34" s="119" t="n">
        <f aca="false">P32*1000/P7</f>
        <v>47.582032</v>
      </c>
      <c r="Q34" s="119" t="n">
        <f aca="false">Q32*1000/Q7</f>
        <v>47.582032</v>
      </c>
      <c r="R34" s="119" t="n">
        <f aca="false">R32*1000/R7</f>
        <v>47.582032</v>
      </c>
      <c r="S34" s="119" t="n">
        <f aca="false">S32*1000/S7</f>
        <v>47.582032</v>
      </c>
      <c r="T34" s="119" t="n">
        <f aca="false">T32*1000/T7</f>
        <v>47.582032</v>
      </c>
      <c r="U34" s="119" t="n">
        <f aca="false">U32*1000/U7</f>
        <v>47.582032</v>
      </c>
      <c r="V34" s="119" t="n">
        <f aca="false">V32*1000/V7</f>
        <v>47.582032</v>
      </c>
      <c r="W34" s="119" t="n">
        <f aca="false">W32*1000/W7</f>
        <v>47.582032</v>
      </c>
      <c r="X34" s="119" t="n">
        <f aca="false">X32*1000/X7</f>
        <v>48.72796</v>
      </c>
      <c r="Y34" s="119" t="n">
        <f aca="false">Y32*1000/Y7</f>
        <v>46.065616</v>
      </c>
    </row>
    <row r="35" customFormat="false" ht="15" hidden="false" customHeight="true" outlineLevel="0" collapsed="false">
      <c r="A35" s="19" t="s">
        <v>801</v>
      </c>
      <c r="B35" s="15" t="s">
        <v>785</v>
      </c>
      <c r="C35" s="117" t="n">
        <f aca="false">C31*1000/C7</f>
        <v>12.67</v>
      </c>
      <c r="D35" s="117" t="n">
        <f aca="false">D31*1000/D7</f>
        <v>12.67</v>
      </c>
      <c r="E35" s="117" t="n">
        <f aca="false">E31*1000/E7</f>
        <v>12.67</v>
      </c>
      <c r="F35" s="117" t="n">
        <f aca="false">F31*1000/F7</f>
        <v>12.67</v>
      </c>
      <c r="G35" s="117" t="n">
        <f aca="false">G31*1000/G7</f>
        <v>12.67</v>
      </c>
      <c r="H35" s="117" t="n">
        <f aca="false">H31*1000/H7</f>
        <v>12.67</v>
      </c>
      <c r="I35" s="117" t="n">
        <f aca="false">I31*1000/I7</f>
        <v>12.67</v>
      </c>
      <c r="J35" s="117" t="n">
        <f aca="false">J31*1000/J7</f>
        <v>11.98</v>
      </c>
      <c r="K35" s="117" t="n">
        <f aca="false">K31*1000/K7</f>
        <v>13.705</v>
      </c>
      <c r="L35" s="117" t="n">
        <f aca="false">L31*1000/L7</f>
        <v>11.865</v>
      </c>
      <c r="M35" s="117" t="n">
        <f aca="false">M31*1000/M7</f>
        <v>13.82</v>
      </c>
      <c r="N35" s="117" t="n">
        <f aca="false">N31*1000/N7</f>
        <v>12.67</v>
      </c>
      <c r="O35" s="117" t="n">
        <f aca="false">O31*1000/O7</f>
        <v>12.67</v>
      </c>
      <c r="P35" s="117" t="n">
        <f aca="false">P31*1000/P7</f>
        <v>12.67</v>
      </c>
      <c r="Q35" s="117" t="n">
        <f aca="false">Q31*1000/Q7</f>
        <v>12.67</v>
      </c>
      <c r="R35" s="117" t="n">
        <f aca="false">R31*1000/R7</f>
        <v>12.67</v>
      </c>
      <c r="S35" s="117" t="n">
        <f aca="false">S31*1000/S7</f>
        <v>12.67</v>
      </c>
      <c r="T35" s="117" t="n">
        <f aca="false">T31*1000/T7</f>
        <v>12.67</v>
      </c>
      <c r="U35" s="117" t="n">
        <f aca="false">U31*1000/U7</f>
        <v>12.67</v>
      </c>
      <c r="V35" s="117" t="n">
        <f aca="false">V31*1000/V7</f>
        <v>12.67</v>
      </c>
      <c r="W35" s="117" t="n">
        <f aca="false">W31*1000/W7</f>
        <v>12.67</v>
      </c>
      <c r="X35" s="117" t="n">
        <f aca="false">X31*1000/X7</f>
        <v>12.67</v>
      </c>
      <c r="Y35" s="117" t="n">
        <f aca="false">Y31*1000/Y7</f>
        <v>12.67</v>
      </c>
    </row>
    <row r="36" customFormat="false" ht="15" hidden="false" customHeight="true" outlineLevel="0" collapsed="false">
      <c r="A36" s="24" t="s">
        <v>802</v>
      </c>
      <c r="B36" s="13"/>
      <c r="C36" s="13"/>
    </row>
    <row r="37" customFormat="false" ht="15" hidden="false" customHeight="true" outlineLevel="0" collapsed="false">
      <c r="A37" s="14" t="s">
        <v>803</v>
      </c>
      <c r="B37" s="20" t="s">
        <v>92</v>
      </c>
      <c r="C37" s="120" t="n">
        <f aca="false">Inputs!$E$23</f>
        <v>6</v>
      </c>
      <c r="D37" s="120" t="n">
        <f aca="false">Inputs!$E$23</f>
        <v>6</v>
      </c>
      <c r="E37" s="120" t="n">
        <f aca="false">Inputs!$E$23</f>
        <v>6</v>
      </c>
      <c r="F37" s="120" t="n">
        <f aca="false">Inputs!$E$23</f>
        <v>6</v>
      </c>
      <c r="G37" s="120" t="n">
        <f aca="false">Inputs!$E$23</f>
        <v>6</v>
      </c>
      <c r="H37" s="120" t="n">
        <f aca="false">Inputs!$E$23</f>
        <v>6</v>
      </c>
      <c r="I37" s="120" t="n">
        <f aca="false">Inputs!$E$23</f>
        <v>6</v>
      </c>
      <c r="J37" s="120" t="n">
        <f aca="false">Inputs!$E$23</f>
        <v>6</v>
      </c>
      <c r="K37" s="120" t="n">
        <f aca="false">Inputs!$E$23</f>
        <v>6</v>
      </c>
      <c r="L37" s="120" t="n">
        <f aca="false">Inputs!$E$23</f>
        <v>6</v>
      </c>
      <c r="M37" s="120" t="n">
        <f aca="false">Inputs!$E$23</f>
        <v>6</v>
      </c>
      <c r="N37" s="159" t="n">
        <f aca="false">7</f>
        <v>7</v>
      </c>
      <c r="O37" s="120" t="n">
        <f aca="false">Inputs!$F$23</f>
        <v>4</v>
      </c>
      <c r="P37" s="120" t="n">
        <f aca="false">Inputs!$E$23</f>
        <v>6</v>
      </c>
      <c r="Q37" s="120" t="n">
        <f aca="false">Inputs!$E$23</f>
        <v>6</v>
      </c>
      <c r="R37" s="120" t="n">
        <f aca="false">Inputs!$E$23</f>
        <v>6</v>
      </c>
      <c r="S37" s="120" t="n">
        <f aca="false">Inputs!$E$23</f>
        <v>6</v>
      </c>
      <c r="T37" s="120" t="n">
        <f aca="false">Inputs!$E$23</f>
        <v>6</v>
      </c>
      <c r="U37" s="120" t="n">
        <f aca="false">Inputs!$E$23</f>
        <v>6</v>
      </c>
      <c r="V37" s="120" t="n">
        <f aca="false">Inputs!$E$23</f>
        <v>6</v>
      </c>
      <c r="W37" s="120" t="n">
        <f aca="false">Inputs!$E$23</f>
        <v>6</v>
      </c>
      <c r="X37" s="120" t="n">
        <f aca="false">Inputs!$E$23</f>
        <v>6</v>
      </c>
      <c r="Y37" s="120" t="n">
        <f aca="false">Inputs!$E$23</f>
        <v>6</v>
      </c>
    </row>
    <row r="38" customFormat="false" ht="15" hidden="false" customHeight="true" outlineLevel="0" collapsed="false">
      <c r="A38" s="14" t="s">
        <v>804</v>
      </c>
      <c r="B38" s="15" t="s">
        <v>787</v>
      </c>
      <c r="C38" s="117" t="n">
        <f aca="false">C23/C37</f>
        <v>5.818672</v>
      </c>
      <c r="D38" s="117" t="n">
        <f aca="false">D23/D37</f>
        <v>5.00151866666667</v>
      </c>
      <c r="E38" s="117" t="n">
        <f aca="false">E23/E37</f>
        <v>6.78439866666667</v>
      </c>
      <c r="F38" s="117" t="n">
        <f aca="false">F23/F37</f>
        <v>6.953112</v>
      </c>
      <c r="G38" s="117" t="n">
        <f aca="false">G23/G37</f>
        <v>5.744</v>
      </c>
      <c r="H38" s="117" t="n">
        <f aca="false">H23/H37</f>
        <v>5.555292</v>
      </c>
      <c r="I38" s="117" t="n">
        <f aca="false">I23/I37</f>
        <v>6.082052</v>
      </c>
      <c r="J38" s="117" t="n">
        <f aca="false">J23/J37</f>
        <v>5.818672</v>
      </c>
      <c r="K38" s="117" t="n">
        <f aca="false">K23/K37</f>
        <v>5.818672</v>
      </c>
      <c r="L38" s="117" t="n">
        <f aca="false">L23/L37</f>
        <v>5.818672</v>
      </c>
      <c r="M38" s="117" t="n">
        <f aca="false">M23/M37</f>
        <v>5.818672</v>
      </c>
      <c r="N38" s="117" t="n">
        <f aca="false">N23/N37</f>
        <v>4.98743314285714</v>
      </c>
      <c r="O38" s="117" t="n">
        <f aca="false">O23/O37</f>
        <v>8.728008</v>
      </c>
      <c r="P38" s="117" t="n">
        <f aca="false">P23/P37</f>
        <v>5.818672</v>
      </c>
      <c r="Q38" s="117" t="n">
        <f aca="false">Q23/Q37</f>
        <v>5.818672</v>
      </c>
      <c r="R38" s="117" t="n">
        <f aca="false">R23/R37</f>
        <v>5.818672</v>
      </c>
      <c r="S38" s="117" t="n">
        <f aca="false">S23/S37</f>
        <v>5.818672</v>
      </c>
      <c r="T38" s="117" t="n">
        <f aca="false">T23/T37</f>
        <v>5.818672</v>
      </c>
      <c r="U38" s="117" t="n">
        <f aca="false">U23/U37</f>
        <v>5.818672</v>
      </c>
      <c r="V38" s="117" t="n">
        <f aca="false">V23/V37</f>
        <v>5.818672</v>
      </c>
      <c r="W38" s="117" t="n">
        <f aca="false">W23/W37</f>
        <v>5.818672</v>
      </c>
      <c r="X38" s="117" t="n">
        <f aca="false">X23/X37</f>
        <v>6.00966</v>
      </c>
      <c r="Y38" s="117" t="n">
        <f aca="false">Y23/Y37</f>
        <v>5.565936</v>
      </c>
    </row>
    <row r="39" customFormat="false" ht="15" hidden="false" customHeight="true" outlineLevel="0" collapsed="false">
      <c r="A39" s="19" t="s">
        <v>805</v>
      </c>
      <c r="B39" s="15" t="s">
        <v>787</v>
      </c>
      <c r="C39" s="117" t="n">
        <f aca="false">(C25/Inputs!$E$24+C26/Inputs!$E$25+C27/Inputs!$E$26+C28/Inputs!$E$27)*(1+C29)</f>
        <v>0.634416666666667</v>
      </c>
      <c r="D39" s="117" t="n">
        <f aca="false">(D25/Inputs!$E$24+D26/Inputs!$E$25+D27/Inputs!$E$26+D28/Inputs!$E$27)*(1+D29)</f>
        <v>0.634416666666667</v>
      </c>
      <c r="E39" s="117" t="n">
        <f aca="false">(E25/Inputs!$E$24+E26/Inputs!$E$25+E27/Inputs!$E$26+E28/Inputs!$E$27)*(1+E29)</f>
        <v>0.634416666666667</v>
      </c>
      <c r="F39" s="117" t="n">
        <f aca="false">(F25/Inputs!$E$24+F26/Inputs!$E$25+F27/Inputs!$E$26+F28/Inputs!$E$27)*(1+F29)</f>
        <v>0.634416666666667</v>
      </c>
      <c r="G39" s="117" t="n">
        <f aca="false">(G25/Inputs!$E$24+G26/Inputs!$E$25+G27/Inputs!$E$26+G28/Inputs!$E$27)*(1+G29)</f>
        <v>0.634416666666667</v>
      </c>
      <c r="H39" s="117" t="n">
        <f aca="false">(H25/Inputs!$E$24+H26/Inputs!$E$25+H27/Inputs!$E$26+H28/Inputs!$E$27)*(1+H29)</f>
        <v>0.634416666666667</v>
      </c>
      <c r="I39" s="117" t="n">
        <f aca="false">(I25/Inputs!$E$24+I26/Inputs!$E$25+I27/Inputs!$E$26+I28/Inputs!$E$27)*(1+I29)</f>
        <v>0.634416666666667</v>
      </c>
      <c r="J39" s="117" t="n">
        <f aca="false">(J25/Inputs!$E$24+J26/Inputs!$E$25+J27/Inputs!$E$26+J28/Inputs!$E$27)*(1+J29)</f>
        <v>0.611416666666667</v>
      </c>
      <c r="K39" s="117" t="n">
        <f aca="false">(K25/Inputs!$E$24+K26/Inputs!$E$25+K27/Inputs!$E$26+K28/Inputs!$E$27)*(1+K29)</f>
        <v>0.668916666666667</v>
      </c>
      <c r="L39" s="117" t="n">
        <f aca="false">(L25/Inputs!$E$24+L26/Inputs!$E$25+L27/Inputs!$E$26+L28/Inputs!$E$27)*(1+L29)</f>
        <v>0.594166666666667</v>
      </c>
      <c r="M39" s="117" t="n">
        <f aca="false">(M25/Inputs!$E$24+M26/Inputs!$E$25+M27/Inputs!$E$26+M28/Inputs!$E$27)*(1+M29)</f>
        <v>0.691916666666667</v>
      </c>
      <c r="N39" s="117" t="n">
        <f aca="false">(N25/Inputs!$E$24+N26/Inputs!$E$25+N27/Inputs!$E$26+N28/Inputs!$E$27)*(1+N29)</f>
        <v>0.634416666666667</v>
      </c>
      <c r="O39" s="117" t="n">
        <f aca="false">(O25/Inputs!$E$24+O26/Inputs!$E$25+O27/Inputs!$E$26+O28/Inputs!$E$27)*(1+O29)</f>
        <v>0.634416666666667</v>
      </c>
      <c r="P39" s="117" t="n">
        <f aca="false">(P25/Inputs!$E$24+P26/Inputs!$E$25+P27/Inputs!$E$26+P28/Inputs!$E$27)*(1+P29)</f>
        <v>0.634416666666667</v>
      </c>
      <c r="Q39" s="117" t="n">
        <f aca="false">(Q25/Inputs!$E$24+Q26/Inputs!$E$25+Q27/Inputs!$E$26+Q28/Inputs!$E$27)*(1+Q29)</f>
        <v>0.634416666666667</v>
      </c>
      <c r="R39" s="117" t="n">
        <f aca="false">(R25/Inputs!$E$24+R26/Inputs!$E$25+R27/Inputs!$E$26+R28/Inputs!$E$27)*(1+R29)</f>
        <v>0.634416666666667</v>
      </c>
      <c r="S39" s="117" t="n">
        <f aca="false">(S25/Inputs!$E$24+S26/Inputs!$E$25+S27/Inputs!$E$26+S28/Inputs!$E$27)*(1+S29)</f>
        <v>0.634416666666667</v>
      </c>
      <c r="T39" s="117" t="n">
        <f aca="false">(T25/Inputs!$E$24+T26/Inputs!$E$25+T27/Inputs!$E$26+T28/Inputs!$E$27)*(1+T29)</f>
        <v>0.634416666666667</v>
      </c>
      <c r="U39" s="117" t="n">
        <f aca="false">(U25/Inputs!$E$24+U26/Inputs!$E$25+U27/Inputs!$E$26+U28/Inputs!$E$27)*(1+U29)</f>
        <v>0.634416666666667</v>
      </c>
      <c r="V39" s="117" t="n">
        <f aca="false">(V25/Inputs!$E$24+V26/Inputs!$E$25+V27/Inputs!$E$26+V28/Inputs!$E$27)*(1+V29)</f>
        <v>0.634416666666667</v>
      </c>
      <c r="W39" s="117" t="n">
        <f aca="false">(W25/Inputs!$E$24+W26/Inputs!$E$25+W27/Inputs!$E$26+W28/Inputs!$E$27)*(1+W29)</f>
        <v>0.634416666666667</v>
      </c>
      <c r="X39" s="117" t="n">
        <f aca="false">(X25/Inputs!$E$24+X26/Inputs!$E$25+X27/Inputs!$E$26+X28/Inputs!$E$27)*(1+X29)</f>
        <v>0.634416666666667</v>
      </c>
      <c r="Y39" s="117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64</v>
      </c>
      <c r="B40" s="15" t="s">
        <v>57</v>
      </c>
      <c r="C40" s="112" t="n">
        <f aca="false">Inputs!$E$10</f>
        <v>0.8</v>
      </c>
      <c r="D40" s="112" t="n">
        <f aca="false">Inputs!$E$10</f>
        <v>0.8</v>
      </c>
      <c r="E40" s="112" t="n">
        <f aca="false">Inputs!$E$10</f>
        <v>0.8</v>
      </c>
      <c r="F40" s="112" t="n">
        <f aca="false">Inputs!$E$10</f>
        <v>0.8</v>
      </c>
      <c r="G40" s="112" t="n">
        <f aca="false">Inputs!$E$10</f>
        <v>0.8</v>
      </c>
      <c r="H40" s="112" t="n">
        <f aca="false">Inputs!$E$10</f>
        <v>0.8</v>
      </c>
      <c r="I40" s="112" t="n">
        <f aca="false">Inputs!$E$10</f>
        <v>0.8</v>
      </c>
      <c r="J40" s="112" t="n">
        <f aca="false">Inputs!$E$10</f>
        <v>0.8</v>
      </c>
      <c r="K40" s="112" t="n">
        <f aca="false">Inputs!$E$10</f>
        <v>0.8</v>
      </c>
      <c r="L40" s="112" t="n">
        <f aca="false">Inputs!$E$10</f>
        <v>0.8</v>
      </c>
      <c r="M40" s="112" t="n">
        <f aca="false">Inputs!$E$10</f>
        <v>0.8</v>
      </c>
      <c r="N40" s="112" t="n">
        <f aca="false">Inputs!$E$10</f>
        <v>0.8</v>
      </c>
      <c r="O40" s="112" t="n">
        <f aca="false">Inputs!$E$10</f>
        <v>0.8</v>
      </c>
      <c r="P40" s="112" t="n">
        <f aca="false">Inputs!$E$10</f>
        <v>0.8</v>
      </c>
      <c r="Q40" s="112" t="n">
        <f aca="false">Inputs!$E$10</f>
        <v>0.8</v>
      </c>
      <c r="R40" s="112" t="n">
        <f aca="false">Inputs!$E$10</f>
        <v>0.8</v>
      </c>
      <c r="S40" s="112" t="n">
        <f aca="false">Inputs!$E$10</f>
        <v>0.8</v>
      </c>
      <c r="T40" s="112" t="n">
        <f aca="false">Inputs!$E$10</f>
        <v>0.8</v>
      </c>
      <c r="U40" s="112" t="n">
        <f aca="false">Inputs!$E$10</f>
        <v>0.8</v>
      </c>
      <c r="V40" s="112" t="n">
        <f aca="false">Inputs!$D$10</f>
        <v>0.7</v>
      </c>
      <c r="W40" s="112" t="n">
        <f aca="false">Inputs!$F$10</f>
        <v>0.9</v>
      </c>
      <c r="X40" s="112" t="n">
        <f aca="false">Inputs!$E$10</f>
        <v>0.8</v>
      </c>
      <c r="Y40" s="112" t="n">
        <f aca="false">Inputs!$E$10</f>
        <v>0.8</v>
      </c>
    </row>
    <row r="41" customFormat="false" ht="15" hidden="false" customHeight="true" outlineLevel="0" collapsed="false">
      <c r="A41" s="19" t="s">
        <v>66</v>
      </c>
      <c r="B41" s="15" t="s">
        <v>67</v>
      </c>
      <c r="C41" s="121" t="n">
        <f aca="false">Inputs!$E$11</f>
        <v>0.08</v>
      </c>
      <c r="D41" s="121" t="n">
        <f aca="false">Inputs!$E$11</f>
        <v>0.08</v>
      </c>
      <c r="E41" s="121" t="n">
        <f aca="false">Inputs!$E$11</f>
        <v>0.08</v>
      </c>
      <c r="F41" s="121" t="n">
        <f aca="false">Inputs!$E$11</f>
        <v>0.08</v>
      </c>
      <c r="G41" s="121" t="n">
        <f aca="false">Inputs!$E$11</f>
        <v>0.08</v>
      </c>
      <c r="H41" s="121" t="n">
        <f aca="false">Inputs!$E$11</f>
        <v>0.08</v>
      </c>
      <c r="I41" s="121" t="n">
        <f aca="false">Inputs!$E$11</f>
        <v>0.08</v>
      </c>
      <c r="J41" s="121" t="n">
        <f aca="false">Inputs!$E$11</f>
        <v>0.08</v>
      </c>
      <c r="K41" s="121" t="n">
        <f aca="false">Inputs!$E$11</f>
        <v>0.08</v>
      </c>
      <c r="L41" s="121" t="n">
        <f aca="false">Inputs!$E$11</f>
        <v>0.08</v>
      </c>
      <c r="M41" s="121" t="n">
        <f aca="false">Inputs!$E$11</f>
        <v>0.08</v>
      </c>
      <c r="N41" s="121" t="n">
        <f aca="false">Inputs!$E$11</f>
        <v>0.08</v>
      </c>
      <c r="O41" s="121" t="n">
        <f aca="false">Inputs!$E$11</f>
        <v>0.08</v>
      </c>
      <c r="P41" s="121" t="n">
        <f aca="false">Inputs!$E$11</f>
        <v>0.08</v>
      </c>
      <c r="Q41" s="121" t="n">
        <f aca="false">Inputs!$E$11</f>
        <v>0.08</v>
      </c>
      <c r="R41" s="121" t="n">
        <f aca="false">Inputs!$D$11</f>
        <v>0.06</v>
      </c>
      <c r="S41" s="121" t="n">
        <f aca="false">Inputs!$F$11</f>
        <v>0.1</v>
      </c>
      <c r="T41" s="121" t="n">
        <f aca="false">Inputs!$E$11</f>
        <v>0.08</v>
      </c>
      <c r="U41" s="121" t="n">
        <f aca="false">Inputs!$E$11</f>
        <v>0.08</v>
      </c>
      <c r="V41" s="121" t="n">
        <f aca="false">Inputs!$E$11</f>
        <v>0.08</v>
      </c>
      <c r="W41" s="121" t="n">
        <f aca="false">Inputs!$E$11</f>
        <v>0.08</v>
      </c>
      <c r="X41" s="121" t="n">
        <f aca="false">Inputs!$E$11</f>
        <v>0.08</v>
      </c>
      <c r="Y41" s="121" t="n">
        <f aca="false">Inputs!$E$11</f>
        <v>0.08</v>
      </c>
    </row>
    <row r="42" customFormat="false" ht="15" hidden="false" customHeight="true" outlineLevel="0" collapsed="false">
      <c r="A42" s="19" t="s">
        <v>806</v>
      </c>
      <c r="B42" s="15" t="s">
        <v>787</v>
      </c>
      <c r="C42" s="117" t="n">
        <f aca="false">C7*1000*C40*C14*8760*C41/1000000000</f>
        <v>0.672768</v>
      </c>
      <c r="D42" s="117" t="n">
        <f aca="false">D7*1000*D40*D14*8760*D41/1000000000</f>
        <v>0.672768</v>
      </c>
      <c r="E42" s="117" t="n">
        <f aca="false">E7*1000*E40*E14*8760*E41/1000000000</f>
        <v>0.672768</v>
      </c>
      <c r="F42" s="117" t="n">
        <f aca="false">F7*1000*F40*F14*8760*F41/1000000000</f>
        <v>0.672768</v>
      </c>
      <c r="G42" s="117" t="n">
        <f aca="false">G7*1000*G40*G14*8760*G41/1000000000</f>
        <v>0.672768</v>
      </c>
      <c r="H42" s="117" t="n">
        <f aca="false">H7*1000*H40*H14*8760*H41/1000000000</f>
        <v>0.672768</v>
      </c>
      <c r="I42" s="117" t="n">
        <f aca="false">I7*1000*I40*I14*8760*I41/1000000000</f>
        <v>0.672768</v>
      </c>
      <c r="J42" s="117" t="n">
        <f aca="false">J7*1000*J40*J14*8760*J41/1000000000</f>
        <v>0.672768</v>
      </c>
      <c r="K42" s="117" t="n">
        <f aca="false">K7*1000*K40*K14*8760*K41/1000000000</f>
        <v>0.672768</v>
      </c>
      <c r="L42" s="117" t="n">
        <f aca="false">L7*1000*L40*L14*8760*L41/1000000000</f>
        <v>0.672768</v>
      </c>
      <c r="M42" s="117" t="n">
        <f aca="false">M7*1000*M40*M14*8760*M41/1000000000</f>
        <v>0.672768</v>
      </c>
      <c r="N42" s="117" t="n">
        <f aca="false">N7*1000*N40*N14*8760*N41/1000000000</f>
        <v>0.672768</v>
      </c>
      <c r="O42" s="117" t="n">
        <f aca="false">O7*1000*O40*O14*8760*O41/1000000000</f>
        <v>0.672768</v>
      </c>
      <c r="P42" s="117" t="n">
        <f aca="false">P7*1000*P40*P14*8760*P41/1000000000</f>
        <v>0.672768</v>
      </c>
      <c r="Q42" s="117" t="n">
        <f aca="false">Q7*1000*Q40*Q14*8760*Q41/1000000000</f>
        <v>0.672768</v>
      </c>
      <c r="R42" s="117" t="n">
        <f aca="false">R7*1000*R40*R14*8760*R41/1000000000</f>
        <v>0.504576</v>
      </c>
      <c r="S42" s="117" t="n">
        <f aca="false">S7*1000*S40*S14*8760*S41/1000000000</f>
        <v>0.84096</v>
      </c>
      <c r="T42" s="117" t="n">
        <f aca="false">T7*1000*T40*T14*8760*T41/1000000000</f>
        <v>0.616704</v>
      </c>
      <c r="U42" s="117" t="n">
        <f aca="false">U7*1000*U40*U14*8760*U41/1000000000</f>
        <v>0.728832</v>
      </c>
      <c r="V42" s="117" t="n">
        <f aca="false">V7*1000*V40*V14*8760*V41/1000000000</f>
        <v>0.588672</v>
      </c>
      <c r="W42" s="117" t="n">
        <f aca="false">W7*1000*W40*W14*8760*W41/1000000000</f>
        <v>0.756864</v>
      </c>
      <c r="X42" s="117" t="n">
        <f aca="false">X7*1000*X40*X14*8760*X41/1000000000</f>
        <v>0.672768</v>
      </c>
      <c r="Y42" s="117" t="n">
        <f aca="false">Y7*1000*Y40*Y14*8760*Y41/1000000000</f>
        <v>0.672768</v>
      </c>
    </row>
    <row r="43" customFormat="false" ht="15" hidden="false" customHeight="true" outlineLevel="0" collapsed="false">
      <c r="A43" s="14" t="s">
        <v>103</v>
      </c>
      <c r="B43" s="15" t="s">
        <v>787</v>
      </c>
      <c r="C43" s="117" t="n">
        <f aca="false">C23*Inputs!$E$30</f>
        <v>1.04736096</v>
      </c>
      <c r="D43" s="117" t="n">
        <f aca="false">D23*Inputs!$E$30</f>
        <v>0.90027336</v>
      </c>
      <c r="E43" s="117" t="n">
        <f aca="false">E23*Inputs!$E$30</f>
        <v>1.22119176</v>
      </c>
      <c r="F43" s="117" t="n">
        <f aca="false">F23*Inputs!$E$30</f>
        <v>1.25156016</v>
      </c>
      <c r="G43" s="117" t="n">
        <f aca="false">G23*Inputs!$E$30</f>
        <v>1.03392</v>
      </c>
      <c r="H43" s="117" t="n">
        <f aca="false">H23*Inputs!$E$30</f>
        <v>0.99995256</v>
      </c>
      <c r="I43" s="117" t="n">
        <f aca="false">I23*Inputs!$E$30</f>
        <v>1.09476936</v>
      </c>
      <c r="J43" s="117" t="n">
        <f aca="false">J23*Inputs!$E$30</f>
        <v>1.04736096</v>
      </c>
      <c r="K43" s="117" t="n">
        <f aca="false">K23*Inputs!$E$30</f>
        <v>1.04736096</v>
      </c>
      <c r="L43" s="117" t="n">
        <f aca="false">L23*Inputs!$E$30</f>
        <v>1.04736096</v>
      </c>
      <c r="M43" s="117" t="n">
        <f aca="false">M23*Inputs!$E$30</f>
        <v>1.04736096</v>
      </c>
      <c r="N43" s="117" t="n">
        <f aca="false">N23*Inputs!$E$30</f>
        <v>1.04736096</v>
      </c>
      <c r="O43" s="117" t="n">
        <f aca="false">O23*Inputs!$E$30</f>
        <v>1.04736096</v>
      </c>
      <c r="P43" s="117" t="n">
        <f aca="false">P23*Inputs!$E$30</f>
        <v>1.04736096</v>
      </c>
      <c r="Q43" s="117" t="n">
        <f aca="false">Q23*Inputs!$E$30</f>
        <v>1.04736096</v>
      </c>
      <c r="R43" s="117" t="n">
        <f aca="false">R23*Inputs!$E$30</f>
        <v>1.04736096</v>
      </c>
      <c r="S43" s="117" t="n">
        <f aca="false">S23*Inputs!$E$30</f>
        <v>1.04736096</v>
      </c>
      <c r="T43" s="117" t="n">
        <f aca="false">T23*Inputs!$E$30</f>
        <v>1.04736096</v>
      </c>
      <c r="U43" s="117" t="n">
        <f aca="false">U23*Inputs!$E$30</f>
        <v>1.04736096</v>
      </c>
      <c r="V43" s="117" t="n">
        <f aca="false">V23*Inputs!$E$30</f>
        <v>1.04736096</v>
      </c>
      <c r="W43" s="117" t="n">
        <f aca="false">W23*Inputs!$E$30</f>
        <v>1.04736096</v>
      </c>
      <c r="X43" s="117" t="n">
        <f aca="false">X23*Inputs!$E$30</f>
        <v>1.0817388</v>
      </c>
      <c r="Y43" s="117" t="n">
        <f aca="false">Y23*Inputs!$E$30</f>
        <v>1.00186848</v>
      </c>
    </row>
    <row r="44" customFormat="false" ht="15" hidden="false" customHeight="true" outlineLevel="0" collapsed="false">
      <c r="A44" s="19" t="s">
        <v>106</v>
      </c>
      <c r="B44" s="15" t="s">
        <v>787</v>
      </c>
      <c r="C44" s="117" t="n">
        <f aca="false">C31*Inputs!$E$31</f>
        <v>0.2534</v>
      </c>
      <c r="D44" s="117" t="n">
        <f aca="false">D31*Inputs!$E$31</f>
        <v>0.2534</v>
      </c>
      <c r="E44" s="117" t="n">
        <f aca="false">E31*Inputs!$E$31</f>
        <v>0.2534</v>
      </c>
      <c r="F44" s="117" t="n">
        <f aca="false">F31*Inputs!$E$31</f>
        <v>0.2534</v>
      </c>
      <c r="G44" s="117" t="n">
        <f aca="false">G31*Inputs!$E$31</f>
        <v>0.2534</v>
      </c>
      <c r="H44" s="117" t="n">
        <f aca="false">H31*Inputs!$E$31</f>
        <v>0.2534</v>
      </c>
      <c r="I44" s="117" t="n">
        <f aca="false">I31*Inputs!$E$31</f>
        <v>0.2534</v>
      </c>
      <c r="J44" s="117" t="n">
        <f aca="false">J31*Inputs!$E$31</f>
        <v>0.2396</v>
      </c>
      <c r="K44" s="117" t="n">
        <f aca="false">K31*Inputs!$E$31</f>
        <v>0.2741</v>
      </c>
      <c r="L44" s="117" t="n">
        <f aca="false">L31*Inputs!$E$31</f>
        <v>0.2373</v>
      </c>
      <c r="M44" s="117" t="n">
        <f aca="false">M31*Inputs!$E$31</f>
        <v>0.2764</v>
      </c>
      <c r="N44" s="117" t="n">
        <f aca="false">N31*Inputs!$E$31</f>
        <v>0.2534</v>
      </c>
      <c r="O44" s="117" t="n">
        <f aca="false">O31*Inputs!$E$31</f>
        <v>0.2534</v>
      </c>
      <c r="P44" s="117" t="n">
        <f aca="false">P31*Inputs!$E$31</f>
        <v>0.2534</v>
      </c>
      <c r="Q44" s="117" t="n">
        <f aca="false">Q31*Inputs!$E$31</f>
        <v>0.2534</v>
      </c>
      <c r="R44" s="117" t="n">
        <f aca="false">R31*Inputs!$E$31</f>
        <v>0.2534</v>
      </c>
      <c r="S44" s="117" t="n">
        <f aca="false">S31*Inputs!$E$31</f>
        <v>0.2534</v>
      </c>
      <c r="T44" s="117" t="n">
        <f aca="false">T31*Inputs!$E$31</f>
        <v>0.2534</v>
      </c>
      <c r="U44" s="117" t="n">
        <f aca="false">U31*Inputs!$E$31</f>
        <v>0.2534</v>
      </c>
      <c r="V44" s="117" t="n">
        <f aca="false">V31*Inputs!$E$31</f>
        <v>0.2534</v>
      </c>
      <c r="W44" s="117" t="n">
        <f aca="false">W31*Inputs!$E$31</f>
        <v>0.2534</v>
      </c>
      <c r="X44" s="117" t="n">
        <f aca="false">X31*Inputs!$E$31</f>
        <v>0.2534</v>
      </c>
      <c r="Y44" s="117" t="n">
        <f aca="false">Y31*Inputs!$E$31</f>
        <v>0.2534</v>
      </c>
    </row>
    <row r="45" customFormat="false" ht="15" hidden="false" customHeight="true" outlineLevel="0" collapsed="false">
      <c r="A45" s="19" t="s">
        <v>807</v>
      </c>
      <c r="B45" s="15" t="s">
        <v>787</v>
      </c>
      <c r="C45" s="117" t="n">
        <f aca="false">(Inputs!$E$32*C7/1000+Inputs!$E$33*C7/1000+Inputs!$E$34*C7)/1000</f>
        <v>0.325</v>
      </c>
      <c r="D45" s="117" t="n">
        <f aca="false">(Inputs!$E$32*D7/1000+Inputs!$E$33*D7/1000+Inputs!$E$34*D7)/1000</f>
        <v>0.325</v>
      </c>
      <c r="E45" s="117" t="n">
        <f aca="false">(Inputs!$E$32*E7/1000+Inputs!$E$33*E7/1000+Inputs!$E$34*E7)/1000</f>
        <v>0.325</v>
      </c>
      <c r="F45" s="117" t="n">
        <f aca="false">(Inputs!$E$32*F7/1000+Inputs!$E$33*F7/1000+Inputs!$E$34*F7)/1000</f>
        <v>0.325</v>
      </c>
      <c r="G45" s="117" t="n">
        <f aca="false">(Inputs!$E$32*G7/1000+Inputs!$E$33*G7/1000+Inputs!$E$34*G7)/1000</f>
        <v>0.325</v>
      </c>
      <c r="H45" s="117" t="n">
        <f aca="false">(Inputs!$E$32*H7/1000+Inputs!$E$33*H7/1000+Inputs!$E$34*H7)/1000</f>
        <v>0.325</v>
      </c>
      <c r="I45" s="117" t="n">
        <f aca="false">(Inputs!$E$32*I7/1000+Inputs!$E$33*I7/1000+Inputs!$E$34*I7)/1000</f>
        <v>0.325</v>
      </c>
      <c r="J45" s="117" t="n">
        <f aca="false">(Inputs!$E$32*J7/1000+Inputs!$E$33*J7/1000+Inputs!$E$34*J7)/1000</f>
        <v>0.325</v>
      </c>
      <c r="K45" s="117" t="n">
        <f aca="false">(Inputs!$E$32*K7/1000+Inputs!$E$33*K7/1000+Inputs!$E$34*K7)/1000</f>
        <v>0.325</v>
      </c>
      <c r="L45" s="117" t="n">
        <f aca="false">(Inputs!$E$32*L7/1000+Inputs!$E$33*L7/1000+Inputs!$E$34*L7)/1000</f>
        <v>0.325</v>
      </c>
      <c r="M45" s="117" t="n">
        <f aca="false">(Inputs!$E$32*M7/1000+Inputs!$E$33*M7/1000+Inputs!$E$34*M7)/1000</f>
        <v>0.325</v>
      </c>
      <c r="N45" s="117" t="n">
        <f aca="false">(Inputs!$E$32*N7/1000+Inputs!$E$33*N7/1000+Inputs!$E$34*N7)/1000</f>
        <v>0.325</v>
      </c>
      <c r="O45" s="117" t="n">
        <f aca="false">(Inputs!$E$32*O7/1000+Inputs!$E$33*O7/1000+Inputs!$E$34*O7)/1000</f>
        <v>0.325</v>
      </c>
      <c r="P45" s="117" t="n">
        <f aca="false">(Inputs!$E$32*P7/1000+Inputs!$E$33*P7/1000+Inputs!$E$34*P7)/1000</f>
        <v>0.325</v>
      </c>
      <c r="Q45" s="117" t="n">
        <f aca="false">(Inputs!$E$32*Q7/1000+Inputs!$E$33*Q7/1000+Inputs!$E$34*Q7)/1000</f>
        <v>0.325</v>
      </c>
      <c r="R45" s="117" t="n">
        <f aca="false">(Inputs!$E$32*R7/1000+Inputs!$E$33*R7/1000+Inputs!$E$34*R7)/1000</f>
        <v>0.325</v>
      </c>
      <c r="S45" s="117" t="n">
        <f aca="false">(Inputs!$E$32*S7/1000+Inputs!$E$33*S7/1000+Inputs!$E$34*S7)/1000</f>
        <v>0.325</v>
      </c>
      <c r="T45" s="117" t="n">
        <f aca="false">(Inputs!$E$32*T7/1000+Inputs!$E$33*T7/1000+Inputs!$E$34*T7)/1000</f>
        <v>0.325</v>
      </c>
      <c r="U45" s="117" t="n">
        <f aca="false">(Inputs!$E$32*U7/1000+Inputs!$E$33*U7/1000+Inputs!$E$34*U7)/1000</f>
        <v>0.325</v>
      </c>
      <c r="V45" s="117" t="n">
        <f aca="false">(Inputs!$E$32*V7/1000+Inputs!$E$33*V7/1000+Inputs!$E$34*V7)/1000</f>
        <v>0.325</v>
      </c>
      <c r="W45" s="117" t="n">
        <f aca="false">(Inputs!$E$32*W7/1000+Inputs!$E$33*W7/1000+Inputs!$E$34*W7)/1000</f>
        <v>0.325</v>
      </c>
      <c r="X45" s="117" t="n">
        <f aca="false">(Inputs!$E$32*X7/1000+Inputs!$E$33*X7/1000+Inputs!$E$34*X7)/1000</f>
        <v>0.325</v>
      </c>
      <c r="Y45" s="117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117</v>
      </c>
      <c r="B46" s="15" t="s">
        <v>787</v>
      </c>
      <c r="C46" s="117" t="n">
        <f aca="false">C32*Inputs!$E$35</f>
        <v>0.23791016</v>
      </c>
      <c r="D46" s="117" t="n">
        <f aca="false">D32*Inputs!$E$35</f>
        <v>0.21339556</v>
      </c>
      <c r="E46" s="117" t="n">
        <f aca="false">E32*Inputs!$E$35</f>
        <v>0.26688196</v>
      </c>
      <c r="F46" s="117" t="n">
        <f aca="false">F32*Inputs!$E$35</f>
        <v>0.27194336</v>
      </c>
      <c r="G46" s="117" t="n">
        <f aca="false">G32*Inputs!$E$35</f>
        <v>0.23567</v>
      </c>
      <c r="H46" s="117" t="n">
        <f aca="false">H32*Inputs!$E$35</f>
        <v>0.23000876</v>
      </c>
      <c r="I46" s="117" t="n">
        <f aca="false">I32*Inputs!$E$35</f>
        <v>0.24581156</v>
      </c>
      <c r="J46" s="117" t="n">
        <f aca="false">J32*Inputs!$E$35</f>
        <v>0.23446016</v>
      </c>
      <c r="K46" s="117" t="n">
        <f aca="false">K32*Inputs!$E$35</f>
        <v>0.24308516</v>
      </c>
      <c r="L46" s="117" t="n">
        <f aca="false">L32*Inputs!$E$35</f>
        <v>0.23388516</v>
      </c>
      <c r="M46" s="117" t="n">
        <f aca="false">M32*Inputs!$E$35</f>
        <v>0.24366016</v>
      </c>
      <c r="N46" s="117" t="n">
        <f aca="false">N32*Inputs!$E$35</f>
        <v>0.23791016</v>
      </c>
      <c r="O46" s="117" t="n">
        <f aca="false">O32*Inputs!$E$35</f>
        <v>0.23791016</v>
      </c>
      <c r="P46" s="117" t="n">
        <f aca="false">P32*Inputs!$E$35</f>
        <v>0.23791016</v>
      </c>
      <c r="Q46" s="117" t="n">
        <f aca="false">Q32*Inputs!$E$35</f>
        <v>0.23791016</v>
      </c>
      <c r="R46" s="117" t="n">
        <f aca="false">R32*Inputs!$E$35</f>
        <v>0.23791016</v>
      </c>
      <c r="S46" s="117" t="n">
        <f aca="false">S32*Inputs!$E$35</f>
        <v>0.23791016</v>
      </c>
      <c r="T46" s="117" t="n">
        <f aca="false">T32*Inputs!$E$35</f>
        <v>0.23791016</v>
      </c>
      <c r="U46" s="117" t="n">
        <f aca="false">U32*Inputs!$E$35</f>
        <v>0.23791016</v>
      </c>
      <c r="V46" s="117" t="n">
        <f aca="false">V32*Inputs!$E$35</f>
        <v>0.23791016</v>
      </c>
      <c r="W46" s="117" t="n">
        <f aca="false">W32*Inputs!$E$35</f>
        <v>0.23791016</v>
      </c>
      <c r="X46" s="117" t="n">
        <f aca="false">X32*Inputs!$E$35</f>
        <v>0.2436398</v>
      </c>
      <c r="Y46" s="117" t="n">
        <f aca="false">Y32*Inputs!$E$35</f>
        <v>0.23032808</v>
      </c>
    </row>
    <row r="47" customFormat="false" ht="15" hidden="false" customHeight="true" outlineLevel="0" collapsed="false">
      <c r="A47" s="19" t="s">
        <v>808</v>
      </c>
      <c r="B47" s="15" t="s">
        <v>787</v>
      </c>
      <c r="C47" s="117" t="n">
        <f aca="false">C42+C43+C44+C45+C46</f>
        <v>2.53643912</v>
      </c>
      <c r="D47" s="117" t="n">
        <f aca="false">D42+D43+D44+D45+D46</f>
        <v>2.36483692</v>
      </c>
      <c r="E47" s="117" t="n">
        <f aca="false">E42+E43+E44+E45+E46</f>
        <v>2.73924172</v>
      </c>
      <c r="F47" s="117" t="n">
        <f aca="false">F42+F43+F44+F45+F46</f>
        <v>2.77467152</v>
      </c>
      <c r="G47" s="117" t="n">
        <f aca="false">G42+G43+G44+G45+G46</f>
        <v>2.520758</v>
      </c>
      <c r="H47" s="117" t="n">
        <f aca="false">H42+H43+H44+H45+H46</f>
        <v>2.48112932</v>
      </c>
      <c r="I47" s="117" t="n">
        <f aca="false">I42+I43+I44+I45+I46</f>
        <v>2.59174892</v>
      </c>
      <c r="J47" s="117" t="n">
        <f aca="false">J42+J43+J44+J45+J46</f>
        <v>2.51918912</v>
      </c>
      <c r="K47" s="117" t="n">
        <f aca="false">K42+K43+K44+K45+K46</f>
        <v>2.56231412</v>
      </c>
      <c r="L47" s="117" t="n">
        <f aca="false">L42+L43+L44+L45+L46</f>
        <v>2.51631412</v>
      </c>
      <c r="M47" s="117" t="n">
        <f aca="false">M42+M43+M44+M45+M46</f>
        <v>2.56518912</v>
      </c>
      <c r="N47" s="117" t="n">
        <f aca="false">N42+N43+N44+N45+N46</f>
        <v>2.53643912</v>
      </c>
      <c r="O47" s="117" t="n">
        <f aca="false">O42+O43+O44+O45+O46</f>
        <v>2.53643912</v>
      </c>
      <c r="P47" s="117" t="n">
        <f aca="false">P42+P43+P44+P45+P46</f>
        <v>2.53643912</v>
      </c>
      <c r="Q47" s="117" t="n">
        <f aca="false">Q42+Q43+Q44+Q45+Q46</f>
        <v>2.53643912</v>
      </c>
      <c r="R47" s="117" t="n">
        <f aca="false">R42+R43+R44+R45+R46</f>
        <v>2.36824712</v>
      </c>
      <c r="S47" s="117" t="n">
        <f aca="false">S42+S43+S44+S45+S46</f>
        <v>2.70463112</v>
      </c>
      <c r="T47" s="117" t="n">
        <f aca="false">T42+T43+T44+T45+T46</f>
        <v>2.48037512</v>
      </c>
      <c r="U47" s="117" t="n">
        <f aca="false">U42+U43+U44+U45+U46</f>
        <v>2.59250312</v>
      </c>
      <c r="V47" s="117" t="n">
        <f aca="false">V42+V43+V44+V45+V46</f>
        <v>2.45234312</v>
      </c>
      <c r="W47" s="117" t="n">
        <f aca="false">W42+W43+W44+W45+W46</f>
        <v>2.62053512</v>
      </c>
      <c r="X47" s="117" t="n">
        <f aca="false">X42+X43+X44+X45+X46</f>
        <v>2.5765466</v>
      </c>
      <c r="Y47" s="117" t="n">
        <f aca="false">Y42+Y43+Y44+Y45+Y46</f>
        <v>2.48336456</v>
      </c>
    </row>
    <row r="48" customFormat="false" ht="15" hidden="false" customHeight="true" outlineLevel="0" collapsed="false">
      <c r="A48" s="19" t="s">
        <v>809</v>
      </c>
      <c r="B48" s="15" t="s">
        <v>787</v>
      </c>
      <c r="C48" s="118" t="n">
        <f aca="false">C38+C39+C47</f>
        <v>8.98952778666667</v>
      </c>
      <c r="D48" s="118" t="n">
        <f aca="false">D38+D39+D47</f>
        <v>8.00077225333333</v>
      </c>
      <c r="E48" s="118" t="n">
        <f aca="false">E38+E39+E47</f>
        <v>10.1580570533333</v>
      </c>
      <c r="F48" s="118" t="n">
        <f aca="false">F38+F39+F47</f>
        <v>10.3622001866667</v>
      </c>
      <c r="G48" s="118" t="n">
        <f aca="false">G38+G39+G47</f>
        <v>8.89917466666667</v>
      </c>
      <c r="H48" s="118" t="n">
        <f aca="false">H38+H39+H47</f>
        <v>8.67083798666667</v>
      </c>
      <c r="I48" s="118" t="n">
        <f aca="false">I38+I39+I47</f>
        <v>9.30821758666667</v>
      </c>
      <c r="J48" s="118" t="n">
        <f aca="false">J38+J39+J47</f>
        <v>8.94927778666667</v>
      </c>
      <c r="K48" s="118" t="n">
        <f aca="false">K38+K39+K47</f>
        <v>9.04990278666667</v>
      </c>
      <c r="L48" s="118" t="n">
        <f aca="false">L38+L39+L47</f>
        <v>8.92915278666667</v>
      </c>
      <c r="M48" s="118" t="n">
        <f aca="false">M38+M39+M47</f>
        <v>9.07577778666667</v>
      </c>
      <c r="N48" s="118" t="n">
        <f aca="false">N38+N39+N47</f>
        <v>8.15828892952381</v>
      </c>
      <c r="O48" s="118" t="n">
        <f aca="false">O38+O39+O47</f>
        <v>11.8988637866667</v>
      </c>
      <c r="P48" s="118" t="n">
        <f aca="false">P38+P39+P47</f>
        <v>8.98952778666667</v>
      </c>
      <c r="Q48" s="118" t="n">
        <f aca="false">Q38+Q39+Q47</f>
        <v>8.98952778666667</v>
      </c>
      <c r="R48" s="118" t="n">
        <f aca="false">R38+R39+R47</f>
        <v>8.82133578666667</v>
      </c>
      <c r="S48" s="118" t="n">
        <f aca="false">S38+S39+S47</f>
        <v>9.15771978666667</v>
      </c>
      <c r="T48" s="118" t="n">
        <f aca="false">T38+T39+T47</f>
        <v>8.93346378666667</v>
      </c>
      <c r="U48" s="118" t="n">
        <f aca="false">U38+U39+U47</f>
        <v>9.04559178666667</v>
      </c>
      <c r="V48" s="118" t="n">
        <f aca="false">V38+V39+V47</f>
        <v>8.90543178666667</v>
      </c>
      <c r="W48" s="118" t="n">
        <f aca="false">W38+W39+W47</f>
        <v>9.07362378666667</v>
      </c>
      <c r="X48" s="118" t="n">
        <f aca="false">X38+X39+X47</f>
        <v>9.22062326666667</v>
      </c>
      <c r="Y48" s="118" t="n">
        <f aca="false">Y38+Y39+Y47</f>
        <v>8.68371722666667</v>
      </c>
    </row>
    <row r="49" customFormat="false" ht="15" hidden="false" customHeight="true" outlineLevel="0" collapsed="false">
      <c r="A49" s="24" t="s">
        <v>810</v>
      </c>
      <c r="B49" s="13"/>
      <c r="C49" s="13"/>
    </row>
    <row r="50" customFormat="false" ht="15" hidden="false" customHeight="true" outlineLevel="0" collapsed="false">
      <c r="A50" s="14" t="s">
        <v>811</v>
      </c>
      <c r="B50" s="15" t="s">
        <v>57</v>
      </c>
      <c r="C50" s="112" t="n">
        <f aca="false">Inputs!$E$28</f>
        <v>0.1</v>
      </c>
      <c r="D50" s="112" t="n">
        <f aca="false">Inputs!$E$28</f>
        <v>0.1</v>
      </c>
      <c r="E50" s="112" t="n">
        <f aca="false">Inputs!$E$28</f>
        <v>0.1</v>
      </c>
      <c r="F50" s="112" t="n">
        <f aca="false">Inputs!$E$28</f>
        <v>0.1</v>
      </c>
      <c r="G50" s="112" t="n">
        <f aca="false">Inputs!$E$28</f>
        <v>0.1</v>
      </c>
      <c r="H50" s="112" t="n">
        <f aca="false">Inputs!$E$28</f>
        <v>0.1</v>
      </c>
      <c r="I50" s="112" t="n">
        <f aca="false">Inputs!$E$28</f>
        <v>0.1</v>
      </c>
      <c r="J50" s="112" t="n">
        <f aca="false">Inputs!$E$28</f>
        <v>0.1</v>
      </c>
      <c r="K50" s="112" t="n">
        <f aca="false">Inputs!$E$28</f>
        <v>0.1</v>
      </c>
      <c r="L50" s="112" t="n">
        <f aca="false">Inputs!$E$28</f>
        <v>0.1</v>
      </c>
      <c r="M50" s="112" t="n">
        <f aca="false">Inputs!$E$28</f>
        <v>0.1</v>
      </c>
      <c r="N50" s="112" t="n">
        <f aca="false">Inputs!$E$28</f>
        <v>0.1</v>
      </c>
      <c r="O50" s="112" t="n">
        <f aca="false">Inputs!$E$28</f>
        <v>0.1</v>
      </c>
      <c r="P50" s="112" t="n">
        <f aca="false">Inputs!$D$28</f>
        <v>0.08</v>
      </c>
      <c r="Q50" s="112" t="n">
        <f aca="false">Inputs!$F$28</f>
        <v>0.13</v>
      </c>
      <c r="R50" s="112" t="n">
        <f aca="false">Inputs!$E$28</f>
        <v>0.1</v>
      </c>
      <c r="S50" s="112" t="n">
        <f aca="false">Inputs!$E$28</f>
        <v>0.1</v>
      </c>
      <c r="T50" s="112" t="n">
        <f aca="false">Inputs!$E$28</f>
        <v>0.1</v>
      </c>
      <c r="U50" s="112" t="n">
        <f aca="false">Inputs!$E$28</f>
        <v>0.1</v>
      </c>
      <c r="V50" s="112" t="n">
        <f aca="false">Inputs!$E$28</f>
        <v>0.1</v>
      </c>
      <c r="W50" s="112" t="n">
        <f aca="false">Inputs!$E$28</f>
        <v>0.1</v>
      </c>
      <c r="X50" s="112" t="n">
        <f aca="false">Inputs!$E$28</f>
        <v>0.1</v>
      </c>
      <c r="Y50" s="112" t="n">
        <f aca="false">Inputs!$E$28</f>
        <v>0.1</v>
      </c>
    </row>
    <row r="51" customFormat="false" ht="15" hidden="false" customHeight="true" outlineLevel="0" collapsed="false">
      <c r="A51" s="14" t="s">
        <v>812</v>
      </c>
      <c r="B51" s="15" t="s">
        <v>61</v>
      </c>
      <c r="C51" s="122" t="n">
        <f aca="false">C50/(1-(1+C50)^(-C37))</f>
        <v>0.229607380362667</v>
      </c>
      <c r="D51" s="122" t="n">
        <f aca="false">D50/(1-(1+D50)^(-D37))</f>
        <v>0.229607380362667</v>
      </c>
      <c r="E51" s="122" t="n">
        <f aca="false">E50/(1-(1+E50)^(-E37))</f>
        <v>0.229607380362667</v>
      </c>
      <c r="F51" s="122" t="n">
        <f aca="false">F50/(1-(1+F50)^(-F37))</f>
        <v>0.229607380362667</v>
      </c>
      <c r="G51" s="122" t="n">
        <f aca="false">G50/(1-(1+G50)^(-G37))</f>
        <v>0.229607380362667</v>
      </c>
      <c r="H51" s="122" t="n">
        <f aca="false">H50/(1-(1+H50)^(-H37))</f>
        <v>0.229607380362667</v>
      </c>
      <c r="I51" s="122" t="n">
        <f aca="false">I50/(1-(1+I50)^(-I37))</f>
        <v>0.229607380362667</v>
      </c>
      <c r="J51" s="122" t="n">
        <f aca="false">J50/(1-(1+J50)^(-J37))</f>
        <v>0.229607380362667</v>
      </c>
      <c r="K51" s="122" t="n">
        <f aca="false">K50/(1-(1+K50)^(-K37))</f>
        <v>0.229607380362667</v>
      </c>
      <c r="L51" s="122" t="n">
        <f aca="false">L50/(1-(1+L50)^(-L37))</f>
        <v>0.229607380362667</v>
      </c>
      <c r="M51" s="122" t="n">
        <f aca="false">M50/(1-(1+M50)^(-M37))</f>
        <v>0.229607380362667</v>
      </c>
      <c r="N51" s="122" t="n">
        <f aca="false">N50/(1-(1+N50)^(-N37))</f>
        <v>0.205405499700596</v>
      </c>
      <c r="O51" s="122" t="n">
        <f aca="false">O50/(1-(1+O50)^(-O37))</f>
        <v>0.315470803706098</v>
      </c>
      <c r="P51" s="122" t="n">
        <f aca="false">P50/(1-(1+P50)^(-P37))</f>
        <v>0.21631538622901</v>
      </c>
      <c r="Q51" s="122" t="n">
        <f aca="false">Q50/(1-(1+Q50)^(-Q37))</f>
        <v>0.250153232051725</v>
      </c>
      <c r="R51" s="122" t="n">
        <f aca="false">R50/(1-(1+R50)^(-R37))</f>
        <v>0.229607380362667</v>
      </c>
      <c r="S51" s="122" t="n">
        <f aca="false">S50/(1-(1+S50)^(-S37))</f>
        <v>0.229607380362667</v>
      </c>
      <c r="T51" s="122" t="n">
        <f aca="false">T50/(1-(1+T50)^(-T37))</f>
        <v>0.229607380362667</v>
      </c>
      <c r="U51" s="122" t="n">
        <f aca="false">U50/(1-(1+U50)^(-U37))</f>
        <v>0.229607380362667</v>
      </c>
      <c r="V51" s="122" t="n">
        <f aca="false">V50/(1-(1+V50)^(-V37))</f>
        <v>0.229607380362667</v>
      </c>
      <c r="W51" s="122" t="n">
        <f aca="false">W50/(1-(1+W50)^(-W37))</f>
        <v>0.229607380362667</v>
      </c>
      <c r="X51" s="122" t="n">
        <f aca="false">X50/(1-(1+X50)^(-X37))</f>
        <v>0.229607380362667</v>
      </c>
      <c r="Y51" s="122" t="n">
        <f aca="false">Y50/(1-(1+Y50)^(-Y37))</f>
        <v>0.229607380362667</v>
      </c>
    </row>
    <row r="52" customFormat="false" ht="15" hidden="false" customHeight="true" outlineLevel="0" collapsed="false">
      <c r="A52" s="14" t="s">
        <v>813</v>
      </c>
      <c r="B52" s="15" t="s">
        <v>787</v>
      </c>
      <c r="C52" s="117" t="n">
        <f aca="false">C23*C51</f>
        <v>8.01606021065761</v>
      </c>
      <c r="D52" s="117" t="n">
        <f aca="false">D23*D51</f>
        <v>6.89031359332988</v>
      </c>
      <c r="E52" s="117" t="n">
        <f aca="false">E23*E51</f>
        <v>9.34648803113583</v>
      </c>
      <c r="F52" s="117" t="n">
        <f aca="false">F23*F51</f>
        <v>9.57891499012936</v>
      </c>
      <c r="G52" s="117" t="n">
        <f aca="false">G23*G51</f>
        <v>7.91318875681896</v>
      </c>
      <c r="H52" s="117" t="n">
        <f aca="false">H23*H51</f>
        <v>7.65321625961809</v>
      </c>
      <c r="I52" s="117" t="n">
        <f aca="false">I23*I51</f>
        <v>8.37890416169712</v>
      </c>
      <c r="J52" s="117" t="n">
        <f aca="false">J23*J51</f>
        <v>8.01606021065761</v>
      </c>
      <c r="K52" s="117" t="n">
        <f aca="false">K23*K51</f>
        <v>8.01606021065761</v>
      </c>
      <c r="L52" s="117" t="n">
        <f aca="false">L23*L51</f>
        <v>8.01606021065761</v>
      </c>
      <c r="M52" s="117" t="n">
        <f aca="false">M23*M51</f>
        <v>8.01606021065761</v>
      </c>
      <c r="N52" s="117" t="n">
        <f aca="false">N23*N51</f>
        <v>7.17112337852318</v>
      </c>
      <c r="O52" s="117" t="n">
        <f aca="false">O23*O51</f>
        <v>11.013726794053</v>
      </c>
      <c r="P52" s="117" t="n">
        <f aca="false">P23*P51</f>
        <v>7.55200968611954</v>
      </c>
      <c r="Q52" s="117" t="n">
        <f aca="false">Q23*Q51</f>
        <v>8.73335764229326</v>
      </c>
      <c r="R52" s="117" t="n">
        <f aca="false">R23*R51</f>
        <v>8.01606021065761</v>
      </c>
      <c r="S52" s="117" t="n">
        <f aca="false">S23*S51</f>
        <v>8.01606021065761</v>
      </c>
      <c r="T52" s="117" t="n">
        <f aca="false">T23*T51</f>
        <v>8.01606021065761</v>
      </c>
      <c r="U52" s="117" t="n">
        <f aca="false">U23*U51</f>
        <v>8.01606021065761</v>
      </c>
      <c r="V52" s="117" t="n">
        <f aca="false">V23*V51</f>
        <v>8.01606021065761</v>
      </c>
      <c r="W52" s="117" t="n">
        <f aca="false">W23*W51</f>
        <v>8.01606021065761</v>
      </c>
      <c r="X52" s="117" t="n">
        <f aca="false">X23*X51</f>
        <v>8.27917373682184</v>
      </c>
      <c r="Y52" s="117" t="n">
        <f aca="false">Y23*Y51</f>
        <v>7.66787990535758</v>
      </c>
    </row>
    <row r="53" customFormat="false" ht="15" hidden="false" customHeight="true" outlineLevel="0" collapsed="false">
      <c r="A53" s="19" t="s">
        <v>814</v>
      </c>
      <c r="B53" s="15" t="s">
        <v>787</v>
      </c>
      <c r="C53" s="117" t="n">
        <f aca="false">(C25*C50/(1-(1+C50)^(-Inputs!$E$24))+C26*C50/(1-(1+C50)^(-Inputs!$E$25))+C27*C50/(1-(1+C50)^(-Inputs!$E$26))+C28*C50/(1-(1+C50)^(-Inputs!$E$27)))*(1+C29)+C24*C50</f>
        <v>1.50187163616098</v>
      </c>
      <c r="D53" s="117" t="n">
        <f aca="false">(D25*D50/(1-(1+D50)^(-Inputs!$E$24))+D26*D50/(1-(1+D50)^(-Inputs!$E$25))+D27*D50/(1-(1+D50)^(-Inputs!$E$26))+D28*D50/(1-(1+D50)^(-Inputs!$E$27)))*(1+D29)+D24*D50</f>
        <v>1.50187163616098</v>
      </c>
      <c r="E53" s="117" t="n">
        <f aca="false">(E25*E50/(1-(1+E50)^(-Inputs!$E$24))+E26*E50/(1-(1+E50)^(-Inputs!$E$25))+E27*E50/(1-(1+E50)^(-Inputs!$E$26))+E28*E50/(1-(1+E50)^(-Inputs!$E$27)))*(1+E29)+E24*E50</f>
        <v>1.50187163616098</v>
      </c>
      <c r="F53" s="117" t="n">
        <f aca="false">(F25*F50/(1-(1+F50)^(-Inputs!$E$24))+F26*F50/(1-(1+F50)^(-Inputs!$E$25))+F27*F50/(1-(1+F50)^(-Inputs!$E$26))+F28*F50/(1-(1+F50)^(-Inputs!$E$27)))*(1+F29)+F24*F50</f>
        <v>1.50187163616098</v>
      </c>
      <c r="G53" s="117" t="n">
        <f aca="false">(G25*G50/(1-(1+G50)^(-Inputs!$E$24))+G26*G50/(1-(1+G50)^(-Inputs!$E$25))+G27*G50/(1-(1+G50)^(-Inputs!$E$26))+G28*G50/(1-(1+G50)^(-Inputs!$E$27)))*(1+G29)+G24*G50</f>
        <v>1.50187163616098</v>
      </c>
      <c r="H53" s="117" t="n">
        <f aca="false">(H25*H50/(1-(1+H50)^(-Inputs!$E$24))+H26*H50/(1-(1+H50)^(-Inputs!$E$25))+H27*H50/(1-(1+H50)^(-Inputs!$E$26))+H28*H50/(1-(1+H50)^(-Inputs!$E$27)))*(1+H29)+H24*H50</f>
        <v>1.50187163616098</v>
      </c>
      <c r="I53" s="117" t="n">
        <f aca="false">(I25*I50/(1-(1+I50)^(-Inputs!$E$24))+I26*I50/(1-(1+I50)^(-Inputs!$E$25))+I27*I50/(1-(1+I50)^(-Inputs!$E$26))+I28*I50/(1-(1+I50)^(-Inputs!$E$27)))*(1+I29)+I24*I50</f>
        <v>1.50187163616098</v>
      </c>
      <c r="J53" s="117" t="n">
        <f aca="false">(J25*J50/(1-(1+J50)^(-Inputs!$E$24))+J26*J50/(1-(1+J50)^(-Inputs!$E$25))+J27*J50/(1-(1+J50)^(-Inputs!$E$26))+J28*J50/(1-(1+J50)^(-Inputs!$E$27)))*(1+J29)+J24*J50</f>
        <v>1.42867695486666</v>
      </c>
      <c r="K53" s="117" t="n">
        <f aca="false">(K25*K50/(1-(1+K50)^(-Inputs!$E$24))+K26*K50/(1-(1+K50)^(-Inputs!$E$25))+K27*K50/(1-(1+K50)^(-Inputs!$E$26))+K28*K50/(1-(1+K50)^(-Inputs!$E$27)))*(1+K29)+K24*K50</f>
        <v>1.61166365810245</v>
      </c>
      <c r="L53" s="117" t="n">
        <f aca="false">(L25*L50/(1-(1+L50)^(-Inputs!$E$24))+L26*L50/(1-(1+L50)^(-Inputs!$E$25))+L27*L50/(1-(1+L50)^(-Inputs!$E$26))+L28*L50/(1-(1+L50)^(-Inputs!$E$27)))*(1+L29)+L24*L50</f>
        <v>1.40731663821908</v>
      </c>
      <c r="M53" s="117" t="n">
        <f aca="false">(M25*M50/(1-(1+M50)^(-Inputs!$E$24))+M26*M50/(1-(1+M50)^(-Inputs!$E$25))+M27*M50/(1-(1+M50)^(-Inputs!$E$26))+M28*M50/(1-(1+M50)^(-Inputs!$E$27)))*(1+M29)+M24*M50</f>
        <v>1.63695020464941</v>
      </c>
      <c r="N53" s="117" t="n">
        <f aca="false">(N25*N50/(1-(1+N50)^(-Inputs!$E$24))+N26*N50/(1-(1+N50)^(-Inputs!$E$25))+N27*N50/(1-(1+N50)^(-Inputs!$E$26))+N28*N50/(1-(1+N50)^(-Inputs!$E$27)))*(1+N29)+N24*N50</f>
        <v>1.50187163616098</v>
      </c>
      <c r="O53" s="117" t="n">
        <f aca="false">(O25*O50/(1-(1+O50)^(-Inputs!$E$24))+O26*O50/(1-(1+O50)^(-Inputs!$E$25))+O27*O50/(1-(1+O50)^(-Inputs!$E$26))+O28*O50/(1-(1+O50)^(-Inputs!$E$27)))*(1+O29)+O24*O50</f>
        <v>1.50187163616098</v>
      </c>
      <c r="P53" s="117" t="n">
        <f aca="false">(P25*P50/(1-(1+P50)^(-Inputs!$E$24))+P26*P50/(1-(1+P50)^(-Inputs!$E$25))+P27*P50/(1-(1+P50)^(-Inputs!$E$26))+P28*P50/(1-(1+P50)^(-Inputs!$E$27)))*(1+P29)+P24*P50</f>
        <v>1.30086926137482</v>
      </c>
      <c r="Q53" s="117" t="n">
        <f aca="false">(Q25*Q50/(1-(1+Q50)^(-Inputs!$E$24))+Q26*Q50/(1-(1+Q50)^(-Inputs!$E$25))+Q27*Q50/(1-(1+Q50)^(-Inputs!$E$26))+Q28*Q50/(1-(1+Q50)^(-Inputs!$E$27)))*(1+Q29)+Q24*Q50</f>
        <v>1.82125675978435</v>
      </c>
      <c r="R53" s="117" t="n">
        <f aca="false">(R25*R50/(1-(1+R50)^(-Inputs!$E$24))+R26*R50/(1-(1+R50)^(-Inputs!$E$25))+R27*R50/(1-(1+R50)^(-Inputs!$E$26))+R28*R50/(1-(1+R50)^(-Inputs!$E$27)))*(1+R29)+R24*R50</f>
        <v>1.50187163616098</v>
      </c>
      <c r="S53" s="117" t="n">
        <f aca="false">(S25*S50/(1-(1+S50)^(-Inputs!$E$24))+S26*S50/(1-(1+S50)^(-Inputs!$E$25))+S27*S50/(1-(1+S50)^(-Inputs!$E$26))+S28*S50/(1-(1+S50)^(-Inputs!$E$27)))*(1+S29)+S24*S50</f>
        <v>1.50187163616098</v>
      </c>
      <c r="T53" s="117" t="n">
        <f aca="false">(T25*T50/(1-(1+T50)^(-Inputs!$E$24))+T26*T50/(1-(1+T50)^(-Inputs!$E$25))+T27*T50/(1-(1+T50)^(-Inputs!$E$26))+T28*T50/(1-(1+T50)^(-Inputs!$E$27)))*(1+T29)+T24*T50</f>
        <v>1.50187163616098</v>
      </c>
      <c r="U53" s="117" t="n">
        <f aca="false">(U25*U50/(1-(1+U50)^(-Inputs!$E$24))+U26*U50/(1-(1+U50)^(-Inputs!$E$25))+U27*U50/(1-(1+U50)^(-Inputs!$E$26))+U28*U50/(1-(1+U50)^(-Inputs!$E$27)))*(1+U29)+U24*U50</f>
        <v>1.50187163616098</v>
      </c>
      <c r="V53" s="117" t="n">
        <f aca="false">(V25*V50/(1-(1+V50)^(-Inputs!$E$24))+V26*V50/(1-(1+V50)^(-Inputs!$E$25))+V27*V50/(1-(1+V50)^(-Inputs!$E$26))+V28*V50/(1-(1+V50)^(-Inputs!$E$27)))*(1+V29)+V24*V50</f>
        <v>1.50187163616098</v>
      </c>
      <c r="W53" s="117" t="n">
        <f aca="false">(W25*W50/(1-(1+W50)^(-Inputs!$E$24))+W26*W50/(1-(1+W50)^(-Inputs!$E$25))+W27*W50/(1-(1+W50)^(-Inputs!$E$26))+W28*W50/(1-(1+W50)^(-Inputs!$E$27)))*(1+W29)+W24*W50</f>
        <v>1.50187163616098</v>
      </c>
      <c r="X53" s="117" t="n">
        <f aca="false">(X25*X50/(1-(1+X50)^(-Inputs!$E$24))+X26*X50/(1-(1+X50)^(-Inputs!$E$25))+X27*X50/(1-(1+X50)^(-Inputs!$E$26))+X28*X50/(1-(1+X50)^(-Inputs!$E$27)))*(1+X29)+X24*X50</f>
        <v>1.50187163616098</v>
      </c>
      <c r="Y53" s="117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815</v>
      </c>
      <c r="B54" s="15" t="s">
        <v>787</v>
      </c>
      <c r="C54" s="118" t="n">
        <f aca="false">C52+C53+C47</f>
        <v>12.0543709668186</v>
      </c>
      <c r="D54" s="118" t="n">
        <f aca="false">D52+D53+D47</f>
        <v>10.7570221494909</v>
      </c>
      <c r="E54" s="118" t="n">
        <f aca="false">E52+E53+E47</f>
        <v>13.5876013872968</v>
      </c>
      <c r="F54" s="118" t="n">
        <f aca="false">F52+F53+F47</f>
        <v>13.8554581462903</v>
      </c>
      <c r="G54" s="118" t="n">
        <f aca="false">G52+G53+G47</f>
        <v>11.9358183929799</v>
      </c>
      <c r="H54" s="118" t="n">
        <f aca="false">H52+H53+H47</f>
        <v>11.6362172157791</v>
      </c>
      <c r="I54" s="118" t="n">
        <f aca="false">I52+I53+I47</f>
        <v>12.4725247178581</v>
      </c>
      <c r="J54" s="118" t="n">
        <f aca="false">J52+J53+J47</f>
        <v>11.9639262855243</v>
      </c>
      <c r="K54" s="118" t="n">
        <f aca="false">K52+K53+K47</f>
        <v>12.1900379887601</v>
      </c>
      <c r="L54" s="118" t="n">
        <f aca="false">L52+L53+L47</f>
        <v>11.9396909688767</v>
      </c>
      <c r="M54" s="118" t="n">
        <f aca="false">M52+M53+M47</f>
        <v>12.218199535307</v>
      </c>
      <c r="N54" s="118" t="n">
        <f aca="false">N52+N53+N47</f>
        <v>11.2094341346842</v>
      </c>
      <c r="O54" s="118" t="n">
        <f aca="false">O52+O53+O47</f>
        <v>15.052037550214</v>
      </c>
      <c r="P54" s="118" t="n">
        <f aca="false">P52+P53+P47</f>
        <v>11.3893180674944</v>
      </c>
      <c r="Q54" s="118" t="n">
        <f aca="false">Q52+Q53+Q47</f>
        <v>13.0910535220776</v>
      </c>
      <c r="R54" s="118" t="n">
        <f aca="false">R52+R53+R47</f>
        <v>11.8861789668186</v>
      </c>
      <c r="S54" s="118" t="n">
        <f aca="false">S52+S53+S47</f>
        <v>12.2225629668186</v>
      </c>
      <c r="T54" s="118" t="n">
        <f aca="false">T52+T53+T47</f>
        <v>11.9983069668186</v>
      </c>
      <c r="U54" s="118" t="n">
        <f aca="false">U52+U53+U47</f>
        <v>12.1104349668186</v>
      </c>
      <c r="V54" s="118" t="n">
        <f aca="false">V52+V53+V47</f>
        <v>11.9702749668186</v>
      </c>
      <c r="W54" s="118" t="n">
        <f aca="false">W52+W53+W47</f>
        <v>12.1384669668186</v>
      </c>
      <c r="X54" s="118" t="n">
        <f aca="false">X52+X53+X47</f>
        <v>12.3575919729828</v>
      </c>
      <c r="Y54" s="118" t="n">
        <f aca="false">Y52+Y53+Y47</f>
        <v>11.6531161015186</v>
      </c>
    </row>
    <row r="55" customFormat="false" ht="15" hidden="false" customHeight="true" outlineLevel="0" collapsed="false">
      <c r="A55" s="24" t="s">
        <v>816</v>
      </c>
      <c r="B55" s="13"/>
      <c r="C55" s="13"/>
    </row>
    <row r="56" customFormat="false" ht="15" hidden="false" customHeight="true" outlineLevel="0" collapsed="false">
      <c r="A56" s="19" t="s">
        <v>817</v>
      </c>
      <c r="B56" s="15" t="s">
        <v>760</v>
      </c>
      <c r="C56" s="117" t="n">
        <f aca="false">C48*1000000000/(C13*8760)</f>
        <v>3.51747354574866</v>
      </c>
      <c r="D56" s="117" t="n">
        <f aca="false">D48*1000000000/(D13*8760)</f>
        <v>3.13058765872008</v>
      </c>
      <c r="E56" s="117" t="n">
        <f aca="false">E48*1000000000/(E13*8760)</f>
        <v>3.9747023213279</v>
      </c>
      <c r="F56" s="117" t="n">
        <f aca="false">F48*1000000000/(F13*8760)</f>
        <v>3.393052585846</v>
      </c>
      <c r="G56" s="117" t="n">
        <f aca="false">G48*1000000000/(G13*8760)</f>
        <v>3.52738721883985</v>
      </c>
      <c r="H56" s="117" t="n">
        <f aca="false">H48*1000000000/(H13*8760)</f>
        <v>3.39277478877251</v>
      </c>
      <c r="I56" s="117" t="n">
        <f aca="false">I48*1000000000/(I13*8760)</f>
        <v>3.64217230272482</v>
      </c>
      <c r="J56" s="117" t="n">
        <f aca="false">J48*1000000000/(J13*8760)</f>
        <v>3.50172429689197</v>
      </c>
      <c r="K56" s="117" t="n">
        <f aca="false">K48*1000000000/(K13*8760)</f>
        <v>3.54109741903371</v>
      </c>
      <c r="L56" s="117" t="n">
        <f aca="false">L48*1000000000/(L13*8760)</f>
        <v>3.49384967246362</v>
      </c>
      <c r="M56" s="117" t="n">
        <f aca="false">M48*1000000000/(M13*8760)</f>
        <v>3.55122193615587</v>
      </c>
      <c r="N56" s="117" t="n">
        <f aca="false">N48*1000000000/(N13*8760)</f>
        <v>3.19222167940091</v>
      </c>
      <c r="O56" s="117" t="n">
        <f aca="false">O48*1000000000/(O13*8760)</f>
        <v>4.65585507796581</v>
      </c>
      <c r="P56" s="117" t="n">
        <f aca="false">P48*1000000000/(P13*8760)</f>
        <v>3.51747354574866</v>
      </c>
      <c r="Q56" s="117" t="n">
        <f aca="false">Q48*1000000000/(Q13*8760)</f>
        <v>3.51747354574866</v>
      </c>
      <c r="R56" s="117" t="n">
        <f aca="false">R48*1000000000/(R13*8760)</f>
        <v>3.45166242366903</v>
      </c>
      <c r="S56" s="117" t="n">
        <f aca="false">S48*1000000000/(S13*8760)</f>
        <v>3.58328466782829</v>
      </c>
      <c r="T56" s="117" t="n">
        <f aca="false">T48*1000000000/(T13*8760)</f>
        <v>3.49553650505545</v>
      </c>
      <c r="U56" s="117" t="n">
        <f aca="false">U48*1000000000/(U13*8760)</f>
        <v>3.53941058644187</v>
      </c>
      <c r="V56" s="117" t="n">
        <f aca="false">V48*1000000000/(V13*8760)</f>
        <v>3.48456798470885</v>
      </c>
      <c r="W56" s="117" t="n">
        <f aca="false">W48*1000000000/(W13*8760)</f>
        <v>3.55037910678848</v>
      </c>
      <c r="X56" s="117" t="n">
        <f aca="false">X48*1000000000/(X13*8760)</f>
        <v>3.49323830043799</v>
      </c>
      <c r="Y56" s="117" t="n">
        <f aca="false">Y48*1000000000/(Y13*8760)</f>
        <v>3.55210096624656</v>
      </c>
    </row>
    <row r="57" customFormat="false" ht="15" hidden="false" customHeight="true" outlineLevel="0" collapsed="false">
      <c r="A57" s="19" t="s">
        <v>818</v>
      </c>
      <c r="B57" s="15" t="s">
        <v>760</v>
      </c>
      <c r="C57" s="118" t="n">
        <f aca="false">C54*1000000000/(C13*8760)</f>
        <v>4.71670281161092</v>
      </c>
      <c r="D57" s="118" t="n">
        <f aca="false">D54*1000000000/(D13*8760)</f>
        <v>4.20906878979644</v>
      </c>
      <c r="E57" s="118" t="n">
        <f aca="false">E54*1000000000/(E13*8760)</f>
        <v>5.31663392830075</v>
      </c>
      <c r="F57" s="118" t="n">
        <f aca="false">F54*1000000000/(F13*8760)</f>
        <v>4.53690309436827</v>
      </c>
      <c r="G57" s="118" t="n">
        <f aca="false">G54*1000000000/(G13*8760)</f>
        <v>4.73102897996732</v>
      </c>
      <c r="H57" s="118" t="n">
        <f aca="false">H54*1000000000/(H13*8760)</f>
        <v>4.55308523433187</v>
      </c>
      <c r="I57" s="118" t="n">
        <f aca="false">I54*1000000000/(I13*8760)</f>
        <v>4.88032038888996</v>
      </c>
      <c r="J57" s="118" t="n">
        <f aca="false">J54*1000000000/(J13*8760)</f>
        <v>4.68131310245642</v>
      </c>
      <c r="K57" s="118" t="n">
        <f aca="false">K54*1000000000/(K13*8760)</f>
        <v>4.76978737534267</v>
      </c>
      <c r="L57" s="118" t="n">
        <f aca="false">L54*1000000000/(L13*8760)</f>
        <v>4.67183016995943</v>
      </c>
      <c r="M57" s="118" t="n">
        <f aca="false">M54*1000000000/(M13*8760)</f>
        <v>4.78080658539875</v>
      </c>
      <c r="N57" s="118" t="n">
        <f aca="false">N54*1000000000/(N13*8760)</f>
        <v>4.38609112372341</v>
      </c>
      <c r="O57" s="118" t="n">
        <f aca="false">O54*1000000000/(O13*8760)</f>
        <v>5.88964683673616</v>
      </c>
      <c r="P57" s="118" t="n">
        <f aca="false">P54*1000000000/(P13*8760)</f>
        <v>4.45647713175195</v>
      </c>
      <c r="Q57" s="118" t="n">
        <f aca="false">Q54*1000000000/(Q13*8760)</f>
        <v>5.1223418562859</v>
      </c>
      <c r="R57" s="118" t="n">
        <f aca="false">R54*1000000000/(R13*8760)</f>
        <v>4.65089168953128</v>
      </c>
      <c r="S57" s="118" t="n">
        <f aca="false">S54*1000000000/(S13*8760)</f>
        <v>4.78251393369055</v>
      </c>
      <c r="T57" s="118" t="n">
        <f aca="false">T54*1000000000/(T13*8760)</f>
        <v>4.69476577091771</v>
      </c>
      <c r="U57" s="118" t="n">
        <f aca="false">U54*1000000000/(U13*8760)</f>
        <v>4.73863985230413</v>
      </c>
      <c r="V57" s="118" t="n">
        <f aca="false">V54*1000000000/(V13*8760)</f>
        <v>4.6837972505711</v>
      </c>
      <c r="W57" s="118" t="n">
        <f aca="false">W54*1000000000/(W13*8760)</f>
        <v>4.74960837265073</v>
      </c>
      <c r="X57" s="118" t="n">
        <f aca="false">X54*1000000000/(X13*8760)</f>
        <v>4.68168065571714</v>
      </c>
      <c r="Y57" s="118" t="n">
        <f aca="false">Y54*1000000000/(Y13*8760)</f>
        <v>4.76674261534844</v>
      </c>
    </row>
    <row r="58" customFormat="false" ht="15" hidden="false" customHeight="true" outlineLevel="0" collapsed="false">
      <c r="A58" s="19" t="s">
        <v>819</v>
      </c>
      <c r="B58" s="15" t="s">
        <v>820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821</v>
      </c>
      <c r="B59" s="15" t="s">
        <v>822</v>
      </c>
      <c r="C59" s="117" t="n">
        <f aca="false">C7*C40*C14*8760/1000000</f>
        <v>8.4096</v>
      </c>
      <c r="D59" s="117" t="n">
        <f aca="false">D7*D40*D14*8760/1000000</f>
        <v>8.4096</v>
      </c>
      <c r="E59" s="117" t="n">
        <f aca="false">E7*E40*E14*8760/1000000</f>
        <v>8.4096</v>
      </c>
      <c r="F59" s="117" t="n">
        <f aca="false">F7*F40*F14*8760/1000000</f>
        <v>8.4096</v>
      </c>
      <c r="G59" s="117" t="n">
        <f aca="false">G7*G40*G14*8760/1000000</f>
        <v>8.4096</v>
      </c>
      <c r="H59" s="117" t="n">
        <f aca="false">H7*H40*H14*8760/1000000</f>
        <v>8.4096</v>
      </c>
      <c r="I59" s="117" t="n">
        <f aca="false">I7*I40*I14*8760/1000000</f>
        <v>8.4096</v>
      </c>
      <c r="J59" s="117" t="n">
        <f aca="false">J7*J40*J14*8760/1000000</f>
        <v>8.4096</v>
      </c>
      <c r="K59" s="117" t="n">
        <f aca="false">K7*K40*K14*8760/1000000</f>
        <v>8.4096</v>
      </c>
      <c r="L59" s="117" t="n">
        <f aca="false">L7*L40*L14*8760/1000000</f>
        <v>8.4096</v>
      </c>
      <c r="M59" s="117" t="n">
        <f aca="false">M7*M40*M14*8760/1000000</f>
        <v>8.4096</v>
      </c>
      <c r="N59" s="117" t="n">
        <f aca="false">N7*N40*N14*8760/1000000</f>
        <v>8.4096</v>
      </c>
      <c r="O59" s="117" t="n">
        <f aca="false">O7*O40*O14*8760/1000000</f>
        <v>8.4096</v>
      </c>
      <c r="P59" s="117" t="n">
        <f aca="false">P7*P40*P14*8760/1000000</f>
        <v>8.4096</v>
      </c>
      <c r="Q59" s="117" t="n">
        <f aca="false">Q7*Q40*Q14*8760/1000000</f>
        <v>8.4096</v>
      </c>
      <c r="R59" s="117" t="n">
        <f aca="false">R7*R40*R14*8760/1000000</f>
        <v>8.4096</v>
      </c>
      <c r="S59" s="117" t="n">
        <f aca="false">S7*S40*S14*8760/1000000</f>
        <v>8.4096</v>
      </c>
      <c r="T59" s="117" t="n">
        <f aca="false">T7*T40*T14*8760/1000000</f>
        <v>7.7088</v>
      </c>
      <c r="U59" s="117" t="n">
        <f aca="false">U7*U40*U14*8760/1000000</f>
        <v>9.1104</v>
      </c>
      <c r="V59" s="117" t="n">
        <f aca="false">V7*V40*V14*8760/1000000</f>
        <v>7.3584</v>
      </c>
      <c r="W59" s="117" t="n">
        <f aca="false">W7*W40*W14*8760/1000000</f>
        <v>9.4608</v>
      </c>
      <c r="X59" s="117" t="n">
        <f aca="false">X7*X40*X14*8760/1000000</f>
        <v>8.4096</v>
      </c>
      <c r="Y59" s="117" t="n">
        <f aca="false">Y7*Y40*Y14*8760/1000000</f>
        <v>8.4096</v>
      </c>
    </row>
    <row r="60" customFormat="false" ht="15" hidden="false" customHeight="true" outlineLevel="0" collapsed="false">
      <c r="A60" s="19" t="s">
        <v>823</v>
      </c>
      <c r="B60" s="15" t="s">
        <v>57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824</v>
      </c>
      <c r="B61" s="15" t="s">
        <v>57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1168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5" t="s">
        <v>1169</v>
      </c>
      <c r="B65" s="25"/>
      <c r="C65" s="25" t="s">
        <v>1170</v>
      </c>
      <c r="D65" s="25" t="s">
        <v>1171</v>
      </c>
      <c r="E65" s="25" t="s">
        <v>1172</v>
      </c>
      <c r="F65" s="25" t="s">
        <v>1173</v>
      </c>
      <c r="G65" s="25" t="s">
        <v>1174</v>
      </c>
      <c r="H65" s="25" t="s">
        <v>1175</v>
      </c>
      <c r="I65" s="160" t="s">
        <v>1176</v>
      </c>
      <c r="J65" s="160" t="s">
        <v>1177</v>
      </c>
    </row>
    <row r="66" customFormat="false" ht="15" hidden="false" customHeight="true" outlineLevel="0" collapsed="false">
      <c r="A66" s="19" t="s">
        <v>43</v>
      </c>
      <c r="C66" s="119" t="n">
        <f aca="false">C32</f>
        <v>47.582032</v>
      </c>
      <c r="F66" s="117" t="n">
        <f aca="false">C54</f>
        <v>12.0543709668186</v>
      </c>
      <c r="I66" s="117" t="n">
        <f aca="false">C57</f>
        <v>4.71670281161092</v>
      </c>
    </row>
    <row r="67" customFormat="false" ht="15" hidden="false" customHeight="true" outlineLevel="0" collapsed="false">
      <c r="A67" s="19" t="s">
        <v>1178</v>
      </c>
      <c r="C67" s="119" t="n">
        <f aca="false">D32</f>
        <v>42.679112</v>
      </c>
      <c r="D67" s="119" t="n">
        <f aca="false">E32</f>
        <v>53.376392</v>
      </c>
      <c r="E67" s="161" t="n">
        <f aca="false">ABS(D67-C67)</f>
        <v>10.69728</v>
      </c>
      <c r="F67" s="117" t="n">
        <f aca="false">D54</f>
        <v>10.7570221494909</v>
      </c>
      <c r="G67" s="117" t="n">
        <f aca="false">E54</f>
        <v>13.5876013872968</v>
      </c>
      <c r="H67" s="118" t="n">
        <f aca="false">ABS(G67-F67)</f>
        <v>2.83057923780595</v>
      </c>
      <c r="I67" s="117" t="n">
        <f aca="false">D57</f>
        <v>4.20906878979644</v>
      </c>
      <c r="J67" s="117" t="n">
        <f aca="false">E57</f>
        <v>5.31663392830075</v>
      </c>
    </row>
    <row r="68" customFormat="false" ht="15" hidden="false" customHeight="true" outlineLevel="0" collapsed="false">
      <c r="A68" s="19" t="s">
        <v>1179</v>
      </c>
      <c r="C68" s="119" t="n">
        <f aca="false">F32</f>
        <v>54.388672</v>
      </c>
      <c r="D68" s="119" t="n">
        <f aca="false">G32</f>
        <v>47.134</v>
      </c>
      <c r="E68" s="161" t="n">
        <f aca="false">ABS(D68-C68)</f>
        <v>7.25467200000001</v>
      </c>
      <c r="F68" s="117" t="n">
        <f aca="false">F54</f>
        <v>13.8554581462903</v>
      </c>
      <c r="G68" s="117" t="n">
        <f aca="false">G54</f>
        <v>11.9358183929799</v>
      </c>
      <c r="H68" s="118" t="n">
        <f aca="false">ABS(G68-F68)</f>
        <v>1.9196397533104</v>
      </c>
      <c r="I68" s="117" t="n">
        <f aca="false">F57</f>
        <v>4.53690309436827</v>
      </c>
      <c r="J68" s="117" t="n">
        <f aca="false">G57</f>
        <v>4.73102897996732</v>
      </c>
    </row>
    <row r="69" customFormat="false" ht="15" hidden="false" customHeight="true" outlineLevel="0" collapsed="false">
      <c r="A69" s="19" t="s">
        <v>1180</v>
      </c>
      <c r="C69" s="119" t="n">
        <f aca="false">H32</f>
        <v>46.001752</v>
      </c>
      <c r="D69" s="119" t="n">
        <f aca="false">I32</f>
        <v>49.162312</v>
      </c>
      <c r="E69" s="161" t="n">
        <f aca="false">ABS(D69-C69)</f>
        <v>3.16056</v>
      </c>
      <c r="F69" s="117" t="n">
        <f aca="false">H54</f>
        <v>11.6362172157791</v>
      </c>
      <c r="G69" s="117" t="n">
        <f aca="false">I54</f>
        <v>12.4725247178581</v>
      </c>
      <c r="H69" s="118" t="n">
        <f aca="false">ABS(G69-F69)</f>
        <v>0.836307502079034</v>
      </c>
      <c r="I69" s="117" t="n">
        <f aca="false">H57</f>
        <v>4.55308523433187</v>
      </c>
      <c r="J69" s="117" t="n">
        <f aca="false">I57</f>
        <v>4.88032038888996</v>
      </c>
    </row>
    <row r="70" customFormat="false" ht="15" hidden="false" customHeight="true" outlineLevel="0" collapsed="false">
      <c r="A70" s="19" t="s">
        <v>1181</v>
      </c>
      <c r="C70" s="119" t="n">
        <f aca="false">J32</f>
        <v>46.892032</v>
      </c>
      <c r="D70" s="119" t="n">
        <f aca="false">K32</f>
        <v>48.617032</v>
      </c>
      <c r="E70" s="161" t="n">
        <f aca="false">ABS(D70-C70)</f>
        <v>1.72499999999999</v>
      </c>
      <c r="F70" s="117" t="n">
        <f aca="false">J54</f>
        <v>11.9639262855243</v>
      </c>
      <c r="G70" s="117" t="n">
        <f aca="false">K54</f>
        <v>12.1900379887601</v>
      </c>
      <c r="H70" s="118" t="n">
        <f aca="false">ABS(G70-F70)</f>
        <v>0.226111703235793</v>
      </c>
      <c r="I70" s="117" t="n">
        <f aca="false">J57</f>
        <v>4.68131310245642</v>
      </c>
      <c r="J70" s="117" t="n">
        <f aca="false">K57</f>
        <v>4.76978737534267</v>
      </c>
    </row>
    <row r="71" customFormat="false" ht="15" hidden="false" customHeight="true" outlineLevel="0" collapsed="false">
      <c r="A71" s="19" t="s">
        <v>1182</v>
      </c>
      <c r="C71" s="119" t="n">
        <f aca="false">L32</f>
        <v>46.777032</v>
      </c>
      <c r="D71" s="119" t="n">
        <f aca="false">M32</f>
        <v>48.732032</v>
      </c>
      <c r="E71" s="161" t="n">
        <f aca="false">ABS(D71-C71)</f>
        <v>1.955</v>
      </c>
      <c r="F71" s="117" t="n">
        <f aca="false">L54</f>
        <v>11.9396909688767</v>
      </c>
      <c r="G71" s="117" t="n">
        <f aca="false">M54</f>
        <v>12.218199535307</v>
      </c>
      <c r="H71" s="118" t="n">
        <f aca="false">ABS(G71-F71)</f>
        <v>0.278508566430327</v>
      </c>
      <c r="I71" s="117" t="n">
        <f aca="false">L57</f>
        <v>4.67183016995943</v>
      </c>
      <c r="J71" s="117" t="n">
        <f aca="false">M57</f>
        <v>4.78080658539875</v>
      </c>
    </row>
    <row r="72" customFormat="false" ht="15" hidden="false" customHeight="true" outlineLevel="0" collapsed="false">
      <c r="A72" s="14" t="s">
        <v>1183</v>
      </c>
      <c r="C72" s="119" t="n">
        <f aca="false">N32</f>
        <v>47.582032</v>
      </c>
      <c r="D72" s="119" t="n">
        <f aca="false">O32</f>
        <v>47.582032</v>
      </c>
      <c r="E72" s="161" t="n">
        <f aca="false">ABS(D72-C72)</f>
        <v>0</v>
      </c>
      <c r="F72" s="117" t="n">
        <f aca="false">N54</f>
        <v>11.2094341346842</v>
      </c>
      <c r="G72" s="117" t="n">
        <f aca="false">O54</f>
        <v>15.052037550214</v>
      </c>
      <c r="H72" s="118" t="n">
        <f aca="false">ABS(G72-F72)</f>
        <v>3.84260341552982</v>
      </c>
      <c r="I72" s="117" t="n">
        <f aca="false">N57</f>
        <v>4.38609112372341</v>
      </c>
      <c r="J72" s="117" t="n">
        <f aca="false">O57</f>
        <v>5.88964683673616</v>
      </c>
    </row>
    <row r="73" customFormat="false" ht="15" hidden="false" customHeight="true" outlineLevel="0" collapsed="false">
      <c r="A73" s="14" t="s">
        <v>811</v>
      </c>
      <c r="C73" s="119" t="n">
        <f aca="false">P32</f>
        <v>47.582032</v>
      </c>
      <c r="D73" s="119" t="n">
        <f aca="false">Q32</f>
        <v>47.582032</v>
      </c>
      <c r="E73" s="161" t="n">
        <f aca="false">ABS(D73-C73)</f>
        <v>0</v>
      </c>
      <c r="F73" s="117" t="n">
        <f aca="false">P54</f>
        <v>11.3893180674944</v>
      </c>
      <c r="G73" s="117" t="n">
        <f aca="false">Q54</f>
        <v>13.0910535220776</v>
      </c>
      <c r="H73" s="118" t="n">
        <f aca="false">ABS(G73-F73)</f>
        <v>1.70173545458324</v>
      </c>
      <c r="I73" s="117" t="n">
        <f aca="false">P57</f>
        <v>4.45647713175195</v>
      </c>
      <c r="J73" s="117" t="n">
        <f aca="false">Q57</f>
        <v>5.1223418562859</v>
      </c>
    </row>
    <row r="74" customFormat="false" ht="15" hidden="false" customHeight="true" outlineLevel="0" collapsed="false">
      <c r="A74" s="19" t="s">
        <v>66</v>
      </c>
      <c r="C74" s="119" t="n">
        <f aca="false">R32</f>
        <v>47.582032</v>
      </c>
      <c r="D74" s="119" t="n">
        <f aca="false">S32</f>
        <v>47.582032</v>
      </c>
      <c r="E74" s="161" t="n">
        <f aca="false">ABS(D74-C74)</f>
        <v>0</v>
      </c>
      <c r="F74" s="117" t="n">
        <f aca="false">R54</f>
        <v>11.8861789668186</v>
      </c>
      <c r="G74" s="117" t="n">
        <f aca="false">S54</f>
        <v>12.2225629668186</v>
      </c>
      <c r="H74" s="118" t="n">
        <f aca="false">ABS(G74-F74)</f>
        <v>0.336384000000001</v>
      </c>
      <c r="I74" s="117" t="n">
        <f aca="false">R57</f>
        <v>4.65089168953128</v>
      </c>
      <c r="J74" s="117" t="n">
        <f aca="false">S57</f>
        <v>4.78251393369055</v>
      </c>
    </row>
    <row r="75" customFormat="false" ht="15" hidden="false" customHeight="true" outlineLevel="0" collapsed="false">
      <c r="A75" s="14" t="s">
        <v>60</v>
      </c>
      <c r="C75" s="119" t="n">
        <f aca="false">T32</f>
        <v>47.582032</v>
      </c>
      <c r="D75" s="119" t="n">
        <f aca="false">U32</f>
        <v>47.582032</v>
      </c>
      <c r="E75" s="161" t="n">
        <f aca="false">ABS(D75-C75)</f>
        <v>0</v>
      </c>
      <c r="F75" s="117" t="n">
        <f aca="false">T54</f>
        <v>11.9983069668186</v>
      </c>
      <c r="G75" s="117" t="n">
        <f aca="false">U54</f>
        <v>12.1104349668186</v>
      </c>
      <c r="H75" s="118" t="n">
        <f aca="false">ABS(G75-F75)</f>
        <v>0.112128</v>
      </c>
      <c r="I75" s="117" t="n">
        <f aca="false">T57</f>
        <v>4.69476577091771</v>
      </c>
      <c r="J75" s="117" t="n">
        <f aca="false">U57</f>
        <v>4.73863985230413</v>
      </c>
    </row>
    <row r="76" customFormat="false" ht="15" hidden="false" customHeight="true" outlineLevel="0" collapsed="false">
      <c r="A76" s="19" t="s">
        <v>1184</v>
      </c>
      <c r="C76" s="119" t="n">
        <f aca="false">V32</f>
        <v>47.582032</v>
      </c>
      <c r="D76" s="119" t="n">
        <f aca="false">W32</f>
        <v>47.582032</v>
      </c>
      <c r="E76" s="161" t="n">
        <f aca="false">ABS(D76-C76)</f>
        <v>0</v>
      </c>
      <c r="F76" s="117" t="n">
        <f aca="false">V54</f>
        <v>11.9702749668186</v>
      </c>
      <c r="G76" s="117" t="n">
        <f aca="false">W54</f>
        <v>12.1384669668186</v>
      </c>
      <c r="H76" s="118" t="n">
        <f aca="false">ABS(G76-F76)</f>
        <v>0.168191999999999</v>
      </c>
      <c r="I76" s="117" t="n">
        <f aca="false">V57</f>
        <v>4.6837972505711</v>
      </c>
      <c r="J76" s="117" t="n">
        <f aca="false">W57</f>
        <v>4.74960837265073</v>
      </c>
    </row>
    <row r="77" customFormat="false" ht="15" hidden="false" customHeight="true" outlineLevel="0" collapsed="false">
      <c r="A77" s="19" t="s">
        <v>1185</v>
      </c>
      <c r="C77" s="119" t="n">
        <f aca="false">X32</f>
        <v>48.72796</v>
      </c>
      <c r="D77" s="119" t="n">
        <f aca="false">Y32</f>
        <v>46.065616</v>
      </c>
      <c r="E77" s="161" t="n">
        <f aca="false">ABS(D77-C77)</f>
        <v>2.662344</v>
      </c>
      <c r="F77" s="117" t="n">
        <f aca="false">X54</f>
        <v>12.3575919729828</v>
      </c>
      <c r="G77" s="117" t="n">
        <f aca="false">Y54</f>
        <v>11.6531161015186</v>
      </c>
      <c r="H77" s="118" t="n">
        <f aca="false">ABS(G77-F77)</f>
        <v>0.704475871464265</v>
      </c>
      <c r="I77" s="117" t="n">
        <f aca="false">X57</f>
        <v>4.68168065571714</v>
      </c>
      <c r="J77" s="117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1186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298</v>
      </c>
      <c r="B3" s="11" t="s">
        <v>1187</v>
      </c>
      <c r="C3" s="11" t="s">
        <v>1188</v>
      </c>
      <c r="D3" s="11" t="s">
        <v>41</v>
      </c>
      <c r="E3" s="11" t="s">
        <v>457</v>
      </c>
      <c r="F3" s="11" t="s">
        <v>379</v>
      </c>
    </row>
    <row r="4" customFormat="false" ht="15" hidden="false" customHeight="true" outlineLevel="0" collapsed="false">
      <c r="A4" s="14" t="s">
        <v>1189</v>
      </c>
      <c r="B4" s="138" t="n">
        <f aca="false">DC_Cost!M33</f>
        <v>47.582032</v>
      </c>
      <c r="C4" s="162" t="s">
        <v>1190</v>
      </c>
      <c r="D4" s="15" t="s">
        <v>1191</v>
      </c>
      <c r="E4" s="19" t="str">
        <f aca="false">IF(AND(B4&gt;=50,B4&lt;=60),"落在區間",IF(B4&lt;50,"低於參照","高於參照"))</f>
        <v>低於參照</v>
      </c>
      <c r="F4" s="18" t="s">
        <v>1192</v>
      </c>
    </row>
    <row r="5" customFormat="false" ht="15" hidden="false" customHeight="true" outlineLevel="0" collapsed="false">
      <c r="A5" s="14" t="s">
        <v>1193</v>
      </c>
      <c r="B5" s="138" t="n">
        <f aca="false">DC_Cost!M19</f>
        <v>31.6056</v>
      </c>
      <c r="C5" s="163" t="n">
        <v>35</v>
      </c>
      <c r="D5" s="15" t="s">
        <v>1191</v>
      </c>
      <c r="E5" s="19" t="str">
        <f aca="false">IF(ABS(B5-C5)/C5&lt;=0.2,"±20% 內","差距 &gt;20%")</f>
        <v>±20% 內</v>
      </c>
      <c r="F5" s="18" t="s">
        <v>1194</v>
      </c>
    </row>
    <row r="6" customFormat="false" ht="15" hidden="false" customHeight="true" outlineLevel="0" collapsed="false">
      <c r="A6" s="19" t="s">
        <v>801</v>
      </c>
      <c r="B6" s="138" t="n">
        <f aca="false">DC_Cost!M36</f>
        <v>12.67</v>
      </c>
      <c r="C6" s="162" t="s">
        <v>1195</v>
      </c>
      <c r="D6" s="15" t="s">
        <v>78</v>
      </c>
      <c r="E6" s="19" t="str">
        <f aca="false">IF(AND(B6&gt;=11.3*1.07*0.9,B6&lt;=11.3*1.1*1.3),"合理區間","需檢查")</f>
        <v>合理區間</v>
      </c>
      <c r="F6" s="6" t="s">
        <v>1196</v>
      </c>
    </row>
    <row r="7" customFormat="false" ht="15" hidden="false" customHeight="true" outlineLevel="0" collapsed="false">
      <c r="A7" s="14" t="s">
        <v>1197</v>
      </c>
      <c r="B7" s="138" t="n">
        <f aca="false">DC_Cost!G58</f>
        <v>2.07676472784428</v>
      </c>
      <c r="C7" s="163" t="n">
        <v>2.21</v>
      </c>
      <c r="D7" s="15" t="s">
        <v>760</v>
      </c>
      <c r="E7" s="19" t="str">
        <f aca="false">IF(B7&gt;C7,"高於參照（參照假設未知）","低於參照")</f>
        <v>低於參照</v>
      </c>
      <c r="F7" s="6" t="s">
        <v>1198</v>
      </c>
    </row>
    <row r="8" customFormat="false" ht="15" hidden="false" customHeight="true" outlineLevel="0" collapsed="false">
      <c r="A8" s="14" t="s">
        <v>1199</v>
      </c>
      <c r="B8" s="138" t="n">
        <f aca="false">DC_Cost!J58</f>
        <v>2.98751288214055</v>
      </c>
      <c r="C8" s="163" t="n">
        <v>2.65</v>
      </c>
      <c r="D8" s="15" t="s">
        <v>760</v>
      </c>
      <c r="E8" s="19" t="str">
        <f aca="false">IF(B8&gt;C8,"高於參照（參照假設未知）","低於參照")</f>
        <v>高於參照（參照假設未知）</v>
      </c>
      <c r="F8" s="18" t="s">
        <v>83</v>
      </c>
    </row>
    <row r="9" customFormat="false" ht="15" hidden="false" customHeight="true" outlineLevel="0" collapsed="false">
      <c r="A9" s="14" t="s">
        <v>1200</v>
      </c>
      <c r="B9" s="138" t="n">
        <f aca="false">DC_Cost!G58</f>
        <v>2.07676472784428</v>
      </c>
      <c r="C9" s="163" t="n">
        <v>10.5</v>
      </c>
      <c r="D9" s="15" t="s">
        <v>760</v>
      </c>
      <c r="E9" s="19" t="str">
        <f aca="false">"牌價 ÷ 持有成本＝"&amp;TEXT(C9/B9,"0.0")&amp;" 倍"</f>
        <v>牌價 ÷ 持有成本＝5.1 倍</v>
      </c>
      <c r="F9" s="6" t="s">
        <v>1201</v>
      </c>
    </row>
    <row r="10" customFormat="false" ht="15" hidden="false" customHeight="true" outlineLevel="0" collapsed="false">
      <c r="A10" s="19" t="s">
        <v>1202</v>
      </c>
      <c r="B10" s="138" t="n">
        <f aca="false">DC_Cost!J58</f>
        <v>2.98751288214055</v>
      </c>
      <c r="C10" s="163" t="n">
        <v>3.57</v>
      </c>
      <c r="D10" s="15" t="s">
        <v>760</v>
      </c>
      <c r="E10" s="19" t="str">
        <f aca="false">"參照 ÷ 本模型＝"&amp;TEXT(C10/B10,"0.00")</f>
        <v>參照 ÷ 本模型＝1.19</v>
      </c>
      <c r="F10" s="18" t="s">
        <v>1203</v>
      </c>
    </row>
    <row r="12" customFormat="false" ht="15" hidden="false" customHeight="true" outlineLevel="0" collapsed="false">
      <c r="A12" s="29" t="s">
        <v>1204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8" t="s">
        <v>298</v>
      </c>
      <c r="B13" s="8" t="s">
        <v>1205</v>
      </c>
      <c r="C13" s="8" t="s">
        <v>1188</v>
      </c>
      <c r="D13" s="8" t="s">
        <v>41</v>
      </c>
      <c r="E13" s="8" t="s">
        <v>457</v>
      </c>
      <c r="F13" s="8" t="s">
        <v>379</v>
      </c>
    </row>
    <row r="14" customFormat="false" ht="15" hidden="false" customHeight="true" outlineLevel="0" collapsed="false">
      <c r="A14" s="5" t="s">
        <v>1206</v>
      </c>
      <c r="B14" s="164" t="n">
        <f aca="false">Calib!C86</f>
        <v>1</v>
      </c>
      <c r="C14" s="31" t="s">
        <v>1207</v>
      </c>
      <c r="D14" s="31" t="s">
        <v>61</v>
      </c>
      <c r="E14" s="74" t="s">
        <v>1208</v>
      </c>
      <c r="F14" s="32" t="s">
        <v>1209</v>
      </c>
    </row>
    <row r="15" customFormat="false" ht="26.25" hidden="false" customHeight="true" outlineLevel="0" collapsed="false">
      <c r="A15" s="5" t="s">
        <v>1210</v>
      </c>
      <c r="B15" s="164" t="n">
        <f aca="false">Calib!E86</f>
        <v>0.994092131160915</v>
      </c>
      <c r="C15" s="31" t="s">
        <v>1211</v>
      </c>
      <c r="D15" s="30" t="s">
        <v>1212</v>
      </c>
      <c r="E15" s="66" t="s">
        <v>1213</v>
      </c>
      <c r="F15" s="32" t="s">
        <v>381</v>
      </c>
    </row>
    <row r="16" customFormat="false" ht="26.25" hidden="false" customHeight="true" outlineLevel="0" collapsed="false">
      <c r="A16" s="5" t="s">
        <v>1214</v>
      </c>
      <c r="B16" s="164" t="n">
        <f aca="false">Calib!F86</f>
        <v>2.19089327273002</v>
      </c>
      <c r="C16" s="31" t="s">
        <v>1215</v>
      </c>
      <c r="D16" s="30" t="s">
        <v>1212</v>
      </c>
      <c r="E16" s="74" t="s">
        <v>1216</v>
      </c>
      <c r="F16" s="32" t="s">
        <v>382</v>
      </c>
    </row>
    <row r="17" customFormat="false" ht="26.25" hidden="false" customHeight="true" outlineLevel="0" collapsed="false">
      <c r="A17" s="5" t="s">
        <v>1217</v>
      </c>
      <c r="B17" s="164" t="n">
        <f aca="false">Calib!G86</f>
        <v>4.12489788701598</v>
      </c>
      <c r="C17" s="31" t="s">
        <v>1218</v>
      </c>
      <c r="D17" s="30" t="s">
        <v>1212</v>
      </c>
      <c r="E17" s="74" t="s">
        <v>1219</v>
      </c>
      <c r="F17" s="32" t="s">
        <v>382</v>
      </c>
    </row>
    <row r="18" customFormat="false" ht="15" hidden="false" customHeight="true" outlineLevel="0" collapsed="false">
      <c r="A18" s="5" t="s">
        <v>1220</v>
      </c>
      <c r="B18" s="164" t="n">
        <f aca="false">Calib!H86</f>
        <v>1.0128861126286</v>
      </c>
      <c r="C18" s="31" t="s">
        <v>1221</v>
      </c>
      <c r="D18" s="30" t="s">
        <v>1212</v>
      </c>
      <c r="E18" s="74" t="s">
        <v>1222</v>
      </c>
      <c r="F18" s="32" t="s">
        <v>383</v>
      </c>
    </row>
    <row r="19" customFormat="false" ht="29.25" hidden="false" customHeight="true" outlineLevel="0" collapsed="false">
      <c r="A19" s="6" t="s">
        <v>1223</v>
      </c>
      <c r="B19" s="164" t="n">
        <f aca="false">DC_Cost!J58/(Calib!C17*3600)*1000000</f>
        <v>0.0884302341634506</v>
      </c>
      <c r="C19" s="31" t="s">
        <v>1224</v>
      </c>
      <c r="D19" s="31" t="s">
        <v>1225</v>
      </c>
      <c r="E19" s="74" t="s">
        <v>1226</v>
      </c>
      <c r="F19" s="32" t="s">
        <v>380</v>
      </c>
    </row>
    <row r="20" customFormat="false" ht="39" hidden="false" customHeight="true" outlineLevel="0" collapsed="false">
      <c r="A20" s="6" t="s">
        <v>1227</v>
      </c>
      <c r="B20" s="164" t="n">
        <f aca="false">Sens_Perf!C120</f>
        <v>1.57577337247285</v>
      </c>
      <c r="C20" s="165" t="n">
        <f aca="false">DC_Cost!M55/DC_Cost!J55</f>
        <v>0.95269118380222</v>
      </c>
      <c r="D20" s="31" t="s">
        <v>61</v>
      </c>
      <c r="E20" s="74" t="s">
        <v>1228</v>
      </c>
      <c r="F20" s="32" t="s">
        <v>1229</v>
      </c>
    </row>
    <row r="21" customFormat="false" ht="39" hidden="false" customHeight="true" outlineLevel="0" collapsed="false">
      <c r="A21" s="6" t="s">
        <v>1230</v>
      </c>
      <c r="B21" s="164" t="n">
        <f aca="false">DC_Cost!J11*Inputs!$E$10/72</f>
        <v>1.52222222222222</v>
      </c>
      <c r="C21" s="31" t="s">
        <v>1231</v>
      </c>
      <c r="D21" s="31" t="s">
        <v>1232</v>
      </c>
      <c r="E21" s="66" t="s">
        <v>1233</v>
      </c>
      <c r="F21" s="32" t="s">
        <v>380</v>
      </c>
    </row>
    <row r="22" customFormat="false" ht="29.25" hidden="false" customHeight="true" outlineLevel="0" collapsed="false">
      <c r="A22" s="6" t="s">
        <v>1234</v>
      </c>
      <c r="B22" s="164" t="n">
        <f aca="false">Sens_Perf!C121</f>
        <v>0.57914747392841</v>
      </c>
      <c r="C22" s="31" t="s">
        <v>1235</v>
      </c>
      <c r="D22" s="31" t="s">
        <v>61</v>
      </c>
      <c r="E22" s="74"/>
      <c r="F22" s="32" t="s">
        <v>1229</v>
      </c>
    </row>
    <row r="23" customFormat="false" ht="15" hidden="false" customHeight="true" outlineLevel="0" collapsed="false">
      <c r="A23" s="5" t="s">
        <v>1236</v>
      </c>
      <c r="B23" s="164" t="n">
        <f aca="false">Calib!C149</f>
        <v>0.710059996402918</v>
      </c>
      <c r="C23" s="31" t="s">
        <v>1207</v>
      </c>
      <c r="D23" s="31" t="s">
        <v>61</v>
      </c>
      <c r="E23" s="66" t="s">
        <v>1237</v>
      </c>
      <c r="F23" s="32" t="s">
        <v>1238</v>
      </c>
    </row>
    <row r="24" customFormat="false" ht="15" hidden="false" customHeight="true" outlineLevel="0" collapsed="false">
      <c r="A24" s="5" t="s">
        <v>1239</v>
      </c>
      <c r="B24" s="164" t="n">
        <f aca="false">Calib!C150</f>
        <v>2.52465448004212</v>
      </c>
      <c r="C24" s="144" t="n">
        <f aca="false">Calib!C151</f>
        <v>2.5748897461993</v>
      </c>
      <c r="D24" s="31" t="s">
        <v>61</v>
      </c>
      <c r="E24" s="74" t="s">
        <v>1240</v>
      </c>
      <c r="F24" s="32" t="s">
        <v>1241</v>
      </c>
    </row>
    <row r="25" customFormat="false" ht="39" hidden="false" customHeight="true" outlineLevel="0" collapsed="false">
      <c r="A25" s="5" t="s">
        <v>1242</v>
      </c>
      <c r="B25" s="164" t="n">
        <f aca="false">Calib!C152</f>
        <v>1.5</v>
      </c>
      <c r="C25" s="144" t="n">
        <f aca="false">Calib!D152</f>
        <v>1.05487728759394</v>
      </c>
      <c r="D25" s="31" t="s">
        <v>61</v>
      </c>
      <c r="E25" s="66" t="s">
        <v>1243</v>
      </c>
      <c r="F25" s="32" t="s">
        <v>1244</v>
      </c>
    </row>
    <row r="26" customFormat="false" ht="15" hidden="false" customHeight="true" outlineLevel="0" collapsed="false">
      <c r="A26" s="5" t="s">
        <v>1245</v>
      </c>
      <c r="B26" s="166" t="n">
        <f aca="false">MAX(Perf!C116:Q116)</f>
        <v>0.0744820017206733</v>
      </c>
      <c r="C26" s="31" t="s">
        <v>1246</v>
      </c>
      <c r="D26" s="31" t="s">
        <v>57</v>
      </c>
      <c r="E26" s="74" t="s">
        <v>1247</v>
      </c>
      <c r="F26" s="32" t="s">
        <v>1248</v>
      </c>
    </row>
    <row r="27" customFormat="false" ht="15" hidden="false" customHeight="true" outlineLevel="0" collapsed="false">
      <c r="A27" s="6" t="s">
        <v>1249</v>
      </c>
      <c r="B27" s="164" t="n">
        <f aca="false">COUNTIF(Perf!C90:Q90,"SLO 不可達")</f>
        <v>0</v>
      </c>
      <c r="C27" s="31" t="s">
        <v>532</v>
      </c>
      <c r="D27" s="30" t="s">
        <v>1250</v>
      </c>
      <c r="E27" s="66" t="s">
        <v>1251</v>
      </c>
      <c r="F27" s="32" t="s">
        <v>1252</v>
      </c>
    </row>
    <row r="28" customFormat="false" ht="39" hidden="false" customHeight="true" outlineLevel="0" collapsed="false">
      <c r="A28" s="5" t="s">
        <v>1253</v>
      </c>
      <c r="B28" s="164" t="n">
        <f aca="false">((8*1.32+3.96)/9)/((8*Unit_Cost!J32+Unit_Cost!J34)/9)</f>
        <v>11.5596740527537</v>
      </c>
      <c r="C28" s="31" t="s">
        <v>532</v>
      </c>
      <c r="D28" s="31" t="s">
        <v>61</v>
      </c>
      <c r="E28" s="66" t="s">
        <v>1254</v>
      </c>
      <c r="F28" s="32" t="s">
        <v>1255</v>
      </c>
    </row>
    <row r="30" customFormat="false" ht="15" hidden="false" customHeight="true" outlineLevel="0" collapsed="false">
      <c r="A30" s="29" t="s">
        <v>1256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8" t="s">
        <v>298</v>
      </c>
      <c r="B31" s="8" t="s">
        <v>1205</v>
      </c>
      <c r="C31" s="8" t="s">
        <v>1188</v>
      </c>
      <c r="D31" s="8" t="s">
        <v>41</v>
      </c>
      <c r="E31" s="8" t="s">
        <v>457</v>
      </c>
      <c r="F31" s="8" t="s">
        <v>379</v>
      </c>
    </row>
    <row r="32" customFormat="false" ht="39" hidden="false" customHeight="true" outlineLevel="0" collapsed="false">
      <c r="A32" s="6" t="s">
        <v>1257</v>
      </c>
      <c r="B32" s="152" t="n">
        <f aca="false">3*(2*Calib!$C$101*1000000000+Calib!$C$109*Train_In!$C$43/2)*Train_In!$C$41*1000000000000/(Train_In!$C$42*1000000*3600*Spec_Rack!$C$40*1000000000000000)</f>
        <v>0.197055428667677</v>
      </c>
      <c r="C32" s="151" t="n">
        <f aca="false">Training!C16</f>
        <v>0.2</v>
      </c>
      <c r="D32" s="31" t="s">
        <v>57</v>
      </c>
      <c r="E32" s="74" t="s">
        <v>1258</v>
      </c>
      <c r="F32" s="32" t="s">
        <v>892</v>
      </c>
    </row>
    <row r="33" customFormat="false" ht="26.25" hidden="false" customHeight="true" outlineLevel="0" collapsed="false">
      <c r="A33" s="6" t="s">
        <v>1259</v>
      </c>
      <c r="B33" s="164" t="n">
        <f aca="false">Training!N78</f>
        <v>0.967911891281403</v>
      </c>
      <c r="C33" s="147" t="n">
        <f aca="false">Train_In!$C$45</f>
        <v>1</v>
      </c>
      <c r="D33" s="31" t="s">
        <v>61</v>
      </c>
      <c r="E33" s="66" t="s">
        <v>1260</v>
      </c>
      <c r="F33" s="32" t="s">
        <v>1261</v>
      </c>
    </row>
    <row r="34" customFormat="false" ht="26.25" hidden="false" customHeight="true" outlineLevel="0" collapsed="false">
      <c r="A34" s="6" t="s">
        <v>1262</v>
      </c>
      <c r="B34" s="164" t="n">
        <f aca="false">Training!M78</f>
        <v>0.324140642621739</v>
      </c>
      <c r="C34" s="147" t="n">
        <f aca="false">Train_In!$C$44</f>
        <v>0.055</v>
      </c>
      <c r="D34" s="31" t="s">
        <v>61</v>
      </c>
      <c r="E34" s="66" t="s">
        <v>1263</v>
      </c>
      <c r="F34" s="32" t="s">
        <v>1264</v>
      </c>
    </row>
    <row r="35" customFormat="false" ht="15" hidden="false" customHeight="true" outlineLevel="0" collapsed="false">
      <c r="A35" s="6" t="s">
        <v>1265</v>
      </c>
      <c r="B35" s="152" t="n">
        <f aca="false">Training!N77</f>
        <v>0.0791695298591089</v>
      </c>
      <c r="C35" s="167" t="s">
        <v>1266</v>
      </c>
      <c r="D35" s="31" t="s">
        <v>57</v>
      </c>
      <c r="E35" s="74" t="s">
        <v>1267</v>
      </c>
      <c r="F35" s="38" t="s">
        <v>1268</v>
      </c>
    </row>
    <row r="36" customFormat="false" ht="29.25" hidden="false" customHeight="true" outlineLevel="0" collapsed="false">
      <c r="A36" s="5" t="s">
        <v>1269</v>
      </c>
      <c r="B36" s="152" t="n">
        <f aca="false">Training!N111-Training!N110</f>
        <v>0.21429921543073</v>
      </c>
      <c r="C36" s="167" t="s">
        <v>1270</v>
      </c>
      <c r="D36" s="31" t="s">
        <v>57</v>
      </c>
      <c r="E36" s="66" t="s">
        <v>1271</v>
      </c>
      <c r="F36" s="32" t="s">
        <v>1272</v>
      </c>
    </row>
    <row r="37" customFormat="false" ht="15" hidden="false" customHeight="true" outlineLevel="0" collapsed="false">
      <c r="A37" s="5" t="s">
        <v>1273</v>
      </c>
      <c r="B37" s="152" t="n">
        <f aca="false">1/Train_In!$C$13</f>
        <v>0.125</v>
      </c>
      <c r="C37" s="167" t="s">
        <v>1274</v>
      </c>
      <c r="D37" s="31" t="s">
        <v>57</v>
      </c>
      <c r="E37" s="66" t="s">
        <v>1275</v>
      </c>
      <c r="F37" s="32" t="s">
        <v>1276</v>
      </c>
    </row>
    <row r="38" customFormat="false" ht="36.75" hidden="false" customHeight="true" outlineLevel="0" collapsed="false">
      <c r="A38" s="5" t="s">
        <v>1277</v>
      </c>
      <c r="B38" s="164" t="n">
        <f aca="false">Train_In!$C$47/(Training!N34*1000000000)/1000000000000</f>
        <v>438.443429242364</v>
      </c>
      <c r="C38" s="147" t="n">
        <f aca="false">Training!N31</f>
        <v>60</v>
      </c>
      <c r="D38" s="31" t="s">
        <v>861</v>
      </c>
      <c r="E38" s="66" t="s">
        <v>1278</v>
      </c>
      <c r="F38" s="32" t="s">
        <v>1279</v>
      </c>
    </row>
    <row r="39" customFormat="false" ht="29.25" hidden="false" customHeight="true" outlineLevel="0" collapsed="false">
      <c r="A39" s="6" t="s">
        <v>1280</v>
      </c>
      <c r="B39" s="152" t="n">
        <f aca="false">Training!N117</f>
        <v>0.00456930148248379</v>
      </c>
      <c r="C39" s="151" t="n">
        <f aca="false">Training!K117</f>
        <v>0.00824061423895847</v>
      </c>
      <c r="D39" s="31" t="s">
        <v>57</v>
      </c>
      <c r="E39" s="74" t="s">
        <v>1281</v>
      </c>
      <c r="F39" s="32" t="s">
        <v>1282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1283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68" t="s">
        <v>511</v>
      </c>
      <c r="B3" s="11" t="s">
        <v>298</v>
      </c>
      <c r="C3" s="11" t="s">
        <v>1284</v>
      </c>
      <c r="D3" s="11" t="s">
        <v>45</v>
      </c>
      <c r="E3" s="11" t="s">
        <v>1285</v>
      </c>
      <c r="F3" s="11" t="s">
        <v>379</v>
      </c>
      <c r="G3" s="11" t="s">
        <v>1286</v>
      </c>
    </row>
    <row r="4" customFormat="false" ht="29.25" hidden="false" customHeight="true" outlineLevel="0" collapsed="false">
      <c r="A4" s="14" t="s">
        <v>1287</v>
      </c>
      <c r="B4" s="14" t="s">
        <v>1288</v>
      </c>
      <c r="C4" s="18" t="s">
        <v>1289</v>
      </c>
      <c r="D4" s="14" t="s">
        <v>93</v>
      </c>
      <c r="E4" s="14" t="s">
        <v>1290</v>
      </c>
      <c r="F4" s="6" t="s">
        <v>1291</v>
      </c>
      <c r="G4" s="19" t="s">
        <v>1292</v>
      </c>
    </row>
    <row r="5" customFormat="false" ht="15" hidden="false" customHeight="true" outlineLevel="0" collapsed="false">
      <c r="A5" s="14" t="s">
        <v>1293</v>
      </c>
      <c r="B5" s="14" t="s">
        <v>1294</v>
      </c>
      <c r="C5" s="18" t="s">
        <v>1295</v>
      </c>
      <c r="D5" s="14" t="s">
        <v>62</v>
      </c>
      <c r="E5" s="14" t="s">
        <v>1296</v>
      </c>
      <c r="F5" s="6" t="s">
        <v>1297</v>
      </c>
      <c r="G5" s="19" t="s">
        <v>1292</v>
      </c>
    </row>
    <row r="6" customFormat="false" ht="15" hidden="false" customHeight="true" outlineLevel="0" collapsed="false">
      <c r="A6" s="14" t="s">
        <v>1298</v>
      </c>
      <c r="B6" s="14" t="s">
        <v>1299</v>
      </c>
      <c r="C6" s="6" t="s">
        <v>1300</v>
      </c>
      <c r="D6" s="14" t="s">
        <v>163</v>
      </c>
      <c r="E6" s="14" t="s">
        <v>1301</v>
      </c>
      <c r="F6" s="6" t="s">
        <v>1302</v>
      </c>
      <c r="G6" s="19" t="s">
        <v>1292</v>
      </c>
    </row>
    <row r="7" customFormat="false" ht="15" hidden="false" customHeight="true" outlineLevel="0" collapsed="false">
      <c r="A7" s="14" t="s">
        <v>1303</v>
      </c>
      <c r="B7" s="14" t="s">
        <v>1304</v>
      </c>
      <c r="C7" s="6" t="s">
        <v>1305</v>
      </c>
      <c r="D7" s="14" t="s">
        <v>163</v>
      </c>
      <c r="E7" s="14" t="s">
        <v>1306</v>
      </c>
      <c r="F7" s="6" t="s">
        <v>1307</v>
      </c>
      <c r="G7" s="19" t="s">
        <v>1292</v>
      </c>
    </row>
    <row r="8" customFormat="false" ht="15" hidden="false" customHeight="true" outlineLevel="0" collapsed="false">
      <c r="A8" s="14" t="s">
        <v>1308</v>
      </c>
      <c r="B8" s="14" t="s">
        <v>1309</v>
      </c>
      <c r="C8" s="6" t="s">
        <v>1310</v>
      </c>
      <c r="D8" s="14" t="s">
        <v>163</v>
      </c>
      <c r="E8" s="14" t="s">
        <v>1311</v>
      </c>
      <c r="F8" s="6" t="s">
        <v>1312</v>
      </c>
      <c r="G8" s="19" t="s">
        <v>1292</v>
      </c>
    </row>
    <row r="9" customFormat="false" ht="15" hidden="false" customHeight="true" outlineLevel="0" collapsed="false">
      <c r="A9" s="14" t="s">
        <v>1313</v>
      </c>
      <c r="B9" s="14" t="s">
        <v>1314</v>
      </c>
      <c r="C9" s="6" t="s">
        <v>1315</v>
      </c>
      <c r="D9" s="14" t="s">
        <v>163</v>
      </c>
      <c r="E9" s="14" t="s">
        <v>1311</v>
      </c>
      <c r="F9" s="6" t="s">
        <v>1316</v>
      </c>
      <c r="G9" s="19" t="s">
        <v>1292</v>
      </c>
    </row>
    <row r="10" customFormat="false" ht="29.25" hidden="false" customHeight="true" outlineLevel="0" collapsed="false">
      <c r="A10" s="14" t="s">
        <v>1317</v>
      </c>
      <c r="B10" s="14" t="s">
        <v>1318</v>
      </c>
      <c r="C10" s="6" t="s">
        <v>1319</v>
      </c>
      <c r="D10" s="14" t="s">
        <v>163</v>
      </c>
      <c r="E10" s="14" t="s">
        <v>1296</v>
      </c>
      <c r="F10" s="6" t="s">
        <v>1320</v>
      </c>
      <c r="G10" s="19" t="s">
        <v>1292</v>
      </c>
    </row>
    <row r="11" customFormat="false" ht="15" hidden="false" customHeight="true" outlineLevel="0" collapsed="false">
      <c r="A11" s="14" t="s">
        <v>1321</v>
      </c>
      <c r="B11" s="14" t="s">
        <v>1322</v>
      </c>
      <c r="C11" s="6" t="s">
        <v>1323</v>
      </c>
      <c r="D11" s="14" t="s">
        <v>163</v>
      </c>
      <c r="E11" s="14" t="s">
        <v>1324</v>
      </c>
      <c r="F11" s="6" t="s">
        <v>1325</v>
      </c>
      <c r="G11" s="19" t="s">
        <v>1292</v>
      </c>
    </row>
    <row r="12" customFormat="false" ht="15" hidden="false" customHeight="true" outlineLevel="0" collapsed="false">
      <c r="A12" s="14" t="s">
        <v>1326</v>
      </c>
      <c r="B12" s="14" t="s">
        <v>1327</v>
      </c>
      <c r="C12" s="6" t="s">
        <v>1328</v>
      </c>
      <c r="D12" s="14" t="s">
        <v>163</v>
      </c>
      <c r="E12" s="14" t="s">
        <v>1329</v>
      </c>
      <c r="F12" s="6" t="s">
        <v>1330</v>
      </c>
      <c r="G12" s="19" t="s">
        <v>1292</v>
      </c>
    </row>
    <row r="13" customFormat="false" ht="15" hidden="false" customHeight="true" outlineLevel="0" collapsed="false">
      <c r="A13" s="14" t="s">
        <v>1331</v>
      </c>
      <c r="B13" s="19" t="s">
        <v>1332</v>
      </c>
      <c r="C13" s="6" t="s">
        <v>1333</v>
      </c>
      <c r="D13" s="14" t="s">
        <v>62</v>
      </c>
      <c r="E13" s="14" t="s">
        <v>1296</v>
      </c>
      <c r="F13" s="6" t="s">
        <v>1334</v>
      </c>
      <c r="G13" s="19" t="s">
        <v>1292</v>
      </c>
    </row>
    <row r="14" customFormat="false" ht="15" hidden="false" customHeight="true" outlineLevel="0" collapsed="false">
      <c r="A14" s="14" t="s">
        <v>1335</v>
      </c>
      <c r="B14" s="14" t="s">
        <v>1336</v>
      </c>
      <c r="C14" s="18" t="s">
        <v>1337</v>
      </c>
      <c r="D14" s="14" t="s">
        <v>163</v>
      </c>
      <c r="E14" s="14" t="s">
        <v>1296</v>
      </c>
      <c r="F14" s="6" t="s">
        <v>1338</v>
      </c>
      <c r="G14" s="19" t="s">
        <v>1339</v>
      </c>
    </row>
    <row r="15" customFormat="false" ht="29.25" hidden="false" customHeight="true" outlineLevel="0" collapsed="false">
      <c r="A15" s="14" t="s">
        <v>1340</v>
      </c>
      <c r="B15" s="19" t="s">
        <v>1341</v>
      </c>
      <c r="C15" s="6" t="s">
        <v>1342</v>
      </c>
      <c r="D15" s="14" t="s">
        <v>62</v>
      </c>
      <c r="E15" s="14" t="s">
        <v>1296</v>
      </c>
      <c r="F15" s="6" t="s">
        <v>1343</v>
      </c>
      <c r="G15" s="19" t="s">
        <v>1292</v>
      </c>
    </row>
    <row r="16" customFormat="false" ht="26.25" hidden="false" customHeight="true" outlineLevel="0" collapsed="false">
      <c r="A16" s="14" t="s">
        <v>1344</v>
      </c>
      <c r="B16" s="19" t="s">
        <v>1345</v>
      </c>
      <c r="C16" s="6" t="s">
        <v>1346</v>
      </c>
      <c r="D16" s="14" t="s">
        <v>93</v>
      </c>
      <c r="E16" s="14" t="s">
        <v>1347</v>
      </c>
      <c r="F16" s="6" t="s">
        <v>1348</v>
      </c>
      <c r="G16" s="19" t="s">
        <v>1349</v>
      </c>
    </row>
    <row r="17" customFormat="false" ht="15" hidden="false" customHeight="true" outlineLevel="0" collapsed="false">
      <c r="A17" s="14" t="s">
        <v>1350</v>
      </c>
      <c r="B17" s="14" t="s">
        <v>60</v>
      </c>
      <c r="C17" s="18" t="s">
        <v>1351</v>
      </c>
      <c r="D17" s="14" t="s">
        <v>62</v>
      </c>
      <c r="E17" s="14" t="s">
        <v>532</v>
      </c>
      <c r="F17" s="6" t="s">
        <v>1352</v>
      </c>
      <c r="G17" s="19" t="s">
        <v>1292</v>
      </c>
    </row>
    <row r="18" customFormat="false" ht="29.25" hidden="false" customHeight="true" outlineLevel="0" collapsed="false">
      <c r="A18" s="14" t="s">
        <v>1353</v>
      </c>
      <c r="B18" s="14" t="s">
        <v>1354</v>
      </c>
      <c r="C18" s="6" t="s">
        <v>1355</v>
      </c>
      <c r="D18" s="14" t="s">
        <v>93</v>
      </c>
      <c r="E18" s="14" t="s">
        <v>1356</v>
      </c>
      <c r="F18" s="6" t="s">
        <v>1357</v>
      </c>
      <c r="G18" s="19" t="s">
        <v>1358</v>
      </c>
    </row>
    <row r="19" customFormat="false" ht="15" hidden="false" customHeight="true" outlineLevel="0" collapsed="false">
      <c r="A19" s="14" t="s">
        <v>1359</v>
      </c>
      <c r="B19" s="19" t="s">
        <v>1360</v>
      </c>
      <c r="C19" s="18" t="s">
        <v>1361</v>
      </c>
      <c r="D19" s="14" t="s">
        <v>163</v>
      </c>
      <c r="E19" s="14" t="s">
        <v>1362</v>
      </c>
      <c r="F19" s="6" t="s">
        <v>1363</v>
      </c>
      <c r="G19" s="19" t="s">
        <v>1364</v>
      </c>
    </row>
    <row r="20" customFormat="false" ht="15" hidden="false" customHeight="true" outlineLevel="0" collapsed="false">
      <c r="A20" s="14" t="s">
        <v>1365</v>
      </c>
      <c r="B20" s="14" t="s">
        <v>1366</v>
      </c>
      <c r="C20" s="6" t="s">
        <v>1367</v>
      </c>
      <c r="D20" s="14" t="s">
        <v>163</v>
      </c>
      <c r="E20" s="14" t="s">
        <v>1347</v>
      </c>
      <c r="F20" s="6" t="s">
        <v>1368</v>
      </c>
      <c r="G20" s="19" t="s">
        <v>1369</v>
      </c>
    </row>
    <row r="21" customFormat="false" ht="15" hidden="false" customHeight="true" outlineLevel="0" collapsed="false">
      <c r="A21" s="14" t="s">
        <v>1370</v>
      </c>
      <c r="B21" s="14" t="s">
        <v>1371</v>
      </c>
      <c r="C21" s="6" t="s">
        <v>1372</v>
      </c>
      <c r="D21" s="14" t="s">
        <v>93</v>
      </c>
      <c r="E21" s="14" t="s">
        <v>1347</v>
      </c>
      <c r="F21" s="6" t="s">
        <v>1373</v>
      </c>
      <c r="G21" s="19" t="s">
        <v>1292</v>
      </c>
    </row>
    <row r="22" customFormat="false" ht="15" hidden="false" customHeight="true" outlineLevel="0" collapsed="false">
      <c r="A22" s="14" t="s">
        <v>1374</v>
      </c>
      <c r="B22" s="19" t="s">
        <v>1375</v>
      </c>
      <c r="C22" s="6" t="s">
        <v>1376</v>
      </c>
      <c r="D22" s="14" t="s">
        <v>237</v>
      </c>
      <c r="E22" s="14" t="s">
        <v>1324</v>
      </c>
      <c r="F22" s="6" t="s">
        <v>1377</v>
      </c>
      <c r="G22" s="19" t="s">
        <v>1378</v>
      </c>
    </row>
    <row r="23" customFormat="false" ht="54.75" hidden="false" customHeight="true" outlineLevel="0" collapsed="false">
      <c r="A23" s="6" t="s">
        <v>382</v>
      </c>
      <c r="B23" s="6" t="s">
        <v>1379</v>
      </c>
      <c r="C23" s="6" t="s">
        <v>1380</v>
      </c>
      <c r="D23" s="6" t="s">
        <v>1381</v>
      </c>
      <c r="E23" s="6" t="s">
        <v>1347</v>
      </c>
      <c r="F23" s="6" t="s">
        <v>1382</v>
      </c>
      <c r="G23" s="5" t="s">
        <v>1383</v>
      </c>
    </row>
    <row r="24" customFormat="false" ht="43.5" hidden="false" customHeight="true" outlineLevel="0" collapsed="false">
      <c r="A24" s="6" t="s">
        <v>381</v>
      </c>
      <c r="B24" s="6" t="s">
        <v>1384</v>
      </c>
      <c r="C24" s="6" t="s">
        <v>1385</v>
      </c>
      <c r="D24" s="6" t="s">
        <v>1386</v>
      </c>
      <c r="E24" s="6" t="s">
        <v>1387</v>
      </c>
      <c r="F24" s="6" t="s">
        <v>1388</v>
      </c>
      <c r="G24" s="5" t="s">
        <v>1389</v>
      </c>
    </row>
    <row r="25" customFormat="false" ht="29.25" hidden="false" customHeight="true" outlineLevel="0" collapsed="false">
      <c r="A25" s="6" t="s">
        <v>380</v>
      </c>
      <c r="B25" s="6" t="s">
        <v>1390</v>
      </c>
      <c r="C25" s="6" t="s">
        <v>1391</v>
      </c>
      <c r="D25" s="6" t="s">
        <v>1392</v>
      </c>
      <c r="E25" s="5" t="s">
        <v>1393</v>
      </c>
      <c r="F25" s="6" t="s">
        <v>1394</v>
      </c>
      <c r="G25" s="5" t="s">
        <v>1395</v>
      </c>
    </row>
    <row r="26" customFormat="false" ht="29.25" hidden="false" customHeight="true" outlineLevel="0" collapsed="false">
      <c r="A26" s="6" t="s">
        <v>383</v>
      </c>
      <c r="B26" s="6" t="s">
        <v>1396</v>
      </c>
      <c r="C26" s="6" t="s">
        <v>1397</v>
      </c>
      <c r="D26" s="6" t="s">
        <v>1398</v>
      </c>
      <c r="E26" s="6" t="s">
        <v>1399</v>
      </c>
      <c r="F26" s="6" t="s">
        <v>1400</v>
      </c>
      <c r="G26" s="5" t="s">
        <v>1401</v>
      </c>
    </row>
    <row r="27" customFormat="false" ht="29.25" hidden="false" customHeight="true" outlineLevel="0" collapsed="false">
      <c r="A27" s="6" t="s">
        <v>1402</v>
      </c>
      <c r="B27" s="6" t="s">
        <v>1403</v>
      </c>
      <c r="C27" s="6" t="s">
        <v>1404</v>
      </c>
      <c r="D27" s="6" t="s">
        <v>1398</v>
      </c>
      <c r="E27" s="6" t="s">
        <v>1311</v>
      </c>
      <c r="F27" s="6" t="s">
        <v>1405</v>
      </c>
      <c r="G27" s="5" t="s">
        <v>1406</v>
      </c>
    </row>
    <row r="28" customFormat="false" ht="29.25" hidden="false" customHeight="true" outlineLevel="0" collapsed="false">
      <c r="A28" s="6" t="s">
        <v>1407</v>
      </c>
      <c r="B28" s="6" t="s">
        <v>1408</v>
      </c>
      <c r="C28" s="6" t="s">
        <v>1409</v>
      </c>
      <c r="D28" s="6" t="s">
        <v>1410</v>
      </c>
      <c r="E28" s="6" t="s">
        <v>1411</v>
      </c>
      <c r="F28" s="6" t="s">
        <v>1412</v>
      </c>
      <c r="G28" s="5" t="s">
        <v>1413</v>
      </c>
    </row>
    <row r="29" customFormat="false" ht="54.75" hidden="false" customHeight="true" outlineLevel="0" collapsed="false">
      <c r="A29" s="6" t="s">
        <v>1414</v>
      </c>
      <c r="B29" s="6" t="s">
        <v>1415</v>
      </c>
      <c r="C29" s="6" t="s">
        <v>1416</v>
      </c>
      <c r="D29" s="6" t="s">
        <v>1417</v>
      </c>
      <c r="E29" s="6" t="s">
        <v>1324</v>
      </c>
      <c r="F29" s="6" t="s">
        <v>1418</v>
      </c>
      <c r="G29" s="5" t="s">
        <v>1419</v>
      </c>
    </row>
    <row r="30" customFormat="false" ht="29.25" hidden="false" customHeight="true" outlineLevel="0" collapsed="false">
      <c r="A30" s="6" t="s">
        <v>1255</v>
      </c>
      <c r="B30" s="6" t="s">
        <v>1420</v>
      </c>
      <c r="C30" s="6" t="s">
        <v>1421</v>
      </c>
      <c r="D30" s="6" t="s">
        <v>93</v>
      </c>
      <c r="E30" s="6" t="s">
        <v>1296</v>
      </c>
      <c r="F30" s="6" t="s">
        <v>1422</v>
      </c>
      <c r="G30" s="5" t="s">
        <v>1423</v>
      </c>
    </row>
    <row r="31" customFormat="false" ht="43.5" hidden="false" customHeight="true" outlineLevel="0" collapsed="false">
      <c r="A31" s="6" t="s">
        <v>1424</v>
      </c>
      <c r="B31" s="6" t="s">
        <v>1425</v>
      </c>
      <c r="C31" s="6" t="s">
        <v>1426</v>
      </c>
      <c r="D31" s="6" t="s">
        <v>1427</v>
      </c>
      <c r="E31" s="6" t="s">
        <v>1356</v>
      </c>
      <c r="F31" s="5" t="s">
        <v>1428</v>
      </c>
      <c r="G31" s="5" t="s">
        <v>1429</v>
      </c>
    </row>
    <row r="32" customFormat="false" ht="15" hidden="false" customHeight="true" outlineLevel="0" collapsed="false">
      <c r="A32" s="6" t="s">
        <v>1430</v>
      </c>
      <c r="B32" s="5" t="s">
        <v>1431</v>
      </c>
      <c r="C32" s="6" t="s">
        <v>1432</v>
      </c>
      <c r="D32" s="6" t="s">
        <v>62</v>
      </c>
      <c r="E32" s="6" t="s">
        <v>532</v>
      </c>
      <c r="F32" s="5" t="s">
        <v>1433</v>
      </c>
      <c r="G32" s="5" t="s">
        <v>1292</v>
      </c>
    </row>
    <row r="33" customFormat="false" ht="29.25" hidden="false" customHeight="true" outlineLevel="0" collapsed="false">
      <c r="A33" s="6" t="s">
        <v>1434</v>
      </c>
      <c r="B33" s="6" t="s">
        <v>1435</v>
      </c>
      <c r="C33" s="6" t="s">
        <v>1436</v>
      </c>
      <c r="D33" s="6" t="s">
        <v>1437</v>
      </c>
      <c r="E33" s="6" t="s">
        <v>1438</v>
      </c>
      <c r="F33" s="6" t="s">
        <v>1439</v>
      </c>
      <c r="G33" s="5" t="s">
        <v>1413</v>
      </c>
    </row>
    <row r="34" customFormat="false" ht="69" hidden="false" customHeight="true" outlineLevel="0" collapsed="false">
      <c r="A34" s="6" t="s">
        <v>1241</v>
      </c>
      <c r="B34" s="6" t="s">
        <v>1440</v>
      </c>
      <c r="C34" s="6" t="s">
        <v>1441</v>
      </c>
      <c r="D34" s="6" t="s">
        <v>1442</v>
      </c>
      <c r="E34" s="6" t="s">
        <v>1443</v>
      </c>
      <c r="F34" s="6" t="s">
        <v>1444</v>
      </c>
      <c r="G34" s="5" t="s">
        <v>1445</v>
      </c>
    </row>
    <row r="35" customFormat="false" ht="29.25" hidden="false" customHeight="true" outlineLevel="0" collapsed="false">
      <c r="A35" s="6" t="s">
        <v>1446</v>
      </c>
      <c r="B35" s="6" t="s">
        <v>1447</v>
      </c>
      <c r="C35" s="5" t="s">
        <v>1448</v>
      </c>
      <c r="D35" s="6" t="s">
        <v>93</v>
      </c>
      <c r="E35" s="6" t="s">
        <v>1449</v>
      </c>
      <c r="F35" s="6" t="s">
        <v>1450</v>
      </c>
      <c r="G35" s="5" t="s">
        <v>1419</v>
      </c>
    </row>
    <row r="36" customFormat="false" ht="29.25" hidden="false" customHeight="true" outlineLevel="0" collapsed="false">
      <c r="A36" s="6" t="s">
        <v>1451</v>
      </c>
      <c r="B36" s="6" t="s">
        <v>1452</v>
      </c>
      <c r="C36" s="6" t="s">
        <v>1453</v>
      </c>
      <c r="D36" s="6" t="s">
        <v>1454</v>
      </c>
      <c r="E36" s="6" t="s">
        <v>1306</v>
      </c>
      <c r="F36" s="6" t="s">
        <v>1455</v>
      </c>
      <c r="G36" s="5" t="s">
        <v>1456</v>
      </c>
    </row>
    <row r="37" customFormat="false" ht="29.25" hidden="false" customHeight="true" outlineLevel="0" collapsed="false">
      <c r="A37" s="6" t="s">
        <v>1457</v>
      </c>
      <c r="B37" s="6" t="s">
        <v>1458</v>
      </c>
      <c r="C37" s="6" t="s">
        <v>1459</v>
      </c>
      <c r="D37" s="6" t="s">
        <v>1460</v>
      </c>
      <c r="E37" s="6" t="s">
        <v>1301</v>
      </c>
      <c r="F37" s="6" t="s">
        <v>1461</v>
      </c>
      <c r="G37" s="5" t="s">
        <v>1462</v>
      </c>
    </row>
    <row r="38" customFormat="false" ht="29.25" hidden="false" customHeight="true" outlineLevel="0" collapsed="false">
      <c r="A38" s="6" t="s">
        <v>1463</v>
      </c>
      <c r="B38" s="6" t="s">
        <v>1464</v>
      </c>
      <c r="C38" s="6" t="s">
        <v>1465</v>
      </c>
      <c r="D38" s="6" t="s">
        <v>1427</v>
      </c>
      <c r="E38" s="6" t="s">
        <v>1296</v>
      </c>
      <c r="F38" s="6" t="s">
        <v>1466</v>
      </c>
      <c r="G38" s="5" t="s">
        <v>1467</v>
      </c>
    </row>
    <row r="39" customFormat="false" ht="29.25" hidden="false" customHeight="true" outlineLevel="0" collapsed="false">
      <c r="A39" s="6" t="s">
        <v>1468</v>
      </c>
      <c r="B39" s="6" t="s">
        <v>1469</v>
      </c>
      <c r="C39" s="6" t="s">
        <v>1470</v>
      </c>
      <c r="D39" s="6" t="s">
        <v>1471</v>
      </c>
      <c r="E39" s="6" t="s">
        <v>1472</v>
      </c>
      <c r="F39" s="6" t="s">
        <v>1473</v>
      </c>
      <c r="G39" s="5" t="s">
        <v>1292</v>
      </c>
    </row>
    <row r="40" customFormat="false" ht="57.75" hidden="false" customHeight="true" outlineLevel="0" collapsed="false">
      <c r="A40" s="6" t="s">
        <v>1276</v>
      </c>
      <c r="B40" s="6" t="s">
        <v>1474</v>
      </c>
      <c r="C40" s="5" t="s">
        <v>1475</v>
      </c>
      <c r="D40" s="6" t="s">
        <v>1476</v>
      </c>
      <c r="E40" s="6" t="s">
        <v>1306</v>
      </c>
      <c r="F40" s="6" t="s">
        <v>1477</v>
      </c>
      <c r="G40" s="5" t="s">
        <v>1419</v>
      </c>
    </row>
    <row r="41" customFormat="false" ht="29.25" hidden="false" customHeight="true" outlineLevel="0" collapsed="false">
      <c r="A41" s="6" t="s">
        <v>1279</v>
      </c>
      <c r="B41" s="6" t="s">
        <v>1478</v>
      </c>
      <c r="C41" s="6" t="s">
        <v>1479</v>
      </c>
      <c r="D41" s="6" t="s">
        <v>1480</v>
      </c>
      <c r="E41" s="6" t="s">
        <v>1411</v>
      </c>
      <c r="F41" s="6" t="s">
        <v>1481</v>
      </c>
      <c r="G41" s="5" t="s">
        <v>1419</v>
      </c>
    </row>
    <row r="42" customFormat="false" ht="43.5" hidden="false" customHeight="true" outlineLevel="0" collapsed="false">
      <c r="A42" s="6" t="s">
        <v>1264</v>
      </c>
      <c r="B42" s="6" t="s">
        <v>1482</v>
      </c>
      <c r="C42" s="6" t="s">
        <v>1483</v>
      </c>
      <c r="D42" s="6" t="s">
        <v>1484</v>
      </c>
      <c r="E42" s="6" t="s">
        <v>1485</v>
      </c>
      <c r="F42" s="6" t="s">
        <v>1486</v>
      </c>
      <c r="G42" s="5" t="s">
        <v>1487</v>
      </c>
    </row>
    <row r="43" customFormat="false" ht="29.25" hidden="false" customHeight="true" outlineLevel="0" collapsed="false">
      <c r="A43" s="6" t="s">
        <v>1488</v>
      </c>
      <c r="B43" s="6" t="s">
        <v>1489</v>
      </c>
      <c r="C43" s="6" t="s">
        <v>1490</v>
      </c>
      <c r="D43" s="6" t="s">
        <v>1491</v>
      </c>
      <c r="E43" s="6" t="s">
        <v>1492</v>
      </c>
      <c r="F43" s="6" t="s">
        <v>1493</v>
      </c>
      <c r="G43" s="5" t="s">
        <v>1419</v>
      </c>
    </row>
    <row r="44" customFormat="false" ht="40.5" hidden="false" customHeight="true" outlineLevel="0" collapsed="false">
      <c r="A44" s="6" t="s">
        <v>1261</v>
      </c>
      <c r="B44" s="6" t="s">
        <v>1494</v>
      </c>
      <c r="C44" s="5" t="s">
        <v>1495</v>
      </c>
      <c r="D44" s="6" t="s">
        <v>1496</v>
      </c>
      <c r="E44" s="6" t="s">
        <v>1497</v>
      </c>
      <c r="F44" s="6" t="s">
        <v>1498</v>
      </c>
      <c r="G44" s="5" t="s">
        <v>1499</v>
      </c>
    </row>
    <row r="45" customFormat="false" ht="29.25" hidden="false" customHeight="true" outlineLevel="0" collapsed="false">
      <c r="A45" s="6" t="s">
        <v>1500</v>
      </c>
      <c r="B45" s="6" t="s">
        <v>1501</v>
      </c>
      <c r="C45" s="6" t="s">
        <v>1502</v>
      </c>
      <c r="D45" s="6" t="s">
        <v>1503</v>
      </c>
      <c r="E45" s="6" t="s">
        <v>1296</v>
      </c>
      <c r="F45" s="6" t="s">
        <v>1504</v>
      </c>
      <c r="G45" s="5" t="s">
        <v>1505</v>
      </c>
    </row>
    <row r="46" customFormat="false" ht="29.25" hidden="false" customHeight="true" outlineLevel="0" collapsed="false">
      <c r="A46" s="6" t="s">
        <v>892</v>
      </c>
      <c r="B46" s="6" t="s">
        <v>1506</v>
      </c>
      <c r="C46" s="5" t="s">
        <v>1507</v>
      </c>
      <c r="D46" s="6" t="s">
        <v>1460</v>
      </c>
      <c r="E46" s="6" t="s">
        <v>1508</v>
      </c>
      <c r="F46" s="6" t="s">
        <v>1509</v>
      </c>
      <c r="G46" s="6" t="s">
        <v>1510</v>
      </c>
    </row>
    <row r="47" customFormat="false" ht="29.25" hidden="false" customHeight="true" outlineLevel="0" collapsed="false">
      <c r="A47" s="6" t="s">
        <v>1511</v>
      </c>
      <c r="B47" s="6" t="s">
        <v>1512</v>
      </c>
      <c r="C47" s="5" t="s">
        <v>1513</v>
      </c>
      <c r="D47" s="6" t="s">
        <v>1460</v>
      </c>
      <c r="E47" s="6" t="s">
        <v>1324</v>
      </c>
      <c r="F47" s="6" t="s">
        <v>1514</v>
      </c>
      <c r="G47" s="5" t="s">
        <v>1462</v>
      </c>
    </row>
    <row r="48" customFormat="false" ht="29.25" hidden="false" customHeight="true" outlineLevel="0" collapsed="false">
      <c r="A48" s="6" t="s">
        <v>1515</v>
      </c>
      <c r="B48" s="6" t="s">
        <v>1516</v>
      </c>
      <c r="C48" s="5" t="s">
        <v>1517</v>
      </c>
      <c r="D48" s="6" t="s">
        <v>1518</v>
      </c>
      <c r="E48" s="6" t="s">
        <v>1519</v>
      </c>
      <c r="F48" s="6" t="s">
        <v>1520</v>
      </c>
      <c r="G48" s="5" t="s">
        <v>1462</v>
      </c>
    </row>
    <row r="49" customFormat="false" ht="29.25" hidden="false" customHeight="true" outlineLevel="0" collapsed="false">
      <c r="A49" s="6" t="s">
        <v>1521</v>
      </c>
      <c r="B49" s="6" t="s">
        <v>1522</v>
      </c>
      <c r="C49" s="5" t="s">
        <v>1523</v>
      </c>
      <c r="D49" s="6" t="s">
        <v>1524</v>
      </c>
      <c r="E49" s="6" t="s">
        <v>1525</v>
      </c>
      <c r="F49" s="6" t="s">
        <v>1526</v>
      </c>
      <c r="G49" s="5" t="s">
        <v>1487</v>
      </c>
    </row>
    <row r="50" customFormat="false" ht="29.25" hidden="false" customHeight="true" outlineLevel="0" collapsed="false">
      <c r="A50" s="6" t="s">
        <v>1527</v>
      </c>
      <c r="B50" s="6" t="s">
        <v>1528</v>
      </c>
      <c r="C50" s="6" t="s">
        <v>1529</v>
      </c>
      <c r="D50" s="6" t="s">
        <v>1471</v>
      </c>
      <c r="E50" s="6" t="s">
        <v>1497</v>
      </c>
      <c r="F50" s="6" t="s">
        <v>1530</v>
      </c>
      <c r="G50" s="5" t="s">
        <v>1419</v>
      </c>
    </row>
    <row r="51" customFormat="false" ht="29.25" hidden="false" customHeight="true" outlineLevel="0" collapsed="false">
      <c r="A51" s="6" t="s">
        <v>1531</v>
      </c>
      <c r="B51" s="6" t="s">
        <v>1532</v>
      </c>
      <c r="C51" s="6" t="s">
        <v>1533</v>
      </c>
      <c r="D51" s="6" t="s">
        <v>1534</v>
      </c>
      <c r="E51" s="6" t="s">
        <v>1535</v>
      </c>
      <c r="F51" s="6" t="s">
        <v>1536</v>
      </c>
      <c r="G51" s="5" t="s">
        <v>1537</v>
      </c>
    </row>
    <row r="52" customFormat="false" ht="29.25" hidden="false" customHeight="true" outlineLevel="0" collapsed="false">
      <c r="A52" s="6" t="s">
        <v>1538</v>
      </c>
      <c r="B52" s="6" t="s">
        <v>1539</v>
      </c>
      <c r="C52" s="6" t="s">
        <v>1540</v>
      </c>
      <c r="D52" s="6" t="s">
        <v>1460</v>
      </c>
      <c r="E52" s="6" t="s">
        <v>1541</v>
      </c>
      <c r="F52" s="6" t="s">
        <v>1542</v>
      </c>
      <c r="G52" s="5" t="s">
        <v>1292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44"/>
  </cols>
  <sheetData>
    <row r="1" customFormat="false" ht="20.1" hidden="false" customHeight="false" outlineLevel="0" collapsed="false">
      <c r="A1" s="41" t="s">
        <v>1543</v>
      </c>
    </row>
    <row r="2" customFormat="false" ht="15" hidden="false" customHeight="false" outlineLevel="0" collapsed="false">
      <c r="A2" s="54" t="s">
        <v>1544</v>
      </c>
    </row>
    <row r="4" customFormat="false" ht="15" hidden="false" customHeight="false" outlineLevel="0" collapsed="false">
      <c r="A4" s="65" t="s">
        <v>511</v>
      </c>
      <c r="B4" s="64" t="s">
        <v>1285</v>
      </c>
      <c r="C4" s="64" t="s">
        <v>1545</v>
      </c>
      <c r="D4" s="64" t="s">
        <v>1546</v>
      </c>
      <c r="E4" s="64" t="s">
        <v>45</v>
      </c>
      <c r="F4" s="64" t="s">
        <v>1547</v>
      </c>
      <c r="G4" s="65" t="s">
        <v>1548</v>
      </c>
      <c r="H4" s="64" t="s">
        <v>1549</v>
      </c>
      <c r="I4" s="64" t="s">
        <v>1550</v>
      </c>
      <c r="J4" s="64" t="s">
        <v>1551</v>
      </c>
      <c r="K4" s="64" t="s">
        <v>1552</v>
      </c>
    </row>
    <row r="5" customFormat="false" ht="30" hidden="false" customHeight="true" outlineLevel="0" collapsed="false">
      <c r="A5" s="123" t="s">
        <v>1553</v>
      </c>
      <c r="B5" s="123" t="s">
        <v>1554</v>
      </c>
      <c r="C5" s="169" t="s">
        <v>1555</v>
      </c>
      <c r="D5" s="123" t="s">
        <v>1556</v>
      </c>
      <c r="E5" s="123" t="s">
        <v>163</v>
      </c>
      <c r="F5" s="169" t="s">
        <v>1557</v>
      </c>
      <c r="G5" s="123" t="s">
        <v>1558</v>
      </c>
      <c r="H5" s="123" t="s">
        <v>1559</v>
      </c>
      <c r="I5" s="90" t="s">
        <v>1560</v>
      </c>
      <c r="J5" s="123" t="s">
        <v>1561</v>
      </c>
      <c r="K5" s="169" t="s">
        <v>1562</v>
      </c>
    </row>
    <row r="6" customFormat="false" ht="30" hidden="false" customHeight="true" outlineLevel="0" collapsed="false">
      <c r="A6" s="123" t="s">
        <v>1563</v>
      </c>
      <c r="B6" s="123" t="s">
        <v>1554</v>
      </c>
      <c r="C6" s="169" t="s">
        <v>1564</v>
      </c>
      <c r="D6" s="123" t="s">
        <v>1457</v>
      </c>
      <c r="E6" s="123" t="s">
        <v>93</v>
      </c>
      <c r="F6" s="169" t="s">
        <v>1565</v>
      </c>
      <c r="G6" s="90" t="s">
        <v>1566</v>
      </c>
      <c r="H6" s="123" t="s">
        <v>1567</v>
      </c>
      <c r="I6" s="90" t="s">
        <v>1560</v>
      </c>
      <c r="J6" s="123" t="s">
        <v>1561</v>
      </c>
      <c r="K6" s="169"/>
    </row>
    <row r="7" customFormat="false" ht="30" hidden="false" customHeight="true" outlineLevel="0" collapsed="false">
      <c r="A7" s="123" t="s">
        <v>1568</v>
      </c>
      <c r="B7" s="123" t="s">
        <v>1554</v>
      </c>
      <c r="C7" s="169" t="s">
        <v>1569</v>
      </c>
      <c r="D7" s="123" t="s">
        <v>1463</v>
      </c>
      <c r="E7" s="123" t="s">
        <v>163</v>
      </c>
      <c r="F7" s="169" t="s">
        <v>1570</v>
      </c>
      <c r="G7" s="90" t="s">
        <v>1566</v>
      </c>
      <c r="H7" s="123" t="s">
        <v>1571</v>
      </c>
      <c r="I7" s="90" t="s">
        <v>1560</v>
      </c>
      <c r="J7" s="123" t="s">
        <v>1561</v>
      </c>
      <c r="K7" s="169"/>
    </row>
    <row r="8" customFormat="false" ht="30" hidden="false" customHeight="true" outlineLevel="0" collapsed="false">
      <c r="A8" s="123" t="s">
        <v>1572</v>
      </c>
      <c r="B8" s="123" t="s">
        <v>1554</v>
      </c>
      <c r="C8" s="170" t="s">
        <v>1573</v>
      </c>
      <c r="D8" s="123" t="s">
        <v>1276</v>
      </c>
      <c r="E8" s="123" t="s">
        <v>62</v>
      </c>
      <c r="F8" s="169" t="s">
        <v>1574</v>
      </c>
      <c r="G8" s="90" t="s">
        <v>1566</v>
      </c>
      <c r="H8" s="123" t="s">
        <v>1575</v>
      </c>
      <c r="I8" s="90" t="s">
        <v>1576</v>
      </c>
      <c r="J8" s="123" t="s">
        <v>1561</v>
      </c>
      <c r="K8" s="170" t="s">
        <v>1577</v>
      </c>
    </row>
    <row r="9" customFormat="false" ht="30" hidden="false" customHeight="true" outlineLevel="0" collapsed="false">
      <c r="A9" s="123" t="s">
        <v>1578</v>
      </c>
      <c r="B9" s="123" t="s">
        <v>1554</v>
      </c>
      <c r="C9" s="169" t="s">
        <v>1579</v>
      </c>
      <c r="D9" s="123" t="s">
        <v>1261</v>
      </c>
      <c r="E9" s="123" t="s">
        <v>163</v>
      </c>
      <c r="F9" s="169" t="s">
        <v>1580</v>
      </c>
      <c r="G9" s="123" t="s">
        <v>532</v>
      </c>
      <c r="H9" s="123" t="s">
        <v>1581</v>
      </c>
      <c r="I9" s="90" t="s">
        <v>1582</v>
      </c>
      <c r="J9" s="123" t="s">
        <v>1561</v>
      </c>
      <c r="K9" s="170" t="s">
        <v>1583</v>
      </c>
    </row>
    <row r="10" customFormat="false" ht="30" hidden="false" customHeight="true" outlineLevel="0" collapsed="false">
      <c r="A10" s="123" t="s">
        <v>1584</v>
      </c>
      <c r="B10" s="123" t="s">
        <v>1554</v>
      </c>
      <c r="C10" s="170" t="s">
        <v>1585</v>
      </c>
      <c r="D10" s="123" t="s">
        <v>1279</v>
      </c>
      <c r="E10" s="123" t="s">
        <v>62</v>
      </c>
      <c r="F10" s="169" t="s">
        <v>1586</v>
      </c>
      <c r="G10" s="123" t="s">
        <v>1587</v>
      </c>
      <c r="H10" s="90" t="s">
        <v>1588</v>
      </c>
      <c r="I10" s="90" t="s">
        <v>1589</v>
      </c>
      <c r="J10" s="123" t="s">
        <v>532</v>
      </c>
      <c r="K10" s="169" t="s">
        <v>1590</v>
      </c>
    </row>
    <row r="11" customFormat="false" ht="30" hidden="false" customHeight="true" outlineLevel="0" collapsed="false">
      <c r="A11" s="123" t="s">
        <v>1591</v>
      </c>
      <c r="B11" s="123" t="s">
        <v>1592</v>
      </c>
      <c r="C11" s="170" t="s">
        <v>1593</v>
      </c>
      <c r="D11" s="123" t="s">
        <v>1594</v>
      </c>
      <c r="E11" s="123" t="s">
        <v>163</v>
      </c>
      <c r="F11" s="169" t="s">
        <v>1595</v>
      </c>
      <c r="G11" s="123" t="s">
        <v>1596</v>
      </c>
      <c r="H11" s="123" t="s">
        <v>1597</v>
      </c>
      <c r="I11" s="90" t="s">
        <v>1560</v>
      </c>
      <c r="J11" s="123" t="s">
        <v>1598</v>
      </c>
      <c r="K11" s="169" t="s">
        <v>1599</v>
      </c>
    </row>
    <row r="12" customFormat="false" ht="30" hidden="false" customHeight="true" outlineLevel="0" collapsed="false">
      <c r="A12" s="123" t="s">
        <v>1600</v>
      </c>
      <c r="B12" s="123" t="s">
        <v>1592</v>
      </c>
      <c r="C12" s="170" t="s">
        <v>1601</v>
      </c>
      <c r="D12" s="123" t="s">
        <v>1500</v>
      </c>
      <c r="E12" s="123" t="s">
        <v>93</v>
      </c>
      <c r="F12" s="169" t="s">
        <v>1602</v>
      </c>
      <c r="G12" s="123" t="s">
        <v>1603</v>
      </c>
      <c r="H12" s="123" t="s">
        <v>167</v>
      </c>
      <c r="I12" s="90" t="s">
        <v>1604</v>
      </c>
      <c r="J12" s="123" t="s">
        <v>1561</v>
      </c>
      <c r="K12" s="170" t="s">
        <v>1605</v>
      </c>
    </row>
    <row r="13" customFormat="false" ht="30" hidden="false" customHeight="true" outlineLevel="0" collapsed="false">
      <c r="A13" s="123" t="s">
        <v>1606</v>
      </c>
      <c r="B13" s="123" t="s">
        <v>1592</v>
      </c>
      <c r="C13" s="169" t="s">
        <v>1607</v>
      </c>
      <c r="D13" s="123" t="s">
        <v>1531</v>
      </c>
      <c r="E13" s="123" t="s">
        <v>62</v>
      </c>
      <c r="F13" s="169" t="s">
        <v>1608</v>
      </c>
      <c r="G13" s="123" t="s">
        <v>532</v>
      </c>
      <c r="H13" s="90" t="s">
        <v>1609</v>
      </c>
      <c r="I13" s="90" t="s">
        <v>1582</v>
      </c>
      <c r="J13" s="123" t="s">
        <v>1598</v>
      </c>
      <c r="K13" s="170" t="s">
        <v>1610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2026-10-01T06:49:47Z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