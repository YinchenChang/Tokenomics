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因子" sheetId="1" state="visible" r:id="rId1"/>
    <sheet xmlns:r="http://schemas.openxmlformats.org/officeDocument/2006/relationships" name="證據" sheetId="2" state="visible" r:id="rId2"/>
    <sheet xmlns:r="http://schemas.openxmlformats.org/officeDocument/2006/relationships" name="合約換算" sheetId="3" state="visible" r:id="rId3"/>
    <sheet xmlns:r="http://schemas.openxmlformats.org/officeDocument/2006/relationships" name="未找到" sheetId="4" state="visible" r:id="rId4"/>
    <sheet xmlns:r="http://schemas.openxmlformats.org/officeDocument/2006/relationships" name="待判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輸入（藍字＝來自 Tokenomics 或證據；其餘為公式）</t>
        </is>
      </c>
    </row>
    <row r="2">
      <c r="A2" t="inlineStr">
        <is>
          <t>推論支出 SRC_DEM_004（$B）</t>
        </is>
      </c>
      <c r="B2" s="2" t="n">
        <v>8.4</v>
      </c>
    </row>
    <row r="3">
      <c r="A3" t="inlineStr">
        <is>
          <t>訓練支出 SRC_DEM_006（$B）</t>
        </is>
      </c>
      <c r="B3" s="2" t="n">
        <v>12</v>
      </c>
    </row>
    <row r="4">
      <c r="A4" t="inlineStr">
        <is>
          <t>服務 GW（L1_ServeGW_GW25）</t>
        </is>
      </c>
      <c r="B4" s="2" t="n">
        <v>0.4624</v>
      </c>
    </row>
    <row r="5">
      <c r="A5" t="inlineStr">
        <is>
          <t>機隊每 GW 年持有成本 AL_FleetHold（$B）</t>
        </is>
      </c>
      <c r="B5" s="2" t="n">
        <v>9.353</v>
      </c>
    </row>
    <row r="6">
      <c r="A6" t="inlineStr">
        <is>
          <t>機隊平均上線 GW AL_FleetGW25</t>
        </is>
      </c>
      <c r="B6" s="2" t="n">
        <v>1.128</v>
      </c>
    </row>
    <row r="7">
      <c r="A7" t="inlineStr">
        <is>
          <t>Epoch 引 2025 雲端算力總支出（$B）</t>
        </is>
      </c>
      <c r="B7" s="2" t="n">
        <v>16</v>
      </c>
    </row>
    <row r="9">
      <c r="A9" t="inlineStr">
        <is>
          <t>TK 服務算力成本（$B）</t>
        </is>
      </c>
      <c r="B9">
        <f>B4*B5</f>
        <v/>
      </c>
    </row>
    <row r="10">
      <c r="A10" t="inlineStr">
        <is>
          <t>9a 缺口（推論÷TK 服務成本）</t>
        </is>
      </c>
      <c r="B10">
        <f>B2/B9</f>
        <v/>
      </c>
    </row>
    <row r="11">
      <c r="A11" t="inlineStr">
        <is>
          <t>推論＋訓練（$B）</t>
        </is>
      </c>
      <c r="B11">
        <f>B2+B3</f>
        <v/>
      </c>
    </row>
    <row r="12">
      <c r="A12" t="inlineStr">
        <is>
          <t>總缺口（204÷(平均GW×持有成本)）</t>
        </is>
      </c>
      <c r="B12">
        <f>B11/(B6*B5)</f>
        <v/>
      </c>
    </row>
    <row r="13">
      <c r="A13" t="inlineStr">
        <is>
          <t>Epoch 160 ÷ 204（s 的上限代理）</t>
        </is>
      </c>
      <c r="B13">
        <f>B7/B11</f>
        <v/>
      </c>
    </row>
    <row r="15">
      <c r="A15" s="1" t="inlineStr">
        <is>
          <t>(b) 平均 GW 取不同值時，扣除 GW 後剩餘缺口 R＝總缺口÷GW因子</t>
        </is>
      </c>
    </row>
    <row r="16">
      <c r="A16" s="3" t="inlineStr">
        <is>
          <t>平均 GW 情境</t>
        </is>
      </c>
      <c r="B16" s="3" t="inlineStr">
        <is>
          <t>GW（實際）</t>
        </is>
      </c>
      <c r="C16" s="3" t="inlineStr">
        <is>
          <t>GW 因子＝GW÷1.128</t>
        </is>
      </c>
      <c r="D16" s="3" t="inlineStr">
        <is>
          <t>剩餘缺口 R＝B12÷GW因子</t>
        </is>
      </c>
    </row>
    <row r="17">
      <c r="A17" t="inlineStr">
        <is>
          <t>低（1.0）</t>
        </is>
      </c>
      <c r="B17" s="2" t="n">
        <v>1</v>
      </c>
      <c r="C17">
        <f>B17/$B$6</f>
        <v/>
      </c>
      <c r="D17">
        <f>$B$12/C17</f>
        <v/>
      </c>
    </row>
    <row r="18">
      <c r="A18" t="inlineStr">
        <is>
          <t>模型（1.128）</t>
        </is>
      </c>
      <c r="B18" s="2" t="n">
        <v>1.128</v>
      </c>
      <c r="C18">
        <f>B18/$B$6</f>
        <v/>
      </c>
      <c r="D18">
        <f>$B$12/C18</f>
        <v/>
      </c>
    </row>
    <row r="19">
      <c r="A19" t="inlineStr">
        <is>
          <t>高（1.25）</t>
        </is>
      </c>
      <c r="B19" s="2" t="n">
        <v>1.25</v>
      </c>
      <c r="C19">
        <f>B19/$B$6</f>
        <v/>
      </c>
      <c r="D19">
        <f>$B$12/C19</f>
        <v/>
      </c>
    </row>
    <row r="21">
      <c r="A21" s="1" t="inlineStr">
        <is>
          <t>(c) 必須為真：價格因子 P 給定時，口徑因子 1/s＝R÷P，s＝204 億中屬當年上線算力費用的比例</t>
        </is>
      </c>
    </row>
    <row r="22">
      <c r="A22" s="3" t="inlineStr">
        <is>
          <t>價格因子 P（OpenAI 實付÷9.353）</t>
        </is>
      </c>
      <c r="B22" s="3" t="inlineStr">
        <is>
          <t>依據</t>
        </is>
      </c>
      <c r="C22" s="3" t="inlineStr">
        <is>
          <t>1/s（GW=1.0）</t>
        </is>
      </c>
      <c r="D22" s="3" t="inlineStr">
        <is>
          <t>s（GW=1.0）</t>
        </is>
      </c>
      <c r="E22" s="3" t="inlineStr">
        <is>
          <t>1/s（GW=1.128）</t>
        </is>
      </c>
      <c r="F22" s="3" t="inlineStr">
        <is>
          <t>s（GW=1.128）</t>
        </is>
      </c>
      <c r="G22" s="3" t="inlineStr">
        <is>
          <t>1/s（GW=1.25）</t>
        </is>
      </c>
      <c r="H22" s="3" t="inlineStr">
        <is>
          <t>s（GW=1.25）</t>
        </is>
      </c>
    </row>
    <row r="23">
      <c r="A23" s="2" t="n">
        <v>0.89</v>
      </c>
      <c r="B23" t="inlineStr">
        <is>
          <t>同口徑長約低端（B 段）</t>
        </is>
      </c>
      <c r="C23">
        <f>$D$17/$A23</f>
        <v/>
      </c>
      <c r="D23">
        <f>1/C23</f>
        <v/>
      </c>
      <c r="E23">
        <f>$D$18/$A23</f>
        <v/>
      </c>
      <c r="F23">
        <f>1/E23</f>
        <v/>
      </c>
      <c r="G23">
        <f>$D$19/$A23</f>
        <v/>
      </c>
      <c r="H23">
        <f>1/G23</f>
        <v/>
      </c>
    </row>
    <row r="24">
      <c r="A24" s="2" t="n">
        <v>1.07</v>
      </c>
      <c r="B24" t="inlineStr">
        <is>
          <t>CoreWeave 全客戶約 10 億／GW·年（W3-03，Derived）</t>
        </is>
      </c>
      <c r="C24">
        <f>$D$17/$A24</f>
        <v/>
      </c>
      <c r="D24">
        <f>1/C24</f>
        <v/>
      </c>
      <c r="E24">
        <f>$D$18/$A24</f>
        <v/>
      </c>
      <c r="F24">
        <f>1/E24</f>
        <v/>
      </c>
      <c r="G24">
        <f>$D$19/$A24</f>
        <v/>
      </c>
      <c r="H24">
        <f>1/G24</f>
        <v/>
      </c>
    </row>
    <row r="25">
      <c r="A25" s="2" t="n">
        <v>1.12</v>
      </c>
      <c r="B25" t="inlineStr">
        <is>
          <t>同口徑長約高端（B 段）</t>
        </is>
      </c>
      <c r="C25">
        <f>$D$17/$A25</f>
        <v/>
      </c>
      <c r="D25">
        <f>1/C25</f>
        <v/>
      </c>
      <c r="E25">
        <f>$D$18/$A25</f>
        <v/>
      </c>
      <c r="F25">
        <f>1/E25</f>
        <v/>
      </c>
      <c r="G25">
        <f>$D$19/$A25</f>
        <v/>
      </c>
      <c r="H25">
        <f>1/G25</f>
        <v/>
      </c>
    </row>
    <row r="26">
      <c r="A26" s="2" t="n">
        <v>1.42</v>
      </c>
      <c r="B26" t="inlineStr">
        <is>
          <t>Oracle 3000 億／5 年／4.5 GW 高端（W3-01）</t>
        </is>
      </c>
      <c r="C26">
        <f>$D$17/$A26</f>
        <v/>
      </c>
      <c r="D26">
        <f>1/C26</f>
        <v/>
      </c>
      <c r="E26">
        <f>$D$18/$A26</f>
        <v/>
      </c>
      <c r="F26">
        <f>1/E26</f>
        <v/>
      </c>
      <c r="G26">
        <f>$D$19/$A26</f>
        <v/>
      </c>
      <c r="H26">
        <f>1/G26</f>
        <v/>
      </c>
    </row>
    <row r="28">
      <c r="A28" s="1" t="inlineStr">
        <is>
          <t>(d) 獨立證據相乘能否重現總缺口</t>
        </is>
      </c>
    </row>
    <row r="29">
      <c r="A29" s="3" t="inlineStr">
        <is>
          <t>情境</t>
        </is>
      </c>
      <c r="B29" s="3" t="inlineStr">
        <is>
          <t>GW因子</t>
        </is>
      </c>
      <c r="C29" s="3" t="inlineStr">
        <is>
          <t>價格因子</t>
        </is>
      </c>
      <c r="D29" s="3" t="inlineStr">
        <is>
          <t>口徑因子 1/s</t>
        </is>
      </c>
      <c r="E29" s="3" t="inlineStr">
        <is>
          <t>乘積</t>
        </is>
      </c>
      <c r="F29" s="3" t="inlineStr">
        <is>
          <t>對照總缺口(B12)</t>
        </is>
      </c>
      <c r="G29" s="3" t="inlineStr">
        <is>
          <t>乘積÷總缺口</t>
        </is>
      </c>
    </row>
    <row r="30">
      <c r="A30" t="inlineStr">
        <is>
          <t>低</t>
        </is>
      </c>
      <c r="B30" s="2" t="n">
        <v>0.887</v>
      </c>
      <c r="C30" s="2" t="n">
        <v>0.89</v>
      </c>
      <c r="D30" s="2" t="n">
        <v>1</v>
      </c>
      <c r="E30">
        <f>B30*C30*D30</f>
        <v/>
      </c>
      <c r="F30">
        <f>$B$12</f>
        <v/>
      </c>
      <c r="G30">
        <f>E30/F30</f>
        <v/>
      </c>
    </row>
    <row r="31">
      <c r="A31" t="inlineStr">
        <is>
          <t>中</t>
        </is>
      </c>
      <c r="B31" s="2" t="n">
        <v>1</v>
      </c>
      <c r="C31" s="2" t="n">
        <v>1.07</v>
      </c>
      <c r="D31">
        <f>1/B13</f>
        <v/>
      </c>
      <c r="E31">
        <f>B31*C31*D31</f>
        <v/>
      </c>
      <c r="F31">
        <f>$B$12</f>
        <v/>
      </c>
      <c r="G31">
        <f>E31/F31</f>
        <v/>
      </c>
    </row>
    <row r="32">
      <c r="A32" t="inlineStr">
        <is>
          <t>高</t>
        </is>
      </c>
      <c r="B32" s="2" t="n">
        <v>1.108</v>
      </c>
      <c r="C32" s="2" t="n">
        <v>1.42</v>
      </c>
      <c r="D32">
        <f>1/B13</f>
        <v/>
      </c>
      <c r="E32">
        <f>B32*C32*D32</f>
        <v/>
      </c>
      <c r="F32">
        <f>$B$12</f>
        <v/>
      </c>
      <c r="G32">
        <f>E32/F32</f>
        <v/>
      </c>
    </row>
    <row r="34">
      <c r="A34" t="inlineStr">
        <is>
          <t>註：(d) 為舊版對照，口徑因子取 204÷160（Epoch 雲端總支出）；160 億已被查核帳取代（chat 端），不作結論。</t>
        </is>
      </c>
    </row>
    <row r="36">
      <c r="A36" s="1" t="inlineStr">
        <is>
          <t>(e) 兩年一致性（Assumed 區間，不是來源值）</t>
        </is>
      </c>
    </row>
    <row r="37">
      <c r="A37" s="3" t="inlineStr">
        <is>
          <t>項目</t>
        </is>
      </c>
      <c r="B37" s="3" t="inlineStr">
        <is>
          <t>低</t>
        </is>
      </c>
      <c r="C37" s="3" t="inlineStr">
        <is>
          <t>高</t>
        </is>
      </c>
      <c r="D37" s="3" t="inlineStr">
        <is>
          <t>備註</t>
        </is>
      </c>
    </row>
    <row r="38">
      <c r="A38" t="inlineStr">
        <is>
          <t>2025 總算力支出（$B）</t>
        </is>
      </c>
      <c r="B38">
        <f>B7</f>
        <v/>
      </c>
      <c r="C38">
        <f>B7</f>
        <v/>
      </c>
      <c r="D38" t="inlineStr">
        <is>
          <t>Epoch 引報導</t>
        </is>
      </c>
    </row>
    <row r="39">
      <c r="A39" t="inlineStr">
        <is>
          <t>2025 平均 GW</t>
        </is>
      </c>
      <c r="B39" s="2" t="n">
        <v>1</v>
      </c>
      <c r="C39" s="2" t="n">
        <v>1.25</v>
      </c>
      <c r="D39" t="inlineStr">
        <is>
          <t>官方端點內插區間</t>
        </is>
      </c>
    </row>
    <row r="40">
      <c r="A40" t="inlineStr">
        <is>
          <t>2025 支出÷GW（$B/GW·年）</t>
        </is>
      </c>
      <c r="B40">
        <f>B38/C39</f>
        <v/>
      </c>
      <c r="C40">
        <f>C38/B39</f>
        <v/>
      </c>
      <c r="D40" t="inlineStr">
        <is>
          <t>高＝支出÷低GW</t>
        </is>
      </c>
    </row>
    <row r="41">
      <c r="A41" t="inlineStr">
        <is>
          <t>2026 總算力支出（$B）</t>
        </is>
      </c>
      <c r="B41" s="2" t="n">
        <v>50</v>
      </c>
      <c r="C41" s="2" t="n">
        <v>50</v>
      </c>
      <c r="D41" t="inlineStr">
        <is>
          <t>Brockman 證詞</t>
        </is>
      </c>
    </row>
    <row r="42">
      <c r="A42" t="inlineStr">
        <is>
          <t>2026 平均 GW（Assumed）</t>
        </is>
      </c>
      <c r="B42" s="2" t="n">
        <v>3</v>
      </c>
      <c r="C42" s="2" t="n">
        <v>4.5</v>
      </c>
      <c r="D42" t="inlineStr">
        <is>
          <t>無來源；沿用上一輪粗估 3.5–4，這裡放寬</t>
        </is>
      </c>
    </row>
    <row r="43">
      <c r="A43" t="inlineStr">
        <is>
          <t>2026 支出÷GW（$B/GW·年）</t>
        </is>
      </c>
      <c r="B43">
        <f>B41/C42</f>
        <v/>
      </c>
      <c r="C43">
        <f>C41/B42</f>
        <v/>
      </c>
      <c r="D43" t="inlineStr"/>
    </row>
    <row r="44">
      <c r="A44" t="inlineStr">
        <is>
          <t>÷9.353 持有成本（2025）</t>
        </is>
      </c>
      <c r="B44">
        <f>B40/$B$5</f>
        <v/>
      </c>
      <c r="C44">
        <f>C40/$B$5</f>
        <v/>
      </c>
      <c r="D44" t="inlineStr"/>
    </row>
    <row r="45">
      <c r="A45" t="inlineStr">
        <is>
          <t>÷9.353 持有成本（2026）</t>
        </is>
      </c>
      <c r="B45">
        <f>B43/$B$5</f>
        <v/>
      </c>
      <c r="C45">
        <f>C43/$B$5</f>
        <v/>
      </c>
      <c r="D45" t="inlineStr"/>
    </row>
    <row r="47">
      <c r="A47" s="1" t="inlineStr">
        <is>
          <t>(f) 依查核帳 s（chat 端）反推價格因子 P＝R÷(1/s)＝R×s（必須為真）</t>
        </is>
      </c>
    </row>
    <row r="48">
      <c r="A48" s="3" t="inlineStr">
        <is>
          <t>s（chat 端）</t>
        </is>
      </c>
      <c r="B48" s="3" t="inlineStr">
        <is>
          <t>P（GW=1.0）</t>
        </is>
      </c>
      <c r="C48" s="3" t="inlineStr">
        <is>
          <t>P（GW=1.128）</t>
        </is>
      </c>
      <c r="D48" s="3" t="inlineStr">
        <is>
          <t>P（GW=1.25）</t>
        </is>
      </c>
    </row>
    <row r="49">
      <c r="A49" s="2" t="n">
        <v>0.85</v>
      </c>
      <c r="B49">
        <f>$D$17*$A49</f>
        <v/>
      </c>
      <c r="C49">
        <f>$D$18*$A49</f>
        <v/>
      </c>
      <c r="D49">
        <f>$D$19*$A49</f>
        <v/>
      </c>
    </row>
    <row r="50">
      <c r="A50" s="2" t="n">
        <v>1</v>
      </c>
      <c r="B50">
        <f>$D$17*$A50</f>
        <v/>
      </c>
      <c r="C50">
        <f>$D$18*$A50</f>
        <v/>
      </c>
      <c r="D50">
        <f>$D$19*$A50</f>
        <v/>
      </c>
    </row>
    <row r="51">
      <c r="A51" t="inlineStr">
        <is>
          <t>chat 端 Derived：Azure 隱含每 GW·年為持有成本的 1.4–2.3 倍（約 $2.3–3.9／GPU 小時），非實付價直接證據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0" customWidth="1" min="3" max="3"/>
    <col width="10" customWidth="1" min="4" max="4"/>
    <col width="8" customWidth="1" min="5" max="5"/>
    <col width="26" customWidth="1" min="6" max="6"/>
    <col width="14" customWidth="1" min="7" max="7"/>
    <col width="36" customWidth="1" min="8" max="8"/>
    <col width="12" customWidth="1" min="9" max="9"/>
    <col width="12" customWidth="1" min="10" max="10"/>
    <col width="8" customWidth="1" min="11" max="11"/>
    <col width="18" customWidth="1" min="12" max="12"/>
    <col width="14" customWidth="1" min="13" max="13"/>
    <col width="28" customWidth="1" min="14" max="14"/>
  </cols>
  <sheetData>
    <row r="1">
      <c r="A1" s="3" t="inlineStr">
        <is>
          <t>編號</t>
        </is>
      </c>
      <c r="B1" s="3" t="inlineStr">
        <is>
          <t>項目</t>
        </is>
      </c>
      <c r="C1" s="3" t="inlineStr">
        <is>
          <t>主張原句／內容</t>
        </is>
      </c>
      <c r="D1" s="3" t="inlineStr">
        <is>
          <t>數值</t>
        </is>
      </c>
      <c r="E1" s="3" t="inlineStr">
        <is>
          <t>單位</t>
        </is>
      </c>
      <c r="F1" s="3" t="inlineStr">
        <is>
          <t>口徑</t>
        </is>
      </c>
      <c r="G1" s="3" t="inlineStr">
        <is>
          <t>期間</t>
        </is>
      </c>
      <c r="H1" s="3" t="inlineStr">
        <is>
          <t>出處網址</t>
        </is>
      </c>
      <c r="I1" s="3" t="inlineStr">
        <is>
          <t>出處日期</t>
        </is>
      </c>
      <c r="J1" s="3" t="inlineStr">
        <is>
          <t>取得方式</t>
        </is>
      </c>
      <c r="K1" s="3" t="inlineStr">
        <is>
          <t>等級</t>
        </is>
      </c>
      <c r="L1" s="3" t="inlineStr">
        <is>
          <t>立場</t>
        </is>
      </c>
      <c r="M1" s="3" t="inlineStr">
        <is>
          <t>對應名稱</t>
        </is>
      </c>
      <c r="N1" s="3" t="inlineStr">
        <is>
          <t>支持或反駁</t>
        </is>
      </c>
    </row>
    <row r="2">
      <c r="A2" s="4" t="inlineStr">
        <is>
          <t>W1-01</t>
        </is>
      </c>
      <c r="B2" s="4" t="inlineStr">
        <is>
          <t>W1</t>
        </is>
      </c>
      <c r="C2" s="4" t="inlineStr">
        <is>
          <t>The Information 報導（付費牆未讀）：2025 推論成本約 84 億，約為 2024 的 4 倍，高於夏季預測 66 億；其中免費用戶約 39 億、付費用戶約 45 億。 / Inference costs ~$8.4B, ~4x 2024, above the $6.6B summer forecast; ~$3.9B free users, ~$4.5B paying.</t>
        </is>
      </c>
      <c r="D2" s="4" t="inlineStr">
        <is>
          <t>8.4</t>
        </is>
      </c>
      <c r="E2" s="4" t="inlineStr">
        <is>
          <t>$B</t>
        </is>
      </c>
      <c r="F2" s="4" t="inlineStr">
        <is>
          <t>推論成本（用於毛利率分子）；含免費用戶；是否含 RL／內部使用未明。39／45／66 三項細項僅見二手摘要，抽查未能核對</t>
        </is>
      </c>
      <c r="G2" s="4" t="inlineStr">
        <is>
          <t>2025 全年（報導於 2026-02 前後，為實際）</t>
        </is>
      </c>
      <c r="H2" s="4" t="inlineStr">
        <is>
          <t>https://finance.biggo.com/news/mRiPlZwBTwP6zY3HRxp-（及 aiafterhours、controlplane、safeguard 同源轉述）</t>
        </is>
      </c>
      <c r="I2" s="4" t="inlineStr">
        <is>
          <t>約 2026-02-24</t>
        </is>
      </c>
      <c r="J2" s="4" t="inlineStr">
        <is>
          <t>二手（同源算 1 個）</t>
        </is>
      </c>
      <c r="K2" s="4" t="inlineStr">
        <is>
          <t>3</t>
        </is>
      </c>
      <c r="L2" s="4" t="inlineStr">
        <is>
          <t>The Information 為媒體；OpenAI 無誘因誇大成本</t>
        </is>
      </c>
      <c r="M2" s="4" t="inlineStr">
        <is>
          <t>SRC_DEM_004</t>
        </is>
      </c>
      <c r="N2" s="4" t="inlineStr">
        <is>
          <t>口徑：84 億含免費；不含 Microsoft 自家產品推論為 Project 預設（Epoch 對 2024 的說法，未證實適用 2025）</t>
        </is>
      </c>
    </row>
    <row r="3">
      <c r="A3" s="4" t="inlineStr">
        <is>
          <t>W1-02</t>
        </is>
      </c>
      <c r="B3" s="4" t="inlineStr">
        <is>
          <t>W1</t>
        </is>
      </c>
      <c r="C3" s="4" t="inlineStr">
        <is>
          <t>毛利率 2025 為 33%，低於 2024 的 40% 與內部目標 46%；原因（二手摘要的轉述，非逐字引語）：需求超預期，以較貴價格追加算力。 / adjusted gross margin 33% vs 40% (2024), target 46%.</t>
        </is>
      </c>
      <c r="D3" s="4" t="inlineStr">
        <is>
          <t>33 / 46</t>
        </is>
      </c>
      <c r="E3" s="4" t="inlineStr">
        <is>
          <t>%</t>
        </is>
      </c>
      <c r="F3" s="4" t="inlineStr">
        <is>
          <t>adjusted gross margin（營收減推論成本）</t>
        </is>
      </c>
      <c r="G3" s="4" t="inlineStr">
        <is>
          <t>2025</t>
        </is>
      </c>
      <c r="H3" s="4" t="inlineStr">
        <is>
          <t>同 W1-01</t>
        </is>
      </c>
      <c r="I3" s="4" t="inlineStr">
        <is>
          <t>約 2026-02</t>
        </is>
      </c>
      <c r="J3" s="4" t="inlineStr">
        <is>
          <t>二手</t>
        </is>
      </c>
      <c r="K3" s="4" t="inlineStr">
        <is>
          <t>3</t>
        </is>
      </c>
      <c r="L3" s="4" t="inlineStr">
        <is>
          <t>同上</t>
        </is>
      </c>
      <c r="M3" s="4" t="inlineStr">
        <is>
          <t>SRC_DEM_004</t>
        </is>
      </c>
      <c r="N3" s="4" t="inlineStr">
        <is>
          <t>價格因子：隨需加價，但無金額或比例</t>
        </is>
      </c>
    </row>
    <row r="4">
      <c r="A4" s="4" t="inlineStr">
        <is>
          <t>W1-03</t>
        </is>
      </c>
      <c r="B4" s="4" t="inlineStr">
        <is>
          <t>W1</t>
        </is>
      </c>
      <c r="C4" s="4" t="inlineStr">
        <is>
          <t>內部指標 compute margin 2025-10 約 70%（2024 底 52%），不含訓練與管銷；OpenAI 發言人稱未公開。 / 'compute margin' ~70% Oct 2025, excludes training and overhead.</t>
        </is>
      </c>
      <c r="D4" s="4" t="inlineStr">
        <is>
          <t>70</t>
        </is>
      </c>
      <c r="E4" s="4" t="inlineStr">
        <is>
          <t>%</t>
        </is>
      </c>
      <c r="F4" s="4" t="inlineStr">
        <is>
          <t>不同於 33%</t>
        </is>
      </c>
      <c r="G4" s="4" t="inlineStr">
        <is>
          <t>2025-10</t>
        </is>
      </c>
      <c r="H4" s="4" t="inlineStr">
        <is>
          <t>https://fortune.com/2025/12/21/openai-compute-margins-revenue-chatgpt-earnings-sam-altman/（搜尋摘要）</t>
        </is>
      </c>
      <c r="I4" s="4" t="inlineStr">
        <is>
          <t>2025-12-21</t>
        </is>
      </c>
      <c r="J4" s="4" t="inlineStr">
        <is>
          <t>二手</t>
        </is>
      </c>
      <c r="K4" s="4" t="inlineStr">
        <is>
          <t>3</t>
        </is>
      </c>
      <c r="L4" s="4" t="inlineStr">
        <is>
          <t>The Information 轉述</t>
        </is>
      </c>
      <c r="M4" s="4" t="inlineStr">
        <is>
          <t>—</t>
        </is>
      </c>
      <c r="N4" s="4" t="inlineStr">
        <is>
          <t>說明 84 億僅為推論，不含訓練</t>
        </is>
      </c>
    </row>
    <row r="5">
      <c r="A5" s="4" t="inlineStr">
        <is>
          <t>W1-04</t>
        </is>
      </c>
      <c r="B5" s="4" t="inlineStr">
        <is>
          <t>W1</t>
        </is>
      </c>
      <c r="C5" s="4" t="inlineStr">
        <is>
          <t>Sacra：2025 推論 84 億，2026 預測 141 億（+68%）；多站轉述同一 Sacra 估計。 / Sacra: inference $8.4B 2025, $14.1B 2026.</t>
        </is>
      </c>
      <c r="D5" s="4" t="inlineStr">
        <is>
          <t>8.4 / 14.1</t>
        </is>
      </c>
      <c r="E5" s="4" t="inlineStr">
        <is>
          <t>$B</t>
        </is>
      </c>
      <c r="F5" s="4" t="inlineStr">
        <is>
          <t>推論；2026 為預測</t>
        </is>
      </c>
      <c r="G5" s="4" t="inlineStr">
        <is>
          <t>2025／2026</t>
        </is>
      </c>
      <c r="H5" s="4" t="inlineStr">
        <is>
          <t>https://sacra.com/c/openai/（搜尋摘要；本環境 DNS 失敗）</t>
        </is>
      </c>
      <c r="I5" s="4" t="inlineStr">
        <is>
          <t>2026</t>
        </is>
      </c>
      <c r="J5" s="4" t="inlineStr">
        <is>
          <t>二手（同源）</t>
        </is>
      </c>
      <c r="K5" s="4" t="inlineStr">
        <is>
          <t>3–4</t>
        </is>
      </c>
      <c r="L5" s="4" t="inlineStr">
        <is>
          <t>Sacra 為研究賣方</t>
        </is>
      </c>
      <c r="M5" s="4" t="inlineStr">
        <is>
          <t>SRC_DEM_004</t>
        </is>
      </c>
      <c r="N5" s="4" t="inlineStr">
        <is>
          <t>與 W1-01 同數，非獨立</t>
        </is>
      </c>
    </row>
    <row r="6">
      <c r="A6" s="4" t="inlineStr">
        <is>
          <t>W1-05</t>
        </is>
      </c>
      <c r="B6" s="4" t="inlineStr">
        <is>
          <t>W1</t>
        </is>
      </c>
      <c r="C6" s="4" t="inlineStr">
        <is>
          <t>搜尋摘要稱某電子報引 The Information「預期去年花 94 億美元於訓練算力」，抽查找不到該原文；最近可核對者為 2025-09 報導的『2025 訓練逾 90 億』（預測值）。</t>
        </is>
      </c>
      <c r="D6" s="4" t="inlineStr">
        <is>
          <t>9.4</t>
        </is>
      </c>
      <c r="E6" s="4" t="inlineStr">
        <is>
          <t>$B</t>
        </is>
      </c>
      <c r="F6" s="4" t="inlineStr">
        <is>
          <t>訓練算力；預測 vs 實際不明</t>
        </is>
      </c>
      <c r="G6" s="4" t="inlineStr">
        <is>
          <t>2025（預測）</t>
        </is>
      </c>
      <c r="H6" s="4" t="inlineStr">
        <is>
          <t>https://aiafterhours.substack.com/p/openai-vs-anthropic-the-121-billion（搜尋摘要；頁面本環境無法開啟，原文未核對）</t>
        </is>
      </c>
      <c r="I6" s="4" t="inlineStr">
        <is>
          <t>未明</t>
        </is>
      </c>
      <c r="J6" s="4" t="inlineStr">
        <is>
          <t>二手（無法核對）</t>
        </is>
      </c>
      <c r="K6" s="4" t="inlineStr">
        <is>
          <t>4</t>
        </is>
      </c>
      <c r="L6" s="4" t="inlineStr">
        <is>
          <t>—</t>
        </is>
      </c>
      <c r="M6" s="4" t="inlineStr">
        <is>
          <t>SRC_DEM_006</t>
        </is>
      </c>
      <c r="N6" s="4" t="inlineStr">
        <is>
          <t>最接近的外部訓練數為約 90–94 億預測，非 120 億；但為預測、未核對原文</t>
        </is>
      </c>
    </row>
    <row r="7">
      <c r="A7" s="4" t="inlineStr">
        <is>
          <t>W1-06</t>
        </is>
      </c>
      <c r="B7" s="4" t="inlineStr">
        <is>
          <t>W1</t>
        </is>
      </c>
      <c r="C7" s="4" t="inlineStr">
        <is>
          <t>2025 訓練 120 億的外部原文：已搜尋，未找到（見「未找到」）。20261023 利用率 A 段另有 15 組查詢亦未找到。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SRC_DEM_006</t>
        </is>
      </c>
      <c r="N7" s="4" t="inlineStr">
        <is>
          <t>無外部背書</t>
        </is>
      </c>
    </row>
    <row r="8">
      <c r="A8" s="4" t="inlineStr">
        <is>
          <t>W1-07</t>
        </is>
      </c>
      <c r="B8" s="4" t="inlineStr">
        <is>
          <t>W1</t>
        </is>
      </c>
      <c r="C8" s="4" t="inlineStr">
        <is>
          <t>Epoch 對 2024：訓練 30 億、推論 18 億、研究算力 10 億（分攤兩年得 20 億）；R&amp;D 算力合計 50 億；推論 'likely excludes Microsoft's own inference spending on licensed OpenAI models'。</t>
        </is>
      </c>
      <c r="D8" s="4" t="inlineStr">
        <is>
          <t>30 / 18 / 10</t>
        </is>
      </c>
      <c r="E8" s="4" t="inlineStr">
        <is>
          <t>$B</t>
        </is>
      </c>
      <c r="F8" s="4" t="inlineStr">
        <is>
          <t>2024 投資人文件經記者轉述</t>
        </is>
      </c>
      <c r="G8" s="4" t="inlineStr">
        <is>
          <t>2024</t>
        </is>
      </c>
      <c r="H8" s="4" t="inlineStr">
        <is>
          <t>https://epoch.ai/data-insights/openai-compute-spend</t>
        </is>
      </c>
      <c r="I8" s="4" t="inlineStr">
        <is>
          <t>2025</t>
        </is>
      </c>
      <c r="J8" s="4" t="inlineStr">
        <is>
          <t>原文</t>
        </is>
      </c>
      <c r="K8" s="4" t="inlineStr">
        <is>
          <t>3</t>
        </is>
      </c>
      <c r="L8" s="4" t="inlineStr">
        <is>
          <t>獨立研究機構</t>
        </is>
      </c>
      <c r="M8" s="4" t="inlineStr">
        <is>
          <t>SRC_DEM_004/006 口徑</t>
        </is>
      </c>
      <c r="N8" s="4" t="inlineStr">
        <is>
          <t>口徑：R&amp;D 算力含大量實驗；訓練與研究的邊界 OpenAI 未公開</t>
        </is>
      </c>
    </row>
    <row r="9">
      <c r="A9" s="4" t="inlineStr">
        <is>
          <t>W1-08</t>
        </is>
      </c>
      <c r="B9" s="4" t="inlineStr">
        <is>
          <t>W1</t>
        </is>
      </c>
      <c r="C9" s="4" t="inlineStr">
        <is>
          <t>The Information 經 Habr 等二手轉述：OpenAI 計畫 2026 訓練花 320 億、2027 約 650 億（The Decoder 該頁報的是現金燃燒 250／570 億，不是訓練）。 / plans to spend $32B on model training in 2026 and ~$65B in 2027.</t>
        </is>
      </c>
      <c r="D9" s="4" t="inlineStr">
        <is>
          <t>32 / 65</t>
        </is>
      </c>
      <c r="E9" s="4" t="inlineStr">
        <is>
          <t>$B</t>
        </is>
      </c>
      <c r="F9" s="4" t="inlineStr">
        <is>
          <t>訓練；預測</t>
        </is>
      </c>
      <c r="G9" s="4" t="inlineStr">
        <is>
          <t>2026／2027</t>
        </is>
      </c>
      <c r="H9" s="4" t="inlineStr">
        <is>
          <t>https://the-decoder.com/openai-adds-111-billion-to-its-cash-burn-forecast-as-ai-costs-spiral-beyond-projections/</t>
        </is>
      </c>
      <c r="I9" s="4" t="inlineStr">
        <is>
          <t>2026-02</t>
        </is>
      </c>
      <c r="J9" s="4" t="inlineStr">
        <is>
          <t>二手（Habr）；Decoder 頁不支持此數</t>
        </is>
      </c>
      <c r="K9" s="4" t="inlineStr">
        <is>
          <t>4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W4：2026 訓練預測（可信度低）</t>
        </is>
      </c>
    </row>
    <row r="10">
      <c r="A10" s="4" t="inlineStr">
        <is>
          <t>W1-09</t>
        </is>
      </c>
      <c r="B10" s="4" t="inlineStr">
        <is>
          <t>W1</t>
        </is>
      </c>
      <c r="C10" s="4" t="inlineStr">
        <is>
          <t>H1 2025 研發費用 67 億（營收 43 億；現金燃燒約 25 億），僅見 Storyboard18 轉述 The Information（抽查未在 Reuters 找到）。 / R&amp;D cost $6.7B in the first half.</t>
        </is>
      </c>
      <c r="D10" s="4" t="inlineStr">
        <is>
          <t>6.7</t>
        </is>
      </c>
      <c r="E10" s="4" t="inlineStr">
        <is>
          <t>$B</t>
        </is>
      </c>
      <c r="F10" s="4" t="inlineStr">
        <is>
          <t>研發費用整體（非僅算力）</t>
        </is>
      </c>
      <c r="G10" s="4" t="inlineStr">
        <is>
          <t>2025 H1</t>
        </is>
      </c>
      <c r="H10" s="4" t="inlineStr">
        <is>
          <t>https://finance.yahoo.com/news/openais-first-half-revenue-rises-043012507.html（搜尋摘要）</t>
        </is>
      </c>
      <c r="I10" s="4" t="inlineStr">
        <is>
          <t>2025-09-29</t>
        </is>
      </c>
      <c r="J10" s="4" t="inlineStr">
        <is>
          <t>二手（Storyboard18 轉述）</t>
        </is>
      </c>
      <c r="K10" s="4" t="inlineStr">
        <is>
          <t>3–4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無法由此推全年算力；只可作研發費用方向</t>
        </is>
      </c>
    </row>
    <row r="11">
      <c r="A11" s="4" t="inlineStr">
        <is>
          <t>W1-10</t>
        </is>
      </c>
      <c r="B11" s="4" t="inlineStr">
        <is>
          <t>W1</t>
        </is>
      </c>
      <c r="C11" s="4" t="inlineStr">
        <is>
          <t>OpenAI 2025 查核財報（chat 端已查，不重查）：營業成本 75、研發 191.8、付 Microsoft 172.1 億，其中研發 105.9。Zitron 另報付 Microsoft 項目：研發 10.59、營業成本 6.047、銷售 0.527、管理 0.042 十億。</t>
        </is>
      </c>
      <c r="D11" s="4" t="inlineStr">
        <is>
          <t>75 / 191.8 / 172.1 / 105.9</t>
        </is>
      </c>
      <c r="E11" s="4" t="inlineStr">
        <is>
          <t>億$</t>
        </is>
      </c>
      <c r="F11" s="4" t="inlineStr">
        <is>
          <t>chat 端已查</t>
        </is>
      </c>
      <c r="G11" s="4" t="inlineStr">
        <is>
          <t>2025</t>
        </is>
      </c>
      <c r="H11" s="4" t="inlineStr">
        <is>
          <t>見 Drive 筆記（chat 端併入）</t>
        </is>
      </c>
      <c r="I11" s="4" t="inlineStr">
        <is>
          <t>2026-06</t>
        </is>
      </c>
      <c r="J11" s="4" t="inlineStr">
        <is>
          <t>chat 端已查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（見 README）</t>
        </is>
      </c>
    </row>
    <row r="12">
      <c r="A12" s="4" t="inlineStr">
        <is>
          <t>W1-11</t>
        </is>
      </c>
      <c r="B12" s="4" t="inlineStr">
        <is>
          <t>W1</t>
        </is>
      </c>
      <c r="C12" s="4" t="inlineStr">
        <is>
          <t>研發付 Microsoft 105.9 億中訓練與研究推論的拆分：已搜尋，未找到任何報導拆分。Zitron 僅稱『研發』『最可能是訓練模型成本』（其個人推論）。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2025</t>
        </is>
      </c>
      <c r="H12" s="4" t="inlineStr">
        <is>
          <t>—</t>
        </is>
      </c>
      <c r="I12" s="4" t="inlineStr">
        <is>
          <t>—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SRC_DEM_006</t>
        </is>
      </c>
      <c r="N12" s="4" t="inlineStr">
        <is>
          <t>無拆分</t>
        </is>
      </c>
    </row>
    <row r="13">
      <c r="A13" s="4" t="inlineStr">
        <is>
          <t>W1-12</t>
        </is>
      </c>
      <c r="B13" s="4" t="inlineStr">
        <is>
          <t>W1</t>
        </is>
      </c>
      <c r="C13" s="4" t="inlineStr">
        <is>
          <t>沿用 20261023 利用率 A 段：SRC_DEM_018（Azure 推論累計 12.6）中約 65.5 億未進 OpenAI 營業成本，最可能是研究推論（模型 v5.36 備註）。本段未重新驗證。</t>
        </is>
      </c>
      <c r="D13" s="4" t="inlineStr">
        <is>
          <t>65.5</t>
        </is>
      </c>
      <c r="E13" s="4" t="inlineStr">
        <is>
          <t>億$</t>
        </is>
      </c>
      <c r="F13" s="4" t="inlineStr">
        <is>
          <t>沿用，未驗證</t>
        </is>
      </c>
      <c r="G13" s="4" t="inlineStr">
        <is>
          <t>2025</t>
        </is>
      </c>
      <c r="H13" s="4" t="inlineStr">
        <is>
          <t>docs/evidence/20261023_利用率服務占比_A段/抽查報告.md</t>
        </is>
      </c>
      <c r="I13" s="4" t="inlineStr">
        <is>
          <t>2026-10-23</t>
        </is>
      </c>
      <c r="J13" s="4" t="inlineStr">
        <is>
          <t>沿用（repo）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SRC_DEM_018</t>
        </is>
      </c>
      <c r="N13" s="4" t="inlineStr">
        <is>
          <t>研究推論約 65 億屬研發付費，不在 84 億（營業成本口徑）內</t>
        </is>
      </c>
    </row>
    <row r="14">
      <c r="A14" s="4" t="inlineStr">
        <is>
          <t>W3-01</t>
        </is>
      </c>
      <c r="B14" s="4" t="inlineStr">
        <is>
          <t>W3</t>
        </is>
      </c>
      <c r="C14" s="4" t="inlineStr">
        <is>
          <t>Oracle：OpenAI 同意每年付 Oracle 約 300 億美元數據中心服務（Oracle 申報稱 FY2028 起單一合約年收入逾 300 億，申報未點名客戶；OpenAI 與 4.5 GW 來自媒體與 OpenAI 說明）；容量 4.5 GW。換算 300／4.5＝66.7 億／GW·年；若 5 年 3000 億則 133 億／GW·年。 / agreed to pay Oracle ~$30B a year.</t>
        </is>
      </c>
      <c r="D14" s="4" t="inlineStr">
        <is>
          <t>30 / 4.5</t>
        </is>
      </c>
      <c r="E14" s="4" t="inlineStr">
        <is>
          <t>$B/年；GW</t>
        </is>
      </c>
      <c r="F14" s="4" t="inlineStr">
        <is>
          <t>雲端合約（含硬體與服務）；GW 口徑未明；2027 年中起，非 2025 價格</t>
        </is>
      </c>
      <c r="G14" s="4" t="inlineStr">
        <is>
          <t>FY2028 起</t>
        </is>
      </c>
      <c r="H14" s="4" t="inlineStr">
        <is>
          <t>https://techcrunch.com/2025/07/22/openai-agreed-to-pay-oracle-30b-a-year-for-data-center-services（搜尋摘要）</t>
        </is>
      </c>
      <c r="I14" s="4" t="inlineStr">
        <is>
          <t>2025-07-22</t>
        </is>
      </c>
      <c r="J14" s="4" t="inlineStr">
        <is>
          <t>二手</t>
        </is>
      </c>
      <c r="K14" s="4" t="inlineStr">
        <is>
          <t>2</t>
        </is>
      </c>
      <c r="L14" s="4" t="inlineStr">
        <is>
          <t>Oracle 申報事實；4.5 GW 為媒體</t>
        </is>
      </c>
      <c r="M14" s="4" t="inlineStr">
        <is>
          <t>—</t>
        </is>
      </c>
      <c r="N14" s="4" t="inlineStr">
        <is>
          <t>價格因子：下限 0.72（6.7／9.353）至 1.42（13.3／9.353）</t>
        </is>
      </c>
    </row>
    <row r="15">
      <c r="A15" s="4" t="inlineStr">
        <is>
          <t>W3-02</t>
        </is>
      </c>
      <c r="B15" s="4" t="inlineStr">
        <is>
          <t>W3</t>
        </is>
      </c>
      <c r="C15" s="4" t="inlineStr">
        <is>
          <t>CoreWeave：OpenAI 合約 2025-03 最多 119 億、2025-05 +40 億、2025-09 +65 億，合計約 224 億；無 MW。 / total contract value up to ~$22.4B.</t>
        </is>
      </c>
      <c r="D15" s="4" t="inlineStr">
        <is>
          <t>22.4</t>
        </is>
      </c>
      <c r="E15" s="4" t="inlineStr">
        <is>
          <t>$B</t>
        </is>
      </c>
      <c r="F15" s="4" t="inlineStr">
        <is>
          <t>合約上限；無容量</t>
        </is>
      </c>
      <c r="G15" s="4" t="inlineStr">
        <is>
          <t>至 2030-10</t>
        </is>
      </c>
      <c r="H15" s="4" t="inlineStr">
        <is>
          <t>https://investors.coreweave.com/news/news-details/2025/CoreWeave-Expands-Agreement-with-OpenAI-by-up-to-6-5B/default.aspx</t>
        </is>
      </c>
      <c r="I15" s="4" t="inlineStr">
        <is>
          <t>2025-09</t>
        </is>
      </c>
      <c r="J15" s="4" t="inlineStr">
        <is>
          <t>原文（公司新聞稿，搜尋摘要）</t>
        </is>
      </c>
      <c r="K15" s="4" t="inlineStr">
        <is>
          <t>1</t>
        </is>
      </c>
      <c r="L15" s="4" t="inlineStr">
        <is>
          <t>公司申報</t>
        </is>
      </c>
      <c r="M15" s="4" t="inlineStr">
        <is>
          <t>—</t>
        </is>
      </c>
      <c r="N15" s="4" t="inlineStr">
        <is>
          <t>無法換算（只有金額）</t>
        </is>
      </c>
    </row>
    <row r="16">
      <c r="A16" s="4" t="inlineStr">
        <is>
          <t>W3-03</t>
        </is>
      </c>
      <c r="B16" s="4" t="inlineStr">
        <is>
          <t>W3</t>
        </is>
      </c>
      <c r="C16" s="4" t="inlineStr">
        <is>
          <t>CoreWeave 2025Q3：活躍電力約 590 MW（+120 MW）、合約電力約 2.9 GW、營收 13.65 億。以平均活躍約 530 MW 計，約 1000 萬美元／MW·年（本段自算，全客戶混合）。</t>
        </is>
      </c>
      <c r="D16" s="4" t="inlineStr">
        <is>
          <t>≈10</t>
        </is>
      </c>
      <c r="E16" s="4" t="inlineStr">
        <is>
          <t>$B/GW·年</t>
        </is>
      </c>
      <c r="F16" s="4" t="inlineStr">
        <is>
          <t>全客戶；活躍電力口徑公司未明（本段視為 IT 的近似）</t>
        </is>
      </c>
      <c r="G16" s="4" t="inlineStr">
        <is>
          <t>2025Q3</t>
        </is>
      </c>
      <c r="H16" s="4" t="inlineStr">
        <is>
          <t>https://investors.coreweave.com/news/news-details/2025/CoreWeave-Reports-Strong-Third-Quarter-2025-Results/</t>
        </is>
      </c>
      <c r="I16" s="4" t="inlineStr">
        <is>
          <t>2025-11</t>
        </is>
      </c>
      <c r="J16" s="4" t="inlineStr">
        <is>
          <t>原文＋自算</t>
        </is>
      </c>
      <c r="K16" s="4" t="inlineStr">
        <is>
          <t>1（原數）／Derived</t>
        </is>
      </c>
      <c r="L16" s="4" t="inlineStr">
        <is>
          <t>公司申報</t>
        </is>
      </c>
      <c r="M16" s="4" t="inlineStr">
        <is>
          <t>—</t>
        </is>
      </c>
      <c r="N16" s="4" t="inlineStr">
        <is>
          <t>價格因子參考 1.07（含 GPU 租賃全服務）</t>
        </is>
      </c>
    </row>
    <row r="17">
      <c r="A17" s="4" t="inlineStr">
        <is>
          <t>W3-04</t>
        </is>
      </c>
      <c r="B17" s="4" t="inlineStr">
        <is>
          <t>W3</t>
        </is>
      </c>
      <c r="C17" s="4" t="inlineStr">
        <is>
          <t>Cerebras：750 MW、至 2028、價值逾 100 億（『people close to the company』，非公告值）。若期間 2–3 年：44–67 億／GW·年。</t>
        </is>
      </c>
      <c r="D17" s="4" t="inlineStr">
        <is>
          <t>10 / 0.75</t>
        </is>
      </c>
      <c r="E17" s="4" t="inlineStr">
        <is>
          <t>$B；GW</t>
        </is>
      </c>
      <c r="F17" s="4" t="inlineStr">
        <is>
          <t>晶圓級系統，不同硬體；起始 2026</t>
        </is>
      </c>
      <c r="G17" s="4" t="inlineStr">
        <is>
          <t>2026–2028</t>
        </is>
      </c>
      <c r="H17" s="4" t="inlineStr">
        <is>
          <t>https://www.cnbc.com/2026/01/14/cerebras-scores-openai-deal-worth-over-10-billion.html（搜尋摘要）</t>
        </is>
      </c>
      <c r="I17" s="4" t="inlineStr">
        <is>
          <t>2026-01-14</t>
        </is>
      </c>
      <c r="J17" s="4" t="inlineStr">
        <is>
          <t>二手</t>
        </is>
      </c>
      <c r="K17" s="4" t="inlineStr">
        <is>
          <t>3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非同類硬體，僅作範圍</t>
        </is>
      </c>
    </row>
    <row r="18">
      <c r="A18" s="4" t="inlineStr">
        <is>
          <t>W3-05</t>
        </is>
      </c>
      <c r="B18" s="4" t="inlineStr">
        <is>
          <t>W3</t>
        </is>
      </c>
      <c r="C18" s="4" t="inlineStr">
        <is>
          <t>AWS：380 億美元、7 年；約 54 億／年；無 MW（『數十萬顆 GB200／GB300』為 AWS／OpenAI 公告用語）。</t>
        </is>
      </c>
      <c r="D18" s="4" t="inlineStr">
        <is>
          <t>38</t>
        </is>
      </c>
      <c r="E18" s="4" t="inlineStr">
        <is>
          <t>$B/7年</t>
        </is>
      </c>
      <c r="F18" s="4" t="inlineStr">
        <is>
          <t>合約；無容量</t>
        </is>
      </c>
      <c r="G18" s="4" t="inlineStr">
        <is>
          <t>2025-11 起 7 年</t>
        </is>
      </c>
      <c r="H18" s="4" t="inlineStr">
        <is>
          <t>https://tomtunguz.com/openai-hardware-spending-2025-2035/（搜尋摘要）</t>
        </is>
      </c>
      <c r="I18" s="4" t="inlineStr">
        <is>
          <t>2025-11</t>
        </is>
      </c>
      <c r="J18" s="4" t="inlineStr">
        <is>
          <t>二手</t>
        </is>
      </c>
      <c r="K18" s="4" t="inlineStr">
        <is>
          <t>2–3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無法換算</t>
        </is>
      </c>
    </row>
    <row r="19">
      <c r="A19" s="4" t="inlineStr">
        <is>
          <t>W3-06</t>
        </is>
      </c>
      <c r="B19" s="4" t="inlineStr">
        <is>
          <t>W3</t>
        </is>
      </c>
      <c r="C19" s="4" t="inlineStr">
        <is>
          <t>Azure 牌價（第三方追蹤站）：ND H100 v5 隨需約 12.29 美元／小時，1 年預留 7.93，3 年預留 5.47；價格為每 GPU（8 GPU 實例 98.32÷8＝12.29，已核對）。『38%／62%』折扣上限抽查找不到，且與上列比值不一致，未核對。</t>
        </is>
      </c>
      <c r="D19" s="4" t="inlineStr">
        <is>
          <t>12.29 / 7.93 / 5.47</t>
        </is>
      </c>
      <c r="E19" s="4" t="inlineStr">
        <is>
          <t>$/小時</t>
        </is>
      </c>
      <c r="F19" s="4" t="inlineStr">
        <is>
          <t>公開牌價，非 OpenAI 實付</t>
        </is>
      </c>
      <c r="G19" s="4" t="inlineStr">
        <is>
          <t>2026</t>
        </is>
      </c>
      <c r="H19" s="4" t="inlineStr">
        <is>
          <t>https://www.spheron.network/blog/gpu-cloud-pricing-comparison-2026/（搜尋摘要）</t>
        </is>
      </c>
      <c r="I19" s="4" t="inlineStr">
        <is>
          <t>2026-05</t>
        </is>
      </c>
      <c r="J19" s="4" t="inlineStr">
        <is>
          <t>二手</t>
        </is>
      </c>
      <c r="K19" s="4" t="inlineStr">
        <is>
          <t>3</t>
        </is>
      </c>
      <c r="L19" s="4" t="inlineStr">
        <is>
          <t>第三方比價站（Spheron）</t>
        </is>
      </c>
      <c r="M19" s="4" t="inlineStr">
        <is>
          <t>—</t>
        </is>
      </c>
      <c r="N19" s="4" t="inlineStr">
        <is>
          <t>預留／隨需＝0.65（1年）、0.45（3年）；僅示範隨需價差規模</t>
        </is>
      </c>
    </row>
    <row r="20">
      <c r="A20" s="4" t="inlineStr">
        <is>
          <t>W3-07</t>
        </is>
      </c>
      <c r="B20" s="4" t="inlineStr">
        <is>
          <t>W3</t>
        </is>
      </c>
      <c r="C20" s="4" t="inlineStr">
        <is>
          <t>OpenAI 實付每 GPU 小時或對 Azure／Oracle／CoreWeave 的折扣率：已搜尋，未找到任何官方、洩漏或可靠報導。Microsoft 對 OpenAI 的關聯方定價：未找到。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—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—</t>
        </is>
      </c>
      <c r="N20" s="4" t="inlineStr">
        <is>
          <t>價格因子無直接證據</t>
        </is>
      </c>
    </row>
    <row r="21">
      <c r="A21" s="4" t="inlineStr">
        <is>
          <t>W3-08</t>
        </is>
      </c>
      <c r="B21" s="4" t="inlineStr">
        <is>
          <t>W3</t>
        </is>
      </c>
      <c r="C21" s="4" t="inlineStr">
        <is>
          <t>『OpenAI 因需求超預期購買隨需算力』：僅見毛利率下滑歸因（W1-02），無金額或比例。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2025</t>
        </is>
      </c>
      <c r="H21" s="4" t="inlineStr">
        <is>
          <t>同 W1-02</t>
        </is>
      </c>
      <c r="I21" s="4" t="inlineStr">
        <is>
          <t>—</t>
        </is>
      </c>
      <c r="J21" s="4" t="inlineStr">
        <is>
          <t>二手</t>
        </is>
      </c>
      <c r="K21" s="4" t="inlineStr">
        <is>
          <t>3</t>
        </is>
      </c>
      <c r="L21" s="4" t="inlineStr">
        <is>
          <t>—</t>
        </is>
      </c>
      <c r="M21" s="4" t="inlineStr">
        <is>
          <t>—</t>
        </is>
      </c>
      <c r="N21" s="4" t="inlineStr">
        <is>
          <t>價格因子方向向上，量不明</t>
        </is>
      </c>
    </row>
    <row r="22">
      <c r="A22" s="4" t="inlineStr">
        <is>
          <t>W3-09</t>
        </is>
      </c>
      <c r="B22" s="4" t="inlineStr">
        <is>
          <t>W3</t>
        </is>
      </c>
      <c r="C22" s="4" t="inlineStr">
        <is>
          <t>同口徑長約 ÷ TK（沿用 B 段）：證據值 0.89–0.93，另加 Assumed 加價 1.07 得上端 1.12（B 段 build_b.py）；0.89–1.12 為兩者混合區間，非全屬證據。</t>
        </is>
      </c>
      <c r="D22" s="4" t="inlineStr">
        <is>
          <t>0.89–0.93（證據）／至 1.12（含 Assumed）</t>
        </is>
      </c>
      <c r="E22" s="4" t="inlineStr">
        <is>
          <t>倍</t>
        </is>
      </c>
      <c r="F22" s="4" t="inlineStr">
        <is>
          <t>沿用，未重驗</t>
        </is>
      </c>
      <c r="G22" s="4" t="inlineStr">
        <is>
          <t>—</t>
        </is>
      </c>
      <c r="H22" s="4" t="inlineStr">
        <is>
          <t>docs/evidence/20261023_持有成本口徑差_B段/</t>
        </is>
      </c>
      <c r="I22" s="4" t="inlineStr">
        <is>
          <t>2026-10-23</t>
        </is>
      </c>
      <c r="J22" s="4" t="inlineStr">
        <is>
          <t>沿用（repo）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AL_FleetHold</t>
        </is>
      </c>
      <c r="N22" s="4" t="inlineStr">
        <is>
          <t>價格因子主區間</t>
        </is>
      </c>
    </row>
    <row r="23">
      <c r="A23" s="4" t="inlineStr">
        <is>
          <t>W4-01</t>
        </is>
      </c>
      <c r="B23" s="4" t="inlineStr">
        <is>
          <t>W4</t>
        </is>
      </c>
      <c r="C23" s="4" t="inlineStr">
        <is>
          <t>Brockman 法庭證詞：OpenAI 2026 預計算力支出 500 億美元（Reuters 2026-05-05）；（『為 2025 的三倍』一句出自 Epoch，非 Reuters 摘要。） / expects to spend $50 billion on computing power this year.</t>
        </is>
      </c>
      <c r="D23" s="4" t="inlineStr">
        <is>
          <t>50</t>
        </is>
      </c>
      <c r="E23" s="4" t="inlineStr">
        <is>
          <t>$B</t>
        </is>
      </c>
      <c r="F23" s="4" t="inlineStr">
        <is>
          <t>算力支出（口徑未明）；證詞，無文件</t>
        </is>
      </c>
      <c r="G23" s="4" t="inlineStr">
        <is>
          <t>2026</t>
        </is>
      </c>
      <c r="H23" s="4" t="inlineStr">
        <is>
          <t>https://seekingalpha.com/news/4586132-brockman-says-openai-to-spend-50b-on-computing-power-in-2026</t>
        </is>
      </c>
      <c r="I23" s="4" t="inlineStr">
        <is>
          <t>2026-05-05</t>
        </is>
      </c>
      <c r="J23" s="4" t="inlineStr">
        <is>
          <t>二手（Reuters）</t>
        </is>
      </c>
      <c r="K23" s="4" t="inlineStr">
        <is>
          <t>2</t>
        </is>
      </c>
      <c r="L23" s="4" t="inlineStr">
        <is>
          <t>證詞當事人</t>
        </is>
      </c>
      <c r="M23" s="4" t="inlineStr">
        <is>
          <t>—</t>
        </is>
      </c>
      <c r="N23" s="4" t="inlineStr">
        <is>
          <t>W4</t>
        </is>
      </c>
    </row>
    <row r="24">
      <c r="A24" s="4" t="inlineStr">
        <is>
          <t>W4-02</t>
        </is>
      </c>
      <c r="B24" s="4" t="inlineStr">
        <is>
          <t>W4</t>
        </is>
      </c>
      <c r="C24" s="4" t="inlineStr">
        <is>
          <t>Epoch 引報導：OpenAI 2025 雲端算力支出 160 億；Epoch 轉述 Brockman『triple what it spent in 2025』→ 隱含約 167 億。注意：與 W4-01 為同一證詞，非獨立佐證；160 億亦小於審計付 Microsoft 172.1 億（chat 端已查），口徑（雲端算力 vs 付 Microsoft 全部項目）不同。</t>
        </is>
      </c>
      <c r="D24" s="4" t="inlineStr">
        <is>
          <t>16</t>
        </is>
      </c>
      <c r="E24" s="4" t="inlineStr">
        <is>
          <t>$B</t>
        </is>
      </c>
      <c r="F24" s="4" t="inlineStr">
        <is>
          <t>雲端算力總支出</t>
        </is>
      </c>
      <c r="G24" s="4" t="inlineStr">
        <is>
          <t>2025</t>
        </is>
      </c>
      <c r="H24" s="4" t="inlineStr">
        <is>
          <t>https://epoch.ai/gradient-updates/frontier-labs-dont-use-most-ai-compute</t>
        </is>
      </c>
      <c r="I24" s="4" t="inlineStr">
        <is>
          <t>2026</t>
        </is>
      </c>
      <c r="J24" s="4" t="inlineStr">
        <is>
          <t>二手（原文頁）</t>
        </is>
      </c>
      <c r="K24" s="4" t="inlineStr">
        <is>
          <t>3</t>
        </is>
      </c>
      <c r="L24" s="4" t="inlineStr">
        <is>
          <t>獨立研究機構引媒體</t>
        </is>
      </c>
      <c r="M24" s="4" t="inlineStr">
        <is>
          <t>—</t>
        </is>
      </c>
      <c r="N24" s="4" t="inlineStr">
        <is>
          <t>口徑因子：2025 總算力支出 160 億 &lt; 84＋120＝204 億</t>
        </is>
      </c>
    </row>
    <row r="25">
      <c r="A25" s="4" t="inlineStr">
        <is>
          <t>W4-03</t>
        </is>
      </c>
      <c r="B25" s="4" t="inlineStr">
        <is>
          <t>W4</t>
        </is>
      </c>
      <c r="C25" s="4" t="inlineStr">
        <is>
          <t>2026 平均上線 GW：已搜尋，未找到官方或可信數字。僅有交易層級資料（Nvidia 50 億瓦含推論 3、訓練 2 GW 等）與 2027『low-double-digit GW』內部預測。</t>
        </is>
      </c>
      <c r="D25" s="4" t="inlineStr">
        <is>
          <t>—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2026</t>
        </is>
      </c>
      <c r="H25" s="4" t="inlineStr">
        <is>
          <t>—</t>
        </is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4" t="inlineStr">
        <is>
          <t>AL_FleetGW26</t>
        </is>
      </c>
      <c r="N25" s="4" t="inlineStr">
        <is>
          <t>無</t>
        </is>
      </c>
    </row>
    <row r="26">
      <c r="A26" s="4" t="inlineStr">
        <is>
          <t>W4-04</t>
        </is>
      </c>
      <c r="B26" s="4" t="inlineStr">
        <is>
          <t>W4</t>
        </is>
      </c>
      <c r="C26" s="4" t="inlineStr">
        <is>
          <t>Sacra 2026 推論預測 141 億；The Information 2026 訓練計畫 320 億 → 合計 461 億，對 500 億支出（W4-01）約 0.92。</t>
        </is>
      </c>
      <c r="D26" s="4" t="inlineStr">
        <is>
          <t>46.1</t>
        </is>
      </c>
      <c r="E26" s="4" t="inlineStr">
        <is>
          <t>$B</t>
        </is>
      </c>
      <c r="F26" s="4" t="inlineStr">
        <is>
          <t>預測加總</t>
        </is>
      </c>
      <c r="G26" s="4" t="inlineStr">
        <is>
          <t>2026</t>
        </is>
      </c>
      <c r="H26" s="4" t="inlineStr">
        <is>
          <t>見 W1-04、W1-08</t>
        </is>
      </c>
      <c r="I26" s="4" t="inlineStr">
        <is>
          <t>—</t>
        </is>
      </c>
      <c r="J26" s="4" t="inlineStr">
        <is>
          <t>Derived</t>
        </is>
      </c>
      <c r="K26" s="4" t="inlineStr">
        <is>
          <t>—</t>
        </is>
      </c>
      <c r="L26" s="4" t="inlineStr">
        <is>
          <t>—</t>
        </is>
      </c>
      <c r="M26" s="4" t="inlineStr">
        <is>
          <t>—</t>
        </is>
      </c>
      <c r="N26" s="4" t="inlineStr">
        <is>
          <t>2026 兩項合計≈總支出；2025 兩項（204）＞總支出（160）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8" max="8"/>
  </cols>
  <sheetData>
    <row r="1">
      <c r="A1" s="3" t="inlineStr">
        <is>
          <t>合約</t>
        </is>
      </c>
      <c r="B1" s="3" t="inlineStr">
        <is>
          <t>金額（$B）</t>
        </is>
      </c>
      <c r="C1" s="3" t="inlineStr">
        <is>
          <t>年數</t>
        </is>
      </c>
      <c r="D1" s="3" t="inlineStr">
        <is>
          <t>容量（GW）</t>
        </is>
      </c>
      <c r="E1" s="3" t="inlineStr">
        <is>
          <t>每年金額</t>
        </is>
      </c>
      <c r="F1" s="3" t="inlineStr">
        <is>
          <t>每 GW·年（$B）</t>
        </is>
      </c>
      <c r="G1" s="3" t="inlineStr">
        <is>
          <t>÷9.353 持有成本</t>
        </is>
      </c>
      <c r="H1" s="3" t="inlineStr">
        <is>
          <t>備註</t>
        </is>
      </c>
    </row>
    <row r="2">
      <c r="A2" t="inlineStr">
        <is>
          <t>Oracle（300 億／年版）</t>
        </is>
      </c>
      <c r="B2" s="2" t="n">
        <v>30</v>
      </c>
      <c r="C2" s="2" t="n">
        <v>1</v>
      </c>
      <c r="D2" s="2" t="n">
        <v>4.5</v>
      </c>
      <c r="E2">
        <f>B2/C2</f>
        <v/>
      </c>
      <c r="F2">
        <f>E2/D2</f>
        <v/>
      </c>
      <c r="G2">
        <f>F2/三因子!$B$5</f>
        <v/>
      </c>
      <c r="H2" t="inlineStr">
        <is>
          <t>W3-01；FY2028 起</t>
        </is>
      </c>
    </row>
    <row r="3">
      <c r="A3" t="inlineStr">
        <is>
          <t>Oracle（3000 億／5 年版）</t>
        </is>
      </c>
      <c r="B3" s="2" t="n">
        <v>300</v>
      </c>
      <c r="C3" s="2" t="n">
        <v>5</v>
      </c>
      <c r="D3" s="2" t="n">
        <v>4.5</v>
      </c>
      <c r="E3">
        <f>B3/C3</f>
        <v/>
      </c>
      <c r="F3">
        <f>E3/D3</f>
        <v/>
      </c>
      <c r="G3">
        <f>F3/三因子!$B$5</f>
        <v/>
      </c>
      <c r="H3" t="inlineStr">
        <is>
          <t>W3-01 另一版本；兩版互相矛盾，未解</t>
        </is>
      </c>
    </row>
    <row r="4">
      <c r="A4" t="inlineStr">
        <is>
          <t>Cerebras（3 年）</t>
        </is>
      </c>
      <c r="B4" s="2" t="n">
        <v>10</v>
      </c>
      <c r="C4" s="2" t="n">
        <v>3</v>
      </c>
      <c r="D4" s="2" t="n">
        <v>0.75</v>
      </c>
      <c r="E4">
        <f>B4/C4</f>
        <v/>
      </c>
      <c r="F4">
        <f>E4/D4</f>
        <v/>
      </c>
      <c r="G4">
        <f>F4/三因子!$B$5</f>
        <v/>
      </c>
      <c r="H4" t="inlineStr">
        <is>
          <t>W3-04；不同硬體</t>
        </is>
      </c>
    </row>
    <row r="5">
      <c r="A5" t="inlineStr">
        <is>
          <t>Cerebras（2 年）</t>
        </is>
      </c>
      <c r="B5" s="2" t="n">
        <v>10</v>
      </c>
      <c r="C5" s="2" t="n">
        <v>2</v>
      </c>
      <c r="D5" s="2" t="n">
        <v>0.75</v>
      </c>
      <c r="E5">
        <f>B5/C5</f>
        <v/>
      </c>
      <c r="F5">
        <f>E5/D5</f>
        <v/>
      </c>
      <c r="G5">
        <f>F5/三因子!$B$5</f>
        <v/>
      </c>
      <c r="H5" t="inlineStr">
        <is>
          <t>W3-04</t>
        </is>
      </c>
    </row>
    <row r="6">
      <c r="A6" t="inlineStr">
        <is>
          <t>AWS（7 年，無容量）</t>
        </is>
      </c>
      <c r="B6" s="2" t="n">
        <v>38</v>
      </c>
      <c r="C6" s="2" t="n">
        <v>7</v>
      </c>
      <c r="D6" s="2" t="n"/>
      <c r="E6">
        <f>B6/C6</f>
        <v/>
      </c>
      <c r="F6" t="inlineStr">
        <is>
          <t>無法換算</t>
        </is>
      </c>
      <c r="H6" t="inlineStr">
        <is>
          <t>W3-05；無法換算</t>
        </is>
      </c>
    </row>
    <row r="8">
      <c r="A8" t="inlineStr">
        <is>
          <t>CoreWeave（Q3 營收 $B，平均活躍 GW）</t>
        </is>
      </c>
      <c r="B8" s="2" t="n">
        <v>1.365</v>
      </c>
      <c r="C8" s="2" t="n">
        <v>0.25</v>
      </c>
      <c r="D8" s="2" t="n">
        <v>0.53</v>
      </c>
      <c r="E8">
        <f>B8/C8</f>
        <v/>
      </c>
      <c r="F8">
        <f>E8/D8</f>
        <v/>
      </c>
      <c r="G8">
        <f>F8/三因子!$B$5</f>
        <v/>
      </c>
      <c r="H8" t="inlineStr">
        <is>
          <t>季營收×4÷平均活躍電力；全客戶；W3-03（Derived）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2" max="2"/>
    <col width="70" customWidth="1" min="3" max="3"/>
    <col width="40" customWidth="1" min="4" max="4"/>
  </cols>
  <sheetData>
    <row r="1">
      <c r="A1" s="3" t="inlineStr">
        <is>
          <t>編號</t>
        </is>
      </c>
      <c r="B1" s="3" t="inlineStr">
        <is>
          <t>項目</t>
        </is>
      </c>
      <c r="C1" s="3" t="inlineStr">
        <is>
          <t>查詢字串</t>
        </is>
      </c>
      <c r="D1" s="3" t="inlineStr">
        <is>
          <t>結果</t>
        </is>
      </c>
    </row>
    <row r="2">
      <c r="A2" t="inlineStr">
        <is>
          <t>N01</t>
        </is>
      </c>
      <c r="B2" t="inlineStr">
        <is>
          <t>W1 訓練 120 億原文</t>
        </is>
      </c>
      <c r="C2" t="inlineStr">
        <is>
          <t>OpenAI 2025 training compute $12 billion；OpenAI 2025 training compute spending actual vs projected；OpenAI training compute 2025 $9.4 billion OR $12 billion The Information</t>
        </is>
      </c>
      <c r="D2" t="inlineStr">
        <is>
          <t>最近為 94 億（W1-05，日期不明）；120 億未找到</t>
        </is>
      </c>
    </row>
    <row r="3">
      <c r="A3" t="inlineStr">
        <is>
          <t>N02</t>
        </is>
      </c>
      <c r="B3" t="inlineStr">
        <is>
          <t>W1 84 億原文</t>
        </is>
      </c>
      <c r="C3" t="inlineStr">
        <is>
          <t>The Information Why OpenAI Anthropic Missed Their Own Gross Margin Forecasts；OpenAI inference $8.4 billion</t>
        </is>
      </c>
      <c r="D3" t="inlineStr">
        <is>
          <t>只見二手轉述；原文付費牆</t>
        </is>
      </c>
    </row>
    <row r="4">
      <c r="A4" t="inlineStr">
        <is>
          <t>N03</t>
        </is>
      </c>
      <c r="B4" t="inlineStr">
        <is>
          <t>W1(c) 研發付 Microsoft 105.9 拆分</t>
        </is>
      </c>
      <c r="C4" t="inlineStr">
        <is>
          <t>OpenAI paid Microsoft 10.59 billion research development training inference split</t>
        </is>
      </c>
      <c r="D4" t="inlineStr">
        <is>
          <t>無報導拆分</t>
        </is>
      </c>
    </row>
    <row r="5">
      <c r="A5" t="inlineStr">
        <is>
          <t>N04</t>
        </is>
      </c>
      <c r="B5" t="inlineStr">
        <is>
          <t>W1 H1 2025 算力拆分</t>
        </is>
      </c>
      <c r="C5" t="inlineStr">
        <is>
          <t>OpenAI H1 2025 R&amp;D compute 6.7 billion compute-only breakdown</t>
        </is>
      </c>
      <c r="D5" t="inlineStr">
        <is>
          <t>只有研發費用 67 億，無算力分項</t>
        </is>
      </c>
    </row>
    <row r="6">
      <c r="A6" t="inlineStr">
        <is>
          <t>N05</t>
        </is>
      </c>
      <c r="B6" t="inlineStr">
        <is>
          <t>W3 OpenAI 實付每 GPU 小時</t>
        </is>
      </c>
      <c r="C6" t="inlineStr">
        <is>
          <t>OpenAI price per GPU hour Azure discount rate H100 GB200 OpenAI pays Microsoft below list price</t>
        </is>
      </c>
      <c r="D6" t="inlineStr">
        <is>
          <t>無</t>
        </is>
      </c>
    </row>
    <row r="7">
      <c r="A7" t="inlineStr">
        <is>
          <t>N06</t>
        </is>
      </c>
      <c r="B7" t="inlineStr">
        <is>
          <t>W3 Microsoft 對 OpenAI 的關聯方定價</t>
        </is>
      </c>
      <c r="C7" t="inlineStr">
        <is>
          <t>同上</t>
        </is>
      </c>
      <c r="D7" t="inlineStr">
        <is>
          <t>無</t>
        </is>
      </c>
    </row>
    <row r="8">
      <c r="A8" t="inlineStr">
        <is>
          <t>N07</t>
        </is>
      </c>
      <c r="B8" t="inlineStr">
        <is>
          <t>W3 CoreWeave／AWS 合約 MW</t>
        </is>
      </c>
      <c r="C8" t="inlineStr">
        <is>
          <t>CoreWeave OpenAI contract MW capacity；OpenAI AWS 38 billion capacity</t>
        </is>
      </c>
      <c r="D8" t="inlineStr">
        <is>
          <t>無 MW</t>
        </is>
      </c>
    </row>
    <row r="9">
      <c r="A9" t="inlineStr">
        <is>
          <t>N08</t>
        </is>
      </c>
      <c r="B9" t="inlineStr">
        <is>
          <t>W3 隨需購買金額或比例</t>
        </is>
      </c>
      <c r="C9" t="inlineStr">
        <is>
          <t>OpenAI bought on-demand compute 2025 higher prices amount</t>
        </is>
      </c>
      <c r="D9" t="inlineStr">
        <is>
          <t>無</t>
        </is>
      </c>
    </row>
    <row r="10">
      <c r="A10" t="inlineStr">
        <is>
          <t>N09</t>
        </is>
      </c>
      <c r="B10" t="inlineStr">
        <is>
          <t>W4 2026 平均上線 GW</t>
        </is>
      </c>
      <c r="C10" t="inlineStr">
        <is>
          <t>OpenAI 2026 year-end gigawatts target compute capacity end of 2026；Brockman testimony 2026 average capacity GW</t>
        </is>
      </c>
      <c r="D10" t="inlineStr">
        <is>
          <t>無</t>
        </is>
      </c>
    </row>
    <row r="11">
      <c r="A11" t="inlineStr">
        <is>
          <t>N10</t>
        </is>
      </c>
      <c r="B11" t="inlineStr">
        <is>
          <t>W2 Azure 占比（承接上一輪）</t>
        </is>
      </c>
      <c r="C11" t="inlineStr">
        <is>
          <t>見 W2_優先查證.md</t>
        </is>
      </c>
      <c r="D11" t="inlineStr">
        <is>
          <t>無</t>
        </is>
      </c>
    </row>
    <row r="13">
      <c r="A13" s="1" t="inlineStr">
        <is>
          <t>交 chat 端</t>
        </is>
      </c>
    </row>
    <row r="14">
      <c r="A14" t="inlineStr">
        <is>
          <t>openai.com 原文（HTTP 403）</t>
        </is>
      </c>
    </row>
    <row r="15">
      <c r="A15" t="inlineStr">
        <is>
          <t>sec.gov：Microsoft 10-Q／10-K、CoreWeave、Oracle 申報</t>
        </is>
      </c>
    </row>
    <row r="16">
      <c r="A16" t="inlineStr">
        <is>
          <t>wheresyoured.at、nextplatform.com、deepquarry.substack.com、sacra.com、aiafterhours.substack.com、safeguard.sh、controlplane.news、techcrunch.com、cnbc.com、finance.yahoo.com（本環境 DNS 失敗，改用搜尋摘要）</t>
        </is>
      </c>
    </row>
    <row r="17">
      <c r="A17" t="inlineStr">
        <is>
          <t>The Information 原文（付費牆）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2" max="2"/>
    <col width="40" customWidth="1" min="3" max="3"/>
    <col width="50" customWidth="1" min="4" max="4"/>
  </cols>
  <sheetData>
    <row r="1">
      <c r="A1" s="3" t="inlineStr">
        <is>
          <t>編號</t>
        </is>
      </c>
      <c r="B1" s="3" t="inlineStr">
        <is>
          <t>事項</t>
        </is>
      </c>
      <c r="C1" s="3" t="inlineStr">
        <is>
          <t>建議預設</t>
        </is>
      </c>
      <c r="D1" s="3" t="inlineStr">
        <is>
          <t>理由</t>
        </is>
      </c>
    </row>
    <row r="2">
      <c r="A2" s="4" t="inlineStr">
        <is>
          <t>J1</t>
        </is>
      </c>
      <c r="B2" s="4" t="inlineStr">
        <is>
          <t>SRC_DEM_006（訓練 120 億）出處標『待補』，數值先不改</t>
        </is>
      </c>
      <c r="C2" s="4" t="inlineStr">
        <is>
          <t>只標記，不改值</t>
        </is>
      </c>
      <c r="D2" s="4" t="inlineStr">
        <is>
          <t>本段未找到原文；最近外部數為 94 億（日期不明）</t>
        </is>
      </c>
    </row>
    <row r="3">
      <c r="A3" s="4" t="inlineStr">
        <is>
          <t>J2</t>
        </is>
      </c>
      <c r="B3" s="4" t="inlineStr">
        <is>
          <t>204 億與 Epoch 160 億的差距，B4_Serve 分母是否調整</t>
        </is>
      </c>
      <c r="C3" s="4" t="inlineStr">
        <is>
          <t>維持 0.41，160 億已被查核帳取代</t>
        </is>
      </c>
      <c r="D3" s="4" t="inlineStr">
        <is>
          <t>查核帳框出 2025 全部算力約 172–210 億，與 204 億相容（s 約 0.85–1.0，chat 端）</t>
        </is>
      </c>
    </row>
    <row r="4">
      <c r="A4" s="4" t="inlineStr">
        <is>
          <t>J3</t>
        </is>
      </c>
      <c r="B4" s="4" t="inlineStr">
        <is>
          <t>價格因子是否由 0.85 改採區間</t>
        </is>
      </c>
      <c r="C4" s="4" t="inlineStr">
        <is>
          <t>交 chat 端審閱檔</t>
        </is>
      </c>
      <c r="D4" s="4" t="inlineStr">
        <is>
          <t>本段無 OpenAI 實付價；chat 端 Derived 區間 1.4–2.3 倍</t>
        </is>
      </c>
    </row>
    <row r="5">
      <c r="A5" s="4" t="inlineStr">
        <is>
          <t>J4</t>
        </is>
      </c>
      <c r="B5" s="4" t="inlineStr">
        <is>
          <t>GW 因子</t>
        </is>
      </c>
      <c r="C5" s="4" t="inlineStr">
        <is>
          <t>維持 AL_FleetGW25=1.128（你已決定 GW 不調）</t>
        </is>
      </c>
      <c r="D5" s="4" t="inlineStr">
        <is>
          <t>官方端點內插已落在 1.0–1.25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2026-10-23T13:27:54Z</dcterms:created>
  <dcterms:modified xmlns:dcterms="http://purl.org/dc/terms/" xmlns:xsi="http://www.w3.org/2001/XMLSchema-instance" xsi:type="dcterms:W3CDTF">2026-10-23T13:27:54Z</dcterms:modified>
</cp:coreProperties>
</file>