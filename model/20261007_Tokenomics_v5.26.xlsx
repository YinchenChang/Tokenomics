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SRC_Index!$E$5:$E$1388</definedName>
    <definedName function="false" hidden="false" name="IDX_SrcID" vbProcedure="false">SRC_Index!$A$5:$A$1388</definedName>
    <definedName function="false" hidden="false" name="IDX_SrcStat" vbProcedure="false">SRC_Index!$D$5:$D$1388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<sst xmlns="http://schemas.openxmlformats.org/spreadsheetml/2006/main" count="28414" uniqueCount="7375">
  <si>
    <r>
      <rPr>
        <b val="true"/>
        <sz val="13"/>
        <rFont val="Arial"/>
        <family val="0"/>
        <charset val="1"/>
      </rPr>
      <t xml:space="preserve">Tokenomics v5.26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</si>
  <si>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</si>
  <si>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</si>
  <si>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</si>
  <si>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</si>
  <si>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20261007_Tokenomics_v5.26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</si>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</sst>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.35" hidden="false" customHeight="false" outlineLevel="0" collapsed="false">
      <c r="A31" s="10" t="s">
        <v>56</v>
      </c>
      <c r="B31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58</v>
      </c>
    </row>
    <row r="2" customFormat="false" ht="15" hidden="false" customHeight="true" outlineLevel="0" collapsed="false">
      <c r="A2" s="11" t="s">
        <v>59</v>
      </c>
    </row>
    <row r="3" customFormat="false" ht="15" hidden="false" customHeight="true" outlineLevel="0" collapsed="false">
      <c r="A3" s="12" t="s">
        <v>60</v>
      </c>
      <c r="B3" s="12" t="s">
        <v>61</v>
      </c>
      <c r="C3" s="12"/>
      <c r="D3" s="12" t="s">
        <v>62</v>
      </c>
      <c r="E3" s="12" t="s">
        <v>63</v>
      </c>
      <c r="F3" s="12" t="s">
        <v>64</v>
      </c>
      <c r="G3" s="12" t="s">
        <v>65</v>
      </c>
      <c r="H3" s="12" t="s">
        <v>66</v>
      </c>
    </row>
    <row r="4" customFormat="false" ht="15" hidden="false" customHeight="true" outlineLevel="0" collapsed="false">
      <c r="A4" s="13" t="s">
        <v>67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68</v>
      </c>
      <c r="B5" s="16" t="s">
        <v>69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70</v>
      </c>
      <c r="H5" s="19" t="s">
        <v>71</v>
      </c>
    </row>
    <row r="6" customFormat="false" ht="15" hidden="false" customHeight="true" outlineLevel="0" collapsed="false">
      <c r="A6" s="20" t="s">
        <v>72</v>
      </c>
      <c r="B6" s="21" t="s">
        <v>73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70</v>
      </c>
      <c r="H6" s="19" t="s">
        <v>74</v>
      </c>
    </row>
    <row r="7" customFormat="false" ht="15" hidden="false" customHeight="true" outlineLevel="0" collapsed="false">
      <c r="A7" s="13" t="s">
        <v>75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76</v>
      </c>
      <c r="B8" s="16" t="s">
        <v>77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78</v>
      </c>
      <c r="H8" s="19" t="s">
        <v>79</v>
      </c>
    </row>
    <row r="9" customFormat="false" ht="15" hidden="false" customHeight="true" outlineLevel="0" collapsed="false">
      <c r="A9" s="15" t="s">
        <v>80</v>
      </c>
      <c r="B9" s="16" t="s">
        <v>81</v>
      </c>
      <c r="D9" s="24" t="n">
        <v>1.1</v>
      </c>
      <c r="E9" s="24" t="n">
        <v>1.2</v>
      </c>
      <c r="F9" s="24" t="n">
        <v>1.3</v>
      </c>
      <c r="G9" s="16" t="s">
        <v>82</v>
      </c>
      <c r="H9" s="19" t="s">
        <v>83</v>
      </c>
    </row>
    <row r="10" customFormat="false" ht="15" hidden="false" customHeight="true" outlineLevel="0" collapsed="false">
      <c r="A10" s="20" t="s">
        <v>84</v>
      </c>
      <c r="B10" s="16" t="s">
        <v>77</v>
      </c>
      <c r="D10" s="23" t="n">
        <v>0.7</v>
      </c>
      <c r="E10" s="23" t="n">
        <v>0.8</v>
      </c>
      <c r="F10" s="23" t="n">
        <v>0.9</v>
      </c>
      <c r="G10" s="16" t="s">
        <v>78</v>
      </c>
      <c r="H10" s="6" t="s">
        <v>85</v>
      </c>
    </row>
    <row r="11" customFormat="false" ht="15" hidden="false" customHeight="true" outlineLevel="0" collapsed="false">
      <c r="A11" s="20" t="s">
        <v>86</v>
      </c>
      <c r="B11" s="16" t="s">
        <v>87</v>
      </c>
      <c r="D11" s="24" t="n">
        <v>0.06</v>
      </c>
      <c r="E11" s="24" t="n">
        <v>0.08</v>
      </c>
      <c r="F11" s="24" t="n">
        <v>0.1</v>
      </c>
      <c r="G11" s="16" t="s">
        <v>88</v>
      </c>
      <c r="H11" s="6" t="s">
        <v>89</v>
      </c>
    </row>
    <row r="12" customFormat="false" ht="15" hidden="false" customHeight="true" outlineLevel="0" collapsed="false">
      <c r="A12" s="25" t="s">
        <v>90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91</v>
      </c>
      <c r="B13" s="16" t="s">
        <v>77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82</v>
      </c>
      <c r="H13" s="6" t="s">
        <v>92</v>
      </c>
    </row>
    <row r="14" customFormat="false" ht="15" hidden="false" customHeight="true" outlineLevel="0" collapsed="false">
      <c r="A14" s="20" t="s">
        <v>93</v>
      </c>
      <c r="B14" s="16" t="s">
        <v>94</v>
      </c>
      <c r="D14" s="18" t="n">
        <v>300</v>
      </c>
      <c r="E14" s="18" t="n">
        <v>500</v>
      </c>
      <c r="F14" s="18" t="n">
        <v>800</v>
      </c>
      <c r="G14" s="16" t="s">
        <v>78</v>
      </c>
      <c r="H14" s="6" t="s">
        <v>95</v>
      </c>
    </row>
    <row r="15" customFormat="false" ht="15" hidden="false" customHeight="true" outlineLevel="0" collapsed="false">
      <c r="A15" s="13" t="s">
        <v>96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97</v>
      </c>
      <c r="B16" s="16" t="s">
        <v>98</v>
      </c>
      <c r="D16" s="24" t="n">
        <v>0.02</v>
      </c>
      <c r="E16" s="24" t="n">
        <v>0.02</v>
      </c>
      <c r="F16" s="24" t="n">
        <v>0.02</v>
      </c>
      <c r="G16" s="16" t="s">
        <v>78</v>
      </c>
      <c r="H16" s="6" t="s">
        <v>99</v>
      </c>
    </row>
    <row r="17" customFormat="false" ht="15" hidden="false" customHeight="true" outlineLevel="0" collapsed="false">
      <c r="A17" s="20" t="s">
        <v>100</v>
      </c>
      <c r="B17" s="16" t="s">
        <v>98</v>
      </c>
      <c r="D17" s="24" t="n">
        <v>3</v>
      </c>
      <c r="E17" s="24" t="n">
        <v>3.6</v>
      </c>
      <c r="F17" s="24" t="n">
        <v>4.5</v>
      </c>
      <c r="G17" s="16" t="s">
        <v>78</v>
      </c>
      <c r="H17" s="19" t="s">
        <v>101</v>
      </c>
    </row>
    <row r="18" customFormat="false" ht="15" hidden="false" customHeight="true" outlineLevel="0" collapsed="false">
      <c r="A18" s="20" t="s">
        <v>102</v>
      </c>
      <c r="B18" s="16" t="s">
        <v>98</v>
      </c>
      <c r="D18" s="24" t="n">
        <v>3.8</v>
      </c>
      <c r="E18" s="24" t="n">
        <v>4.5</v>
      </c>
      <c r="F18" s="24" t="n">
        <v>5.5</v>
      </c>
      <c r="G18" s="16" t="s">
        <v>78</v>
      </c>
      <c r="H18" s="19" t="s">
        <v>103</v>
      </c>
    </row>
    <row r="19" customFormat="false" ht="15" hidden="false" customHeight="true" outlineLevel="0" collapsed="false">
      <c r="A19" s="20" t="s">
        <v>104</v>
      </c>
      <c r="B19" s="16" t="s">
        <v>98</v>
      </c>
      <c r="D19" s="24" t="n">
        <v>2</v>
      </c>
      <c r="E19" s="24" t="n">
        <v>2.5</v>
      </c>
      <c r="F19" s="24" t="n">
        <v>3.2</v>
      </c>
      <c r="G19" s="16" t="s">
        <v>78</v>
      </c>
      <c r="H19" s="19" t="s">
        <v>105</v>
      </c>
    </row>
    <row r="20" customFormat="false" ht="15" hidden="false" customHeight="true" outlineLevel="0" collapsed="false">
      <c r="A20" s="20" t="s">
        <v>106</v>
      </c>
      <c r="B20" s="16" t="s">
        <v>98</v>
      </c>
      <c r="D20" s="24" t="n">
        <v>0.3</v>
      </c>
      <c r="E20" s="24" t="n">
        <v>0.4</v>
      </c>
      <c r="F20" s="24" t="n">
        <v>0.5</v>
      </c>
      <c r="G20" s="16" t="s">
        <v>78</v>
      </c>
      <c r="H20" s="19" t="s">
        <v>103</v>
      </c>
    </row>
    <row r="21" customFormat="false" ht="15" hidden="false" customHeight="true" outlineLevel="0" collapsed="false">
      <c r="A21" s="20" t="s">
        <v>107</v>
      </c>
      <c r="B21" s="16" t="s">
        <v>108</v>
      </c>
      <c r="D21" s="23" t="n">
        <v>0.12</v>
      </c>
      <c r="E21" s="23" t="n">
        <v>0.15</v>
      </c>
      <c r="F21" s="23" t="n">
        <v>0.18</v>
      </c>
      <c r="G21" s="16" t="s">
        <v>78</v>
      </c>
      <c r="H21" s="6" t="s">
        <v>109</v>
      </c>
    </row>
    <row r="22" customFormat="false" ht="15" hidden="false" customHeight="true" outlineLevel="0" collapsed="false">
      <c r="A22" s="13" t="s">
        <v>110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111</v>
      </c>
      <c r="B23" s="21" t="s">
        <v>112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113</v>
      </c>
      <c r="H23" s="6" t="s">
        <v>114</v>
      </c>
    </row>
    <row r="24" customFormat="false" ht="15" hidden="false" customHeight="true" outlineLevel="0" collapsed="false">
      <c r="A24" s="20" t="s">
        <v>115</v>
      </c>
      <c r="B24" s="21" t="s">
        <v>112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82</v>
      </c>
      <c r="H24" s="6" t="s">
        <v>116</v>
      </c>
    </row>
    <row r="25" customFormat="false" ht="15" hidden="false" customHeight="true" outlineLevel="0" collapsed="false">
      <c r="A25" s="20" t="s">
        <v>117</v>
      </c>
      <c r="B25" s="21" t="s">
        <v>112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82</v>
      </c>
      <c r="H25" s="6" t="s">
        <v>116</v>
      </c>
    </row>
    <row r="26" customFormat="false" ht="15" hidden="false" customHeight="true" outlineLevel="0" collapsed="false">
      <c r="A26" s="20" t="s">
        <v>118</v>
      </c>
      <c r="B26" s="21" t="s">
        <v>112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82</v>
      </c>
      <c r="H26" s="6" t="s">
        <v>116</v>
      </c>
    </row>
    <row r="27" customFormat="false" ht="15" hidden="false" customHeight="true" outlineLevel="0" collapsed="false">
      <c r="A27" s="20" t="s">
        <v>119</v>
      </c>
      <c r="B27" s="21" t="s">
        <v>112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82</v>
      </c>
      <c r="H27" s="6" t="s">
        <v>116</v>
      </c>
    </row>
    <row r="28" customFormat="false" ht="15" hidden="false" customHeight="true" outlineLevel="0" collapsed="false">
      <c r="A28" s="15" t="s">
        <v>120</v>
      </c>
      <c r="B28" s="16" t="s">
        <v>77</v>
      </c>
      <c r="D28" s="23" t="n">
        <v>0.08</v>
      </c>
      <c r="E28" s="23" t="n">
        <v>0.1</v>
      </c>
      <c r="F28" s="23" t="n">
        <v>0.13</v>
      </c>
      <c r="G28" s="16" t="s">
        <v>78</v>
      </c>
      <c r="H28" s="19" t="s">
        <v>121</v>
      </c>
    </row>
    <row r="29" customFormat="false" ht="15" hidden="false" customHeight="true" outlineLevel="0" collapsed="false">
      <c r="A29" s="13" t="s">
        <v>122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123</v>
      </c>
      <c r="B30" s="16" t="s">
        <v>124</v>
      </c>
      <c r="D30" s="23" t="n">
        <v>0.02</v>
      </c>
      <c r="E30" s="23" t="n">
        <v>0.03</v>
      </c>
      <c r="F30" s="23" t="n">
        <v>0.04</v>
      </c>
      <c r="G30" s="16" t="s">
        <v>82</v>
      </c>
      <c r="H30" s="6" t="s">
        <v>125</v>
      </c>
    </row>
    <row r="31" customFormat="false" ht="15" hidden="false" customHeight="true" outlineLevel="0" collapsed="false">
      <c r="A31" s="20" t="s">
        <v>126</v>
      </c>
      <c r="B31" s="16" t="s">
        <v>127</v>
      </c>
      <c r="D31" s="23" t="n">
        <v>0.015</v>
      </c>
      <c r="E31" s="23" t="n">
        <v>0.02</v>
      </c>
      <c r="F31" s="23" t="n">
        <v>0.025</v>
      </c>
      <c r="G31" s="16" t="s">
        <v>82</v>
      </c>
      <c r="H31" s="6" t="s">
        <v>128</v>
      </c>
    </row>
    <row r="32" customFormat="false" ht="15" hidden="false" customHeight="true" outlineLevel="0" collapsed="false">
      <c r="A32" s="20" t="s">
        <v>129</v>
      </c>
      <c r="B32" s="16" t="s">
        <v>130</v>
      </c>
      <c r="D32" s="18" t="n">
        <v>50</v>
      </c>
      <c r="E32" s="18" t="n">
        <v>75</v>
      </c>
      <c r="F32" s="18" t="n">
        <v>100</v>
      </c>
      <c r="G32" s="16" t="s">
        <v>78</v>
      </c>
      <c r="H32" s="6" t="s">
        <v>131</v>
      </c>
    </row>
    <row r="33" customFormat="false" ht="15" hidden="false" customHeight="true" outlineLevel="0" collapsed="false">
      <c r="A33" s="20" t="s">
        <v>132</v>
      </c>
      <c r="B33" s="16" t="s">
        <v>130</v>
      </c>
      <c r="D33" s="18" t="n">
        <v>150</v>
      </c>
      <c r="E33" s="18" t="n">
        <v>200</v>
      </c>
      <c r="F33" s="18" t="n">
        <v>250</v>
      </c>
      <c r="G33" s="16" t="s">
        <v>78</v>
      </c>
      <c r="H33" s="6" t="s">
        <v>133</v>
      </c>
    </row>
    <row r="34" customFormat="false" ht="15" hidden="false" customHeight="true" outlineLevel="0" collapsed="false">
      <c r="A34" s="20" t="s">
        <v>134</v>
      </c>
      <c r="B34" s="16" t="s">
        <v>135</v>
      </c>
      <c r="D34" s="24" t="n">
        <v>0.04</v>
      </c>
      <c r="E34" s="24" t="n">
        <v>0.05</v>
      </c>
      <c r="F34" s="24" t="n">
        <v>0.06</v>
      </c>
      <c r="G34" s="16" t="s">
        <v>78</v>
      </c>
      <c r="H34" s="6" t="s">
        <v>136</v>
      </c>
    </row>
    <row r="35" customFormat="false" ht="15" hidden="false" customHeight="true" outlineLevel="0" collapsed="false">
      <c r="A35" s="20" t="s">
        <v>137</v>
      </c>
      <c r="B35" s="16" t="s">
        <v>138</v>
      </c>
      <c r="D35" s="23" t="n">
        <v>0.003</v>
      </c>
      <c r="E35" s="23" t="n">
        <v>0.005</v>
      </c>
      <c r="F35" s="23" t="n">
        <v>0.008</v>
      </c>
      <c r="G35" s="16" t="s">
        <v>82</v>
      </c>
      <c r="H35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140</v>
      </c>
    </row>
    <row r="2" customFormat="false" ht="15" hidden="false" customHeight="true" outlineLevel="0" collapsed="false">
      <c r="A2" s="11" t="s">
        <v>141</v>
      </c>
    </row>
    <row r="4" customFormat="false" ht="15" hidden="false" customHeight="true" outlineLevel="0" collapsed="false">
      <c r="A4" s="28" t="s">
        <v>142</v>
      </c>
      <c r="C4" s="25" t="s">
        <v>143</v>
      </c>
      <c r="D4" s="25" t="s">
        <v>144</v>
      </c>
      <c r="E4" s="25" t="s">
        <v>145</v>
      </c>
      <c r="F4" s="25" t="s">
        <v>146</v>
      </c>
      <c r="G4" s="25" t="s">
        <v>147</v>
      </c>
      <c r="H4" s="9" t="s">
        <v>148</v>
      </c>
    </row>
    <row r="5" customFormat="false" ht="15" hidden="false" customHeight="true" outlineLevel="0" collapsed="false">
      <c r="A5" s="20" t="s">
        <v>149</v>
      </c>
      <c r="C5" s="6" t="s">
        <v>150</v>
      </c>
      <c r="D5" s="6" t="s">
        <v>151</v>
      </c>
      <c r="E5" s="6" t="s">
        <v>152</v>
      </c>
      <c r="F5" s="6" t="s">
        <v>153</v>
      </c>
      <c r="G5" s="6" t="s">
        <v>154</v>
      </c>
    </row>
    <row r="6" customFormat="false" ht="15" hidden="false" customHeight="true" outlineLevel="0" collapsed="false">
      <c r="A6" s="15" t="s">
        <v>155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156</v>
      </c>
      <c r="C7" s="19" t="s">
        <v>157</v>
      </c>
      <c r="D7" s="19" t="s">
        <v>158</v>
      </c>
      <c r="E7" s="19" t="s">
        <v>158</v>
      </c>
      <c r="F7" s="19" t="s">
        <v>159</v>
      </c>
      <c r="G7" s="19" t="s">
        <v>158</v>
      </c>
    </row>
    <row r="8" customFormat="false" ht="15" hidden="false" customHeight="true" outlineLevel="0" collapsed="false">
      <c r="A8" s="20" t="s">
        <v>160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161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162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163</v>
      </c>
      <c r="C11" s="29" t="n">
        <v>0.9</v>
      </c>
      <c r="D11" s="30" t="n">
        <f aca="false">SRC_HW_006_Lo</f>
        <v>2.8</v>
      </c>
      <c r="E11" s="30" t="n">
        <f aca="false">SRC_HW_052</f>
        <v>4</v>
      </c>
      <c r="F11" s="29" t="n">
        <v>7.8</v>
      </c>
      <c r="G11" s="31" t="n">
        <f aca="false">F12*1.5</f>
        <v>12.6</v>
      </c>
    </row>
    <row r="12" customFormat="false" ht="15" hidden="false" customHeight="true" outlineLevel="0" collapsed="false">
      <c r="A12" s="20" t="s">
        <v>164</v>
      </c>
      <c r="C12" s="29" t="n">
        <v>1.1</v>
      </c>
      <c r="D12" s="29" t="n">
        <v>3.1</v>
      </c>
      <c r="E12" s="30" t="n">
        <f aca="false">SRC_HW_010</f>
        <v>5</v>
      </c>
      <c r="F12" s="29" t="n">
        <v>8.4</v>
      </c>
      <c r="G12" s="31" t="n">
        <f aca="false">F12*2</f>
        <v>16.8</v>
      </c>
    </row>
    <row r="13" customFormat="false" ht="15" hidden="false" customHeight="true" outlineLevel="0" collapsed="false">
      <c r="A13" s="20" t="s">
        <v>165</v>
      </c>
      <c r="C13" s="29" t="n">
        <v>1.3</v>
      </c>
      <c r="D13" s="30" t="n">
        <f aca="false">SRC_HW_006_Hi</f>
        <v>3.4</v>
      </c>
      <c r="E13" s="30" t="n">
        <f aca="false">SRC_HW_007_Hi</f>
        <v>6.5</v>
      </c>
      <c r="F13" s="29" t="n">
        <v>9.1</v>
      </c>
      <c r="G13" s="31" t="n">
        <f aca="false">F12*2.5</f>
        <v>21</v>
      </c>
    </row>
    <row r="14" customFormat="false" ht="54" hidden="false" customHeight="true" outlineLevel="0" collapsed="false">
      <c r="A14" s="20" t="s">
        <v>166</v>
      </c>
      <c r="C14" s="32" t="s">
        <v>167</v>
      </c>
      <c r="D14" s="33" t="s">
        <v>168</v>
      </c>
      <c r="E14" s="33" t="s">
        <v>103</v>
      </c>
      <c r="F14" s="33" t="s">
        <v>169</v>
      </c>
      <c r="G14" s="32" t="s">
        <v>170</v>
      </c>
    </row>
    <row r="15" customFormat="false" ht="54" hidden="false" customHeight="true" outlineLevel="0" collapsed="false">
      <c r="A15" s="20" t="s">
        <v>171</v>
      </c>
      <c r="C15" s="32" t="s">
        <v>172</v>
      </c>
      <c r="D15" s="33" t="s">
        <v>173</v>
      </c>
      <c r="E15" s="32" t="s">
        <v>174</v>
      </c>
      <c r="F15" s="32" t="s">
        <v>175</v>
      </c>
      <c r="G15" s="33" t="s">
        <v>176</v>
      </c>
    </row>
    <row r="16" customFormat="false" ht="54" hidden="false" customHeight="true" outlineLevel="0" collapsed="false">
      <c r="A16" s="20" t="s">
        <v>177</v>
      </c>
      <c r="C16" s="32" t="s">
        <v>178</v>
      </c>
      <c r="D16" s="32" t="s">
        <v>179</v>
      </c>
      <c r="E16" s="32" t="s">
        <v>180</v>
      </c>
      <c r="F16" s="32" t="s">
        <v>181</v>
      </c>
      <c r="G16" s="33" t="s">
        <v>182</v>
      </c>
    </row>
    <row r="17" customFormat="false" ht="54" hidden="false" customHeight="true" outlineLevel="0" collapsed="false">
      <c r="A17" s="20" t="s">
        <v>65</v>
      </c>
      <c r="C17" s="32" t="s">
        <v>82</v>
      </c>
      <c r="D17" s="32" t="s">
        <v>183</v>
      </c>
      <c r="E17" s="32" t="s">
        <v>183</v>
      </c>
      <c r="F17" s="32" t="s">
        <v>183</v>
      </c>
      <c r="G17" s="32" t="s">
        <v>184</v>
      </c>
    </row>
    <row r="19" customFormat="false" ht="15" hidden="false" customHeight="true" outlineLevel="0" collapsed="false">
      <c r="A19" s="11" t="s">
        <v>185</v>
      </c>
    </row>
    <row r="21" customFormat="false" ht="15" hidden="false" customHeight="true" outlineLevel="0" collapsed="false">
      <c r="A21" s="34" t="s">
        <v>186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5" t="s">
        <v>187</v>
      </c>
      <c r="C22" s="36" t="s">
        <v>188</v>
      </c>
      <c r="D22" s="36" t="s">
        <v>189</v>
      </c>
      <c r="E22" s="36" t="s">
        <v>189</v>
      </c>
      <c r="F22" s="36" t="s">
        <v>189</v>
      </c>
      <c r="G22" s="36" t="s">
        <v>189</v>
      </c>
      <c r="H22" s="37" t="s">
        <v>190</v>
      </c>
    </row>
    <row r="23" customFormat="false" ht="15" hidden="false" customHeight="true" outlineLevel="0" collapsed="false">
      <c r="A23" s="35" t="s">
        <v>191</v>
      </c>
      <c r="C23" s="38" t="n">
        <f aca="false">SRC_HW_040</f>
        <v>1.979</v>
      </c>
      <c r="D23" s="38" t="n">
        <f aca="false">SRC_HW_022</f>
        <v>10</v>
      </c>
      <c r="E23" s="38" t="n">
        <f aca="false">SRC_HW_025</f>
        <v>15</v>
      </c>
      <c r="F23" s="38" t="n">
        <f aca="false">SRC_HW_028</f>
        <v>35</v>
      </c>
      <c r="G23" s="39" t="n">
        <v>70</v>
      </c>
      <c r="H23" s="37" t="s">
        <v>192</v>
      </c>
    </row>
    <row r="24" customFormat="false" ht="15" hidden="false" customHeight="true" outlineLevel="0" collapsed="false">
      <c r="A24" s="35" t="s">
        <v>193</v>
      </c>
      <c r="C24" s="40" t="n">
        <f aca="false">C23</f>
        <v>1.979</v>
      </c>
      <c r="D24" s="38" t="n">
        <f aca="false">SRC_HW_022</f>
        <v>10</v>
      </c>
      <c r="E24" s="38" t="n">
        <f aca="false">SRC_HW_025</f>
        <v>15</v>
      </c>
      <c r="F24" s="38" t="n">
        <f aca="false">SRC_HW_027</f>
        <v>50</v>
      </c>
      <c r="G24" s="39" t="n">
        <v>100</v>
      </c>
      <c r="H24" s="37" t="s">
        <v>194</v>
      </c>
    </row>
    <row r="25" customFormat="false" ht="15" hidden="false" customHeight="true" outlineLevel="0" collapsed="false">
      <c r="A25" s="36" t="s">
        <v>195</v>
      </c>
      <c r="C25" s="41" t="n">
        <f aca="false">SRC_HW_020</f>
        <v>80</v>
      </c>
      <c r="D25" s="42" t="n">
        <v>186</v>
      </c>
      <c r="E25" s="41" t="n">
        <f aca="false">SRC_HW_026</f>
        <v>288</v>
      </c>
      <c r="F25" s="41" t="n">
        <f aca="false">SRC_HW_029</f>
        <v>288</v>
      </c>
      <c r="G25" s="42" t="n">
        <v>1024</v>
      </c>
      <c r="H25" s="37" t="s">
        <v>196</v>
      </c>
    </row>
    <row r="26" customFormat="false" ht="15" hidden="false" customHeight="true" outlineLevel="0" collapsed="false">
      <c r="A26" s="36" t="s">
        <v>197</v>
      </c>
      <c r="C26" s="43" t="n">
        <f aca="false">SRC_HW_021</f>
        <v>3.35</v>
      </c>
      <c r="D26" s="43" t="n">
        <f aca="false">SRC_HW_023</f>
        <v>8</v>
      </c>
      <c r="E26" s="43" t="n">
        <f aca="false">SRC_HW_059</f>
        <v>8</v>
      </c>
      <c r="F26" s="43" t="n">
        <f aca="false">SRC_HW_030</f>
        <v>22</v>
      </c>
      <c r="G26" s="44" t="n">
        <v>32</v>
      </c>
      <c r="H26" s="37" t="s">
        <v>198</v>
      </c>
    </row>
    <row r="27" customFormat="false" ht="15" hidden="false" customHeight="true" outlineLevel="0" collapsed="false">
      <c r="A27" s="36" t="s">
        <v>199</v>
      </c>
      <c r="C27" s="43" t="n">
        <f aca="false">SRC_HW_060/8/1000</f>
        <v>0.05</v>
      </c>
      <c r="D27" s="43" t="n">
        <f aca="false">SRC_HW_048</f>
        <v>0.9</v>
      </c>
      <c r="E27" s="43" t="n">
        <f aca="false">SRC_HW_048</f>
        <v>0.9</v>
      </c>
      <c r="F27" s="43" t="n">
        <f aca="false">SRC_HW_049</f>
        <v>1.8</v>
      </c>
      <c r="G27" s="44" t="n">
        <v>1.8</v>
      </c>
      <c r="H27" s="37" t="s">
        <v>200</v>
      </c>
    </row>
    <row r="28" customFormat="false" ht="15" hidden="false" customHeight="true" outlineLevel="0" collapsed="false">
      <c r="A28" s="36" t="s">
        <v>201</v>
      </c>
      <c r="C28" s="41" t="n">
        <f aca="false">SRC_HW_053</f>
        <v>8</v>
      </c>
      <c r="D28" s="41" t="n">
        <f aca="false">SRC_HW_047</f>
        <v>72</v>
      </c>
      <c r="E28" s="41" t="n">
        <f aca="false">SRC_HW_047</f>
        <v>72</v>
      </c>
      <c r="F28" s="41" t="n">
        <f aca="false">SRC_HW_047</f>
        <v>72</v>
      </c>
      <c r="G28" s="41" t="n">
        <f aca="false">SRC_HW_062</f>
        <v>576</v>
      </c>
      <c r="H28" s="37"/>
    </row>
    <row r="29" customFormat="false" ht="15" hidden="false" customHeight="true" outlineLevel="0" collapsed="false">
      <c r="A29" s="36" t="s">
        <v>202</v>
      </c>
      <c r="C29" s="42" t="n">
        <v>64</v>
      </c>
      <c r="D29" s="42" t="n">
        <v>32</v>
      </c>
      <c r="E29" s="41" t="n">
        <f aca="false">SRC_PERF_008</f>
        <v>32</v>
      </c>
      <c r="F29" s="42" t="n">
        <v>32</v>
      </c>
      <c r="G29" s="42" t="n">
        <v>64</v>
      </c>
      <c r="H29" s="37" t="s">
        <v>203</v>
      </c>
    </row>
    <row r="30" customFormat="false" ht="15" hidden="false" customHeight="true" outlineLevel="0" collapsed="false">
      <c r="A30" s="35" t="s">
        <v>204</v>
      </c>
      <c r="C30" s="45" t="n">
        <f aca="false">SRC_HW_055</f>
        <v>1</v>
      </c>
      <c r="D30" s="45" t="n">
        <f aca="false">SRC_HW_050</f>
        <v>0.5625</v>
      </c>
      <c r="E30" s="45" t="n">
        <f aca="false">SRC_HW_050</f>
        <v>0.5625</v>
      </c>
      <c r="F30" s="45" t="n">
        <f aca="false">SRC_HW_050</f>
        <v>0.5625</v>
      </c>
      <c r="G30" s="45" t="n">
        <f aca="false">SRC_HW_050</f>
        <v>0.5625</v>
      </c>
      <c r="H30" s="37" t="s">
        <v>205</v>
      </c>
    </row>
    <row r="31" customFormat="false" ht="15" hidden="false" customHeight="true" outlineLevel="0" collapsed="false">
      <c r="A31" s="35" t="s">
        <v>206</v>
      </c>
      <c r="C31" s="46" t="n">
        <v>1</v>
      </c>
      <c r="D31" s="46" t="n">
        <v>1</v>
      </c>
      <c r="E31" s="46" t="n">
        <v>1</v>
      </c>
      <c r="F31" s="46" t="n">
        <v>1</v>
      </c>
      <c r="G31" s="46" t="n">
        <v>1</v>
      </c>
      <c r="H31" s="47" t="s">
        <v>207</v>
      </c>
    </row>
    <row r="32" customFormat="false" ht="15" hidden="false" customHeight="true" outlineLevel="0" collapsed="false">
      <c r="A32" s="35" t="s">
        <v>208</v>
      </c>
      <c r="C32" s="42" t="n">
        <v>8</v>
      </c>
      <c r="D32" s="42" t="n">
        <v>4</v>
      </c>
      <c r="E32" s="41" t="n">
        <f aca="false">SRC_PERF_007</f>
        <v>4</v>
      </c>
      <c r="F32" s="42" t="n">
        <v>4</v>
      </c>
      <c r="G32" s="42" t="n">
        <v>8</v>
      </c>
      <c r="H32" s="37" t="s">
        <v>209</v>
      </c>
    </row>
    <row r="33" customFormat="false" ht="15" hidden="false" customHeight="true" outlineLevel="0" collapsed="false">
      <c r="A33" s="36" t="s">
        <v>210</v>
      </c>
      <c r="C33" s="41" t="n">
        <f aca="false">SRC_HW_056</f>
        <v>700</v>
      </c>
      <c r="D33" s="41" t="n">
        <f aca="false">SRC_HW_057</f>
        <v>1200</v>
      </c>
      <c r="E33" s="41" t="n">
        <f aca="false">SRC_HW_058</f>
        <v>1400</v>
      </c>
      <c r="F33" s="41" t="n">
        <f aca="false">SRC_HW_046*1000</f>
        <v>1800</v>
      </c>
      <c r="G33" s="42" t="n">
        <v>3600</v>
      </c>
      <c r="H33" s="37" t="s">
        <v>211</v>
      </c>
    </row>
    <row r="34" customFormat="false" ht="15" hidden="false" customHeight="true" outlineLevel="0" collapsed="false">
      <c r="A34" s="36" t="s">
        <v>212</v>
      </c>
      <c r="C34" s="42" t="n">
        <v>31</v>
      </c>
      <c r="D34" s="42" t="n">
        <v>25</v>
      </c>
      <c r="E34" s="42" t="n">
        <v>25</v>
      </c>
      <c r="F34" s="41" t="n">
        <f aca="false">SRC_HW_034*8</f>
        <v>20</v>
      </c>
      <c r="G34" s="42" t="n">
        <v>18</v>
      </c>
      <c r="H34" s="37" t="s">
        <v>213</v>
      </c>
    </row>
    <row r="35" customFormat="false" ht="15" hidden="false" customHeight="true" outlineLevel="0" collapsed="false">
      <c r="A35" s="9" t="s">
        <v>214</v>
      </c>
      <c r="C35" s="48" t="n">
        <f aca="false">IF(Serving!$C$16=2,C24,C23)</f>
        <v>1.979</v>
      </c>
      <c r="D35" s="48" t="n">
        <f aca="false">IF(Serving!$C$16=2,D24,D23)</f>
        <v>10</v>
      </c>
      <c r="E35" s="48" t="n">
        <f aca="false">IF(Serving!$C$16=2,E24,E23)</f>
        <v>15</v>
      </c>
      <c r="F35" s="48" t="n">
        <f aca="false">IF(Serving!$C$16=2,F24,F23)</f>
        <v>35</v>
      </c>
      <c r="G35" s="48" t="n">
        <f aca="false">IF(Serving!$C$16=2,G24,G23)</f>
        <v>70</v>
      </c>
    </row>
    <row r="36" customFormat="false" ht="15" hidden="false" customHeight="true" outlineLevel="0" collapsed="false">
      <c r="A36" s="36" t="s">
        <v>215</v>
      </c>
      <c r="C36" s="49" t="n">
        <f aca="false">C35*1000/C26</f>
        <v>590.746268656716</v>
      </c>
      <c r="D36" s="49" t="n">
        <f aca="false">D35*1000/D26</f>
        <v>1250</v>
      </c>
      <c r="E36" s="49" t="n">
        <f aca="false">E35*1000/E26</f>
        <v>1875</v>
      </c>
      <c r="F36" s="49" t="n">
        <f aca="false">F35*1000/F26</f>
        <v>1590.90909090909</v>
      </c>
      <c r="G36" s="49" t="n">
        <f aca="false">G35*1000/G26</f>
        <v>2187.5</v>
      </c>
    </row>
    <row r="38" customFormat="false" ht="15" hidden="false" customHeight="true" outlineLevel="0" collapsed="false">
      <c r="A38" s="34" t="s">
        <v>216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6" t="s">
        <v>217</v>
      </c>
      <c r="C39" s="38" t="n">
        <f aca="false">SRC_HW_019</f>
        <v>0.989</v>
      </c>
      <c r="D39" s="38" t="n">
        <f aca="false">SRC_HW_042</f>
        <v>2.5</v>
      </c>
      <c r="E39" s="38" t="n">
        <f aca="false">SRC_HW_042</f>
        <v>2.5</v>
      </c>
      <c r="F39" s="38" t="n">
        <f aca="false">SRC_HW_039/SRC_HW_047</f>
        <v>4</v>
      </c>
      <c r="G39" s="39" t="n">
        <v>8</v>
      </c>
      <c r="H39" s="37" t="s">
        <v>218</v>
      </c>
    </row>
    <row r="40" customFormat="false" ht="15" hidden="false" customHeight="true" outlineLevel="0" collapsed="false">
      <c r="A40" s="36" t="s">
        <v>219</v>
      </c>
      <c r="C40" s="38" t="n">
        <f aca="false">SRC_HW_040</f>
        <v>1.979</v>
      </c>
      <c r="D40" s="38" t="n">
        <f aca="false">SRC_HW_043</f>
        <v>5</v>
      </c>
      <c r="E40" s="38" t="n">
        <f aca="false">SRC_HW_043</f>
        <v>5</v>
      </c>
      <c r="F40" s="38" t="n">
        <f aca="false">SRC_HW_038/SRC_HW_047</f>
        <v>17.5</v>
      </c>
      <c r="G40" s="39" t="n">
        <v>35</v>
      </c>
      <c r="H40" s="37" t="s">
        <v>220</v>
      </c>
    </row>
    <row r="41" customFormat="false" ht="15" hidden="false" customHeight="true" outlineLevel="0" collapsed="false">
      <c r="A41" s="36" t="s">
        <v>221</v>
      </c>
      <c r="C41" s="40" t="n">
        <f aca="false">C40</f>
        <v>1.979</v>
      </c>
      <c r="D41" s="39" t="n">
        <v>10</v>
      </c>
      <c r="E41" s="39" t="n">
        <v>15</v>
      </c>
      <c r="F41" s="38" t="n">
        <f aca="false">SRC_HW_037/SRC_HW_047</f>
        <v>35</v>
      </c>
      <c r="G41" s="39" t="n">
        <v>70</v>
      </c>
      <c r="H41" s="37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0" t="s">
        <v>223</v>
      </c>
    </row>
    <row r="2" customFormat="false" ht="15" hidden="false" customHeight="false" outlineLevel="0" collapsed="false">
      <c r="A2" s="51" t="s">
        <v>224</v>
      </c>
    </row>
    <row r="4" customFormat="false" ht="15" hidden="false" customHeight="false" outlineLevel="0" collapsed="false">
      <c r="A4" s="52" t="s">
        <v>60</v>
      </c>
      <c r="B4" s="52" t="s">
        <v>61</v>
      </c>
      <c r="C4" s="10" t="s">
        <v>225</v>
      </c>
      <c r="D4" s="10" t="s">
        <v>226</v>
      </c>
      <c r="E4" s="10" t="s">
        <v>227</v>
      </c>
      <c r="F4" s="52" t="s">
        <v>65</v>
      </c>
      <c r="G4" s="52" t="s">
        <v>66</v>
      </c>
    </row>
    <row r="5" customFormat="false" ht="15" hidden="false" customHeight="false" outlineLevel="0" collapsed="false">
      <c r="A5" s="53" t="s">
        <v>228</v>
      </c>
      <c r="B5" s="53"/>
      <c r="C5" s="54" t="s">
        <v>229</v>
      </c>
      <c r="D5" s="54" t="s">
        <v>230</v>
      </c>
      <c r="E5" s="53" t="s">
        <v>231</v>
      </c>
      <c r="F5" s="51" t="s">
        <v>70</v>
      </c>
      <c r="G5" s="51" t="s">
        <v>232</v>
      </c>
    </row>
    <row r="6" customFormat="false" ht="15" hidden="false" customHeight="false" outlineLevel="0" collapsed="false">
      <c r="A6" s="53" t="s">
        <v>233</v>
      </c>
      <c r="B6" s="54" t="s">
        <v>234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1" t="s">
        <v>235</v>
      </c>
      <c r="G6" s="51" t="s">
        <v>236</v>
      </c>
    </row>
    <row r="7" customFormat="false" ht="15" hidden="false" customHeight="false" outlineLevel="0" collapsed="false">
      <c r="A7" s="53" t="s">
        <v>237</v>
      </c>
      <c r="B7" s="54" t="s">
        <v>234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1" t="s">
        <v>235</v>
      </c>
      <c r="G7" s="51" t="s">
        <v>238</v>
      </c>
    </row>
    <row r="8" customFormat="false" ht="15" hidden="false" customHeight="false" outlineLevel="0" collapsed="false">
      <c r="A8" s="53" t="s">
        <v>239</v>
      </c>
      <c r="B8" s="53" t="s">
        <v>240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1" t="s">
        <v>235</v>
      </c>
      <c r="G8" s="51" t="s">
        <v>241</v>
      </c>
    </row>
    <row r="9" customFormat="false" ht="15" hidden="false" customHeight="false" outlineLevel="0" collapsed="false">
      <c r="A9" s="54" t="s">
        <v>242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1" t="s">
        <v>235</v>
      </c>
      <c r="G9" s="51" t="s">
        <v>243</v>
      </c>
    </row>
    <row r="10" customFormat="false" ht="15" hidden="false" customHeight="false" outlineLevel="0" collapsed="false">
      <c r="A10" s="54" t="s">
        <v>244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1" t="s">
        <v>235</v>
      </c>
      <c r="G10" s="51" t="s">
        <v>245</v>
      </c>
    </row>
    <row r="11" customFormat="false" ht="15" hidden="false" customHeight="false" outlineLevel="0" collapsed="false">
      <c r="A11" s="54" t="s">
        <v>246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1" t="s">
        <v>235</v>
      </c>
      <c r="G11" s="51" t="s">
        <v>247</v>
      </c>
    </row>
    <row r="12" customFormat="false" ht="15" hidden="false" customHeight="false" outlineLevel="0" collapsed="false">
      <c r="A12" s="54" t="s">
        <v>248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1" t="s">
        <v>235</v>
      </c>
      <c r="G12" s="51"/>
    </row>
    <row r="13" customFormat="false" ht="15" hidden="false" customHeight="false" outlineLevel="0" collapsed="false">
      <c r="A13" s="53" t="s">
        <v>249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1" t="s">
        <v>235</v>
      </c>
      <c r="G13" s="51"/>
    </row>
    <row r="14" customFormat="false" ht="15" hidden="false" customHeight="false" outlineLevel="0" collapsed="false">
      <c r="A14" s="54" t="s">
        <v>250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1" t="s">
        <v>113</v>
      </c>
      <c r="G14" s="51"/>
    </row>
    <row r="15" customFormat="false" ht="15" hidden="false" customHeight="false" outlineLevel="0" collapsed="false">
      <c r="A15" s="54" t="s">
        <v>251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1" t="s">
        <v>235</v>
      </c>
      <c r="G15" s="51"/>
    </row>
    <row r="16" customFormat="false" ht="15" hidden="false" customHeight="false" outlineLevel="0" collapsed="false">
      <c r="A16" s="53" t="s">
        <v>252</v>
      </c>
      <c r="B16" s="54" t="s">
        <v>77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1" t="s">
        <v>235</v>
      </c>
      <c r="G16" s="51" t="s">
        <v>253</v>
      </c>
    </row>
    <row r="17" customFormat="false" ht="15" hidden="false" customHeight="false" outlineLevel="0" collapsed="false">
      <c r="A17" s="53" t="s">
        <v>254</v>
      </c>
      <c r="B17" s="54" t="s">
        <v>255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1" t="s">
        <v>256</v>
      </c>
      <c r="G17" s="51" t="s">
        <v>257</v>
      </c>
    </row>
    <row r="18" customFormat="false" ht="15" hidden="false" customHeight="false" outlineLevel="0" collapsed="false">
      <c r="A18" s="53" t="s">
        <v>258</v>
      </c>
      <c r="B18" s="54" t="s">
        <v>81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1" t="s">
        <v>113</v>
      </c>
      <c r="G18" s="51" t="s">
        <v>259</v>
      </c>
    </row>
    <row r="19" customFormat="false" ht="15" hidden="false" customHeight="false" outlineLevel="0" collapsed="false">
      <c r="A19" s="53" t="s">
        <v>260</v>
      </c>
      <c r="B19" s="54" t="s">
        <v>255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1" t="s">
        <v>113</v>
      </c>
      <c r="G19" s="51"/>
    </row>
    <row r="20" customFormat="false" ht="15" hidden="false" customHeight="false" outlineLevel="0" collapsed="false">
      <c r="A20" s="54" t="s">
        <v>261</v>
      </c>
      <c r="B20" s="53" t="s">
        <v>73</v>
      </c>
      <c r="E20" s="59" t="n">
        <v>2</v>
      </c>
      <c r="F20" s="51" t="s">
        <v>70</v>
      </c>
      <c r="G20" s="51" t="s">
        <v>262</v>
      </c>
    </row>
    <row r="21" customFormat="false" ht="15" hidden="false" customHeight="false" outlineLevel="0" collapsed="false">
      <c r="A21" s="54" t="s">
        <v>263</v>
      </c>
      <c r="B21" s="54" t="s">
        <v>234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1" t="s">
        <v>264</v>
      </c>
      <c r="G21" s="51" t="s">
        <v>265</v>
      </c>
    </row>
    <row r="22" customFormat="false" ht="15" hidden="false" customHeight="false" outlineLevel="0" collapsed="false">
      <c r="A22" s="54" t="s">
        <v>266</v>
      </c>
      <c r="B22" s="54" t="s">
        <v>234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1" t="s">
        <v>264</v>
      </c>
      <c r="G22" s="51" t="s">
        <v>267</v>
      </c>
    </row>
    <row r="23" customFormat="false" ht="15" hidden="false" customHeight="false" outlineLevel="0" collapsed="false">
      <c r="A23" s="54" t="s">
        <v>268</v>
      </c>
      <c r="B23" s="54" t="s">
        <v>234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1" t="s">
        <v>264</v>
      </c>
      <c r="G23" s="51" t="s">
        <v>269</v>
      </c>
    </row>
    <row r="24" customFormat="false" ht="15" hidden="false" customHeight="false" outlineLevel="0" collapsed="false">
      <c r="A24" s="61" t="s">
        <v>270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271</v>
      </c>
      <c r="B25" s="54" t="s">
        <v>234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272</v>
      </c>
      <c r="B26" s="54" t="s">
        <v>234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273</v>
      </c>
      <c r="B27" s="54" t="s">
        <v>234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274</v>
      </c>
    </row>
    <row r="28" customFormat="false" ht="15" hidden="false" customHeight="false" outlineLevel="0" collapsed="false">
      <c r="A28" s="53" t="s">
        <v>275</v>
      </c>
      <c r="B28" s="54" t="s">
        <v>234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276</v>
      </c>
      <c r="B29" s="54" t="s">
        <v>234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277</v>
      </c>
      <c r="B30" s="54" t="s">
        <v>278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279</v>
      </c>
      <c r="B31" s="54" t="s">
        <v>280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281</v>
      </c>
      <c r="B32" s="54" t="s">
        <v>255</v>
      </c>
      <c r="C32" s="56" t="n">
        <v>128000</v>
      </c>
      <c r="F32" s="66" t="s">
        <v>282</v>
      </c>
      <c r="G32" s="66" t="s">
        <v>283</v>
      </c>
    </row>
    <row r="33" customFormat="false" ht="15" hidden="false" customHeight="false" outlineLevel="0" collapsed="false">
      <c r="A33" s="68" t="s">
        <v>284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285</v>
      </c>
      <c r="B34" s="54" t="s">
        <v>234</v>
      </c>
      <c r="C34" s="56" t="n">
        <v>65</v>
      </c>
      <c r="D34" s="56" t="n">
        <v>65</v>
      </c>
      <c r="F34" s="51" t="s">
        <v>78</v>
      </c>
      <c r="G34" s="51" t="s">
        <v>286</v>
      </c>
    </row>
    <row r="35" customFormat="false" ht="15" hidden="false" customHeight="false" outlineLevel="0" collapsed="false">
      <c r="A35" s="54" t="s">
        <v>287</v>
      </c>
      <c r="B35" s="53" t="s">
        <v>288</v>
      </c>
      <c r="E35" s="56" t="n">
        <v>576</v>
      </c>
      <c r="F35" s="51" t="s">
        <v>82</v>
      </c>
      <c r="G35" s="66" t="s">
        <v>289</v>
      </c>
    </row>
    <row r="36" customFormat="false" ht="15" hidden="false" customHeight="false" outlineLevel="0" collapsed="false">
      <c r="A36" s="54" t="s">
        <v>290</v>
      </c>
      <c r="B36" s="54" t="s">
        <v>77</v>
      </c>
      <c r="E36" s="58" t="n">
        <v>0.26</v>
      </c>
      <c r="F36" s="51" t="s">
        <v>78</v>
      </c>
      <c r="G36" s="66" t="s">
        <v>291</v>
      </c>
    </row>
    <row r="37" customFormat="false" ht="15" hidden="false" customHeight="false" outlineLevel="0" collapsed="false">
      <c r="A37" s="54" t="s">
        <v>292</v>
      </c>
      <c r="B37" s="53" t="s">
        <v>293</v>
      </c>
      <c r="E37" s="56" t="n">
        <v>8</v>
      </c>
      <c r="F37" s="51" t="s">
        <v>78</v>
      </c>
      <c r="G37" s="51" t="s">
        <v>294</v>
      </c>
    </row>
    <row r="38" customFormat="false" ht="15" hidden="false" customHeight="false" outlineLevel="0" collapsed="false">
      <c r="A38" s="54" t="s">
        <v>295</v>
      </c>
      <c r="B38" s="54" t="s">
        <v>234</v>
      </c>
      <c r="C38" s="55" t="n">
        <f aca="false">SRC_HW_055</f>
        <v>1</v>
      </c>
      <c r="F38" s="66" t="s">
        <v>296</v>
      </c>
      <c r="G38" s="51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0" t="s">
        <v>298</v>
      </c>
    </row>
    <row r="2" customFormat="false" ht="15" hidden="false" customHeight="false" outlineLevel="0" collapsed="false">
      <c r="A2" s="66" t="s">
        <v>299</v>
      </c>
    </row>
    <row r="4" customFormat="false" ht="15" hidden="false" customHeight="false" outlineLevel="0" collapsed="false">
      <c r="A4" s="52" t="s">
        <v>300</v>
      </c>
      <c r="B4" s="52" t="s">
        <v>61</v>
      </c>
      <c r="C4" s="52" t="s">
        <v>301</v>
      </c>
      <c r="D4" s="52" t="s">
        <v>65</v>
      </c>
      <c r="E4" s="52"/>
      <c r="F4" s="52" t="s">
        <v>302</v>
      </c>
    </row>
    <row r="5" customFormat="false" ht="15" hidden="false" customHeight="false" outlineLevel="0" collapsed="false">
      <c r="A5" s="53" t="s">
        <v>303</v>
      </c>
      <c r="B5" s="53"/>
      <c r="C5" s="53" t="s">
        <v>304</v>
      </c>
      <c r="D5" s="51" t="s">
        <v>70</v>
      </c>
      <c r="F5" s="51" t="s">
        <v>305</v>
      </c>
    </row>
    <row r="6" customFormat="false" ht="15" hidden="false" customHeight="false" outlineLevel="0" collapsed="false">
      <c r="A6" s="54" t="s">
        <v>306</v>
      </c>
      <c r="B6" s="54" t="s">
        <v>255</v>
      </c>
      <c r="C6" s="59" t="n">
        <v>3</v>
      </c>
      <c r="D6" s="51" t="s">
        <v>82</v>
      </c>
      <c r="F6" s="51" t="s">
        <v>307</v>
      </c>
    </row>
    <row r="7" customFormat="false" ht="15" hidden="false" customHeight="false" outlineLevel="0" collapsed="false">
      <c r="A7" s="53" t="s">
        <v>308</v>
      </c>
      <c r="B7" s="54" t="s">
        <v>77</v>
      </c>
      <c r="C7" s="57" t="n">
        <f aca="false">SRC_PERF_005</f>
        <v>0.7</v>
      </c>
      <c r="D7" s="51" t="s">
        <v>309</v>
      </c>
      <c r="F7" s="51" t="s">
        <v>310</v>
      </c>
    </row>
    <row r="8" customFormat="false" ht="15" hidden="false" customHeight="false" outlineLevel="0" collapsed="false">
      <c r="A8" s="53" t="s">
        <v>311</v>
      </c>
      <c r="B8" s="54" t="s">
        <v>255</v>
      </c>
      <c r="C8" s="69" t="n">
        <f aca="false">(1-C7^(C6+1))/(1-C7)</f>
        <v>2.533</v>
      </c>
      <c r="D8" s="51" t="s">
        <v>256</v>
      </c>
      <c r="F8" s="51" t="s">
        <v>312</v>
      </c>
    </row>
    <row r="9" customFormat="false" ht="15" hidden="false" customHeight="false" outlineLevel="0" collapsed="false">
      <c r="A9" s="54" t="s">
        <v>313</v>
      </c>
      <c r="B9" s="54" t="s">
        <v>77</v>
      </c>
      <c r="C9" s="58" t="n">
        <v>0.1</v>
      </c>
      <c r="D9" s="51" t="s">
        <v>78</v>
      </c>
      <c r="F9" s="66" t="s">
        <v>314</v>
      </c>
    </row>
    <row r="10" customFormat="false" ht="15" hidden="false" customHeight="false" outlineLevel="0" collapsed="false">
      <c r="A10" s="53" t="s">
        <v>315</v>
      </c>
      <c r="B10" s="54" t="s">
        <v>77</v>
      </c>
      <c r="C10" s="58" t="n">
        <v>0.2</v>
      </c>
      <c r="D10" s="51" t="s">
        <v>78</v>
      </c>
      <c r="F10" s="66" t="s">
        <v>316</v>
      </c>
    </row>
    <row r="11" customFormat="false" ht="15" hidden="false" customHeight="false" outlineLevel="0" collapsed="false">
      <c r="A11" s="53" t="s">
        <v>317</v>
      </c>
      <c r="B11" s="54" t="s">
        <v>77</v>
      </c>
      <c r="C11" s="58" t="n">
        <v>0.4</v>
      </c>
      <c r="D11" s="51" t="s">
        <v>78</v>
      </c>
      <c r="F11" s="66" t="s">
        <v>318</v>
      </c>
    </row>
    <row r="12" customFormat="false" ht="15" hidden="false" customHeight="false" outlineLevel="0" collapsed="false">
      <c r="A12" s="54" t="s">
        <v>319</v>
      </c>
      <c r="B12" s="54" t="s">
        <v>234</v>
      </c>
      <c r="C12" s="70" t="n">
        <v>3</v>
      </c>
      <c r="D12" s="51" t="s">
        <v>82</v>
      </c>
      <c r="F12" s="51" t="s">
        <v>320</v>
      </c>
    </row>
    <row r="13" customFormat="false" ht="15" hidden="false" customHeight="false" outlineLevel="0" collapsed="false">
      <c r="A13" s="54" t="s">
        <v>321</v>
      </c>
      <c r="B13" s="54" t="s">
        <v>77</v>
      </c>
      <c r="C13" s="58" t="n">
        <v>0.7</v>
      </c>
      <c r="D13" s="51" t="s">
        <v>82</v>
      </c>
      <c r="F13" s="66" t="s">
        <v>322</v>
      </c>
    </row>
    <row r="14" customFormat="false" ht="15" hidden="false" customHeight="false" outlineLevel="0" collapsed="false">
      <c r="A14" s="54" t="s">
        <v>323</v>
      </c>
      <c r="B14" s="54" t="s">
        <v>77</v>
      </c>
      <c r="C14" s="58" t="n">
        <v>0.7</v>
      </c>
      <c r="D14" s="51" t="s">
        <v>82</v>
      </c>
      <c r="F14" s="66" t="s">
        <v>322</v>
      </c>
    </row>
    <row r="15" customFormat="false" ht="15" hidden="false" customHeight="false" outlineLevel="0" collapsed="false">
      <c r="A15" s="53" t="s">
        <v>324</v>
      </c>
      <c r="B15" s="54" t="s">
        <v>325</v>
      </c>
      <c r="C15" s="71" t="n">
        <v>0.1</v>
      </c>
      <c r="D15" s="51" t="s">
        <v>78</v>
      </c>
      <c r="F15" s="66" t="s">
        <v>326</v>
      </c>
    </row>
    <row r="16" customFormat="false" ht="15" hidden="false" customHeight="false" outlineLevel="0" collapsed="false">
      <c r="A16" s="53" t="s">
        <v>327</v>
      </c>
      <c r="B16" s="53" t="s">
        <v>73</v>
      </c>
      <c r="C16" s="59" t="n">
        <v>1</v>
      </c>
      <c r="D16" s="51" t="s">
        <v>70</v>
      </c>
      <c r="F16" s="51" t="s">
        <v>328</v>
      </c>
    </row>
    <row r="17" customFormat="false" ht="15" hidden="false" customHeight="false" outlineLevel="0" collapsed="false">
      <c r="A17" s="53" t="s">
        <v>329</v>
      </c>
      <c r="B17" s="54" t="s">
        <v>77</v>
      </c>
      <c r="C17" s="72" t="n">
        <v>0.6</v>
      </c>
      <c r="D17" s="51" t="s">
        <v>78</v>
      </c>
      <c r="F17" s="51" t="s">
        <v>330</v>
      </c>
    </row>
    <row r="18" customFormat="false" ht="15" hidden="false" customHeight="false" outlineLevel="0" collapsed="false">
      <c r="A18" s="53" t="s">
        <v>331</v>
      </c>
      <c r="B18" s="54" t="s">
        <v>81</v>
      </c>
      <c r="C18" s="73" t="n">
        <v>1</v>
      </c>
      <c r="D18" s="51" t="s">
        <v>78</v>
      </c>
      <c r="F18" s="66" t="s">
        <v>332</v>
      </c>
    </row>
    <row r="19" customFormat="false" ht="15" hidden="false" customHeight="false" outlineLevel="0" collapsed="false">
      <c r="A19" s="61" t="s">
        <v>333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2" t="s">
        <v>334</v>
      </c>
      <c r="B20" s="52" t="s">
        <v>61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2" t="s">
        <v>302</v>
      </c>
    </row>
    <row r="21" customFormat="false" ht="15" hidden="false" customHeight="false" outlineLevel="0" collapsed="false">
      <c r="A21" s="54" t="s">
        <v>335</v>
      </c>
      <c r="B21" s="54" t="s">
        <v>336</v>
      </c>
      <c r="C21" s="55" t="n">
        <f aca="false">SRC_PERF_018</f>
        <v>120</v>
      </c>
      <c r="D21" s="75" t="n">
        <v>65</v>
      </c>
      <c r="E21" s="75" t="n">
        <v>55</v>
      </c>
      <c r="F21" s="51" t="s">
        <v>337</v>
      </c>
    </row>
    <row r="22" customFormat="false" ht="15" hidden="false" customHeight="false" outlineLevel="0" collapsed="false">
      <c r="A22" s="54" t="s">
        <v>338</v>
      </c>
      <c r="B22" s="54" t="s">
        <v>339</v>
      </c>
      <c r="C22" s="70" t="n">
        <v>2</v>
      </c>
      <c r="D22" s="70" t="n">
        <v>3</v>
      </c>
      <c r="E22" s="70" t="n">
        <v>5</v>
      </c>
      <c r="F22" s="51" t="s">
        <v>78</v>
      </c>
    </row>
    <row r="23" customFormat="false" ht="15" hidden="false" customHeight="false" outlineLevel="0" collapsed="false">
      <c r="A23" s="53" t="s">
        <v>340</v>
      </c>
      <c r="B23" s="54" t="s">
        <v>255</v>
      </c>
      <c r="C23" s="56" t="n">
        <v>8192</v>
      </c>
      <c r="D23" s="56" t="n">
        <v>16384</v>
      </c>
      <c r="E23" s="56" t="n">
        <v>32768</v>
      </c>
      <c r="F23" s="51" t="s">
        <v>341</v>
      </c>
    </row>
    <row r="24" customFormat="false" ht="15" hidden="false" customHeight="false" outlineLevel="0" collapsed="false">
      <c r="A24" s="53" t="s">
        <v>342</v>
      </c>
      <c r="B24" s="54" t="s">
        <v>255</v>
      </c>
      <c r="C24" s="56" t="n">
        <v>1024</v>
      </c>
      <c r="D24" s="56" t="n">
        <v>2048</v>
      </c>
      <c r="E24" s="56" t="n">
        <v>4096</v>
      </c>
      <c r="F24" s="51" t="s">
        <v>78</v>
      </c>
    </row>
    <row r="25" customFormat="false" ht="15" hidden="false" customHeight="false" outlineLevel="0" collapsed="false">
      <c r="A25" s="54" t="s">
        <v>343</v>
      </c>
      <c r="B25" s="54" t="s">
        <v>255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1" t="s">
        <v>256</v>
      </c>
    </row>
    <row r="26" customFormat="false" ht="15" hidden="false" customHeight="false" outlineLevel="0" collapsed="false">
      <c r="A26" s="54" t="s">
        <v>344</v>
      </c>
      <c r="B26" s="54" t="s">
        <v>255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1" t="s">
        <v>256</v>
      </c>
    </row>
    <row r="28" customFormat="false" ht="15" hidden="false" customHeight="false" outlineLevel="0" collapsed="false">
      <c r="A28" s="53" t="s">
        <v>345</v>
      </c>
      <c r="B28" s="54" t="s">
        <v>81</v>
      </c>
      <c r="C28" s="73" t="n">
        <v>0.85</v>
      </c>
      <c r="D28" s="66" t="s">
        <v>346</v>
      </c>
      <c r="F28" s="51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0" t="s">
        <v>348</v>
      </c>
    </row>
    <row r="2" customFormat="false" ht="15" hidden="false" customHeight="false" outlineLevel="0" collapsed="false">
      <c r="A2" s="66" t="s">
        <v>349</v>
      </c>
    </row>
    <row r="4" customFormat="false" ht="30" hidden="false" customHeight="true" outlineLevel="0" collapsed="false">
      <c r="A4" s="52" t="s">
        <v>60</v>
      </c>
      <c r="B4" s="52" t="s">
        <v>61</v>
      </c>
      <c r="C4" s="76" t="s">
        <v>350</v>
      </c>
      <c r="D4" s="76" t="s">
        <v>351</v>
      </c>
      <c r="E4" s="76" t="s">
        <v>352</v>
      </c>
      <c r="F4" s="76" t="s">
        <v>353</v>
      </c>
      <c r="G4" s="77" t="s">
        <v>354</v>
      </c>
      <c r="H4" s="52" t="s">
        <v>302</v>
      </c>
    </row>
    <row r="5" customFormat="false" ht="15" hidden="false" customHeight="false" outlineLevel="0" collapsed="false">
      <c r="A5" s="53" t="s">
        <v>355</v>
      </c>
      <c r="B5" s="53" t="s">
        <v>356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1" t="s">
        <v>357</v>
      </c>
    </row>
    <row r="6" customFormat="false" ht="15" hidden="false" customHeight="false" outlineLevel="0" collapsed="false">
      <c r="A6" s="53" t="s">
        <v>358</v>
      </c>
      <c r="B6" s="54" t="s">
        <v>255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1" t="s">
        <v>78</v>
      </c>
    </row>
    <row r="7" customFormat="false" ht="15" hidden="false" customHeight="false" outlineLevel="0" collapsed="false">
      <c r="A7" s="53" t="s">
        <v>359</v>
      </c>
      <c r="B7" s="54" t="s">
        <v>255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1" t="s">
        <v>78</v>
      </c>
    </row>
    <row r="8" customFormat="false" ht="15" hidden="false" customHeight="false" outlineLevel="0" collapsed="false">
      <c r="A8" s="53" t="s">
        <v>360</v>
      </c>
      <c r="B8" s="54" t="s">
        <v>255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1" t="s">
        <v>361</v>
      </c>
    </row>
    <row r="9" customFormat="false" ht="15" hidden="false" customHeight="false" outlineLevel="0" collapsed="false">
      <c r="A9" s="53" t="s">
        <v>362</v>
      </c>
      <c r="B9" s="54" t="s">
        <v>255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1" t="s">
        <v>78</v>
      </c>
    </row>
    <row r="10" customFormat="false" ht="15" hidden="false" customHeight="false" outlineLevel="0" collapsed="false">
      <c r="A10" s="53" t="s">
        <v>363</v>
      </c>
      <c r="B10" s="54" t="s">
        <v>77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1" t="s">
        <v>364</v>
      </c>
    </row>
    <row r="11" customFormat="false" ht="15" hidden="false" customHeight="false" outlineLevel="0" collapsed="false">
      <c r="A11" s="53" t="s">
        <v>365</v>
      </c>
      <c r="B11" s="54" t="s">
        <v>77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1" t="s">
        <v>366</v>
      </c>
    </row>
    <row r="12" customFormat="false" ht="15" hidden="false" customHeight="false" outlineLevel="0" collapsed="false">
      <c r="A12" s="53" t="s">
        <v>367</v>
      </c>
      <c r="B12" s="53" t="s">
        <v>293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1" t="s">
        <v>368</v>
      </c>
    </row>
    <row r="13" customFormat="false" ht="15" hidden="false" customHeight="false" outlineLevel="0" collapsed="false">
      <c r="A13" s="54" t="s">
        <v>369</v>
      </c>
      <c r="B13" s="54" t="s">
        <v>81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1" t="s">
        <v>370</v>
      </c>
    </row>
    <row r="14" customFormat="false" ht="15" hidden="false" customHeight="false" outlineLevel="0" collapsed="false">
      <c r="A14" s="53" t="s">
        <v>371</v>
      </c>
      <c r="B14" s="54" t="s">
        <v>81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372</v>
      </c>
    </row>
    <row r="16" customFormat="false" ht="15" hidden="false" customHeight="false" outlineLevel="0" collapsed="false">
      <c r="A16" s="61" t="s">
        <v>373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374</v>
      </c>
      <c r="B17" s="54" t="s">
        <v>81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375</v>
      </c>
      <c r="B18" s="53" t="s">
        <v>356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376</v>
      </c>
      <c r="B19" s="54" t="s">
        <v>255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377</v>
      </c>
      <c r="B20" s="54" t="s">
        <v>77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378</v>
      </c>
      <c r="B21" s="54" t="s">
        <v>77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379</v>
      </c>
      <c r="B22" s="53" t="s">
        <v>293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380</v>
      </c>
      <c r="B23" s="54" t="s">
        <v>81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381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382</v>
      </c>
      <c r="B26" s="54" t="s">
        <v>255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383</v>
      </c>
      <c r="B27" s="54" t="s">
        <v>255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384</v>
      </c>
      <c r="B28" s="54" t="s">
        <v>255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385</v>
      </c>
      <c r="B29" s="54" t="s">
        <v>255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386</v>
      </c>
      <c r="B30" s="54" t="s">
        <v>255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387</v>
      </c>
      <c r="B31" s="54" t="s">
        <v>81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388</v>
      </c>
      <c r="B32" s="54" t="s">
        <v>255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389</v>
      </c>
      <c r="B33" s="54" t="s">
        <v>255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390</v>
      </c>
      <c r="B34" s="54" t="s">
        <v>255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391</v>
      </c>
      <c r="B35" s="54" t="s">
        <v>255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6.85" hidden="false" customHeight="false" outlineLevel="0" collapsed="false">
      <c r="A36" s="54" t="s">
        <v>343</v>
      </c>
      <c r="B36" s="54" t="s">
        <v>255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392</v>
      </c>
    </row>
    <row r="37" customFormat="false" ht="15" hidden="false" customHeight="false" outlineLevel="0" collapsed="false">
      <c r="A37" s="53" t="s">
        <v>393</v>
      </c>
      <c r="B37" s="54" t="s">
        <v>77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394</v>
      </c>
      <c r="B38" s="54" t="s">
        <v>81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395</v>
      </c>
      <c r="B39" s="54" t="s">
        <v>81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9.55" hidden="false" customHeight="false" outlineLevel="0" collapsed="false">
      <c r="A40" s="53" t="s">
        <v>396</v>
      </c>
      <c r="B40" s="54" t="s">
        <v>81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397</v>
      </c>
    </row>
    <row r="42" customFormat="false" ht="15" hidden="false" customHeight="false" outlineLevel="0" collapsed="false">
      <c r="A42" s="61" t="s">
        <v>398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399</v>
      </c>
      <c r="B43" s="54" t="s">
        <v>400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401</v>
      </c>
      <c r="B44" s="54" t="s">
        <v>400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402</v>
      </c>
      <c r="B45" s="54" t="s">
        <v>400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403</v>
      </c>
      <c r="B46" s="54" t="s">
        <v>400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404</v>
      </c>
      <c r="B47" s="54" t="s">
        <v>400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405</v>
      </c>
      <c r="B48" s="54" t="s">
        <v>400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0" t="s">
        <v>406</v>
      </c>
    </row>
    <row r="2" customFormat="false" ht="15" hidden="false" customHeight="false" outlineLevel="0" collapsed="false">
      <c r="A2" s="66" t="s">
        <v>407</v>
      </c>
    </row>
    <row r="4" customFormat="false" ht="15" hidden="false" customHeight="false" outlineLevel="0" collapsed="false">
      <c r="A4" s="68" t="s">
        <v>408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409</v>
      </c>
      <c r="B5" s="54" t="s">
        <v>77</v>
      </c>
      <c r="C5" s="58" t="n">
        <v>0.3</v>
      </c>
      <c r="J5" s="51" t="s">
        <v>410</v>
      </c>
    </row>
    <row r="7" customFormat="false" ht="15" hidden="false" customHeight="false" outlineLevel="0" collapsed="false">
      <c r="A7" s="68" t="s">
        <v>411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2" t="s">
        <v>334</v>
      </c>
      <c r="B8" s="52" t="s">
        <v>61</v>
      </c>
    </row>
    <row r="9" customFormat="false" ht="15" hidden="false" customHeight="false" outlineLevel="0" collapsed="false">
      <c r="A9" s="53" t="s">
        <v>2</v>
      </c>
      <c r="B9" s="53"/>
      <c r="C9" s="52" t="s">
        <v>412</v>
      </c>
      <c r="D9" s="52" t="s">
        <v>413</v>
      </c>
      <c r="E9" s="52" t="s">
        <v>414</v>
      </c>
      <c r="F9" s="52" t="s">
        <v>415</v>
      </c>
      <c r="G9" s="52" t="s">
        <v>415</v>
      </c>
      <c r="H9" s="52" t="s">
        <v>416</v>
      </c>
      <c r="I9" s="52" t="s">
        <v>416</v>
      </c>
    </row>
    <row r="10" customFormat="false" ht="15" hidden="false" customHeight="false" outlineLevel="0" collapsed="false">
      <c r="A10" s="53" t="s">
        <v>417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142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418</v>
      </c>
      <c r="B12" s="53"/>
      <c r="C12" s="80" t="s">
        <v>419</v>
      </c>
      <c r="D12" s="80" t="s">
        <v>419</v>
      </c>
      <c r="E12" s="80" t="s">
        <v>420</v>
      </c>
      <c r="F12" s="80" t="s">
        <v>421</v>
      </c>
      <c r="G12" s="80" t="s">
        <v>421</v>
      </c>
      <c r="H12" s="80" t="s">
        <v>422</v>
      </c>
      <c r="I12" s="80" t="s">
        <v>422</v>
      </c>
    </row>
    <row r="13" customFormat="false" ht="15" hidden="false" customHeight="false" outlineLevel="0" collapsed="false">
      <c r="A13" s="54" t="s">
        <v>423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424</v>
      </c>
      <c r="B14" s="54" t="s">
        <v>336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425</v>
      </c>
      <c r="B15" s="54" t="s">
        <v>255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426</v>
      </c>
      <c r="B16" s="54" t="s">
        <v>255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427</v>
      </c>
      <c r="B17" s="54" t="s">
        <v>336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428</v>
      </c>
      <c r="B18" s="53"/>
      <c r="C18" s="51" t="s">
        <v>429</v>
      </c>
      <c r="D18" s="51" t="s">
        <v>429</v>
      </c>
      <c r="E18" s="51" t="s">
        <v>430</v>
      </c>
      <c r="F18" s="51" t="s">
        <v>431</v>
      </c>
      <c r="G18" s="51" t="s">
        <v>431</v>
      </c>
      <c r="H18" s="51" t="s">
        <v>432</v>
      </c>
      <c r="I18" s="51" t="s">
        <v>432</v>
      </c>
    </row>
    <row r="19" customFormat="false" ht="26.85" hidden="false" customHeight="false" outlineLevel="0" collapsed="false">
      <c r="A19" s="53" t="s">
        <v>433</v>
      </c>
      <c r="B19" s="53"/>
      <c r="C19" s="80" t="s">
        <v>434</v>
      </c>
      <c r="D19" s="80" t="s">
        <v>434</v>
      </c>
      <c r="E19" s="80" t="s">
        <v>434</v>
      </c>
      <c r="F19" s="80" t="s">
        <v>434</v>
      </c>
      <c r="G19" s="80" t="s">
        <v>434</v>
      </c>
      <c r="H19" s="80" t="s">
        <v>434</v>
      </c>
      <c r="I19" s="80" t="s">
        <v>434</v>
      </c>
      <c r="J19" s="86" t="s">
        <v>435</v>
      </c>
    </row>
    <row r="20" customFormat="false" ht="30" hidden="false" customHeight="true" outlineLevel="0" collapsed="false">
      <c r="A20" s="53" t="s">
        <v>436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3" t="s">
        <v>437</v>
      </c>
      <c r="B21" s="53"/>
      <c r="C21" s="86" t="s">
        <v>438</v>
      </c>
      <c r="D21" s="86" t="s">
        <v>438</v>
      </c>
      <c r="E21" s="86" t="s">
        <v>438</v>
      </c>
      <c r="F21" s="86" t="s">
        <v>438</v>
      </c>
      <c r="G21" s="86" t="s">
        <v>438</v>
      </c>
      <c r="H21" s="86" t="s">
        <v>438</v>
      </c>
      <c r="I21" s="86" t="s">
        <v>438</v>
      </c>
    </row>
    <row r="22" customFormat="false" ht="15" hidden="false" customHeight="false" outlineLevel="0" collapsed="false">
      <c r="A22" s="68" t="s">
        <v>439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440</v>
      </c>
      <c r="B23" s="54" t="s">
        <v>441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442</v>
      </c>
      <c r="B24" s="54" t="s">
        <v>280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443</v>
      </c>
      <c r="B25" s="54" t="s">
        <v>444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445</v>
      </c>
      <c r="B26" s="54" t="s">
        <v>444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446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447</v>
      </c>
      <c r="B28" s="54" t="s">
        <v>234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448</v>
      </c>
      <c r="B29" s="54" t="s">
        <v>234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237</v>
      </c>
      <c r="B30" s="54" t="s">
        <v>234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239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242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449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450</v>
      </c>
      <c r="B34" s="54" t="s">
        <v>234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276</v>
      </c>
      <c r="B35" s="54" t="s">
        <v>234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451</v>
      </c>
      <c r="B36" s="54" t="s">
        <v>234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452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252</v>
      </c>
      <c r="B38" s="54" t="s">
        <v>77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453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454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455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343</v>
      </c>
      <c r="B42" s="54" t="s">
        <v>255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456</v>
      </c>
      <c r="B43" s="54" t="s">
        <v>255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457</v>
      </c>
      <c r="B44" s="54" t="s">
        <v>458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344</v>
      </c>
      <c r="B45" s="54" t="s">
        <v>255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459</v>
      </c>
      <c r="B46" s="54" t="s">
        <v>255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460</v>
      </c>
      <c r="B47" s="54" t="s">
        <v>458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461</v>
      </c>
      <c r="B48" s="54" t="s">
        <v>280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462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463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464</v>
      </c>
      <c r="B51" s="54" t="s">
        <v>280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465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466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467</v>
      </c>
      <c r="B54" s="54" t="s">
        <v>336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468</v>
      </c>
      <c r="B55" s="54" t="s">
        <v>469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470</v>
      </c>
      <c r="B56" s="54" t="s">
        <v>336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471</v>
      </c>
    </row>
    <row r="57" customFormat="false" ht="15" hidden="false" customHeight="false" outlineLevel="0" collapsed="false">
      <c r="A57" s="53" t="s">
        <v>472</v>
      </c>
      <c r="B57" s="53" t="s">
        <v>473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474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475</v>
      </c>
      <c r="B60" s="54" t="s">
        <v>77</v>
      </c>
      <c r="C60" s="93" t="n">
        <f aca="false">(C57-D57)*C55/(1000*(C53/C14-D53/D14))</f>
        <v>0.0357550334998836</v>
      </c>
      <c r="J60" s="51" t="s">
        <v>476</v>
      </c>
    </row>
    <row r="61" customFormat="false" ht="15" hidden="false" customHeight="false" outlineLevel="0" collapsed="false">
      <c r="A61" s="53" t="s">
        <v>477</v>
      </c>
      <c r="B61" s="54" t="s">
        <v>469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478</v>
      </c>
      <c r="B62" s="54" t="s">
        <v>479</v>
      </c>
      <c r="C62" s="63" t="n">
        <f aca="false">(C61-C51/C25)*1000/(C31+C52)</f>
        <v>161.185338133698</v>
      </c>
      <c r="J62" s="66" t="s">
        <v>480</v>
      </c>
    </row>
    <row r="63" customFormat="false" ht="15" hidden="false" customHeight="false" outlineLevel="0" collapsed="false">
      <c r="A63" s="53" t="s">
        <v>481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482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2" t="s">
        <v>142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52.2" hidden="false" customHeight="false" outlineLevel="0" collapsed="false">
      <c r="A67" s="54" t="s">
        <v>483</v>
      </c>
      <c r="B67" s="54" t="s">
        <v>81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484</v>
      </c>
    </row>
    <row r="68" customFormat="false" ht="15" hidden="false" customHeight="false" outlineLevel="0" collapsed="false">
      <c r="A68" s="53" t="s">
        <v>485</v>
      </c>
      <c r="B68" s="54" t="s">
        <v>81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486</v>
      </c>
    </row>
    <row r="69" customFormat="false" ht="26.85" hidden="false" customHeight="false" outlineLevel="0" collapsed="false">
      <c r="A69" s="54" t="s">
        <v>487</v>
      </c>
      <c r="B69" s="54" t="s">
        <v>81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488</v>
      </c>
    </row>
    <row r="70" customFormat="false" ht="15" hidden="false" customHeight="false" outlineLevel="0" collapsed="false">
      <c r="A70" s="54" t="s">
        <v>489</v>
      </c>
      <c r="B70" s="54" t="s">
        <v>77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490</v>
      </c>
      <c r="B71" s="54" t="s">
        <v>479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491</v>
      </c>
      <c r="B72" s="54" t="s">
        <v>77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492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493</v>
      </c>
      <c r="B75" s="54" t="s">
        <v>77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494</v>
      </c>
      <c r="B76" s="54" t="s">
        <v>479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495</v>
      </c>
      <c r="B77" s="54" t="s">
        <v>77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496</v>
      </c>
      <c r="B78" s="54" t="s">
        <v>336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497</v>
      </c>
      <c r="B79" s="54" t="s">
        <v>469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498</v>
      </c>
      <c r="B80" s="54" t="s">
        <v>469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499</v>
      </c>
      <c r="B81" s="53" t="s">
        <v>500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501</v>
      </c>
      <c r="B82" s="53" t="s">
        <v>500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502</v>
      </c>
      <c r="B83" s="53" t="s">
        <v>500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503</v>
      </c>
      <c r="B84" s="54" t="s">
        <v>336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504</v>
      </c>
      <c r="B85" s="54" t="s">
        <v>336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505</v>
      </c>
      <c r="B86" s="54" t="s">
        <v>81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506</v>
      </c>
      <c r="C87" s="86" t="s">
        <v>507</v>
      </c>
      <c r="D87" s="86" t="s">
        <v>507</v>
      </c>
      <c r="E87" s="86" t="s">
        <v>508</v>
      </c>
      <c r="F87" s="86" t="s">
        <v>509</v>
      </c>
      <c r="G87" s="86" t="s">
        <v>510</v>
      </c>
      <c r="H87" s="86" t="s">
        <v>511</v>
      </c>
      <c r="I87" s="86" t="s">
        <v>103</v>
      </c>
    </row>
    <row r="89" customFormat="false" ht="15" hidden="false" customHeight="false" outlineLevel="0" collapsed="false">
      <c r="A89" s="68" t="s">
        <v>512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10" t="s">
        <v>513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514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515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516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517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518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519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520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10" t="s">
        <v>521</v>
      </c>
    </row>
    <row r="100" customFormat="false" ht="26.85" hidden="false" customHeight="false" outlineLevel="0" collapsed="false">
      <c r="A100" s="53" t="s">
        <v>233</v>
      </c>
      <c r="B100" s="54" t="s">
        <v>234</v>
      </c>
      <c r="C100" s="55" t="n">
        <f aca="false">SRC_MOD_020</f>
        <v>671</v>
      </c>
      <c r="J100" s="80" t="s">
        <v>522</v>
      </c>
    </row>
    <row r="101" customFormat="false" ht="15" hidden="false" customHeight="false" outlineLevel="0" collapsed="false">
      <c r="A101" s="53" t="s">
        <v>237</v>
      </c>
      <c r="B101" s="54" t="s">
        <v>234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239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242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248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523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250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251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524</v>
      </c>
      <c r="B108" s="54" t="s">
        <v>234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525</v>
      </c>
      <c r="B109" s="54" t="s">
        <v>278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526</v>
      </c>
      <c r="B110" s="54" t="s">
        <v>255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527</v>
      </c>
      <c r="B111" s="54" t="s">
        <v>255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273</v>
      </c>
      <c r="B112" s="54" t="s">
        <v>234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450</v>
      </c>
      <c r="B113" s="54" t="s">
        <v>234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276</v>
      </c>
      <c r="B114" s="54" t="s">
        <v>234</v>
      </c>
      <c r="C114" s="60" t="n">
        <f aca="false">C100-C113</f>
        <v>657.008064516129</v>
      </c>
    </row>
    <row r="116" customFormat="false" ht="30" hidden="false" customHeight="true" outlineLevel="0" collapsed="false">
      <c r="A116" s="52" t="s">
        <v>528</v>
      </c>
      <c r="C116" s="77" t="s">
        <v>529</v>
      </c>
      <c r="D116" s="77" t="s">
        <v>530</v>
      </c>
      <c r="E116" s="77" t="s">
        <v>531</v>
      </c>
      <c r="F116" s="77" t="s">
        <v>532</v>
      </c>
    </row>
    <row r="117" customFormat="false" ht="15" hidden="false" customHeight="false" outlineLevel="0" collapsed="false">
      <c r="A117" s="53" t="s">
        <v>417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533</v>
      </c>
      <c r="B118" s="54" t="s">
        <v>336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534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535</v>
      </c>
    </row>
    <row r="120" customFormat="false" ht="26.85" hidden="false" customHeight="false" outlineLevel="0" collapsed="false">
      <c r="A120" s="54" t="s">
        <v>536</v>
      </c>
      <c r="B120" s="54" t="s">
        <v>537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538</v>
      </c>
    </row>
    <row r="121" customFormat="false" ht="30" hidden="false" customHeight="true" outlineLevel="0" collapsed="false">
      <c r="A121" s="53" t="s">
        <v>433</v>
      </c>
      <c r="C121" s="80" t="s">
        <v>539</v>
      </c>
      <c r="D121" s="80" t="s">
        <v>539</v>
      </c>
      <c r="E121" s="80" t="s">
        <v>540</v>
      </c>
      <c r="F121" s="80" t="s">
        <v>539</v>
      </c>
    </row>
    <row r="122" customFormat="false" ht="15" hidden="false" customHeight="false" outlineLevel="0" collapsed="false">
      <c r="A122" s="53" t="s">
        <v>142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437</v>
      </c>
      <c r="C123" s="66" t="s">
        <v>541</v>
      </c>
      <c r="D123" s="66" t="s">
        <v>541</v>
      </c>
      <c r="E123" s="66" t="s">
        <v>541</v>
      </c>
      <c r="F123" s="66" t="s">
        <v>541</v>
      </c>
    </row>
    <row r="124" customFormat="false" ht="15" hidden="false" customHeight="false" outlineLevel="0" collapsed="false">
      <c r="A124" s="53" t="s">
        <v>440</v>
      </c>
      <c r="B124" s="54" t="s">
        <v>542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543</v>
      </c>
      <c r="B125" s="54" t="s">
        <v>280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443</v>
      </c>
      <c r="B126" s="54" t="s">
        <v>444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544</v>
      </c>
      <c r="B127" s="54" t="s">
        <v>444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545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546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547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461</v>
      </c>
      <c r="B131" s="54" t="s">
        <v>280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548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463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464</v>
      </c>
      <c r="B134" s="54" t="s">
        <v>280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343</v>
      </c>
      <c r="B135" s="54" t="s">
        <v>255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457</v>
      </c>
      <c r="B136" s="54" t="s">
        <v>458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460</v>
      </c>
      <c r="B137" s="54" t="s">
        <v>458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549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550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493</v>
      </c>
      <c r="B140" s="54" t="s">
        <v>77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494</v>
      </c>
      <c r="B141" s="54" t="s">
        <v>479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495</v>
      </c>
      <c r="B142" s="54" t="s">
        <v>77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496</v>
      </c>
      <c r="B143" s="54" t="s">
        <v>336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497</v>
      </c>
      <c r="B144" s="54" t="s">
        <v>469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498</v>
      </c>
      <c r="B145" s="54" t="s">
        <v>469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502</v>
      </c>
      <c r="B146" s="53" t="s">
        <v>500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503</v>
      </c>
      <c r="B147" s="54" t="s">
        <v>336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551</v>
      </c>
      <c r="B148" s="54" t="s">
        <v>336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552</v>
      </c>
      <c r="B149" s="54" t="s">
        <v>81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6.85" hidden="false" customHeight="false" outlineLevel="0" collapsed="false">
      <c r="A150" s="54" t="s">
        <v>553</v>
      </c>
      <c r="C150" s="97" t="n">
        <f aca="false">E148/C148</f>
        <v>2.5251262330147</v>
      </c>
      <c r="J150" s="80" t="s">
        <v>554</v>
      </c>
    </row>
    <row r="151" customFormat="false" ht="15" hidden="false" customHeight="false" outlineLevel="0" collapsed="false">
      <c r="A151" s="54" t="s">
        <v>555</v>
      </c>
      <c r="C151" s="97" t="n">
        <f aca="false">E120/C120</f>
        <v>2.5748897461993</v>
      </c>
    </row>
    <row r="152" customFormat="false" ht="26.85" hidden="false" customHeight="false" outlineLevel="0" collapsed="false">
      <c r="A152" s="54" t="s">
        <v>556</v>
      </c>
      <c r="C152" s="69" t="n">
        <f aca="false">C148/D148</f>
        <v>1.5</v>
      </c>
      <c r="D152" s="69" t="n">
        <f aca="false">C120/D120</f>
        <v>1.05487728759394</v>
      </c>
      <c r="J152" s="86" t="s">
        <v>557</v>
      </c>
    </row>
    <row r="154" customFormat="false" ht="15" hidden="false" customHeight="false" outlineLevel="0" collapsed="false">
      <c r="A154" s="68" t="s">
        <v>558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52" t="s">
        <v>142</v>
      </c>
      <c r="B155" s="52" t="s">
        <v>61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52.2" hidden="false" customHeight="false" outlineLevel="0" collapsed="false">
      <c r="A156" s="53" t="s">
        <v>559</v>
      </c>
      <c r="B156" s="54" t="s">
        <v>81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1" t="s">
        <v>560</v>
      </c>
      <c r="J156" s="80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0" t="s">
        <v>562</v>
      </c>
    </row>
    <row r="2" customFormat="false" ht="15" hidden="false" customHeight="false" outlineLevel="0" collapsed="false">
      <c r="A2" s="66" t="s">
        <v>563</v>
      </c>
    </row>
    <row r="4" customFormat="false" ht="30" hidden="false" customHeight="true" outlineLevel="0" collapsed="false">
      <c r="A4" s="77" t="s">
        <v>564</v>
      </c>
      <c r="B4" s="76" t="s">
        <v>565</v>
      </c>
      <c r="C4" s="76" t="s">
        <v>566</v>
      </c>
      <c r="D4" s="76" t="s">
        <v>567</v>
      </c>
      <c r="E4" s="76" t="s">
        <v>568</v>
      </c>
      <c r="F4" s="76" t="s">
        <v>569</v>
      </c>
      <c r="G4" s="76" t="s">
        <v>570</v>
      </c>
      <c r="H4" s="76" t="s">
        <v>571</v>
      </c>
      <c r="I4" s="76" t="s">
        <v>572</v>
      </c>
      <c r="J4" s="76" t="s">
        <v>573</v>
      </c>
      <c r="K4" s="76" t="s">
        <v>574</v>
      </c>
      <c r="L4" s="77" t="s">
        <v>575</v>
      </c>
      <c r="M4" s="76" t="s">
        <v>576</v>
      </c>
      <c r="N4" s="76" t="s">
        <v>577</v>
      </c>
      <c r="O4" s="76" t="s">
        <v>578</v>
      </c>
      <c r="P4" s="76" t="s">
        <v>579</v>
      </c>
      <c r="Q4" s="76" t="s">
        <v>580</v>
      </c>
      <c r="R4" s="76" t="s">
        <v>66</v>
      </c>
      <c r="S4" s="76" t="s">
        <v>581</v>
      </c>
      <c r="T4" s="76" t="s">
        <v>582</v>
      </c>
    </row>
    <row r="5" customFormat="false" ht="42" hidden="false" customHeight="true" outlineLevel="0" collapsed="false">
      <c r="A5" s="54" t="s">
        <v>583</v>
      </c>
      <c r="B5" s="6" t="s">
        <v>584</v>
      </c>
      <c r="C5" s="54" t="s">
        <v>585</v>
      </c>
      <c r="D5" s="54" t="s">
        <v>586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587</v>
      </c>
      <c r="J5" s="59" t="n">
        <v>3</v>
      </c>
      <c r="K5" s="53" t="str">
        <f aca="false">IF(J5&gt;=CST_MainMin,"主流","非主流")</f>
        <v>主流</v>
      </c>
      <c r="L5" s="98"/>
      <c r="M5" s="98" t="s">
        <v>588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1" t="s">
        <v>113</v>
      </c>
      <c r="R5" s="80" t="s">
        <v>589</v>
      </c>
      <c r="S5" s="80" t="s">
        <v>585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590</v>
      </c>
      <c r="B6" s="5" t="s">
        <v>591</v>
      </c>
      <c r="C6" s="54" t="s">
        <v>585</v>
      </c>
      <c r="D6" s="54" t="s">
        <v>592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587</v>
      </c>
      <c r="J6" s="59" t="n">
        <v>3</v>
      </c>
      <c r="K6" s="53" t="str">
        <f aca="false">IF(J6&gt;=CST_MainMin,"主流","非主流")</f>
        <v>主流</v>
      </c>
      <c r="L6" s="98"/>
      <c r="M6" s="98" t="s">
        <v>588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1" t="s">
        <v>113</v>
      </c>
      <c r="R6" s="80" t="s">
        <v>593</v>
      </c>
      <c r="S6" s="80" t="s">
        <v>585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594</v>
      </c>
      <c r="B7" s="6" t="s">
        <v>595</v>
      </c>
      <c r="C7" s="54" t="s">
        <v>585</v>
      </c>
      <c r="D7" s="54" t="s">
        <v>596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587</v>
      </c>
      <c r="J7" s="59" t="n">
        <v>2</v>
      </c>
      <c r="K7" s="53" t="str">
        <f aca="false">IF(J7&gt;=CST_MainMin,"主流","非主流")</f>
        <v>主流</v>
      </c>
      <c r="L7" s="98"/>
      <c r="M7" s="98" t="s">
        <v>588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1" t="s">
        <v>113</v>
      </c>
      <c r="R7" s="80" t="s">
        <v>597</v>
      </c>
      <c r="S7" s="80" t="s">
        <v>585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598</v>
      </c>
      <c r="B8" s="6" t="s">
        <v>599</v>
      </c>
      <c r="C8" s="54" t="s">
        <v>585</v>
      </c>
      <c r="D8" s="54" t="s">
        <v>596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587</v>
      </c>
      <c r="J8" s="59" t="n">
        <v>2</v>
      </c>
      <c r="K8" s="53" t="str">
        <f aca="false">IF(J8&gt;=CST_MainMin,"主流","非主流")</f>
        <v>主流</v>
      </c>
      <c r="L8" s="98"/>
      <c r="M8" s="98" t="s">
        <v>588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1" t="s">
        <v>183</v>
      </c>
      <c r="R8" s="80" t="s">
        <v>600</v>
      </c>
      <c r="S8" s="80" t="s">
        <v>585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601</v>
      </c>
      <c r="B9" s="6" t="s">
        <v>602</v>
      </c>
      <c r="C9" s="54" t="s">
        <v>585</v>
      </c>
      <c r="D9" s="54" t="s">
        <v>603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587</v>
      </c>
      <c r="J9" s="59" t="n">
        <v>2</v>
      </c>
      <c r="K9" s="53" t="str">
        <f aca="false">IF(J9&gt;=CST_MainMin,"主流","非主流")</f>
        <v>主流</v>
      </c>
      <c r="L9" s="98"/>
      <c r="M9" s="98" t="s">
        <v>588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1" t="s">
        <v>183</v>
      </c>
      <c r="R9" s="80" t="s">
        <v>604</v>
      </c>
      <c r="S9" s="80" t="s">
        <v>585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605</v>
      </c>
      <c r="B10" s="6" t="s">
        <v>606</v>
      </c>
      <c r="C10" s="54" t="s">
        <v>607</v>
      </c>
      <c r="D10" s="53" t="s">
        <v>608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609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588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1" t="s">
        <v>183</v>
      </c>
      <c r="R10" s="80" t="s">
        <v>610</v>
      </c>
      <c r="S10" s="86" t="s">
        <v>611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612</v>
      </c>
      <c r="B11" s="6" t="s">
        <v>613</v>
      </c>
      <c r="C11" s="54" t="s">
        <v>614</v>
      </c>
      <c r="D11" s="53" t="s">
        <v>615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609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616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1" t="s">
        <v>183</v>
      </c>
      <c r="R11" s="86" t="s">
        <v>617</v>
      </c>
      <c r="S11" s="86" t="s">
        <v>618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619</v>
      </c>
      <c r="B12" s="6" t="s">
        <v>620</v>
      </c>
      <c r="C12" s="54" t="s">
        <v>621</v>
      </c>
      <c r="D12" s="53" t="s">
        <v>622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623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616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1" t="s">
        <v>78</v>
      </c>
      <c r="R12" s="86" t="s">
        <v>624</v>
      </c>
      <c r="S12" s="86" t="s">
        <v>625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626</v>
      </c>
      <c r="B13" s="6" t="s">
        <v>627</v>
      </c>
      <c r="C13" s="54" t="s">
        <v>628</v>
      </c>
      <c r="D13" s="53" t="s">
        <v>629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623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616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1" t="s">
        <v>78</v>
      </c>
      <c r="R13" s="86" t="s">
        <v>630</v>
      </c>
      <c r="S13" s="86" t="s">
        <v>631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632</v>
      </c>
      <c r="B14" s="5" t="s">
        <v>633</v>
      </c>
      <c r="C14" s="54" t="s">
        <v>634</v>
      </c>
      <c r="D14" s="54" t="s">
        <v>635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587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588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1" t="s">
        <v>183</v>
      </c>
      <c r="R14" s="86" t="s">
        <v>636</v>
      </c>
      <c r="S14" s="86" t="s">
        <v>637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638</v>
      </c>
      <c r="B15" s="6" t="s">
        <v>639</v>
      </c>
      <c r="C15" s="54" t="s">
        <v>640</v>
      </c>
      <c r="D15" s="54" t="s">
        <v>451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609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616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1" t="s">
        <v>78</v>
      </c>
      <c r="R15" s="80" t="s">
        <v>641</v>
      </c>
      <c r="S15" s="86" t="s">
        <v>642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643</v>
      </c>
      <c r="B16" s="6" t="s">
        <v>644</v>
      </c>
      <c r="C16" s="54" t="s">
        <v>645</v>
      </c>
      <c r="D16" s="54" t="s">
        <v>646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647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616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1" t="s">
        <v>78</v>
      </c>
      <c r="R16" s="80" t="s">
        <v>648</v>
      </c>
      <c r="S16" s="86" t="s">
        <v>649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3" t="s">
        <v>650</v>
      </c>
      <c r="B17" s="5" t="s">
        <v>651</v>
      </c>
      <c r="J17" s="59" t="n">
        <v>2</v>
      </c>
      <c r="Q17" s="51" t="s">
        <v>70</v>
      </c>
      <c r="R17" s="80" t="s">
        <v>652</v>
      </c>
    </row>
    <row r="18" customFormat="false" ht="15" hidden="false" customHeight="false" outlineLevel="0" collapsed="false">
      <c r="A18" s="61" t="s">
        <v>653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2" t="s">
        <v>654</v>
      </c>
      <c r="B19" s="52" t="s">
        <v>655</v>
      </c>
      <c r="C19" s="52"/>
      <c r="D19" s="52" t="s">
        <v>656</v>
      </c>
      <c r="E19" s="52" t="s">
        <v>657</v>
      </c>
    </row>
    <row r="20" customFormat="false" ht="15" hidden="false" customHeight="false" outlineLevel="0" collapsed="false">
      <c r="A20" s="10" t="s">
        <v>658</v>
      </c>
      <c r="B20" s="54" t="s">
        <v>659</v>
      </c>
      <c r="D20" s="80" t="s">
        <v>660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628</v>
      </c>
      <c r="B21" s="53" t="s">
        <v>485</v>
      </c>
      <c r="D21" s="80" t="s">
        <v>661</v>
      </c>
      <c r="E21" s="99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621</v>
      </c>
      <c r="B22" s="53" t="s">
        <v>662</v>
      </c>
      <c r="D22" s="80" t="s">
        <v>663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640</v>
      </c>
      <c r="B23" s="54" t="s">
        <v>664</v>
      </c>
      <c r="D23" s="80" t="s">
        <v>665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666</v>
      </c>
      <c r="B24" s="53" t="s">
        <v>667</v>
      </c>
      <c r="D24" s="80" t="s">
        <v>668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614</v>
      </c>
      <c r="B25" s="53" t="s">
        <v>669</v>
      </c>
      <c r="D25" s="80" t="s">
        <v>670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671</v>
      </c>
      <c r="B26" s="53" t="s">
        <v>672</v>
      </c>
      <c r="D26" s="80" t="s">
        <v>673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607</v>
      </c>
      <c r="B27" s="53" t="s">
        <v>674</v>
      </c>
      <c r="D27" s="80" t="s">
        <v>675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634</v>
      </c>
      <c r="B28" s="54" t="s">
        <v>676</v>
      </c>
      <c r="D28" s="80" t="s">
        <v>677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678</v>
      </c>
      <c r="B29" s="53" t="s">
        <v>679</v>
      </c>
      <c r="D29" s="80" t="s">
        <v>680</v>
      </c>
      <c r="E29" s="99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645</v>
      </c>
      <c r="B30" s="54" t="s">
        <v>681</v>
      </c>
      <c r="D30" s="80" t="s">
        <v>682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2" t="s">
        <v>683</v>
      </c>
      <c r="B32" s="100" t="s">
        <v>684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0" t="s">
        <v>685</v>
      </c>
    </row>
    <row r="2" customFormat="false" ht="15" hidden="false" customHeight="false" outlineLevel="0" collapsed="false">
      <c r="A2" s="51" t="s">
        <v>686</v>
      </c>
    </row>
    <row r="4" customFormat="false" ht="15" hidden="false" customHeight="false" outlineLevel="0" collapsed="false">
      <c r="A4" s="52" t="s">
        <v>142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2" t="s">
        <v>687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2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2" t="s">
        <v>688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690</v>
      </c>
      <c r="B10" s="54" t="s">
        <v>81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691</v>
      </c>
      <c r="B11" s="54" t="s">
        <v>81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692</v>
      </c>
      <c r="B12" s="54" t="s">
        <v>81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440</v>
      </c>
      <c r="B14" s="54" t="s">
        <v>441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442</v>
      </c>
      <c r="B15" s="54" t="s">
        <v>694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443</v>
      </c>
      <c r="B16" s="54" t="s">
        <v>325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695</v>
      </c>
      <c r="B17" s="54" t="s">
        <v>325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202</v>
      </c>
      <c r="B18" s="54" t="s">
        <v>696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697</v>
      </c>
      <c r="B19" s="54" t="s">
        <v>234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698</v>
      </c>
      <c r="B20" s="54" t="s">
        <v>234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699</v>
      </c>
      <c r="B21" s="54" t="s">
        <v>696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155</v>
      </c>
      <c r="B22" s="53" t="s">
        <v>700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701</v>
      </c>
      <c r="B23" s="54" t="s">
        <v>702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703</v>
      </c>
      <c r="B24" s="54" t="s">
        <v>704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705</v>
      </c>
      <c r="B25" s="53" t="s">
        <v>706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707</v>
      </c>
      <c r="B26" s="54" t="s">
        <v>708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237</v>
      </c>
      <c r="B28" s="54" t="s">
        <v>234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239</v>
      </c>
      <c r="B29" s="53" t="s">
        <v>240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242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710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450</v>
      </c>
      <c r="B32" s="54" t="s">
        <v>234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276</v>
      </c>
      <c r="B33" s="54" t="s">
        <v>234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711</v>
      </c>
      <c r="B34" s="54" t="s">
        <v>234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452</v>
      </c>
      <c r="B35" s="54" t="s">
        <v>278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252</v>
      </c>
      <c r="B36" s="54" t="s">
        <v>77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712</v>
      </c>
      <c r="B37" s="54" t="s">
        <v>255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258</v>
      </c>
      <c r="B38" s="54" t="s">
        <v>81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260</v>
      </c>
      <c r="B39" s="54" t="s">
        <v>255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335</v>
      </c>
      <c r="B41" s="54" t="s">
        <v>336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714</v>
      </c>
      <c r="B42" s="54" t="s">
        <v>339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715</v>
      </c>
      <c r="B43" s="54" t="s">
        <v>255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342</v>
      </c>
      <c r="B44" s="54" t="s">
        <v>255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343</v>
      </c>
      <c r="B45" s="54" t="s">
        <v>255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344</v>
      </c>
      <c r="B46" s="54" t="s">
        <v>255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716</v>
      </c>
      <c r="B47" s="54" t="s">
        <v>255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717</v>
      </c>
      <c r="B48" s="54" t="s">
        <v>77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718</v>
      </c>
      <c r="B49" s="54" t="s">
        <v>255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331</v>
      </c>
      <c r="B50" s="54" t="s">
        <v>81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4" t="s">
        <v>77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720</v>
      </c>
      <c r="B52" s="54" t="s">
        <v>81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721</v>
      </c>
      <c r="B53" s="54" t="s">
        <v>77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722</v>
      </c>
      <c r="B54" s="54" t="s">
        <v>81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723</v>
      </c>
      <c r="B55" s="54" t="s">
        <v>479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724</v>
      </c>
      <c r="B56" s="54" t="s">
        <v>77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725</v>
      </c>
      <c r="B57" s="54" t="s">
        <v>77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726</v>
      </c>
      <c r="B58" s="54" t="s">
        <v>77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727</v>
      </c>
      <c r="B59" s="54" t="s">
        <v>234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728</v>
      </c>
      <c r="B60" s="54" t="s">
        <v>77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729</v>
      </c>
      <c r="B61" s="54" t="s">
        <v>77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730</v>
      </c>
      <c r="B62" s="54" t="s">
        <v>444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731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732</v>
      </c>
      <c r="B64" s="54" t="s">
        <v>255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457</v>
      </c>
      <c r="B65" s="54" t="s">
        <v>458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733</v>
      </c>
      <c r="B66" s="54" t="s">
        <v>255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460</v>
      </c>
      <c r="B67" s="54" t="s">
        <v>458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461</v>
      </c>
      <c r="B69" s="54" t="s">
        <v>280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735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736</v>
      </c>
      <c r="B71" s="54" t="s">
        <v>696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464</v>
      </c>
      <c r="B72" s="54" t="s">
        <v>280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737</v>
      </c>
      <c r="B73" s="54" t="s">
        <v>77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739</v>
      </c>
      <c r="B75" s="54" t="s">
        <v>336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740</v>
      </c>
      <c r="B76" s="54" t="s">
        <v>339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741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743</v>
      </c>
      <c r="B79" s="54" t="s">
        <v>469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744</v>
      </c>
      <c r="B80" s="54" t="s">
        <v>469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745</v>
      </c>
      <c r="B81" s="54" t="s">
        <v>469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746</v>
      </c>
      <c r="B82" s="54" t="s">
        <v>469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747</v>
      </c>
      <c r="B83" s="54" t="s">
        <v>469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748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749</v>
      </c>
      <c r="B85" s="53" t="s">
        <v>473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750</v>
      </c>
      <c r="B86" s="53" t="s">
        <v>473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751</v>
      </c>
      <c r="B87" s="53" t="s">
        <v>473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752</v>
      </c>
      <c r="B88" s="54" t="s">
        <v>336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753</v>
      </c>
      <c r="B89" s="54" t="s">
        <v>336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754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755</v>
      </c>
      <c r="B91" s="54" t="s">
        <v>77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757</v>
      </c>
      <c r="B93" s="54" t="s">
        <v>758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759</v>
      </c>
      <c r="B94" s="54" t="s">
        <v>77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760</v>
      </c>
      <c r="B95" s="54" t="s">
        <v>336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761</v>
      </c>
      <c r="B96" s="54" t="s">
        <v>336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762</v>
      </c>
      <c r="B97" s="54" t="s">
        <v>336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763</v>
      </c>
      <c r="B98" s="54" t="s">
        <v>764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765</v>
      </c>
      <c r="B99" s="54" t="s">
        <v>764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766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767</v>
      </c>
      <c r="B101" s="54" t="s">
        <v>768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769</v>
      </c>
      <c r="B102" s="54" t="s">
        <v>768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770</v>
      </c>
      <c r="B103" s="54" t="s">
        <v>768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771</v>
      </c>
      <c r="B104" s="54" t="s">
        <v>772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773</v>
      </c>
      <c r="B105" s="54" t="s">
        <v>772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775</v>
      </c>
      <c r="B107" s="54" t="s">
        <v>776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777</v>
      </c>
      <c r="B108" s="54" t="s">
        <v>704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778</v>
      </c>
      <c r="B109" s="54" t="s">
        <v>458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779</v>
      </c>
      <c r="B110" s="54" t="s">
        <v>280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780</v>
      </c>
      <c r="B111" s="54" t="s">
        <v>280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781</v>
      </c>
      <c r="B112" s="54" t="s">
        <v>782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783</v>
      </c>
      <c r="B113" s="54" t="s">
        <v>782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784</v>
      </c>
      <c r="B114" s="54" t="s">
        <v>708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785</v>
      </c>
      <c r="B115" s="54" t="s">
        <v>708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786</v>
      </c>
      <c r="B116" s="54" t="s">
        <v>77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787</v>
      </c>
      <c r="B117" s="54" t="s">
        <v>788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789</v>
      </c>
      <c r="B118" s="54" t="s">
        <v>782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790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791</v>
      </c>
      <c r="B120" s="54" t="s">
        <v>81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0" t="s">
        <v>792</v>
      </c>
    </row>
    <row r="2" customFormat="false" ht="15" hidden="false" customHeight="false" outlineLevel="0" collapsed="false">
      <c r="A2" s="66" t="s">
        <v>793</v>
      </c>
    </row>
    <row r="3" customFormat="false" ht="43.5" hidden="false" customHeight="true" outlineLevel="0" collapsed="false">
      <c r="A3" s="52" t="s">
        <v>794</v>
      </c>
      <c r="C3" s="113" t="s">
        <v>63</v>
      </c>
      <c r="D3" s="113"/>
      <c r="E3" s="114" t="s">
        <v>795</v>
      </c>
      <c r="F3" s="114"/>
      <c r="G3" s="114" t="s">
        <v>796</v>
      </c>
      <c r="H3" s="114"/>
      <c r="I3" s="114" t="s">
        <v>797</v>
      </c>
      <c r="J3" s="114"/>
      <c r="K3" s="114" t="s">
        <v>798</v>
      </c>
      <c r="L3" s="114"/>
      <c r="M3" s="114" t="s">
        <v>799</v>
      </c>
      <c r="N3" s="114"/>
      <c r="O3" s="114" t="s">
        <v>800</v>
      </c>
      <c r="P3" s="114"/>
      <c r="Q3" s="114" t="s">
        <v>801</v>
      </c>
      <c r="R3" s="114"/>
      <c r="S3" s="114" t="s">
        <v>802</v>
      </c>
      <c r="T3" s="114"/>
      <c r="U3" s="114" t="s">
        <v>803</v>
      </c>
      <c r="V3" s="114"/>
      <c r="W3" s="114" t="s">
        <v>804</v>
      </c>
      <c r="X3" s="114"/>
      <c r="Y3" s="114" t="s">
        <v>805</v>
      </c>
      <c r="Z3" s="114"/>
      <c r="AA3" s="113" t="s">
        <v>806</v>
      </c>
      <c r="AB3" s="113"/>
      <c r="AC3" s="114" t="s">
        <v>807</v>
      </c>
      <c r="AD3" s="114"/>
      <c r="AE3" s="114" t="s">
        <v>808</v>
      </c>
      <c r="AF3" s="114"/>
      <c r="AG3" s="114" t="s">
        <v>809</v>
      </c>
      <c r="AH3" s="114"/>
    </row>
    <row r="4" customFormat="false" ht="15" hidden="false" customHeight="false" outlineLevel="0" collapsed="false">
      <c r="A4" s="52" t="s">
        <v>142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2" t="s">
        <v>687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2" t="s">
        <v>417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2" t="s">
        <v>688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690</v>
      </c>
      <c r="B10" s="54" t="s">
        <v>81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691</v>
      </c>
      <c r="B11" s="54" t="s">
        <v>81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692</v>
      </c>
      <c r="B12" s="54" t="s">
        <v>81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440</v>
      </c>
      <c r="B14" s="54" t="s">
        <v>441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442</v>
      </c>
      <c r="B15" s="54" t="s">
        <v>694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443</v>
      </c>
      <c r="B16" s="54" t="s">
        <v>325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695</v>
      </c>
      <c r="B17" s="54" t="s">
        <v>325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202</v>
      </c>
      <c r="B18" s="54" t="s">
        <v>696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697</v>
      </c>
      <c r="B19" s="54" t="s">
        <v>234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698</v>
      </c>
      <c r="B20" s="54" t="s">
        <v>234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699</v>
      </c>
      <c r="B21" s="54" t="s">
        <v>696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155</v>
      </c>
      <c r="B22" s="53" t="s">
        <v>700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701</v>
      </c>
      <c r="B23" s="54" t="s">
        <v>702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703</v>
      </c>
      <c r="B24" s="54" t="s">
        <v>704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705</v>
      </c>
      <c r="B25" s="53" t="s">
        <v>706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707</v>
      </c>
      <c r="B26" s="54" t="s">
        <v>708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237</v>
      </c>
      <c r="B28" s="54" t="s">
        <v>234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239</v>
      </c>
      <c r="B29" s="53" t="s">
        <v>240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242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710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450</v>
      </c>
      <c r="B32" s="54" t="s">
        <v>234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276</v>
      </c>
      <c r="B33" s="54" t="s">
        <v>234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711</v>
      </c>
      <c r="B34" s="54" t="s">
        <v>234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452</v>
      </c>
      <c r="B35" s="54" t="s">
        <v>278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252</v>
      </c>
      <c r="B36" s="54" t="s">
        <v>77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712</v>
      </c>
      <c r="B37" s="54" t="s">
        <v>255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258</v>
      </c>
      <c r="B38" s="54" t="s">
        <v>81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260</v>
      </c>
      <c r="B39" s="54" t="s">
        <v>255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335</v>
      </c>
      <c r="B41" s="54" t="s">
        <v>336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714</v>
      </c>
      <c r="B42" s="54" t="s">
        <v>339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715</v>
      </c>
      <c r="B43" s="54" t="s">
        <v>255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342</v>
      </c>
      <c r="B44" s="54" t="s">
        <v>255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343</v>
      </c>
      <c r="B45" s="54" t="s">
        <v>255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344</v>
      </c>
      <c r="B46" s="54" t="s">
        <v>255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716</v>
      </c>
      <c r="B47" s="54" t="s">
        <v>255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717</v>
      </c>
      <c r="B48" s="54" t="s">
        <v>77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718</v>
      </c>
      <c r="B49" s="54" t="s">
        <v>255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331</v>
      </c>
      <c r="B50" s="54" t="s">
        <v>81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4" t="s">
        <v>77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720</v>
      </c>
      <c r="B52" s="54" t="s">
        <v>81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721</v>
      </c>
      <c r="B53" s="54" t="s">
        <v>77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722</v>
      </c>
      <c r="B54" s="54" t="s">
        <v>81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723</v>
      </c>
      <c r="B55" s="54" t="s">
        <v>479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724</v>
      </c>
      <c r="B56" s="54" t="s">
        <v>77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725</v>
      </c>
      <c r="B57" s="54" t="s">
        <v>77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726</v>
      </c>
      <c r="B58" s="54" t="s">
        <v>77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727</v>
      </c>
      <c r="B59" s="54" t="s">
        <v>234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728</v>
      </c>
      <c r="B60" s="54" t="s">
        <v>77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729</v>
      </c>
      <c r="B61" s="54" t="s">
        <v>77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730</v>
      </c>
      <c r="B62" s="54" t="s">
        <v>444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731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732</v>
      </c>
      <c r="B64" s="54" t="s">
        <v>255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457</v>
      </c>
      <c r="B65" s="54" t="s">
        <v>458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733</v>
      </c>
      <c r="B66" s="54" t="s">
        <v>255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460</v>
      </c>
      <c r="B67" s="54" t="s">
        <v>458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461</v>
      </c>
      <c r="B69" s="54" t="s">
        <v>280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735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736</v>
      </c>
      <c r="B71" s="54" t="s">
        <v>696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464</v>
      </c>
      <c r="B72" s="54" t="s">
        <v>280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737</v>
      </c>
      <c r="B73" s="54" t="s">
        <v>77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739</v>
      </c>
      <c r="B75" s="54" t="s">
        <v>336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740</v>
      </c>
      <c r="B76" s="54" t="s">
        <v>339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741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743</v>
      </c>
      <c r="B79" s="54" t="s">
        <v>469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744</v>
      </c>
      <c r="B80" s="54" t="s">
        <v>469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745</v>
      </c>
      <c r="B81" s="54" t="s">
        <v>469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746</v>
      </c>
      <c r="B82" s="54" t="s">
        <v>469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747</v>
      </c>
      <c r="B83" s="54" t="s">
        <v>469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748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749</v>
      </c>
      <c r="B85" s="53" t="s">
        <v>473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750</v>
      </c>
      <c r="B86" s="53" t="s">
        <v>473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751</v>
      </c>
      <c r="B87" s="53" t="s">
        <v>473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752</v>
      </c>
      <c r="B88" s="54" t="s">
        <v>336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753</v>
      </c>
      <c r="B89" s="54" t="s">
        <v>336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754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755</v>
      </c>
      <c r="B91" s="54" t="s">
        <v>77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757</v>
      </c>
      <c r="B93" s="54" t="s">
        <v>758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759</v>
      </c>
      <c r="B94" s="54" t="s">
        <v>77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760</v>
      </c>
      <c r="B95" s="54" t="s">
        <v>336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761</v>
      </c>
      <c r="B96" s="54" t="s">
        <v>336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762</v>
      </c>
      <c r="B97" s="54" t="s">
        <v>336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763</v>
      </c>
      <c r="B98" s="54" t="s">
        <v>764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765</v>
      </c>
      <c r="B99" s="54" t="s">
        <v>764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766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767</v>
      </c>
      <c r="B101" s="54" t="s">
        <v>768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769</v>
      </c>
      <c r="B102" s="54" t="s">
        <v>768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770</v>
      </c>
      <c r="B103" s="54" t="s">
        <v>768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771</v>
      </c>
      <c r="B104" s="54" t="s">
        <v>772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773</v>
      </c>
      <c r="B105" s="54" t="s">
        <v>772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775</v>
      </c>
      <c r="B107" s="54" t="s">
        <v>776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777</v>
      </c>
      <c r="B108" s="54" t="s">
        <v>704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778</v>
      </c>
      <c r="B109" s="54" t="s">
        <v>458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779</v>
      </c>
      <c r="B110" s="54" t="s">
        <v>280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780</v>
      </c>
      <c r="B111" s="54" t="s">
        <v>280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781</v>
      </c>
      <c r="B112" s="54" t="s">
        <v>782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783</v>
      </c>
      <c r="B113" s="54" t="s">
        <v>782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784</v>
      </c>
      <c r="B114" s="54" t="s">
        <v>708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785</v>
      </c>
      <c r="B115" s="54" t="s">
        <v>708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786</v>
      </c>
      <c r="B116" s="54" t="s">
        <v>77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787</v>
      </c>
      <c r="B117" s="54" t="s">
        <v>788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789</v>
      </c>
      <c r="B118" s="54" t="s">
        <v>782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810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811</v>
      </c>
      <c r="B120" s="54" t="s">
        <v>81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812</v>
      </c>
      <c r="B121" s="54" t="s">
        <v>81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0" t="s">
        <v>813</v>
      </c>
    </row>
    <row r="2" customFormat="false" ht="15" hidden="false" customHeight="false" outlineLevel="0" collapsed="false">
      <c r="A2" s="66" t="s">
        <v>814</v>
      </c>
    </row>
    <row r="4" customFormat="false" ht="15" hidden="false" customHeight="false" outlineLevel="0" collapsed="false">
      <c r="A4" s="52" t="s">
        <v>142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2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2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815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816</v>
      </c>
      <c r="B8" s="54" t="s">
        <v>817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818</v>
      </c>
      <c r="B9" s="54" t="s">
        <v>817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819</v>
      </c>
      <c r="B10" s="54" t="s">
        <v>77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820</v>
      </c>
      <c r="B13" s="54" t="s">
        <v>758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821</v>
      </c>
      <c r="B14" s="54" t="s">
        <v>758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822</v>
      </c>
      <c r="B15" s="54" t="s">
        <v>758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823</v>
      </c>
      <c r="B16" s="54" t="s">
        <v>772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824</v>
      </c>
      <c r="B17" s="54" t="s">
        <v>772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825</v>
      </c>
      <c r="B18" s="54" t="s">
        <v>772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826</v>
      </c>
      <c r="B19" s="54" t="s">
        <v>772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827</v>
      </c>
      <c r="B20" s="54" t="s">
        <v>772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828</v>
      </c>
      <c r="B21" s="54" t="s">
        <v>772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829</v>
      </c>
      <c r="B22" s="54" t="s">
        <v>772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830</v>
      </c>
      <c r="B23" s="54" t="s">
        <v>772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226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820</v>
      </c>
      <c r="B26" s="54" t="s">
        <v>758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821</v>
      </c>
      <c r="B27" s="54" t="s">
        <v>758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822</v>
      </c>
      <c r="B28" s="54" t="s">
        <v>758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823</v>
      </c>
      <c r="B29" s="54" t="s">
        <v>772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824</v>
      </c>
      <c r="B30" s="54" t="s">
        <v>772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825</v>
      </c>
      <c r="B31" s="54" t="s">
        <v>772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826</v>
      </c>
      <c r="B32" s="54" t="s">
        <v>772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827</v>
      </c>
      <c r="B33" s="54" t="s">
        <v>772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828</v>
      </c>
      <c r="B34" s="54" t="s">
        <v>772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829</v>
      </c>
      <c r="B35" s="54" t="s">
        <v>772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830</v>
      </c>
      <c r="B36" s="54" t="s">
        <v>772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227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820</v>
      </c>
      <c r="B39" s="54" t="s">
        <v>758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821</v>
      </c>
      <c r="B40" s="54" t="s">
        <v>758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822</v>
      </c>
      <c r="B41" s="54" t="s">
        <v>758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823</v>
      </c>
      <c r="B42" s="54" t="s">
        <v>772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824</v>
      </c>
      <c r="B43" s="54" t="s">
        <v>772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825</v>
      </c>
      <c r="B44" s="54" t="s">
        <v>772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826</v>
      </c>
      <c r="B45" s="54" t="s">
        <v>772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827</v>
      </c>
      <c r="B46" s="54" t="s">
        <v>772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828</v>
      </c>
      <c r="B47" s="54" t="s">
        <v>772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829</v>
      </c>
      <c r="B48" s="54" t="s">
        <v>772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830</v>
      </c>
      <c r="B49" s="54" t="s">
        <v>772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831</v>
      </c>
    </row>
    <row r="2" customFormat="false" ht="15" hidden="false" customHeight="true" outlineLevel="0" collapsed="false">
      <c r="A2" s="11" t="s">
        <v>832</v>
      </c>
    </row>
    <row r="4" customFormat="false" ht="15" hidden="false" customHeight="true" outlineLevel="0" collapsed="false">
      <c r="A4" s="20" t="s">
        <v>142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28" t="s">
        <v>62</v>
      </c>
      <c r="D5" s="28" t="s">
        <v>63</v>
      </c>
      <c r="E5" s="28" t="s">
        <v>64</v>
      </c>
      <c r="F5" s="28" t="s">
        <v>62</v>
      </c>
      <c r="G5" s="28" t="s">
        <v>63</v>
      </c>
      <c r="H5" s="28" t="s">
        <v>64</v>
      </c>
      <c r="I5" s="28" t="s">
        <v>62</v>
      </c>
      <c r="J5" s="28" t="s">
        <v>63</v>
      </c>
      <c r="K5" s="28" t="s">
        <v>64</v>
      </c>
      <c r="L5" s="28" t="s">
        <v>62</v>
      </c>
      <c r="M5" s="28" t="s">
        <v>63</v>
      </c>
      <c r="N5" s="28" t="s">
        <v>64</v>
      </c>
      <c r="O5" s="28" t="s">
        <v>62</v>
      </c>
      <c r="P5" s="28" t="s">
        <v>63</v>
      </c>
      <c r="Q5" s="28" t="s">
        <v>64</v>
      </c>
    </row>
    <row r="7" customFormat="false" ht="15" hidden="false" customHeight="true" outlineLevel="0" collapsed="false">
      <c r="A7" s="25" t="s">
        <v>833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834</v>
      </c>
      <c r="B8" s="16" t="s">
        <v>835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76</v>
      </c>
      <c r="B9" s="16" t="s">
        <v>77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836</v>
      </c>
      <c r="B10" s="16" t="s">
        <v>835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707</v>
      </c>
      <c r="B11" s="16" t="s">
        <v>708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837</v>
      </c>
      <c r="B12" s="21" t="s">
        <v>706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5" t="s">
        <v>155</v>
      </c>
      <c r="B13" s="21" t="s">
        <v>700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2" t="s">
        <v>838</v>
      </c>
      <c r="B14" s="21" t="s">
        <v>700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80</v>
      </c>
      <c r="B15" s="16" t="s">
        <v>81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20" t="s">
        <v>839</v>
      </c>
      <c r="B16" s="16" t="s">
        <v>835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840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841</v>
      </c>
      <c r="B18" s="16" t="s">
        <v>842</v>
      </c>
      <c r="C18" s="30" t="n">
        <f aca="false">Spec_Rack!C11</f>
        <v>0.9</v>
      </c>
      <c r="D18" s="30" t="n">
        <f aca="false">Spec_Rack!C12</f>
        <v>1.1</v>
      </c>
      <c r="E18" s="30" t="n">
        <f aca="false">Spec_Rack!C13</f>
        <v>1.3</v>
      </c>
      <c r="F18" s="30" t="n">
        <f aca="false">Spec_Rack!D11</f>
        <v>2.8</v>
      </c>
      <c r="G18" s="30" t="n">
        <f aca="false">Spec_Rack!D12</f>
        <v>3.1</v>
      </c>
      <c r="H18" s="30" t="n">
        <f aca="false">Spec_Rack!D13</f>
        <v>3.4</v>
      </c>
      <c r="I18" s="30" t="n">
        <f aca="false">Spec_Rack!E11</f>
        <v>4</v>
      </c>
      <c r="J18" s="30" t="n">
        <f aca="false">Spec_Rack!E12</f>
        <v>5</v>
      </c>
      <c r="K18" s="30" t="n">
        <f aca="false">Spec_Rack!E13</f>
        <v>6.5</v>
      </c>
      <c r="L18" s="30" t="n">
        <f aca="false">Spec_Rack!F11</f>
        <v>7.8</v>
      </c>
      <c r="M18" s="30" t="n">
        <f aca="false">Spec_Rack!F12</f>
        <v>8.4</v>
      </c>
      <c r="N18" s="30" t="n">
        <f aca="false">Spec_Rack!F13</f>
        <v>9.1</v>
      </c>
      <c r="O18" s="30" t="n">
        <f aca="false">Spec_Rack!G11</f>
        <v>12.6</v>
      </c>
      <c r="P18" s="30" t="n">
        <f aca="false">Spec_Rack!G12</f>
        <v>16.8</v>
      </c>
      <c r="Q18" s="30" t="n">
        <f aca="false">Spec_Rack!G13</f>
        <v>21</v>
      </c>
    </row>
    <row r="19" customFormat="false" ht="15" hidden="false" customHeight="true" outlineLevel="0" collapsed="false">
      <c r="A19" s="20" t="s">
        <v>843</v>
      </c>
      <c r="B19" s="16" t="s">
        <v>844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5" t="s">
        <v>91</v>
      </c>
      <c r="B20" s="16" t="s">
        <v>77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845</v>
      </c>
      <c r="B21" s="16" t="s">
        <v>844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20" t="s">
        <v>846</v>
      </c>
      <c r="B22" s="16" t="s">
        <v>94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846</v>
      </c>
      <c r="B23" s="16" t="s">
        <v>844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5" t="s">
        <v>847</v>
      </c>
      <c r="B24" s="16" t="s">
        <v>844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20" t="s">
        <v>97</v>
      </c>
      <c r="B25" s="16" t="s">
        <v>844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20" t="s">
        <v>848</v>
      </c>
      <c r="B26" s="16" t="s">
        <v>844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20" t="s">
        <v>849</v>
      </c>
      <c r="B27" s="16" t="s">
        <v>844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20" t="s">
        <v>850</v>
      </c>
      <c r="B28" s="16" t="s">
        <v>844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20" t="s">
        <v>851</v>
      </c>
      <c r="B29" s="16" t="s">
        <v>844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20" t="s">
        <v>852</v>
      </c>
      <c r="B30" s="16" t="s">
        <v>77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107</v>
      </c>
      <c r="B31" s="16" t="s">
        <v>844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20" t="s">
        <v>853</v>
      </c>
      <c r="B32" s="16" t="s">
        <v>844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20" t="s">
        <v>854</v>
      </c>
      <c r="B33" s="16" t="s">
        <v>844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20" t="s">
        <v>855</v>
      </c>
      <c r="B34" s="16" t="s">
        <v>856</v>
      </c>
      <c r="C34" s="31" t="n">
        <f aca="false">C33*1000000/C14</f>
        <v>44.0531404585766</v>
      </c>
      <c r="D34" s="31" t="n">
        <f aca="false">D33*1000000/D14</f>
        <v>55.9575599402826</v>
      </c>
      <c r="E34" s="31" t="n">
        <f aca="false">E33*1000000/E14</f>
        <v>70.0604185235527</v>
      </c>
      <c r="F34" s="31" t="n">
        <f aca="false">F33*1000000/F14</f>
        <v>61.4853685368537</v>
      </c>
      <c r="G34" s="31" t="n">
        <f aca="false">G33*1000000/G14</f>
        <v>73.1118245882559</v>
      </c>
      <c r="H34" s="31" t="n">
        <f aca="false">H33*1000000/H14</f>
        <v>87.3634914940769</v>
      </c>
      <c r="I34" s="31" t="n">
        <f aca="false">I33*1000000/I14</f>
        <v>79.6021880544057</v>
      </c>
      <c r="J34" s="31" t="n">
        <f aca="false">J33*1000000/J14</f>
        <v>102.90488862606</v>
      </c>
      <c r="K34" s="31" t="n">
        <f aca="false">K33*1000000/K14</f>
        <v>137.855038110257</v>
      </c>
      <c r="L34" s="31" t="n">
        <f aca="false">L33*1000000/L14</f>
        <v>149.053290556104</v>
      </c>
      <c r="M34" s="31" t="n">
        <f aca="false">M33*1000000/M14</f>
        <v>172.261818580673</v>
      </c>
      <c r="N34" s="31" t="n">
        <f aca="false">N33*1000000/N14</f>
        <v>201.627369200395</v>
      </c>
      <c r="O34" s="31" t="n">
        <f aca="false">O33*1000000/O14</f>
        <v>236.483764633395</v>
      </c>
      <c r="P34" s="31" t="n">
        <f aca="false">P33*1000000/P14</f>
        <v>322.221092626823</v>
      </c>
      <c r="Q34" s="31" t="n">
        <f aca="false">Q33*1000000/Q14</f>
        <v>419.324080920107</v>
      </c>
    </row>
    <row r="35" customFormat="false" ht="15" hidden="false" customHeight="true" outlineLevel="0" collapsed="false">
      <c r="A35" s="20" t="s">
        <v>857</v>
      </c>
      <c r="B35" s="16" t="s">
        <v>842</v>
      </c>
      <c r="C35" s="31" t="n">
        <f aca="false">C33*1000/C8</f>
        <v>31.6322694</v>
      </c>
      <c r="D35" s="31" t="n">
        <f aca="false">D33*1000/D8</f>
        <v>40.180214</v>
      </c>
      <c r="E35" s="31" t="n">
        <f aca="false">E33*1000/E8</f>
        <v>50.3067434</v>
      </c>
      <c r="F35" s="31" t="n">
        <f aca="false">F33*1000/F8</f>
        <v>30.8513904</v>
      </c>
      <c r="G35" s="31" t="n">
        <f aca="false">G33*1000/G8</f>
        <v>36.685174</v>
      </c>
      <c r="H35" s="31" t="n">
        <f aca="false">H33*1000/H8</f>
        <v>43.8362044</v>
      </c>
      <c r="I35" s="31" t="n">
        <f aca="false">I33*1000/I8</f>
        <v>38.7669024</v>
      </c>
      <c r="J35" s="31" t="n">
        <f aca="false">J33*1000/J8</f>
        <v>50.115504</v>
      </c>
      <c r="K35" s="31" t="n">
        <f aca="false">K33*1000/K8</f>
        <v>67.1365064</v>
      </c>
      <c r="L35" s="31" t="n">
        <f aca="false">L33*1000/L8</f>
        <v>43.4854032</v>
      </c>
      <c r="M35" s="31" t="n">
        <f aca="false">M33*1000/M8</f>
        <v>50.256352</v>
      </c>
      <c r="N35" s="31" t="n">
        <f aca="false">N33*1000/N8</f>
        <v>58.8235752</v>
      </c>
      <c r="O35" s="31" t="n">
        <f aca="false">O33*1000/O8</f>
        <v>46.057578</v>
      </c>
      <c r="P35" s="31" t="n">
        <f aca="false">P33*1000/P8</f>
        <v>62.75578</v>
      </c>
      <c r="Q35" s="31" t="n">
        <f aca="false">Q33*1000/Q8</f>
        <v>81.667558</v>
      </c>
    </row>
    <row r="36" customFormat="false" ht="15" hidden="false" customHeight="true" outlineLevel="0" collapsed="false">
      <c r="A36" s="20" t="s">
        <v>858</v>
      </c>
      <c r="B36" s="16" t="s">
        <v>842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5" t="s">
        <v>859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860</v>
      </c>
      <c r="B38" s="21" t="s">
        <v>112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5" t="s">
        <v>861</v>
      </c>
      <c r="B39" s="16" t="s">
        <v>844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20" t="s">
        <v>862</v>
      </c>
      <c r="B40" s="16" t="s">
        <v>844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84</v>
      </c>
      <c r="B41" s="16" t="s">
        <v>77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86</v>
      </c>
      <c r="B42" s="16" t="s">
        <v>87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20" t="s">
        <v>863</v>
      </c>
      <c r="B43" s="16" t="s">
        <v>844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5" t="s">
        <v>123</v>
      </c>
      <c r="B44" s="16" t="s">
        <v>844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20" t="s">
        <v>126</v>
      </c>
      <c r="B45" s="16" t="s">
        <v>844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20" t="s">
        <v>864</v>
      </c>
      <c r="B46" s="16" t="s">
        <v>844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137</v>
      </c>
      <c r="B47" s="16" t="s">
        <v>844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20" t="s">
        <v>865</v>
      </c>
      <c r="B48" s="16" t="s">
        <v>844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20" t="s">
        <v>866</v>
      </c>
      <c r="B49" s="16" t="s">
        <v>844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5" t="s">
        <v>867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868</v>
      </c>
      <c r="B51" s="16" t="s">
        <v>77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869</v>
      </c>
      <c r="B52" s="16" t="s">
        <v>81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5" t="s">
        <v>870</v>
      </c>
      <c r="B53" s="16" t="s">
        <v>844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20" t="s">
        <v>871</v>
      </c>
      <c r="B54" s="16" t="s">
        <v>844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872</v>
      </c>
      <c r="B55" s="16" t="s">
        <v>844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5" t="s">
        <v>873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874</v>
      </c>
      <c r="B57" s="16" t="s">
        <v>817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20" t="s">
        <v>875</v>
      </c>
      <c r="B58" s="16" t="s">
        <v>817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20" t="s">
        <v>876</v>
      </c>
      <c r="B59" s="16" t="s">
        <v>877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111.602638018249</v>
      </c>
      <c r="G59" s="17" t="n">
        <f aca="false">G55*1000000000/(G12*8760)</f>
        <v>150.22467269032</v>
      </c>
      <c r="H59" s="17" t="n">
        <f aca="false">H55*1000000000/(H12*8760)</f>
        <v>244.396556665465</v>
      </c>
      <c r="I59" s="17" t="n">
        <f aca="false">I55*1000000000/(I12*8760)</f>
        <v>146.954983986859</v>
      </c>
      <c r="J59" s="17" t="n">
        <f aca="false">J55*1000000000/(J12*8760)</f>
        <v>214.754082787885</v>
      </c>
      <c r="K59" s="17" t="n">
        <f aca="false">K55*1000000000/(K12*8760)</f>
        <v>402.882797323798</v>
      </c>
      <c r="L59" s="17" t="n">
        <f aca="false">L55*1000000000/(L12*8760)</f>
        <v>277.124566811615</v>
      </c>
      <c r="M59" s="17" t="n">
        <f aca="false">M55*1000000000/(M12*8760)</f>
        <v>359.538774929064</v>
      </c>
      <c r="N59" s="17" t="n">
        <f aca="false">N55*1000000000/(N12*8760)</f>
        <v>582.554908944553</v>
      </c>
      <c r="O59" s="17" t="n">
        <f aca="false">O55*1000000000/(O12*8760)</f>
        <v>441.101022521441</v>
      </c>
      <c r="P59" s="17" t="n">
        <f aca="false">P55*1000000000/(P12*8760)</f>
        <v>678.156326242703</v>
      </c>
      <c r="Q59" s="17" t="n">
        <f aca="false">Q55*1000000000/(Q12*8760)</f>
        <v>1243.0310459641</v>
      </c>
    </row>
    <row r="60" customFormat="false" ht="15" hidden="false" customHeight="true" outlineLevel="0" collapsed="false">
      <c r="A60" s="20" t="s">
        <v>878</v>
      </c>
      <c r="B60" s="16" t="s">
        <v>879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20" t="s">
        <v>880</v>
      </c>
      <c r="B61" s="16" t="s">
        <v>77</v>
      </c>
      <c r="C61" s="22" t="n">
        <f aca="false">(C53+C54)/C55</f>
        <v>0.811259139748391</v>
      </c>
      <c r="D61" s="22" t="n">
        <f aca="false">(D53+D54)/D55</f>
        <v>0.774423369011756</v>
      </c>
      <c r="E61" s="22" t="n">
        <f aca="false">(E53+E54)/E55</f>
        <v>0.792780680676615</v>
      </c>
      <c r="F61" s="22" t="n">
        <f aca="false">(F53+F54)/F55</f>
        <v>0.808718326060089</v>
      </c>
      <c r="G61" s="22" t="n">
        <f aca="false">(G53+G54)/G55</f>
        <v>0.765014356211366</v>
      </c>
      <c r="H61" s="22" t="n">
        <f aca="false">(H53+H54)/H55</f>
        <v>0.779070944435501</v>
      </c>
      <c r="I61" s="22" t="n">
        <f aca="false">(I53+I54)/I55</f>
        <v>0.829423400234976</v>
      </c>
      <c r="J61" s="22" t="n">
        <f aca="false">(J53+J54)/J55</f>
        <v>0.793700356253443</v>
      </c>
      <c r="K61" s="22" t="n">
        <f aca="false">(K53+K54)/K55</f>
        <v>0.815067590974963</v>
      </c>
      <c r="L61" s="22" t="n">
        <f aca="false">(L53+L54)/L55</f>
        <v>0.837972143469627</v>
      </c>
      <c r="M61" s="22" t="n">
        <f aca="false">(M53+M54)/M55</f>
        <v>0.793916543741441</v>
      </c>
      <c r="N61" s="22" t="n">
        <f aca="false">(N53+N54)/N55</f>
        <v>0.805801129507785</v>
      </c>
      <c r="O61" s="22" t="n">
        <f aca="false">(O53+O54)/O55</f>
        <v>0.841854373849971</v>
      </c>
      <c r="P61" s="22" t="n">
        <f aca="false">(P53+P54)/P55</f>
        <v>0.809108648663935</v>
      </c>
      <c r="Q61" s="22" t="n">
        <f aca="false">(Q53+Q54)/Q55</f>
        <v>0.826438988465219</v>
      </c>
    </row>
    <row r="62" customFormat="false" ht="15" hidden="false" customHeight="true" outlineLevel="0" collapsed="false">
      <c r="A62" s="20" t="s">
        <v>881</v>
      </c>
      <c r="B62" s="16" t="s">
        <v>77</v>
      </c>
      <c r="C62" s="22" t="n">
        <f aca="false">C43/C55</f>
        <v>0.0578156422832076</v>
      </c>
      <c r="D62" s="22" t="n">
        <f aca="false">D43/D55</f>
        <v>0.0666384351386425</v>
      </c>
      <c r="E62" s="22" t="n">
        <f aca="false">E43/E55</f>
        <v>0.0588832382500467</v>
      </c>
      <c r="F62" s="22" t="n">
        <f aca="false">F43/F55</f>
        <v>0.0594014505906994</v>
      </c>
      <c r="G62" s="22" t="n">
        <f aca="false">G43/G55</f>
        <v>0.0733583389510593</v>
      </c>
      <c r="H62" s="22" t="n">
        <f aca="false">H43/H55</f>
        <v>0.0686942386355233</v>
      </c>
      <c r="I62" s="22" t="n">
        <f aca="false">I43/I55</f>
        <v>0.0464787090355295</v>
      </c>
      <c r="J62" s="22" t="n">
        <f aca="false">J43/J55</f>
        <v>0.0528708377503218</v>
      </c>
      <c r="K62" s="22" t="n">
        <f aca="false">K43/K55</f>
        <v>0.0429342162059577</v>
      </c>
      <c r="L62" s="22" t="n">
        <f aca="false">L43/L55</f>
        <v>0.0411431473992953</v>
      </c>
      <c r="M62" s="22" t="n">
        <f aca="false">M43/M55</f>
        <v>0.0527164369480688</v>
      </c>
      <c r="N62" s="22" t="n">
        <f aca="false">N43/N55</f>
        <v>0.0495655076784986</v>
      </c>
      <c r="O62" s="22" t="n">
        <f aca="false">O43/O55</f>
        <v>0.0387201152749445</v>
      </c>
      <c r="P62" s="22" t="n">
        <f aca="false">P43/P55</f>
        <v>0.0418662568119475</v>
      </c>
      <c r="Q62" s="22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0" t="s">
        <v>882</v>
      </c>
    </row>
    <row r="2" customFormat="false" ht="15" hidden="false" customHeight="false" outlineLevel="0" collapsed="false">
      <c r="A2" s="51" t="s">
        <v>883</v>
      </c>
    </row>
    <row r="4" customFormat="false" ht="15" hidden="false" customHeight="false" outlineLevel="0" collapsed="false">
      <c r="A4" s="52" t="s">
        <v>300</v>
      </c>
      <c r="B4" s="52" t="s">
        <v>61</v>
      </c>
      <c r="C4" s="52" t="s">
        <v>301</v>
      </c>
      <c r="D4" s="52" t="s">
        <v>65</v>
      </c>
      <c r="H4" s="52" t="s">
        <v>302</v>
      </c>
    </row>
    <row r="5" customFormat="false" ht="15" hidden="false" customHeight="false" outlineLevel="0" collapsed="false">
      <c r="A5" s="53" t="s">
        <v>884</v>
      </c>
      <c r="B5" s="53"/>
      <c r="C5" s="129" t="s">
        <v>885</v>
      </c>
      <c r="D5" s="51" t="s">
        <v>70</v>
      </c>
      <c r="H5" s="80" t="s">
        <v>886</v>
      </c>
    </row>
    <row r="6" customFormat="false" ht="26.85" hidden="false" customHeight="false" outlineLevel="0" collapsed="false">
      <c r="A6" s="53" t="s">
        <v>887</v>
      </c>
      <c r="B6" s="54" t="s">
        <v>77</v>
      </c>
      <c r="C6" s="58" t="n">
        <v>0.25</v>
      </c>
      <c r="D6" s="51" t="s">
        <v>82</v>
      </c>
      <c r="H6" s="80" t="s">
        <v>888</v>
      </c>
    </row>
    <row r="7" customFormat="false" ht="15" hidden="false" customHeight="false" outlineLevel="0" collapsed="false">
      <c r="A7" s="54" t="s">
        <v>889</v>
      </c>
      <c r="B7" s="54" t="s">
        <v>77</v>
      </c>
      <c r="C7" s="58" t="n">
        <v>0.9</v>
      </c>
      <c r="D7" s="51" t="s">
        <v>82</v>
      </c>
      <c r="H7" s="80" t="s">
        <v>890</v>
      </c>
    </row>
    <row r="8" customFormat="false" ht="15" hidden="false" customHeight="false" outlineLevel="0" collapsed="false">
      <c r="A8" s="54" t="s">
        <v>891</v>
      </c>
      <c r="B8" s="54" t="s">
        <v>81</v>
      </c>
      <c r="C8" s="71" t="n">
        <v>0.8</v>
      </c>
      <c r="D8" s="51" t="s">
        <v>78</v>
      </c>
      <c r="H8" s="86" t="s">
        <v>892</v>
      </c>
    </row>
    <row r="9" customFormat="false" ht="15" hidden="false" customHeight="false" outlineLevel="0" collapsed="false">
      <c r="A9" s="54" t="s">
        <v>893</v>
      </c>
      <c r="B9" s="54" t="s">
        <v>81</v>
      </c>
      <c r="C9" s="71" t="n">
        <v>0.6</v>
      </c>
      <c r="D9" s="51" t="s">
        <v>78</v>
      </c>
      <c r="H9" s="86" t="s">
        <v>894</v>
      </c>
    </row>
    <row r="10" customFormat="false" ht="15" hidden="false" customHeight="false" outlineLevel="0" collapsed="false">
      <c r="A10" s="53" t="s">
        <v>895</v>
      </c>
      <c r="B10" s="53" t="s">
        <v>73</v>
      </c>
      <c r="C10" s="59" t="n">
        <v>0</v>
      </c>
      <c r="D10" s="51" t="s">
        <v>78</v>
      </c>
      <c r="H10" s="80" t="s">
        <v>896</v>
      </c>
    </row>
    <row r="11" customFormat="false" ht="26.85" hidden="false" customHeight="false" outlineLevel="0" collapsed="false">
      <c r="A11" s="54" t="s">
        <v>897</v>
      </c>
      <c r="B11" s="54" t="s">
        <v>77</v>
      </c>
      <c r="C11" s="58" t="n">
        <v>0.85</v>
      </c>
      <c r="D11" s="51" t="s">
        <v>82</v>
      </c>
      <c r="H11" s="80" t="s">
        <v>898</v>
      </c>
    </row>
    <row r="12" customFormat="false" ht="15" hidden="false" customHeight="false" outlineLevel="0" collapsed="false">
      <c r="A12" s="54" t="s">
        <v>899</v>
      </c>
      <c r="B12" s="53" t="s">
        <v>293</v>
      </c>
      <c r="C12" s="59" t="n">
        <v>16</v>
      </c>
      <c r="D12" s="51" t="s">
        <v>82</v>
      </c>
      <c r="H12" s="80" t="s">
        <v>900</v>
      </c>
    </row>
    <row r="13" customFormat="false" ht="26.85" hidden="false" customHeight="false" outlineLevel="0" collapsed="false">
      <c r="A13" s="53" t="s">
        <v>901</v>
      </c>
      <c r="B13" s="54" t="s">
        <v>81</v>
      </c>
      <c r="C13" s="70" t="n">
        <v>8</v>
      </c>
      <c r="D13" s="51" t="s">
        <v>82</v>
      </c>
      <c r="H13" s="80" t="s">
        <v>902</v>
      </c>
    </row>
    <row r="14" customFormat="false" ht="15" hidden="false" customHeight="false" outlineLevel="0" collapsed="false">
      <c r="A14" s="53" t="s">
        <v>903</v>
      </c>
      <c r="B14" s="53"/>
      <c r="C14" s="98" t="s">
        <v>904</v>
      </c>
      <c r="D14" s="51" t="s">
        <v>70</v>
      </c>
      <c r="H14" s="80" t="s">
        <v>905</v>
      </c>
    </row>
    <row r="15" customFormat="false" ht="15" hidden="false" customHeight="false" outlineLevel="0" collapsed="false">
      <c r="A15" s="53" t="s">
        <v>906</v>
      </c>
      <c r="B15" s="53" t="s">
        <v>73</v>
      </c>
      <c r="C15" s="59" t="n">
        <v>3</v>
      </c>
      <c r="D15" s="51" t="s">
        <v>78</v>
      </c>
      <c r="H15" s="86" t="s">
        <v>907</v>
      </c>
    </row>
    <row r="16" customFormat="false" ht="15" hidden="false" customHeight="false" outlineLevel="0" collapsed="false">
      <c r="A16" s="53" t="s">
        <v>908</v>
      </c>
      <c r="B16" s="53" t="s">
        <v>909</v>
      </c>
      <c r="C16" s="59" t="n">
        <v>4</v>
      </c>
      <c r="D16" s="51" t="s">
        <v>70</v>
      </c>
      <c r="E16" s="74" t="str">
        <f aca="false">INDEX(Spec_Rack!$C$4:$G$4,$C$16)</f>
        <v>VR200 NVL72</v>
      </c>
      <c r="H16" s="80" t="s">
        <v>910</v>
      </c>
    </row>
    <row r="17" customFormat="false" ht="15" hidden="false" customHeight="false" outlineLevel="0" collapsed="false">
      <c r="A17" s="53" t="s">
        <v>911</v>
      </c>
      <c r="B17" s="53" t="s">
        <v>909</v>
      </c>
      <c r="C17" s="59" t="n">
        <v>3</v>
      </c>
      <c r="D17" s="51" t="s">
        <v>70</v>
      </c>
      <c r="E17" s="74" t="str">
        <f aca="false">INDEX(Spec_Rack!$C$4:$G$4,$C$17)</f>
        <v>GB300 NVL72</v>
      </c>
      <c r="H17" s="80" t="s">
        <v>912</v>
      </c>
    </row>
    <row r="19" customFormat="false" ht="15" hidden="false" customHeight="false" outlineLevel="0" collapsed="false">
      <c r="A19" s="61" t="s">
        <v>913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2" t="s">
        <v>142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7.3" hidden="false" customHeight="false" outlineLevel="0" collapsed="false">
      <c r="A21" s="53" t="s">
        <v>914</v>
      </c>
      <c r="B21" s="54" t="s">
        <v>81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915</v>
      </c>
    </row>
    <row r="23" customFormat="false" ht="15" hidden="false" customHeight="false" outlineLevel="0" collapsed="false">
      <c r="A23" s="61" t="s">
        <v>916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2" t="s">
        <v>334</v>
      </c>
      <c r="B24" s="52" t="s">
        <v>61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2" t="s">
        <v>302</v>
      </c>
    </row>
    <row r="25" customFormat="false" ht="24.6" hidden="false" customHeight="false" outlineLevel="0" collapsed="false">
      <c r="A25" s="53" t="s">
        <v>917</v>
      </c>
      <c r="B25" s="54" t="s">
        <v>918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919</v>
      </c>
    </row>
    <row r="26" customFormat="false" ht="15" hidden="false" customHeight="false" outlineLevel="0" collapsed="false">
      <c r="A26" s="53" t="s">
        <v>920</v>
      </c>
      <c r="B26" s="54" t="s">
        <v>255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921</v>
      </c>
    </row>
    <row r="27" customFormat="false" ht="15" hidden="false" customHeight="false" outlineLevel="0" collapsed="false">
      <c r="A27" s="53" t="s">
        <v>922</v>
      </c>
      <c r="B27" s="54" t="s">
        <v>918</v>
      </c>
      <c r="C27" s="130" t="n">
        <v>1</v>
      </c>
      <c r="D27" s="130" t="n">
        <v>1</v>
      </c>
      <c r="E27" s="130" t="n">
        <v>2</v>
      </c>
      <c r="H27" s="80" t="s">
        <v>923</v>
      </c>
    </row>
    <row r="28" customFormat="false" ht="15" hidden="false" customHeight="false" outlineLevel="0" collapsed="false">
      <c r="A28" s="53" t="s">
        <v>924</v>
      </c>
      <c r="B28" s="54" t="s">
        <v>255</v>
      </c>
      <c r="C28" s="56" t="n">
        <v>131072</v>
      </c>
      <c r="D28" s="56" t="n">
        <v>131072</v>
      </c>
      <c r="E28" s="56" t="n">
        <v>131072</v>
      </c>
      <c r="H28" s="80" t="s">
        <v>78</v>
      </c>
    </row>
    <row r="29" customFormat="false" ht="15" hidden="false" customHeight="false" outlineLevel="0" collapsed="false">
      <c r="A29" s="54" t="s">
        <v>925</v>
      </c>
      <c r="B29" s="54" t="s">
        <v>918</v>
      </c>
      <c r="C29" s="131" t="n">
        <v>0.05</v>
      </c>
      <c r="D29" s="131" t="n">
        <v>0.05</v>
      </c>
      <c r="E29" s="131" t="n">
        <v>0.1</v>
      </c>
      <c r="H29" s="80" t="s">
        <v>926</v>
      </c>
    </row>
    <row r="30" customFormat="false" ht="15" hidden="false" customHeight="false" outlineLevel="0" collapsed="false">
      <c r="A30" s="54" t="s">
        <v>927</v>
      </c>
      <c r="B30" s="54" t="s">
        <v>255</v>
      </c>
      <c r="C30" s="56" t="n">
        <v>16384</v>
      </c>
      <c r="D30" s="56" t="n">
        <v>16384</v>
      </c>
      <c r="E30" s="56" t="n">
        <v>16384</v>
      </c>
      <c r="H30" s="80" t="s">
        <v>78</v>
      </c>
    </row>
    <row r="31" customFormat="false" ht="15" hidden="false" customHeight="false" outlineLevel="0" collapsed="false">
      <c r="A31" s="53" t="s">
        <v>928</v>
      </c>
      <c r="B31" s="54" t="s">
        <v>336</v>
      </c>
      <c r="C31" s="56" t="n">
        <v>20</v>
      </c>
      <c r="D31" s="56" t="n">
        <v>20</v>
      </c>
      <c r="E31" s="56" t="n">
        <v>20</v>
      </c>
      <c r="H31" s="86" t="s">
        <v>929</v>
      </c>
    </row>
    <row r="32" customFormat="false" ht="15" hidden="false" customHeight="false" outlineLevel="0" collapsed="false">
      <c r="A32" s="54" t="s">
        <v>930</v>
      </c>
      <c r="B32" s="54" t="s">
        <v>255</v>
      </c>
      <c r="C32" s="56" t="n">
        <v>4096</v>
      </c>
      <c r="D32" s="56" t="n">
        <v>8192</v>
      </c>
      <c r="E32" s="56" t="n">
        <v>16384</v>
      </c>
      <c r="H32" s="80" t="s">
        <v>78</v>
      </c>
    </row>
    <row r="33" customFormat="false" ht="15" hidden="false" customHeight="false" outlineLevel="0" collapsed="false">
      <c r="A33" s="54" t="s">
        <v>931</v>
      </c>
      <c r="B33" s="54" t="s">
        <v>255</v>
      </c>
      <c r="C33" s="56" t="n">
        <v>8192</v>
      </c>
      <c r="D33" s="56" t="n">
        <v>16384</v>
      </c>
      <c r="E33" s="56" t="n">
        <v>32768</v>
      </c>
      <c r="H33" s="80" t="s">
        <v>932</v>
      </c>
    </row>
    <row r="34" customFormat="false" ht="39.55" hidden="false" customHeight="false" outlineLevel="0" collapsed="false">
      <c r="A34" s="54" t="s">
        <v>933</v>
      </c>
      <c r="B34" s="54" t="s">
        <v>918</v>
      </c>
      <c r="C34" s="132" t="n">
        <v>2.36</v>
      </c>
      <c r="D34" s="132" t="n">
        <v>2.36</v>
      </c>
      <c r="E34" s="132" t="n">
        <v>9.6</v>
      </c>
      <c r="H34" s="80" t="s">
        <v>934</v>
      </c>
    </row>
    <row r="35" customFormat="false" ht="15" hidden="false" customHeight="false" outlineLevel="0" collapsed="false">
      <c r="A35" s="54" t="s">
        <v>935</v>
      </c>
      <c r="B35" s="54" t="s">
        <v>918</v>
      </c>
      <c r="C35" s="131" t="n">
        <v>0.2</v>
      </c>
      <c r="D35" s="131" t="n">
        <v>0.2</v>
      </c>
      <c r="E35" s="131" t="n">
        <v>0.2</v>
      </c>
      <c r="H35" s="80" t="s">
        <v>936</v>
      </c>
    </row>
    <row r="36" customFormat="false" ht="15" hidden="false" customHeight="false" outlineLevel="0" collapsed="false">
      <c r="A36" s="53" t="s">
        <v>937</v>
      </c>
      <c r="B36" s="53" t="s">
        <v>73</v>
      </c>
      <c r="C36" s="59" t="n">
        <v>1</v>
      </c>
      <c r="D36" s="59" t="n">
        <v>2</v>
      </c>
      <c r="E36" s="59" t="n">
        <v>3</v>
      </c>
      <c r="H36" s="80" t="s">
        <v>938</v>
      </c>
    </row>
    <row r="37" customFormat="false" ht="15" hidden="false" customHeight="false" outlineLevel="0" collapsed="false">
      <c r="A37" s="53" t="s">
        <v>939</v>
      </c>
      <c r="B37" s="54" t="s">
        <v>918</v>
      </c>
      <c r="C37" s="130" t="n">
        <v>1</v>
      </c>
      <c r="D37" s="130" t="n">
        <v>2</v>
      </c>
      <c r="E37" s="130" t="n">
        <v>3</v>
      </c>
      <c r="H37" s="80" t="s">
        <v>940</v>
      </c>
    </row>
    <row r="38" customFormat="false" ht="15" hidden="false" customHeight="false" outlineLevel="0" collapsed="false">
      <c r="A38" s="53" t="s">
        <v>941</v>
      </c>
      <c r="B38" s="54" t="s">
        <v>918</v>
      </c>
      <c r="C38" s="131" t="n">
        <v>0.02</v>
      </c>
      <c r="D38" s="131" t="n">
        <v>0.05</v>
      </c>
      <c r="E38" s="131" t="n">
        <v>0.1</v>
      </c>
      <c r="H38" s="80" t="s">
        <v>78</v>
      </c>
    </row>
    <row r="40" customFormat="false" ht="15" hidden="false" customHeight="false" outlineLevel="0" collapsed="false">
      <c r="A40" s="61" t="s">
        <v>942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943</v>
      </c>
      <c r="B41" s="54" t="s">
        <v>918</v>
      </c>
      <c r="C41" s="91" t="n">
        <f aca="false">SRC_MOD_039</f>
        <v>14.8</v>
      </c>
      <c r="H41" s="80" t="s">
        <v>944</v>
      </c>
    </row>
    <row r="42" customFormat="false" ht="15" hidden="false" customHeight="false" outlineLevel="0" collapsed="false">
      <c r="A42" s="54" t="s">
        <v>945</v>
      </c>
      <c r="B42" s="54" t="s">
        <v>946</v>
      </c>
      <c r="C42" s="87" t="n">
        <f aca="false">SRC_MOD_040</f>
        <v>2.664</v>
      </c>
      <c r="H42" s="80" t="s">
        <v>947</v>
      </c>
    </row>
    <row r="43" customFormat="false" ht="15" hidden="false" customHeight="false" outlineLevel="0" collapsed="false">
      <c r="A43" s="54" t="s">
        <v>948</v>
      </c>
      <c r="B43" s="54" t="s">
        <v>255</v>
      </c>
      <c r="C43" s="55" t="n">
        <f aca="false">SRC_MOD_042</f>
        <v>4096</v>
      </c>
      <c r="H43" s="80" t="s">
        <v>949</v>
      </c>
    </row>
    <row r="44" customFormat="false" ht="15" hidden="false" customHeight="false" outlineLevel="0" collapsed="false">
      <c r="A44" s="54" t="s">
        <v>950</v>
      </c>
      <c r="B44" s="54" t="s">
        <v>81</v>
      </c>
      <c r="C44" s="102" t="n">
        <f aca="false">SRC_MOD_034/SRC_MOD_040</f>
        <v>0.0551801801801802</v>
      </c>
      <c r="H44" s="80" t="s">
        <v>951</v>
      </c>
    </row>
    <row r="45" customFormat="false" ht="15" hidden="false" customHeight="false" outlineLevel="0" collapsed="false">
      <c r="A45" s="54" t="s">
        <v>952</v>
      </c>
      <c r="B45" s="54" t="s">
        <v>81</v>
      </c>
      <c r="C45" s="101" t="n">
        <f aca="false">SRC_MOD_036</f>
        <v>1</v>
      </c>
      <c r="H45" s="80" t="s">
        <v>953</v>
      </c>
    </row>
    <row r="46" customFormat="false" ht="15" hidden="false" customHeight="false" outlineLevel="0" collapsed="false">
      <c r="A46" s="53" t="s">
        <v>954</v>
      </c>
      <c r="B46" s="54" t="s">
        <v>278</v>
      </c>
      <c r="C46" s="133" t="n">
        <v>2E+026</v>
      </c>
      <c r="H46" s="80" t="s">
        <v>955</v>
      </c>
    </row>
    <row r="47" customFormat="false" ht="15" hidden="false" customHeight="false" outlineLevel="0" collapsed="false">
      <c r="A47" s="53" t="s">
        <v>956</v>
      </c>
      <c r="B47" s="54" t="s">
        <v>278</v>
      </c>
      <c r="C47" s="133" t="n">
        <v>5E+026</v>
      </c>
      <c r="H47" s="86" t="s">
        <v>103</v>
      </c>
    </row>
    <row r="48" customFormat="false" ht="15" hidden="false" customHeight="false" outlineLevel="0" collapsed="false">
      <c r="A48" s="53" t="s">
        <v>957</v>
      </c>
      <c r="B48" s="54" t="s">
        <v>278</v>
      </c>
      <c r="C48" s="133" t="n">
        <v>2E+027</v>
      </c>
      <c r="H48" s="8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0" t="s">
        <v>958</v>
      </c>
    </row>
    <row r="2" customFormat="false" ht="15" hidden="false" customHeight="false" outlineLevel="0" collapsed="false">
      <c r="A2" s="51" t="s">
        <v>959</v>
      </c>
    </row>
    <row r="3" customFormat="false" ht="15" hidden="false" customHeight="false" outlineLevel="0" collapsed="false">
      <c r="A3" s="52" t="s">
        <v>960</v>
      </c>
      <c r="R3" s="52" t="s">
        <v>961</v>
      </c>
      <c r="S3" s="52" t="s">
        <v>961</v>
      </c>
    </row>
    <row r="4" customFormat="false" ht="15" hidden="false" customHeight="false" outlineLevel="0" collapsed="false">
      <c r="A4" s="52" t="s">
        <v>142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2" t="s">
        <v>687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2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2" t="s">
        <v>688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690</v>
      </c>
      <c r="B10" s="54" t="s">
        <v>81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691</v>
      </c>
      <c r="B11" s="54" t="s">
        <v>81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692</v>
      </c>
      <c r="B12" s="54" t="s">
        <v>81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440</v>
      </c>
      <c r="B14" s="54" t="s">
        <v>441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442</v>
      </c>
      <c r="B15" s="54" t="s">
        <v>694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443</v>
      </c>
      <c r="B16" s="54" t="s">
        <v>325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695</v>
      </c>
      <c r="B17" s="54" t="s">
        <v>325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202</v>
      </c>
      <c r="B18" s="54" t="s">
        <v>696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697</v>
      </c>
      <c r="B19" s="54" t="s">
        <v>234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698</v>
      </c>
      <c r="B20" s="54" t="s">
        <v>234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699</v>
      </c>
      <c r="B21" s="54" t="s">
        <v>696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155</v>
      </c>
      <c r="B22" s="53" t="s">
        <v>700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701</v>
      </c>
      <c r="B23" s="54" t="s">
        <v>702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703</v>
      </c>
      <c r="B24" s="54" t="s">
        <v>704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705</v>
      </c>
      <c r="B25" s="53" t="s">
        <v>706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707</v>
      </c>
      <c r="B26" s="54" t="s">
        <v>708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237</v>
      </c>
      <c r="B28" s="54" t="s">
        <v>234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239</v>
      </c>
      <c r="B29" s="53" t="s">
        <v>240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242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710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450</v>
      </c>
      <c r="B32" s="54" t="s">
        <v>234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276</v>
      </c>
      <c r="B33" s="54" t="s">
        <v>234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711</v>
      </c>
      <c r="B34" s="54" t="s">
        <v>234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452</v>
      </c>
      <c r="B35" s="54" t="s">
        <v>278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252</v>
      </c>
      <c r="B36" s="54" t="s">
        <v>77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712</v>
      </c>
      <c r="B37" s="54" t="s">
        <v>255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258</v>
      </c>
      <c r="B38" s="54" t="s">
        <v>81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260</v>
      </c>
      <c r="B39" s="54" t="s">
        <v>255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335</v>
      </c>
      <c r="B41" s="54" t="s">
        <v>336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714</v>
      </c>
      <c r="B42" s="54" t="s">
        <v>339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715</v>
      </c>
      <c r="B43" s="54" t="s">
        <v>255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342</v>
      </c>
      <c r="B44" s="54" t="s">
        <v>255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343</v>
      </c>
      <c r="B45" s="54" t="s">
        <v>255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344</v>
      </c>
      <c r="B46" s="54" t="s">
        <v>255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716</v>
      </c>
      <c r="B47" s="54" t="s">
        <v>255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717</v>
      </c>
      <c r="B48" s="54" t="s">
        <v>77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718</v>
      </c>
      <c r="B49" s="54" t="s">
        <v>255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331</v>
      </c>
      <c r="B50" s="54" t="s">
        <v>81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4" t="s">
        <v>77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720</v>
      </c>
      <c r="B52" s="54" t="s">
        <v>81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721</v>
      </c>
      <c r="B53" s="54" t="s">
        <v>77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722</v>
      </c>
      <c r="B54" s="54" t="s">
        <v>81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723</v>
      </c>
      <c r="B55" s="54" t="s">
        <v>479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724</v>
      </c>
      <c r="B56" s="54" t="s">
        <v>77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725</v>
      </c>
      <c r="B57" s="54" t="s">
        <v>77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726</v>
      </c>
      <c r="B58" s="54" t="s">
        <v>77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727</v>
      </c>
      <c r="B59" s="54" t="s">
        <v>234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728</v>
      </c>
      <c r="B60" s="54" t="s">
        <v>77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729</v>
      </c>
      <c r="B61" s="54" t="s">
        <v>77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730</v>
      </c>
      <c r="B62" s="54" t="s">
        <v>444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731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732</v>
      </c>
      <c r="B64" s="54" t="s">
        <v>255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457</v>
      </c>
      <c r="B65" s="54" t="s">
        <v>458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733</v>
      </c>
      <c r="B66" s="54" t="s">
        <v>255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460</v>
      </c>
      <c r="B67" s="54" t="s">
        <v>458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461</v>
      </c>
      <c r="B69" s="54" t="s">
        <v>280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735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736</v>
      </c>
      <c r="B71" s="54" t="s">
        <v>696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464</v>
      </c>
      <c r="B72" s="54" t="s">
        <v>280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737</v>
      </c>
      <c r="B73" s="54" t="s">
        <v>77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739</v>
      </c>
      <c r="B75" s="54" t="s">
        <v>336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740</v>
      </c>
      <c r="B76" s="54" t="s">
        <v>339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741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743</v>
      </c>
      <c r="B79" s="54" t="s">
        <v>469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744</v>
      </c>
      <c r="B80" s="54" t="s">
        <v>469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745</v>
      </c>
      <c r="B81" s="54" t="s">
        <v>469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746</v>
      </c>
      <c r="B82" s="54" t="s">
        <v>469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747</v>
      </c>
      <c r="B83" s="54" t="s">
        <v>469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748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749</v>
      </c>
      <c r="B85" s="53" t="s">
        <v>473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750</v>
      </c>
      <c r="B86" s="53" t="s">
        <v>473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751</v>
      </c>
      <c r="B87" s="53" t="s">
        <v>473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752</v>
      </c>
      <c r="B88" s="54" t="s">
        <v>336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753</v>
      </c>
      <c r="B89" s="54" t="s">
        <v>336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754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755</v>
      </c>
      <c r="B91" s="54" t="s">
        <v>77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757</v>
      </c>
      <c r="B93" s="54" t="s">
        <v>758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759</v>
      </c>
      <c r="B94" s="54" t="s">
        <v>77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760</v>
      </c>
      <c r="B95" s="54" t="s">
        <v>336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761</v>
      </c>
      <c r="B96" s="54" t="s">
        <v>336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762</v>
      </c>
      <c r="B97" s="54" t="s">
        <v>336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763</v>
      </c>
      <c r="B98" s="54" t="s">
        <v>764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765</v>
      </c>
      <c r="B99" s="54" t="s">
        <v>764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766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767</v>
      </c>
      <c r="B101" s="54" t="s">
        <v>768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769</v>
      </c>
      <c r="B102" s="54" t="s">
        <v>768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770</v>
      </c>
      <c r="B103" s="54" t="s">
        <v>768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771</v>
      </c>
      <c r="B104" s="54" t="s">
        <v>772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773</v>
      </c>
      <c r="B105" s="54" t="s">
        <v>772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775</v>
      </c>
      <c r="B107" s="54" t="s">
        <v>776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777</v>
      </c>
      <c r="B108" s="54" t="s">
        <v>704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778</v>
      </c>
      <c r="B109" s="54" t="s">
        <v>458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779</v>
      </c>
      <c r="B110" s="54" t="s">
        <v>280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780</v>
      </c>
      <c r="B111" s="54" t="s">
        <v>280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781</v>
      </c>
      <c r="B112" s="54" t="s">
        <v>782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783</v>
      </c>
      <c r="B113" s="54" t="s">
        <v>782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784</v>
      </c>
      <c r="B114" s="54" t="s">
        <v>708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785</v>
      </c>
      <c r="B115" s="54" t="s">
        <v>708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786</v>
      </c>
      <c r="B116" s="54" t="s">
        <v>77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787</v>
      </c>
      <c r="B117" s="54" t="s">
        <v>788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789</v>
      </c>
      <c r="B118" s="54" t="s">
        <v>782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963</v>
      </c>
      <c r="B120" s="54" t="s">
        <v>77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964</v>
      </c>
      <c r="B121" s="54" t="s">
        <v>77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0" t="s">
        <v>965</v>
      </c>
    </row>
    <row r="2" customFormat="false" ht="15" hidden="false" customHeight="false" outlineLevel="0" collapsed="false">
      <c r="A2" s="66" t="s">
        <v>966</v>
      </c>
    </row>
    <row r="4" customFormat="false" ht="15" hidden="false" customHeight="false" outlineLevel="0" collapsed="false">
      <c r="A4" s="52" t="s">
        <v>142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2" t="s">
        <v>687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2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2" t="s">
        <v>688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968</v>
      </c>
      <c r="B10" s="54" t="s">
        <v>441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969</v>
      </c>
      <c r="B11" s="54" t="s">
        <v>81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970</v>
      </c>
      <c r="B12" s="54" t="s">
        <v>441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971</v>
      </c>
      <c r="B13" s="54" t="s">
        <v>77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972</v>
      </c>
      <c r="B14" s="54" t="s">
        <v>81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973</v>
      </c>
      <c r="B15" s="54" t="s">
        <v>81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974</v>
      </c>
      <c r="B16" s="54" t="s">
        <v>77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975</v>
      </c>
      <c r="B17" s="54" t="s">
        <v>77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976</v>
      </c>
      <c r="B18" s="53" t="s">
        <v>700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977</v>
      </c>
      <c r="B19" s="54" t="s">
        <v>817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978</v>
      </c>
      <c r="B20" s="54" t="s">
        <v>817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237</v>
      </c>
      <c r="B22" s="54" t="s">
        <v>234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452</v>
      </c>
      <c r="B23" s="54" t="s">
        <v>278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252</v>
      </c>
      <c r="B24" s="54" t="s">
        <v>77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712</v>
      </c>
      <c r="B25" s="54" t="s">
        <v>255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258</v>
      </c>
      <c r="B26" s="54" t="s">
        <v>81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260</v>
      </c>
      <c r="B27" s="54" t="s">
        <v>255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690</v>
      </c>
      <c r="B28" s="54" t="s">
        <v>81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979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980</v>
      </c>
      <c r="B30" s="54" t="s">
        <v>81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917</v>
      </c>
      <c r="B31" s="54" t="s">
        <v>918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981</v>
      </c>
      <c r="B32" s="54" t="s">
        <v>255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982</v>
      </c>
      <c r="B33" s="54" t="s">
        <v>255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983</v>
      </c>
      <c r="B34" s="54" t="s">
        <v>458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984</v>
      </c>
      <c r="B35" s="54" t="s">
        <v>278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985</v>
      </c>
      <c r="B36" s="54" t="s">
        <v>986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987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988</v>
      </c>
      <c r="B38" s="54" t="s">
        <v>918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981</v>
      </c>
      <c r="B39" s="54" t="s">
        <v>255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989</v>
      </c>
      <c r="B40" s="54" t="s">
        <v>255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983</v>
      </c>
      <c r="B41" s="54" t="s">
        <v>458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990</v>
      </c>
      <c r="B42" s="54" t="s">
        <v>278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991</v>
      </c>
      <c r="B43" s="54" t="s">
        <v>986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992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925</v>
      </c>
      <c r="B45" s="54" t="s">
        <v>918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981</v>
      </c>
      <c r="B46" s="54" t="s">
        <v>255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989</v>
      </c>
      <c r="B47" s="54" t="s">
        <v>255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983</v>
      </c>
      <c r="B48" s="54" t="s">
        <v>458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993</v>
      </c>
      <c r="B49" s="54" t="s">
        <v>278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994</v>
      </c>
      <c r="B50" s="54" t="s">
        <v>81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995</v>
      </c>
      <c r="B51" s="54" t="s">
        <v>986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997</v>
      </c>
      <c r="B53" s="54" t="s">
        <v>918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998</v>
      </c>
      <c r="B54" s="54" t="s">
        <v>255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999</v>
      </c>
      <c r="B55" s="54" t="s">
        <v>255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1000</v>
      </c>
      <c r="B56" s="53" t="s">
        <v>293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1001</v>
      </c>
      <c r="B57" s="53" t="s">
        <v>293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1002</v>
      </c>
      <c r="B58" s="54" t="s">
        <v>918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1003</v>
      </c>
      <c r="B59" s="54" t="s">
        <v>768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1004</v>
      </c>
      <c r="B60" s="54" t="s">
        <v>768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1005</v>
      </c>
      <c r="B61" s="54" t="s">
        <v>458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1006</v>
      </c>
      <c r="B62" s="54" t="s">
        <v>458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1007</v>
      </c>
      <c r="B63" s="54" t="s">
        <v>81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1008</v>
      </c>
      <c r="B64" s="54" t="s">
        <v>77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1009</v>
      </c>
      <c r="B65" s="54" t="s">
        <v>986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1010</v>
      </c>
      <c r="B66" s="54" t="s">
        <v>278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1011</v>
      </c>
      <c r="B67" s="54" t="s">
        <v>918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1012</v>
      </c>
      <c r="B68" s="54" t="s">
        <v>255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1013</v>
      </c>
      <c r="B69" s="54" t="s">
        <v>458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1014</v>
      </c>
      <c r="B70" s="54" t="s">
        <v>278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1015</v>
      </c>
      <c r="B71" s="54" t="s">
        <v>81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1016</v>
      </c>
      <c r="B72" s="54" t="s">
        <v>986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1017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1018</v>
      </c>
      <c r="B74" s="54" t="s">
        <v>986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1019</v>
      </c>
      <c r="B75" s="54" t="s">
        <v>986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1020</v>
      </c>
      <c r="B76" s="54" t="s">
        <v>278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1021</v>
      </c>
      <c r="B77" s="54" t="s">
        <v>77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1022</v>
      </c>
      <c r="B78" s="54" t="s">
        <v>81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1023</v>
      </c>
      <c r="B79" s="54" t="s">
        <v>81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1024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1025</v>
      </c>
      <c r="B81" s="54" t="s">
        <v>918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1026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1027</v>
      </c>
      <c r="B83" s="54" t="s">
        <v>918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1028</v>
      </c>
      <c r="B84" s="54" t="s">
        <v>768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1029</v>
      </c>
      <c r="B85" s="54" t="s">
        <v>458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1030</v>
      </c>
      <c r="B86" s="54" t="s">
        <v>986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1031</v>
      </c>
      <c r="B87" s="54" t="s">
        <v>986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1032</v>
      </c>
      <c r="B88" s="54" t="s">
        <v>278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1033</v>
      </c>
      <c r="B89" s="54" t="s">
        <v>986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1034</v>
      </c>
      <c r="B90" s="54" t="s">
        <v>986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1035</v>
      </c>
      <c r="B91" s="54" t="s">
        <v>278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1037</v>
      </c>
      <c r="B93" s="54" t="s">
        <v>918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1038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1039</v>
      </c>
      <c r="B95" s="54" t="s">
        <v>768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1040</v>
      </c>
      <c r="B96" s="54" t="s">
        <v>458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1041</v>
      </c>
      <c r="B97" s="54" t="s">
        <v>986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1042</v>
      </c>
      <c r="B98" s="54" t="s">
        <v>278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941</v>
      </c>
      <c r="B99" s="54" t="s">
        <v>918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1043</v>
      </c>
      <c r="B100" s="54" t="s">
        <v>986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1044</v>
      </c>
      <c r="B101" s="54" t="s">
        <v>278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1045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1046</v>
      </c>
      <c r="B103" s="54" t="s">
        <v>986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1047</v>
      </c>
      <c r="B104" s="54" t="s">
        <v>986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1048</v>
      </c>
      <c r="B105" s="54" t="s">
        <v>986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1049</v>
      </c>
      <c r="B106" s="54" t="s">
        <v>986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1050</v>
      </c>
      <c r="B107" s="54" t="s">
        <v>278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1051</v>
      </c>
      <c r="B108" s="54" t="s">
        <v>278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1052</v>
      </c>
      <c r="B109" s="54" t="s">
        <v>278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1053</v>
      </c>
      <c r="B110" s="54" t="s">
        <v>77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1054</v>
      </c>
      <c r="B111" s="54" t="s">
        <v>77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1055</v>
      </c>
      <c r="B112" s="54" t="s">
        <v>986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1056</v>
      </c>
      <c r="B113" s="54" t="s">
        <v>986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1057</v>
      </c>
      <c r="B114" s="54" t="s">
        <v>77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1058</v>
      </c>
      <c r="B115" s="54" t="s">
        <v>842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1059</v>
      </c>
      <c r="B116" s="54" t="s">
        <v>842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1060</v>
      </c>
      <c r="B117" s="54" t="s">
        <v>77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1061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1062</v>
      </c>
      <c r="B119" s="54" t="s">
        <v>81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1063</v>
      </c>
      <c r="B120" s="54" t="s">
        <v>986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1064</v>
      </c>
      <c r="B121" s="54" t="s">
        <v>986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1065</v>
      </c>
      <c r="B122" s="54" t="s">
        <v>842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1066</v>
      </c>
      <c r="B123" s="54" t="s">
        <v>77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1067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1068</v>
      </c>
      <c r="B125" s="54" t="s">
        <v>986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1069</v>
      </c>
      <c r="B126" s="54" t="s">
        <v>986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1070</v>
      </c>
      <c r="B127" s="54" t="s">
        <v>986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1071</v>
      </c>
      <c r="B128" s="54" t="s">
        <v>986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1072</v>
      </c>
      <c r="B129" s="54" t="s">
        <v>986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1073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1074</v>
      </c>
      <c r="B131" s="54" t="s">
        <v>986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1075</v>
      </c>
      <c r="B132" s="54" t="s">
        <v>986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1076</v>
      </c>
      <c r="B133" s="54" t="s">
        <v>842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1077</v>
      </c>
      <c r="B134" s="54" t="s">
        <v>77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0" t="s">
        <v>1078</v>
      </c>
    </row>
    <row r="2" customFormat="false" ht="15" hidden="false" customHeight="false" outlineLevel="0" collapsed="false">
      <c r="A2" s="66" t="s">
        <v>1079</v>
      </c>
    </row>
    <row r="3" customFormat="false" ht="43.5" hidden="false" customHeight="true" outlineLevel="0" collapsed="false">
      <c r="A3" s="52" t="s">
        <v>794</v>
      </c>
      <c r="C3" s="113" t="s">
        <v>63</v>
      </c>
      <c r="D3" s="113"/>
      <c r="E3" s="113" t="s">
        <v>1080</v>
      </c>
      <c r="F3" s="113"/>
      <c r="G3" s="113" t="s">
        <v>1081</v>
      </c>
      <c r="H3" s="113"/>
      <c r="I3" s="114" t="s">
        <v>1082</v>
      </c>
      <c r="J3" s="114"/>
      <c r="K3" s="113" t="s">
        <v>1083</v>
      </c>
      <c r="L3" s="113"/>
      <c r="M3" s="113" t="s">
        <v>1084</v>
      </c>
      <c r="N3" s="113"/>
      <c r="O3" s="114" t="s">
        <v>1085</v>
      </c>
      <c r="P3" s="114"/>
      <c r="Q3" s="114" t="s">
        <v>1086</v>
      </c>
      <c r="R3" s="114"/>
      <c r="S3" s="114" t="s">
        <v>1087</v>
      </c>
      <c r="T3" s="114"/>
      <c r="U3" s="114" t="s">
        <v>1088</v>
      </c>
      <c r="V3" s="114"/>
      <c r="W3" s="114" t="s">
        <v>1089</v>
      </c>
      <c r="X3" s="114"/>
      <c r="Y3" s="113" t="s">
        <v>1090</v>
      </c>
      <c r="Z3" s="113"/>
      <c r="AA3" s="113" t="s">
        <v>1091</v>
      </c>
      <c r="AB3" s="113"/>
      <c r="AC3" s="113" t="s">
        <v>1092</v>
      </c>
      <c r="AD3" s="113"/>
      <c r="AE3" s="113" t="s">
        <v>1093</v>
      </c>
      <c r="AF3" s="113"/>
      <c r="AG3" s="114" t="s">
        <v>1094</v>
      </c>
      <c r="AH3" s="114"/>
    </row>
    <row r="4" customFormat="false" ht="15" hidden="false" customHeight="false" outlineLevel="0" collapsed="false">
      <c r="A4" s="52" t="s">
        <v>142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2" t="s">
        <v>687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2" t="s">
        <v>417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2" t="s">
        <v>688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2" t="s">
        <v>1095</v>
      </c>
      <c r="B8" s="54" t="s">
        <v>81</v>
      </c>
      <c r="C8" s="51" t="s">
        <v>585</v>
      </c>
      <c r="D8" s="51" t="s">
        <v>585</v>
      </c>
      <c r="E8" s="51" t="s">
        <v>585</v>
      </c>
      <c r="F8" s="51" t="s">
        <v>585</v>
      </c>
      <c r="G8" s="51" t="s">
        <v>585</v>
      </c>
      <c r="H8" s="51" t="s">
        <v>585</v>
      </c>
      <c r="I8" s="51" t="s">
        <v>585</v>
      </c>
      <c r="J8" s="51" t="s">
        <v>585</v>
      </c>
      <c r="K8" s="51" t="s">
        <v>585</v>
      </c>
      <c r="L8" s="51" t="s">
        <v>585</v>
      </c>
      <c r="M8" s="51" t="s">
        <v>585</v>
      </c>
      <c r="N8" s="51" t="s">
        <v>585</v>
      </c>
      <c r="O8" s="73" t="n">
        <v>0.3</v>
      </c>
      <c r="P8" s="73" t="n">
        <v>0.3</v>
      </c>
      <c r="Q8" s="73" t="n">
        <v>3</v>
      </c>
      <c r="R8" s="73" t="n">
        <v>3</v>
      </c>
      <c r="S8" s="51" t="s">
        <v>585</v>
      </c>
      <c r="T8" s="51" t="s">
        <v>585</v>
      </c>
      <c r="U8" s="51" t="s">
        <v>585</v>
      </c>
      <c r="V8" s="51" t="s">
        <v>585</v>
      </c>
      <c r="W8" s="51" t="s">
        <v>585</v>
      </c>
      <c r="X8" s="51" t="s">
        <v>585</v>
      </c>
      <c r="Y8" s="73" t="n">
        <v>0</v>
      </c>
      <c r="Z8" s="73" t="n">
        <v>0</v>
      </c>
      <c r="AA8" s="73" t="n">
        <v>3</v>
      </c>
      <c r="AB8" s="73" t="n">
        <v>3</v>
      </c>
      <c r="AC8" s="51" t="s">
        <v>585</v>
      </c>
      <c r="AD8" s="51" t="s">
        <v>585</v>
      </c>
      <c r="AE8" s="51" t="s">
        <v>585</v>
      </c>
      <c r="AF8" s="51" t="s">
        <v>585</v>
      </c>
      <c r="AG8" s="51" t="s">
        <v>585</v>
      </c>
      <c r="AH8" s="51" t="s">
        <v>585</v>
      </c>
    </row>
    <row r="9" customFormat="false" ht="15" hidden="false" customHeight="false" outlineLevel="0" collapsed="false">
      <c r="A9" s="68" t="s">
        <v>967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968</v>
      </c>
      <c r="B10" s="54" t="s">
        <v>441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969</v>
      </c>
      <c r="B11" s="54" t="s">
        <v>81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970</v>
      </c>
      <c r="B12" s="54" t="s">
        <v>441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971</v>
      </c>
      <c r="B13" s="54" t="s">
        <v>77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972</v>
      </c>
      <c r="B14" s="54" t="s">
        <v>81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973</v>
      </c>
      <c r="B15" s="54" t="s">
        <v>81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974</v>
      </c>
      <c r="B16" s="54" t="s">
        <v>77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975</v>
      </c>
      <c r="B17" s="54" t="s">
        <v>77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976</v>
      </c>
      <c r="B18" s="53" t="s">
        <v>700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977</v>
      </c>
      <c r="B19" s="54" t="s">
        <v>817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978</v>
      </c>
      <c r="B20" s="54" t="s">
        <v>817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237</v>
      </c>
      <c r="B22" s="54" t="s">
        <v>234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452</v>
      </c>
      <c r="B23" s="54" t="s">
        <v>278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252</v>
      </c>
      <c r="B24" s="54" t="s">
        <v>77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712</v>
      </c>
      <c r="B25" s="54" t="s">
        <v>255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258</v>
      </c>
      <c r="B26" s="54" t="s">
        <v>81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260</v>
      </c>
      <c r="B27" s="54" t="s">
        <v>255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690</v>
      </c>
      <c r="B28" s="54" t="s">
        <v>81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979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980</v>
      </c>
      <c r="B30" s="54" t="s">
        <v>81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917</v>
      </c>
      <c r="B31" s="54" t="s">
        <v>918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981</v>
      </c>
      <c r="B32" s="54" t="s">
        <v>255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982</v>
      </c>
      <c r="B33" s="54" t="s">
        <v>255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983</v>
      </c>
      <c r="B34" s="54" t="s">
        <v>458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984</v>
      </c>
      <c r="B35" s="54" t="s">
        <v>278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985</v>
      </c>
      <c r="B36" s="54" t="s">
        <v>986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987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988</v>
      </c>
      <c r="B38" s="54" t="s">
        <v>918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981</v>
      </c>
      <c r="B39" s="54" t="s">
        <v>255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989</v>
      </c>
      <c r="B40" s="54" t="s">
        <v>255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983</v>
      </c>
      <c r="B41" s="54" t="s">
        <v>458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990</v>
      </c>
      <c r="B42" s="54" t="s">
        <v>278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991</v>
      </c>
      <c r="B43" s="54" t="s">
        <v>986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992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925</v>
      </c>
      <c r="B45" s="54" t="s">
        <v>918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981</v>
      </c>
      <c r="B46" s="54" t="s">
        <v>255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989</v>
      </c>
      <c r="B47" s="54" t="s">
        <v>255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983</v>
      </c>
      <c r="B48" s="54" t="s">
        <v>458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993</v>
      </c>
      <c r="B49" s="54" t="s">
        <v>278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994</v>
      </c>
      <c r="B50" s="54" t="s">
        <v>81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995</v>
      </c>
      <c r="B51" s="54" t="s">
        <v>986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997</v>
      </c>
      <c r="B53" s="54" t="s">
        <v>918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998</v>
      </c>
      <c r="B54" s="54" t="s">
        <v>255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999</v>
      </c>
      <c r="B55" s="54" t="s">
        <v>255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1000</v>
      </c>
      <c r="B56" s="53" t="s">
        <v>293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1001</v>
      </c>
      <c r="B57" s="53" t="s">
        <v>293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1002</v>
      </c>
      <c r="B58" s="54" t="s">
        <v>918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1003</v>
      </c>
      <c r="B59" s="54" t="s">
        <v>768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1004</v>
      </c>
      <c r="B60" s="54" t="s">
        <v>768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1005</v>
      </c>
      <c r="B61" s="54" t="s">
        <v>458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1006</v>
      </c>
      <c r="B62" s="54" t="s">
        <v>458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1007</v>
      </c>
      <c r="B63" s="54" t="s">
        <v>81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1008</v>
      </c>
      <c r="B64" s="54" t="s">
        <v>77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1009</v>
      </c>
      <c r="B65" s="54" t="s">
        <v>986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1010</v>
      </c>
      <c r="B66" s="54" t="s">
        <v>278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1011</v>
      </c>
      <c r="B67" s="54" t="s">
        <v>918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1012</v>
      </c>
      <c r="B68" s="54" t="s">
        <v>255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1013</v>
      </c>
      <c r="B69" s="54" t="s">
        <v>458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1014</v>
      </c>
      <c r="B70" s="54" t="s">
        <v>278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1015</v>
      </c>
      <c r="B71" s="54" t="s">
        <v>81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1016</v>
      </c>
      <c r="B72" s="54" t="s">
        <v>986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1017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1018</v>
      </c>
      <c r="B74" s="54" t="s">
        <v>986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1019</v>
      </c>
      <c r="B75" s="54" t="s">
        <v>986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1020</v>
      </c>
      <c r="B76" s="54" t="s">
        <v>278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1021</v>
      </c>
      <c r="B77" s="54" t="s">
        <v>77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1022</v>
      </c>
      <c r="B78" s="54" t="s">
        <v>81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1023</v>
      </c>
      <c r="B79" s="54" t="s">
        <v>81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1024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1025</v>
      </c>
      <c r="B81" s="54" t="s">
        <v>918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1026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1027</v>
      </c>
      <c r="B83" s="54" t="s">
        <v>918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1028</v>
      </c>
      <c r="B84" s="54" t="s">
        <v>768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1029</v>
      </c>
      <c r="B85" s="54" t="s">
        <v>458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1030</v>
      </c>
      <c r="B86" s="54" t="s">
        <v>986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1031</v>
      </c>
      <c r="B87" s="54" t="s">
        <v>986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1032</v>
      </c>
      <c r="B88" s="54" t="s">
        <v>278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1033</v>
      </c>
      <c r="B89" s="54" t="s">
        <v>986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1034</v>
      </c>
      <c r="B90" s="54" t="s">
        <v>986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1035</v>
      </c>
      <c r="B91" s="54" t="s">
        <v>278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1037</v>
      </c>
      <c r="B93" s="54" t="s">
        <v>918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1038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1039</v>
      </c>
      <c r="B95" s="54" t="s">
        <v>768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1040</v>
      </c>
      <c r="B96" s="54" t="s">
        <v>458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1041</v>
      </c>
      <c r="B97" s="54" t="s">
        <v>986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1042</v>
      </c>
      <c r="B98" s="54" t="s">
        <v>278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941</v>
      </c>
      <c r="B99" s="54" t="s">
        <v>918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1043</v>
      </c>
      <c r="B100" s="54" t="s">
        <v>986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1044</v>
      </c>
      <c r="B101" s="54" t="s">
        <v>278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1045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1046</v>
      </c>
      <c r="B103" s="54" t="s">
        <v>986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1047</v>
      </c>
      <c r="B104" s="54" t="s">
        <v>986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1048</v>
      </c>
      <c r="B105" s="54" t="s">
        <v>986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1049</v>
      </c>
      <c r="B106" s="54" t="s">
        <v>986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1050</v>
      </c>
      <c r="B107" s="54" t="s">
        <v>278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1051</v>
      </c>
      <c r="B108" s="54" t="s">
        <v>278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1052</v>
      </c>
      <c r="B109" s="54" t="s">
        <v>278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1053</v>
      </c>
      <c r="B110" s="54" t="s">
        <v>77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1054</v>
      </c>
      <c r="B111" s="54" t="s">
        <v>77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1055</v>
      </c>
      <c r="B112" s="54" t="s">
        <v>986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1056</v>
      </c>
      <c r="B113" s="54" t="s">
        <v>986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1057</v>
      </c>
      <c r="B114" s="54" t="s">
        <v>77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1058</v>
      </c>
      <c r="B115" s="54" t="s">
        <v>842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1059</v>
      </c>
      <c r="B116" s="54" t="s">
        <v>842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1060</v>
      </c>
      <c r="B117" s="54" t="s">
        <v>77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1061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1062</v>
      </c>
      <c r="B119" s="54" t="s">
        <v>81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1063</v>
      </c>
      <c r="B120" s="54" t="s">
        <v>986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1064</v>
      </c>
      <c r="B121" s="54" t="s">
        <v>986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1065</v>
      </c>
      <c r="B122" s="54" t="s">
        <v>842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1066</v>
      </c>
      <c r="B123" s="54" t="s">
        <v>77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1067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1068</v>
      </c>
      <c r="B125" s="54" t="s">
        <v>986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1069</v>
      </c>
      <c r="B126" s="54" t="s">
        <v>986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1070</v>
      </c>
      <c r="B127" s="54" t="s">
        <v>986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1071</v>
      </c>
      <c r="B128" s="54" t="s">
        <v>986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1072</v>
      </c>
      <c r="B129" s="54" t="s">
        <v>986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1096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1097</v>
      </c>
      <c r="B131" s="54" t="s">
        <v>81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1098</v>
      </c>
      <c r="B132" s="54" t="s">
        <v>81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1099</v>
      </c>
      <c r="B133" s="54" t="s">
        <v>81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0" t="s">
        <v>1100</v>
      </c>
    </row>
    <row r="2" customFormat="false" ht="15" hidden="false" customHeight="false" outlineLevel="0" collapsed="false">
      <c r="A2" s="51" t="s">
        <v>1101</v>
      </c>
    </row>
    <row r="4" customFormat="false" ht="15" hidden="false" customHeight="false" outlineLevel="0" collapsed="false">
      <c r="A4" s="68" t="s">
        <v>1102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2" t="s">
        <v>334</v>
      </c>
      <c r="B5" s="52" t="s">
        <v>61</v>
      </c>
      <c r="C5" s="52" t="s">
        <v>1103</v>
      </c>
      <c r="D5" s="10" t="s">
        <v>1104</v>
      </c>
      <c r="E5" s="10" t="s">
        <v>1105</v>
      </c>
      <c r="F5" s="52" t="s">
        <v>65</v>
      </c>
      <c r="G5" s="52" t="s">
        <v>302</v>
      </c>
    </row>
    <row r="6" customFormat="false" ht="15" hidden="false" customHeight="false" outlineLevel="0" collapsed="false">
      <c r="A6" s="53" t="s">
        <v>1106</v>
      </c>
      <c r="B6" s="54" t="s">
        <v>772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1" t="s">
        <v>113</v>
      </c>
      <c r="G6" s="80" t="s">
        <v>1107</v>
      </c>
    </row>
    <row r="7" customFormat="false" ht="15" hidden="false" customHeight="false" outlineLevel="0" collapsed="false">
      <c r="A7" s="53" t="s">
        <v>1108</v>
      </c>
      <c r="B7" s="54" t="s">
        <v>772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1" t="s">
        <v>113</v>
      </c>
      <c r="G7" s="86" t="s">
        <v>1109</v>
      </c>
    </row>
    <row r="8" customFormat="false" ht="15" hidden="false" customHeight="false" outlineLevel="0" collapsed="false">
      <c r="A8" s="53" t="s">
        <v>1110</v>
      </c>
      <c r="B8" s="54" t="s">
        <v>772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1" t="s">
        <v>113</v>
      </c>
      <c r="G8" s="86" t="s">
        <v>1111</v>
      </c>
    </row>
    <row r="10" customFormat="false" ht="15" hidden="false" customHeight="false" outlineLevel="0" collapsed="false">
      <c r="A10" s="68" t="s">
        <v>1112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2" t="s">
        <v>334</v>
      </c>
      <c r="B11" s="52" t="s">
        <v>61</v>
      </c>
      <c r="C11" s="52" t="s">
        <v>63</v>
      </c>
      <c r="D11" s="52" t="s">
        <v>1113</v>
      </c>
      <c r="E11" s="52" t="s">
        <v>1114</v>
      </c>
      <c r="F11" s="52" t="s">
        <v>65</v>
      </c>
      <c r="G11" s="52" t="s">
        <v>302</v>
      </c>
    </row>
    <row r="12" customFormat="false" ht="15" hidden="false" customHeight="false" outlineLevel="0" collapsed="false">
      <c r="A12" s="5" t="s">
        <v>1115</v>
      </c>
      <c r="B12" s="54" t="s">
        <v>77</v>
      </c>
      <c r="C12" s="58" t="n">
        <v>0.2</v>
      </c>
      <c r="D12" s="58" t="n">
        <v>0.1</v>
      </c>
      <c r="E12" s="58" t="n">
        <v>0.3</v>
      </c>
      <c r="F12" s="51" t="s">
        <v>78</v>
      </c>
      <c r="G12" s="86" t="s">
        <v>1116</v>
      </c>
    </row>
    <row r="13" customFormat="false" ht="15" hidden="false" customHeight="false" outlineLevel="0" collapsed="false">
      <c r="A13" s="5" t="s">
        <v>1117</v>
      </c>
      <c r="B13" s="54" t="s">
        <v>77</v>
      </c>
      <c r="C13" s="58" t="n">
        <v>0.55</v>
      </c>
      <c r="D13" s="58" t="n">
        <v>0.3</v>
      </c>
      <c r="E13" s="58" t="n">
        <v>0.75</v>
      </c>
      <c r="F13" s="51" t="s">
        <v>78</v>
      </c>
      <c r="G13" s="86" t="s">
        <v>1118</v>
      </c>
    </row>
    <row r="14" customFormat="false" ht="26.85" hidden="false" customHeight="false" outlineLevel="0" collapsed="false">
      <c r="A14" s="5" t="s">
        <v>1119</v>
      </c>
      <c r="B14" s="54" t="s">
        <v>81</v>
      </c>
      <c r="C14" s="71" t="n">
        <v>0</v>
      </c>
      <c r="D14" s="71" t="n">
        <v>0</v>
      </c>
      <c r="E14" s="71" t="n">
        <v>0.5</v>
      </c>
      <c r="F14" s="51" t="s">
        <v>78</v>
      </c>
      <c r="G14" s="80" t="s">
        <v>1120</v>
      </c>
    </row>
    <row r="15" customFormat="false" ht="15" hidden="false" customHeight="false" outlineLevel="0" collapsed="false">
      <c r="A15" s="5" t="s">
        <v>1121</v>
      </c>
      <c r="B15" s="54" t="s">
        <v>81</v>
      </c>
      <c r="C15" s="71" t="n">
        <v>1</v>
      </c>
      <c r="D15" s="71" t="n">
        <v>0.5</v>
      </c>
      <c r="E15" s="71" t="n">
        <v>7</v>
      </c>
      <c r="F15" s="51" t="s">
        <v>78</v>
      </c>
      <c r="G15" s="86" t="s">
        <v>1122</v>
      </c>
    </row>
    <row r="16" customFormat="false" ht="15" hidden="false" customHeight="false" outlineLevel="0" collapsed="false">
      <c r="A16" s="5" t="s">
        <v>1123</v>
      </c>
      <c r="B16" s="53" t="s">
        <v>73</v>
      </c>
      <c r="C16" s="59" t="n">
        <v>2</v>
      </c>
      <c r="D16" s="59" t="n">
        <v>1</v>
      </c>
      <c r="E16" s="59" t="n">
        <v>2</v>
      </c>
      <c r="F16" s="51" t="s">
        <v>70</v>
      </c>
      <c r="G16" s="80" t="s">
        <v>1124</v>
      </c>
    </row>
    <row r="17" customFormat="false" ht="15" hidden="false" customHeight="false" outlineLevel="0" collapsed="false">
      <c r="A17" s="5" t="s">
        <v>1125</v>
      </c>
      <c r="B17" s="54" t="s">
        <v>1126</v>
      </c>
      <c r="C17" s="82" t="n">
        <f aca="false">SRC_PRC_028</f>
        <v>35</v>
      </c>
      <c r="F17" s="51" t="s">
        <v>113</v>
      </c>
      <c r="G17" s="80" t="s">
        <v>1127</v>
      </c>
    </row>
    <row r="18" customFormat="false" ht="15" hidden="false" customHeight="false" outlineLevel="0" collapsed="false">
      <c r="A18" s="5" t="s">
        <v>1128</v>
      </c>
      <c r="B18" s="54" t="s">
        <v>81</v>
      </c>
      <c r="C18" s="90" t="n">
        <f aca="false">SRC_PRC_027</f>
        <v>0.5</v>
      </c>
      <c r="F18" s="51" t="s">
        <v>113</v>
      </c>
      <c r="G18" s="80" t="s">
        <v>1129</v>
      </c>
    </row>
    <row r="20" customFormat="false" ht="15" hidden="false" customHeight="false" outlineLevel="0" collapsed="false">
      <c r="A20" s="68" t="s">
        <v>1130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2" t="s">
        <v>334</v>
      </c>
      <c r="B21" s="52" t="s">
        <v>61</v>
      </c>
      <c r="C21" s="52" t="s">
        <v>1103</v>
      </c>
      <c r="D21" s="10" t="s">
        <v>1104</v>
      </c>
      <c r="E21" s="10" t="s">
        <v>1105</v>
      </c>
      <c r="F21" s="52" t="s">
        <v>65</v>
      </c>
      <c r="G21" s="52" t="s">
        <v>302</v>
      </c>
    </row>
    <row r="22" customFormat="false" ht="15" hidden="false" customHeight="false" outlineLevel="0" collapsed="false">
      <c r="A22" s="53" t="s">
        <v>1131</v>
      </c>
      <c r="B22" s="53" t="s">
        <v>1132</v>
      </c>
      <c r="C22" s="59" t="n">
        <v>12</v>
      </c>
      <c r="D22" s="59" t="n">
        <v>12</v>
      </c>
      <c r="E22" s="59" t="n">
        <v>9</v>
      </c>
      <c r="F22" s="51" t="s">
        <v>78</v>
      </c>
      <c r="G22" s="66" t="s">
        <v>1133</v>
      </c>
    </row>
    <row r="23" customFormat="false" ht="15" hidden="false" customHeight="false" outlineLevel="0" collapsed="false">
      <c r="A23" s="53" t="s">
        <v>1134</v>
      </c>
      <c r="B23" s="53" t="s">
        <v>1132</v>
      </c>
      <c r="C23" s="59" t="n">
        <v>6</v>
      </c>
      <c r="D23" s="59" t="n">
        <v>6</v>
      </c>
      <c r="E23" s="59" t="n">
        <v>6</v>
      </c>
      <c r="F23" s="51" t="s">
        <v>78</v>
      </c>
      <c r="G23" s="66"/>
    </row>
    <row r="24" customFormat="false" ht="15" hidden="false" customHeight="false" outlineLevel="0" collapsed="false">
      <c r="A24" s="53" t="s">
        <v>1135</v>
      </c>
      <c r="B24" s="53" t="s">
        <v>1132</v>
      </c>
      <c r="C24" s="59" t="n">
        <v>24</v>
      </c>
      <c r="D24" s="59" t="n">
        <v>24</v>
      </c>
      <c r="E24" s="59" t="n">
        <v>18</v>
      </c>
      <c r="F24" s="51" t="s">
        <v>78</v>
      </c>
      <c r="G24" s="66"/>
    </row>
    <row r="26" customFormat="false" ht="15" hidden="false" customHeight="false" outlineLevel="0" collapsed="false">
      <c r="A26" s="68" t="s">
        <v>1136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2" t="s">
        <v>334</v>
      </c>
      <c r="B27" s="52" t="s">
        <v>61</v>
      </c>
      <c r="C27" s="52" t="s">
        <v>63</v>
      </c>
      <c r="D27" s="52" t="s">
        <v>1113</v>
      </c>
      <c r="E27" s="52" t="s">
        <v>1114</v>
      </c>
      <c r="F27" s="52" t="s">
        <v>65</v>
      </c>
      <c r="G27" s="52" t="s">
        <v>302</v>
      </c>
    </row>
    <row r="28" customFormat="false" ht="26.85" hidden="false" customHeight="false" outlineLevel="0" collapsed="false">
      <c r="A28" s="53" t="s">
        <v>1137</v>
      </c>
      <c r="B28" s="54" t="s">
        <v>77</v>
      </c>
      <c r="C28" s="58" t="n">
        <v>0.41</v>
      </c>
      <c r="D28" s="58" t="n">
        <v>0.3</v>
      </c>
      <c r="E28" s="58" t="n">
        <v>0.6</v>
      </c>
      <c r="F28" s="51" t="s">
        <v>1138</v>
      </c>
      <c r="G28" s="80" t="s">
        <v>1139</v>
      </c>
    </row>
    <row r="29" customFormat="false" ht="15" hidden="false" customHeight="false" outlineLevel="0" collapsed="false">
      <c r="A29" s="53" t="s">
        <v>1140</v>
      </c>
      <c r="B29" s="54" t="s">
        <v>77</v>
      </c>
      <c r="C29" s="58" t="n">
        <v>0.46</v>
      </c>
      <c r="D29" s="58" t="n">
        <v>0.35</v>
      </c>
      <c r="E29" s="58" t="n">
        <v>0.6</v>
      </c>
      <c r="F29" s="51" t="s">
        <v>183</v>
      </c>
      <c r="G29" s="80" t="s">
        <v>1141</v>
      </c>
    </row>
    <row r="30" customFormat="false" ht="15" hidden="false" customHeight="false" outlineLevel="0" collapsed="false">
      <c r="A30" s="52" t="s">
        <v>334</v>
      </c>
      <c r="B30" s="52" t="s">
        <v>61</v>
      </c>
      <c r="C30" s="52" t="s">
        <v>1103</v>
      </c>
      <c r="D30" s="10" t="s">
        <v>1104</v>
      </c>
      <c r="E30" s="10" t="s">
        <v>1105</v>
      </c>
      <c r="F30" s="52" t="s">
        <v>65</v>
      </c>
      <c r="G30" s="52" t="s">
        <v>302</v>
      </c>
    </row>
    <row r="31" customFormat="false" ht="15" hidden="false" customHeight="false" outlineLevel="0" collapsed="false">
      <c r="A31" s="53" t="s">
        <v>1142</v>
      </c>
      <c r="B31" s="54" t="s">
        <v>77</v>
      </c>
      <c r="C31" s="58" t="n">
        <v>0.4</v>
      </c>
      <c r="D31" s="58" t="n">
        <v>0.45</v>
      </c>
      <c r="E31" s="58" t="n">
        <v>0.15</v>
      </c>
      <c r="F31" s="51" t="s">
        <v>78</v>
      </c>
      <c r="G31" s="80" t="s">
        <v>1143</v>
      </c>
    </row>
    <row r="32" customFormat="false" ht="15" hidden="false" customHeight="false" outlineLevel="0" collapsed="false">
      <c r="A32" s="53" t="s">
        <v>1144</v>
      </c>
      <c r="B32" s="54" t="s">
        <v>77</v>
      </c>
      <c r="C32" s="58" t="n">
        <v>0.9</v>
      </c>
      <c r="D32" s="58" t="n">
        <v>0.1</v>
      </c>
      <c r="E32" s="58" t="n">
        <v>0</v>
      </c>
      <c r="F32" s="51" t="s">
        <v>78</v>
      </c>
      <c r="G32" s="80" t="s">
        <v>1145</v>
      </c>
    </row>
    <row r="34" customFormat="false" ht="15" hidden="false" customHeight="false" outlineLevel="0" collapsed="false">
      <c r="A34" s="68" t="s">
        <v>1146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2" t="s">
        <v>334</v>
      </c>
      <c r="B35" s="52" t="s">
        <v>61</v>
      </c>
      <c r="C35" s="52" t="s">
        <v>63</v>
      </c>
      <c r="D35" s="52" t="s">
        <v>1113</v>
      </c>
      <c r="E35" s="52" t="s">
        <v>1114</v>
      </c>
      <c r="F35" s="52" t="s">
        <v>65</v>
      </c>
      <c r="G35" s="52" t="s">
        <v>302</v>
      </c>
    </row>
    <row r="36" customFormat="false" ht="15" hidden="false" customHeight="false" outlineLevel="0" collapsed="false">
      <c r="A36" s="5" t="s">
        <v>1147</v>
      </c>
      <c r="B36" s="53" t="s">
        <v>73</v>
      </c>
      <c r="C36" s="59" t="n">
        <v>2</v>
      </c>
      <c r="D36" s="59" t="n">
        <v>1</v>
      </c>
      <c r="E36" s="59" t="n">
        <v>3</v>
      </c>
      <c r="F36" s="51" t="s">
        <v>78</v>
      </c>
      <c r="G36" s="86" t="s">
        <v>1148</v>
      </c>
    </row>
    <row r="37" customFormat="false" ht="15" hidden="false" customHeight="false" outlineLevel="0" collapsed="false">
      <c r="A37" s="5" t="s">
        <v>1149</v>
      </c>
      <c r="B37" s="54" t="s">
        <v>1126</v>
      </c>
      <c r="C37" s="141" t="n">
        <v>0.0833333333333333</v>
      </c>
      <c r="D37" s="141" t="n">
        <v>0.0833333333333333</v>
      </c>
      <c r="E37" s="141" t="n">
        <v>1</v>
      </c>
      <c r="F37" s="51" t="s">
        <v>82</v>
      </c>
      <c r="G37" s="80" t="s">
        <v>1150</v>
      </c>
    </row>
    <row r="38" customFormat="false" ht="15" hidden="false" customHeight="false" outlineLevel="0" collapsed="false">
      <c r="A38" s="5" t="s">
        <v>1151</v>
      </c>
      <c r="B38" s="53" t="s">
        <v>1152</v>
      </c>
      <c r="C38" s="59" t="n">
        <v>5</v>
      </c>
      <c r="D38" s="59" t="n">
        <v>1</v>
      </c>
      <c r="E38" s="59" t="n">
        <v>20</v>
      </c>
      <c r="F38" s="51" t="s">
        <v>78</v>
      </c>
      <c r="G38" s="86" t="s">
        <v>1153</v>
      </c>
    </row>
    <row r="39" customFormat="false" ht="15" hidden="false" customHeight="false" outlineLevel="0" collapsed="false">
      <c r="A39" s="6" t="s">
        <v>1154</v>
      </c>
      <c r="B39" s="54" t="s">
        <v>1155</v>
      </c>
      <c r="C39" s="71" t="n">
        <v>10</v>
      </c>
      <c r="D39" s="71" t="n">
        <v>5</v>
      </c>
      <c r="E39" s="71" t="n">
        <v>20</v>
      </c>
      <c r="F39" s="51" t="s">
        <v>78</v>
      </c>
      <c r="G39" s="80" t="s">
        <v>1156</v>
      </c>
    </row>
    <row r="40" customFormat="false" ht="15" hidden="false" customHeight="false" outlineLevel="0" collapsed="false">
      <c r="A40" s="6" t="s">
        <v>1157</v>
      </c>
      <c r="B40" s="53" t="s">
        <v>112</v>
      </c>
      <c r="C40" s="59" t="n">
        <v>4</v>
      </c>
      <c r="D40" s="59" t="n">
        <v>3</v>
      </c>
      <c r="E40" s="59" t="n">
        <v>6</v>
      </c>
      <c r="F40" s="51" t="s">
        <v>78</v>
      </c>
      <c r="G40" s="86"/>
    </row>
    <row r="41" customFormat="false" ht="15" hidden="false" customHeight="false" outlineLevel="0" collapsed="false">
      <c r="A41" s="6" t="s">
        <v>1158</v>
      </c>
      <c r="B41" s="54" t="s">
        <v>1155</v>
      </c>
      <c r="C41" s="71" t="n">
        <v>0.1</v>
      </c>
      <c r="D41" s="71" t="n">
        <v>0.05</v>
      </c>
      <c r="E41" s="71" t="n">
        <v>0.3</v>
      </c>
      <c r="F41" s="51" t="s">
        <v>78</v>
      </c>
      <c r="G41" s="86" t="s">
        <v>1159</v>
      </c>
    </row>
    <row r="42" customFormat="false" ht="15" hidden="false" customHeight="false" outlineLevel="0" collapsed="false">
      <c r="A42" s="6" t="s">
        <v>1160</v>
      </c>
      <c r="B42" s="53" t="s">
        <v>112</v>
      </c>
      <c r="C42" s="59" t="n">
        <v>5</v>
      </c>
      <c r="D42" s="59" t="n">
        <v>3</v>
      </c>
      <c r="E42" s="59" t="n">
        <v>6</v>
      </c>
      <c r="F42" s="51" t="s">
        <v>78</v>
      </c>
      <c r="G42" s="86"/>
    </row>
    <row r="44" customFormat="false" ht="15" hidden="false" customHeight="false" outlineLevel="0" collapsed="false">
      <c r="A44" s="68" t="s">
        <v>1161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9.85" hidden="false" customHeight="false" outlineLevel="0" collapsed="false">
      <c r="A45" s="76" t="s">
        <v>1162</v>
      </c>
      <c r="B45" s="76" t="s">
        <v>1163</v>
      </c>
      <c r="C45" s="76" t="s">
        <v>1164</v>
      </c>
      <c r="D45" s="76" t="s">
        <v>1165</v>
      </c>
      <c r="E45" s="76" t="s">
        <v>1166</v>
      </c>
      <c r="F45" s="76" t="s">
        <v>1167</v>
      </c>
      <c r="G45" s="76" t="s">
        <v>1168</v>
      </c>
      <c r="H45" s="76" t="s">
        <v>1169</v>
      </c>
      <c r="I45" s="76" t="s">
        <v>1170</v>
      </c>
      <c r="J45" s="76" t="s">
        <v>1171</v>
      </c>
      <c r="K45" s="76" t="s">
        <v>1172</v>
      </c>
      <c r="L45" s="76" t="s">
        <v>65</v>
      </c>
      <c r="M45" s="76" t="s">
        <v>428</v>
      </c>
      <c r="N45" s="76" t="s">
        <v>1173</v>
      </c>
    </row>
    <row r="46" customFormat="false" ht="15" hidden="false" customHeight="false" outlineLevel="0" collapsed="false">
      <c r="A46" s="129" t="s">
        <v>1174</v>
      </c>
      <c r="B46" s="129" t="s">
        <v>1175</v>
      </c>
      <c r="C46" s="98" t="s">
        <v>1176</v>
      </c>
      <c r="D46" s="98" t="s">
        <v>616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1177</v>
      </c>
      <c r="K46" s="129" t="s">
        <v>1178</v>
      </c>
      <c r="L46" s="129" t="s">
        <v>113</v>
      </c>
      <c r="M46" s="80" t="s">
        <v>1179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1180</v>
      </c>
      <c r="B47" s="129" t="s">
        <v>1175</v>
      </c>
      <c r="C47" s="98" t="s">
        <v>1176</v>
      </c>
      <c r="D47" s="98" t="s">
        <v>616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1177</v>
      </c>
      <c r="K47" s="129" t="s">
        <v>1178</v>
      </c>
      <c r="L47" s="129" t="s">
        <v>113</v>
      </c>
      <c r="M47" s="80" t="s">
        <v>1181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1182</v>
      </c>
      <c r="B48" s="129" t="s">
        <v>1175</v>
      </c>
      <c r="C48" s="98" t="s">
        <v>1176</v>
      </c>
      <c r="D48" s="98" t="s">
        <v>616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1183</v>
      </c>
      <c r="K48" s="129" t="s">
        <v>1178</v>
      </c>
      <c r="L48" s="129" t="s">
        <v>113</v>
      </c>
      <c r="M48" s="80" t="s">
        <v>1184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1185</v>
      </c>
      <c r="B49" s="129" t="s">
        <v>1186</v>
      </c>
      <c r="C49" s="98" t="s">
        <v>1176</v>
      </c>
      <c r="D49" s="98" t="s">
        <v>616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1183</v>
      </c>
      <c r="K49" s="129" t="s">
        <v>1187</v>
      </c>
      <c r="L49" s="129" t="s">
        <v>183</v>
      </c>
      <c r="M49" s="80" t="s">
        <v>1188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1189</v>
      </c>
      <c r="B50" s="129" t="s">
        <v>1186</v>
      </c>
      <c r="C50" s="98" t="s">
        <v>1176</v>
      </c>
      <c r="D50" s="98" t="s">
        <v>616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1183</v>
      </c>
      <c r="K50" s="129" t="s">
        <v>1190</v>
      </c>
      <c r="L50" s="129" t="s">
        <v>183</v>
      </c>
      <c r="M50" s="80" t="s">
        <v>1191</v>
      </c>
      <c r="N50" s="104" t="n">
        <f aca="false">IF($C50="中國",1,0)</f>
        <v>0</v>
      </c>
    </row>
    <row r="51" customFormat="false" ht="26.85" hidden="false" customHeight="false" outlineLevel="0" collapsed="false">
      <c r="A51" s="129" t="s">
        <v>1192</v>
      </c>
      <c r="B51" s="129" t="s">
        <v>1186</v>
      </c>
      <c r="C51" s="98" t="s">
        <v>1176</v>
      </c>
      <c r="D51" s="98" t="s">
        <v>616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1193</v>
      </c>
      <c r="K51" s="129" t="s">
        <v>1194</v>
      </c>
      <c r="L51" s="129" t="s">
        <v>183</v>
      </c>
      <c r="M51" s="80" t="s">
        <v>1195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1196</v>
      </c>
      <c r="B52" s="129" t="s">
        <v>1197</v>
      </c>
      <c r="C52" s="98" t="s">
        <v>1198</v>
      </c>
      <c r="D52" s="98" t="s">
        <v>588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1177</v>
      </c>
      <c r="K52" s="129" t="s">
        <v>1199</v>
      </c>
      <c r="L52" s="129" t="s">
        <v>113</v>
      </c>
      <c r="M52" s="80" t="s">
        <v>1200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1201</v>
      </c>
      <c r="B53" s="129" t="s">
        <v>1197</v>
      </c>
      <c r="C53" s="98" t="s">
        <v>1198</v>
      </c>
      <c r="D53" s="98" t="s">
        <v>588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1183</v>
      </c>
      <c r="K53" s="129" t="s">
        <v>1199</v>
      </c>
      <c r="L53" s="129" t="s">
        <v>113</v>
      </c>
      <c r="M53" s="80" t="s">
        <v>1202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1203</v>
      </c>
      <c r="B54" s="129" t="s">
        <v>1204</v>
      </c>
      <c r="C54" s="98" t="s">
        <v>1198</v>
      </c>
      <c r="D54" s="98" t="s">
        <v>1205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1177</v>
      </c>
      <c r="K54" s="129" t="s">
        <v>1199</v>
      </c>
      <c r="L54" s="129" t="s">
        <v>113</v>
      </c>
      <c r="M54" s="80" t="s">
        <v>1206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1207</v>
      </c>
      <c r="B55" s="129" t="s">
        <v>1204</v>
      </c>
      <c r="C55" s="98" t="s">
        <v>1198</v>
      </c>
      <c r="D55" s="98" t="s">
        <v>588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1183</v>
      </c>
      <c r="K55" s="129" t="s">
        <v>1199</v>
      </c>
      <c r="L55" s="129" t="s">
        <v>113</v>
      </c>
      <c r="M55" s="80" t="s">
        <v>1208</v>
      </c>
      <c r="N55" s="104" t="n">
        <f aca="false">IF($C55="中國",1,0)</f>
        <v>1</v>
      </c>
    </row>
    <row r="56" customFormat="false" ht="24.6" hidden="false" customHeight="false" outlineLevel="0" collapsed="false">
      <c r="A56" s="129" t="s">
        <v>1209</v>
      </c>
      <c r="B56" s="129" t="s">
        <v>1210</v>
      </c>
      <c r="C56" s="98" t="s">
        <v>1198</v>
      </c>
      <c r="D56" s="98" t="s">
        <v>1211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1183</v>
      </c>
      <c r="K56" s="129" t="s">
        <v>1187</v>
      </c>
      <c r="L56" s="129" t="s">
        <v>183</v>
      </c>
      <c r="M56" s="80" t="s">
        <v>1212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1213</v>
      </c>
      <c r="B57" s="129" t="s">
        <v>1214</v>
      </c>
      <c r="C57" s="98" t="s">
        <v>1198</v>
      </c>
      <c r="D57" s="98" t="s">
        <v>1215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1193</v>
      </c>
      <c r="K57" s="129" t="s">
        <v>1216</v>
      </c>
      <c r="L57" s="129" t="s">
        <v>183</v>
      </c>
      <c r="M57" s="80" t="s">
        <v>1217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1218</v>
      </c>
      <c r="B58" s="129" t="s">
        <v>1219</v>
      </c>
      <c r="C58" s="98" t="s">
        <v>1198</v>
      </c>
      <c r="D58" s="98" t="s">
        <v>616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1193</v>
      </c>
      <c r="K58" s="129" t="s">
        <v>1190</v>
      </c>
      <c r="L58" s="129" t="s">
        <v>183</v>
      </c>
      <c r="M58" s="80" t="s">
        <v>1220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1221</v>
      </c>
    </row>
    <row r="61" customFormat="false" ht="15" hidden="false" customHeight="false" outlineLevel="0" collapsed="false">
      <c r="A61" s="68" t="s">
        <v>1222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2" t="s">
        <v>334</v>
      </c>
      <c r="B62" s="52" t="s">
        <v>61</v>
      </c>
      <c r="C62" s="52" t="s">
        <v>301</v>
      </c>
      <c r="F62" s="52" t="s">
        <v>65</v>
      </c>
      <c r="G62" s="52" t="s">
        <v>302</v>
      </c>
    </row>
    <row r="63" customFormat="false" ht="52.2" hidden="false" customHeight="false" outlineLevel="0" collapsed="false">
      <c r="A63" s="5" t="s">
        <v>1223</v>
      </c>
      <c r="B63" s="54" t="s">
        <v>81</v>
      </c>
      <c r="C63" s="71" t="n">
        <v>1</v>
      </c>
      <c r="F63" s="51" t="s">
        <v>1224</v>
      </c>
      <c r="G63" s="86" t="s">
        <v>1225</v>
      </c>
    </row>
    <row r="64" customFormat="false" ht="39.55" hidden="false" customHeight="false" outlineLevel="0" collapsed="false">
      <c r="A64" s="5" t="s">
        <v>1226</v>
      </c>
      <c r="B64" s="54" t="s">
        <v>81</v>
      </c>
      <c r="C64" s="71" t="n">
        <v>1</v>
      </c>
      <c r="F64" s="51" t="s">
        <v>78</v>
      </c>
      <c r="G64" s="86" t="s">
        <v>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0" t="s">
        <v>1228</v>
      </c>
    </row>
    <row r="2" customFormat="false" ht="15" hidden="false" customHeight="false" outlineLevel="0" collapsed="false">
      <c r="A2" s="66" t="s">
        <v>1229</v>
      </c>
    </row>
    <row r="4" customFormat="false" ht="15" hidden="false" customHeight="false" outlineLevel="0" collapsed="false">
      <c r="A4" s="68" t="s">
        <v>1230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2" t="s">
        <v>334</v>
      </c>
      <c r="B5" s="52" t="s">
        <v>61</v>
      </c>
      <c r="C5" s="10" t="s">
        <v>225</v>
      </c>
      <c r="D5" s="10" t="s">
        <v>226</v>
      </c>
      <c r="E5" s="10" t="s">
        <v>227</v>
      </c>
      <c r="G5" s="52" t="s">
        <v>302</v>
      </c>
    </row>
    <row r="6" customFormat="false" ht="15" hidden="false" customHeight="false" outlineLevel="0" collapsed="false">
      <c r="A6" s="5" t="s">
        <v>1231</v>
      </c>
      <c r="B6" s="54" t="s">
        <v>278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1232</v>
      </c>
    </row>
    <row r="7" customFormat="false" ht="15" hidden="false" customHeight="false" outlineLevel="0" collapsed="false">
      <c r="A7" s="6" t="s">
        <v>1233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1234</v>
      </c>
      <c r="B8" s="53" t="s">
        <v>1235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1236</v>
      </c>
    </row>
    <row r="9" customFormat="false" ht="15" hidden="false" customHeight="false" outlineLevel="0" collapsed="false">
      <c r="A9" s="5" t="s">
        <v>1237</v>
      </c>
      <c r="B9" s="53" t="s">
        <v>1238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1239</v>
      </c>
    </row>
    <row r="10" customFormat="false" ht="15" hidden="false" customHeight="false" outlineLevel="0" collapsed="false">
      <c r="A10" s="5" t="s">
        <v>1240</v>
      </c>
      <c r="B10" s="54" t="s">
        <v>81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1241</v>
      </c>
    </row>
    <row r="11" customFormat="false" ht="15" hidden="false" customHeight="false" outlineLevel="0" collapsed="false">
      <c r="A11" s="5" t="s">
        <v>1242</v>
      </c>
      <c r="B11" s="54" t="s">
        <v>81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1243</v>
      </c>
    </row>
    <row r="13" customFormat="false" ht="15" hidden="false" customHeight="false" outlineLevel="0" collapsed="false">
      <c r="A13" s="68" t="s">
        <v>1244</v>
      </c>
      <c r="B13" s="62"/>
      <c r="C13" s="62"/>
      <c r="D13" s="62"/>
      <c r="E13" s="62"/>
      <c r="F13" s="62"/>
      <c r="G13" s="62"/>
    </row>
    <row r="14" customFormat="false" ht="26.85" hidden="false" customHeight="false" outlineLevel="0" collapsed="false">
      <c r="A14" s="53" t="s">
        <v>1245</v>
      </c>
      <c r="B14" s="54" t="s">
        <v>81</v>
      </c>
      <c r="C14" s="144" t="n">
        <f aca="false">Train_In!$C$47/E6</f>
        <v>4.96023652286263</v>
      </c>
      <c r="G14" s="86" t="s">
        <v>1246</v>
      </c>
    </row>
    <row r="16" customFormat="false" ht="15" hidden="false" customHeight="false" outlineLevel="0" collapsed="false">
      <c r="A16" s="68" t="s">
        <v>1247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1" t="s">
        <v>1248</v>
      </c>
    </row>
    <row r="18" customFormat="false" ht="15" hidden="false" customHeight="false" outlineLevel="0" collapsed="false">
      <c r="A18" s="51" t="s">
        <v>1249</v>
      </c>
    </row>
    <row r="19" customFormat="false" ht="15" hidden="false" customHeight="false" outlineLevel="0" collapsed="false">
      <c r="A19" s="51" t="s">
        <v>1250</v>
      </c>
    </row>
    <row r="20" customFormat="false" ht="15" hidden="false" customHeight="false" outlineLevel="0" collapsed="false">
      <c r="A20" s="51" t="s">
        <v>1251</v>
      </c>
    </row>
    <row r="21" customFormat="false" ht="15" hidden="false" customHeight="false" outlineLevel="0" collapsed="false">
      <c r="A21" s="51" t="s">
        <v>1252</v>
      </c>
    </row>
    <row r="22" customFormat="false" ht="15" hidden="false" customHeight="false" outlineLevel="0" collapsed="false">
      <c r="A22" s="51" t="s">
        <v>1253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0" t="s">
        <v>1254</v>
      </c>
    </row>
    <row r="2" customFormat="false" ht="15" hidden="false" customHeight="false" outlineLevel="0" collapsed="false">
      <c r="A2" s="66" t="s">
        <v>1255</v>
      </c>
    </row>
    <row r="4" customFormat="false" ht="15" hidden="false" customHeight="false" outlineLevel="0" collapsed="false">
      <c r="A4" s="68" t="s">
        <v>1256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1162</v>
      </c>
      <c r="B5" s="76" t="s">
        <v>1164</v>
      </c>
      <c r="C5" s="76" t="s">
        <v>1170</v>
      </c>
      <c r="D5" s="76" t="s">
        <v>1257</v>
      </c>
      <c r="E5" s="76" t="s">
        <v>1106</v>
      </c>
      <c r="F5" s="76" t="s">
        <v>1108</v>
      </c>
      <c r="G5" s="76" t="s">
        <v>1258</v>
      </c>
      <c r="H5" s="76" t="s">
        <v>1259</v>
      </c>
      <c r="I5" s="76" t="s">
        <v>1260</v>
      </c>
      <c r="J5" s="76" t="s">
        <v>1261</v>
      </c>
      <c r="K5" s="76" t="s">
        <v>1262</v>
      </c>
      <c r="L5" s="76" t="s">
        <v>1263</v>
      </c>
      <c r="M5" s="76" t="s">
        <v>1264</v>
      </c>
      <c r="N5" s="76" t="s">
        <v>1265</v>
      </c>
      <c r="O5" s="76" t="s">
        <v>1266</v>
      </c>
      <c r="P5" s="76" t="s">
        <v>1267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1268</v>
      </c>
    </row>
    <row r="21" customFormat="false" ht="15" hidden="false" customHeight="false" outlineLevel="0" collapsed="false">
      <c r="A21" s="68" t="s">
        <v>1269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2" t="s">
        <v>334</v>
      </c>
      <c r="B22" s="52" t="s">
        <v>61</v>
      </c>
      <c r="C22" s="10" t="s">
        <v>225</v>
      </c>
      <c r="D22" s="10" t="s">
        <v>226</v>
      </c>
      <c r="E22" s="10" t="s">
        <v>227</v>
      </c>
    </row>
    <row r="23" customFormat="false" ht="29.85" hidden="false" customHeight="false" outlineLevel="0" collapsed="false">
      <c r="A23" s="5" t="s">
        <v>1270</v>
      </c>
      <c r="B23" s="53" t="s">
        <v>1235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9.85" hidden="false" customHeight="false" outlineLevel="0" collapsed="false">
      <c r="A24" s="6" t="s">
        <v>1271</v>
      </c>
      <c r="B24" s="54" t="s">
        <v>772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1272</v>
      </c>
      <c r="B25" s="54" t="s">
        <v>772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1273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1274</v>
      </c>
      <c r="B27" s="54" t="s">
        <v>772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1275</v>
      </c>
      <c r="B28" s="54" t="s">
        <v>772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1276</v>
      </c>
      <c r="B29" s="54" t="s">
        <v>772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1277</v>
      </c>
      <c r="B30" s="54" t="s">
        <v>81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9.85" hidden="false" customHeight="false" outlineLevel="0" collapsed="false">
      <c r="A31" s="5" t="s">
        <v>1278</v>
      </c>
      <c r="B31" s="54" t="s">
        <v>772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1279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1280</v>
      </c>
      <c r="B33" s="54" t="s">
        <v>81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9.85" hidden="false" customHeight="false" outlineLevel="0" collapsed="false">
      <c r="A34" s="5" t="s">
        <v>1281</v>
      </c>
      <c r="B34" s="53" t="s">
        <v>293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44" hidden="false" customHeight="false" outlineLevel="0" collapsed="false">
      <c r="A37" s="6" t="s">
        <v>1283</v>
      </c>
      <c r="B37" s="54" t="s">
        <v>81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9.85" hidden="false" customHeight="false" outlineLevel="0" collapsed="false">
      <c r="A38" s="5" t="s">
        <v>1284</v>
      </c>
      <c r="B38" s="54" t="s">
        <v>81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1286</v>
      </c>
      <c r="B41" s="54" t="s">
        <v>772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1287</v>
      </c>
      <c r="B42" s="54" t="s">
        <v>772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1288</v>
      </c>
      <c r="B43" s="54" t="s">
        <v>772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1289</v>
      </c>
      <c r="B44" s="54" t="s">
        <v>772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9.85" hidden="false" customHeight="false" outlineLevel="0" collapsed="false">
      <c r="A45" s="5" t="s">
        <v>1290</v>
      </c>
      <c r="B45" s="54" t="s">
        <v>772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1291</v>
      </c>
      <c r="B46" s="54" t="s">
        <v>772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1292</v>
      </c>
    </row>
    <row r="2" customFormat="false" ht="15" hidden="false" customHeight="false" outlineLevel="0" collapsed="false">
      <c r="A2" s="66" t="s">
        <v>1293</v>
      </c>
    </row>
    <row r="4" customFormat="false" ht="15" hidden="false" customHeight="false" outlineLevel="0" collapsed="false">
      <c r="A4" s="52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2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2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2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1296</v>
      </c>
      <c r="B10" s="54" t="s">
        <v>1297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1298</v>
      </c>
      <c r="B11" s="54" t="s">
        <v>1297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1299</v>
      </c>
      <c r="B12" s="54" t="s">
        <v>1297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1300</v>
      </c>
      <c r="B13" s="54" t="s">
        <v>1297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1301</v>
      </c>
      <c r="B16" s="54" t="s">
        <v>234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1302</v>
      </c>
      <c r="B17" s="54" t="s">
        <v>772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1303</v>
      </c>
      <c r="B18" s="54" t="s">
        <v>81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1304</v>
      </c>
      <c r="B19" s="54" t="s">
        <v>77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1301</v>
      </c>
      <c r="B22" s="54" t="s">
        <v>234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1305</v>
      </c>
      <c r="B23" s="54" t="s">
        <v>772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1303</v>
      </c>
      <c r="B24" s="54" t="s">
        <v>81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1304</v>
      </c>
      <c r="B25" s="54" t="s">
        <v>77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1301</v>
      </c>
      <c r="B28" s="54" t="s">
        <v>234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1306</v>
      </c>
      <c r="B29" s="54" t="s">
        <v>772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1303</v>
      </c>
      <c r="B30" s="54" t="s">
        <v>81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1304</v>
      </c>
      <c r="B31" s="54" t="s">
        <v>77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1307</v>
      </c>
    </row>
    <row r="2" customFormat="false" ht="15" hidden="false" customHeight="false" outlineLevel="0" collapsed="false">
      <c r="A2" s="66" t="s">
        <v>1308</v>
      </c>
    </row>
    <row r="4" customFormat="false" ht="15" hidden="false" customHeight="false" outlineLevel="0" collapsed="false">
      <c r="A4" s="52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2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2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2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1309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1310</v>
      </c>
      <c r="B10" s="54" t="s">
        <v>69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1311</v>
      </c>
      <c r="B11" s="54" t="s">
        <v>69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1312</v>
      </c>
      <c r="B12" s="54" t="s">
        <v>69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1313</v>
      </c>
      <c r="B13" s="54" t="s">
        <v>69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1314</v>
      </c>
      <c r="B14" s="54" t="s">
        <v>69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1315</v>
      </c>
      <c r="B15" s="54" t="s">
        <v>69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1317</v>
      </c>
      <c r="B18" s="53" t="s">
        <v>1318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1319</v>
      </c>
      <c r="B19" s="54" t="s">
        <v>764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1320</v>
      </c>
      <c r="B20" s="54" t="s">
        <v>764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1321</v>
      </c>
      <c r="B21" s="54" t="s">
        <v>764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1322</v>
      </c>
      <c r="B22" s="54" t="s">
        <v>764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1323</v>
      </c>
      <c r="B23" s="54" t="s">
        <v>69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1324</v>
      </c>
      <c r="B24" s="54" t="s">
        <v>764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1325</v>
      </c>
      <c r="B25" s="54" t="s">
        <v>764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1326</v>
      </c>
      <c r="B26" s="54" t="s">
        <v>69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1327</v>
      </c>
      <c r="B27" s="54" t="s">
        <v>764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1328</v>
      </c>
      <c r="B28" s="54" t="s">
        <v>764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1329</v>
      </c>
      <c r="B29" s="54" t="s">
        <v>69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1330</v>
      </c>
      <c r="B30" s="54" t="s">
        <v>69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1331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1332</v>
      </c>
      <c r="B33" s="54" t="s">
        <v>77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1333</v>
      </c>
      <c r="B34" s="53" t="s">
        <v>293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1335</v>
      </c>
    </row>
    <row r="2" customFormat="false" ht="15" hidden="false" customHeight="false" outlineLevel="0" collapsed="false">
      <c r="A2" s="66" t="s">
        <v>1336</v>
      </c>
    </row>
    <row r="4" customFormat="false" ht="15" hidden="false" customHeight="false" outlineLevel="0" collapsed="false">
      <c r="A4" s="52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2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2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2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1337</v>
      </c>
      <c r="B10" s="54" t="s">
        <v>842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1338</v>
      </c>
      <c r="B11" s="54" t="s">
        <v>764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1339</v>
      </c>
      <c r="B12" s="54" t="s">
        <v>1340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1341</v>
      </c>
      <c r="B13" s="54" t="s">
        <v>772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1342</v>
      </c>
      <c r="B14" s="54" t="s">
        <v>772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1343</v>
      </c>
      <c r="B15" s="54" t="s">
        <v>772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1344</v>
      </c>
      <c r="B16" s="54" t="s">
        <v>81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226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1337</v>
      </c>
      <c r="B19" s="54" t="s">
        <v>842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1338</v>
      </c>
      <c r="B20" s="54" t="s">
        <v>764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1339</v>
      </c>
      <c r="B21" s="54" t="s">
        <v>1340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1345</v>
      </c>
      <c r="B22" s="54" t="s">
        <v>772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1342</v>
      </c>
      <c r="B23" s="54" t="s">
        <v>772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1346</v>
      </c>
      <c r="B24" s="54" t="s">
        <v>772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1344</v>
      </c>
      <c r="B25" s="54" t="s">
        <v>81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9.85" hidden="false" customHeight="false" outlineLevel="0" collapsed="false">
      <c r="A26" s="5" t="s">
        <v>1347</v>
      </c>
      <c r="B26" s="54" t="s">
        <v>77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227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1337</v>
      </c>
      <c r="B29" s="54" t="s">
        <v>842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1338</v>
      </c>
      <c r="B30" s="54" t="s">
        <v>764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1339</v>
      </c>
      <c r="B31" s="54" t="s">
        <v>1340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1348</v>
      </c>
      <c r="B32" s="54" t="s">
        <v>772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1342</v>
      </c>
      <c r="B33" s="54" t="s">
        <v>772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1349</v>
      </c>
      <c r="B34" s="54" t="s">
        <v>772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1344</v>
      </c>
      <c r="B35" s="54" t="s">
        <v>81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9.85" hidden="false" customHeight="false" outlineLevel="0" collapsed="false">
      <c r="A36" s="5" t="s">
        <v>1347</v>
      </c>
      <c r="B36" s="54" t="s">
        <v>77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1350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1351</v>
      </c>
      <c r="B39" s="54" t="s">
        <v>1352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1353</v>
      </c>
      <c r="B40" s="54" t="s">
        <v>1352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1354</v>
      </c>
      <c r="B41" s="54" t="s">
        <v>81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1355</v>
      </c>
      <c r="B42" s="54" t="s">
        <v>1352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1356</v>
      </c>
      <c r="B43" s="54" t="s">
        <v>772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6.85" hidden="false" customHeight="false" outlineLevel="0" collapsed="false">
      <c r="A44" s="6" t="s">
        <v>1357</v>
      </c>
      <c r="B44" s="54" t="s">
        <v>772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9.85" hidden="false" customHeight="false" outlineLevel="0" collapsed="false">
      <c r="A45" s="6" t="s">
        <v>1358</v>
      </c>
      <c r="B45" s="54" t="s">
        <v>772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6.85" hidden="false" customHeight="false" outlineLevel="0" collapsed="false">
      <c r="A46" s="6" t="s">
        <v>1359</v>
      </c>
      <c r="B46" s="54" t="s">
        <v>772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9.85" hidden="false" customHeight="false" outlineLevel="0" collapsed="false">
      <c r="A47" s="6" t="s">
        <v>1360</v>
      </c>
      <c r="B47" s="54" t="s">
        <v>772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6.85" hidden="false" customHeight="false" outlineLevel="0" collapsed="false">
      <c r="A48" s="6" t="s">
        <v>1361</v>
      </c>
      <c r="B48" s="54" t="s">
        <v>772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1362</v>
      </c>
      <c r="B49" s="54" t="s">
        <v>77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1364</v>
      </c>
    </row>
    <row r="2" customFormat="false" ht="15" hidden="false" customHeight="false" outlineLevel="0" collapsed="false">
      <c r="A2" s="51" t="s">
        <v>1365</v>
      </c>
    </row>
    <row r="4" customFormat="false" ht="15" hidden="false" customHeight="false" outlineLevel="0" collapsed="false">
      <c r="A4" s="52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2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2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2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1367</v>
      </c>
      <c r="B10" s="54" t="s">
        <v>764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1368</v>
      </c>
      <c r="B11" s="54" t="s">
        <v>1369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1370</v>
      </c>
      <c r="B12" s="54" t="s">
        <v>1369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1371</v>
      </c>
      <c r="B13" s="54" t="s">
        <v>1369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1372</v>
      </c>
      <c r="B14" s="54" t="s">
        <v>1369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1373</v>
      </c>
      <c r="B15" s="54" t="s">
        <v>81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1374</v>
      </c>
      <c r="B16" s="54" t="s">
        <v>81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1375</v>
      </c>
      <c r="B17" s="54" t="s">
        <v>772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1376</v>
      </c>
      <c r="B18" s="54" t="s">
        <v>772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1377</v>
      </c>
      <c r="B19" s="54" t="s">
        <v>772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6.85" hidden="false" customHeight="false" outlineLevel="0" collapsed="false">
      <c r="A20" s="5" t="s">
        <v>1378</v>
      </c>
      <c r="B20" s="54" t="s">
        <v>772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9.85" hidden="false" customHeight="false" outlineLevel="0" collapsed="false">
      <c r="A21" s="5" t="s">
        <v>1379</v>
      </c>
      <c r="B21" s="54" t="s">
        <v>77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1380</v>
      </c>
      <c r="B22" s="54" t="s">
        <v>77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1381</v>
      </c>
      <c r="B23" s="54" t="s">
        <v>77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1382</v>
      </c>
      <c r="B24" s="54" t="s">
        <v>77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1383</v>
      </c>
      <c r="B25" s="54" t="s">
        <v>77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1367</v>
      </c>
      <c r="B28" s="54" t="s">
        <v>764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1385</v>
      </c>
      <c r="B29" s="54" t="s">
        <v>1369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1386</v>
      </c>
      <c r="B30" s="54" t="s">
        <v>1369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1371</v>
      </c>
      <c r="B31" s="54" t="s">
        <v>1369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1372</v>
      </c>
      <c r="B32" s="54" t="s">
        <v>1369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1373</v>
      </c>
      <c r="B33" s="54" t="s">
        <v>81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1374</v>
      </c>
      <c r="B34" s="54" t="s">
        <v>81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1375</v>
      </c>
      <c r="B35" s="54" t="s">
        <v>772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1387</v>
      </c>
      <c r="B36" s="54" t="s">
        <v>772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1377</v>
      </c>
      <c r="B37" s="54" t="s">
        <v>772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6.85" hidden="false" customHeight="false" outlineLevel="0" collapsed="false">
      <c r="A38" s="5" t="s">
        <v>1388</v>
      </c>
      <c r="B38" s="54" t="s">
        <v>772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9.85" hidden="false" customHeight="false" outlineLevel="0" collapsed="false">
      <c r="A39" s="5" t="s">
        <v>1379</v>
      </c>
      <c r="B39" s="54" t="s">
        <v>77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1380</v>
      </c>
      <c r="B40" s="54" t="s">
        <v>77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1381</v>
      </c>
      <c r="B41" s="54" t="s">
        <v>77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1382</v>
      </c>
      <c r="B42" s="54" t="s">
        <v>77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1383</v>
      </c>
      <c r="B43" s="54" t="s">
        <v>77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1389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1367</v>
      </c>
      <c r="B46" s="54" t="s">
        <v>764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1390</v>
      </c>
      <c r="B47" s="54" t="s">
        <v>1369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1391</v>
      </c>
      <c r="B48" s="54" t="s">
        <v>1369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1371</v>
      </c>
      <c r="B49" s="54" t="s">
        <v>1369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1372</v>
      </c>
      <c r="B50" s="54" t="s">
        <v>1369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1373</v>
      </c>
      <c r="B51" s="54" t="s">
        <v>81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1374</v>
      </c>
      <c r="B52" s="54" t="s">
        <v>81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1375</v>
      </c>
      <c r="B53" s="54" t="s">
        <v>772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1392</v>
      </c>
      <c r="B54" s="54" t="s">
        <v>772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1377</v>
      </c>
      <c r="B55" s="54" t="s">
        <v>772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6.85" hidden="false" customHeight="false" outlineLevel="0" collapsed="false">
      <c r="A56" s="5" t="s">
        <v>1393</v>
      </c>
      <c r="B56" s="54" t="s">
        <v>772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9.85" hidden="false" customHeight="false" outlineLevel="0" collapsed="false">
      <c r="A57" s="5" t="s">
        <v>1379</v>
      </c>
      <c r="B57" s="54" t="s">
        <v>77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1380</v>
      </c>
      <c r="B58" s="54" t="s">
        <v>77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1381</v>
      </c>
      <c r="B59" s="54" t="s">
        <v>77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1382</v>
      </c>
      <c r="B60" s="54" t="s">
        <v>77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1383</v>
      </c>
      <c r="B61" s="54" t="s">
        <v>77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1394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6.85" hidden="false" customHeight="false" outlineLevel="0" collapsed="false">
      <c r="A64" s="6" t="s">
        <v>1395</v>
      </c>
      <c r="B64" s="54" t="s">
        <v>1369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1396</v>
      </c>
      <c r="B65" s="54" t="s">
        <v>1369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1397</v>
      </c>
      <c r="B66" s="54" t="s">
        <v>1369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1398</v>
      </c>
      <c r="B67" s="54" t="s">
        <v>1369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1399</v>
      </c>
      <c r="B68" s="54" t="s">
        <v>1369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1400</v>
      </c>
      <c r="B69" s="54" t="s">
        <v>1369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1401</v>
      </c>
      <c r="B70" s="54" t="s">
        <v>1369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1402</v>
      </c>
      <c r="B71" s="54" t="s">
        <v>1369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1403</v>
      </c>
      <c r="B72" s="54" t="s">
        <v>1369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1404</v>
      </c>
      <c r="B73" s="54" t="s">
        <v>81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1405</v>
      </c>
      <c r="B74" s="54" t="s">
        <v>772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1406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2" t="s">
        <v>1407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1408</v>
      </c>
      <c r="B78" s="54" t="s">
        <v>400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1409</v>
      </c>
      <c r="B79" s="54" t="s">
        <v>400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1410</v>
      </c>
      <c r="B80" s="54" t="s">
        <v>400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1411</v>
      </c>
      <c r="B81" s="54" t="s">
        <v>81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1412</v>
      </c>
      <c r="B82" s="54" t="s">
        <v>81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1413</v>
      </c>
      <c r="B83" s="54" t="s">
        <v>81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1414</v>
      </c>
      <c r="B84" s="54" t="s">
        <v>81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1415</v>
      </c>
      <c r="B85" s="54" t="s">
        <v>81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1416</v>
      </c>
      <c r="B86" s="54" t="s">
        <v>81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1417</v>
      </c>
    </row>
    <row r="89" customFormat="false" ht="15" hidden="false" customHeight="false" outlineLevel="0" collapsed="false">
      <c r="A89" s="68" t="s">
        <v>1418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1419</v>
      </c>
      <c r="B90" s="54" t="s">
        <v>1369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1420</v>
      </c>
      <c r="B91" s="54" t="s">
        <v>1369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1421</v>
      </c>
      <c r="B92" s="54" t="s">
        <v>1369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1422</v>
      </c>
      <c r="B93" s="54" t="s">
        <v>1369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2" t="s">
        <v>1423</v>
      </c>
    </row>
    <row r="96" customFormat="false" ht="15" hidden="false" customHeight="false" outlineLevel="0" collapsed="false">
      <c r="A96" s="51" t="s">
        <v>1424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1" t="s">
        <v>1425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1" t="s">
        <v>1426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1" t="s">
        <v>1427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0" t="s">
        <v>1428</v>
      </c>
    </row>
    <row r="2" customFormat="false" ht="15" hidden="false" customHeight="false" outlineLevel="0" collapsed="false">
      <c r="A2" s="66" t="s">
        <v>1429</v>
      </c>
    </row>
    <row r="4" customFormat="false" ht="29.85" hidden="false" customHeight="false" outlineLevel="0" collapsed="false">
      <c r="A4" s="76" t="s">
        <v>1430</v>
      </c>
      <c r="B4" s="76" t="s">
        <v>301</v>
      </c>
      <c r="C4" s="77" t="s">
        <v>1431</v>
      </c>
      <c r="D4" s="76" t="s">
        <v>1432</v>
      </c>
      <c r="E4" s="76" t="s">
        <v>1433</v>
      </c>
      <c r="F4" s="76" t="s">
        <v>1432</v>
      </c>
      <c r="G4" s="76" t="s">
        <v>302</v>
      </c>
    </row>
    <row r="5" customFormat="false" ht="15" hidden="false" customHeight="false" outlineLevel="0" collapsed="false">
      <c r="A5" s="53" t="s">
        <v>63</v>
      </c>
      <c r="B5" s="104" t="s">
        <v>585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1434</v>
      </c>
    </row>
    <row r="6" customFormat="false" ht="15" hidden="false" customHeight="false" outlineLevel="0" collapsed="false">
      <c r="A6" s="53" t="s">
        <v>1435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1436</v>
      </c>
    </row>
    <row r="7" customFormat="false" ht="15" hidden="false" customHeight="false" outlineLevel="0" collapsed="false">
      <c r="A7" s="53" t="s">
        <v>1437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1438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1439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1440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585</v>
      </c>
      <c r="F10" s="54" t="s">
        <v>585</v>
      </c>
      <c r="G10" s="86" t="s">
        <v>1441</v>
      </c>
    </row>
    <row r="11" customFormat="false" ht="15" hidden="false" customHeight="false" outlineLevel="0" collapsed="false">
      <c r="A11" s="53" t="s">
        <v>1442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585</v>
      </c>
      <c r="F11" s="54" t="s">
        <v>585</v>
      </c>
      <c r="G11" s="86"/>
    </row>
    <row r="12" customFormat="false" ht="15" hidden="false" customHeight="false" outlineLevel="0" collapsed="false">
      <c r="A12" s="53" t="s">
        <v>1443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1444</v>
      </c>
    </row>
    <row r="13" customFormat="false" ht="15" hidden="false" customHeight="false" outlineLevel="0" collapsed="false">
      <c r="A13" s="53" t="s">
        <v>1445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1446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1447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1448</v>
      </c>
      <c r="B16" s="104" t="s">
        <v>585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585</v>
      </c>
      <c r="F16" s="54" t="s">
        <v>585</v>
      </c>
      <c r="G16" s="80" t="s">
        <v>1449</v>
      </c>
    </row>
    <row r="17" customFormat="false" ht="15" hidden="false" customHeight="false" outlineLevel="0" collapsed="false">
      <c r="A17" s="54" t="s">
        <v>1450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1451</v>
      </c>
    </row>
    <row r="18" customFormat="false" ht="26.85" hidden="false" customHeight="false" outlineLevel="0" collapsed="false">
      <c r="A18" s="54" t="s">
        <v>1452</v>
      </c>
      <c r="B18" s="73" t="n">
        <v>0.5</v>
      </c>
      <c r="G18" s="86" t="s">
        <v>1453</v>
      </c>
    </row>
    <row r="19" customFormat="false" ht="15" hidden="false" customHeight="false" outlineLevel="0" collapsed="false">
      <c r="A19" s="52" t="s">
        <v>1454</v>
      </c>
    </row>
    <row r="20" customFormat="false" ht="15" hidden="false" customHeight="false" outlineLevel="0" collapsed="false">
      <c r="A20" s="53" t="s">
        <v>1455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1" t="s">
        <v>1456</v>
      </c>
    </row>
    <row r="21" customFormat="false" ht="15" hidden="false" customHeight="false" outlineLevel="0" collapsed="false">
      <c r="A21" s="53" t="s">
        <v>1457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1" t="s">
        <v>1456</v>
      </c>
    </row>
    <row r="23" customFormat="false" ht="15" hidden="false" customHeight="false" outlineLevel="0" collapsed="false">
      <c r="A23" s="66" t="s">
        <v>1458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0" t="s">
        <v>1459</v>
      </c>
    </row>
    <row r="2" customFormat="false" ht="15" hidden="false" customHeight="false" outlineLevel="0" collapsed="false">
      <c r="A2" s="66" t="s">
        <v>1460</v>
      </c>
    </row>
    <row r="4" customFormat="false" ht="15" hidden="false" customHeight="false" outlineLevel="0" collapsed="false">
      <c r="A4" s="68" t="s">
        <v>1461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1462</v>
      </c>
      <c r="B5" s="53" t="s">
        <v>73</v>
      </c>
      <c r="C5" s="59" t="n">
        <v>2</v>
      </c>
      <c r="H5" s="51" t="s">
        <v>70</v>
      </c>
      <c r="I5" s="66" t="s">
        <v>1463</v>
      </c>
    </row>
    <row r="6" customFormat="false" ht="15" hidden="false" customHeight="false" outlineLevel="0" collapsed="false">
      <c r="A6" s="53" t="s">
        <v>1464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1465</v>
      </c>
      <c r="B7" s="54" t="s">
        <v>81</v>
      </c>
      <c r="C7" s="154" t="n">
        <f aca="false">Tech_Registry!O16*Tech_Registry!N16</f>
        <v>0</v>
      </c>
      <c r="I7" s="51" t="s">
        <v>1466</v>
      </c>
    </row>
    <row r="8" customFormat="false" ht="15" hidden="false" customHeight="false" outlineLevel="0" collapsed="false">
      <c r="A8" s="53" t="s">
        <v>1467</v>
      </c>
      <c r="B8" s="54" t="s">
        <v>77</v>
      </c>
      <c r="C8" s="58" t="n">
        <v>0.5</v>
      </c>
      <c r="H8" s="51" t="s">
        <v>70</v>
      </c>
      <c r="I8" s="51" t="s">
        <v>1468</v>
      </c>
    </row>
    <row r="9" customFormat="false" ht="15" hidden="false" customHeight="false" outlineLevel="0" collapsed="false">
      <c r="A9" s="68" t="s">
        <v>1469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2" t="s">
        <v>1470</v>
      </c>
    </row>
    <row r="11" customFormat="false" ht="30" hidden="false" customHeight="true" outlineLevel="0" collapsed="false">
      <c r="A11" s="52" t="s">
        <v>60</v>
      </c>
      <c r="B11" s="52" t="s">
        <v>61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2" t="s">
        <v>65</v>
      </c>
      <c r="I11" s="52" t="s">
        <v>302</v>
      </c>
    </row>
    <row r="12" customFormat="false" ht="26.85" hidden="false" customHeight="false" outlineLevel="0" collapsed="false">
      <c r="A12" s="53" t="s">
        <v>1471</v>
      </c>
      <c r="B12" s="54" t="s">
        <v>81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1" t="s">
        <v>78</v>
      </c>
      <c r="I12" s="86" t="s">
        <v>1472</v>
      </c>
    </row>
    <row r="13" customFormat="false" ht="15" hidden="false" customHeight="false" outlineLevel="0" collapsed="false">
      <c r="A13" s="53" t="s">
        <v>1473</v>
      </c>
      <c r="B13" s="54" t="s">
        <v>77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1" t="s">
        <v>1474</v>
      </c>
      <c r="I13" s="80" t="s">
        <v>1475</v>
      </c>
    </row>
    <row r="14" customFormat="false" ht="15" hidden="false" customHeight="false" outlineLevel="0" collapsed="false">
      <c r="A14" s="53" t="s">
        <v>1476</v>
      </c>
      <c r="B14" s="54" t="s">
        <v>81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1" t="s">
        <v>78</v>
      </c>
      <c r="I14" s="86" t="s">
        <v>1477</v>
      </c>
    </row>
    <row r="15" customFormat="false" ht="15" hidden="false" customHeight="false" outlineLevel="0" collapsed="false">
      <c r="A15" s="53" t="s">
        <v>1478</v>
      </c>
      <c r="B15" s="54" t="s">
        <v>81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1" t="s">
        <v>78</v>
      </c>
      <c r="I15" s="86" t="s">
        <v>1479</v>
      </c>
    </row>
    <row r="16" customFormat="false" ht="15" hidden="false" customHeight="false" outlineLevel="0" collapsed="false">
      <c r="A16" s="53" t="s">
        <v>1480</v>
      </c>
      <c r="B16" s="53" t="s">
        <v>1481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1" t="s">
        <v>78</v>
      </c>
      <c r="I16" s="86" t="s">
        <v>1482</v>
      </c>
    </row>
    <row r="17" customFormat="false" ht="15" hidden="false" customHeight="false" outlineLevel="0" collapsed="false">
      <c r="A17" s="53" t="s">
        <v>1483</v>
      </c>
      <c r="B17" s="53" t="s">
        <v>293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1" t="s">
        <v>78</v>
      </c>
      <c r="I17" s="86" t="s">
        <v>1484</v>
      </c>
    </row>
    <row r="18" customFormat="false" ht="15" hidden="false" customHeight="false" outlineLevel="0" collapsed="false">
      <c r="A18" s="53" t="s">
        <v>1485</v>
      </c>
      <c r="B18" s="54" t="s">
        <v>1126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1" t="s">
        <v>82</v>
      </c>
      <c r="I18" s="80" t="s">
        <v>1486</v>
      </c>
    </row>
    <row r="19" customFormat="false" ht="26.85" hidden="false" customHeight="false" outlineLevel="0" collapsed="false">
      <c r="A19" s="53" t="s">
        <v>1487</v>
      </c>
      <c r="B19" s="54" t="s">
        <v>81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1" t="s">
        <v>78</v>
      </c>
      <c r="I19" s="80" t="s">
        <v>1488</v>
      </c>
    </row>
    <row r="20" customFormat="false" ht="15" hidden="false" customHeight="false" outlineLevel="0" collapsed="false">
      <c r="A20" s="53" t="s">
        <v>1489</v>
      </c>
      <c r="B20" s="53" t="s">
        <v>1318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1" t="s">
        <v>113</v>
      </c>
      <c r="I20" s="86" t="s">
        <v>1490</v>
      </c>
    </row>
    <row r="22" customFormat="false" ht="15" hidden="false" customHeight="false" outlineLevel="0" collapsed="false">
      <c r="A22" s="52" t="s">
        <v>1491</v>
      </c>
    </row>
    <row r="23" customFormat="false" ht="30" hidden="false" customHeight="true" outlineLevel="0" collapsed="false">
      <c r="A23" s="52" t="s">
        <v>60</v>
      </c>
      <c r="B23" s="52" t="s">
        <v>61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2" t="s">
        <v>65</v>
      </c>
      <c r="I23" s="52" t="s">
        <v>302</v>
      </c>
    </row>
    <row r="24" customFormat="false" ht="15" hidden="false" customHeight="false" outlineLevel="0" collapsed="false">
      <c r="A24" s="53" t="s">
        <v>1471</v>
      </c>
      <c r="B24" s="54" t="s">
        <v>81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1" t="s">
        <v>78</v>
      </c>
      <c r="I24" s="86"/>
    </row>
    <row r="25" customFormat="false" ht="15" hidden="false" customHeight="false" outlineLevel="0" collapsed="false">
      <c r="A25" s="53" t="s">
        <v>1473</v>
      </c>
      <c r="B25" s="54" t="s">
        <v>77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1" t="s">
        <v>78</v>
      </c>
      <c r="I25" s="86"/>
    </row>
    <row r="26" customFormat="false" ht="15" hidden="false" customHeight="false" outlineLevel="0" collapsed="false">
      <c r="A26" s="53" t="s">
        <v>1476</v>
      </c>
      <c r="B26" s="54" t="s">
        <v>81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1" t="s">
        <v>78</v>
      </c>
      <c r="I26" s="86"/>
    </row>
    <row r="27" customFormat="false" ht="15" hidden="false" customHeight="false" outlineLevel="0" collapsed="false">
      <c r="A27" s="53" t="s">
        <v>1478</v>
      </c>
      <c r="B27" s="54" t="s">
        <v>81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1" t="s">
        <v>78</v>
      </c>
      <c r="I27" s="86"/>
    </row>
    <row r="28" customFormat="false" ht="15" hidden="false" customHeight="false" outlineLevel="0" collapsed="false">
      <c r="A28" s="53" t="s">
        <v>1480</v>
      </c>
      <c r="B28" s="53" t="s">
        <v>1481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1" t="s">
        <v>78</v>
      </c>
      <c r="I28" s="86"/>
    </row>
    <row r="29" customFormat="false" ht="26.85" hidden="false" customHeight="false" outlineLevel="0" collapsed="false">
      <c r="A29" s="53" t="s">
        <v>1483</v>
      </c>
      <c r="B29" s="53" t="s">
        <v>293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1" t="s">
        <v>82</v>
      </c>
      <c r="I29" s="80" t="s">
        <v>1492</v>
      </c>
    </row>
    <row r="30" customFormat="false" ht="15" hidden="false" customHeight="false" outlineLevel="0" collapsed="false">
      <c r="A30" s="53" t="s">
        <v>1485</v>
      </c>
      <c r="B30" s="54" t="s">
        <v>1126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1" t="s">
        <v>78</v>
      </c>
      <c r="I30" s="86"/>
    </row>
    <row r="31" customFormat="false" ht="15" hidden="false" customHeight="false" outlineLevel="0" collapsed="false">
      <c r="A31" s="53" t="s">
        <v>1487</v>
      </c>
      <c r="B31" s="54" t="s">
        <v>81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1" t="s">
        <v>78</v>
      </c>
      <c r="I31" s="80" t="s">
        <v>1493</v>
      </c>
    </row>
    <row r="32" customFormat="false" ht="15" hidden="false" customHeight="false" outlineLevel="0" collapsed="false">
      <c r="A32" s="53" t="s">
        <v>1489</v>
      </c>
      <c r="B32" s="53" t="s">
        <v>1318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1" t="s">
        <v>78</v>
      </c>
      <c r="I32" s="86" t="s">
        <v>1494</v>
      </c>
    </row>
    <row r="34" customFormat="false" ht="15" hidden="false" customHeight="false" outlineLevel="0" collapsed="false">
      <c r="A34" s="52" t="s">
        <v>1495</v>
      </c>
    </row>
    <row r="35" customFormat="false" ht="30" hidden="false" customHeight="true" outlineLevel="0" collapsed="false">
      <c r="A35" s="52" t="s">
        <v>60</v>
      </c>
      <c r="B35" s="52" t="s">
        <v>61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1471</v>
      </c>
      <c r="B36" s="54" t="s">
        <v>81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1473</v>
      </c>
      <c r="B37" s="54" t="s">
        <v>77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1476</v>
      </c>
      <c r="B38" s="54" t="s">
        <v>81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1478</v>
      </c>
      <c r="B39" s="54" t="s">
        <v>81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1480</v>
      </c>
      <c r="B40" s="53" t="s">
        <v>1481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1483</v>
      </c>
      <c r="B41" s="53" t="s">
        <v>293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1485</v>
      </c>
      <c r="B42" s="54" t="s">
        <v>1126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1487</v>
      </c>
      <c r="B43" s="54" t="s">
        <v>81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1489</v>
      </c>
      <c r="B44" s="53" t="s">
        <v>1318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1496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2" t="s">
        <v>334</v>
      </c>
      <c r="B47" s="52" t="s">
        <v>61</v>
      </c>
      <c r="C47" s="10" t="s">
        <v>225</v>
      </c>
      <c r="D47" s="10" t="s">
        <v>226</v>
      </c>
      <c r="E47" s="10" t="s">
        <v>227</v>
      </c>
      <c r="H47" s="52" t="s">
        <v>65</v>
      </c>
      <c r="I47" s="52" t="s">
        <v>302</v>
      </c>
    </row>
    <row r="48" customFormat="false" ht="26.85" hidden="false" customHeight="false" outlineLevel="0" collapsed="false">
      <c r="A48" s="54" t="s">
        <v>1497</v>
      </c>
      <c r="B48" s="54" t="s">
        <v>1126</v>
      </c>
      <c r="C48" s="70" t="n">
        <v>1.5</v>
      </c>
      <c r="D48" s="70" t="n">
        <v>8</v>
      </c>
      <c r="E48" s="70" t="n">
        <v>16</v>
      </c>
      <c r="H48" s="51" t="s">
        <v>82</v>
      </c>
      <c r="I48" s="80" t="s">
        <v>1498</v>
      </c>
    </row>
    <row r="49" customFormat="false" ht="15" hidden="false" customHeight="false" outlineLevel="0" collapsed="false">
      <c r="A49" s="54" t="s">
        <v>1499</v>
      </c>
      <c r="B49" s="54" t="s">
        <v>1126</v>
      </c>
      <c r="C49" s="70" t="n">
        <v>0.5</v>
      </c>
      <c r="D49" s="70" t="n">
        <v>4</v>
      </c>
      <c r="E49" s="70" t="n">
        <v>11</v>
      </c>
      <c r="H49" s="51" t="s">
        <v>82</v>
      </c>
      <c r="I49" s="86"/>
    </row>
    <row r="50" customFormat="false" ht="15" hidden="false" customHeight="false" outlineLevel="0" collapsed="false">
      <c r="A50" s="54" t="s">
        <v>1500</v>
      </c>
      <c r="B50" s="54" t="s">
        <v>1126</v>
      </c>
      <c r="C50" s="70" t="n">
        <v>4</v>
      </c>
      <c r="D50" s="70" t="n">
        <v>12</v>
      </c>
      <c r="E50" s="70" t="n">
        <v>40</v>
      </c>
      <c r="H50" s="51" t="s">
        <v>82</v>
      </c>
      <c r="I50" s="80" t="s">
        <v>1501</v>
      </c>
    </row>
    <row r="51" customFormat="false" ht="26.85" hidden="false" customHeight="false" outlineLevel="0" collapsed="false">
      <c r="A51" s="53" t="s">
        <v>1502</v>
      </c>
      <c r="B51" s="54" t="s">
        <v>81</v>
      </c>
      <c r="C51" s="71" t="n">
        <v>0.75</v>
      </c>
      <c r="D51" s="71" t="n">
        <v>0.65</v>
      </c>
      <c r="E51" s="71" t="n">
        <v>1</v>
      </c>
      <c r="H51" s="51" t="s">
        <v>256</v>
      </c>
      <c r="I51" s="86" t="s">
        <v>1503</v>
      </c>
    </row>
    <row r="52" customFormat="false" ht="30" hidden="false" customHeight="true" outlineLevel="0" collapsed="false">
      <c r="A52" s="52" t="s">
        <v>1504</v>
      </c>
      <c r="B52" s="52" t="s">
        <v>61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1505</v>
      </c>
      <c r="B53" s="54" t="s">
        <v>1126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1" t="s">
        <v>78</v>
      </c>
      <c r="I53" s="66" t="s">
        <v>1506</v>
      </c>
    </row>
    <row r="54" customFormat="false" ht="15" hidden="false" customHeight="false" outlineLevel="0" collapsed="false">
      <c r="A54" s="53" t="s">
        <v>1507</v>
      </c>
      <c r="B54" s="53"/>
      <c r="C54" s="98" t="s">
        <v>1508</v>
      </c>
      <c r="D54" s="98" t="s">
        <v>1508</v>
      </c>
      <c r="E54" s="98" t="s">
        <v>1508</v>
      </c>
      <c r="F54" s="98" t="s">
        <v>1509</v>
      </c>
      <c r="G54" s="98" t="s">
        <v>1509</v>
      </c>
      <c r="I54" s="51" t="s">
        <v>1510</v>
      </c>
    </row>
    <row r="55" customFormat="false" ht="15" hidden="false" customHeight="false" outlineLevel="0" collapsed="false">
      <c r="A55" s="53" t="s">
        <v>1511</v>
      </c>
      <c r="B55" s="54" t="s">
        <v>77</v>
      </c>
      <c r="C55" s="58"/>
      <c r="D55" s="58"/>
      <c r="E55" s="58"/>
      <c r="F55" s="58"/>
      <c r="G55" s="58"/>
      <c r="I55" s="66" t="s">
        <v>1512</v>
      </c>
    </row>
    <row r="56" customFormat="false" ht="15" hidden="false" customHeight="false" outlineLevel="0" collapsed="false">
      <c r="A56" s="53" t="s">
        <v>1513</v>
      </c>
      <c r="B56" s="54" t="s">
        <v>77</v>
      </c>
      <c r="C56" s="58"/>
      <c r="D56" s="58"/>
      <c r="E56" s="58"/>
      <c r="F56" s="58"/>
      <c r="G56" s="58"/>
      <c r="I56" s="66" t="s">
        <v>1512</v>
      </c>
    </row>
    <row r="57" customFormat="false" ht="15" hidden="false" customHeight="false" outlineLevel="0" collapsed="false">
      <c r="A57" s="53" t="s">
        <v>1514</v>
      </c>
      <c r="B57" s="54" t="s">
        <v>77</v>
      </c>
      <c r="C57" s="58"/>
      <c r="D57" s="58"/>
      <c r="E57" s="58"/>
      <c r="F57" s="58"/>
      <c r="G57" s="58"/>
      <c r="I57" s="66" t="s">
        <v>1512</v>
      </c>
    </row>
    <row r="59" customFormat="false" ht="15" hidden="false" customHeight="false" outlineLevel="0" collapsed="false">
      <c r="A59" s="68" t="s">
        <v>1515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2" t="s">
        <v>60</v>
      </c>
      <c r="C60" s="52" t="s">
        <v>1113</v>
      </c>
      <c r="D60" s="52" t="s">
        <v>1114</v>
      </c>
      <c r="I60" s="52" t="s">
        <v>302</v>
      </c>
    </row>
    <row r="61" customFormat="false" ht="15" hidden="false" customHeight="false" outlineLevel="0" collapsed="false">
      <c r="A61" s="53" t="s">
        <v>1471</v>
      </c>
      <c r="C61" s="71" t="n">
        <v>0.5</v>
      </c>
      <c r="D61" s="71" t="n">
        <v>1</v>
      </c>
      <c r="H61" s="51" t="s">
        <v>78</v>
      </c>
      <c r="I61" s="66"/>
    </row>
    <row r="62" customFormat="false" ht="15" hidden="false" customHeight="false" outlineLevel="0" collapsed="false">
      <c r="A62" s="53" t="s">
        <v>1476</v>
      </c>
      <c r="C62" s="71" t="n">
        <v>0.6</v>
      </c>
      <c r="D62" s="71" t="n">
        <v>1</v>
      </c>
      <c r="H62" s="51" t="s">
        <v>78</v>
      </c>
      <c r="I62" s="66"/>
    </row>
    <row r="63" customFormat="false" ht="15" hidden="false" customHeight="false" outlineLevel="0" collapsed="false">
      <c r="A63" s="53" t="s">
        <v>1473</v>
      </c>
      <c r="C63" s="58" t="n">
        <v>0.5</v>
      </c>
      <c r="D63" s="58" t="n">
        <v>1</v>
      </c>
      <c r="H63" s="51" t="s">
        <v>78</v>
      </c>
      <c r="I63" s="66"/>
    </row>
    <row r="64" customFormat="false" ht="15" hidden="false" customHeight="false" outlineLevel="0" collapsed="false">
      <c r="A64" s="53" t="s">
        <v>1516</v>
      </c>
      <c r="C64" s="71" t="n">
        <v>0.5</v>
      </c>
      <c r="D64" s="71" t="n">
        <v>1</v>
      </c>
      <c r="H64" s="51" t="s">
        <v>78</v>
      </c>
      <c r="I64" s="66"/>
    </row>
    <row r="65" customFormat="false" ht="15" hidden="false" customHeight="false" outlineLevel="0" collapsed="false">
      <c r="A65" s="53" t="s">
        <v>1517</v>
      </c>
      <c r="C65" s="71" t="n">
        <v>1</v>
      </c>
      <c r="D65" s="71" t="n">
        <v>4</v>
      </c>
      <c r="H65" s="51" t="s">
        <v>78</v>
      </c>
      <c r="I65" s="51" t="s">
        <v>1518</v>
      </c>
    </row>
    <row r="66" customFormat="false" ht="15" hidden="false" customHeight="false" outlineLevel="0" collapsed="false">
      <c r="A66" s="53" t="s">
        <v>1485</v>
      </c>
      <c r="C66" s="141" t="n">
        <v>0.0833333333333333</v>
      </c>
      <c r="D66" s="141" t="n">
        <v>2</v>
      </c>
      <c r="H66" s="51" t="s">
        <v>78</v>
      </c>
      <c r="I66" s="51" t="s">
        <v>1126</v>
      </c>
    </row>
    <row r="68" customFormat="false" ht="15" hidden="false" customHeight="false" outlineLevel="0" collapsed="false">
      <c r="A68" s="68" t="s">
        <v>1519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2" t="s">
        <v>1520</v>
      </c>
      <c r="B69" s="52" t="s">
        <v>61</v>
      </c>
      <c r="C69" s="52" t="s">
        <v>1521</v>
      </c>
      <c r="D69" s="52" t="s">
        <v>1522</v>
      </c>
      <c r="E69" s="10" t="s">
        <v>1523</v>
      </c>
      <c r="H69" s="52" t="s">
        <v>65</v>
      </c>
      <c r="I69" s="52" t="s">
        <v>66</v>
      </c>
    </row>
    <row r="70" customFormat="false" ht="39.55" hidden="false" customHeight="false" outlineLevel="0" collapsed="false">
      <c r="A70" s="6" t="s">
        <v>1524</v>
      </c>
      <c r="C70" s="102" t="n">
        <f aca="false">SRC_HAR_003</f>
        <v>0.627</v>
      </c>
      <c r="D70" s="55" t="n">
        <f aca="false">SRC_HAR_004</f>
        <v>26098</v>
      </c>
      <c r="H70" s="80" t="s">
        <v>1525</v>
      </c>
      <c r="I70" s="80" t="s">
        <v>1526</v>
      </c>
    </row>
    <row r="71" customFormat="false" ht="29.85" hidden="false" customHeight="false" outlineLevel="0" collapsed="false">
      <c r="A71" s="6" t="s">
        <v>1527</v>
      </c>
      <c r="C71" s="102" t="n">
        <f aca="false">SRC_HAR_005</f>
        <v>0.986</v>
      </c>
      <c r="D71" s="55" t="n">
        <f aca="false">SRC_HAR_006</f>
        <v>17332</v>
      </c>
      <c r="H71" s="80" t="s">
        <v>1528</v>
      </c>
      <c r="I71" s="80" t="s">
        <v>1526</v>
      </c>
    </row>
    <row r="72" customFormat="false" ht="29.85" hidden="false" customHeight="false" outlineLevel="0" collapsed="false">
      <c r="A72" s="6" t="s">
        <v>1529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1528</v>
      </c>
      <c r="I72" s="80" t="s">
        <v>1530</v>
      </c>
    </row>
    <row r="73" customFormat="false" ht="26.85" hidden="false" customHeight="false" outlineLevel="0" collapsed="false">
      <c r="A73" s="6" t="s">
        <v>1531</v>
      </c>
      <c r="C73" s="102" t="n">
        <f aca="false">SRC_HAR_012</f>
        <v>0.302</v>
      </c>
      <c r="H73" s="80" t="s">
        <v>1528</v>
      </c>
      <c r="I73" s="80" t="s">
        <v>1526</v>
      </c>
    </row>
    <row r="74" customFormat="false" ht="24.6" hidden="false" customHeight="false" outlineLevel="0" collapsed="false">
      <c r="A74" s="6" t="s">
        <v>1532</v>
      </c>
      <c r="C74" s="102" t="n">
        <f aca="false">SRC_HAR_015</f>
        <v>1</v>
      </c>
      <c r="H74" s="80" t="s">
        <v>1533</v>
      </c>
      <c r="I74" s="80" t="s">
        <v>1534</v>
      </c>
    </row>
    <row r="75" customFormat="false" ht="26.85" hidden="false" customHeight="false" outlineLevel="0" collapsed="false">
      <c r="A75" s="6" t="s">
        <v>1535</v>
      </c>
      <c r="E75" s="90" t="n">
        <f aca="false">SRC_HAR_002/SRC_HAR_001</f>
        <v>3.75</v>
      </c>
      <c r="H75" s="80" t="s">
        <v>1536</v>
      </c>
      <c r="I75" s="80" t="s">
        <v>1537</v>
      </c>
    </row>
    <row r="76" customFormat="false" ht="15" hidden="false" customHeight="false" outlineLevel="0" collapsed="false">
      <c r="A76" s="10" t="s">
        <v>1538</v>
      </c>
      <c r="B76" s="52"/>
      <c r="C76" s="10" t="s">
        <v>1539</v>
      </c>
      <c r="D76" s="10" t="s">
        <v>1540</v>
      </c>
      <c r="E76" s="52" t="s">
        <v>1541</v>
      </c>
      <c r="F76" s="52" t="s">
        <v>1542</v>
      </c>
      <c r="H76" s="52" t="s">
        <v>65</v>
      </c>
      <c r="I76" s="52" t="s">
        <v>428</v>
      </c>
    </row>
    <row r="77" customFormat="false" ht="15" hidden="false" customHeight="false" outlineLevel="0" collapsed="false">
      <c r="A77" s="54" t="s">
        <v>1543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1" t="s">
        <v>1544</v>
      </c>
      <c r="I77" s="51" t="s">
        <v>1545</v>
      </c>
    </row>
    <row r="78" customFormat="false" ht="15" hidden="false" customHeight="false" outlineLevel="0" collapsed="false">
      <c r="A78" s="54" t="s">
        <v>1546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1" t="s">
        <v>1544</v>
      </c>
      <c r="I78" s="51" t="s">
        <v>1545</v>
      </c>
    </row>
    <row r="79" customFormat="false" ht="15" hidden="false" customHeight="false" outlineLevel="0" collapsed="false">
      <c r="A79" s="54" t="s">
        <v>1547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1" t="s">
        <v>1544</v>
      </c>
      <c r="I79" s="51" t="s">
        <v>1545</v>
      </c>
    </row>
    <row r="80" customFormat="false" ht="15" hidden="false" customHeight="false" outlineLevel="0" collapsed="false">
      <c r="A80" s="54" t="s">
        <v>1548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1" t="s">
        <v>1544</v>
      </c>
      <c r="I80" s="51" t="s">
        <v>1545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0" t="s">
        <v>1549</v>
      </c>
    </row>
    <row r="2" customFormat="false" ht="15" hidden="false" customHeight="false" outlineLevel="0" collapsed="false">
      <c r="A2" s="66" t="s">
        <v>1550</v>
      </c>
    </row>
    <row r="4" customFormat="false" ht="30" hidden="false" customHeight="true" outlineLevel="0" collapsed="false">
      <c r="A4" s="52" t="s">
        <v>334</v>
      </c>
      <c r="B4" s="52" t="s">
        <v>61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1551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2" t="s">
        <v>1552</v>
      </c>
    </row>
    <row r="7" customFormat="false" ht="15" hidden="false" customHeight="false" outlineLevel="0" collapsed="false">
      <c r="A7" s="5" t="s">
        <v>355</v>
      </c>
      <c r="B7" s="53" t="s">
        <v>356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1553</v>
      </c>
      <c r="B8" s="54" t="s">
        <v>255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1473</v>
      </c>
      <c r="B9" s="54" t="s">
        <v>77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1554</v>
      </c>
      <c r="B10" s="54" t="s">
        <v>77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1555</v>
      </c>
      <c r="B11" s="53" t="s">
        <v>293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1516</v>
      </c>
      <c r="B12" s="54" t="s">
        <v>81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382</v>
      </c>
      <c r="B13" s="54" t="s">
        <v>255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383</v>
      </c>
      <c r="B14" s="54" t="s">
        <v>255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1556</v>
      </c>
      <c r="B15" s="54" t="s">
        <v>255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1557</v>
      </c>
      <c r="B16" s="54" t="s">
        <v>255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1558</v>
      </c>
      <c r="B17" s="54" t="s">
        <v>81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388</v>
      </c>
      <c r="B18" s="54" t="s">
        <v>255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389</v>
      </c>
      <c r="B19" s="54" t="s">
        <v>255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390</v>
      </c>
      <c r="B20" s="54" t="s">
        <v>255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391</v>
      </c>
      <c r="B21" s="54" t="s">
        <v>255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2" t="s">
        <v>1559</v>
      </c>
    </row>
    <row r="24" customFormat="false" ht="15" hidden="false" customHeight="false" outlineLevel="0" collapsed="false">
      <c r="A24" s="5" t="s">
        <v>355</v>
      </c>
      <c r="B24" s="53" t="s">
        <v>356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1553</v>
      </c>
      <c r="B25" s="54" t="s">
        <v>255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1473</v>
      </c>
      <c r="B26" s="54" t="s">
        <v>77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1554</v>
      </c>
      <c r="B27" s="54" t="s">
        <v>77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1555</v>
      </c>
      <c r="B28" s="53" t="s">
        <v>293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1516</v>
      </c>
      <c r="B29" s="54" t="s">
        <v>81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382</v>
      </c>
      <c r="B30" s="54" t="s">
        <v>255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383</v>
      </c>
      <c r="B31" s="54" t="s">
        <v>255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1556</v>
      </c>
      <c r="B32" s="54" t="s">
        <v>255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1557</v>
      </c>
      <c r="B33" s="54" t="s">
        <v>255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1558</v>
      </c>
      <c r="B34" s="54" t="s">
        <v>81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388</v>
      </c>
      <c r="B35" s="54" t="s">
        <v>255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389</v>
      </c>
      <c r="B36" s="54" t="s">
        <v>255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390</v>
      </c>
      <c r="B37" s="54" t="s">
        <v>255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391</v>
      </c>
      <c r="B38" s="54" t="s">
        <v>255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2" t="s">
        <v>1560</v>
      </c>
    </row>
    <row r="41" customFormat="false" ht="15" hidden="false" customHeight="false" outlineLevel="0" collapsed="false">
      <c r="A41" s="5" t="s">
        <v>388</v>
      </c>
      <c r="B41" s="54" t="s">
        <v>255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389</v>
      </c>
      <c r="B42" s="54" t="s">
        <v>255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390</v>
      </c>
      <c r="B43" s="54" t="s">
        <v>255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391</v>
      </c>
      <c r="B44" s="54" t="s">
        <v>255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1561</v>
      </c>
      <c r="B45" s="54" t="s">
        <v>81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1562</v>
      </c>
    </row>
    <row r="47" customFormat="false" ht="15" hidden="false" customHeight="false" outlineLevel="0" collapsed="false">
      <c r="A47" s="68" t="s">
        <v>1563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1564</v>
      </c>
      <c r="B48" s="54" t="s">
        <v>1126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1565</v>
      </c>
      <c r="B49" s="54" t="s">
        <v>1126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1566</v>
      </c>
      <c r="B50" s="54" t="s">
        <v>1126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1567</v>
      </c>
      <c r="B51" s="54" t="s">
        <v>81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1568</v>
      </c>
      <c r="B52" s="54" t="s">
        <v>81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1569</v>
      </c>
      <c r="B53" s="54" t="s">
        <v>81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1570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1571</v>
      </c>
      <c r="B56" s="54" t="s">
        <v>77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1572</v>
      </c>
      <c r="B57" s="54" t="s">
        <v>77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1573</v>
      </c>
      <c r="B58" s="54" t="s">
        <v>77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1574</v>
      </c>
      <c r="B59" s="54" t="s">
        <v>77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1575</v>
      </c>
      <c r="B60" s="54" t="s">
        <v>77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1576</v>
      </c>
      <c r="B61" s="54" t="s">
        <v>77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1577</v>
      </c>
      <c r="B62" s="54" t="s">
        <v>77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1578</v>
      </c>
      <c r="B63" s="54" t="s">
        <v>77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1579</v>
      </c>
      <c r="B64" s="54" t="s">
        <v>77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1580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1581</v>
      </c>
      <c r="B67" s="54" t="s">
        <v>400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1582</v>
      </c>
      <c r="B68" s="54" t="s">
        <v>400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1583</v>
      </c>
      <c r="B69" s="54" t="s">
        <v>400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1584</v>
      </c>
      <c r="B70" s="54" t="s">
        <v>400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1585</v>
      </c>
      <c r="B71" s="54" t="s">
        <v>400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1586</v>
      </c>
      <c r="B72" s="54" t="s">
        <v>400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1587</v>
      </c>
      <c r="B73" s="54" t="s">
        <v>400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1588</v>
      </c>
      <c r="B74" s="54" t="s">
        <v>400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1589</v>
      </c>
      <c r="B75" s="54" t="s">
        <v>400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1590</v>
      </c>
      <c r="B76" s="54" t="s">
        <v>400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1591</v>
      </c>
      <c r="B77" s="54" t="s">
        <v>400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1592</v>
      </c>
      <c r="B78" s="54" t="s">
        <v>400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1593</v>
      </c>
      <c r="B79" s="54" t="s">
        <v>400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1594</v>
      </c>
      <c r="B80" s="54" t="s">
        <v>400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1595</v>
      </c>
      <c r="B81" s="54" t="s">
        <v>400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1596</v>
      </c>
      <c r="B82" s="54" t="s">
        <v>400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1597</v>
      </c>
      <c r="B83" s="54" t="s">
        <v>400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1598</v>
      </c>
      <c r="B84" s="54" t="s">
        <v>400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1599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1581</v>
      </c>
      <c r="B87" s="54" t="s">
        <v>400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1582</v>
      </c>
      <c r="B88" s="54" t="s">
        <v>400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1583</v>
      </c>
      <c r="B89" s="54" t="s">
        <v>400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1584</v>
      </c>
      <c r="B90" s="54" t="s">
        <v>400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1585</v>
      </c>
      <c r="B91" s="54" t="s">
        <v>400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1586</v>
      </c>
      <c r="B92" s="54" t="s">
        <v>400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1587</v>
      </c>
      <c r="B93" s="54" t="s">
        <v>400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1588</v>
      </c>
      <c r="B94" s="54" t="s">
        <v>400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1589</v>
      </c>
      <c r="B95" s="54" t="s">
        <v>400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1590</v>
      </c>
      <c r="B96" s="54" t="s">
        <v>400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1591</v>
      </c>
      <c r="B97" s="54" t="s">
        <v>400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1592</v>
      </c>
      <c r="B98" s="54" t="s">
        <v>400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1593</v>
      </c>
      <c r="B99" s="54" t="s">
        <v>400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1594</v>
      </c>
      <c r="B100" s="54" t="s">
        <v>400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1595</v>
      </c>
      <c r="B101" s="54" t="s">
        <v>400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1596</v>
      </c>
      <c r="B102" s="54" t="s">
        <v>400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1597</v>
      </c>
      <c r="B103" s="54" t="s">
        <v>400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1598</v>
      </c>
      <c r="B104" s="54" t="s">
        <v>400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1600</v>
      </c>
      <c r="B105" s="54" t="s">
        <v>255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1601</v>
      </c>
      <c r="B106" s="54" t="s">
        <v>255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1602</v>
      </c>
      <c r="B107" s="54" t="s">
        <v>255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1603</v>
      </c>
      <c r="B108" s="54" t="s">
        <v>255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1604</v>
      </c>
      <c r="B109" s="54" t="s">
        <v>255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1605</v>
      </c>
      <c r="B110" s="54" t="s">
        <v>255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1606</v>
      </c>
      <c r="B111" s="54" t="s">
        <v>255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1607</v>
      </c>
      <c r="B112" s="54" t="s">
        <v>255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1608</v>
      </c>
      <c r="B113" s="54" t="s">
        <v>255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1609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1610</v>
      </c>
      <c r="B116" s="54" t="s">
        <v>400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1611</v>
      </c>
      <c r="B117" s="54" t="s">
        <v>400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1612</v>
      </c>
      <c r="B118" s="54" t="s">
        <v>400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1613</v>
      </c>
      <c r="B119" s="54" t="s">
        <v>400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1614</v>
      </c>
      <c r="B120" s="54" t="s">
        <v>400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1615</v>
      </c>
      <c r="B121" s="54" t="s">
        <v>400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1616</v>
      </c>
      <c r="B122" s="54" t="s">
        <v>400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1617</v>
      </c>
      <c r="B123" s="54" t="s">
        <v>400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1618</v>
      </c>
      <c r="B124" s="54" t="s">
        <v>400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1619</v>
      </c>
      <c r="B125" s="54" t="s">
        <v>400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1620</v>
      </c>
      <c r="B126" s="54" t="s">
        <v>400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1621</v>
      </c>
      <c r="B127" s="54" t="s">
        <v>400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1622</v>
      </c>
      <c r="B128" s="54" t="s">
        <v>400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1623</v>
      </c>
      <c r="B129" s="54" t="s">
        <v>400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1624</v>
      </c>
      <c r="B130" s="54" t="s">
        <v>400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1625</v>
      </c>
      <c r="B131" s="54" t="s">
        <v>400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1626</v>
      </c>
      <c r="B132" s="54" t="s">
        <v>400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1627</v>
      </c>
      <c r="B133" s="54" t="s">
        <v>400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1628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1629</v>
      </c>
      <c r="B136" s="54" t="s">
        <v>81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1630</v>
      </c>
      <c r="B137" s="54" t="s">
        <v>81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1631</v>
      </c>
      <c r="B138" s="54" t="s">
        <v>81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1632</v>
      </c>
      <c r="B139" s="54" t="s">
        <v>81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1633</v>
      </c>
      <c r="B140" s="54" t="s">
        <v>81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1634</v>
      </c>
      <c r="B141" s="54" t="s">
        <v>81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1635</v>
      </c>
      <c r="B142" s="54" t="s">
        <v>81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1636</v>
      </c>
      <c r="B143" s="54" t="s">
        <v>81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1637</v>
      </c>
      <c r="B144" s="54" t="s">
        <v>81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1638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1639</v>
      </c>
      <c r="B147" s="54" t="s">
        <v>400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1640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1641</v>
      </c>
      <c r="B149" s="54" t="s">
        <v>400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1642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1643</v>
      </c>
      <c r="B151" s="54" t="s">
        <v>400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1644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1645</v>
      </c>
      <c r="B153" s="54" t="s">
        <v>77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1646</v>
      </c>
      <c r="B154" s="54" t="s">
        <v>400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1647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1648</v>
      </c>
      <c r="B156" s="54" t="s">
        <v>77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1649</v>
      </c>
    </row>
    <row r="159" customFormat="false" ht="15" hidden="false" customHeight="false" outlineLevel="0" collapsed="false">
      <c r="A159" s="68" t="s">
        <v>1650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1651</v>
      </c>
      <c r="B160" s="54" t="s">
        <v>1126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1652</v>
      </c>
      <c r="B161" s="54" t="s">
        <v>1126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1653</v>
      </c>
      <c r="B162" s="54" t="s">
        <v>1126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0" t="s">
        <v>1654</v>
      </c>
    </row>
    <row r="2" customFormat="false" ht="15" hidden="false" customHeight="false" outlineLevel="0" collapsed="false">
      <c r="A2" s="66" t="s">
        <v>1655</v>
      </c>
    </row>
    <row r="4" customFormat="false" ht="42" hidden="false" customHeight="true" outlineLevel="0" collapsed="false">
      <c r="A4" s="52" t="s">
        <v>794</v>
      </c>
      <c r="C4" s="76" t="s">
        <v>63</v>
      </c>
      <c r="D4" s="76" t="s">
        <v>1656</v>
      </c>
      <c r="E4" s="76" t="s">
        <v>1657</v>
      </c>
      <c r="F4" s="76" t="s">
        <v>1658</v>
      </c>
      <c r="G4" s="76" t="s">
        <v>1659</v>
      </c>
      <c r="H4" s="76" t="s">
        <v>1660</v>
      </c>
      <c r="I4" s="76" t="s">
        <v>1661</v>
      </c>
      <c r="J4" s="76" t="s">
        <v>1662</v>
      </c>
      <c r="K4" s="76" t="s">
        <v>1663</v>
      </c>
      <c r="L4" s="76" t="s">
        <v>1664</v>
      </c>
      <c r="M4" s="76" t="s">
        <v>1665</v>
      </c>
      <c r="N4" s="76" t="s">
        <v>1666</v>
      </c>
      <c r="O4" s="76" t="s">
        <v>1667</v>
      </c>
      <c r="P4" s="77" t="s">
        <v>1668</v>
      </c>
      <c r="Q4" s="77" t="s">
        <v>1669</v>
      </c>
      <c r="R4" s="77" t="s">
        <v>1670</v>
      </c>
      <c r="S4" s="77" t="s">
        <v>1671</v>
      </c>
    </row>
    <row r="5" customFormat="false" ht="15" hidden="false" customHeight="false" outlineLevel="0" collapsed="false">
      <c r="A5" s="53" t="s">
        <v>1471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1476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1473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1516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1672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1673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1674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1675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1676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1677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1678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1679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1680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1681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1682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1683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1684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1685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1686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1687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1688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1689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1690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1691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1692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1693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1694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1695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1696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1697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1698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0" t="s">
        <v>1700</v>
      </c>
    </row>
    <row r="2" customFormat="false" ht="15" hidden="false" customHeight="false" outlineLevel="0" collapsed="false">
      <c r="A2" s="66" t="s">
        <v>1701</v>
      </c>
    </row>
    <row r="4" customFormat="false" ht="15" hidden="false" customHeight="false" outlineLevel="0" collapsed="false">
      <c r="A4" s="76" t="s">
        <v>1702</v>
      </c>
      <c r="B4" s="76" t="s">
        <v>61</v>
      </c>
      <c r="C4" s="76" t="s">
        <v>63</v>
      </c>
      <c r="D4" s="76" t="s">
        <v>1113</v>
      </c>
      <c r="E4" s="76" t="s">
        <v>1114</v>
      </c>
      <c r="F4" s="76" t="s">
        <v>65</v>
      </c>
      <c r="G4" s="76" t="s">
        <v>1703</v>
      </c>
    </row>
    <row r="5" customFormat="false" ht="15" hidden="false" customHeight="false" outlineLevel="0" collapsed="false">
      <c r="A5" s="53" t="s">
        <v>1704</v>
      </c>
      <c r="B5" s="53" t="s">
        <v>73</v>
      </c>
      <c r="C5" s="160" t="s">
        <v>1175</v>
      </c>
      <c r="D5" s="54" t="s">
        <v>585</v>
      </c>
      <c r="E5" s="54" t="s">
        <v>585</v>
      </c>
      <c r="F5" s="54" t="s">
        <v>70</v>
      </c>
      <c r="G5" s="80" t="s">
        <v>1705</v>
      </c>
    </row>
    <row r="6" customFormat="false" ht="15" hidden="false" customHeight="false" outlineLevel="0" collapsed="false">
      <c r="A6" s="53" t="s">
        <v>1706</v>
      </c>
      <c r="B6" s="53" t="s">
        <v>1707</v>
      </c>
      <c r="C6" s="161" t="n">
        <v>1</v>
      </c>
      <c r="D6" s="70" t="n">
        <v>1</v>
      </c>
      <c r="E6" s="70" t="n">
        <v>2</v>
      </c>
      <c r="F6" s="54" t="s">
        <v>78</v>
      </c>
      <c r="G6" s="80" t="s">
        <v>1708</v>
      </c>
    </row>
    <row r="7" customFormat="false" ht="15" hidden="false" customHeight="false" outlineLevel="0" collapsed="false">
      <c r="A7" s="53" t="s">
        <v>1709</v>
      </c>
      <c r="B7" s="53" t="s">
        <v>1707</v>
      </c>
      <c r="C7" s="161" t="n">
        <v>2</v>
      </c>
      <c r="D7" s="70" t="n">
        <v>0</v>
      </c>
      <c r="E7" s="70" t="n">
        <v>6</v>
      </c>
      <c r="F7" s="54" t="s">
        <v>78</v>
      </c>
      <c r="G7" s="80" t="s">
        <v>1710</v>
      </c>
    </row>
    <row r="8" customFormat="false" ht="15" hidden="false" customHeight="false" outlineLevel="0" collapsed="false">
      <c r="A8" s="53" t="s">
        <v>1711</v>
      </c>
      <c r="B8" s="54" t="s">
        <v>81</v>
      </c>
      <c r="C8" s="161" t="n">
        <v>1</v>
      </c>
      <c r="D8" s="70" t="n">
        <v>0.5</v>
      </c>
      <c r="E8" s="70" t="n">
        <v>7</v>
      </c>
      <c r="F8" s="54" t="s">
        <v>78</v>
      </c>
      <c r="G8" s="80" t="s">
        <v>1712</v>
      </c>
    </row>
    <row r="9" customFormat="false" ht="15" hidden="false" customHeight="false" outlineLevel="0" collapsed="false">
      <c r="A9" s="53" t="s">
        <v>1713</v>
      </c>
      <c r="B9" s="54" t="s">
        <v>77</v>
      </c>
      <c r="C9" s="162" t="n">
        <v>0</v>
      </c>
      <c r="D9" s="58" t="n">
        <v>0</v>
      </c>
      <c r="E9" s="58" t="n">
        <v>1</v>
      </c>
      <c r="F9" s="54" t="s">
        <v>78</v>
      </c>
      <c r="G9" s="86" t="s">
        <v>1714</v>
      </c>
    </row>
    <row r="10" customFormat="false" ht="15" hidden="false" customHeight="false" outlineLevel="0" collapsed="false">
      <c r="A10" s="53" t="s">
        <v>1715</v>
      </c>
      <c r="B10" s="54" t="s">
        <v>77</v>
      </c>
      <c r="C10" s="162" t="n">
        <v>0.4</v>
      </c>
      <c r="D10" s="58" t="n">
        <v>0</v>
      </c>
      <c r="E10" s="58" t="n">
        <v>1</v>
      </c>
      <c r="F10" s="54" t="s">
        <v>78</v>
      </c>
      <c r="G10" s="80" t="s">
        <v>1716</v>
      </c>
    </row>
    <row r="11" customFormat="false" ht="15" hidden="false" customHeight="false" outlineLevel="0" collapsed="false">
      <c r="A11" s="53" t="s">
        <v>1717</v>
      </c>
      <c r="B11" s="54" t="s">
        <v>77</v>
      </c>
      <c r="C11" s="162" t="n">
        <v>0.4</v>
      </c>
      <c r="D11" s="58" t="n">
        <v>0</v>
      </c>
      <c r="E11" s="58" t="n">
        <v>1</v>
      </c>
      <c r="F11" s="54" t="s">
        <v>78</v>
      </c>
      <c r="G11" s="86" t="s">
        <v>103</v>
      </c>
    </row>
    <row r="12" customFormat="false" ht="15" hidden="false" customHeight="false" outlineLevel="0" collapsed="false">
      <c r="A12" s="53" t="s">
        <v>1718</v>
      </c>
      <c r="B12" s="54" t="s">
        <v>77</v>
      </c>
      <c r="C12" s="162" t="n">
        <v>0.2</v>
      </c>
      <c r="D12" s="58" t="n">
        <v>0</v>
      </c>
      <c r="E12" s="58" t="n">
        <v>1</v>
      </c>
      <c r="F12" s="54" t="s">
        <v>78</v>
      </c>
      <c r="G12" s="86" t="s">
        <v>103</v>
      </c>
    </row>
    <row r="13" customFormat="false" ht="15" hidden="false" customHeight="false" outlineLevel="0" collapsed="false">
      <c r="A13" s="53" t="s">
        <v>1719</v>
      </c>
      <c r="B13" s="54" t="s">
        <v>77</v>
      </c>
      <c r="C13" s="162" t="n">
        <v>0</v>
      </c>
      <c r="D13" s="58" t="n">
        <v>0</v>
      </c>
      <c r="E13" s="58" t="n">
        <v>1</v>
      </c>
      <c r="F13" s="54" t="s">
        <v>1720</v>
      </c>
      <c r="G13" s="80" t="s">
        <v>1721</v>
      </c>
    </row>
    <row r="14" customFormat="false" ht="15" hidden="false" customHeight="false" outlineLevel="0" collapsed="false">
      <c r="A14" s="54" t="s">
        <v>1722</v>
      </c>
      <c r="B14" s="54" t="s">
        <v>81</v>
      </c>
      <c r="C14" s="161" t="n">
        <v>0.75</v>
      </c>
      <c r="D14" s="70" t="n">
        <v>0.6</v>
      </c>
      <c r="E14" s="70" t="n">
        <v>0.9</v>
      </c>
      <c r="F14" s="54" t="s">
        <v>78</v>
      </c>
      <c r="G14" s="80" t="s">
        <v>1723</v>
      </c>
    </row>
    <row r="15" customFormat="false" ht="15" hidden="false" customHeight="false" outlineLevel="0" collapsed="false">
      <c r="A15" s="53" t="s">
        <v>1724</v>
      </c>
      <c r="B15" s="54" t="s">
        <v>255</v>
      </c>
      <c r="C15" s="75" t="n">
        <v>2000</v>
      </c>
      <c r="D15" s="56" t="n">
        <v>1000</v>
      </c>
      <c r="E15" s="56" t="n">
        <v>6000</v>
      </c>
      <c r="F15" s="54" t="s">
        <v>78</v>
      </c>
      <c r="G15" s="80" t="s">
        <v>1725</v>
      </c>
    </row>
    <row r="16" customFormat="false" ht="15" hidden="false" customHeight="false" outlineLevel="0" collapsed="false">
      <c r="A16" s="54" t="s">
        <v>1726</v>
      </c>
      <c r="B16" s="54" t="s">
        <v>77</v>
      </c>
      <c r="C16" s="162" t="n">
        <v>0.6</v>
      </c>
      <c r="D16" s="58" t="n">
        <v>0.4</v>
      </c>
      <c r="E16" s="58" t="n">
        <v>0.8</v>
      </c>
      <c r="F16" s="54" t="s">
        <v>78</v>
      </c>
      <c r="G16" s="86" t="s">
        <v>1727</v>
      </c>
    </row>
    <row r="18" customFormat="false" ht="15" hidden="false" customHeight="false" outlineLevel="0" collapsed="false">
      <c r="A18" s="52" t="s">
        <v>1728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1729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0" t="s">
        <v>1730</v>
      </c>
    </row>
    <row r="2" customFormat="false" ht="15" hidden="false" customHeight="false" outlineLevel="0" collapsed="false">
      <c r="A2" s="66" t="s">
        <v>1731</v>
      </c>
    </row>
    <row r="4" customFormat="false" ht="15" hidden="false" customHeight="false" outlineLevel="0" collapsed="false">
      <c r="A4" s="68" t="s">
        <v>1732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1733</v>
      </c>
      <c r="B5" s="54" t="s">
        <v>764</v>
      </c>
      <c r="C5" s="60" t="n">
        <f aca="false">SRC_DEM_010*1000000000*525600*AL_APIratio/1000000</f>
        <v>2365200000</v>
      </c>
      <c r="G5" s="51" t="s">
        <v>1734</v>
      </c>
    </row>
    <row r="6" customFormat="false" ht="15" hidden="false" customHeight="false" outlineLevel="0" collapsed="false">
      <c r="A6" s="6" t="s">
        <v>1735</v>
      </c>
      <c r="B6" s="54" t="s">
        <v>764</v>
      </c>
      <c r="C6" s="60" t="n">
        <f aca="false">SRC_DEM_012*1000000000*AL_TokPerPrompt*365/1000000</f>
        <v>1825000000</v>
      </c>
      <c r="G6" s="51" t="s">
        <v>1736</v>
      </c>
    </row>
    <row r="7" customFormat="false" ht="15" hidden="false" customHeight="false" outlineLevel="0" collapsed="false">
      <c r="A7" s="6" t="s">
        <v>1737</v>
      </c>
      <c r="B7" s="54" t="s">
        <v>764</v>
      </c>
      <c r="C7" s="60" t="n">
        <f aca="false">AL_DChat*AL_FreeShare</f>
        <v>1095000000</v>
      </c>
      <c r="G7" s="51" t="s">
        <v>1738</v>
      </c>
    </row>
    <row r="8" customFormat="false" ht="15" hidden="false" customHeight="false" outlineLevel="0" collapsed="false">
      <c r="A8" s="6" t="s">
        <v>1739</v>
      </c>
      <c r="B8" s="54" t="s">
        <v>764</v>
      </c>
      <c r="C8" s="60" t="n">
        <f aca="false">AL_DChat-AL_DChatFree</f>
        <v>730000000</v>
      </c>
      <c r="G8" s="51" t="s">
        <v>1740</v>
      </c>
    </row>
    <row r="9" customFormat="false" ht="15" hidden="false" customHeight="false" outlineLevel="0" collapsed="false">
      <c r="A9" s="5" t="s">
        <v>1741</v>
      </c>
      <c r="B9" s="54" t="s">
        <v>764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1742</v>
      </c>
      <c r="B10" s="54" t="s">
        <v>764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1743</v>
      </c>
      <c r="B11" s="54" t="s">
        <v>764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1744</v>
      </c>
      <c r="B12" s="54" t="s">
        <v>1745</v>
      </c>
      <c r="C12" s="64" t="n">
        <f aca="false">AL_D/365/1000000</f>
        <v>11.48</v>
      </c>
      <c r="G12" s="51" t="s">
        <v>1746</v>
      </c>
    </row>
    <row r="14" customFormat="false" ht="15" hidden="false" customHeight="false" outlineLevel="0" collapsed="false">
      <c r="A14" s="68" t="s">
        <v>1747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2" t="s">
        <v>142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1748</v>
      </c>
      <c r="B16" s="53" t="s">
        <v>909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1749</v>
      </c>
      <c r="B17" s="53" t="s">
        <v>909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1750</v>
      </c>
      <c r="B18" s="54" t="s">
        <v>77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9.85" hidden="false" customHeight="false" outlineLevel="0" collapsed="false">
      <c r="A19" s="5" t="s">
        <v>1751</v>
      </c>
      <c r="B19" s="53" t="s">
        <v>1318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1752</v>
      </c>
      <c r="B20" s="54" t="s">
        <v>1753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1754</v>
      </c>
    </row>
    <row r="21" customFormat="false" ht="15" hidden="false" customHeight="false" outlineLevel="0" collapsed="false">
      <c r="A21" s="6" t="s">
        <v>1755</v>
      </c>
      <c r="B21" s="54" t="s">
        <v>1753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1756</v>
      </c>
      <c r="B22" s="54" t="s">
        <v>1757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1758</v>
      </c>
    </row>
    <row r="23" customFormat="false" ht="15" hidden="false" customHeight="false" outlineLevel="0" collapsed="false">
      <c r="A23" s="5" t="s">
        <v>1759</v>
      </c>
      <c r="B23" s="54" t="s">
        <v>1757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1760</v>
      </c>
    </row>
    <row r="24" customFormat="false" ht="15" hidden="false" customHeight="false" outlineLevel="0" collapsed="false">
      <c r="A24" s="5" t="s">
        <v>1761</v>
      </c>
      <c r="B24" s="54" t="s">
        <v>1757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1762</v>
      </c>
      <c r="B25" s="54" t="s">
        <v>1757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1763</v>
      </c>
      <c r="B26" s="54" t="s">
        <v>69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1764</v>
      </c>
      <c r="B27" s="54" t="s">
        <v>69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1765</v>
      </c>
      <c r="B28" s="54" t="s">
        <v>69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1766</v>
      </c>
      <c r="B29" s="54" t="s">
        <v>69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1767</v>
      </c>
      <c r="B30" s="54" t="s">
        <v>1768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1769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1770</v>
      </c>
      <c r="B33" s="53" t="s">
        <v>909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1771</v>
      </c>
      <c r="B34" s="53" t="s">
        <v>909</v>
      </c>
      <c r="C34" s="104" t="n">
        <f aca="false">3*(AL_TrainGen-1)+2</f>
        <v>11</v>
      </c>
    </row>
    <row r="35" customFormat="false" ht="15" hidden="false" customHeight="false" outlineLevel="0" collapsed="false">
      <c r="A35" s="52" t="s">
        <v>687</v>
      </c>
      <c r="C35" s="10" t="s">
        <v>225</v>
      </c>
      <c r="D35" s="10" t="s">
        <v>226</v>
      </c>
      <c r="E35" s="10" t="s">
        <v>227</v>
      </c>
      <c r="F35" s="52" t="s">
        <v>1772</v>
      </c>
    </row>
    <row r="36" customFormat="false" ht="15" hidden="false" customHeight="false" outlineLevel="0" collapsed="false">
      <c r="A36" s="5" t="s">
        <v>688</v>
      </c>
      <c r="B36" s="53" t="s">
        <v>909</v>
      </c>
      <c r="C36" s="104" t="n">
        <v>1</v>
      </c>
      <c r="D36" s="104" t="n">
        <v>2</v>
      </c>
      <c r="E36" s="104" t="n">
        <v>3</v>
      </c>
    </row>
    <row r="37" customFormat="false" ht="29.85" hidden="false" customHeight="false" outlineLevel="0" collapsed="false">
      <c r="A37" s="5" t="s">
        <v>1773</v>
      </c>
      <c r="B37" s="54" t="s">
        <v>1774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1775</v>
      </c>
    </row>
    <row r="38" customFormat="false" ht="15" hidden="false" customHeight="false" outlineLevel="0" collapsed="false">
      <c r="A38" s="5" t="s">
        <v>1776</v>
      </c>
      <c r="B38" s="54" t="s">
        <v>986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1" t="s">
        <v>1777</v>
      </c>
    </row>
    <row r="39" customFormat="false" ht="15" hidden="false" customHeight="false" outlineLevel="0" collapsed="false">
      <c r="A39" s="5" t="s">
        <v>1778</v>
      </c>
      <c r="B39" s="53" t="s">
        <v>700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1779</v>
      </c>
      <c r="B40" s="54" t="s">
        <v>1774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1780</v>
      </c>
    </row>
    <row r="41" customFormat="false" ht="15" hidden="false" customHeight="false" outlineLevel="0" collapsed="false">
      <c r="A41" s="5" t="s">
        <v>1781</v>
      </c>
      <c r="B41" s="54" t="s">
        <v>1774</v>
      </c>
      <c r="C41" s="163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1782</v>
      </c>
      <c r="B42" s="54" t="s">
        <v>1774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1783</v>
      </c>
      <c r="B43" s="54" t="s">
        <v>1768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1784</v>
      </c>
      <c r="B44" s="54" t="s">
        <v>1369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1785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1786</v>
      </c>
      <c r="B47" s="54" t="s">
        <v>77</v>
      </c>
      <c r="C47" s="94" t="n">
        <f aca="false">IF(ISNUMBER(AL_ServeGW),AL_RDGW/(AL_RDGW+AL_ServeGW),"SLO 不可達")</f>
        <v>0.63609601991434</v>
      </c>
    </row>
    <row r="48" customFormat="false" ht="26.85" hidden="false" customHeight="false" outlineLevel="0" collapsed="false">
      <c r="A48" s="6" t="s">
        <v>1787</v>
      </c>
      <c r="B48" s="54" t="s">
        <v>77</v>
      </c>
      <c r="C48" s="96" t="n">
        <f aca="false">IF(ISNUMBER(AL_ServeGW),(AL_RDGW+AL_ServeGWFree)/(AL_RDGW+AL_ServeGW),"SLO 不可達")</f>
        <v>0.667220154597978</v>
      </c>
    </row>
    <row r="49" customFormat="false" ht="29.85" hidden="false" customHeight="false" outlineLevel="0" collapsed="false">
      <c r="A49" s="6" t="s">
        <v>1788</v>
      </c>
      <c r="B49" s="54" t="s">
        <v>77</v>
      </c>
      <c r="C49" s="94" t="n">
        <f aca="false">IF(ISNUMBER(AL_ServeGW),AL_RDGW*AL_HoldTrain/(AL_RDGW*AL_HoldTrain+SUMPRODUCT(AL_ServeGen,AL_HoldGen)),"SLO 不可達")</f>
        <v>0.663556558253475</v>
      </c>
      <c r="G49" s="66" t="s">
        <v>1789</v>
      </c>
    </row>
    <row r="50" customFormat="false" ht="15" hidden="false" customHeight="false" outlineLevel="0" collapsed="false">
      <c r="A50" s="6" t="s">
        <v>1790</v>
      </c>
      <c r="B50" s="54" t="s">
        <v>77</v>
      </c>
      <c r="C50" s="96" t="n">
        <f aca="false">IF(ISNUMBER(AL_ServeGW),AL_RDGWg/(AL_RDGWg+AL_ServeGW),"SLO 不可達")</f>
        <v>0.63609601991434</v>
      </c>
    </row>
    <row r="51" customFormat="false" ht="15" hidden="false" customHeight="false" outlineLevel="0" collapsed="false">
      <c r="A51" s="6" t="s">
        <v>1791</v>
      </c>
      <c r="B51" s="54" t="s">
        <v>77</v>
      </c>
      <c r="C51" s="96" t="n">
        <f aca="false">IF(ISNUMBER(AL_ServeGW),AL_RDGWg*AL_HoldTrain/(AL_RDGWg*AL_HoldTrain+SUMPRODUCT(AL_ServeGen,AL_HoldGen)),"SLO 不可達")</f>
        <v>0.663556558253475</v>
      </c>
    </row>
    <row r="52" customFormat="false" ht="15" hidden="false" customHeight="false" outlineLevel="0" collapsed="false">
      <c r="A52" s="6" t="s">
        <v>1792</v>
      </c>
      <c r="B52" s="53"/>
      <c r="C52" s="53" t="s">
        <v>1793</v>
      </c>
      <c r="G52" s="51" t="s">
        <v>1794</v>
      </c>
    </row>
    <row r="54" customFormat="false" ht="15" hidden="false" customHeight="false" outlineLevel="0" collapsed="false">
      <c r="A54" s="68" t="s">
        <v>1795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1796</v>
      </c>
      <c r="B55" s="54" t="s">
        <v>77</v>
      </c>
      <c r="C55" s="96" t="n">
        <f aca="false">SRC_DEM_006/(SRC_DEM_004+SRC_DEM_006)</f>
        <v>0.588235294117647</v>
      </c>
      <c r="G55" s="51" t="s">
        <v>1797</v>
      </c>
    </row>
    <row r="56" customFormat="false" ht="15" hidden="false" customHeight="false" outlineLevel="0" collapsed="false">
      <c r="A56" s="5" t="s">
        <v>1798</v>
      </c>
      <c r="B56" s="54" t="s">
        <v>69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1799</v>
      </c>
      <c r="B57" s="53" t="s">
        <v>293</v>
      </c>
      <c r="C57" s="97" t="n">
        <f aca="false">IF(ISNUMBER(AL_ImpliedRDGW),AL_ImpliedRDGW/AL_FamGWyr,"SLO 不可達")</f>
        <v>1.52362137919411</v>
      </c>
    </row>
    <row r="58" customFormat="false" ht="15" hidden="false" customHeight="false" outlineLevel="0" collapsed="false">
      <c r="A58" s="6" t="s">
        <v>1800</v>
      </c>
      <c r="B58" s="54" t="s">
        <v>81</v>
      </c>
      <c r="C58" s="69" t="n">
        <f aca="false">IF(ISNUMBER(AL_ImpliedNk),AL_ImpliedNk/(AL_Nmajor+AL_Nrefresh*AL_RefGWyr/AL_FamGWyr),"SLO 不可達")</f>
        <v>0.817270997488408</v>
      </c>
      <c r="G58" s="66" t="s">
        <v>1801</v>
      </c>
    </row>
    <row r="60" customFormat="false" ht="15" hidden="false" customHeight="false" outlineLevel="0" collapsed="false">
      <c r="A60" s="68" t="s">
        <v>1802</v>
      </c>
      <c r="B60" s="62"/>
      <c r="C60" s="62"/>
      <c r="D60" s="62"/>
      <c r="E60" s="62"/>
      <c r="F60" s="62"/>
      <c r="G60" s="62"/>
    </row>
    <row r="61" customFormat="false" ht="29.85" hidden="false" customHeight="false" outlineLevel="0" collapsed="false">
      <c r="A61" s="5" t="s">
        <v>1803</v>
      </c>
      <c r="B61" s="54" t="s">
        <v>69</v>
      </c>
      <c r="C61" s="65" t="n">
        <f aca="false">SRC_DEM_004/SUMPRODUCT(AL_ShareGen,AL_HoldGen)</f>
        <v>0.742659968964293</v>
      </c>
      <c r="G61" s="66" t="s">
        <v>1804</v>
      </c>
    </row>
    <row r="62" customFormat="false" ht="15" hidden="false" customHeight="false" outlineLevel="0" collapsed="false">
      <c r="A62" s="5" t="s">
        <v>1805</v>
      </c>
      <c r="B62" s="54" t="s">
        <v>77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1806</v>
      </c>
      <c r="B63" s="54" t="s">
        <v>77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1807</v>
      </c>
      <c r="B64" s="54" t="s">
        <v>1745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1808</v>
      </c>
      <c r="B65" s="54" t="s">
        <v>1745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1809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1810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1811</v>
      </c>
    </row>
    <row r="70" customFormat="false" ht="26.85" hidden="false" customHeight="false" outlineLevel="0" collapsed="false">
      <c r="A70" s="52" t="s">
        <v>794</v>
      </c>
      <c r="B70" s="52" t="s">
        <v>1812</v>
      </c>
      <c r="C70" s="77" t="s">
        <v>1813</v>
      </c>
      <c r="D70" s="77" t="s">
        <v>1814</v>
      </c>
      <c r="E70" s="77" t="s">
        <v>1815</v>
      </c>
      <c r="F70" s="77" t="s">
        <v>1816</v>
      </c>
      <c r="G70" s="76" t="s">
        <v>1817</v>
      </c>
      <c r="H70" s="76" t="s">
        <v>1818</v>
      </c>
      <c r="I70" s="77" t="s">
        <v>1819</v>
      </c>
      <c r="J70" s="77" t="s">
        <v>1820</v>
      </c>
      <c r="K70" s="77" t="s">
        <v>1821</v>
      </c>
      <c r="L70" s="77" t="s">
        <v>1822</v>
      </c>
      <c r="M70" s="76" t="s">
        <v>1823</v>
      </c>
      <c r="N70" s="76" t="s">
        <v>1824</v>
      </c>
      <c r="O70" s="76" t="s">
        <v>1825</v>
      </c>
      <c r="P70" s="76" t="s">
        <v>1826</v>
      </c>
      <c r="Q70" s="76" t="s">
        <v>1827</v>
      </c>
      <c r="R70" s="76" t="s">
        <v>1828</v>
      </c>
      <c r="S70" s="77" t="s">
        <v>1829</v>
      </c>
      <c r="T70" s="77" t="s">
        <v>1830</v>
      </c>
      <c r="U70" s="76" t="s">
        <v>1831</v>
      </c>
      <c r="V70" s="76" t="s">
        <v>1832</v>
      </c>
      <c r="W70" s="76" t="s">
        <v>1833</v>
      </c>
    </row>
    <row r="71" customFormat="false" ht="15" hidden="false" customHeight="false" outlineLevel="0" collapsed="false">
      <c r="A71" s="53" t="s">
        <v>63</v>
      </c>
      <c r="B71" s="54" t="s">
        <v>585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0.0906847035646163</v>
      </c>
      <c r="S71" s="96" t="n">
        <f aca="false">IF(ISNUMBER(Q71),R71/(R71+Q71),"SLO 不可達")</f>
        <v>0.63609601991434</v>
      </c>
      <c r="T71" s="96" t="n">
        <f aca="false">IF(ISNUMBER(Q71),R71*AL_HoldTrain/(R71*AL_HoldTrain+Q71*(I71*$C$30+J71*$D$30+K71*$E$30+L71*$F$30)),"SLO 不可達")</f>
        <v>0.663556558253475</v>
      </c>
      <c r="U71" s="107" t="n">
        <f aca="false">R71*AL_HoldTrain</f>
        <v>1.15731961755801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1834</v>
      </c>
      <c r="B72" s="54" t="s">
        <v>1813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0.0906847035646163</v>
      </c>
      <c r="S72" s="96" t="n">
        <f aca="false">IF(ISNUMBER(Q72),R72/(R72+Q72),"SLO 不可達")</f>
        <v>0.63609601991434</v>
      </c>
      <c r="T72" s="96" t="n">
        <f aca="false">IF(ISNUMBER(Q72),R72*AL_HoldTrain/(R72*AL_HoldTrain+Q72*(I72*$C$30+J72*$D$30+K72*$E$30+L72*$F$30)),"SLO 不可達")</f>
        <v>0.663556558253475</v>
      </c>
      <c r="U72" s="107" t="n">
        <f aca="false">R72*AL_HoldTrain</f>
        <v>1.15731961755801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1835</v>
      </c>
      <c r="B73" s="54" t="s">
        <v>1813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0.139328007702549</v>
      </c>
      <c r="S73" s="96" t="n">
        <f aca="false">IF(ISNUMBER(Q73),R73/(R73+Q73),"SLO 不可達")</f>
        <v>0.728673271908764</v>
      </c>
      <c r="T73" s="96" t="n">
        <f aca="false">IF(ISNUMBER(Q73),R73*AL_HoldTrain/(R73*AL_HoldTrain+Q73*(I73*$C$30+J73*$D$30+K73*$E$30+L73*$F$30)),"SLO 不可達")</f>
        <v>0.751872915546831</v>
      </c>
      <c r="U73" s="107" t="n">
        <f aca="false">R73*AL_HoldTrain</f>
        <v>1.7781062323762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1836</v>
      </c>
      <c r="B74" s="54" t="s">
        <v>1814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0.0486433041379322</v>
      </c>
      <c r="S74" s="96" t="n">
        <f aca="false">IF(ISNUMBER(Q74),R74/(R74+Q74),"SLO 不可達")</f>
        <v>0.483901805062892</v>
      </c>
      <c r="T74" s="96" t="n">
        <f aca="false">IF(ISNUMBER(Q74),R74*AL_HoldTrain/(R74*AL_HoldTrain+Q74*(I74*$C$30+J74*$D$30+K74*$E$30+L74*$F$30)),"SLO 不可達")</f>
        <v>0.514073658283717</v>
      </c>
      <c r="U74" s="107" t="n">
        <f aca="false">R74*AL_HoldTrain</f>
        <v>0.620786614818194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1837</v>
      </c>
      <c r="B75" s="54" t="s">
        <v>1814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0.174767502417984</v>
      </c>
      <c r="S75" s="96" t="n">
        <f aca="false">IF(ISNUMBER(Q75),R75/(R75+Q75),"SLO 不可達")</f>
        <v>0.771099026343005</v>
      </c>
      <c r="T75" s="96" t="n">
        <f aca="false">IF(ISNUMBER(Q75),R75*AL_HoldTrain/(R75*AL_HoldTrain+Q75*(I75*$C$30+J75*$D$30+K75*$E$30+L75*$F$30)),"SLO 不可達")</f>
        <v>0.791708029465762</v>
      </c>
      <c r="U75" s="107" t="n">
        <f aca="false">R75*AL_HoldTrain</f>
        <v>2.23038562303764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1838</v>
      </c>
      <c r="B76" s="54" t="s">
        <v>1815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0.0453423517823082</v>
      </c>
      <c r="S76" s="96" t="n">
        <f aca="false">IF(ISNUMBER(Q76),R76/(R76+Q76),"SLO 不可達")</f>
        <v>0.466378886785264</v>
      </c>
      <c r="T76" s="96" t="n">
        <f aca="false">IF(ISNUMBER(Q76),R76*AL_HoldTrain/(R76*AL_HoldTrain+Q76*(I76*$C$30+J76*$D$30+K76*$E$30+L76*$F$30)),"SLO 不可達")</f>
        <v>0.496509270445675</v>
      </c>
      <c r="U76" s="107" t="n">
        <f aca="false">R76*AL_HoldTrain</f>
        <v>0.578659808779004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1839</v>
      </c>
      <c r="B77" s="54" t="s">
        <v>1815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0.634792924952314</v>
      </c>
      <c r="S77" s="96" t="n">
        <f aca="false">IF(ISNUMBER(Q77),R77/(R77+Q77),"SLO 不可達")</f>
        <v>0.924447580385278</v>
      </c>
      <c r="T77" s="96" t="n">
        <f aca="false">IF(ISNUMBER(Q77),R77*AL_HoldTrain/(R77*AL_HoldTrain+Q77*(I77*$C$30+J77*$D$30+K77*$E$30+L77*$F$30)),"SLO 不可達")</f>
        <v>0.932459240750404</v>
      </c>
      <c r="U77" s="107" t="n">
        <f aca="false">R77*AL_HoldTrain</f>
        <v>8.10123732290606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1840</v>
      </c>
      <c r="B78" s="53" t="s">
        <v>1724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0.0906847035646163</v>
      </c>
      <c r="S78" s="96" t="n">
        <f aca="false">IF(ISNUMBER(Q78),R78/(R78+Q78),"SLO 不可達")</f>
        <v>0.672978594019334</v>
      </c>
      <c r="T78" s="96" t="n">
        <f aca="false">IF(ISNUMBER(Q78),R78*AL_HoldTrain/(R78*AL_HoldTrain+Q78*(I78*$C$30+J78*$D$30+K78*$E$30+L78*$F$30)),"SLO 不可達")</f>
        <v>0.698973060892735</v>
      </c>
      <c r="U78" s="107" t="n">
        <f aca="false">R78*AL_HoldTrain</f>
        <v>1.15731961755801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1841</v>
      </c>
      <c r="B79" s="53" t="s">
        <v>1724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0.0906847035646163</v>
      </c>
      <c r="S79" s="96" t="n">
        <f aca="false">IF(ISNUMBER(Q79),R79/(R79+Q79),"SLO 不可達")</f>
        <v>0.521723786458973</v>
      </c>
      <c r="T79" s="96" t="n">
        <f aca="false">IF(ISNUMBER(Q79),R79*AL_HoldTrain/(R79*AL_HoldTrain+Q79*(I79*$C$30+J79*$D$30+K79*$E$30+L79*$F$30)),"SLO 不可達")</f>
        <v>0.551732811797566</v>
      </c>
      <c r="U79" s="107" t="n">
        <f aca="false">R79*AL_HoldTrain</f>
        <v>1.15731961755801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1842</v>
      </c>
      <c r="B80" s="54" t="s">
        <v>1843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0.0906847035646163</v>
      </c>
      <c r="S80" s="96" t="n">
        <f aca="false">IF(ISNUMBER(Q80),R80/(R80+Q80),"SLO 不可達")</f>
        <v>0.670180605700913</v>
      </c>
      <c r="T80" s="96" t="n">
        <f aca="false">IF(ISNUMBER(Q80),R80*AL_HoldTrain/(R80*AL_HoldTrain+Q80*(I80*$C$30+J80*$D$30+K80*$E$30+L80*$F$30)),"SLO 不可達")</f>
        <v>0.69629711198928</v>
      </c>
      <c r="U80" s="107" t="n">
        <f aca="false">R80*AL_HoldTrain</f>
        <v>1.15731961755801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1844</v>
      </c>
      <c r="B81" s="54" t="s">
        <v>1843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0.0906847035646163</v>
      </c>
      <c r="S81" s="96" t="n">
        <f aca="false">IF(ISNUMBER(Q81),R81/(R81+Q81),"SLO 不可達")</f>
        <v>0.605310643011821</v>
      </c>
      <c r="T81" s="96" t="n">
        <f aca="false">IF(ISNUMBER(Q81),R81*AL_HoldTrain/(R81*AL_HoldTrain+Q81*(I81*$C$30+J81*$D$30+K81*$E$30+L81*$F$30)),"SLO 不可達")</f>
        <v>0.633756713645122</v>
      </c>
      <c r="U81" s="107" t="n">
        <f aca="false">R81*AL_HoldTrain</f>
        <v>1.15731961755801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1845</v>
      </c>
      <c r="B82" s="53" t="s">
        <v>1818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0.0906847035646163</v>
      </c>
      <c r="S82" s="96" t="n">
        <f aca="false">IF(ISNUMBER(Q82),R82/(R82+Q82),"SLO 不可達")</f>
        <v>0.618248307381527</v>
      </c>
      <c r="T82" s="96" t="n">
        <f aca="false">IF(ISNUMBER(Q82),R82*AL_HoldTrain/(R82*AL_HoldTrain+Q82*(I82*$C$30+J82*$D$30+K82*$E$30+L82*$F$30)),"SLO 不可達")</f>
        <v>0.646306776787579</v>
      </c>
      <c r="U82" s="107" t="n">
        <f aca="false">R82*AL_HoldTrain</f>
        <v>1.15731961755801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1846</v>
      </c>
      <c r="B83" s="53" t="s">
        <v>1818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0.0906847035646163</v>
      </c>
      <c r="S83" s="96" t="n">
        <f aca="false">IF(ISNUMBER(Q83),R83/(R83+Q83),"SLO 不可達")</f>
        <v>0.655004826807775</v>
      </c>
      <c r="T83" s="96" t="n">
        <f aca="false">IF(ISNUMBER(Q83),R83*AL_HoldTrain/(R83*AL_HoldTrain+Q83*(I83*$C$30+J83*$D$30+K83*$E$30+L83*$F$30)),"SLO 不可達")</f>
        <v>0.681752374698184</v>
      </c>
      <c r="U83" s="107" t="n">
        <f aca="false">R83*AL_HoldTrain</f>
        <v>1.15731961755801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1847</v>
      </c>
      <c r="B84" s="53" t="s">
        <v>1848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0.0906847035646163</v>
      </c>
      <c r="S84" s="96" t="n">
        <f aca="false">IF(ISNUMBER(Q84),R84/(R84+Q84),"SLO 不可達")</f>
        <v>0.55441013605632</v>
      </c>
      <c r="T84" s="96" t="n">
        <f aca="false">IF(ISNUMBER(Q84),R84*AL_HoldTrain/(R84*AL_HoldTrain+Q84*(I84*$C$30+J84*$D$30+K84*$E$30+L84*$F$30)),"SLO 不可達")</f>
        <v>0.633888391253361</v>
      </c>
      <c r="U84" s="107" t="n">
        <f aca="false">R84*AL_HoldTrain</f>
        <v>1.15731961755801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1849</v>
      </c>
      <c r="B85" s="53" t="s">
        <v>1848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0.0906847035646163</v>
      </c>
      <c r="S85" s="96" t="n">
        <f aca="false">IF(ISNUMBER(Q85),R85/(R85+Q85),"SLO 不可達")</f>
        <v>0.74849972027316</v>
      </c>
      <c r="T85" s="96" t="n">
        <f aca="false">IF(ISNUMBER(Q85),R85*AL_HoldTrain/(R85*AL_HoldTrain+Q85*(I85*$C$30+J85*$D$30+K85*$E$30+L85*$F$30)),"SLO 不可達")</f>
        <v>0.74849972027316</v>
      </c>
      <c r="U85" s="107" t="n">
        <f aca="false">R85*AL_HoldTrain</f>
        <v>1.15731961755801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1850</v>
      </c>
      <c r="B87" s="51" t="s">
        <v>585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0.0906847035646163</v>
      </c>
      <c r="S87" s="96" t="n">
        <f aca="false">IF(ISNUMBER(Q87),R87/(R87+Q87),"SLO 不可達")</f>
        <v>0.63609601991434</v>
      </c>
      <c r="T87" s="96" t="n">
        <f aca="false">IF(ISNUMBER(Q87),R87*AL_HoldTrain/(R87*AL_HoldTrain+Q87*(I87*$C$30+J87*$D$30+K87*$E$30+L87*$F$30)),"SLO 不可達")</f>
        <v>0.663556558253475</v>
      </c>
      <c r="U87" s="107" t="n">
        <f aca="false">R87*AL_HoldTrain</f>
        <v>1.15731961755801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1851</v>
      </c>
      <c r="B88" s="51" t="s">
        <v>1813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0.0906847035646163</v>
      </c>
      <c r="S88" s="96" t="n">
        <f aca="false">IF(ISNUMBER(Q88),R88/(R88+Q88),"SLO 不可達")</f>
        <v>0.63609601991434</v>
      </c>
      <c r="T88" s="96" t="n">
        <f aca="false">IF(ISNUMBER(Q88),R88*AL_HoldTrain/(R88*AL_HoldTrain+Q88*(I88*$C$30+J88*$D$30+K88*$E$30+L88*$F$30)),"SLO 不可達")</f>
        <v>0.663556558253475</v>
      </c>
      <c r="U88" s="107" t="n">
        <f aca="false">R88*AL_HoldTrain</f>
        <v>1.15731961755801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1852</v>
      </c>
      <c r="B89" s="51" t="s">
        <v>1813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0.0906847035646163</v>
      </c>
      <c r="S89" s="96" t="n">
        <f aca="false">IF(ISNUMBER(Q89),R89/(R89+Q89),"SLO 不可達")</f>
        <v>0.63609601991434</v>
      </c>
      <c r="T89" s="96" t="n">
        <f aca="false">IF(ISNUMBER(Q89),R89*AL_HoldTrain/(R89*AL_HoldTrain+Q89*(I89*$C$30+J89*$D$30+K89*$E$30+L89*$F$30)),"SLO 不可達")</f>
        <v>0.663556558253475</v>
      </c>
      <c r="U89" s="107" t="n">
        <f aca="false">R89*AL_HoldTrain</f>
        <v>1.15731961755801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1853</v>
      </c>
      <c r="B90" s="51" t="s">
        <v>1814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0.0906847035646163</v>
      </c>
      <c r="S90" s="96" t="n">
        <f aca="false">IF(ISNUMBER(Q90),R90/(R90+Q90),"SLO 不可達")</f>
        <v>0.63609601991434</v>
      </c>
      <c r="T90" s="96" t="n">
        <f aca="false">IF(ISNUMBER(Q90),R90*AL_HoldTrain/(R90*AL_HoldTrain+Q90*(I90*$C$30+J90*$D$30+K90*$E$30+L90*$F$30)),"SLO 不可達")</f>
        <v>0.663556558253475</v>
      </c>
      <c r="U90" s="107" t="n">
        <f aca="false">R90*AL_HoldTrain</f>
        <v>1.15731961755801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1854</v>
      </c>
      <c r="B91" s="51" t="s">
        <v>1814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0.0906847035646163</v>
      </c>
      <c r="S91" s="96" t="n">
        <f aca="false">IF(ISNUMBER(Q91),R91/(R91+Q91),"SLO 不可達")</f>
        <v>0.63609601991434</v>
      </c>
      <c r="T91" s="96" t="n">
        <f aca="false">IF(ISNUMBER(Q91),R91*AL_HoldTrain/(R91*AL_HoldTrain+Q91*(I91*$C$30+J91*$D$30+K91*$E$30+L91*$F$30)),"SLO 不可達")</f>
        <v>0.663556558253475</v>
      </c>
      <c r="U91" s="107" t="n">
        <f aca="false">R91*AL_HoldTrain</f>
        <v>1.15731961755801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1855</v>
      </c>
      <c r="B92" s="51" t="s">
        <v>1815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0.0906847035646163</v>
      </c>
      <c r="S92" s="96" t="n">
        <f aca="false">IF(ISNUMBER(Q92),R92/(R92+Q92),"SLO 不可達")</f>
        <v>0.63609601991434</v>
      </c>
      <c r="T92" s="96" t="n">
        <f aca="false">IF(ISNUMBER(Q92),R92*AL_HoldTrain/(R92*AL_HoldTrain+Q92*(I92*$C$30+J92*$D$30+K92*$E$30+L92*$F$30)),"SLO 不可達")</f>
        <v>0.663556558253475</v>
      </c>
      <c r="U92" s="107" t="n">
        <f aca="false">R92*AL_HoldTrain</f>
        <v>1.15731961755801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1856</v>
      </c>
      <c r="B93" s="51" t="s">
        <v>1815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0.0906847035646163</v>
      </c>
      <c r="S93" s="96" t="n">
        <f aca="false">IF(ISNUMBER(Q93),R93/(R93+Q93),"SLO 不可達")</f>
        <v>0.63609601991434</v>
      </c>
      <c r="T93" s="96" t="n">
        <f aca="false">IF(ISNUMBER(Q93),R93*AL_HoldTrain/(R93*AL_HoldTrain+Q93*(I93*$C$30+J93*$D$30+K93*$E$30+L93*$F$30)),"SLO 不可達")</f>
        <v>0.663556558253475</v>
      </c>
      <c r="U93" s="107" t="n">
        <f aca="false">R93*AL_HoldTrain</f>
        <v>1.15731961755801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1857</v>
      </c>
      <c r="B94" s="66" t="s">
        <v>1858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0.0906847035646163</v>
      </c>
      <c r="S94" s="96" t="n">
        <f aca="false">IF(ISNUMBER(Q94),R94/(R94+Q94),"SLO 不可達")</f>
        <v>0.63609601991434</v>
      </c>
      <c r="T94" s="96" t="n">
        <f aca="false">IF(ISNUMBER(Q94),R94*AL_HoldTrain/(R94*AL_HoldTrain+Q94*(I94*$C$30+J94*$D$30+K94*$E$30+L94*$F$30)),"SLO 不可達")</f>
        <v>0.663556558253475</v>
      </c>
      <c r="U94" s="107" t="n">
        <f aca="false">R94*AL_HoldTrain</f>
        <v>1.15731961755801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1859</v>
      </c>
      <c r="B95" s="66" t="s">
        <v>1858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0.0906847035646163</v>
      </c>
      <c r="S95" s="96" t="n">
        <f aca="false">IF(ISNUMBER(Q95),R95/(R95+Q95),"SLO 不可達")</f>
        <v>0.63609601991434</v>
      </c>
      <c r="T95" s="96" t="n">
        <f aca="false">IF(ISNUMBER(Q95),R95*AL_HoldTrain/(R95*AL_HoldTrain+Q95*(I95*$C$30+J95*$D$30+K95*$E$30+L95*$F$30)),"SLO 不可達")</f>
        <v>0.663556558253475</v>
      </c>
      <c r="U95" s="107" t="n">
        <f aca="false">R95*AL_HoldTrain</f>
        <v>1.15731961755801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1860</v>
      </c>
      <c r="B96" s="51" t="s">
        <v>1861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0.0906847035646163</v>
      </c>
      <c r="S96" s="96" t="n">
        <f aca="false">IF(ISNUMBER(Q96),R96/(R96+Q96),"SLO 不可達")</f>
        <v>0.63609601991434</v>
      </c>
      <c r="T96" s="96" t="n">
        <f aca="false">IF(ISNUMBER(Q96),R96*AL_HoldTrain/(R96*AL_HoldTrain+Q96*(I96*$C$30+J96*$D$30+K96*$E$30+L96*$F$30)),"SLO 不可達")</f>
        <v>0.663556558253475</v>
      </c>
      <c r="U96" s="107" t="n">
        <f aca="false">R96*AL_HoldTrain</f>
        <v>1.15731961755801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1862</v>
      </c>
      <c r="B97" s="51" t="s">
        <v>1861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0.0906847035646163</v>
      </c>
      <c r="S97" s="96" t="n">
        <f aca="false">IF(ISNUMBER(Q97),R97/(R97+Q97),"SLO 不可達")</f>
        <v>0.63609601991434</v>
      </c>
      <c r="T97" s="96" t="n">
        <f aca="false">IF(ISNUMBER(Q97),R97*AL_HoldTrain/(R97*AL_HoldTrain+Q97*(I97*$C$30+J97*$D$30+K97*$E$30+L97*$F$30)),"SLO 不可達")</f>
        <v>0.663556558253475</v>
      </c>
      <c r="U97" s="107" t="n">
        <f aca="false">R97*AL_HoldTrain</f>
        <v>1.15731961755801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1863</v>
      </c>
      <c r="B98" s="66" t="s">
        <v>1818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0.0906847035646163</v>
      </c>
      <c r="S98" s="96" t="n">
        <f aca="false">IF(ISNUMBER(Q98),R98/(R98+Q98),"SLO 不可達")</f>
        <v>0.63609601991434</v>
      </c>
      <c r="T98" s="96" t="n">
        <f aca="false">IF(ISNUMBER(Q98),R98*AL_HoldTrain/(R98*AL_HoldTrain+Q98*(I98*$C$30+J98*$D$30+K98*$E$30+L98*$F$30)),"SLO 不可達")</f>
        <v>0.663556558253475</v>
      </c>
      <c r="U98" s="107" t="n">
        <f aca="false">R98*AL_HoldTrain</f>
        <v>1.15731961755801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1864</v>
      </c>
      <c r="B99" s="66" t="s">
        <v>1818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0.0906847035646163</v>
      </c>
      <c r="S99" s="96" t="n">
        <f aca="false">IF(ISNUMBER(Q99),R99/(R99+Q99),"SLO 不可達")</f>
        <v>0.63609601991434</v>
      </c>
      <c r="T99" s="96" t="n">
        <f aca="false">IF(ISNUMBER(Q99),R99*AL_HoldTrain/(R99*AL_HoldTrain+Q99*(I99*$C$30+J99*$D$30+K99*$E$30+L99*$F$30)),"SLO 不可達")</f>
        <v>0.663556558253475</v>
      </c>
      <c r="U99" s="107" t="n">
        <f aca="false">R99*AL_HoldTrain</f>
        <v>1.15731961755801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1865</v>
      </c>
      <c r="B100" s="66" t="s">
        <v>1848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0.63609601991434</v>
      </c>
      <c r="T100" s="96" t="n">
        <f aca="false">IF(ISNUMBER(Q100),R100*AL_HoldTrain/(R100*AL_HoldTrain+Q100*(I100*$C$30+J100*$D$30+K100*$E$30+L100*$F$30)),"SLO 不可達")</f>
        <v>0.663556558253475</v>
      </c>
      <c r="U100" s="107" t="n">
        <f aca="false">R100*AL_HoldTrain</f>
        <v>1.15731961755801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1866</v>
      </c>
      <c r="B101" s="66" t="s">
        <v>1848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0.63609601991434</v>
      </c>
      <c r="T101" s="96" t="n">
        <f aca="false">IF(ISNUMBER(Q101),R101*AL_HoldTrain/(R101*AL_HoldTrain+Q101*(I101*$C$30+J101*$D$30+K101*$E$30+L101*$F$30)),"SLO 不可達")</f>
        <v>0.663556558253475</v>
      </c>
      <c r="U101" s="107" t="n">
        <f aca="false">R101*AL_HoldTrain</f>
        <v>1.15731961755801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0" t="s">
        <v>1867</v>
      </c>
    </row>
    <row r="2" customFormat="false" ht="15" hidden="false" customHeight="false" outlineLevel="0" collapsed="false">
      <c r="A2" s="66" t="s">
        <v>1868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331</v>
      </c>
      <c r="B50" s="51" t="s">
        <v>81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1" t="s">
        <v>77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721</v>
      </c>
      <c r="B53" s="51" t="s">
        <v>77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723</v>
      </c>
      <c r="B55" s="51" t="s">
        <v>479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739</v>
      </c>
      <c r="B75" s="51" t="s">
        <v>336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743</v>
      </c>
      <c r="B79" s="51" t="s">
        <v>469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744</v>
      </c>
      <c r="B80" s="51" t="s">
        <v>469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747</v>
      </c>
      <c r="B83" s="51" t="s">
        <v>469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749</v>
      </c>
      <c r="B85" s="66" t="s">
        <v>1870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751</v>
      </c>
      <c r="B87" s="66" t="s">
        <v>1870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752</v>
      </c>
      <c r="B88" s="51" t="s">
        <v>336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757</v>
      </c>
      <c r="B93" s="51" t="s">
        <v>758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760</v>
      </c>
      <c r="B95" s="51" t="s">
        <v>336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763</v>
      </c>
      <c r="B98" s="51" t="s">
        <v>1871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767</v>
      </c>
      <c r="B101" s="51" t="s">
        <v>768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770</v>
      </c>
      <c r="B103" s="51" t="s">
        <v>768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0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331</v>
      </c>
      <c r="B50" s="51" t="s">
        <v>81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1" t="s">
        <v>77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721</v>
      </c>
      <c r="B53" s="51" t="s">
        <v>77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723</v>
      </c>
      <c r="B55" s="51" t="s">
        <v>479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739</v>
      </c>
      <c r="B75" s="51" t="s">
        <v>336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743</v>
      </c>
      <c r="B79" s="51" t="s">
        <v>469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744</v>
      </c>
      <c r="B80" s="51" t="s">
        <v>469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747</v>
      </c>
      <c r="B83" s="51" t="s">
        <v>469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749</v>
      </c>
      <c r="B85" s="66" t="s">
        <v>1870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751</v>
      </c>
      <c r="B87" s="66" t="s">
        <v>1870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752</v>
      </c>
      <c r="B88" s="51" t="s">
        <v>336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767</v>
      </c>
      <c r="B101" s="51" t="s">
        <v>768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770</v>
      </c>
      <c r="B103" s="51" t="s">
        <v>768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0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1003</v>
      </c>
      <c r="B59" s="51" t="s">
        <v>768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1004</v>
      </c>
      <c r="B60" s="51" t="s">
        <v>768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1009</v>
      </c>
      <c r="B65" s="51" t="s">
        <v>986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1019</v>
      </c>
      <c r="B75" s="51" t="s">
        <v>986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1028</v>
      </c>
      <c r="B84" s="51" t="s">
        <v>768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1030</v>
      </c>
      <c r="B86" s="51" t="s">
        <v>986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1031</v>
      </c>
      <c r="B87" s="51" t="s">
        <v>986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1034</v>
      </c>
      <c r="B90" s="51" t="s">
        <v>986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1039</v>
      </c>
      <c r="B95" s="51" t="s">
        <v>768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1041</v>
      </c>
      <c r="B97" s="51" t="s">
        <v>986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1043</v>
      </c>
      <c r="B100" s="51" t="s">
        <v>986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1047</v>
      </c>
      <c r="B104" s="51" t="s">
        <v>986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1048</v>
      </c>
      <c r="B105" s="51" t="s">
        <v>986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1049</v>
      </c>
      <c r="B106" s="51" t="s">
        <v>986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1063</v>
      </c>
      <c r="B120" s="51" t="s">
        <v>986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0" t="s">
        <v>1876</v>
      </c>
    </row>
    <row r="2" customFormat="false" ht="15" hidden="false" customHeight="false" outlineLevel="0" collapsed="false">
      <c r="A2" s="66" t="s">
        <v>1877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820</v>
      </c>
      <c r="B13" s="51" t="s">
        <v>758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822</v>
      </c>
      <c r="B15" s="51" t="s">
        <v>758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823</v>
      </c>
      <c r="B16" s="51" t="s">
        <v>772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825</v>
      </c>
      <c r="B18" s="51" t="s">
        <v>772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820</v>
      </c>
      <c r="B26" s="51" t="s">
        <v>758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822</v>
      </c>
      <c r="B28" s="51" t="s">
        <v>758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823</v>
      </c>
      <c r="B29" s="51" t="s">
        <v>772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825</v>
      </c>
      <c r="B31" s="51" t="s">
        <v>772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820</v>
      </c>
      <c r="B39" s="51" t="s">
        <v>758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822</v>
      </c>
      <c r="B41" s="51" t="s">
        <v>758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823</v>
      </c>
      <c r="B42" s="51" t="s">
        <v>772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825</v>
      </c>
      <c r="B44" s="51" t="s">
        <v>772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0" t="s">
        <v>1878</v>
      </c>
    </row>
    <row r="2" customFormat="false" ht="15" hidden="false" customHeight="false" outlineLevel="0" collapsed="false">
      <c r="A2" s="66" t="s">
        <v>1879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1880</v>
      </c>
      <c r="B21" s="51" t="s">
        <v>1871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1881</v>
      </c>
      <c r="B23" s="51" t="s">
        <v>772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1882</v>
      </c>
      <c r="B25" s="51" t="s">
        <v>772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1883</v>
      </c>
      <c r="B31" s="51" t="s">
        <v>1871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1884</v>
      </c>
      <c r="B33" s="51" t="s">
        <v>772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1885</v>
      </c>
      <c r="B35" s="51" t="s">
        <v>772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1886</v>
      </c>
      <c r="B41" s="51" t="s">
        <v>1871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1887</v>
      </c>
      <c r="B43" s="51" t="s">
        <v>772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1888</v>
      </c>
      <c r="B45" s="51" t="s">
        <v>772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1889</v>
      </c>
      <c r="B60" s="51" t="s">
        <v>842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1890</v>
      </c>
      <c r="B69" s="51" t="s">
        <v>842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1891</v>
      </c>
      <c r="B78" s="51" t="s">
        <v>842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0" t="s">
        <v>1892</v>
      </c>
    </row>
    <row r="2" customFormat="false" ht="15" hidden="false" customHeight="false" outlineLevel="0" collapsed="false">
      <c r="A2" s="66" t="s">
        <v>1893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1317</v>
      </c>
      <c r="B18" s="66" t="s">
        <v>1318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1319</v>
      </c>
      <c r="B19" s="51" t="s">
        <v>1871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1320</v>
      </c>
      <c r="B20" s="51" t="s">
        <v>1871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1321</v>
      </c>
      <c r="B21" s="51" t="s">
        <v>1871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1322</v>
      </c>
      <c r="B22" s="51" t="s">
        <v>1871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1324</v>
      </c>
      <c r="B24" s="51" t="s">
        <v>1871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1325</v>
      </c>
      <c r="B25" s="51" t="s">
        <v>1871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1327</v>
      </c>
      <c r="B27" s="51" t="s">
        <v>1871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1328</v>
      </c>
      <c r="B28" s="51" t="s">
        <v>1871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0" t="s">
        <v>1894</v>
      </c>
    </row>
    <row r="2" customFormat="false" ht="15" hidden="false" customHeight="false" outlineLevel="0" collapsed="false">
      <c r="A2" s="66" t="s">
        <v>1895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1337</v>
      </c>
      <c r="B10" s="51" t="s">
        <v>842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1338</v>
      </c>
      <c r="B11" s="51" t="s">
        <v>1871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1339</v>
      </c>
      <c r="B12" s="51" t="s">
        <v>1340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1341</v>
      </c>
      <c r="B13" s="51" t="s">
        <v>772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0.000408032834961033</v>
      </c>
      <c r="M13" s="165" t="n">
        <f aca="false">IF(ISNUMBER(Amortize_Prod!M12),IF(Amortize_Prod!M12&gt;0,Amortize_Prod!M10*1000000/Amortize_Prod!M12,0),"SLO 不可達")</f>
        <v>0.000529377915861387</v>
      </c>
      <c r="N13" s="165" t="n">
        <f aca="false">IF(ISNUMBER(Amortize_Prod!N12),IF(Amortize_Prod!N12&gt;0,Amortize_Prod!N10*1000000/Amortize_Prod!N12,0),"SLO 不可達")</f>
        <v>0.000857742544271429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0.000292417363804563</v>
      </c>
      <c r="AC13" s="165" t="n">
        <f aca="false">IF(ISNUMBER(Amortize_Prod!AC12),IF(Amortize_Prod!AC12&gt;0,Amortize_Prod!AC10*1000000/Amortize_Prod!AC12,0),"SLO 不可達")</f>
        <v>0.000379379504169864</v>
      </c>
      <c r="AD13" s="165" t="n">
        <f aca="false">IF(ISNUMBER(Amortize_Prod!AD12),IF(Amortize_Prod!AD12&gt;0,Amortize_Prod!AD10*1000000/Amortize_Prod!AD12,0),"SLO 不可達")</f>
        <v>0.00061470252422902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1342</v>
      </c>
      <c r="B14" s="51" t="s">
        <v>772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1337</v>
      </c>
      <c r="B19" s="51" t="s">
        <v>842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1338</v>
      </c>
      <c r="B20" s="51" t="s">
        <v>1871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1339</v>
      </c>
      <c r="B21" s="51" t="s">
        <v>1340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1345</v>
      </c>
      <c r="B22" s="51" t="s">
        <v>772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0.00473985555045092</v>
      </c>
      <c r="M22" s="165" t="n">
        <f aca="false">IF(ISNUMBER(Amortize_Prod!M21),IF(Amortize_Prod!M21&gt;0,Amortize_Prod!M19*1000000/Amortize_Prod!M21,0),"SLO 不可達")</f>
        <v>0.00614944347069852</v>
      </c>
      <c r="N22" s="165" t="n">
        <f aca="false">IF(ISNUMBER(Amortize_Prod!N21),IF(Amortize_Prod!N21&gt;0,Amortize_Prod!N19*1000000/Amortize_Prod!N21,0),"SLO 不可達")</f>
        <v>0.00996384460018048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0.00344822951444708</v>
      </c>
      <c r="AC22" s="165" t="n">
        <f aca="false">IF(ISNUMBER(Amortize_Prod!AC21),IF(Amortize_Prod!AC21&gt;0,Amortize_Prod!AC19*1000000/Amortize_Prod!AC21,0),"SLO 不可達")</f>
        <v>0.00447370014705813</v>
      </c>
      <c r="AD22" s="165" t="n">
        <f aca="false">IF(ISNUMBER(Amortize_Prod!AD21),IF(Amortize_Prod!AD21&gt;0,Amortize_Prod!AD19*1000000/Amortize_Prod!AD21,0),"SLO 不可達")</f>
        <v>0.00724866457680086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1342</v>
      </c>
      <c r="B23" s="51" t="s">
        <v>772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1337</v>
      </c>
      <c r="B29" s="51" t="s">
        <v>842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1338</v>
      </c>
      <c r="B30" s="51" t="s">
        <v>1871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1339</v>
      </c>
      <c r="B31" s="51" t="s">
        <v>1340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1348</v>
      </c>
      <c r="B32" s="51" t="s">
        <v>772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0.192782321685446</v>
      </c>
      <c r="M32" s="165" t="n">
        <f aca="false">IF(ISNUMBER(Amortize_Prod!M31),IF(Amortize_Prod!M31&gt;0,Amortize_Prod!M29*1000000/Amortize_Prod!M31,0),"SLO 不可達")</f>
        <v>0.250113948987725</v>
      </c>
      <c r="N32" s="165" t="n">
        <f aca="false">IF(ISNUMBER(Amortize_Prod!N31),IF(Amortize_Prod!N31&gt;0,Amortize_Prod!N29*1000000/Amortize_Prod!N31,0),"SLO 不可達")</f>
        <v>0.405255618971985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0.140804062409482</v>
      </c>
      <c r="AC32" s="165" t="n">
        <f aca="false">IF(ISNUMBER(Amortize_Prod!AC31),IF(Amortize_Prod!AC31&gt;0,Amortize_Prod!AC29*1000000/Amortize_Prod!AC31,0),"SLO 不可達")</f>
        <v>0.182677850203567</v>
      </c>
      <c r="AD32" s="165" t="n">
        <f aca="false">IF(ISNUMBER(Amortize_Prod!AD31),IF(Amortize_Prod!AD31&gt;0,Amortize_Prod!AD29*1000000/Amortize_Prod!AD31,0),"SLO 不可達")</f>
        <v>0.295989989987929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1342</v>
      </c>
      <c r="B33" s="51" t="s">
        <v>772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0" t="s">
        <v>1896</v>
      </c>
    </row>
    <row r="2" customFormat="false" ht="15" hidden="false" customHeight="false" outlineLevel="0" collapsed="false">
      <c r="A2" s="66" t="s">
        <v>1897</v>
      </c>
    </row>
    <row r="3" customFormat="false" ht="15" hidden="false" customHeight="false" outlineLevel="0" collapsed="false">
      <c r="S3" s="52" t="s">
        <v>1869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1367</v>
      </c>
      <c r="B10" s="51" t="s">
        <v>1871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1368</v>
      </c>
      <c r="B11" s="51" t="s">
        <v>1898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1375</v>
      </c>
      <c r="B17" s="51" t="s">
        <v>772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1376</v>
      </c>
      <c r="B18" s="51" t="s">
        <v>772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1367</v>
      </c>
      <c r="B28" s="51" t="s">
        <v>1871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1385</v>
      </c>
      <c r="B29" s="51" t="s">
        <v>1898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1375</v>
      </c>
      <c r="B35" s="51" t="s">
        <v>772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1387</v>
      </c>
      <c r="B36" s="51" t="s">
        <v>772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1367</v>
      </c>
      <c r="B46" s="51" t="s">
        <v>1871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1390</v>
      </c>
      <c r="B47" s="51" t="s">
        <v>1898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1375</v>
      </c>
      <c r="B53" s="51" t="s">
        <v>772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1392</v>
      </c>
      <c r="B54" s="51" t="s">
        <v>772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1398</v>
      </c>
      <c r="B67" s="51" t="s">
        <v>1898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2" t="s">
        <v>1899</v>
      </c>
    </row>
    <row r="90" customFormat="false" ht="15" hidden="false" customHeight="false" outlineLevel="0" collapsed="false">
      <c r="A90" s="51" t="s">
        <v>1900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1" t="s">
        <v>1901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1" t="s">
        <v>1902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1" t="s">
        <v>1903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1" t="s">
        <v>1904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1" t="s">
        <v>1905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1" t="s">
        <v>1906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1907</v>
      </c>
    </row>
    <row r="2" customFormat="false" ht="15" hidden="false" customHeight="true" outlineLevel="0" collapsed="false">
      <c r="A2" s="3" t="s">
        <v>1908</v>
      </c>
    </row>
    <row r="3" customFormat="false" ht="15" hidden="false" customHeight="true" outlineLevel="0" collapsed="false">
      <c r="A3" s="37" t="s">
        <v>1909</v>
      </c>
    </row>
    <row r="4" customFormat="false" ht="15" hidden="false" customHeight="true" outlineLevel="0" collapsed="false">
      <c r="A4" s="20" t="s">
        <v>1910</v>
      </c>
      <c r="B4" s="20" t="s">
        <v>61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28" t="s">
        <v>62</v>
      </c>
      <c r="D5" s="28" t="s">
        <v>63</v>
      </c>
      <c r="E5" s="28" t="s">
        <v>64</v>
      </c>
      <c r="F5" s="28" t="s">
        <v>62</v>
      </c>
      <c r="G5" s="28" t="s">
        <v>63</v>
      </c>
      <c r="H5" s="28" t="s">
        <v>64</v>
      </c>
      <c r="I5" s="28" t="s">
        <v>62</v>
      </c>
      <c r="J5" s="28" t="s">
        <v>63</v>
      </c>
      <c r="K5" s="28" t="s">
        <v>64</v>
      </c>
      <c r="L5" s="28" t="s">
        <v>62</v>
      </c>
      <c r="M5" s="28" t="s">
        <v>63</v>
      </c>
      <c r="N5" s="28" t="s">
        <v>64</v>
      </c>
      <c r="O5" s="28" t="s">
        <v>62</v>
      </c>
      <c r="P5" s="28" t="s">
        <v>63</v>
      </c>
      <c r="Q5" s="28" t="s">
        <v>64</v>
      </c>
    </row>
    <row r="6" customFormat="false" ht="15" hidden="false" customHeight="true" outlineLevel="0" collapsed="false">
      <c r="A6" s="20" t="s">
        <v>1911</v>
      </c>
      <c r="B6" s="21" t="s">
        <v>706</v>
      </c>
      <c r="C6" s="27" t="n">
        <f aca="false">(DC_Cost!C12)/CTL_GW</f>
        <v>22439</v>
      </c>
      <c r="D6" s="166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66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66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66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66" t="n">
        <f aca="false">(DC_Cost!P12)/CTL_GW</f>
        <v>2705</v>
      </c>
      <c r="Q6" s="27" t="n">
        <f aca="false">(DC_Cost!Q12)/CTL_GW</f>
        <v>2705</v>
      </c>
    </row>
    <row r="7" customFormat="false" ht="15" hidden="false" customHeight="true" outlineLevel="0" collapsed="false">
      <c r="A7" s="20" t="s">
        <v>1912</v>
      </c>
      <c r="B7" s="21" t="s">
        <v>700</v>
      </c>
      <c r="C7" s="27" t="n">
        <f aca="false">(DC_Cost!C14)/CTL_GW</f>
        <v>718048</v>
      </c>
      <c r="D7" s="166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66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66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66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66" t="n">
        <f aca="false">(DC_Cost!P14)/CTL_GW</f>
        <v>194760</v>
      </c>
      <c r="Q7" s="27" t="n">
        <f aca="false">(DC_Cost!Q14)/CTL_GW</f>
        <v>194760</v>
      </c>
    </row>
    <row r="8" customFormat="false" ht="15" hidden="false" customHeight="true" outlineLevel="0" collapsed="false">
      <c r="A8" s="20" t="s">
        <v>1913</v>
      </c>
      <c r="B8" s="16" t="s">
        <v>69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20" t="s">
        <v>1914</v>
      </c>
      <c r="B9" s="16" t="s">
        <v>844</v>
      </c>
      <c r="C9" s="30" t="n">
        <f aca="false">(DC_Cost!C24)/CTL_GW</f>
        <v>21.4202694</v>
      </c>
      <c r="D9" s="168" t="n">
        <f aca="false">(DC_Cost!D24)/CTL_GW</f>
        <v>27.510214</v>
      </c>
      <c r="E9" s="30" t="n">
        <f aca="false">(DC_Cost!E24)/CTL_GW</f>
        <v>34.1207434</v>
      </c>
      <c r="F9" s="30" t="n">
        <f aca="false">(DC_Cost!F24)/CTL_GW</f>
        <v>20.6393904</v>
      </c>
      <c r="G9" s="168" t="n">
        <f aca="false">(DC_Cost!G24)/CTL_GW</f>
        <v>24.015174</v>
      </c>
      <c r="H9" s="30" t="n">
        <f aca="false">(DC_Cost!H24)/CTL_GW</f>
        <v>27.6502044</v>
      </c>
      <c r="I9" s="30" t="n">
        <f aca="false">(DC_Cost!I24)/CTL_GW</f>
        <v>28.5549024</v>
      </c>
      <c r="J9" s="168" t="n">
        <f aca="false">(DC_Cost!J24)/CTL_GW</f>
        <v>37.445504</v>
      </c>
      <c r="K9" s="30" t="n">
        <f aca="false">(DC_Cost!K24)/CTL_GW</f>
        <v>50.9505064</v>
      </c>
      <c r="L9" s="30" t="n">
        <f aca="false">(DC_Cost!L24)/CTL_GW</f>
        <v>33.2734032</v>
      </c>
      <c r="M9" s="168" t="n">
        <f aca="false">(DC_Cost!M24)/CTL_GW</f>
        <v>37.586352</v>
      </c>
      <c r="N9" s="30" t="n">
        <f aca="false">(DC_Cost!N24)/CTL_GW</f>
        <v>42.6375752</v>
      </c>
      <c r="O9" s="30" t="n">
        <f aca="false">(DC_Cost!O24)/CTL_GW</f>
        <v>35.845578</v>
      </c>
      <c r="P9" s="168" t="n">
        <f aca="false">(DC_Cost!P24)/CTL_GW</f>
        <v>50.08578</v>
      </c>
      <c r="Q9" s="30" t="n">
        <f aca="false">(DC_Cost!Q24)/CTL_GW</f>
        <v>65.481558</v>
      </c>
    </row>
    <row r="10" customFormat="false" ht="15" hidden="false" customHeight="true" outlineLevel="0" collapsed="false">
      <c r="A10" s="20" t="s">
        <v>1915</v>
      </c>
      <c r="B10" s="16" t="s">
        <v>844</v>
      </c>
      <c r="C10" s="30" t="n">
        <f aca="false">(DC_Cost!C32)/CTL_GW</f>
        <v>10.212</v>
      </c>
      <c r="D10" s="168" t="n">
        <f aca="false">(DC_Cost!D32)/CTL_GW</f>
        <v>12.67</v>
      </c>
      <c r="E10" s="30" t="n">
        <f aca="false">(DC_Cost!E32)/CTL_GW</f>
        <v>16.186</v>
      </c>
      <c r="F10" s="30" t="n">
        <f aca="false">(DC_Cost!F32)/CTL_GW</f>
        <v>10.212</v>
      </c>
      <c r="G10" s="168" t="n">
        <f aca="false">(DC_Cost!G32)/CTL_GW</f>
        <v>12.67</v>
      </c>
      <c r="H10" s="30" t="n">
        <f aca="false">(DC_Cost!H32)/CTL_GW</f>
        <v>16.186</v>
      </c>
      <c r="I10" s="30" t="n">
        <f aca="false">(DC_Cost!I32)/CTL_GW</f>
        <v>10.212</v>
      </c>
      <c r="J10" s="168" t="n">
        <f aca="false">(DC_Cost!J32)/CTL_GW</f>
        <v>12.67</v>
      </c>
      <c r="K10" s="30" t="n">
        <f aca="false">(DC_Cost!K32)/CTL_GW</f>
        <v>16.186</v>
      </c>
      <c r="L10" s="30" t="n">
        <f aca="false">(DC_Cost!L32)/CTL_GW</f>
        <v>10.212</v>
      </c>
      <c r="M10" s="168" t="n">
        <f aca="false">(DC_Cost!M32)/CTL_GW</f>
        <v>12.67</v>
      </c>
      <c r="N10" s="30" t="n">
        <f aca="false">(DC_Cost!N32)/CTL_GW</f>
        <v>16.186</v>
      </c>
      <c r="O10" s="30" t="n">
        <f aca="false">(DC_Cost!O32)/CTL_GW</f>
        <v>10.212</v>
      </c>
      <c r="P10" s="168" t="n">
        <f aca="false">(DC_Cost!P32)/CTL_GW</f>
        <v>12.67</v>
      </c>
      <c r="Q10" s="30" t="n">
        <f aca="false">(DC_Cost!Q32)/CTL_GW</f>
        <v>16.186</v>
      </c>
    </row>
    <row r="11" customFormat="false" ht="15" hidden="false" customHeight="true" outlineLevel="0" collapsed="false">
      <c r="A11" s="20" t="s">
        <v>1916</v>
      </c>
      <c r="B11" s="16" t="s">
        <v>844</v>
      </c>
      <c r="C11" s="30" t="n">
        <f aca="false">(DC_Cost!C33)/CTL_GW</f>
        <v>31.6322694</v>
      </c>
      <c r="D11" s="168" t="n">
        <f aca="false">(DC_Cost!D33)/CTL_GW</f>
        <v>40.180214</v>
      </c>
      <c r="E11" s="30" t="n">
        <f aca="false">(DC_Cost!E33)/CTL_GW</f>
        <v>50.3067434</v>
      </c>
      <c r="F11" s="30" t="n">
        <f aca="false">(DC_Cost!F33)/CTL_GW</f>
        <v>30.8513904</v>
      </c>
      <c r="G11" s="168" t="n">
        <f aca="false">(DC_Cost!G33)/CTL_GW</f>
        <v>36.685174</v>
      </c>
      <c r="H11" s="30" t="n">
        <f aca="false">(DC_Cost!H33)/CTL_GW</f>
        <v>43.8362044</v>
      </c>
      <c r="I11" s="30" t="n">
        <f aca="false">(DC_Cost!I33)/CTL_GW</f>
        <v>38.7669024</v>
      </c>
      <c r="J11" s="168" t="n">
        <f aca="false">(DC_Cost!J33)/CTL_GW</f>
        <v>50.115504</v>
      </c>
      <c r="K11" s="30" t="n">
        <f aca="false">(DC_Cost!K33)/CTL_GW</f>
        <v>67.1365064</v>
      </c>
      <c r="L11" s="30" t="n">
        <f aca="false">(DC_Cost!L33)/CTL_GW</f>
        <v>43.4854032</v>
      </c>
      <c r="M11" s="168" t="n">
        <f aca="false">(DC_Cost!M33)/CTL_GW</f>
        <v>50.256352</v>
      </c>
      <c r="N11" s="30" t="n">
        <f aca="false">(DC_Cost!N33)/CTL_GW</f>
        <v>58.8235752</v>
      </c>
      <c r="O11" s="30" t="n">
        <f aca="false">(DC_Cost!O33)/CTL_GW</f>
        <v>46.057578</v>
      </c>
      <c r="P11" s="168" t="n">
        <f aca="false">(DC_Cost!P33)/CTL_GW</f>
        <v>62.75578</v>
      </c>
      <c r="Q11" s="30" t="n">
        <f aca="false">(DC_Cost!Q33)/CTL_GW</f>
        <v>81.667558</v>
      </c>
    </row>
    <row r="12" customFormat="false" ht="15" hidden="false" customHeight="true" outlineLevel="0" collapsed="false">
      <c r="A12" s="20" t="s">
        <v>1917</v>
      </c>
      <c r="B12" s="16" t="s">
        <v>1918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20" t="s">
        <v>1919</v>
      </c>
      <c r="B13" s="16" t="s">
        <v>1918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20" t="s">
        <v>875</v>
      </c>
      <c r="B14" s="16" t="s">
        <v>817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20" t="s">
        <v>1920</v>
      </c>
      <c r="B15" s="16" t="s">
        <v>1918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1921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225</v>
      </c>
      <c r="C18" s="11"/>
    </row>
    <row r="19" customFormat="false" ht="15" hidden="false" customHeight="true" outlineLevel="0" collapsed="false">
      <c r="A19" s="172" t="s">
        <v>1922</v>
      </c>
      <c r="B19" s="36" t="s">
        <v>336</v>
      </c>
      <c r="C19" s="27" t="n">
        <f aca="false">INDEX(Perf!$C$95:$Q$95,3*(Unit_Cost!C$6-1)+1)</f>
        <v>104668.529421467</v>
      </c>
      <c r="D19" s="41" t="n">
        <f aca="false">INDEX(Perf!$C$95:$Q$95,3*(Unit_Cost!D$6-1)+1)</f>
        <v>104668.529421467</v>
      </c>
      <c r="E19" s="41" t="n">
        <f aca="false">INDEX(Perf!$C$95:$Q$95,3*(Unit_Cost!E$6-1)+1)</f>
        <v>104668.529421467</v>
      </c>
      <c r="F19" s="41" t="n">
        <f aca="false">INDEX(Perf!$C$95:$Q$95,3*(Unit_Cost!F$6-1)+1)</f>
        <v>1648540.14144621</v>
      </c>
      <c r="G19" s="41" t="n">
        <f aca="false">INDEX(Perf!$C$95:$Q$95,3*(Unit_Cost!G$6-1)+1)</f>
        <v>1648540.14144621</v>
      </c>
      <c r="H19" s="41" t="n">
        <f aca="false">INDEX(Perf!$C$95:$Q$95,3*(Unit_Cost!H$6-1)+1)</f>
        <v>1648540.14144621</v>
      </c>
      <c r="I19" s="41" t="n">
        <f aca="false">INDEX(Perf!$C$95:$Q$95,3*(Unit_Cost!I$6-1)+1)</f>
        <v>2472810.21216931</v>
      </c>
      <c r="J19" s="41" t="n">
        <f aca="false">INDEX(Perf!$C$95:$Q$95,3*(Unit_Cost!J$6-1)+1)</f>
        <v>2472810.21216931</v>
      </c>
      <c r="K19" s="41" t="n">
        <f aca="false">INDEX(Perf!$C$95:$Q$95,3*(Unit_Cost!K$6-1)+1)</f>
        <v>2472810.21216931</v>
      </c>
      <c r="L19" s="41" t="n">
        <f aca="false">INDEX(Perf!$C$95:$Q$95,3*(Unit_Cost!L$6-1)+1)</f>
        <v>6047542.53332882</v>
      </c>
      <c r="M19" s="41" t="n">
        <f aca="false">INDEX(Perf!$C$95:$Q$95,3*(Unit_Cost!M$6-1)+1)</f>
        <v>6047542.53332882</v>
      </c>
      <c r="N19" s="41" t="n">
        <f aca="false">INDEX(Perf!$C$95:$Q$95,3*(Unit_Cost!N$6-1)+1)</f>
        <v>6047542.53332882</v>
      </c>
      <c r="O19" s="41" t="n">
        <f aca="false">INDEX(Perf!$C$95:$Q$95,3*(Unit_Cost!O$6-1)+1)</f>
        <v>12242836.6707437</v>
      </c>
      <c r="P19" s="41" t="n">
        <f aca="false">INDEX(Perf!$C$95:$Q$95,3*(Unit_Cost!P$6-1)+1)</f>
        <v>12242836.6707437</v>
      </c>
      <c r="Q19" s="41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1923</v>
      </c>
      <c r="B20" s="36" t="s">
        <v>336</v>
      </c>
      <c r="C20" s="27" t="n">
        <f aca="false">INDEX(Perf!$C$96:$Q$96,3*(Unit_Cost!C$6-1)+1)</f>
        <v>11629.8366023852</v>
      </c>
      <c r="D20" s="41" t="n">
        <f aca="false">INDEX(Perf!$C$96:$Q$96,3*(Unit_Cost!D$6-1)+1)</f>
        <v>11629.8366023852</v>
      </c>
      <c r="E20" s="41" t="n">
        <f aca="false">INDEX(Perf!$C$96:$Q$96,3*(Unit_Cost!E$6-1)+1)</f>
        <v>11629.8366023852</v>
      </c>
      <c r="F20" s="41" t="n">
        <f aca="false">INDEX(Perf!$C$96:$Q$96,3*(Unit_Cost!F$6-1)+1)</f>
        <v>183171.126827357</v>
      </c>
      <c r="G20" s="41" t="n">
        <f aca="false">INDEX(Perf!$C$96:$Q$96,3*(Unit_Cost!G$6-1)+1)</f>
        <v>183171.126827357</v>
      </c>
      <c r="H20" s="41" t="n">
        <f aca="false">INDEX(Perf!$C$96:$Q$96,3*(Unit_Cost!H$6-1)+1)</f>
        <v>183171.126827357</v>
      </c>
      <c r="I20" s="41" t="n">
        <f aca="false">INDEX(Perf!$C$96:$Q$96,3*(Unit_Cost!I$6-1)+1)</f>
        <v>274756.690241035</v>
      </c>
      <c r="J20" s="41" t="n">
        <f aca="false">INDEX(Perf!$C$96:$Q$96,3*(Unit_Cost!J$6-1)+1)</f>
        <v>274756.690241035</v>
      </c>
      <c r="K20" s="41" t="n">
        <f aca="false">INDEX(Perf!$C$96:$Q$96,3*(Unit_Cost!K$6-1)+1)</f>
        <v>274756.690241035</v>
      </c>
      <c r="L20" s="41" t="n">
        <f aca="false">INDEX(Perf!$C$96:$Q$96,3*(Unit_Cost!L$6-1)+1)</f>
        <v>671949.170369869</v>
      </c>
      <c r="M20" s="41" t="n">
        <f aca="false">INDEX(Perf!$C$96:$Q$96,3*(Unit_Cost!M$6-1)+1)</f>
        <v>671949.170369869</v>
      </c>
      <c r="N20" s="41" t="n">
        <f aca="false">INDEX(Perf!$C$96:$Q$96,3*(Unit_Cost!N$6-1)+1)</f>
        <v>671949.170369869</v>
      </c>
      <c r="O20" s="41" t="n">
        <f aca="false">INDEX(Perf!$C$96:$Q$96,3*(Unit_Cost!O$6-1)+1)</f>
        <v>1360315.18563819</v>
      </c>
      <c r="P20" s="41" t="n">
        <f aca="false">INDEX(Perf!$C$96:$Q$96,3*(Unit_Cost!P$6-1)+1)</f>
        <v>1360315.18563819</v>
      </c>
      <c r="Q20" s="41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1880</v>
      </c>
      <c r="B21" s="36" t="s">
        <v>764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5" t="s">
        <v>1924</v>
      </c>
      <c r="B22" s="36" t="s">
        <v>81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5" t="s">
        <v>1881</v>
      </c>
      <c r="B23" s="36" t="s">
        <v>772</v>
      </c>
      <c r="C23" s="38" t="n">
        <f aca="false">Unit_Cost!C16</f>
        <v>0.0398626327246416</v>
      </c>
      <c r="D23" s="38" t="n">
        <f aca="false">Unit_Cost!D16</f>
        <v>0.0574917842790264</v>
      </c>
      <c r="E23" s="38" t="n">
        <f aca="false">Unit_Cost!E16</f>
        <v>0.0991205112347298</v>
      </c>
      <c r="F23" s="38" t="n">
        <f aca="false">Unit_Cost!F16</f>
        <v>0.00549112196175739</v>
      </c>
      <c r="G23" s="38" t="n">
        <f aca="false">Unit_Cost!G16</f>
        <v>0.00739142025722318</v>
      </c>
      <c r="H23" s="38" t="n">
        <f aca="false">Unit_Cost!H16</f>
        <v>0.0120249066107575</v>
      </c>
      <c r="I23" s="38" t="n">
        <f aca="false">Unit_Cost!I16</f>
        <v>0.0048203623993667</v>
      </c>
      <c r="J23" s="38" t="n">
        <f aca="false">Unit_Cost!J16</f>
        <v>0.00704428307020721</v>
      </c>
      <c r="K23" s="38" t="n">
        <f aca="false">Unit_Cost!K16</f>
        <v>0.0132152107732867</v>
      </c>
      <c r="L23" s="38" t="n">
        <f aca="false">Unit_Cost!L16</f>
        <v>0.00389577272156528</v>
      </c>
      <c r="M23" s="38" t="n">
        <f aca="false">Unit_Cost!M16</f>
        <v>0.00505433844364223</v>
      </c>
      <c r="N23" s="38" t="n">
        <f aca="false">Unit_Cost!N16</f>
        <v>0.00818946349358809</v>
      </c>
      <c r="O23" s="38" t="n">
        <f aca="false">Unit_Cost!O16</f>
        <v>0.00310046372063748</v>
      </c>
      <c r="P23" s="38" t="n">
        <f aca="false">Unit_Cost!P16</f>
        <v>0.00476670644383758</v>
      </c>
      <c r="Q23" s="38" t="n">
        <f aca="false">Unit_Cost!Q16</f>
        <v>0.00873716555814697</v>
      </c>
    </row>
    <row r="24" customFormat="false" ht="15" hidden="false" customHeight="true" outlineLevel="0" collapsed="false">
      <c r="A24" s="35" t="s">
        <v>1925</v>
      </c>
      <c r="B24" s="36" t="s">
        <v>772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6" t="s">
        <v>1882</v>
      </c>
      <c r="B25" s="36" t="s">
        <v>772</v>
      </c>
      <c r="C25" s="48" t="n">
        <f aca="false">Unit_Cost!C18</f>
        <v>0.531682545444821</v>
      </c>
      <c r="D25" s="48" t="n">
        <f aca="false">Unit_Cost!D18</f>
        <v>0.766817847149911</v>
      </c>
      <c r="E25" s="48" t="n">
        <f aca="false">Unit_Cost!E18</f>
        <v>1.32205632485723</v>
      </c>
      <c r="F25" s="48" t="n">
        <f aca="false">Unit_Cost!F18</f>
        <v>0.125315671755568</v>
      </c>
      <c r="G25" s="48" t="n">
        <f aca="false">Unit_Cost!G18</f>
        <v>0.168683340346932</v>
      </c>
      <c r="H25" s="48" t="n">
        <f aca="false">Unit_Cost!H18</f>
        <v>0.274426476086278</v>
      </c>
      <c r="I25" s="48" t="n">
        <f aca="false">Unit_Cost!I18</f>
        <v>0.110007928505123</v>
      </c>
      <c r="J25" s="48" t="n">
        <f aca="false">Unit_Cost!J18</f>
        <v>0.16076114701646</v>
      </c>
      <c r="K25" s="48" t="n">
        <f aca="false">Unit_Cost!K18</f>
        <v>0.301591009447516</v>
      </c>
      <c r="L25" s="48" t="n">
        <f aca="false">Unit_Cost!L18</f>
        <v>0.0833946358175752</v>
      </c>
      <c r="M25" s="48" t="n">
        <f aca="false">Unit_Cost!M18</f>
        <v>0.108195406645015</v>
      </c>
      <c r="N25" s="48" t="n">
        <f aca="false">Unit_Cost!N18</f>
        <v>0.175307281610283</v>
      </c>
      <c r="O25" s="48" t="n">
        <f aca="false">Unit_Cost!O18</f>
        <v>0.0652695784736312</v>
      </c>
      <c r="P25" s="48" t="n">
        <f aca="false">Unit_Cost!P18</f>
        <v>0.10034657661882</v>
      </c>
      <c r="Q25" s="48" t="n">
        <f aca="false">Unit_Cost!Q18</f>
        <v>0.18393090983091</v>
      </c>
    </row>
    <row r="26" customFormat="false" ht="15" hidden="false" customHeight="true" outlineLevel="0" collapsed="false">
      <c r="A26" s="36" t="s">
        <v>1926</v>
      </c>
      <c r="B26" s="36" t="s">
        <v>772</v>
      </c>
      <c r="C26" s="38" t="n">
        <f aca="false">Unit_Cost!C22</f>
        <v>0.410074520519514</v>
      </c>
      <c r="D26" s="38" t="n">
        <f aca="false">Unit_Cost!D22</f>
        <v>0.569415405467536</v>
      </c>
      <c r="E26" s="38" t="n">
        <f aca="false">Unit_Cost!E22</f>
        <v>0.983551394478783</v>
      </c>
      <c r="F26" s="38" t="n">
        <f aca="false">Unit_Cost!F22</f>
        <v>0.0965800146696228</v>
      </c>
      <c r="G26" s="38" t="n">
        <f aca="false">Unit_Cost!G22</f>
        <v>0.124926248193536</v>
      </c>
      <c r="H26" s="38" t="n">
        <f aca="false">Unit_Cost!H22</f>
        <v>0.20271198040945</v>
      </c>
      <c r="I26" s="38" t="n">
        <f aca="false">Unit_Cost!I22</f>
        <v>0.0853052222234209</v>
      </c>
      <c r="J26" s="38" t="n">
        <f aca="false">Unit_Cost!J22</f>
        <v>0.120026154924285</v>
      </c>
      <c r="K26" s="38" t="n">
        <f aca="false">Unit_Cost!K22</f>
        <v>0.226959369988615</v>
      </c>
      <c r="L26" s="38" t="n">
        <f aca="false">Unit_Cost!L22</f>
        <v>0.0648316791871181</v>
      </c>
      <c r="M26" s="38" t="n">
        <f aca="false">Unit_Cost!M22</f>
        <v>0.0807848625989288</v>
      </c>
      <c r="N26" s="38" t="n">
        <f aca="false">Unit_Cost!N22</f>
        <v>0.131300065189245</v>
      </c>
      <c r="O26" s="38" t="n">
        <f aca="false">Unit_Cost!O22</f>
        <v>0.0507992691060483</v>
      </c>
      <c r="P26" s="38" t="n">
        <f aca="false">Unit_Cost!P22</f>
        <v>0.0752441615961161</v>
      </c>
      <c r="Q26" s="38" t="n">
        <f aca="false">Unit_Cost!Q22</f>
        <v>0.139221036641708</v>
      </c>
    </row>
    <row r="27" customFormat="false" ht="15" hidden="false" customHeight="true" outlineLevel="0" collapsed="false">
      <c r="A27" s="36" t="s">
        <v>1927</v>
      </c>
      <c r="B27" s="36" t="s">
        <v>788</v>
      </c>
      <c r="C27" s="43" t="n">
        <f aca="false">INDEX(Perf!$C$117:$Q$117,3*(Unit_Cost!C$6-1)+1)</f>
        <v>3.191113701874</v>
      </c>
      <c r="D27" s="43" t="n">
        <f aca="false">INDEX(Perf!$C$117:$Q$117,3*(Unit_Cost!D$6-1)+1)</f>
        <v>3.191113701874</v>
      </c>
      <c r="E27" s="43" t="n">
        <f aca="false">INDEX(Perf!$C$117:$Q$117,3*(Unit_Cost!E$6-1)+1)</f>
        <v>3.191113701874</v>
      </c>
      <c r="F27" s="43" t="n">
        <f aca="false">INDEX(Perf!$C$117:$Q$117,3*(Unit_Cost!F$6-1)+1)</f>
        <v>15.611175581877</v>
      </c>
      <c r="G27" s="43" t="n">
        <f aca="false">INDEX(Perf!$C$117:$Q$117,3*(Unit_Cost!G$6-1)+1)</f>
        <v>15.611175581877</v>
      </c>
      <c r="H27" s="43" t="n">
        <f aca="false">INDEX(Perf!$C$117:$Q$117,3*(Unit_Cost!H$6-1)+1)</f>
        <v>15.611175581877</v>
      </c>
      <c r="I27" s="43" t="n">
        <f aca="false">INDEX(Perf!$C$117:$Q$117,3*(Unit_Cost!I$6-1)+1)</f>
        <v>22.7280350383209</v>
      </c>
      <c r="J27" s="43" t="n">
        <f aca="false">INDEX(Perf!$C$117:$Q$117,3*(Unit_Cost!J$6-1)+1)</f>
        <v>22.7280350383209</v>
      </c>
      <c r="K27" s="43" t="n">
        <f aca="false">INDEX(Perf!$C$117:$Q$117,3*(Unit_Cost!K$6-1)+1)</f>
        <v>22.7280350383209</v>
      </c>
      <c r="L27" s="43" t="n">
        <f aca="false">INDEX(Perf!$C$117:$Q$117,3*(Unit_Cost!L$6-1)+1)</f>
        <v>33.3014456681102</v>
      </c>
      <c r="M27" s="43" t="n">
        <f aca="false">INDEX(Perf!$C$117:$Q$117,3*(Unit_Cost!M$6-1)+1)</f>
        <v>33.3014456681102</v>
      </c>
      <c r="N27" s="43" t="n">
        <f aca="false">INDEX(Perf!$C$117:$Q$117,3*(Unit_Cost!N$6-1)+1)</f>
        <v>33.3014456681102</v>
      </c>
      <c r="O27" s="43" t="n">
        <f aca="false">INDEX(Perf!$C$117:$Q$117,3*(Unit_Cost!O$6-1)+1)</f>
        <v>45.0104289365576</v>
      </c>
      <c r="P27" s="43" t="n">
        <f aca="false">INDEX(Perf!$C$117:$Q$117,3*(Unit_Cost!P$6-1)+1)</f>
        <v>45.0104289365576</v>
      </c>
      <c r="Q27" s="43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226</v>
      </c>
    </row>
    <row r="29" customFormat="false" ht="15" hidden="false" customHeight="true" outlineLevel="0" collapsed="false">
      <c r="A29" s="35" t="s">
        <v>1928</v>
      </c>
      <c r="B29" s="36" t="s">
        <v>336</v>
      </c>
      <c r="C29" s="41" t="n">
        <f aca="false">INDEX(Perf!$C$95:$Q$95,3*(Unit_Cost!C$6-1)+2)</f>
        <v>30369.3148075447</v>
      </c>
      <c r="D29" s="41" t="n">
        <f aca="false">INDEX(Perf!$C$95:$Q$95,3*(Unit_Cost!D$6-1)+2)</f>
        <v>30369.3148075447</v>
      </c>
      <c r="E29" s="41" t="n">
        <f aca="false">INDEX(Perf!$C$95:$Q$95,3*(Unit_Cost!E$6-1)+2)</f>
        <v>30369.3148075447</v>
      </c>
      <c r="F29" s="41" t="n">
        <f aca="false">INDEX(Perf!$C$95:$Q$95,3*(Unit_Cost!F$6-1)+2)</f>
        <v>473783.155186397</v>
      </c>
      <c r="G29" s="41" t="n">
        <f aca="false">INDEX(Perf!$C$95:$Q$95,3*(Unit_Cost!G$6-1)+2)</f>
        <v>473783.155186397</v>
      </c>
      <c r="H29" s="41" t="n">
        <f aca="false">INDEX(Perf!$C$95:$Q$95,3*(Unit_Cost!H$6-1)+2)</f>
        <v>473783.155186397</v>
      </c>
      <c r="I29" s="41" t="n">
        <f aca="false">INDEX(Perf!$C$95:$Q$95,3*(Unit_Cost!I$6-1)+2)</f>
        <v>710674.732779595</v>
      </c>
      <c r="J29" s="41" t="n">
        <f aca="false">INDEX(Perf!$C$95:$Q$95,3*(Unit_Cost!J$6-1)+2)</f>
        <v>710674.732779595</v>
      </c>
      <c r="K29" s="41" t="n">
        <f aca="false">INDEX(Perf!$C$95:$Q$95,3*(Unit_Cost!K$6-1)+2)</f>
        <v>710674.732779595</v>
      </c>
      <c r="L29" s="41" t="n">
        <f aca="false">INDEX(Perf!$C$95:$Q$95,3*(Unit_Cost!L$6-1)+2)</f>
        <v>1856942.7817541</v>
      </c>
      <c r="M29" s="41" t="n">
        <f aca="false">INDEX(Perf!$C$95:$Q$95,3*(Unit_Cost!M$6-1)+2)</f>
        <v>1856942.7817541</v>
      </c>
      <c r="N29" s="41" t="n">
        <f aca="false">INDEX(Perf!$C$95:$Q$95,3*(Unit_Cost!N$6-1)+2)</f>
        <v>1856942.7817541</v>
      </c>
      <c r="O29" s="41" t="n">
        <f aca="false">INDEX(Perf!$C$95:$Q$95,3*(Unit_Cost!O$6-1)+2)</f>
        <v>3823763.31251331</v>
      </c>
      <c r="P29" s="41" t="n">
        <f aca="false">INDEX(Perf!$C$95:$Q$95,3*(Unit_Cost!P$6-1)+2)</f>
        <v>3823763.31251331</v>
      </c>
      <c r="Q29" s="41" t="n">
        <f aca="false">INDEX(Perf!$C$95:$Q$95,3*(Unit_Cost!Q$6-1)+2)</f>
        <v>3823763.31251331</v>
      </c>
    </row>
    <row r="30" customFormat="false" ht="15" hidden="false" customHeight="true" outlineLevel="0" collapsed="false">
      <c r="A30" s="35" t="s">
        <v>1929</v>
      </c>
      <c r="B30" s="36" t="s">
        <v>336</v>
      </c>
      <c r="C30" s="41" t="n">
        <f aca="false">INDEX(Perf!$C$96:$Q$96,3*(Unit_Cost!C$6-1)+2)</f>
        <v>3374.36831194942</v>
      </c>
      <c r="D30" s="41" t="n">
        <f aca="false">INDEX(Perf!$C$96:$Q$96,3*(Unit_Cost!D$6-1)+2)</f>
        <v>3374.36831194942</v>
      </c>
      <c r="E30" s="41" t="n">
        <f aca="false">INDEX(Perf!$C$96:$Q$96,3*(Unit_Cost!E$6-1)+2)</f>
        <v>3374.36831194942</v>
      </c>
      <c r="F30" s="41" t="n">
        <f aca="false">INDEX(Perf!$C$96:$Q$96,3*(Unit_Cost!F$6-1)+2)</f>
        <v>52642.5727984885</v>
      </c>
      <c r="G30" s="41" t="n">
        <f aca="false">INDEX(Perf!$C$96:$Q$96,3*(Unit_Cost!G$6-1)+2)</f>
        <v>52642.5727984885</v>
      </c>
      <c r="H30" s="41" t="n">
        <f aca="false">INDEX(Perf!$C$96:$Q$96,3*(Unit_Cost!H$6-1)+2)</f>
        <v>52642.5727984885</v>
      </c>
      <c r="I30" s="41" t="n">
        <f aca="false">INDEX(Perf!$C$96:$Q$96,3*(Unit_Cost!I$6-1)+2)</f>
        <v>78963.8591977328</v>
      </c>
      <c r="J30" s="41" t="n">
        <f aca="false">INDEX(Perf!$C$96:$Q$96,3*(Unit_Cost!J$6-1)+2)</f>
        <v>78963.8591977328</v>
      </c>
      <c r="K30" s="41" t="n">
        <f aca="false">INDEX(Perf!$C$96:$Q$96,3*(Unit_Cost!K$6-1)+2)</f>
        <v>78963.8591977328</v>
      </c>
      <c r="L30" s="41" t="n">
        <f aca="false">INDEX(Perf!$C$96:$Q$96,3*(Unit_Cost!L$6-1)+2)</f>
        <v>206326.975750455</v>
      </c>
      <c r="M30" s="41" t="n">
        <f aca="false">INDEX(Perf!$C$96:$Q$96,3*(Unit_Cost!M$6-1)+2)</f>
        <v>206326.975750455</v>
      </c>
      <c r="N30" s="41" t="n">
        <f aca="false">INDEX(Perf!$C$96:$Q$96,3*(Unit_Cost!N$6-1)+2)</f>
        <v>206326.975750455</v>
      </c>
      <c r="O30" s="41" t="n">
        <f aca="false">INDEX(Perf!$C$96:$Q$96,3*(Unit_Cost!O$6-1)+2)</f>
        <v>424862.590279257</v>
      </c>
      <c r="P30" s="41" t="n">
        <f aca="false">INDEX(Perf!$C$96:$Q$96,3*(Unit_Cost!P$6-1)+2)</f>
        <v>424862.590279257</v>
      </c>
      <c r="Q30" s="41" t="n">
        <f aca="false">INDEX(Perf!$C$96:$Q$96,3*(Unit_Cost!Q$6-1)+2)</f>
        <v>424862.590279257</v>
      </c>
    </row>
    <row r="31" customFormat="false" ht="15" hidden="false" customHeight="true" outlineLevel="0" collapsed="false">
      <c r="A31" s="35" t="s">
        <v>1883</v>
      </c>
      <c r="B31" s="36" t="s">
        <v>764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6" t="s">
        <v>1930</v>
      </c>
      <c r="B32" s="36" t="s">
        <v>81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5" t="s">
        <v>1884</v>
      </c>
      <c r="B33" s="36" t="s">
        <v>772</v>
      </c>
      <c r="C33" s="38" t="n">
        <f aca="false">Unit_Cost!C29</f>
        <v>0.13835489399644</v>
      </c>
      <c r="D33" s="38" t="n">
        <f aca="false">Unit_Cost!D29</f>
        <v>0.199542006533699</v>
      </c>
      <c r="E33" s="38" t="n">
        <f aca="false">Unit_Cost!E29</f>
        <v>0.344026645693087</v>
      </c>
      <c r="F33" s="38" t="n">
        <f aca="false">Unit_Cost!F29</f>
        <v>0.019058540417749</v>
      </c>
      <c r="G33" s="38" t="n">
        <f aca="false">Unit_Cost!G29</f>
        <v>0.0256540799308293</v>
      </c>
      <c r="H33" s="38" t="n">
        <f aca="false">Unit_Cost!H29</f>
        <v>0.0417359458152398</v>
      </c>
      <c r="I33" s="38" t="n">
        <f aca="false">Unit_Cost!I29</f>
        <v>0.0167304737094431</v>
      </c>
      <c r="J33" s="38" t="n">
        <f aca="false">Unit_Cost!J29</f>
        <v>0.0244492390703779</v>
      </c>
      <c r="K33" s="38" t="n">
        <f aca="false">Unit_Cost!K29</f>
        <v>0.0458672435990019</v>
      </c>
      <c r="L33" s="38" t="n">
        <f aca="false">Unit_Cost!L29</f>
        <v>0.0135214155484817</v>
      </c>
      <c r="M33" s="38" t="n">
        <f aca="false">Unit_Cost!M29</f>
        <v>0.017542555817192</v>
      </c>
      <c r="N33" s="38" t="n">
        <f aca="false">Unit_Cost!N29</f>
        <v>0.028423921755742</v>
      </c>
      <c r="O33" s="38" t="n">
        <f aca="false">Unit_Cost!O29</f>
        <v>0.0107610636851749</v>
      </c>
      <c r="P33" s="38" t="n">
        <f aca="false">Unit_Cost!P29</f>
        <v>0.0165442450654198</v>
      </c>
      <c r="Q33" s="38" t="n">
        <f aca="false">Unit_Cost!Q29</f>
        <v>0.0303248815244336</v>
      </c>
    </row>
    <row r="34" customFormat="false" ht="15" hidden="false" customHeight="true" outlineLevel="0" collapsed="false">
      <c r="A34" s="35" t="s">
        <v>1931</v>
      </c>
      <c r="B34" s="36" t="s">
        <v>772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6" t="s">
        <v>1885</v>
      </c>
      <c r="B35" s="36" t="s">
        <v>772</v>
      </c>
      <c r="C35" s="48" t="n">
        <f aca="false">Unit_Cost!C31</f>
        <v>1.82471646211512</v>
      </c>
      <c r="D35" s="48" t="n">
        <f aca="false">Unit_Cost!D31</f>
        <v>2.63169284214039</v>
      </c>
      <c r="E35" s="48" t="n">
        <f aca="false">Unit_Cost!E31</f>
        <v>4.53725246479951</v>
      </c>
      <c r="F35" s="48" t="n">
        <f aca="false">Unit_Cost!F31</f>
        <v>0.436422590130554</v>
      </c>
      <c r="G35" s="48" t="n">
        <f aca="false">Unit_Cost!G31</f>
        <v>0.587454220807071</v>
      </c>
      <c r="H35" s="48" t="n">
        <f aca="false">Unit_Cost!H31</f>
        <v>0.955713773194952</v>
      </c>
      <c r="I35" s="48" t="n">
        <f aca="false">Unit_Cost!I31</f>
        <v>0.383112059493625</v>
      </c>
      <c r="J35" s="48" t="n">
        <f aca="false">Unit_Cost!J31</f>
        <v>0.559864502104182</v>
      </c>
      <c r="K35" s="48" t="n">
        <f aca="false">Unit_Cost!K31</f>
        <v>1.05031659376095</v>
      </c>
      <c r="L35" s="48" t="n">
        <f aca="false">Unit_Cost!L31</f>
        <v>0.264921171426474</v>
      </c>
      <c r="M35" s="48" t="n">
        <f aca="false">Unit_Cost!M31</f>
        <v>0.343706205925063</v>
      </c>
      <c r="N35" s="48" t="n">
        <f aca="false">Unit_Cost!N31</f>
        <v>0.556901651388943</v>
      </c>
      <c r="O35" s="48" t="n">
        <f aca="false">Unit_Cost!O31</f>
        <v>0.202306055290649</v>
      </c>
      <c r="P35" s="48" t="n">
        <f aca="false">Unit_Cost!P31</f>
        <v>0.311028821579961</v>
      </c>
      <c r="Q35" s="48" t="n">
        <f aca="false">Unit_Cost!Q31</f>
        <v>0.570102300092905</v>
      </c>
    </row>
    <row r="36" customFormat="false" ht="15" hidden="false" customHeight="true" outlineLevel="0" collapsed="false">
      <c r="A36" s="36" t="s">
        <v>1932</v>
      </c>
      <c r="B36" s="36" t="s">
        <v>772</v>
      </c>
      <c r="C36" s="38" t="n">
        <f aca="false">Unit_Cost!C35</f>
        <v>1.40736184532802</v>
      </c>
      <c r="D36" s="38" t="n">
        <f aca="false">Unit_Cost!D35</f>
        <v>1.95421435787269</v>
      </c>
      <c r="E36" s="38" t="n">
        <f aca="false">Unit_Cost!E35</f>
        <v>3.37551502530559</v>
      </c>
      <c r="F36" s="38" t="n">
        <f aca="false">Unit_Cost!F35</f>
        <v>0.336348196250968</v>
      </c>
      <c r="G36" s="38" t="n">
        <f aca="false">Unit_Cost!G35</f>
        <v>0.435066389128565</v>
      </c>
      <c r="H36" s="38" t="n">
        <f aca="false">Unit_Cost!H35</f>
        <v>0.705961882511757</v>
      </c>
      <c r="I36" s="38" t="n">
        <f aca="false">Unit_Cost!I35</f>
        <v>0.297082763176056</v>
      </c>
      <c r="J36" s="38" t="n">
        <f aca="false">Unit_Cost!J35</f>
        <v>0.418001393454129</v>
      </c>
      <c r="K36" s="38" t="n">
        <f aca="false">Unit_Cost!K35</f>
        <v>0.79040549930603</v>
      </c>
      <c r="L36" s="38" t="n">
        <f aca="false">Unit_Cost!L35</f>
        <v>0.205951908386139</v>
      </c>
      <c r="M36" s="38" t="n">
        <f aca="false">Unit_Cost!M35</f>
        <v>0.256630660034907</v>
      </c>
      <c r="N36" s="38" t="n">
        <f aca="false">Unit_Cost!N35</f>
        <v>0.417103171412575</v>
      </c>
      <c r="O36" s="38" t="n">
        <f aca="false">Unit_Cost!O35</f>
        <v>0.157454667010676</v>
      </c>
      <c r="P36" s="38" t="n">
        <f aca="false">Unit_Cost!P35</f>
        <v>0.233222733655499</v>
      </c>
      <c r="Q36" s="38" t="n">
        <f aca="false">Unit_Cost!Q35</f>
        <v>0.431521995317274</v>
      </c>
    </row>
    <row r="37" customFormat="false" ht="15" hidden="false" customHeight="true" outlineLevel="0" collapsed="false">
      <c r="A37" s="36" t="s">
        <v>1933</v>
      </c>
      <c r="B37" s="36" t="s">
        <v>788</v>
      </c>
      <c r="C37" s="43" t="n">
        <f aca="false">INDEX(Perf!$C$117:$Q$117,3*(Unit_Cost!C$6-1)+2)</f>
        <v>0.925893744132461</v>
      </c>
      <c r="D37" s="43" t="n">
        <f aca="false">INDEX(Perf!$C$117:$Q$117,3*(Unit_Cost!D$6-1)+2)</f>
        <v>0.925893744132461</v>
      </c>
      <c r="E37" s="43" t="n">
        <f aca="false">INDEX(Perf!$C$117:$Q$117,3*(Unit_Cost!E$6-1)+2)</f>
        <v>0.925893744132461</v>
      </c>
      <c r="F37" s="43" t="n">
        <f aca="false">INDEX(Perf!$C$117:$Q$117,3*(Unit_Cost!F$6-1)+2)</f>
        <v>4.48658290896209</v>
      </c>
      <c r="G37" s="43" t="n">
        <f aca="false">INDEX(Perf!$C$117:$Q$117,3*(Unit_Cost!G$6-1)+2)</f>
        <v>4.48658290896209</v>
      </c>
      <c r="H37" s="43" t="n">
        <f aca="false">INDEX(Perf!$C$117:$Q$117,3*(Unit_Cost!H$6-1)+2)</f>
        <v>4.48658290896209</v>
      </c>
      <c r="I37" s="43" t="n">
        <f aca="false">INDEX(Perf!$C$117:$Q$117,3*(Unit_Cost!I$6-1)+2)</f>
        <v>6.5319368821654</v>
      </c>
      <c r="J37" s="43" t="n">
        <f aca="false">INDEX(Perf!$C$117:$Q$117,3*(Unit_Cost!J$6-1)+2)</f>
        <v>6.5319368821654</v>
      </c>
      <c r="K37" s="43" t="n">
        <f aca="false">INDEX(Perf!$C$117:$Q$117,3*(Unit_Cost!K$6-1)+2)</f>
        <v>6.5319368821654</v>
      </c>
      <c r="L37" s="43" t="n">
        <f aca="false">INDEX(Perf!$C$117:$Q$117,3*(Unit_Cost!L$6-1)+2)</f>
        <v>10.2254558466635</v>
      </c>
      <c r="M37" s="43" t="n">
        <f aca="false">INDEX(Perf!$C$117:$Q$117,3*(Unit_Cost!M$6-1)+2)</f>
        <v>10.2254558466635</v>
      </c>
      <c r="N37" s="43" t="n">
        <f aca="false">INDEX(Perf!$C$117:$Q$117,3*(Unit_Cost!N$6-1)+2)</f>
        <v>10.2254558466635</v>
      </c>
      <c r="O37" s="43" t="n">
        <f aca="false">INDEX(Perf!$C$117:$Q$117,3*(Unit_Cost!O$6-1)+2)</f>
        <v>14.0579533548284</v>
      </c>
      <c r="P37" s="43" t="n">
        <f aca="false">INDEX(Perf!$C$117:$Q$117,3*(Unit_Cost!P$6-1)+2)</f>
        <v>14.0579533548284</v>
      </c>
      <c r="Q37" s="43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227</v>
      </c>
    </row>
    <row r="39" customFormat="false" ht="15" hidden="false" customHeight="true" outlineLevel="0" collapsed="false">
      <c r="A39" s="35" t="s">
        <v>1934</v>
      </c>
      <c r="B39" s="36" t="s">
        <v>336</v>
      </c>
      <c r="C39" s="41" t="n">
        <f aca="false">INDEX(Perf!$C$95:$Q$95,3*(Unit_Cost!C$6-1)+3)</f>
        <v>5478.1224112239</v>
      </c>
      <c r="D39" s="41" t="n">
        <f aca="false">INDEX(Perf!$C$95:$Q$95,3*(Unit_Cost!D$6-1)+3)</f>
        <v>5478.1224112239</v>
      </c>
      <c r="E39" s="41" t="n">
        <f aca="false">INDEX(Perf!$C$95:$Q$95,3*(Unit_Cost!E$6-1)+3)</f>
        <v>5478.1224112239</v>
      </c>
      <c r="F39" s="41" t="n">
        <f aca="false">INDEX(Perf!$C$95:$Q$95,3*(Unit_Cost!F$6-1)+3)</f>
        <v>91192.7873461663</v>
      </c>
      <c r="G39" s="41" t="n">
        <f aca="false">INDEX(Perf!$C$95:$Q$95,3*(Unit_Cost!G$6-1)+3)</f>
        <v>91192.7873461663</v>
      </c>
      <c r="H39" s="41" t="n">
        <f aca="false">INDEX(Perf!$C$95:$Q$95,3*(Unit_Cost!H$6-1)+3)</f>
        <v>91192.7873461663</v>
      </c>
      <c r="I39" s="41" t="n">
        <f aca="false">INDEX(Perf!$C$95:$Q$95,3*(Unit_Cost!I$6-1)+3)</f>
        <v>113610.678728985</v>
      </c>
      <c r="J39" s="41" t="n">
        <f aca="false">INDEX(Perf!$C$95:$Q$95,3*(Unit_Cost!J$6-1)+3)</f>
        <v>113610.678728985</v>
      </c>
      <c r="K39" s="41" t="n">
        <f aca="false">INDEX(Perf!$C$95:$Q$95,3*(Unit_Cost!K$6-1)+3)</f>
        <v>113610.678728985</v>
      </c>
      <c r="L39" s="41" t="n">
        <f aca="false">INDEX(Perf!$C$95:$Q$95,3*(Unit_Cost!L$6-1)+3)</f>
        <v>400425.262990618</v>
      </c>
      <c r="M39" s="41" t="n">
        <f aca="false">INDEX(Perf!$C$95:$Q$95,3*(Unit_Cost!M$6-1)+3)</f>
        <v>400425.262990618</v>
      </c>
      <c r="N39" s="41" t="n">
        <f aca="false">INDEX(Perf!$C$95:$Q$95,3*(Unit_Cost!N$6-1)+3)</f>
        <v>400425.262990618</v>
      </c>
      <c r="O39" s="41" t="n">
        <f aca="false">INDEX(Perf!$C$95:$Q$95,3*(Unit_Cost!O$6-1)+3)</f>
        <v>872177.01955352</v>
      </c>
      <c r="P39" s="41" t="n">
        <f aca="false">INDEX(Perf!$C$95:$Q$95,3*(Unit_Cost!P$6-1)+3)</f>
        <v>872177.01955352</v>
      </c>
      <c r="Q39" s="41" t="n">
        <f aca="false">INDEX(Perf!$C$95:$Q$95,3*(Unit_Cost!Q$6-1)+3)</f>
        <v>872177.01955352</v>
      </c>
    </row>
    <row r="40" customFormat="false" ht="15" hidden="false" customHeight="true" outlineLevel="0" collapsed="false">
      <c r="A40" s="35" t="s">
        <v>1935</v>
      </c>
      <c r="B40" s="36" t="s">
        <v>336</v>
      </c>
      <c r="C40" s="41" t="n">
        <f aca="false">INDEX(Perf!$C$96:$Q$96,3*(Unit_Cost!C$6-1)+3)</f>
        <v>608.680267913767</v>
      </c>
      <c r="D40" s="41" t="n">
        <f aca="false">INDEX(Perf!$C$96:$Q$96,3*(Unit_Cost!D$6-1)+3)</f>
        <v>608.680267913767</v>
      </c>
      <c r="E40" s="41" t="n">
        <f aca="false">INDEX(Perf!$C$96:$Q$96,3*(Unit_Cost!E$6-1)+3)</f>
        <v>608.680267913767</v>
      </c>
      <c r="F40" s="41" t="n">
        <f aca="false">INDEX(Perf!$C$96:$Q$96,3*(Unit_Cost!F$6-1)+3)</f>
        <v>10132.5319273518</v>
      </c>
      <c r="G40" s="41" t="n">
        <f aca="false">INDEX(Perf!$C$96:$Q$96,3*(Unit_Cost!G$6-1)+3)</f>
        <v>10132.5319273518</v>
      </c>
      <c r="H40" s="41" t="n">
        <f aca="false">INDEX(Perf!$C$96:$Q$96,3*(Unit_Cost!H$6-1)+3)</f>
        <v>10132.5319273518</v>
      </c>
      <c r="I40" s="41" t="n">
        <f aca="false">INDEX(Perf!$C$96:$Q$96,3*(Unit_Cost!I$6-1)+3)</f>
        <v>12623.408747665</v>
      </c>
      <c r="J40" s="41" t="n">
        <f aca="false">INDEX(Perf!$C$96:$Q$96,3*(Unit_Cost!J$6-1)+3)</f>
        <v>12623.408747665</v>
      </c>
      <c r="K40" s="41" t="n">
        <f aca="false">INDEX(Perf!$C$96:$Q$96,3*(Unit_Cost!K$6-1)+3)</f>
        <v>12623.408747665</v>
      </c>
      <c r="L40" s="41" t="n">
        <f aca="false">INDEX(Perf!$C$96:$Q$96,3*(Unit_Cost!L$6-1)+3)</f>
        <v>44491.6958878465</v>
      </c>
      <c r="M40" s="41" t="n">
        <f aca="false">INDEX(Perf!$C$96:$Q$96,3*(Unit_Cost!M$6-1)+3)</f>
        <v>44491.6958878465</v>
      </c>
      <c r="N40" s="41" t="n">
        <f aca="false">INDEX(Perf!$C$96:$Q$96,3*(Unit_Cost!N$6-1)+3)</f>
        <v>44491.6958878465</v>
      </c>
      <c r="O40" s="41" t="n">
        <f aca="false">INDEX(Perf!$C$96:$Q$96,3*(Unit_Cost!O$6-1)+3)</f>
        <v>96908.5577281689</v>
      </c>
      <c r="P40" s="41" t="n">
        <f aca="false">INDEX(Perf!$C$96:$Q$96,3*(Unit_Cost!P$6-1)+3)</f>
        <v>96908.5577281689</v>
      </c>
      <c r="Q40" s="41" t="n">
        <f aca="false">INDEX(Perf!$C$96:$Q$96,3*(Unit_Cost!Q$6-1)+3)</f>
        <v>96908.5577281689</v>
      </c>
    </row>
    <row r="41" customFormat="false" ht="15" hidden="false" customHeight="true" outlineLevel="0" collapsed="false">
      <c r="A41" s="35" t="s">
        <v>1886</v>
      </c>
      <c r="B41" s="36" t="s">
        <v>764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6" t="s">
        <v>1936</v>
      </c>
      <c r="B42" s="36" t="s">
        <v>81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5" t="s">
        <v>1887</v>
      </c>
      <c r="B43" s="36" t="s">
        <v>772</v>
      </c>
      <c r="C43" s="38" t="n">
        <f aca="false">Unit_Cost!C42</f>
        <v>0.458985762161673</v>
      </c>
      <c r="D43" s="38" t="n">
        <f aca="false">Unit_Cost!D42</f>
        <v>0.661971089757736</v>
      </c>
      <c r="E43" s="38" t="n">
        <f aca="false">Unit_Cost!E42</f>
        <v>1.14129198914661</v>
      </c>
      <c r="F43" s="38" t="n">
        <f aca="false">Unit_Cost!F42</f>
        <v>0.0632257988615471</v>
      </c>
      <c r="G43" s="38" t="n">
        <f aca="false">Unit_Cost!G42</f>
        <v>0.0851061866298072</v>
      </c>
      <c r="H43" s="38" t="n">
        <f aca="false">Unit_Cost!H42</f>
        <v>0.138457009695942</v>
      </c>
      <c r="I43" s="38" t="n">
        <f aca="false">Unit_Cost!I42</f>
        <v>0.0555025485911051</v>
      </c>
      <c r="J43" s="38" t="n">
        <f aca="false">Unit_Cost!J42</f>
        <v>0.0811091845387063</v>
      </c>
      <c r="K43" s="38" t="n">
        <f aca="false">Unit_Cost!K42</f>
        <v>0.152162393056257</v>
      </c>
      <c r="L43" s="38" t="n">
        <f aca="false">Unit_Cost!L42</f>
        <v>0.044856651194314</v>
      </c>
      <c r="M43" s="38" t="n">
        <f aca="false">Unit_Cost!M42</f>
        <v>0.0581965922522752</v>
      </c>
      <c r="N43" s="38" t="n">
        <f aca="false">Unit_Cost!N42</f>
        <v>0.0942950047796553</v>
      </c>
      <c r="O43" s="38" t="n">
        <f aca="false">Unit_Cost!O42</f>
        <v>0.0356993155394807</v>
      </c>
      <c r="P43" s="38" t="n">
        <f aca="false">Unit_Cost!P42</f>
        <v>0.0548847439465106</v>
      </c>
      <c r="Q43" s="38" t="n">
        <f aca="false">Unit_Cost!Q42</f>
        <v>0.100601348148283</v>
      </c>
    </row>
    <row r="44" customFormat="false" ht="15" hidden="false" customHeight="true" outlineLevel="0" collapsed="false">
      <c r="A44" s="35" t="s">
        <v>1937</v>
      </c>
      <c r="B44" s="36" t="s">
        <v>772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6" t="s">
        <v>1888</v>
      </c>
      <c r="B45" s="36" t="s">
        <v>772</v>
      </c>
      <c r="C45" s="48" t="n">
        <f aca="false">Unit_Cost!C44</f>
        <v>12.5799112589712</v>
      </c>
      <c r="D45" s="48" t="n">
        <f aca="false">Unit_Cost!D44</f>
        <v>18.1433461594468</v>
      </c>
      <c r="E45" s="48" t="n">
        <f aca="false">Unit_Cost!E44</f>
        <v>31.2806041660653</v>
      </c>
      <c r="F45" s="48" t="n">
        <f aca="false">Unit_Cost!F44</f>
        <v>2.55371841545571</v>
      </c>
      <c r="G45" s="48" t="n">
        <f aca="false">Unit_Cost!G44</f>
        <v>3.43747710553532</v>
      </c>
      <c r="H45" s="48" t="n">
        <f aca="false">Unit_Cost!H44</f>
        <v>5.59234081302371</v>
      </c>
      <c r="I45" s="48" t="n">
        <f aca="false">Unit_Cost!I44</f>
        <v>2.78972017225788</v>
      </c>
      <c r="J45" s="48" t="n">
        <f aca="false">Unit_Cost!J44</f>
        <v>4.07678447218689</v>
      </c>
      <c r="K45" s="48" t="n">
        <f aca="false">Unit_Cost!K44</f>
        <v>7.64812622381274</v>
      </c>
      <c r="L45" s="48" t="n">
        <f aca="false">Unit_Cost!L44</f>
        <v>1.37133586956278</v>
      </c>
      <c r="M45" s="48" t="n">
        <f aca="false">Unit_Cost!M44</f>
        <v>1.77915810291208</v>
      </c>
      <c r="N45" s="48" t="n">
        <f aca="false">Unit_Cost!N44</f>
        <v>2.88274133115239</v>
      </c>
      <c r="O45" s="48" t="n">
        <f aca="false">Unit_Cost!O44</f>
        <v>0.978773295038209</v>
      </c>
      <c r="P45" s="48" t="n">
        <f aca="false">Unit_Cost!P44</f>
        <v>1.50478295922634</v>
      </c>
      <c r="Q45" s="48" t="n">
        <f aca="false">Unit_Cost!Q44</f>
        <v>2.75820170567374</v>
      </c>
    </row>
    <row r="46" customFormat="false" ht="15" hidden="false" customHeight="true" outlineLevel="0" collapsed="false">
      <c r="A46" s="36" t="s">
        <v>1938</v>
      </c>
      <c r="B46" s="36" t="s">
        <v>772</v>
      </c>
      <c r="C46" s="38" t="n">
        <f aca="false">Unit_Cost!C48</f>
        <v>9.70259626143025</v>
      </c>
      <c r="D46" s="38" t="n">
        <f aca="false">Unit_Cost!D48</f>
        <v>13.472692176268</v>
      </c>
      <c r="E46" s="38" t="n">
        <f aca="false">Unit_Cost!E48</f>
        <v>23.2713850909453</v>
      </c>
      <c r="F46" s="38" t="n">
        <f aca="false">Unit_Cost!F48</f>
        <v>1.96813501912094</v>
      </c>
      <c r="G46" s="38" t="n">
        <f aca="false">Unit_Cost!G48</f>
        <v>2.54578263130485</v>
      </c>
      <c r="H46" s="38" t="n">
        <f aca="false">Unit_Cost!H48</f>
        <v>4.13092241499403</v>
      </c>
      <c r="I46" s="38" t="n">
        <f aca="false">Unit_Cost!I48</f>
        <v>2.16327770615674</v>
      </c>
      <c r="J46" s="38" t="n">
        <f aca="false">Unit_Cost!J48</f>
        <v>3.04377502731754</v>
      </c>
      <c r="K46" s="38" t="n">
        <f aca="false">Unit_Cost!K48</f>
        <v>5.75552272771587</v>
      </c>
      <c r="L46" s="38" t="n">
        <f aca="false">Unit_Cost!L48</f>
        <v>1.06608783984335</v>
      </c>
      <c r="M46" s="38" t="n">
        <f aca="false">Unit_Cost!M48</f>
        <v>1.32842093155666</v>
      </c>
      <c r="N46" s="38" t="n">
        <f aca="false">Unit_Cost!N48</f>
        <v>2.15908957818121</v>
      </c>
      <c r="O46" s="38" t="n">
        <f aca="false">Unit_Cost!O48</f>
        <v>0.761778598410081</v>
      </c>
      <c r="P46" s="38" t="n">
        <f aca="false">Unit_Cost!P48</f>
        <v>1.12835072173128</v>
      </c>
      <c r="Q46" s="38" t="n">
        <f aca="false">Unit_Cost!Q48</f>
        <v>2.08773882042904</v>
      </c>
    </row>
    <row r="47" customFormat="false" ht="15" hidden="false" customHeight="true" outlineLevel="0" collapsed="false">
      <c r="A47" s="36" t="s">
        <v>1939</v>
      </c>
      <c r="B47" s="36" t="s">
        <v>788</v>
      </c>
      <c r="C47" s="43" t="n">
        <f aca="false">INDEX(Perf!$C$117:$Q$117,3*(Unit_Cost!C$6-1)+3)</f>
        <v>0.16701592717146</v>
      </c>
      <c r="D47" s="43" t="n">
        <f aca="false">INDEX(Perf!$C$117:$Q$117,3*(Unit_Cost!D$6-1)+3)</f>
        <v>0.16701592717146</v>
      </c>
      <c r="E47" s="43" t="n">
        <f aca="false">INDEX(Perf!$C$117:$Q$117,3*(Unit_Cost!E$6-1)+3)</f>
        <v>0.16701592717146</v>
      </c>
      <c r="F47" s="43" t="n">
        <f aca="false">INDEX(Perf!$C$117:$Q$117,3*(Unit_Cost!F$6-1)+3)</f>
        <v>0.863568061990211</v>
      </c>
      <c r="G47" s="43" t="n">
        <f aca="false">INDEX(Perf!$C$117:$Q$117,3*(Unit_Cost!G$6-1)+3)</f>
        <v>0.863568061990211</v>
      </c>
      <c r="H47" s="43" t="n">
        <f aca="false">INDEX(Perf!$C$117:$Q$117,3*(Unit_Cost!H$6-1)+3)</f>
        <v>0.863568061990211</v>
      </c>
      <c r="I47" s="43" t="n">
        <f aca="false">INDEX(Perf!$C$117:$Q$117,3*(Unit_Cost!I$6-1)+3)</f>
        <v>1.0442157971414</v>
      </c>
      <c r="J47" s="43" t="n">
        <f aca="false">INDEX(Perf!$C$117:$Q$117,3*(Unit_Cost!J$6-1)+3)</f>
        <v>1.0442157971414</v>
      </c>
      <c r="K47" s="43" t="n">
        <f aca="false">INDEX(Perf!$C$117:$Q$117,3*(Unit_Cost!K$6-1)+3)</f>
        <v>1.0442157971414</v>
      </c>
      <c r="L47" s="43" t="n">
        <f aca="false">INDEX(Perf!$C$117:$Q$117,3*(Unit_Cost!L$6-1)+3)</f>
        <v>2.20498492836244</v>
      </c>
      <c r="M47" s="43" t="n">
        <f aca="false">INDEX(Perf!$C$117:$Q$117,3*(Unit_Cost!M$6-1)+3)</f>
        <v>2.20498492836244</v>
      </c>
      <c r="N47" s="43" t="n">
        <f aca="false">INDEX(Perf!$C$117:$Q$117,3*(Unit_Cost!N$6-1)+3)</f>
        <v>2.20498492836244</v>
      </c>
      <c r="O47" s="43" t="n">
        <f aca="false">INDEX(Perf!$C$117:$Q$117,3*(Unit_Cost!O$6-1)+3)</f>
        <v>3.20653316012323</v>
      </c>
      <c r="P47" s="43" t="n">
        <f aca="false">INDEX(Perf!$C$117:$Q$117,3*(Unit_Cost!P$6-1)+3)</f>
        <v>3.20653316012323</v>
      </c>
      <c r="Q47" s="43" t="n">
        <f aca="false">INDEX(Perf!$C$117:$Q$117,3*(Unit_Cost!Q$6-1)+3)</f>
        <v>3.20653316012323</v>
      </c>
    </row>
    <row r="48" customFormat="false" ht="15" hidden="false" customHeight="true" outlineLevel="0" collapsed="false">
      <c r="A48" s="35" t="s">
        <v>1940</v>
      </c>
      <c r="B48" s="36" t="s">
        <v>77</v>
      </c>
      <c r="C48" s="176" t="n">
        <f aca="false">Serving!$C$17</f>
        <v>0.6</v>
      </c>
    </row>
    <row r="50" customFormat="false" ht="15" hidden="false" customHeight="true" outlineLevel="0" collapsed="false">
      <c r="A50" s="35" t="s">
        <v>1941</v>
      </c>
      <c r="C50" s="47" t="s">
        <v>1942</v>
      </c>
    </row>
    <row r="52" customFormat="false" ht="15" hidden="false" customHeight="true" outlineLevel="0" collapsed="false">
      <c r="A52" s="34" t="s">
        <v>1943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225</v>
      </c>
    </row>
    <row r="54" customFormat="false" ht="15" hidden="false" customHeight="true" outlineLevel="0" collapsed="false">
      <c r="A54" s="35" t="s">
        <v>1944</v>
      </c>
      <c r="B54" s="36" t="s">
        <v>986</v>
      </c>
      <c r="C54" s="41" t="n">
        <f aca="false">INDEX(Training!$C$106:$Q$106,3*(Unit_Cost!C$6-1)+1)</f>
        <v>6394168.86869692</v>
      </c>
      <c r="D54" s="41" t="n">
        <f aca="false">INDEX(Training!$C$106:$Q$106,3*(Unit_Cost!D$6-1)+1)</f>
        <v>6394168.86869692</v>
      </c>
      <c r="E54" s="41" t="n">
        <f aca="false">INDEX(Training!$C$106:$Q$106,3*(Unit_Cost!E$6-1)+1)</f>
        <v>6394168.86869692</v>
      </c>
      <c r="F54" s="41" t="n">
        <f aca="false">INDEX(Training!$C$106:$Q$106,3*(Unit_Cost!F$6-1)+1)</f>
        <v>2079780.169416</v>
      </c>
      <c r="G54" s="41" t="n">
        <f aca="false">INDEX(Training!$C$106:$Q$106,3*(Unit_Cost!G$6-1)+1)</f>
        <v>2079780.169416</v>
      </c>
      <c r="H54" s="41" t="n">
        <f aca="false">INDEX(Training!$C$106:$Q$106,3*(Unit_Cost!H$6-1)+1)</f>
        <v>2079780.169416</v>
      </c>
      <c r="I54" s="41" t="n">
        <f aca="false">INDEX(Training!$C$106:$Q$106,3*(Unit_Cost!I$6-1)+1)</f>
        <v>1775249.94775683</v>
      </c>
      <c r="J54" s="41" t="n">
        <f aca="false">INDEX(Training!$C$106:$Q$106,3*(Unit_Cost!J$6-1)+1)</f>
        <v>1775249.94775683</v>
      </c>
      <c r="K54" s="41" t="n">
        <f aca="false">INDEX(Training!$C$106:$Q$106,3*(Unit_Cost!K$6-1)+1)</f>
        <v>1775249.94775683</v>
      </c>
      <c r="L54" s="41" t="n">
        <f aca="false">INDEX(Training!$C$106:$Q$106,3*(Unit_Cost!L$6-1)+1)</f>
        <v>704197.648874947</v>
      </c>
      <c r="M54" s="41" t="n">
        <f aca="false">INDEX(Training!$C$106:$Q$106,3*(Unit_Cost!M$6-1)+1)</f>
        <v>704197.648874947</v>
      </c>
      <c r="N54" s="41" t="n">
        <f aca="false">INDEX(Training!$C$106:$Q$106,3*(Unit_Cost!N$6-1)+1)</f>
        <v>704197.648874947</v>
      </c>
      <c r="O54" s="41" t="n">
        <f aca="false">INDEX(Training!$C$106:$Q$106,3*(Unit_Cost!O$6-1)+1)</f>
        <v>305060.599619606</v>
      </c>
      <c r="P54" s="41" t="n">
        <f aca="false">INDEX(Training!$C$106:$Q$106,3*(Unit_Cost!P$6-1)+1)</f>
        <v>305060.599619606</v>
      </c>
      <c r="Q54" s="41" t="n">
        <f aca="false">INDEX(Training!$C$106:$Q$106,3*(Unit_Cost!Q$6-1)+1)</f>
        <v>305060.599619606</v>
      </c>
    </row>
    <row r="55" customFormat="false" ht="15" hidden="false" customHeight="true" outlineLevel="0" collapsed="false">
      <c r="A55" s="35" t="s">
        <v>1945</v>
      </c>
      <c r="B55" s="36" t="s">
        <v>842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2.71042317214205</v>
      </c>
      <c r="M55" s="177" t="n">
        <f aca="false">INDEX(Training!$C$106:$Q$106,3*(Unit_Cost!M$6-1)+1)*Unit_Cost!M$8/1000000</f>
        <v>3.51647722200591</v>
      </c>
      <c r="N55" s="177" t="n">
        <f aca="false">INDEX(Training!$C$106:$Q$106,3*(Unit_Cost!N$6-1)+1)*Unit_Cost!N$8/1000000</f>
        <v>5.69769162804601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5" t="s">
        <v>1946</v>
      </c>
      <c r="B56" s="36" t="s">
        <v>77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5" t="s">
        <v>1947</v>
      </c>
      <c r="B57" s="36" t="s">
        <v>77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0.286511860627156</v>
      </c>
      <c r="M57" s="179" t="n">
        <f aca="false">INDEX(Training!$C$111:$Q$111,3*(Unit_Cost!M$6-1)+1)</f>
        <v>0.286511860627156</v>
      </c>
      <c r="N57" s="179" t="n">
        <f aca="false">INDEX(Training!$C$111:$Q$111,3*(Unit_Cost!N$6-1)+1)</f>
        <v>0.286511860627156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6" t="s">
        <v>1948</v>
      </c>
      <c r="B58" s="36" t="s">
        <v>77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0.0746224482738129</v>
      </c>
      <c r="M58" s="178" t="n">
        <f aca="false">INDEX(Training!$C$77:$Q$77,3*(Unit_Cost!M$6-1)+1)</f>
        <v>0.0746224482738129</v>
      </c>
      <c r="N58" s="178" t="n">
        <f aca="false">INDEX(Training!$C$77:$Q$77,3*(Unit_Cost!N$6-1)+1)</f>
        <v>0.0746224482738129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5" t="s">
        <v>1949</v>
      </c>
      <c r="B59" s="36" t="s">
        <v>986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5633581.19099958</v>
      </c>
      <c r="M59" s="173" t="n">
        <f aca="false">INDEX(Training!$C$120:$Q$120,3*(Unit_Cost!M$6-1)+1)</f>
        <v>5633581.19099958</v>
      </c>
      <c r="N59" s="173" t="n">
        <f aca="false">INDEX(Training!$C$120:$Q$120,3*(Unit_Cost!N$6-1)+1)</f>
        <v>5633581.19099958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5" t="s">
        <v>1889</v>
      </c>
      <c r="B60" s="36" t="s">
        <v>842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21.6833853771364</v>
      </c>
      <c r="M60" s="173" t="n">
        <f aca="false">INDEX(Training!$C$120:$Q$120,3*(Unit_Cost!M$6-1)+1)*Unit_Cost!M$8/1000000</f>
        <v>28.1318177760473</v>
      </c>
      <c r="N60" s="173" t="n">
        <f aca="false">INDEX(Training!$C$120:$Q$120,3*(Unit_Cost!N$6-1)+1)*Unit_Cost!N$8/1000000</f>
        <v>45.5815330243681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5" t="s">
        <v>1950</v>
      </c>
      <c r="B61" s="36" t="s">
        <v>77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0.00220433968028437</v>
      </c>
      <c r="M61" s="180" t="n">
        <f aca="false">INDEX(Training!$C$123:$Q$123,3*(Unit_Cost!M$6-1)+1)</f>
        <v>0.00220433968028437</v>
      </c>
      <c r="N61" s="180" t="n">
        <f aca="false">INDEX(Training!$C$123:$Q$123,3*(Unit_Cost!N$6-1)+1)</f>
        <v>0.00220433968028437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226</v>
      </c>
    </row>
    <row r="63" customFormat="false" ht="15" hidden="false" customHeight="true" outlineLevel="0" collapsed="false">
      <c r="A63" s="35" t="s">
        <v>1951</v>
      </c>
      <c r="B63" s="36" t="s">
        <v>986</v>
      </c>
      <c r="C63" s="41" t="n">
        <f aca="false">INDEX(Training!$C$106:$Q$106,3*(Unit_Cost!C$6-1)+2)</f>
        <v>18199062.8050043</v>
      </c>
      <c r="D63" s="41" t="n">
        <f aca="false">INDEX(Training!$C$106:$Q$106,3*(Unit_Cost!D$6-1)+2)</f>
        <v>18199062.8050043</v>
      </c>
      <c r="E63" s="41" t="n">
        <f aca="false">INDEX(Training!$C$106:$Q$106,3*(Unit_Cost!E$6-1)+2)</f>
        <v>18199062.8050043</v>
      </c>
      <c r="F63" s="41" t="n">
        <f aca="false">INDEX(Training!$C$106:$Q$106,3*(Unit_Cost!F$6-1)+2)</f>
        <v>6152335.11648947</v>
      </c>
      <c r="G63" s="41" t="n">
        <f aca="false">INDEX(Training!$C$106:$Q$106,3*(Unit_Cost!G$6-1)+2)</f>
        <v>6152335.11648947</v>
      </c>
      <c r="H63" s="41" t="n">
        <f aca="false">INDEX(Training!$C$106:$Q$106,3*(Unit_Cost!H$6-1)+2)</f>
        <v>6152335.11648947</v>
      </c>
      <c r="I63" s="41" t="n">
        <f aca="false">INDEX(Training!$C$106:$Q$106,3*(Unit_Cost!I$6-1)+2)</f>
        <v>5453953.11066573</v>
      </c>
      <c r="J63" s="41" t="n">
        <f aca="false">INDEX(Training!$C$106:$Q$106,3*(Unit_Cost!J$6-1)+2)</f>
        <v>5453953.11066573</v>
      </c>
      <c r="K63" s="41" t="n">
        <f aca="false">INDEX(Training!$C$106:$Q$106,3*(Unit_Cost!K$6-1)+2)</f>
        <v>5453953.11066573</v>
      </c>
      <c r="L63" s="41" t="n">
        <f aca="false">INDEX(Training!$C$106:$Q$106,3*(Unit_Cost!L$6-1)+2)</f>
        <v>2051289.25958755</v>
      </c>
      <c r="M63" s="41" t="n">
        <f aca="false">INDEX(Training!$C$106:$Q$106,3*(Unit_Cost!M$6-1)+2)</f>
        <v>2051289.25958755</v>
      </c>
      <c r="N63" s="41" t="n">
        <f aca="false">INDEX(Training!$C$106:$Q$106,3*(Unit_Cost!N$6-1)+2)</f>
        <v>2051289.25958755</v>
      </c>
      <c r="O63" s="41" t="n">
        <f aca="false">INDEX(Training!$C$106:$Q$106,3*(Unit_Cost!O$6-1)+2)</f>
        <v>919050.37142924</v>
      </c>
      <c r="P63" s="41" t="n">
        <f aca="false">INDEX(Training!$C$106:$Q$106,3*(Unit_Cost!P$6-1)+2)</f>
        <v>919050.37142924</v>
      </c>
      <c r="Q63" s="41" t="n">
        <f aca="false">INDEX(Training!$C$106:$Q$106,3*(Unit_Cost!Q$6-1)+2)</f>
        <v>919050.37142924</v>
      </c>
    </row>
    <row r="64" customFormat="false" ht="15" hidden="false" customHeight="true" outlineLevel="0" collapsed="false">
      <c r="A64" s="35" t="s">
        <v>1952</v>
      </c>
      <c r="B64" s="36" t="s">
        <v>842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7.89531454817388</v>
      </c>
      <c r="M64" s="177" t="n">
        <f aca="false">INDEX(Training!$C$106:$Q$106,3*(Unit_Cost!M$6-1)+2)*Unit_Cost!M$8/1000000</f>
        <v>10.2433059363508</v>
      </c>
      <c r="N64" s="177" t="n">
        <f aca="false">INDEX(Training!$C$106:$Q$106,3*(Unit_Cost!N$6-1)+2)*Unit_Cost!N$8/1000000</f>
        <v>16.5970642755273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5" t="s">
        <v>1953</v>
      </c>
      <c r="B65" s="36" t="s">
        <v>77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5" t="s">
        <v>1954</v>
      </c>
      <c r="B66" s="36" t="s">
        <v>77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0.282310936548276</v>
      </c>
      <c r="M66" s="179" t="n">
        <f aca="false">INDEX(Training!$C$111:$Q$111,3*(Unit_Cost!M$6-1)+2)</f>
        <v>0.282310936548276</v>
      </c>
      <c r="N66" s="179" t="n">
        <f aca="false">INDEX(Training!$C$111:$Q$111,3*(Unit_Cost!N$6-1)+2)</f>
        <v>0.282310936548276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6" t="s">
        <v>1955</v>
      </c>
      <c r="B67" s="36" t="s">
        <v>77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0.0731801304364245</v>
      </c>
      <c r="M67" s="178" t="n">
        <f aca="false">INDEX(Training!$C$77:$Q$77,3*(Unit_Cost!M$6-1)+2)</f>
        <v>0.0731801304364245</v>
      </c>
      <c r="N67" s="178" t="n">
        <f aca="false">INDEX(Training!$C$77:$Q$77,3*(Unit_Cost!N$6-1)+2)</f>
        <v>0.0731801304364245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5" t="s">
        <v>1956</v>
      </c>
      <c r="B68" s="36" t="s">
        <v>986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16410314.0767004</v>
      </c>
      <c r="M68" s="173" t="n">
        <f aca="false">INDEX(Training!$C$120:$Q$120,3*(Unit_Cost!M$6-1)+2)</f>
        <v>16410314.0767004</v>
      </c>
      <c r="N68" s="173" t="n">
        <f aca="false">INDEX(Training!$C$120:$Q$120,3*(Unit_Cost!N$6-1)+2)</f>
        <v>16410314.0767004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5" t="s">
        <v>1890</v>
      </c>
      <c r="B69" s="36" t="s">
        <v>842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63.1625163853911</v>
      </c>
      <c r="M69" s="173" t="n">
        <f aca="false">INDEX(Training!$C$120:$Q$120,3*(Unit_Cost!M$6-1)+2)*Unit_Cost!M$8/1000000</f>
        <v>81.946447490806</v>
      </c>
      <c r="N69" s="173" t="n">
        <f aca="false">INDEX(Training!$C$120:$Q$120,3*(Unit_Cost!N$6-1)+2)*Unit_Cost!N$8/1000000</f>
        <v>132.776514204218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5" t="s">
        <v>1957</v>
      </c>
      <c r="B70" s="36" t="s">
        <v>77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0.00642112099901794</v>
      </c>
      <c r="M70" s="180" t="n">
        <f aca="false">INDEX(Training!$C$123:$Q$123,3*(Unit_Cost!M$6-1)+2)</f>
        <v>0.00642112099901794</v>
      </c>
      <c r="N70" s="180" t="n">
        <f aca="false">INDEX(Training!$C$123:$Q$123,3*(Unit_Cost!N$6-1)+2)</f>
        <v>0.00642112099901794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227</v>
      </c>
    </row>
    <row r="72" customFormat="false" ht="15" hidden="false" customHeight="true" outlineLevel="0" collapsed="false">
      <c r="A72" s="35" t="s">
        <v>1958</v>
      </c>
      <c r="B72" s="36" t="s">
        <v>986</v>
      </c>
      <c r="C72" s="41" t="n">
        <f aca="false">INDEX(Training!$C$106:$Q$106,3*(Unit_Cost!C$6-1)+3)</f>
        <v>112183463.020854</v>
      </c>
      <c r="D72" s="41" t="n">
        <f aca="false">INDEX(Training!$C$106:$Q$106,3*(Unit_Cost!D$6-1)+3)</f>
        <v>112183463.020854</v>
      </c>
      <c r="E72" s="41" t="n">
        <f aca="false">INDEX(Training!$C$106:$Q$106,3*(Unit_Cost!E$6-1)+3)</f>
        <v>112183463.020854</v>
      </c>
      <c r="F72" s="41" t="n">
        <f aca="false">INDEX(Training!$C$106:$Q$106,3*(Unit_Cost!F$6-1)+3)</f>
        <v>38678967.4074746</v>
      </c>
      <c r="G72" s="41" t="n">
        <f aca="false">INDEX(Training!$C$106:$Q$106,3*(Unit_Cost!G$6-1)+3)</f>
        <v>38678967.4074746</v>
      </c>
      <c r="H72" s="41" t="n">
        <f aca="false">INDEX(Training!$C$106:$Q$106,3*(Unit_Cost!H$6-1)+3)</f>
        <v>38678967.4074746</v>
      </c>
      <c r="I72" s="41" t="n">
        <f aca="false">INDEX(Training!$C$106:$Q$106,3*(Unit_Cost!I$6-1)+3)</f>
        <v>34975510.1307514</v>
      </c>
      <c r="J72" s="41" t="n">
        <f aca="false">INDEX(Training!$C$106:$Q$106,3*(Unit_Cost!J$6-1)+3)</f>
        <v>34975510.1307514</v>
      </c>
      <c r="K72" s="41" t="n">
        <f aca="false">INDEX(Training!$C$106:$Q$106,3*(Unit_Cost!K$6-1)+3)</f>
        <v>34975510.1307514</v>
      </c>
      <c r="L72" s="41" t="n">
        <f aca="false">INDEX(Training!$C$106:$Q$106,3*(Unit_Cost!L$6-1)+3)</f>
        <v>12784087.465584</v>
      </c>
      <c r="M72" s="41" t="n">
        <f aca="false">INDEX(Training!$C$106:$Q$106,3*(Unit_Cost!M$6-1)+3)</f>
        <v>12784087.465584</v>
      </c>
      <c r="N72" s="41" t="n">
        <f aca="false">INDEX(Training!$C$106:$Q$106,3*(Unit_Cost!N$6-1)+3)</f>
        <v>12784087.465584</v>
      </c>
      <c r="O72" s="41" t="n">
        <f aca="false">INDEX(Training!$C$106:$Q$106,3*(Unit_Cost!O$6-1)+3)</f>
        <v>5811483.35408388</v>
      </c>
      <c r="P72" s="41" t="n">
        <f aca="false">INDEX(Training!$C$106:$Q$106,3*(Unit_Cost!P$6-1)+3)</f>
        <v>5811483.35408388</v>
      </c>
      <c r="Q72" s="41" t="n">
        <f aca="false">INDEX(Training!$C$106:$Q$106,3*(Unit_Cost!Q$6-1)+3)</f>
        <v>5811483.35408388</v>
      </c>
    </row>
    <row r="73" customFormat="false" ht="15" hidden="false" customHeight="true" outlineLevel="0" collapsed="false">
      <c r="A73" s="35" t="s">
        <v>1959</v>
      </c>
      <c r="B73" s="36" t="s">
        <v>842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49.2053430691912</v>
      </c>
      <c r="M73" s="177" t="n">
        <f aca="false">INDEX(Training!$C$106:$Q$106,3*(Unit_Cost!M$6-1)+3)*Unit_Cost!M$8/1000000</f>
        <v>63.8385436939176</v>
      </c>
      <c r="N73" s="177" t="n">
        <f aca="false">INDEX(Training!$C$106:$Q$106,3*(Unit_Cost!N$6-1)+3)*Unit_Cost!N$8/1000000</f>
        <v>103.43656818684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5" t="s">
        <v>1960</v>
      </c>
      <c r="B74" s="36" t="s">
        <v>77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5" t="s">
        <v>1961</v>
      </c>
      <c r="B75" s="36" t="s">
        <v>77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0.521148040333377</v>
      </c>
      <c r="M75" s="179" t="n">
        <f aca="false">INDEX(Training!$C$111:$Q$111,3*(Unit_Cost!M$6-1)+3)</f>
        <v>0.521148040333377</v>
      </c>
      <c r="N75" s="179" t="n">
        <f aca="false">INDEX(Training!$C$111:$Q$111,3*(Unit_Cost!N$6-1)+3)</f>
        <v>0.521148040333377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6" t="s">
        <v>1962</v>
      </c>
      <c r="B76" s="36" t="s">
        <v>77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0.0679835504547044</v>
      </c>
      <c r="M76" s="178" t="n">
        <f aca="false">INDEX(Training!$C$77:$Q$77,3*(Unit_Cost!M$6-1)+3)</f>
        <v>0.0679835504547044</v>
      </c>
      <c r="N76" s="178" t="n">
        <f aca="false">INDEX(Training!$C$77:$Q$77,3*(Unit_Cost!N$6-1)+3)</f>
        <v>0.0679835504547044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5" t="s">
        <v>1963</v>
      </c>
      <c r="B77" s="36" t="s">
        <v>986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102272699.724672</v>
      </c>
      <c r="M77" s="173" t="n">
        <f aca="false">INDEX(Training!$C$120:$Q$120,3*(Unit_Cost!M$6-1)+3)</f>
        <v>102272699.724672</v>
      </c>
      <c r="N77" s="173" t="n">
        <f aca="false">INDEX(Training!$C$120:$Q$120,3*(Unit_Cost!N$6-1)+3)</f>
        <v>102272699.724672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5" t="s">
        <v>1891</v>
      </c>
      <c r="B78" s="36" t="s">
        <v>842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393.64274455353</v>
      </c>
      <c r="M78" s="173" t="n">
        <f aca="false">INDEX(Training!$C$120:$Q$120,3*(Unit_Cost!M$6-1)+3)*Unit_Cost!M$8/1000000</f>
        <v>510.708349551341</v>
      </c>
      <c r="N78" s="173" t="n">
        <f aca="false">INDEX(Training!$C$120:$Q$120,3*(Unit_Cost!N$6-1)+3)*Unit_Cost!N$8/1000000</f>
        <v>827.492545494721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5" t="s">
        <v>1964</v>
      </c>
      <c r="B79" s="36" t="s">
        <v>77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0.0400178434586299</v>
      </c>
      <c r="M79" s="180" t="n">
        <f aca="false">INDEX(Training!$C$123:$Q$123,3*(Unit_Cost!M$6-1)+3)</f>
        <v>0.0400178434586299</v>
      </c>
      <c r="N79" s="180" t="n">
        <f aca="false">INDEX(Training!$C$123:$Q$123,3*(Unit_Cost!N$6-1)+3)</f>
        <v>0.0400178434586299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5" t="s">
        <v>1965</v>
      </c>
      <c r="B80" s="36" t="s">
        <v>81</v>
      </c>
      <c r="C80" s="181" t="n">
        <f aca="false">Train_In!$C$13</f>
        <v>8</v>
      </c>
    </row>
    <row r="81" customFormat="false" ht="15" hidden="false" customHeight="true" outlineLevel="0" collapsed="false">
      <c r="A81" s="35" t="s">
        <v>1966</v>
      </c>
      <c r="B81" s="35" t="s">
        <v>909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5" t="s">
        <v>1967</v>
      </c>
      <c r="B82" s="35" t="s">
        <v>909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4" t="s">
        <v>1968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225</v>
      </c>
    </row>
    <row r="86" customFormat="false" ht="15" hidden="false" customHeight="true" outlineLevel="0" collapsed="false">
      <c r="A86" s="35" t="s">
        <v>1969</v>
      </c>
      <c r="B86" s="36" t="s">
        <v>772</v>
      </c>
      <c r="C86" s="38" t="n">
        <f aca="false">Price_Frontier!C41</f>
        <v>0.08</v>
      </c>
    </row>
    <row r="87" customFormat="false" ht="15" hidden="false" customHeight="true" outlineLevel="0" collapsed="false">
      <c r="A87" s="35" t="s">
        <v>1970</v>
      </c>
      <c r="B87" s="36" t="s">
        <v>772</v>
      </c>
      <c r="C87" s="38" t="n">
        <f aca="false">Price_Frontier!C42</f>
        <v>0.008</v>
      </c>
    </row>
    <row r="88" customFormat="false" ht="15" hidden="false" customHeight="true" outlineLevel="0" collapsed="false">
      <c r="A88" s="35" t="s">
        <v>1971</v>
      </c>
      <c r="B88" s="36" t="s">
        <v>772</v>
      </c>
      <c r="C88" s="38" t="n">
        <f aca="false">Price_Frontier!C43</f>
        <v>0.4</v>
      </c>
    </row>
    <row r="89" customFormat="false" ht="15" hidden="false" customHeight="true" outlineLevel="0" collapsed="false">
      <c r="A89" s="35" t="s">
        <v>1972</v>
      </c>
      <c r="B89" s="36" t="s">
        <v>772</v>
      </c>
      <c r="C89" s="38" t="n">
        <f aca="false">Price_Frontier!C44</f>
        <v>0.4</v>
      </c>
    </row>
    <row r="90" customFormat="false" ht="15" hidden="false" customHeight="true" outlineLevel="0" collapsed="false">
      <c r="A90" s="35" t="s">
        <v>1973</v>
      </c>
      <c r="B90" s="36" t="s">
        <v>772</v>
      </c>
      <c r="C90" s="48" t="n">
        <f aca="false">Price_Frontier!C45</f>
        <v>0.0803555555555556</v>
      </c>
    </row>
    <row r="91" customFormat="false" ht="15" hidden="false" customHeight="true" outlineLevel="0" collapsed="false">
      <c r="A91" s="35" t="s">
        <v>1974</v>
      </c>
      <c r="B91" s="36" t="s">
        <v>772</v>
      </c>
      <c r="C91" s="38" t="n">
        <f aca="false">Price_Frontier!C46</f>
        <v>0.0803555555555556</v>
      </c>
    </row>
    <row r="92" customFormat="false" ht="15" hidden="false" customHeight="true" outlineLevel="0" collapsed="false">
      <c r="A92" s="35" t="s">
        <v>1975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5" t="s">
        <v>1976</v>
      </c>
      <c r="B93" s="35" t="s">
        <v>1132</v>
      </c>
      <c r="C93" s="185" t="n">
        <f aca="false">INDEX(B4_Life,1,1)</f>
        <v>12</v>
      </c>
    </row>
    <row r="94" customFormat="false" ht="15" hidden="false" customHeight="true" outlineLevel="0" collapsed="false">
      <c r="A94" s="35" t="s">
        <v>1977</v>
      </c>
      <c r="B94" s="36" t="s">
        <v>772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5" t="s">
        <v>1978</v>
      </c>
      <c r="B95" s="36" t="s">
        <v>772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0.000292417363804563</v>
      </c>
      <c r="M95" s="186" t="n">
        <f aca="false">Amortize!M13</f>
        <v>0.000379379504169864</v>
      </c>
      <c r="N95" s="186" t="n">
        <f aca="false">Amortize!N13</f>
        <v>0.00061470252422902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5" t="s">
        <v>1979</v>
      </c>
      <c r="B96" s="36" t="s">
        <v>772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5" t="s">
        <v>1980</v>
      </c>
      <c r="B97" s="36" t="s">
        <v>772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0.018368231651997</v>
      </c>
      <c r="M97" s="175" t="n">
        <f aca="false">Theory_Rev!M18</f>
        <v>0.0238275474334597</v>
      </c>
      <c r="N97" s="175" t="n">
        <f aca="false">Theory_Rev!N18</f>
        <v>0.0386006736669421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5" t="s">
        <v>1981</v>
      </c>
      <c r="B98" s="36" t="s">
        <v>772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0.00239199381123676</v>
      </c>
      <c r="M98" s="187" t="n">
        <f aca="false">Amortize!M43</f>
        <v>0.00310295656760584</v>
      </c>
      <c r="N98" s="187" t="n">
        <f aca="false">Amortize!N43</f>
        <v>0.00502685014101096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5" t="s">
        <v>1982</v>
      </c>
      <c r="B99" s="36" t="s">
        <v>772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5" t="s">
        <v>1983</v>
      </c>
      <c r="B100" s="36" t="s">
        <v>772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0.0204678080994292</v>
      </c>
      <c r="M100" s="188" t="n">
        <f aca="false">Theory_Rev!M20</f>
        <v>0.0265511244968956</v>
      </c>
      <c r="N100" s="188" t="n">
        <f aca="false">Theory_Rev!N20</f>
        <v>0.043012821283724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5" t="s">
        <v>1984</v>
      </c>
      <c r="B101" s="36" t="s">
        <v>1369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5" t="s">
        <v>1985</v>
      </c>
      <c r="B102" s="36" t="s">
        <v>1369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226</v>
      </c>
      <c r="B103" s="190"/>
      <c r="C103" s="38"/>
    </row>
    <row r="104" customFormat="false" ht="15" hidden="false" customHeight="true" outlineLevel="0" collapsed="false">
      <c r="A104" s="35" t="s">
        <v>1986</v>
      </c>
      <c r="B104" s="36" t="s">
        <v>772</v>
      </c>
      <c r="C104" s="38" t="n">
        <f aca="false">Price_Frontier!D41</f>
        <v>1.6</v>
      </c>
    </row>
    <row r="105" customFormat="false" ht="15" hidden="false" customHeight="true" outlineLevel="0" collapsed="false">
      <c r="A105" s="35" t="s">
        <v>1987</v>
      </c>
      <c r="B105" s="36" t="s">
        <v>772</v>
      </c>
      <c r="C105" s="38" t="n">
        <f aca="false">Price_Frontier!D42</f>
        <v>0.16</v>
      </c>
    </row>
    <row r="106" customFormat="false" ht="15" hidden="false" customHeight="true" outlineLevel="0" collapsed="false">
      <c r="A106" s="35" t="s">
        <v>1988</v>
      </c>
      <c r="B106" s="36" t="s">
        <v>772</v>
      </c>
      <c r="C106" s="38" t="n">
        <f aca="false">Price_Frontier!D43</f>
        <v>8</v>
      </c>
    </row>
    <row r="107" customFormat="false" ht="15" hidden="false" customHeight="true" outlineLevel="0" collapsed="false">
      <c r="A107" s="35" t="s">
        <v>1989</v>
      </c>
      <c r="B107" s="36" t="s">
        <v>772</v>
      </c>
      <c r="C107" s="38" t="n">
        <f aca="false">Price_Frontier!D44</f>
        <v>8</v>
      </c>
    </row>
    <row r="108" customFormat="false" ht="15" hidden="false" customHeight="true" outlineLevel="0" collapsed="false">
      <c r="A108" s="35" t="s">
        <v>1990</v>
      </c>
      <c r="B108" s="36" t="s">
        <v>772</v>
      </c>
      <c r="C108" s="48" t="n">
        <f aca="false">Price_Frontier!D45</f>
        <v>1.60711111111111</v>
      </c>
    </row>
    <row r="109" customFormat="false" ht="15" hidden="false" customHeight="true" outlineLevel="0" collapsed="false">
      <c r="A109" s="35" t="s">
        <v>1991</v>
      </c>
      <c r="B109" s="36" t="s">
        <v>772</v>
      </c>
      <c r="C109" s="38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5" t="s">
        <v>1992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5" t="s">
        <v>1993</v>
      </c>
      <c r="B111" s="35" t="s">
        <v>1132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5" t="s">
        <v>1994</v>
      </c>
      <c r="B112" s="36" t="s">
        <v>772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5" t="s">
        <v>1995</v>
      </c>
      <c r="B113" s="36" t="s">
        <v>772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0.00344822951444708</v>
      </c>
      <c r="M113" s="186" t="n">
        <f aca="false">Amortize!M22</f>
        <v>0.00447370014705813</v>
      </c>
      <c r="N113" s="186" t="n">
        <f aca="false">Amortize!N22</f>
        <v>0.00724866457680086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5" t="s">
        <v>1996</v>
      </c>
      <c r="B114" s="36" t="s">
        <v>772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5" t="s">
        <v>1997</v>
      </c>
      <c r="B115" s="36" t="s">
        <v>772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0.0615718912295467</v>
      </c>
      <c r="M115" s="175" t="n">
        <f aca="false">Theory_Rev!M36</f>
        <v>0.0798782155803801</v>
      </c>
      <c r="N115" s="175" t="n">
        <f aca="false">Theory_Rev!N36</f>
        <v>0.129415859367946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5" t="s">
        <v>1998</v>
      </c>
      <c r="B116" s="36" t="s">
        <v>772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0.0282067506216696</v>
      </c>
      <c r="M116" s="187" t="n">
        <f aca="false">Amortize!M45</f>
        <v>0.0365905303271149</v>
      </c>
      <c r="N116" s="187" t="n">
        <f aca="false">Amortize!N45</f>
        <v>0.0592773725725857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5" t="s">
        <v>1999</v>
      </c>
      <c r="B117" s="36" t="s">
        <v>772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5" t="s">
        <v>2000</v>
      </c>
      <c r="B118" s="36" t="s">
        <v>772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0.0863304123367692</v>
      </c>
      <c r="M118" s="188" t="n">
        <f aca="false">Theory_Rev!M38</f>
        <v>0.111995045760437</v>
      </c>
      <c r="N118" s="188" t="n">
        <f aca="false">Theory_Rev!N38</f>
        <v>0.181444567363731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5" t="s">
        <v>2001</v>
      </c>
      <c r="B119" s="36" t="s">
        <v>1369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5" t="s">
        <v>2002</v>
      </c>
      <c r="B120" s="36" t="s">
        <v>1369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227</v>
      </c>
      <c r="B121" s="190"/>
      <c r="C121" s="38"/>
    </row>
    <row r="122" customFormat="false" ht="15" hidden="false" customHeight="true" outlineLevel="0" collapsed="false">
      <c r="A122" s="35" t="s">
        <v>2003</v>
      </c>
      <c r="B122" s="36" t="s">
        <v>772</v>
      </c>
      <c r="C122" s="38" t="n">
        <f aca="false">Price_Frontier!E41</f>
        <v>8</v>
      </c>
    </row>
    <row r="123" customFormat="false" ht="15" hidden="false" customHeight="true" outlineLevel="0" collapsed="false">
      <c r="A123" s="35" t="s">
        <v>2004</v>
      </c>
      <c r="B123" s="36" t="s">
        <v>772</v>
      </c>
      <c r="C123" s="38" t="n">
        <f aca="false">Price_Frontier!E42</f>
        <v>0.8</v>
      </c>
    </row>
    <row r="124" customFormat="false" ht="15" hidden="false" customHeight="true" outlineLevel="0" collapsed="false">
      <c r="A124" s="35" t="s">
        <v>2005</v>
      </c>
      <c r="B124" s="36" t="s">
        <v>772</v>
      </c>
      <c r="C124" s="38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5" t="s">
        <v>2006</v>
      </c>
      <c r="B125" s="36" t="s">
        <v>772</v>
      </c>
      <c r="C125" s="38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5" t="s">
        <v>2007</v>
      </c>
      <c r="B126" s="36" t="s">
        <v>772</v>
      </c>
      <c r="C126" s="48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5" t="s">
        <v>2008</v>
      </c>
      <c r="B127" s="36" t="s">
        <v>772</v>
      </c>
      <c r="C127" s="38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5" t="s">
        <v>2009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5" t="s">
        <v>2010</v>
      </c>
      <c r="B129" s="35" t="s">
        <v>1132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5" t="s">
        <v>2011</v>
      </c>
      <c r="B130" s="36" t="s">
        <v>772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5" t="s">
        <v>2012</v>
      </c>
      <c r="B131" s="36" t="s">
        <v>772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0.140804062409482</v>
      </c>
      <c r="M131" s="186" t="n">
        <f aca="false">Amortize!M32</f>
        <v>0.182677850203567</v>
      </c>
      <c r="N131" s="186" t="n">
        <f aca="false">Amortize!N32</f>
        <v>0.295989989987929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5" t="s">
        <v>2013</v>
      </c>
      <c r="B132" s="36" t="s">
        <v>772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5" t="s">
        <v>2014</v>
      </c>
      <c r="B133" s="36" t="s">
        <v>772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0.425384609769744</v>
      </c>
      <c r="M133" s="175" t="n">
        <f aca="false">Theory_Rev!M54</f>
        <v>0.551823554780618</v>
      </c>
      <c r="N133" s="175" t="n">
        <f aca="false">Theory_Rev!N54</f>
        <v>0.8939723826276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5" t="s">
        <v>2015</v>
      </c>
      <c r="B134" s="36" t="s">
        <v>772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1.15178675266896</v>
      </c>
      <c r="M134" s="187" t="n">
        <f aca="false">Amortize!M47</f>
        <v>1.49412772386216</v>
      </c>
      <c r="N134" s="187" t="n">
        <f aca="false">Amortize!N47</f>
        <v>2.42051604517945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5" t="s">
        <v>2016</v>
      </c>
      <c r="B135" s="36" t="s">
        <v>772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5" t="s">
        <v>2017</v>
      </c>
      <c r="B136" s="36" t="s">
        <v>772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1.43636730002922</v>
      </c>
      <c r="M136" s="188" t="n">
        <f aca="false">Theory_Rev!M56</f>
        <v>1.86327342843922</v>
      </c>
      <c r="N136" s="188" t="n">
        <f aca="false">Theory_Rev!N56</f>
        <v>3.01849843781912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5" t="s">
        <v>2018</v>
      </c>
      <c r="B137" s="36" t="s">
        <v>1369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5" t="s">
        <v>2019</v>
      </c>
      <c r="B138" s="36" t="s">
        <v>1369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2020</v>
      </c>
    </row>
    <row r="140" customFormat="false" ht="15" hidden="false" customHeight="true" outlineLevel="0" collapsed="false">
      <c r="A140" s="35" t="s">
        <v>2021</v>
      </c>
      <c r="B140" s="36" t="s">
        <v>1369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5" t="s">
        <v>2022</v>
      </c>
      <c r="B141" s="36" t="s">
        <v>1369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5" t="s">
        <v>2023</v>
      </c>
      <c r="B142" s="36" t="s">
        <v>1369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5" t="s">
        <v>2024</v>
      </c>
      <c r="B143" s="36" t="s">
        <v>1369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5" t="s">
        <v>2025</v>
      </c>
      <c r="B144" s="36" t="s">
        <v>1369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5" t="s">
        <v>2026</v>
      </c>
      <c r="B145" s="36" t="s">
        <v>1369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5" t="s">
        <v>2027</v>
      </c>
      <c r="B146" s="36" t="s">
        <v>1369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5" t="s">
        <v>2028</v>
      </c>
      <c r="B147" s="36" t="s">
        <v>1369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5" t="s">
        <v>2029</v>
      </c>
      <c r="B148" s="36" t="s">
        <v>77</v>
      </c>
      <c r="C148" s="192" t="n">
        <f aca="false">B4_Serve</f>
        <v>0.41</v>
      </c>
    </row>
    <row r="149" customFormat="false" ht="15" hidden="false" customHeight="true" outlineLevel="0" collapsed="false">
      <c r="A149" s="35" t="s">
        <v>2030</v>
      </c>
      <c r="B149" s="36" t="s">
        <v>77</v>
      </c>
      <c r="C149" s="192" t="n">
        <f aca="false">B4_Free</f>
        <v>0.46</v>
      </c>
    </row>
    <row r="151" customFormat="false" ht="15" hidden="false" customHeight="true" outlineLevel="0" collapsed="false">
      <c r="A151" s="34" t="s">
        <v>2031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2032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6" t="s">
        <v>2033</v>
      </c>
      <c r="B153" s="36" t="s">
        <v>81</v>
      </c>
      <c r="C153" s="193" t="n">
        <f aca="false">B5_W</f>
        <v>0</v>
      </c>
    </row>
    <row r="154" customFormat="false" ht="15" hidden="false" customHeight="true" outlineLevel="0" collapsed="false">
      <c r="A154" s="35" t="s">
        <v>2034</v>
      </c>
      <c r="B154" s="35"/>
      <c r="C154" s="35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5" t="s">
        <v>2035</v>
      </c>
      <c r="B155" s="36" t="s">
        <v>1126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5" t="s">
        <v>2036</v>
      </c>
      <c r="B156" s="36" t="s">
        <v>255</v>
      </c>
      <c r="C156" s="41" t="n">
        <f aca="false">Harness!C41</f>
        <v>1500</v>
      </c>
      <c r="D156" s="41" t="n">
        <f aca="false">Harness!D41</f>
        <v>1500</v>
      </c>
      <c r="E156" s="41" t="n">
        <f aca="false">Harness!E41</f>
        <v>6840</v>
      </c>
      <c r="F156" s="41" t="n">
        <f aca="false">Harness!F41</f>
        <v>27360</v>
      </c>
      <c r="G156" s="41" t="n">
        <f aca="false">Harness!G41</f>
        <v>200400</v>
      </c>
    </row>
    <row r="157" customFormat="false" ht="15" hidden="false" customHeight="true" outlineLevel="0" collapsed="false">
      <c r="A157" s="35" t="s">
        <v>2037</v>
      </c>
      <c r="B157" s="36" t="s">
        <v>255</v>
      </c>
      <c r="C157" s="41" t="n">
        <f aca="false">Harness!C42</f>
        <v>1000</v>
      </c>
      <c r="D157" s="41" t="n">
        <f aca="false">Harness!D42</f>
        <v>1000</v>
      </c>
      <c r="E157" s="41" t="n">
        <f aca="false">Harness!E42</f>
        <v>18360</v>
      </c>
      <c r="F157" s="41" t="n">
        <f aca="false">Harness!F42</f>
        <v>73440</v>
      </c>
      <c r="G157" s="41" t="n">
        <f aca="false">Harness!G42</f>
        <v>1263600</v>
      </c>
    </row>
    <row r="158" customFormat="false" ht="15" hidden="false" customHeight="true" outlineLevel="0" collapsed="false">
      <c r="A158" s="35" t="s">
        <v>2038</v>
      </c>
      <c r="B158" s="36" t="s">
        <v>255</v>
      </c>
      <c r="C158" s="41" t="n">
        <f aca="false">Harness!C43</f>
        <v>500</v>
      </c>
      <c r="D158" s="41" t="n">
        <f aca="false">Harness!D43</f>
        <v>3700</v>
      </c>
      <c r="E158" s="41" t="n">
        <f aca="false">Harness!E43</f>
        <v>2400</v>
      </c>
      <c r="F158" s="41" t="n">
        <f aca="false">Harness!F43</f>
        <v>9600</v>
      </c>
      <c r="G158" s="41" t="n">
        <f aca="false">Harness!G43</f>
        <v>30000</v>
      </c>
    </row>
    <row r="159" customFormat="false" ht="15" hidden="false" customHeight="true" outlineLevel="0" collapsed="false">
      <c r="A159" s="35" t="s">
        <v>2039</v>
      </c>
      <c r="B159" s="36" t="s">
        <v>255</v>
      </c>
      <c r="C159" s="41" t="n">
        <f aca="false">Harness!C38</f>
        <v>3000</v>
      </c>
      <c r="D159" s="41" t="n">
        <f aca="false">Harness!D38</f>
        <v>6200</v>
      </c>
      <c r="E159" s="41" t="n">
        <f aca="false">Harness!E38</f>
        <v>16250.08</v>
      </c>
      <c r="F159" s="41" t="n">
        <f aca="false">Harness!F38</f>
        <v>65000.32</v>
      </c>
      <c r="G159" s="41" t="n">
        <f aca="false">Harness!G38</f>
        <v>735840</v>
      </c>
    </row>
    <row r="160" customFormat="false" ht="15" hidden="false" customHeight="true" outlineLevel="0" collapsed="false">
      <c r="A160" s="35" t="s">
        <v>2040</v>
      </c>
      <c r="B160" s="36" t="s">
        <v>81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225</v>
      </c>
    </row>
    <row r="162" customFormat="false" ht="15" hidden="false" customHeight="true" outlineLevel="0" collapsed="false">
      <c r="A162" s="35" t="s">
        <v>2041</v>
      </c>
      <c r="B162" s="36" t="s">
        <v>77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5" t="s">
        <v>2042</v>
      </c>
      <c r="B163" s="36" t="s">
        <v>77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5" t="s">
        <v>2043</v>
      </c>
      <c r="B164" s="36" t="s">
        <v>400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5" t="s">
        <v>2044</v>
      </c>
      <c r="B165" s="36" t="s">
        <v>400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5" t="s">
        <v>2045</v>
      </c>
      <c r="B166" s="36" t="s">
        <v>400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6" t="s">
        <v>2046</v>
      </c>
      <c r="B167" s="36" t="s">
        <v>81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226</v>
      </c>
    </row>
    <row r="169" customFormat="false" ht="15" hidden="false" customHeight="true" outlineLevel="0" collapsed="false">
      <c r="A169" s="35" t="s">
        <v>2047</v>
      </c>
      <c r="B169" s="36" t="s">
        <v>77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5" t="s">
        <v>2048</v>
      </c>
      <c r="B170" s="36" t="s">
        <v>77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5" t="s">
        <v>2049</v>
      </c>
      <c r="B171" s="36" t="s">
        <v>400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5" t="s">
        <v>2050</v>
      </c>
      <c r="B172" s="36" t="s">
        <v>400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5" t="s">
        <v>2051</v>
      </c>
      <c r="B173" s="36" t="s">
        <v>400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6" t="s">
        <v>2052</v>
      </c>
      <c r="B174" s="36" t="s">
        <v>81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227</v>
      </c>
    </row>
    <row r="176" customFormat="false" ht="15" hidden="false" customHeight="true" outlineLevel="0" collapsed="false">
      <c r="A176" s="35" t="s">
        <v>2053</v>
      </c>
      <c r="B176" s="36" t="s">
        <v>77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5" t="s">
        <v>2054</v>
      </c>
      <c r="B177" s="36" t="s">
        <v>77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5" t="s">
        <v>2055</v>
      </c>
      <c r="B178" s="36" t="s">
        <v>400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5" t="s">
        <v>2056</v>
      </c>
      <c r="B179" s="36" t="s">
        <v>400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5" t="s">
        <v>2057</v>
      </c>
      <c r="B180" s="36" t="s">
        <v>400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6" t="s">
        <v>2058</v>
      </c>
      <c r="B181" s="36" t="s">
        <v>81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2059</v>
      </c>
    </row>
    <row r="183" customFormat="false" ht="15" hidden="false" customHeight="true" outlineLevel="0" collapsed="false">
      <c r="A183" s="36" t="s">
        <v>2060</v>
      </c>
      <c r="B183" s="36" t="s">
        <v>400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6" t="s">
        <v>2061</v>
      </c>
      <c r="B184" s="36" t="s">
        <v>1126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6" t="s">
        <v>2062</v>
      </c>
      <c r="B185" s="36" t="s">
        <v>400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6" t="s">
        <v>2063</v>
      </c>
      <c r="B186" s="36" t="s">
        <v>1126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6" t="s">
        <v>2064</v>
      </c>
      <c r="B187" s="36" t="s">
        <v>400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6" t="s">
        <v>2065</v>
      </c>
      <c r="B188" s="36" t="s">
        <v>1126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5" t="s">
        <v>2066</v>
      </c>
      <c r="B189" s="36" t="s">
        <v>77</v>
      </c>
      <c r="C189" s="192" t="n">
        <f aca="false">B5_PFloor</f>
        <v>0.5</v>
      </c>
    </row>
    <row r="190" customFormat="false" ht="15" hidden="false" customHeight="true" outlineLevel="0" collapsed="false">
      <c r="A190" s="35" t="s">
        <v>2067</v>
      </c>
      <c r="B190" s="36" t="s">
        <v>400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5" t="s">
        <v>2068</v>
      </c>
      <c r="B191" s="35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5" t="s">
        <v>2069</v>
      </c>
      <c r="B192" s="36" t="s">
        <v>77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4" t="s">
        <v>2070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35" t="s">
        <v>2071</v>
      </c>
      <c r="B195" s="36" t="s">
        <v>77</v>
      </c>
      <c r="C195" s="196" t="n">
        <f aca="false">AL_Q1</f>
        <v>0.63609601991434</v>
      </c>
    </row>
    <row r="196" customFormat="false" ht="15" hidden="false" customHeight="true" outlineLevel="0" collapsed="false">
      <c r="A196" s="35" t="s">
        <v>2072</v>
      </c>
      <c r="B196" s="36" t="s">
        <v>77</v>
      </c>
      <c r="C196" s="197" t="n">
        <f aca="false">AL_Q1R2</f>
        <v>0.667220154597978</v>
      </c>
    </row>
    <row r="197" customFormat="false" ht="15" hidden="false" customHeight="true" outlineLevel="0" collapsed="false">
      <c r="A197" s="35" t="s">
        <v>2073</v>
      </c>
      <c r="B197" s="36" t="s">
        <v>77</v>
      </c>
      <c r="C197" s="196" t="n">
        <f aca="false">AL_Q2</f>
        <v>0.663556558253475</v>
      </c>
    </row>
    <row r="198" customFormat="false" ht="15" hidden="false" customHeight="true" outlineLevel="0" collapsed="false">
      <c r="A198" s="35" t="s">
        <v>2074</v>
      </c>
      <c r="B198" s="36" t="s">
        <v>69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5" t="s">
        <v>2075</v>
      </c>
      <c r="B199" s="36" t="s">
        <v>1774</v>
      </c>
      <c r="C199" s="198" t="n">
        <f aca="false">AL_RDGW</f>
        <v>0.0906847035646163</v>
      </c>
    </row>
    <row r="200" customFormat="false" ht="15" hidden="false" customHeight="true" outlineLevel="0" collapsed="false">
      <c r="A200" s="35" t="s">
        <v>2076</v>
      </c>
      <c r="B200" s="36" t="s">
        <v>764</v>
      </c>
      <c r="C200" s="49" t="n">
        <f aca="false">AL_D</f>
        <v>4190200000</v>
      </c>
    </row>
    <row r="201" customFormat="false" ht="15" hidden="false" customHeight="true" outlineLevel="0" collapsed="false">
      <c r="A201" s="35" t="s">
        <v>2077</v>
      </c>
      <c r="B201" s="35" t="s">
        <v>293</v>
      </c>
      <c r="C201" s="193" t="n">
        <f aca="false">AL_ImpliedNk</f>
        <v>1.52362137919411</v>
      </c>
    </row>
    <row r="203" customFormat="false" ht="15" hidden="false" customHeight="true" outlineLevel="0" collapsed="false">
      <c r="A203" s="34" t="s">
        <v>2078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35" t="s">
        <v>2079</v>
      </c>
      <c r="B204" s="36" t="s">
        <v>772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0.023662395067677</v>
      </c>
      <c r="M204" s="175" t="n">
        <f aca="false">Theory_Rev_Prod!M18</f>
        <v>0.0306961446518426</v>
      </c>
      <c r="N204" s="175" t="n">
        <f aca="false">Theory_Rev_Prod!N18</f>
        <v>0.0497297515471272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5" t="s">
        <v>2080</v>
      </c>
      <c r="B205" s="36" t="s">
        <v>772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0.0773745047828052</v>
      </c>
      <c r="M205" s="175" t="n">
        <f aca="false">Theory_Rev_Prod!M36</f>
        <v>0.100380375973393</v>
      </c>
      <c r="N205" s="175" t="n">
        <f aca="false">Theory_Rev_Prod!N36</f>
        <v>0.162635180937016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5" t="s">
        <v>2081</v>
      </c>
      <c r="B206" s="36" t="s">
        <v>772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0.568870055196253</v>
      </c>
      <c r="M206" s="175" t="n">
        <f aca="false">Theory_Rev_Prod!M54</f>
        <v>0.737980205785387</v>
      </c>
      <c r="N206" s="175" t="n">
        <f aca="false">Theory_Rev_Prod!N54</f>
        <v>1.19559901774339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5" t="s">
        <v>2082</v>
      </c>
      <c r="B207" s="36" t="s">
        <v>1369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5" t="s">
        <v>2083</v>
      </c>
      <c r="B208" s="36" t="s">
        <v>1369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5" t="s">
        <v>2084</v>
      </c>
      <c r="B209" s="36" t="s">
        <v>1369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5" t="s">
        <v>2085</v>
      </c>
      <c r="B210" s="36" t="s">
        <v>1369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  <row r="212" customFormat="false" ht="15" hidden="false" customHeight="true" outlineLevel="0" collapsed="false">
      <c r="A212" s="34" t="s">
        <v>2086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35" t="s">
        <v>2087</v>
      </c>
      <c r="B213" s="36" t="s">
        <v>1369</v>
      </c>
      <c r="C213" s="189" t="n">
        <f aca="false">Theory_Rev!C90</f>
        <v>3.57102907624799</v>
      </c>
      <c r="D213" s="189" t="n">
        <f aca="false">Theory_Rev!D90</f>
        <v>3.57102907624799</v>
      </c>
      <c r="E213" s="189" t="n">
        <f aca="false">Theory_Rev!E90</f>
        <v>3.57102907624799</v>
      </c>
      <c r="F213" s="189" t="n">
        <f aca="false">Theory_Rev!F90</f>
        <v>17.4680230535144</v>
      </c>
      <c r="G213" s="189" t="n">
        <f aca="false">Theory_Rev!G90</f>
        <v>17.4680230535144</v>
      </c>
      <c r="H213" s="189" t="n">
        <f aca="false">Theory_Rev!H90</f>
        <v>17.4680230535144</v>
      </c>
      <c r="I213" s="189" t="n">
        <f aca="false">Theory_Rev!I90</f>
        <v>25.4312759220773</v>
      </c>
      <c r="J213" s="189" t="n">
        <f aca="false">Theory_Rev!J90</f>
        <v>25.4312759220773</v>
      </c>
      <c r="K213" s="189" t="n">
        <f aca="false">Theory_Rev!K90</f>
        <v>25.4312759220773</v>
      </c>
      <c r="L213" s="189" t="n">
        <f aca="false">Theory_Rev!L90</f>
        <v>37.2582226398973</v>
      </c>
      <c r="M213" s="189" t="n">
        <f aca="false">Theory_Rev!M90</f>
        <v>37.2582226398973</v>
      </c>
      <c r="N213" s="189" t="n">
        <f aca="false">Theory_Rev!N90</f>
        <v>37.2582226398973</v>
      </c>
      <c r="O213" s="189" t="n">
        <f aca="false">Theory_Rev!O90</f>
        <v>50.3527379522069</v>
      </c>
      <c r="P213" s="189" t="n">
        <f aca="false">Theory_Rev!P90</f>
        <v>50.3527379522069</v>
      </c>
      <c r="Q213" s="189" t="n">
        <f aca="false">Theory_Rev!Q90</f>
        <v>50.3527379522069</v>
      </c>
    </row>
    <row r="214" customFormat="false" ht="15" hidden="false" customHeight="true" outlineLevel="0" collapsed="false">
      <c r="A214" s="35" t="s">
        <v>2088</v>
      </c>
      <c r="B214" s="36" t="s">
        <v>1369</v>
      </c>
      <c r="C214" s="189" t="n">
        <f aca="false">Theory_Rev!C91</f>
        <v>20.7225049979976</v>
      </c>
      <c r="D214" s="189" t="n">
        <f aca="false">Theory_Rev!D91</f>
        <v>20.7225049979976</v>
      </c>
      <c r="E214" s="189" t="n">
        <f aca="false">Theory_Rev!E91</f>
        <v>20.7225049979976</v>
      </c>
      <c r="F214" s="189" t="n">
        <f aca="false">Theory_Rev!F91</f>
        <v>100.404653415384</v>
      </c>
      <c r="G214" s="189" t="n">
        <f aca="false">Theory_Rev!G91</f>
        <v>100.404653415384</v>
      </c>
      <c r="H214" s="189" t="n">
        <f aca="false">Theory_Rev!H91</f>
        <v>100.404653415384</v>
      </c>
      <c r="I214" s="189" t="n">
        <f aca="false">Theory_Rev!I91</f>
        <v>146.176727443319</v>
      </c>
      <c r="J214" s="189" t="n">
        <f aca="false">Theory_Rev!J91</f>
        <v>146.176727443319</v>
      </c>
      <c r="K214" s="189" t="n">
        <f aca="false">Theory_Rev!K91</f>
        <v>146.176727443319</v>
      </c>
      <c r="L214" s="189" t="n">
        <f aca="false">Theory_Rev!L91</f>
        <v>228.808271164193</v>
      </c>
      <c r="M214" s="189" t="n">
        <f aca="false">Theory_Rev!M91</f>
        <v>228.808271164193</v>
      </c>
      <c r="N214" s="189" t="n">
        <f aca="false">Theory_Rev!N91</f>
        <v>228.808271164193</v>
      </c>
      <c r="O214" s="189" t="n">
        <f aca="false">Theory_Rev!O91</f>
        <v>314.529969229019</v>
      </c>
      <c r="P214" s="189" t="n">
        <f aca="false">Theory_Rev!P91</f>
        <v>314.529969229019</v>
      </c>
      <c r="Q214" s="189" t="n">
        <f aca="false">Theory_Rev!Q91</f>
        <v>314.529969229019</v>
      </c>
    </row>
    <row r="215" customFormat="false" ht="15" hidden="false" customHeight="true" outlineLevel="0" collapsed="false">
      <c r="A215" s="35" t="s">
        <v>2089</v>
      </c>
      <c r="B215" s="36" t="s">
        <v>1369</v>
      </c>
      <c r="C215" s="189" t="n">
        <f aca="false">Theory_Rev!C92</f>
        <v>18.6899868774826</v>
      </c>
      <c r="D215" s="189" t="n">
        <f aca="false">Theory_Rev!D92</f>
        <v>18.6899868774826</v>
      </c>
      <c r="E215" s="189" t="n">
        <f aca="false">Theory_Rev!E92</f>
        <v>18.6899868774826</v>
      </c>
      <c r="F215" s="189" t="n">
        <f aca="false">Theory_Rev!F92</f>
        <v>96.6283848132214</v>
      </c>
      <c r="G215" s="189" t="n">
        <f aca="false">Theory_Rev!G92</f>
        <v>96.6283848132214</v>
      </c>
      <c r="H215" s="189" t="n">
        <f aca="false">Theory_Rev!H92</f>
        <v>96.6283848132214</v>
      </c>
      <c r="I215" s="189" t="n">
        <f aca="false">Theory_Rev!I92</f>
        <v>116.841337205439</v>
      </c>
      <c r="J215" s="189" t="n">
        <f aca="false">Theory_Rev!J92</f>
        <v>116.841337205439</v>
      </c>
      <c r="K215" s="189" t="n">
        <f aca="false">Theory_Rev!K92</f>
        <v>116.841337205439</v>
      </c>
      <c r="L215" s="189" t="n">
        <f aca="false">Theory_Rev!L92</f>
        <v>246.697456312585</v>
      </c>
      <c r="M215" s="189" t="n">
        <f aca="false">Theory_Rev!M92</f>
        <v>246.697456312585</v>
      </c>
      <c r="N215" s="189" t="n">
        <f aca="false">Theory_Rev!N92</f>
        <v>246.697456312585</v>
      </c>
      <c r="O215" s="189" t="n">
        <f aca="false">Theory_Rev!O92</f>
        <v>358.71180915499</v>
      </c>
      <c r="P215" s="189" t="n">
        <f aca="false">Theory_Rev!P92</f>
        <v>358.71180915499</v>
      </c>
      <c r="Q215" s="189" t="n">
        <f aca="false">Theory_Rev!Q92</f>
        <v>358.71180915499</v>
      </c>
    </row>
    <row r="216" customFormat="false" ht="15" hidden="false" customHeight="true" outlineLevel="0" collapsed="false">
      <c r="A216" s="35" t="s">
        <v>2090</v>
      </c>
      <c r="B216" s="36" t="s">
        <v>1369</v>
      </c>
      <c r="C216" s="189" t="n">
        <f aca="false">Theory_Rev!C93</f>
        <v>4.00488774987164</v>
      </c>
      <c r="D216" s="189" t="n">
        <f aca="false">Theory_Rev!D93</f>
        <v>4.00488774987164</v>
      </c>
      <c r="E216" s="189" t="n">
        <f aca="false">Theory_Rev!E93</f>
        <v>4.00488774987164</v>
      </c>
      <c r="F216" s="189" t="n">
        <f aca="false">Theory_Rev!F93</f>
        <v>20.1746158611128</v>
      </c>
      <c r="G216" s="189" t="n">
        <f aca="false">Theory_Rev!G93</f>
        <v>20.1746158611128</v>
      </c>
      <c r="H216" s="189" t="n">
        <f aca="false">Theory_Rev!H93</f>
        <v>20.1746158611128</v>
      </c>
      <c r="I216" s="189" t="n">
        <f aca="false">Theory_Rev!I93</f>
        <v>26.2652356996766</v>
      </c>
      <c r="J216" s="189" t="n">
        <f aca="false">Theory_Rev!J93</f>
        <v>26.2652356996766</v>
      </c>
      <c r="K216" s="189" t="n">
        <f aca="false">Theory_Rev!K93</f>
        <v>26.2652356996766</v>
      </c>
      <c r="L216" s="189" t="n">
        <f aca="false">Theory_Rev!L93</f>
        <v>48.7237019639935</v>
      </c>
      <c r="M216" s="189" t="n">
        <f aca="false">Theory_Rev!M93</f>
        <v>48.7237019639935</v>
      </c>
      <c r="N216" s="189" t="n">
        <f aca="false">Theory_Rev!N93</f>
        <v>48.7237019639935</v>
      </c>
      <c r="O216" s="189" t="n">
        <f aca="false">Theory_Rev!O93</f>
        <v>68.9276257152094</v>
      </c>
      <c r="P216" s="189" t="n">
        <f aca="false">Theory_Rev!P93</f>
        <v>68.9276257152094</v>
      </c>
      <c r="Q216" s="189" t="n">
        <f aca="false">Theory_Rev!Q93</f>
        <v>68.9276257152094</v>
      </c>
    </row>
    <row r="218" customFormat="false" ht="15" hidden="false" customHeight="false" outlineLevel="0" collapsed="false">
      <c r="A218" s="68" t="s">
        <v>2091</v>
      </c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</row>
    <row r="219" customFormat="false" ht="15" hidden="false" customHeight="false" outlineLevel="0" collapsed="false">
      <c r="A219" s="54" t="s">
        <v>2092</v>
      </c>
      <c r="B219" s="53" t="s">
        <v>112</v>
      </c>
      <c r="C219" s="82" t="n">
        <f aca="false">DC_Cost!C38</f>
        <v>6</v>
      </c>
      <c r="D219" s="82" t="n">
        <f aca="false">DC_Cost!D38</f>
        <v>6</v>
      </c>
      <c r="E219" s="82" t="n">
        <f aca="false">DC_Cost!E38</f>
        <v>4</v>
      </c>
      <c r="F219" s="82" t="n">
        <f aca="false">DC_Cost!F38</f>
        <v>6</v>
      </c>
      <c r="G219" s="82" t="n">
        <f aca="false">DC_Cost!G38</f>
        <v>6</v>
      </c>
      <c r="H219" s="82" t="n">
        <f aca="false">DC_Cost!H38</f>
        <v>4</v>
      </c>
      <c r="I219" s="82" t="n">
        <f aca="false">DC_Cost!I38</f>
        <v>6</v>
      </c>
      <c r="J219" s="82" t="n">
        <f aca="false">DC_Cost!J38</f>
        <v>6</v>
      </c>
      <c r="K219" s="82" t="n">
        <f aca="false">DC_Cost!K38</f>
        <v>4</v>
      </c>
      <c r="L219" s="82" t="n">
        <f aca="false">DC_Cost!L38</f>
        <v>6</v>
      </c>
      <c r="M219" s="82" t="n">
        <f aca="false">DC_Cost!M38</f>
        <v>6</v>
      </c>
      <c r="N219" s="82" t="n">
        <f aca="false">DC_Cost!N38</f>
        <v>4</v>
      </c>
      <c r="O219" s="82" t="n">
        <f aca="false">DC_Cost!O38</f>
        <v>6</v>
      </c>
      <c r="P219" s="82" t="n">
        <f aca="false">DC_Cost!P38</f>
        <v>6</v>
      </c>
      <c r="Q219" s="82" t="n">
        <f aca="false">DC_Cost!Q38</f>
        <v>4</v>
      </c>
    </row>
    <row r="220" customFormat="false" ht="15" hidden="false" customHeight="false" outlineLevel="0" collapsed="false">
      <c r="A220" s="53" t="s">
        <v>2093</v>
      </c>
      <c r="B220" s="54" t="s">
        <v>1369</v>
      </c>
      <c r="C220" s="87" t="n">
        <f aca="false">(DC_Cost!C39)/CTL_GW</f>
        <v>3.5700449</v>
      </c>
      <c r="D220" s="87" t="n">
        <f aca="false">(DC_Cost!D39)/CTL_GW</f>
        <v>4.58503566666667</v>
      </c>
      <c r="E220" s="87" t="n">
        <f aca="false">(DC_Cost!E39)/CTL_GW</f>
        <v>8.53018585</v>
      </c>
      <c r="F220" s="87" t="n">
        <f aca="false">(DC_Cost!F39)/CTL_GW</f>
        <v>3.4398984</v>
      </c>
      <c r="G220" s="87" t="n">
        <f aca="false">(DC_Cost!G39)/CTL_GW</f>
        <v>4.002529</v>
      </c>
      <c r="H220" s="87" t="n">
        <f aca="false">(DC_Cost!H39)/CTL_GW</f>
        <v>6.9125511</v>
      </c>
      <c r="I220" s="87" t="n">
        <f aca="false">(DC_Cost!I39)/CTL_GW</f>
        <v>4.7591504</v>
      </c>
      <c r="J220" s="87" t="n">
        <f aca="false">(DC_Cost!J39)/CTL_GW</f>
        <v>6.24091733333333</v>
      </c>
      <c r="K220" s="87" t="n">
        <f aca="false">(DC_Cost!K39)/CTL_GW</f>
        <v>12.7376266</v>
      </c>
      <c r="L220" s="87" t="n">
        <f aca="false">(DC_Cost!L39)/CTL_GW</f>
        <v>5.5455672</v>
      </c>
      <c r="M220" s="87" t="n">
        <f aca="false">(DC_Cost!M39)/CTL_GW</f>
        <v>6.264392</v>
      </c>
      <c r="N220" s="87" t="n">
        <f aca="false">(DC_Cost!N39)/CTL_GW</f>
        <v>10.6593938</v>
      </c>
      <c r="O220" s="87" t="n">
        <f aca="false">(DC_Cost!O39)/CTL_GW</f>
        <v>5.974263</v>
      </c>
      <c r="P220" s="87" t="n">
        <f aca="false">(DC_Cost!P39)/CTL_GW</f>
        <v>8.34763</v>
      </c>
      <c r="Q220" s="87" t="n">
        <f aca="false">(DC_Cost!Q39)/CTL_GW</f>
        <v>16.3703895</v>
      </c>
    </row>
    <row r="221" customFormat="false" ht="15" hidden="false" customHeight="false" outlineLevel="0" collapsed="false">
      <c r="A221" s="53" t="s">
        <v>2094</v>
      </c>
      <c r="B221" s="54" t="s">
        <v>1369</v>
      </c>
      <c r="C221" s="87" t="n">
        <f aca="false">(DC_Cost!C40)/CTL_GW</f>
        <v>0.507733333333333</v>
      </c>
      <c r="D221" s="87" t="n">
        <f aca="false">(DC_Cost!D40)/CTL_GW</f>
        <v>0.634416666666667</v>
      </c>
      <c r="E221" s="87" t="n">
        <f aca="false">(DC_Cost!E40)/CTL_GW</f>
        <v>0.812233333333334</v>
      </c>
      <c r="F221" s="87" t="n">
        <f aca="false">(DC_Cost!F40)/CTL_GW</f>
        <v>0.507733333333333</v>
      </c>
      <c r="G221" s="87" t="n">
        <f aca="false">(DC_Cost!G40)/CTL_GW</f>
        <v>0.634416666666667</v>
      </c>
      <c r="H221" s="87" t="n">
        <f aca="false">(DC_Cost!H40)/CTL_GW</f>
        <v>0.812233333333334</v>
      </c>
      <c r="I221" s="87" t="n">
        <f aca="false">(DC_Cost!I40)/CTL_GW</f>
        <v>0.507733333333333</v>
      </c>
      <c r="J221" s="87" t="n">
        <f aca="false">(DC_Cost!J40)/CTL_GW</f>
        <v>0.634416666666667</v>
      </c>
      <c r="K221" s="87" t="n">
        <f aca="false">(DC_Cost!K40)/CTL_GW</f>
        <v>0.812233333333334</v>
      </c>
      <c r="L221" s="87" t="n">
        <f aca="false">(DC_Cost!L40)/CTL_GW</f>
        <v>0.507733333333333</v>
      </c>
      <c r="M221" s="87" t="n">
        <f aca="false">(DC_Cost!M40)/CTL_GW</f>
        <v>0.634416666666667</v>
      </c>
      <c r="N221" s="87" t="n">
        <f aca="false">(DC_Cost!N40)/CTL_GW</f>
        <v>0.812233333333334</v>
      </c>
      <c r="O221" s="87" t="n">
        <f aca="false">(DC_Cost!O40)/CTL_GW</f>
        <v>0.507733333333333</v>
      </c>
      <c r="P221" s="87" t="n">
        <f aca="false">(DC_Cost!P40)/CTL_GW</f>
        <v>0.634416666666667</v>
      </c>
      <c r="Q221" s="87" t="n">
        <f aca="false">(DC_Cost!Q40)/CTL_GW</f>
        <v>0.812233333333334</v>
      </c>
    </row>
    <row r="222" customFormat="false" ht="15" hidden="false" customHeight="false" outlineLevel="0" collapsed="false">
      <c r="A222" s="53" t="s">
        <v>2095</v>
      </c>
      <c r="B222" s="54" t="s">
        <v>77</v>
      </c>
      <c r="C222" s="102" t="n">
        <f aca="false">DC_Cost!C41</f>
        <v>0.7</v>
      </c>
      <c r="D222" s="102" t="n">
        <f aca="false">DC_Cost!D41</f>
        <v>0.8</v>
      </c>
      <c r="E222" s="102" t="n">
        <f aca="false">DC_Cost!E41</f>
        <v>0.9</v>
      </c>
      <c r="F222" s="102" t="n">
        <f aca="false">DC_Cost!F41</f>
        <v>0.7</v>
      </c>
      <c r="G222" s="102" t="n">
        <f aca="false">DC_Cost!G41</f>
        <v>0.8</v>
      </c>
      <c r="H222" s="102" t="n">
        <f aca="false">DC_Cost!H41</f>
        <v>0.9</v>
      </c>
      <c r="I222" s="102" t="n">
        <f aca="false">DC_Cost!I41</f>
        <v>0.7</v>
      </c>
      <c r="J222" s="102" t="n">
        <f aca="false">DC_Cost!J41</f>
        <v>0.8</v>
      </c>
      <c r="K222" s="102" t="n">
        <f aca="false">DC_Cost!K41</f>
        <v>0.9</v>
      </c>
      <c r="L222" s="102" t="n">
        <f aca="false">DC_Cost!L41</f>
        <v>0.7</v>
      </c>
      <c r="M222" s="102" t="n">
        <f aca="false">DC_Cost!M41</f>
        <v>0.8</v>
      </c>
      <c r="N222" s="102" t="n">
        <f aca="false">DC_Cost!N41</f>
        <v>0.9</v>
      </c>
      <c r="O222" s="102" t="n">
        <f aca="false">DC_Cost!O41</f>
        <v>0.7</v>
      </c>
      <c r="P222" s="102" t="n">
        <f aca="false">DC_Cost!P41</f>
        <v>0.8</v>
      </c>
      <c r="Q222" s="102" t="n">
        <f aca="false">DC_Cost!Q41</f>
        <v>0.9</v>
      </c>
    </row>
    <row r="223" customFormat="false" ht="15" hidden="false" customHeight="false" outlineLevel="0" collapsed="false">
      <c r="A223" s="53" t="s">
        <v>2096</v>
      </c>
      <c r="B223" s="54" t="s">
        <v>87</v>
      </c>
      <c r="C223" s="110" t="n">
        <f aca="false">DC_Cost!C42</f>
        <v>0.06</v>
      </c>
      <c r="D223" s="110" t="n">
        <f aca="false">DC_Cost!D42</f>
        <v>0.08</v>
      </c>
      <c r="E223" s="110" t="n">
        <f aca="false">DC_Cost!E42</f>
        <v>0.1</v>
      </c>
      <c r="F223" s="110" t="n">
        <f aca="false">DC_Cost!F42</f>
        <v>0.06</v>
      </c>
      <c r="G223" s="110" t="n">
        <f aca="false">DC_Cost!G42</f>
        <v>0.08</v>
      </c>
      <c r="H223" s="110" t="n">
        <f aca="false">DC_Cost!H42</f>
        <v>0.1</v>
      </c>
      <c r="I223" s="110" t="n">
        <f aca="false">DC_Cost!I42</f>
        <v>0.06</v>
      </c>
      <c r="J223" s="110" t="n">
        <f aca="false">DC_Cost!J42</f>
        <v>0.08</v>
      </c>
      <c r="K223" s="110" t="n">
        <f aca="false">DC_Cost!K42</f>
        <v>0.1</v>
      </c>
      <c r="L223" s="110" t="n">
        <f aca="false">DC_Cost!L42</f>
        <v>0.06</v>
      </c>
      <c r="M223" s="110" t="n">
        <f aca="false">DC_Cost!M42</f>
        <v>0.08</v>
      </c>
      <c r="N223" s="110" t="n">
        <f aca="false">DC_Cost!N42</f>
        <v>0.1</v>
      </c>
      <c r="O223" s="110" t="n">
        <f aca="false">DC_Cost!O42</f>
        <v>0.06</v>
      </c>
      <c r="P223" s="110" t="n">
        <f aca="false">DC_Cost!P42</f>
        <v>0.08</v>
      </c>
      <c r="Q223" s="110" t="n">
        <f aca="false">DC_Cost!Q42</f>
        <v>0.1</v>
      </c>
    </row>
    <row r="224" customFormat="false" ht="15" hidden="false" customHeight="false" outlineLevel="0" collapsed="false">
      <c r="A224" s="53" t="s">
        <v>2097</v>
      </c>
      <c r="B224" s="54" t="s">
        <v>1369</v>
      </c>
      <c r="C224" s="87" t="n">
        <f aca="false">(DC_Cost!C44)/CTL_GW</f>
        <v>0.428405388</v>
      </c>
      <c r="D224" s="87" t="n">
        <f aca="false">(DC_Cost!D44)/CTL_GW</f>
        <v>0.82530642</v>
      </c>
      <c r="E224" s="87" t="n">
        <f aca="false">(DC_Cost!E44)/CTL_GW</f>
        <v>1.364829736</v>
      </c>
      <c r="F224" s="87" t="n">
        <f aca="false">(DC_Cost!F44)/CTL_GW</f>
        <v>0.412787808</v>
      </c>
      <c r="G224" s="87" t="n">
        <f aca="false">(DC_Cost!G44)/CTL_GW</f>
        <v>0.72045522</v>
      </c>
      <c r="H224" s="87" t="n">
        <f aca="false">(DC_Cost!H44)/CTL_GW</f>
        <v>1.106008176</v>
      </c>
      <c r="I224" s="87" t="n">
        <f aca="false">(DC_Cost!I44)/CTL_GW</f>
        <v>0.571098048</v>
      </c>
      <c r="J224" s="87" t="n">
        <f aca="false">(DC_Cost!J44)/CTL_GW</f>
        <v>1.12336512</v>
      </c>
      <c r="K224" s="87" t="n">
        <f aca="false">(DC_Cost!K44)/CTL_GW</f>
        <v>2.038020256</v>
      </c>
      <c r="L224" s="87" t="n">
        <f aca="false">(DC_Cost!L44)/CTL_GW</f>
        <v>0.665468064</v>
      </c>
      <c r="M224" s="87" t="n">
        <f aca="false">(DC_Cost!M44)/CTL_GW</f>
        <v>1.12759056</v>
      </c>
      <c r="N224" s="87" t="n">
        <f aca="false">(DC_Cost!N44)/CTL_GW</f>
        <v>1.705503008</v>
      </c>
      <c r="O224" s="87" t="n">
        <f aca="false">(DC_Cost!O44)/CTL_GW</f>
        <v>0.71691156</v>
      </c>
      <c r="P224" s="87" t="n">
        <f aca="false">(DC_Cost!P44)/CTL_GW</f>
        <v>1.5025734</v>
      </c>
      <c r="Q224" s="87" t="n">
        <f aca="false">(DC_Cost!Q44)/CTL_GW</f>
        <v>2.61926232</v>
      </c>
    </row>
    <row r="225" customFormat="false" ht="15" hidden="false" customHeight="false" outlineLevel="0" collapsed="false">
      <c r="A225" s="53" t="s">
        <v>2098</v>
      </c>
      <c r="B225" s="54" t="s">
        <v>1369</v>
      </c>
      <c r="C225" s="87" t="n">
        <f aca="false">(DC_Cost!C45)/CTL_GW</f>
        <v>0.15318</v>
      </c>
      <c r="D225" s="87" t="n">
        <f aca="false">(DC_Cost!D45)/CTL_GW</f>
        <v>0.2534</v>
      </c>
      <c r="E225" s="87" t="n">
        <f aca="false">(DC_Cost!E45)/CTL_GW</f>
        <v>0.40465</v>
      </c>
      <c r="F225" s="87" t="n">
        <f aca="false">(DC_Cost!F45)/CTL_GW</f>
        <v>0.15318</v>
      </c>
      <c r="G225" s="87" t="n">
        <f aca="false">(DC_Cost!G45)/CTL_GW</f>
        <v>0.2534</v>
      </c>
      <c r="H225" s="87" t="n">
        <f aca="false">(DC_Cost!H45)/CTL_GW</f>
        <v>0.40465</v>
      </c>
      <c r="I225" s="87" t="n">
        <f aca="false">(DC_Cost!I45)/CTL_GW</f>
        <v>0.15318</v>
      </c>
      <c r="J225" s="87" t="n">
        <f aca="false">(DC_Cost!J45)/CTL_GW</f>
        <v>0.2534</v>
      </c>
      <c r="K225" s="87" t="n">
        <f aca="false">(DC_Cost!K45)/CTL_GW</f>
        <v>0.40465</v>
      </c>
      <c r="L225" s="87" t="n">
        <f aca="false">(DC_Cost!L45)/CTL_GW</f>
        <v>0.15318</v>
      </c>
      <c r="M225" s="87" t="n">
        <f aca="false">(DC_Cost!M45)/CTL_GW</f>
        <v>0.2534</v>
      </c>
      <c r="N225" s="87" t="n">
        <f aca="false">(DC_Cost!N45)/CTL_GW</f>
        <v>0.40465</v>
      </c>
      <c r="O225" s="87" t="n">
        <f aca="false">(DC_Cost!O45)/CTL_GW</f>
        <v>0.15318</v>
      </c>
      <c r="P225" s="87" t="n">
        <f aca="false">(DC_Cost!P45)/CTL_GW</f>
        <v>0.2534</v>
      </c>
      <c r="Q225" s="87" t="n">
        <f aca="false">(DC_Cost!Q45)/CTL_GW</f>
        <v>0.40465</v>
      </c>
    </row>
    <row r="226" customFormat="false" ht="15" hidden="false" customHeight="false" outlineLevel="0" collapsed="false">
      <c r="A226" s="53" t="s">
        <v>2099</v>
      </c>
      <c r="B226" s="54" t="s">
        <v>1369</v>
      </c>
      <c r="C226" s="87" t="n">
        <f aca="false">(DC_Cost!C46)/CTL_GW</f>
        <v>0.24</v>
      </c>
      <c r="D226" s="87" t="n">
        <f aca="false">(DC_Cost!D46)/CTL_GW</f>
        <v>0.325</v>
      </c>
      <c r="E226" s="87" t="n">
        <f aca="false">(DC_Cost!E46)/CTL_GW</f>
        <v>0.41</v>
      </c>
      <c r="F226" s="87" t="n">
        <f aca="false">(DC_Cost!F46)/CTL_GW</f>
        <v>0.24</v>
      </c>
      <c r="G226" s="87" t="n">
        <f aca="false">(DC_Cost!G46)/CTL_GW</f>
        <v>0.325</v>
      </c>
      <c r="H226" s="87" t="n">
        <f aca="false">(DC_Cost!H46)/CTL_GW</f>
        <v>0.41</v>
      </c>
      <c r="I226" s="87" t="n">
        <f aca="false">(DC_Cost!I46)/CTL_GW</f>
        <v>0.24</v>
      </c>
      <c r="J226" s="87" t="n">
        <f aca="false">(DC_Cost!J46)/CTL_GW</f>
        <v>0.325</v>
      </c>
      <c r="K226" s="87" t="n">
        <f aca="false">(DC_Cost!K46)/CTL_GW</f>
        <v>0.41</v>
      </c>
      <c r="L226" s="87" t="n">
        <f aca="false">(DC_Cost!L46)/CTL_GW</f>
        <v>0.24</v>
      </c>
      <c r="M226" s="87" t="n">
        <f aca="false">(DC_Cost!M46)/CTL_GW</f>
        <v>0.325</v>
      </c>
      <c r="N226" s="87" t="n">
        <f aca="false">(DC_Cost!N46)/CTL_GW</f>
        <v>0.41</v>
      </c>
      <c r="O226" s="87" t="n">
        <f aca="false">(DC_Cost!O46)/CTL_GW</f>
        <v>0.24</v>
      </c>
      <c r="P226" s="87" t="n">
        <f aca="false">(DC_Cost!P46)/CTL_GW</f>
        <v>0.325</v>
      </c>
      <c r="Q226" s="87" t="n">
        <f aca="false">(DC_Cost!Q46)/CTL_GW</f>
        <v>0.41</v>
      </c>
    </row>
    <row r="227" customFormat="false" ht="15" hidden="false" customHeight="false" outlineLevel="0" collapsed="false">
      <c r="A227" s="53" t="s">
        <v>2100</v>
      </c>
      <c r="B227" s="54" t="s">
        <v>1369</v>
      </c>
      <c r="C227" s="87" t="n">
        <f aca="false">(DC_Cost!C47)/CTL_GW</f>
        <v>0.0948968082</v>
      </c>
      <c r="D227" s="87" t="n">
        <f aca="false">(DC_Cost!D47)/CTL_GW</f>
        <v>0.20090107</v>
      </c>
      <c r="E227" s="87" t="n">
        <f aca="false">(DC_Cost!E47)/CTL_GW</f>
        <v>0.4024539472</v>
      </c>
      <c r="F227" s="87" t="n">
        <f aca="false">(DC_Cost!F47)/CTL_GW</f>
        <v>0.0925541712</v>
      </c>
      <c r="G227" s="87" t="n">
        <f aca="false">(DC_Cost!G47)/CTL_GW</f>
        <v>0.18342587</v>
      </c>
      <c r="H227" s="87" t="n">
        <f aca="false">(DC_Cost!H47)/CTL_GW</f>
        <v>0.3506896352</v>
      </c>
      <c r="I227" s="87" t="n">
        <f aca="false">(DC_Cost!I47)/CTL_GW</f>
        <v>0.1163007072</v>
      </c>
      <c r="J227" s="87" t="n">
        <f aca="false">(DC_Cost!J47)/CTL_GW</f>
        <v>0.25057752</v>
      </c>
      <c r="K227" s="87" t="n">
        <f aca="false">(DC_Cost!K47)/CTL_GW</f>
        <v>0.5370920512</v>
      </c>
      <c r="L227" s="87" t="n">
        <f aca="false">(DC_Cost!L47)/CTL_GW</f>
        <v>0.1304562096</v>
      </c>
      <c r="M227" s="87" t="n">
        <f aca="false">(DC_Cost!M47)/CTL_GW</f>
        <v>0.25128176</v>
      </c>
      <c r="N227" s="87" t="n">
        <f aca="false">(DC_Cost!N47)/CTL_GW</f>
        <v>0.4705886016</v>
      </c>
      <c r="O227" s="87" t="n">
        <f aca="false">(DC_Cost!O47)/CTL_GW</f>
        <v>0.138172734</v>
      </c>
      <c r="P227" s="87" t="n">
        <f aca="false">(DC_Cost!P47)/CTL_GW</f>
        <v>0.3137789</v>
      </c>
      <c r="Q227" s="87" t="n">
        <f aca="false">(DC_Cost!Q47)/CTL_GW</f>
        <v>0.653340464</v>
      </c>
    </row>
    <row r="228" customFormat="false" ht="15" hidden="false" customHeight="false" outlineLevel="0" collapsed="false">
      <c r="A228" s="53" t="s">
        <v>2101</v>
      </c>
      <c r="B228" s="54" t="s">
        <v>1369</v>
      </c>
      <c r="C228" s="87" t="n">
        <f aca="false">(DC_Cost!C48)/CTL_GW</f>
        <v>1.3211941962</v>
      </c>
      <c r="D228" s="87" t="n">
        <f aca="false">(DC_Cost!D48)/CTL_GW</f>
        <v>2.27737549</v>
      </c>
      <c r="E228" s="87" t="n">
        <f aca="false">(DC_Cost!E48)/CTL_GW</f>
        <v>3.6068536832</v>
      </c>
      <c r="F228" s="87" t="n">
        <f aca="false">(DC_Cost!F48)/CTL_GW</f>
        <v>1.3032339792</v>
      </c>
      <c r="G228" s="87" t="n">
        <f aca="false">(DC_Cost!G48)/CTL_GW</f>
        <v>2.15504909</v>
      </c>
      <c r="H228" s="87" t="n">
        <f aca="false">(DC_Cost!H48)/CTL_GW</f>
        <v>3.2962678112</v>
      </c>
      <c r="I228" s="87" t="n">
        <f aca="false">(DC_Cost!I48)/CTL_GW</f>
        <v>1.4852907552</v>
      </c>
      <c r="J228" s="87" t="n">
        <f aca="false">(DC_Cost!J48)/CTL_GW</f>
        <v>2.62511064</v>
      </c>
      <c r="K228" s="87" t="n">
        <f aca="false">(DC_Cost!K48)/CTL_GW</f>
        <v>4.4146823072</v>
      </c>
      <c r="L228" s="87" t="n">
        <f aca="false">(DC_Cost!L48)/CTL_GW</f>
        <v>1.5938162736</v>
      </c>
      <c r="M228" s="87" t="n">
        <f aca="false">(DC_Cost!M48)/CTL_GW</f>
        <v>2.63004032</v>
      </c>
      <c r="N228" s="87" t="n">
        <f aca="false">(DC_Cost!N48)/CTL_GW</f>
        <v>4.0156616096</v>
      </c>
      <c r="O228" s="87" t="n">
        <f aca="false">(DC_Cost!O48)/CTL_GW</f>
        <v>1.652976294</v>
      </c>
      <c r="P228" s="87" t="n">
        <f aca="false">(DC_Cost!P48)/CTL_GW</f>
        <v>3.0675203</v>
      </c>
      <c r="Q228" s="87" t="n">
        <f aca="false">(DC_Cost!Q48)/CTL_GW</f>
        <v>5.112172784</v>
      </c>
    </row>
    <row r="229" customFormat="false" ht="15" hidden="false" customHeight="false" outlineLevel="0" collapsed="false">
      <c r="A229" s="53" t="s">
        <v>2102</v>
      </c>
      <c r="B229" s="54" t="s">
        <v>1369</v>
      </c>
      <c r="C229" s="199" t="n">
        <f aca="false">C220+C221+C228-C12</f>
        <v>0</v>
      </c>
      <c r="D229" s="199" t="n">
        <f aca="false">D220+D221+D228-D12</f>
        <v>0</v>
      </c>
      <c r="E229" s="199" t="n">
        <f aca="false">E220+E221+E228-E12</f>
        <v>0</v>
      </c>
      <c r="F229" s="199" t="n">
        <f aca="false">F220+F221+F228-F12</f>
        <v>0</v>
      </c>
      <c r="G229" s="199" t="n">
        <f aca="false">G220+G221+G228-G12</f>
        <v>0</v>
      </c>
      <c r="H229" s="199" t="n">
        <f aca="false">H220+H221+H228-H12</f>
        <v>0</v>
      </c>
      <c r="I229" s="199" t="n">
        <f aca="false">I220+I221+I228-I12</f>
        <v>0</v>
      </c>
      <c r="J229" s="199" t="n">
        <f aca="false">J220+J221+J228-J12</f>
        <v>0</v>
      </c>
      <c r="K229" s="199" t="n">
        <f aca="false">K220+K221+K228-K12</f>
        <v>0</v>
      </c>
      <c r="L229" s="199" t="n">
        <f aca="false">L220+L221+L228-L12</f>
        <v>0</v>
      </c>
      <c r="M229" s="199" t="n">
        <f aca="false">M220+M221+M228-M12</f>
        <v>0</v>
      </c>
      <c r="N229" s="199" t="n">
        <f aca="false">N220+N221+N228-N12</f>
        <v>0</v>
      </c>
      <c r="O229" s="199" t="n">
        <f aca="false">O220+O221+O228-O12</f>
        <v>0</v>
      </c>
      <c r="P229" s="199" t="n">
        <f aca="false">P220+P221+P228-P12</f>
        <v>0</v>
      </c>
      <c r="Q229" s="199" t="n">
        <f aca="false">Q220+Q221+Q228-Q12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0" t="s">
        <v>2103</v>
      </c>
    </row>
    <row r="2" customFormat="false" ht="15" hidden="false" customHeight="false" outlineLevel="0" collapsed="false">
      <c r="A2" s="66" t="s">
        <v>2104</v>
      </c>
    </row>
    <row r="4" customFormat="false" ht="29.85" hidden="false" customHeight="false" outlineLevel="0" collapsed="false">
      <c r="A4" s="77" t="s">
        <v>2105</v>
      </c>
      <c r="B4" s="76" t="s">
        <v>2106</v>
      </c>
      <c r="C4" s="76" t="s">
        <v>2107</v>
      </c>
      <c r="D4" s="76" t="s">
        <v>2108</v>
      </c>
      <c r="E4" s="76" t="s">
        <v>1113</v>
      </c>
      <c r="F4" s="76" t="s">
        <v>1114</v>
      </c>
      <c r="G4" s="76" t="s">
        <v>61</v>
      </c>
      <c r="H4" s="76" t="s">
        <v>2109</v>
      </c>
      <c r="I4" s="76" t="s">
        <v>2110</v>
      </c>
      <c r="J4" s="76" t="s">
        <v>2111</v>
      </c>
      <c r="K4" s="76" t="s">
        <v>2112</v>
      </c>
      <c r="L4" s="76" t="s">
        <v>2113</v>
      </c>
      <c r="M4" s="76" t="s">
        <v>2114</v>
      </c>
      <c r="N4" s="76" t="s">
        <v>2115</v>
      </c>
      <c r="O4" s="76" t="s">
        <v>2116</v>
      </c>
      <c r="P4" s="76" t="s">
        <v>506</v>
      </c>
      <c r="Q4" s="76" t="s">
        <v>38</v>
      </c>
      <c r="R4" s="76" t="s">
        <v>2117</v>
      </c>
      <c r="S4" s="76" t="s">
        <v>2118</v>
      </c>
    </row>
    <row r="5" customFormat="false" ht="29.85" hidden="false" customHeight="false" outlineLevel="0" collapsed="false">
      <c r="A5" s="54" t="s">
        <v>2119</v>
      </c>
      <c r="B5" s="5" t="s">
        <v>2120</v>
      </c>
      <c r="C5" s="5" t="s">
        <v>2121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2122</v>
      </c>
      <c r="H5" s="5" t="s">
        <v>2123</v>
      </c>
      <c r="I5" s="6" t="s">
        <v>2124</v>
      </c>
      <c r="J5" s="5" t="s">
        <v>2125</v>
      </c>
      <c r="K5" s="5" t="s">
        <v>2126</v>
      </c>
      <c r="L5" s="54" t="s">
        <v>585</v>
      </c>
      <c r="M5" s="108" t="s">
        <v>585</v>
      </c>
      <c r="N5" s="108" t="s">
        <v>585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2119</v>
      </c>
      <c r="R5" s="54" t="s">
        <v>2127</v>
      </c>
      <c r="S5" s="6" t="s">
        <v>585</v>
      </c>
    </row>
    <row r="6" customFormat="false" ht="29.85" hidden="false" customHeight="false" outlineLevel="0" collapsed="false">
      <c r="A6" s="54" t="s">
        <v>2128</v>
      </c>
      <c r="B6" s="5" t="s">
        <v>2129</v>
      </c>
      <c r="C6" s="5" t="s">
        <v>2121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2122</v>
      </c>
      <c r="H6" s="5" t="s">
        <v>2123</v>
      </c>
      <c r="I6" s="6" t="s">
        <v>2124</v>
      </c>
      <c r="J6" s="5" t="s">
        <v>2125</v>
      </c>
      <c r="K6" s="5" t="s">
        <v>2126</v>
      </c>
      <c r="L6" s="54" t="s">
        <v>585</v>
      </c>
      <c r="M6" s="108" t="s">
        <v>585</v>
      </c>
      <c r="N6" s="108" t="s">
        <v>585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2128</v>
      </c>
      <c r="R6" s="54" t="s">
        <v>2127</v>
      </c>
      <c r="S6" s="6" t="s">
        <v>585</v>
      </c>
    </row>
    <row r="7" customFormat="false" ht="29.85" hidden="false" customHeight="false" outlineLevel="0" collapsed="false">
      <c r="A7" s="54" t="s">
        <v>2130</v>
      </c>
      <c r="B7" s="5" t="s">
        <v>2131</v>
      </c>
      <c r="C7" s="5" t="s">
        <v>2121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2122</v>
      </c>
      <c r="H7" s="5" t="s">
        <v>2123</v>
      </c>
      <c r="I7" s="6" t="s">
        <v>2124</v>
      </c>
      <c r="J7" s="5" t="s">
        <v>2125</v>
      </c>
      <c r="K7" s="5" t="s">
        <v>2126</v>
      </c>
      <c r="L7" s="54" t="s">
        <v>585</v>
      </c>
      <c r="M7" s="108" t="s">
        <v>585</v>
      </c>
      <c r="N7" s="108" t="s">
        <v>585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2130</v>
      </c>
      <c r="R7" s="54" t="s">
        <v>2127</v>
      </c>
      <c r="S7" s="6" t="s">
        <v>585</v>
      </c>
    </row>
    <row r="8" customFormat="false" ht="29.85" hidden="false" customHeight="false" outlineLevel="0" collapsed="false">
      <c r="A8" s="54" t="s">
        <v>2132</v>
      </c>
      <c r="B8" s="5" t="s">
        <v>2133</v>
      </c>
      <c r="C8" s="5" t="s">
        <v>2121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2122</v>
      </c>
      <c r="H8" s="5" t="s">
        <v>2123</v>
      </c>
      <c r="I8" s="6" t="s">
        <v>2124</v>
      </c>
      <c r="J8" s="5" t="s">
        <v>2125</v>
      </c>
      <c r="K8" s="5" t="s">
        <v>2126</v>
      </c>
      <c r="L8" s="54" t="s">
        <v>2134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2132</v>
      </c>
      <c r="R8" s="54" t="s">
        <v>2127</v>
      </c>
      <c r="S8" s="5" t="s">
        <v>2135</v>
      </c>
    </row>
    <row r="9" customFormat="false" ht="29.85" hidden="false" customHeight="false" outlineLevel="0" collapsed="false">
      <c r="A9" s="54" t="s">
        <v>2136</v>
      </c>
      <c r="B9" s="5" t="s">
        <v>2137</v>
      </c>
      <c r="C9" s="5" t="s">
        <v>2138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2122</v>
      </c>
      <c r="H9" s="5" t="s">
        <v>2123</v>
      </c>
      <c r="I9" s="5" t="s">
        <v>2139</v>
      </c>
      <c r="J9" s="5" t="s">
        <v>2140</v>
      </c>
      <c r="K9" s="5" t="s">
        <v>2126</v>
      </c>
      <c r="L9" s="54" t="s">
        <v>2141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2136</v>
      </c>
      <c r="R9" s="54" t="s">
        <v>2142</v>
      </c>
      <c r="S9" s="5" t="s">
        <v>2143</v>
      </c>
    </row>
    <row r="10" customFormat="false" ht="44" hidden="false" customHeight="false" outlineLevel="0" collapsed="false">
      <c r="A10" s="54" t="s">
        <v>2144</v>
      </c>
      <c r="B10" s="5" t="s">
        <v>2145</v>
      </c>
      <c r="C10" s="5" t="s">
        <v>2146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98</v>
      </c>
      <c r="H10" s="5" t="s">
        <v>2123</v>
      </c>
      <c r="I10" s="5" t="s">
        <v>2147</v>
      </c>
      <c r="J10" s="5" t="s">
        <v>2148</v>
      </c>
      <c r="K10" s="5" t="s">
        <v>2149</v>
      </c>
      <c r="L10" s="54" t="s">
        <v>2150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2144</v>
      </c>
      <c r="R10" s="54" t="s">
        <v>2151</v>
      </c>
      <c r="S10" s="5" t="s">
        <v>2152</v>
      </c>
    </row>
    <row r="11" customFormat="false" ht="29.85" hidden="false" customHeight="false" outlineLevel="0" collapsed="false">
      <c r="A11" s="54" t="s">
        <v>2153</v>
      </c>
      <c r="B11" s="5" t="s">
        <v>2154</v>
      </c>
      <c r="C11" s="5" t="s">
        <v>2155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1768</v>
      </c>
      <c r="H11" s="5" t="s">
        <v>2123</v>
      </c>
      <c r="I11" s="5" t="s">
        <v>2156</v>
      </c>
      <c r="J11" s="6" t="s">
        <v>2157</v>
      </c>
      <c r="K11" s="5" t="s">
        <v>2158</v>
      </c>
      <c r="L11" s="54" t="s">
        <v>585</v>
      </c>
      <c r="M11" s="108" t="s">
        <v>585</v>
      </c>
      <c r="N11" s="108" t="s">
        <v>585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2153</v>
      </c>
      <c r="R11" s="54" t="s">
        <v>2159</v>
      </c>
      <c r="S11" s="6" t="s">
        <v>585</v>
      </c>
    </row>
    <row r="12" customFormat="false" ht="29.85" hidden="false" customHeight="false" outlineLevel="0" collapsed="false">
      <c r="A12" s="54" t="s">
        <v>2160</v>
      </c>
      <c r="B12" s="5" t="s">
        <v>2161</v>
      </c>
      <c r="C12" s="5" t="s">
        <v>2155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1768</v>
      </c>
      <c r="H12" s="5" t="s">
        <v>2123</v>
      </c>
      <c r="I12" s="5" t="s">
        <v>2156</v>
      </c>
      <c r="J12" s="6" t="s">
        <v>2157</v>
      </c>
      <c r="K12" s="5" t="s">
        <v>2158</v>
      </c>
      <c r="L12" s="54" t="s">
        <v>585</v>
      </c>
      <c r="M12" s="108" t="s">
        <v>585</v>
      </c>
      <c r="N12" s="108" t="s">
        <v>585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2160</v>
      </c>
      <c r="R12" s="54" t="s">
        <v>2159</v>
      </c>
      <c r="S12" s="6" t="s">
        <v>585</v>
      </c>
    </row>
    <row r="13" customFormat="false" ht="29.85" hidden="false" customHeight="false" outlineLevel="0" collapsed="false">
      <c r="A13" s="54" t="s">
        <v>2162</v>
      </c>
      <c r="B13" s="5" t="s">
        <v>2163</v>
      </c>
      <c r="C13" s="5" t="s">
        <v>2155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1768</v>
      </c>
      <c r="H13" s="5" t="s">
        <v>2123</v>
      </c>
      <c r="I13" s="5" t="s">
        <v>2156</v>
      </c>
      <c r="J13" s="6" t="s">
        <v>2157</v>
      </c>
      <c r="K13" s="5" t="s">
        <v>2158</v>
      </c>
      <c r="L13" s="54" t="s">
        <v>585</v>
      </c>
      <c r="M13" s="108" t="s">
        <v>585</v>
      </c>
      <c r="N13" s="108" t="s">
        <v>585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2162</v>
      </c>
      <c r="R13" s="54" t="s">
        <v>2159</v>
      </c>
      <c r="S13" s="6" t="s">
        <v>585</v>
      </c>
    </row>
    <row r="14" customFormat="false" ht="29.85" hidden="false" customHeight="false" outlineLevel="0" collapsed="false">
      <c r="A14" s="54" t="s">
        <v>2164</v>
      </c>
      <c r="B14" s="5" t="s">
        <v>2165</v>
      </c>
      <c r="C14" s="5" t="s">
        <v>2155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1768</v>
      </c>
      <c r="H14" s="5" t="s">
        <v>2123</v>
      </c>
      <c r="I14" s="5" t="s">
        <v>2156</v>
      </c>
      <c r="J14" s="6" t="s">
        <v>2157</v>
      </c>
      <c r="K14" s="5" t="s">
        <v>2158</v>
      </c>
      <c r="L14" s="54" t="s">
        <v>585</v>
      </c>
      <c r="M14" s="108" t="s">
        <v>585</v>
      </c>
      <c r="N14" s="108" t="s">
        <v>585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2164</v>
      </c>
      <c r="R14" s="54" t="s">
        <v>2159</v>
      </c>
      <c r="S14" s="6" t="s">
        <v>585</v>
      </c>
    </row>
    <row r="15" customFormat="false" ht="29.85" hidden="false" customHeight="false" outlineLevel="0" collapsed="false">
      <c r="A15" s="54" t="s">
        <v>2166</v>
      </c>
      <c r="B15" s="5" t="s">
        <v>2167</v>
      </c>
      <c r="C15" s="6" t="s">
        <v>2168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817</v>
      </c>
      <c r="H15" s="5" t="s">
        <v>2123</v>
      </c>
      <c r="I15" s="5" t="s">
        <v>2169</v>
      </c>
      <c r="J15" s="5" t="s">
        <v>2170</v>
      </c>
      <c r="K15" s="5" t="s">
        <v>2158</v>
      </c>
      <c r="L15" s="54" t="s">
        <v>585</v>
      </c>
      <c r="M15" s="108" t="s">
        <v>585</v>
      </c>
      <c r="N15" s="108" t="s">
        <v>585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2166</v>
      </c>
      <c r="R15" s="54" t="s">
        <v>2171</v>
      </c>
      <c r="S15" s="6" t="s">
        <v>585</v>
      </c>
    </row>
    <row r="16" customFormat="false" ht="44" hidden="false" customHeight="false" outlineLevel="0" collapsed="false">
      <c r="A16" s="54" t="s">
        <v>2172</v>
      </c>
      <c r="B16" s="5" t="s">
        <v>2173</v>
      </c>
      <c r="C16" s="6" t="s">
        <v>2168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817</v>
      </c>
      <c r="H16" s="5" t="s">
        <v>2123</v>
      </c>
      <c r="I16" s="5" t="s">
        <v>2169</v>
      </c>
      <c r="J16" s="5" t="s">
        <v>2170</v>
      </c>
      <c r="K16" s="5" t="s">
        <v>2158</v>
      </c>
      <c r="L16" s="54" t="s">
        <v>2174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2172</v>
      </c>
      <c r="R16" s="54" t="s">
        <v>2171</v>
      </c>
      <c r="S16" s="5" t="s">
        <v>2175</v>
      </c>
    </row>
    <row r="17" customFormat="false" ht="44" hidden="false" customHeight="false" outlineLevel="0" collapsed="false">
      <c r="A17" s="54" t="s">
        <v>2176</v>
      </c>
      <c r="B17" s="5" t="s">
        <v>2177</v>
      </c>
      <c r="C17" s="6" t="s">
        <v>2168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817</v>
      </c>
      <c r="H17" s="5" t="s">
        <v>2123</v>
      </c>
      <c r="I17" s="5" t="s">
        <v>2169</v>
      </c>
      <c r="J17" s="5" t="s">
        <v>2170</v>
      </c>
      <c r="K17" s="5" t="s">
        <v>2158</v>
      </c>
      <c r="L17" s="54" t="s">
        <v>2178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2176</v>
      </c>
      <c r="R17" s="54" t="s">
        <v>2171</v>
      </c>
      <c r="S17" s="5" t="s">
        <v>2175</v>
      </c>
    </row>
    <row r="18" customFormat="false" ht="29.85" hidden="false" customHeight="false" outlineLevel="0" collapsed="false">
      <c r="A18" s="54" t="s">
        <v>2179</v>
      </c>
      <c r="B18" s="5" t="s">
        <v>2180</v>
      </c>
      <c r="C18" s="6" t="s">
        <v>2168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817</v>
      </c>
      <c r="H18" s="5" t="s">
        <v>2123</v>
      </c>
      <c r="I18" s="5" t="s">
        <v>2169</v>
      </c>
      <c r="J18" s="5" t="s">
        <v>2170</v>
      </c>
      <c r="K18" s="5" t="s">
        <v>2158</v>
      </c>
      <c r="L18" s="54" t="s">
        <v>585</v>
      </c>
      <c r="M18" s="108" t="s">
        <v>585</v>
      </c>
      <c r="N18" s="108" t="s">
        <v>585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2179</v>
      </c>
      <c r="R18" s="54" t="s">
        <v>2171</v>
      </c>
      <c r="S18" s="6" t="s">
        <v>585</v>
      </c>
    </row>
    <row r="19" customFormat="false" ht="44" hidden="false" customHeight="false" outlineLevel="0" collapsed="false">
      <c r="A19" s="54" t="s">
        <v>2181</v>
      </c>
      <c r="B19" s="6" t="s">
        <v>2182</v>
      </c>
      <c r="C19" s="5" t="s">
        <v>2183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772</v>
      </c>
      <c r="H19" s="5" t="s">
        <v>2123</v>
      </c>
      <c r="I19" s="5" t="s">
        <v>2184</v>
      </c>
      <c r="J19" s="6" t="s">
        <v>2185</v>
      </c>
      <c r="K19" s="5" t="s">
        <v>2186</v>
      </c>
      <c r="L19" s="54" t="s">
        <v>585</v>
      </c>
      <c r="M19" s="108" t="s">
        <v>585</v>
      </c>
      <c r="N19" s="108" t="s">
        <v>585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2181</v>
      </c>
      <c r="R19" s="54" t="s">
        <v>2187</v>
      </c>
      <c r="S19" s="6" t="s">
        <v>2188</v>
      </c>
    </row>
    <row r="20" customFormat="false" ht="44" hidden="false" customHeight="false" outlineLevel="0" collapsed="false">
      <c r="A20" s="54" t="s">
        <v>2189</v>
      </c>
      <c r="B20" s="6" t="s">
        <v>2190</v>
      </c>
      <c r="C20" s="5" t="s">
        <v>2183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772</v>
      </c>
      <c r="H20" s="5" t="s">
        <v>2123</v>
      </c>
      <c r="I20" s="5" t="s">
        <v>2184</v>
      </c>
      <c r="J20" s="6" t="s">
        <v>2185</v>
      </c>
      <c r="K20" s="5" t="s">
        <v>2186</v>
      </c>
      <c r="L20" s="54" t="s">
        <v>585</v>
      </c>
      <c r="M20" s="108" t="s">
        <v>585</v>
      </c>
      <c r="N20" s="108" t="s">
        <v>585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2189</v>
      </c>
      <c r="R20" s="54" t="s">
        <v>2187</v>
      </c>
      <c r="S20" s="6" t="s">
        <v>585</v>
      </c>
    </row>
    <row r="21" customFormat="false" ht="44" hidden="false" customHeight="false" outlineLevel="0" collapsed="false">
      <c r="A21" s="54" t="s">
        <v>2191</v>
      </c>
      <c r="B21" s="6" t="s">
        <v>2192</v>
      </c>
      <c r="C21" s="5" t="s">
        <v>2183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772</v>
      </c>
      <c r="H21" s="5" t="s">
        <v>2123</v>
      </c>
      <c r="I21" s="5" t="s">
        <v>2184</v>
      </c>
      <c r="J21" s="6" t="s">
        <v>2185</v>
      </c>
      <c r="K21" s="5" t="s">
        <v>2186</v>
      </c>
      <c r="L21" s="54" t="s">
        <v>585</v>
      </c>
      <c r="M21" s="108" t="s">
        <v>585</v>
      </c>
      <c r="N21" s="108" t="s">
        <v>585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2191</v>
      </c>
      <c r="R21" s="54" t="s">
        <v>2187</v>
      </c>
      <c r="S21" s="6" t="s">
        <v>2188</v>
      </c>
    </row>
    <row r="22" customFormat="false" ht="44" hidden="false" customHeight="false" outlineLevel="0" collapsed="false">
      <c r="A22" s="54" t="s">
        <v>2193</v>
      </c>
      <c r="B22" s="6" t="s">
        <v>2194</v>
      </c>
      <c r="C22" s="5" t="s">
        <v>2183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772</v>
      </c>
      <c r="H22" s="5" t="s">
        <v>2123</v>
      </c>
      <c r="I22" s="5" t="s">
        <v>2184</v>
      </c>
      <c r="J22" s="6" t="s">
        <v>2185</v>
      </c>
      <c r="K22" s="5" t="s">
        <v>2186</v>
      </c>
      <c r="L22" s="54" t="s">
        <v>585</v>
      </c>
      <c r="M22" s="108" t="s">
        <v>585</v>
      </c>
      <c r="N22" s="108" t="s">
        <v>585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2193</v>
      </c>
      <c r="R22" s="54" t="s">
        <v>2187</v>
      </c>
      <c r="S22" s="6" t="s">
        <v>585</v>
      </c>
    </row>
    <row r="23" customFormat="false" ht="44" hidden="false" customHeight="false" outlineLevel="0" collapsed="false">
      <c r="A23" s="54" t="s">
        <v>2195</v>
      </c>
      <c r="B23" s="6" t="s">
        <v>2196</v>
      </c>
      <c r="C23" s="5" t="s">
        <v>2183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772</v>
      </c>
      <c r="H23" s="5" t="s">
        <v>2123</v>
      </c>
      <c r="I23" s="5" t="s">
        <v>2184</v>
      </c>
      <c r="J23" s="6" t="s">
        <v>2185</v>
      </c>
      <c r="K23" s="5" t="s">
        <v>2186</v>
      </c>
      <c r="L23" s="54" t="s">
        <v>585</v>
      </c>
      <c r="M23" s="108" t="s">
        <v>585</v>
      </c>
      <c r="N23" s="108" t="s">
        <v>585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2195</v>
      </c>
      <c r="R23" s="54" t="s">
        <v>2187</v>
      </c>
      <c r="S23" s="6" t="s">
        <v>2188</v>
      </c>
    </row>
    <row r="24" customFormat="false" ht="44" hidden="false" customHeight="false" outlineLevel="0" collapsed="false">
      <c r="A24" s="54" t="s">
        <v>2197</v>
      </c>
      <c r="B24" s="6" t="s">
        <v>2198</v>
      </c>
      <c r="C24" s="5" t="s">
        <v>2183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772</v>
      </c>
      <c r="H24" s="5" t="s">
        <v>2123</v>
      </c>
      <c r="I24" s="5" t="s">
        <v>2184</v>
      </c>
      <c r="J24" s="6" t="s">
        <v>2185</v>
      </c>
      <c r="K24" s="5" t="s">
        <v>2186</v>
      </c>
      <c r="L24" s="54" t="s">
        <v>585</v>
      </c>
      <c r="M24" s="108" t="s">
        <v>585</v>
      </c>
      <c r="N24" s="108" t="s">
        <v>585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2197</v>
      </c>
      <c r="R24" s="54" t="s">
        <v>2187</v>
      </c>
      <c r="S24" s="6" t="s">
        <v>585</v>
      </c>
    </row>
    <row r="25" customFormat="false" ht="29.85" hidden="false" customHeight="false" outlineLevel="0" collapsed="false">
      <c r="A25" s="54" t="s">
        <v>2199</v>
      </c>
      <c r="B25" s="6" t="s">
        <v>2200</v>
      </c>
      <c r="C25" s="5" t="s">
        <v>2201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2202</v>
      </c>
      <c r="H25" s="5" t="s">
        <v>2123</v>
      </c>
      <c r="I25" s="5" t="s">
        <v>2203</v>
      </c>
      <c r="J25" s="5" t="s">
        <v>2204</v>
      </c>
      <c r="K25" s="6" t="s">
        <v>2205</v>
      </c>
      <c r="L25" s="54" t="s">
        <v>2206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2199</v>
      </c>
      <c r="R25" s="54" t="s">
        <v>2207</v>
      </c>
      <c r="S25" s="6" t="s">
        <v>2208</v>
      </c>
    </row>
    <row r="26" customFormat="false" ht="44" hidden="false" customHeight="false" outlineLevel="0" collapsed="false">
      <c r="A26" s="54" t="s">
        <v>2209</v>
      </c>
      <c r="B26" s="5" t="s">
        <v>2210</v>
      </c>
      <c r="C26" s="6" t="s">
        <v>2211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1768</v>
      </c>
      <c r="H26" s="5" t="s">
        <v>2212</v>
      </c>
      <c r="I26" s="5" t="s">
        <v>2213</v>
      </c>
      <c r="J26" s="5" t="s">
        <v>2214</v>
      </c>
      <c r="K26" s="5" t="s">
        <v>2215</v>
      </c>
      <c r="L26" s="54" t="s">
        <v>585</v>
      </c>
      <c r="M26" s="108" t="s">
        <v>585</v>
      </c>
      <c r="N26" s="108" t="s">
        <v>585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2209</v>
      </c>
      <c r="R26" s="54" t="s">
        <v>2216</v>
      </c>
      <c r="S26" s="5" t="s">
        <v>2217</v>
      </c>
    </row>
    <row r="27" customFormat="false" ht="44" hidden="false" customHeight="false" outlineLevel="0" collapsed="false">
      <c r="A27" s="54" t="s">
        <v>2218</v>
      </c>
      <c r="B27" s="5" t="s">
        <v>2219</v>
      </c>
      <c r="C27" s="6" t="s">
        <v>2211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1768</v>
      </c>
      <c r="H27" s="5" t="s">
        <v>2212</v>
      </c>
      <c r="I27" s="5" t="s">
        <v>2213</v>
      </c>
      <c r="J27" s="5" t="s">
        <v>2214</v>
      </c>
      <c r="K27" s="5" t="s">
        <v>2215</v>
      </c>
      <c r="L27" s="54" t="s">
        <v>585</v>
      </c>
      <c r="M27" s="108" t="s">
        <v>585</v>
      </c>
      <c r="N27" s="108" t="s">
        <v>585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2218</v>
      </c>
      <c r="R27" s="54" t="s">
        <v>2216</v>
      </c>
      <c r="S27" s="5" t="s">
        <v>2217</v>
      </c>
    </row>
    <row r="28" customFormat="false" ht="44" hidden="false" customHeight="false" outlineLevel="0" collapsed="false">
      <c r="A28" s="54" t="s">
        <v>2220</v>
      </c>
      <c r="B28" s="5" t="s">
        <v>2221</v>
      </c>
      <c r="C28" s="6" t="s">
        <v>2211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1768</v>
      </c>
      <c r="H28" s="5" t="s">
        <v>2212</v>
      </c>
      <c r="I28" s="5" t="s">
        <v>2213</v>
      </c>
      <c r="J28" s="5" t="s">
        <v>2214</v>
      </c>
      <c r="K28" s="5" t="s">
        <v>2215</v>
      </c>
      <c r="L28" s="54" t="s">
        <v>585</v>
      </c>
      <c r="M28" s="108" t="s">
        <v>585</v>
      </c>
      <c r="N28" s="108" t="s">
        <v>585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2220</v>
      </c>
      <c r="R28" s="54" t="s">
        <v>2216</v>
      </c>
      <c r="S28" s="5" t="s">
        <v>2217</v>
      </c>
    </row>
    <row r="29" customFormat="false" ht="44" hidden="false" customHeight="false" outlineLevel="0" collapsed="false">
      <c r="A29" s="54" t="s">
        <v>2222</v>
      </c>
      <c r="B29" s="6" t="s">
        <v>2223</v>
      </c>
      <c r="C29" s="6" t="s">
        <v>2211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1768</v>
      </c>
      <c r="H29" s="5" t="s">
        <v>2212</v>
      </c>
      <c r="I29" s="5" t="s">
        <v>2213</v>
      </c>
      <c r="J29" s="5" t="s">
        <v>2214</v>
      </c>
      <c r="K29" s="5" t="s">
        <v>2215</v>
      </c>
      <c r="L29" s="54" t="s">
        <v>585</v>
      </c>
      <c r="M29" s="108" t="s">
        <v>585</v>
      </c>
      <c r="N29" s="108" t="s">
        <v>585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2222</v>
      </c>
      <c r="R29" s="54" t="s">
        <v>2216</v>
      </c>
      <c r="S29" s="5" t="s">
        <v>2217</v>
      </c>
    </row>
    <row r="30" customFormat="false" ht="29.85" hidden="false" customHeight="false" outlineLevel="0" collapsed="false">
      <c r="A30" s="54" t="s">
        <v>2224</v>
      </c>
      <c r="B30" s="5" t="s">
        <v>2225</v>
      </c>
      <c r="C30" s="6" t="s">
        <v>2168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817</v>
      </c>
      <c r="H30" s="5" t="s">
        <v>2123</v>
      </c>
      <c r="I30" s="5" t="s">
        <v>2226</v>
      </c>
      <c r="J30" s="5" t="s">
        <v>2170</v>
      </c>
      <c r="K30" s="5" t="s">
        <v>2227</v>
      </c>
      <c r="L30" s="54" t="s">
        <v>2228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2224</v>
      </c>
      <c r="R30" s="54" t="s">
        <v>2229</v>
      </c>
      <c r="S30" s="5" t="s">
        <v>2230</v>
      </c>
    </row>
    <row r="31" customFormat="false" ht="44" hidden="false" customHeight="false" outlineLevel="0" collapsed="false">
      <c r="A31" s="54" t="s">
        <v>2231</v>
      </c>
      <c r="B31" s="5" t="s">
        <v>2232</v>
      </c>
      <c r="C31" s="6" t="s">
        <v>2168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817</v>
      </c>
      <c r="H31" s="5" t="s">
        <v>2123</v>
      </c>
      <c r="I31" s="5" t="s">
        <v>2233</v>
      </c>
      <c r="J31" s="5" t="s">
        <v>2170</v>
      </c>
      <c r="K31" s="5" t="s">
        <v>2234</v>
      </c>
      <c r="L31" s="54" t="s">
        <v>2235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2231</v>
      </c>
      <c r="R31" s="54" t="s">
        <v>2236</v>
      </c>
      <c r="S31" s="5" t="s">
        <v>2237</v>
      </c>
    </row>
    <row r="32" customFormat="false" ht="29.85" hidden="false" customHeight="false" outlineLevel="0" collapsed="false">
      <c r="A32" s="54" t="s">
        <v>2238</v>
      </c>
      <c r="B32" s="6" t="s">
        <v>2239</v>
      </c>
      <c r="C32" s="6" t="s">
        <v>2240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81</v>
      </c>
      <c r="H32" s="6" t="s">
        <v>2241</v>
      </c>
      <c r="I32" s="5" t="s">
        <v>2242</v>
      </c>
      <c r="J32" s="6" t="s">
        <v>2243</v>
      </c>
      <c r="K32" s="6" t="s">
        <v>2244</v>
      </c>
      <c r="L32" s="54" t="s">
        <v>2245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2238</v>
      </c>
      <c r="R32" s="54" t="s">
        <v>2246</v>
      </c>
      <c r="S32" s="5" t="s">
        <v>2247</v>
      </c>
    </row>
    <row r="33" customFormat="false" ht="44" hidden="false" customHeight="false" outlineLevel="0" collapsed="false">
      <c r="A33" s="54" t="s">
        <v>2248</v>
      </c>
      <c r="B33" s="6" t="s">
        <v>2249</v>
      </c>
      <c r="C33" s="6" t="s">
        <v>2240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81</v>
      </c>
      <c r="H33" s="6" t="s">
        <v>2241</v>
      </c>
      <c r="I33" s="5" t="s">
        <v>2250</v>
      </c>
      <c r="J33" s="6" t="s">
        <v>2243</v>
      </c>
      <c r="K33" s="6" t="s">
        <v>2244</v>
      </c>
      <c r="L33" s="54" t="s">
        <v>2251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2248</v>
      </c>
      <c r="R33" s="54" t="s">
        <v>2252</v>
      </c>
      <c r="S33" s="5" t="s">
        <v>2253</v>
      </c>
    </row>
    <row r="34" customFormat="false" ht="29.85" hidden="false" customHeight="false" outlineLevel="0" collapsed="false">
      <c r="A34" s="54" t="s">
        <v>2254</v>
      </c>
      <c r="B34" s="5" t="s">
        <v>2255</v>
      </c>
      <c r="C34" s="6" t="s">
        <v>2256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77</v>
      </c>
      <c r="H34" s="5" t="s">
        <v>2257</v>
      </c>
      <c r="I34" s="5" t="s">
        <v>2258</v>
      </c>
      <c r="J34" s="5" t="s">
        <v>2259</v>
      </c>
      <c r="K34" s="5" t="s">
        <v>2260</v>
      </c>
      <c r="L34" s="54" t="s">
        <v>2261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2254</v>
      </c>
      <c r="R34" s="54" t="s">
        <v>2262</v>
      </c>
      <c r="S34" s="5" t="s">
        <v>2263</v>
      </c>
    </row>
    <row r="35" customFormat="false" ht="72.35" hidden="false" customHeight="false" outlineLevel="0" collapsed="false">
      <c r="A35" s="54" t="s">
        <v>2264</v>
      </c>
      <c r="B35" s="6" t="s">
        <v>2265</v>
      </c>
      <c r="C35" s="6" t="s">
        <v>2266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1768</v>
      </c>
      <c r="H35" s="5" t="s">
        <v>2267</v>
      </c>
      <c r="I35" s="5" t="s">
        <v>2268</v>
      </c>
      <c r="J35" s="6" t="s">
        <v>2269</v>
      </c>
      <c r="K35" s="6" t="s">
        <v>2270</v>
      </c>
      <c r="L35" s="54" t="s">
        <v>2271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2264</v>
      </c>
      <c r="R35" s="54" t="s">
        <v>2272</v>
      </c>
      <c r="S35" s="5" t="s">
        <v>2273</v>
      </c>
    </row>
    <row r="36" customFormat="false" ht="58.2" hidden="false" customHeight="false" outlineLevel="0" collapsed="false">
      <c r="A36" s="54" t="s">
        <v>2274</v>
      </c>
      <c r="B36" s="6" t="s">
        <v>2275</v>
      </c>
      <c r="C36" s="6" t="s">
        <v>2276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278</v>
      </c>
      <c r="H36" s="5" t="s">
        <v>2277</v>
      </c>
      <c r="I36" s="5" t="s">
        <v>2278</v>
      </c>
      <c r="J36" s="6" t="s">
        <v>2279</v>
      </c>
      <c r="K36" s="6" t="s">
        <v>2280</v>
      </c>
      <c r="L36" s="54" t="s">
        <v>2281</v>
      </c>
      <c r="M36" s="87" t="n">
        <f aca="false">SRC_MOD_055</f>
        <v>1.0001E+027</v>
      </c>
      <c r="N36" s="87" t="n">
        <f aca="false">SRC_MOD_055</f>
        <v>1.0001E+027</v>
      </c>
      <c r="O36" s="69" t="n">
        <f aca="false">IF(AND(ISNUMBER(D36),ISNUMBER(M36),ISNUMBER(N36)),D36/((M36+N36)/2),"—")</f>
        <v>0.0684170369523048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2274</v>
      </c>
      <c r="R36" s="54" t="s">
        <v>2282</v>
      </c>
      <c r="S36" s="5" t="s">
        <v>2283</v>
      </c>
    </row>
    <row r="37" customFormat="false" ht="69.4" hidden="false" customHeight="false" outlineLevel="0" collapsed="false">
      <c r="A37" s="54" t="s">
        <v>2284</v>
      </c>
      <c r="B37" s="5" t="s">
        <v>2285</v>
      </c>
      <c r="C37" s="6" t="s">
        <v>2286</v>
      </c>
      <c r="D37" s="118" t="n">
        <f aca="false">IF_AllocQ1</f>
        <v>0.63609601991434</v>
      </c>
      <c r="E37" s="108" t="n">
        <f aca="false">IF(ISNUMBER(IF_AllocQ1),MIN(AL_SensQ1),"—")</f>
        <v>0.466378886785264</v>
      </c>
      <c r="F37" s="108" t="n">
        <f aca="false">IF(ISNUMBER(IF_AllocQ1),MAX(AL_SensQ1),"—")</f>
        <v>0.924447580385278</v>
      </c>
      <c r="G37" s="54" t="s">
        <v>77</v>
      </c>
      <c r="H37" s="6" t="s">
        <v>2287</v>
      </c>
      <c r="I37" s="5" t="s">
        <v>2288</v>
      </c>
      <c r="J37" s="6" t="s">
        <v>2289</v>
      </c>
      <c r="K37" s="5" t="s">
        <v>2290</v>
      </c>
      <c r="L37" s="54" t="s">
        <v>585</v>
      </c>
      <c r="M37" s="108" t="s">
        <v>585</v>
      </c>
      <c r="N37" s="108" t="s">
        <v>585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2284</v>
      </c>
      <c r="R37" s="54" t="s">
        <v>2291</v>
      </c>
      <c r="S37" s="6" t="s">
        <v>2292</v>
      </c>
    </row>
    <row r="38" customFormat="false" ht="58.2" hidden="false" customHeight="false" outlineLevel="0" collapsed="false">
      <c r="A38" s="54" t="s">
        <v>2293</v>
      </c>
      <c r="B38" s="5" t="s">
        <v>2294</v>
      </c>
      <c r="C38" s="6" t="s">
        <v>2295</v>
      </c>
      <c r="D38" s="118" t="n">
        <f aca="false">IF_AllocQ2</f>
        <v>0.663556558253475</v>
      </c>
      <c r="E38" s="108" t="n">
        <f aca="false">IF(ISNUMBER(IF_AllocQ2),MIN(AL_SensQ2),"—")</f>
        <v>0.496509270445675</v>
      </c>
      <c r="F38" s="108" t="n">
        <f aca="false">IF(ISNUMBER(IF_AllocQ2),MAX(AL_SensQ2),"—")</f>
        <v>0.932459240750404</v>
      </c>
      <c r="G38" s="54" t="s">
        <v>77</v>
      </c>
      <c r="H38" s="6" t="s">
        <v>2296</v>
      </c>
      <c r="I38" s="5" t="s">
        <v>2297</v>
      </c>
      <c r="J38" s="6" t="s">
        <v>2298</v>
      </c>
      <c r="K38" s="5" t="s">
        <v>2290</v>
      </c>
      <c r="L38" s="54" t="s">
        <v>585</v>
      </c>
      <c r="M38" s="108" t="s">
        <v>585</v>
      </c>
      <c r="N38" s="108" t="s">
        <v>585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2293</v>
      </c>
      <c r="R38" s="54" t="s">
        <v>2291</v>
      </c>
      <c r="S38" s="5" t="s">
        <v>2299</v>
      </c>
    </row>
    <row r="39" customFormat="false" ht="44" hidden="false" customHeight="false" outlineLevel="0" collapsed="false">
      <c r="A39" s="54" t="s">
        <v>2300</v>
      </c>
      <c r="B39" s="5" t="s">
        <v>2301</v>
      </c>
      <c r="C39" s="6" t="s">
        <v>2302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1369</v>
      </c>
      <c r="H39" s="6" t="s">
        <v>2303</v>
      </c>
      <c r="I39" s="6" t="s">
        <v>2304</v>
      </c>
      <c r="J39" s="6" t="s">
        <v>2305</v>
      </c>
      <c r="K39" s="5" t="s">
        <v>2306</v>
      </c>
      <c r="L39" s="54" t="s">
        <v>585</v>
      </c>
      <c r="M39" s="108" t="s">
        <v>585</v>
      </c>
      <c r="N39" s="108" t="s">
        <v>585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2300</v>
      </c>
      <c r="R39" s="54" t="s">
        <v>2307</v>
      </c>
      <c r="S39" s="5" t="s">
        <v>2308</v>
      </c>
    </row>
    <row r="40" customFormat="false" ht="83.55" hidden="false" customHeight="false" outlineLevel="0" collapsed="false">
      <c r="A40" s="54" t="s">
        <v>2309</v>
      </c>
      <c r="B40" s="5" t="s">
        <v>2310</v>
      </c>
      <c r="C40" s="6" t="s">
        <v>2311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772</v>
      </c>
      <c r="H40" s="5" t="s">
        <v>2123</v>
      </c>
      <c r="I40" s="5" t="s">
        <v>2312</v>
      </c>
      <c r="J40" s="6" t="s">
        <v>2185</v>
      </c>
      <c r="K40" s="5" t="s">
        <v>2186</v>
      </c>
      <c r="L40" s="54" t="s">
        <v>585</v>
      </c>
      <c r="M40" s="108" t="s">
        <v>585</v>
      </c>
      <c r="N40" s="108" t="s">
        <v>585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2309</v>
      </c>
      <c r="R40" s="54" t="s">
        <v>2313</v>
      </c>
      <c r="S40" s="6" t="s">
        <v>2314</v>
      </c>
    </row>
    <row r="41" customFormat="false" ht="72.35" hidden="false" customHeight="false" outlineLevel="0" collapsed="false">
      <c r="A41" s="54" t="s">
        <v>2315</v>
      </c>
      <c r="B41" s="5" t="s">
        <v>2316</v>
      </c>
      <c r="C41" s="6" t="s">
        <v>2317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1768</v>
      </c>
      <c r="H41" s="5" t="s">
        <v>2212</v>
      </c>
      <c r="I41" s="5" t="s">
        <v>2318</v>
      </c>
      <c r="J41" s="5" t="s">
        <v>2319</v>
      </c>
      <c r="K41" s="5" t="s">
        <v>2320</v>
      </c>
      <c r="L41" s="54" t="s">
        <v>585</v>
      </c>
      <c r="M41" s="108" t="s">
        <v>585</v>
      </c>
      <c r="N41" s="108" t="s">
        <v>585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2315</v>
      </c>
      <c r="R41" s="54" t="s">
        <v>2321</v>
      </c>
      <c r="S41" s="6" t="s">
        <v>585</v>
      </c>
    </row>
    <row r="42" customFormat="false" ht="58.2" hidden="false" customHeight="false" outlineLevel="0" collapsed="false">
      <c r="A42" s="54" t="s">
        <v>2322</v>
      </c>
      <c r="B42" s="5" t="s">
        <v>2323</v>
      </c>
      <c r="C42" s="5" t="s">
        <v>2324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77</v>
      </c>
      <c r="H42" s="5" t="s">
        <v>2325</v>
      </c>
      <c r="I42" s="6" t="s">
        <v>2326</v>
      </c>
      <c r="J42" s="6" t="s">
        <v>2327</v>
      </c>
      <c r="K42" s="6" t="s">
        <v>2244</v>
      </c>
      <c r="L42" s="54" t="s">
        <v>585</v>
      </c>
      <c r="M42" s="108" t="s">
        <v>585</v>
      </c>
      <c r="N42" s="108" t="s">
        <v>585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2322</v>
      </c>
      <c r="R42" s="54" t="s">
        <v>2328</v>
      </c>
      <c r="S42" s="5" t="s">
        <v>2329</v>
      </c>
    </row>
    <row r="43" customFormat="false" ht="114.9" hidden="false" customHeight="false" outlineLevel="0" collapsed="false">
      <c r="A43" s="54" t="s">
        <v>2330</v>
      </c>
      <c r="B43" s="5" t="s">
        <v>2331</v>
      </c>
      <c r="C43" s="6" t="s">
        <v>2332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81</v>
      </c>
      <c r="H43" s="5" t="s">
        <v>2325</v>
      </c>
      <c r="I43" s="5" t="s">
        <v>2333</v>
      </c>
      <c r="J43" s="5" t="s">
        <v>2334</v>
      </c>
      <c r="K43" s="6" t="s">
        <v>2335</v>
      </c>
      <c r="L43" s="54" t="s">
        <v>585</v>
      </c>
      <c r="M43" s="108" t="s">
        <v>585</v>
      </c>
      <c r="N43" s="108" t="s">
        <v>585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2330</v>
      </c>
      <c r="R43" s="54" t="s">
        <v>2216</v>
      </c>
      <c r="S43" s="5" t="s">
        <v>2329</v>
      </c>
    </row>
    <row r="44" customFormat="false" ht="44" hidden="false" customHeight="false" outlineLevel="0" collapsed="false">
      <c r="A44" s="54" t="s">
        <v>2336</v>
      </c>
      <c r="B44" s="5" t="s">
        <v>2337</v>
      </c>
      <c r="C44" s="6" t="s">
        <v>2338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81</v>
      </c>
      <c r="H44" s="5" t="s">
        <v>2325</v>
      </c>
      <c r="I44" s="6" t="s">
        <v>2339</v>
      </c>
      <c r="J44" s="5" t="s">
        <v>2340</v>
      </c>
      <c r="K44" s="6" t="s">
        <v>2341</v>
      </c>
      <c r="L44" s="54" t="s">
        <v>585</v>
      </c>
      <c r="M44" s="108" t="s">
        <v>585</v>
      </c>
      <c r="N44" s="108" t="s">
        <v>585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2336</v>
      </c>
      <c r="R44" s="54" t="s">
        <v>2342</v>
      </c>
      <c r="S44" s="6" t="s">
        <v>585</v>
      </c>
    </row>
    <row r="45" customFormat="false" ht="58.2" hidden="false" customHeight="false" outlineLevel="0" collapsed="false">
      <c r="A45" s="54" t="s">
        <v>2343</v>
      </c>
      <c r="B45" s="5" t="s">
        <v>2344</v>
      </c>
      <c r="C45" s="6" t="s">
        <v>2345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400</v>
      </c>
      <c r="H45" s="5" t="s">
        <v>2346</v>
      </c>
      <c r="I45" s="5" t="s">
        <v>2347</v>
      </c>
      <c r="J45" s="6" t="s">
        <v>2348</v>
      </c>
      <c r="K45" s="6" t="s">
        <v>2349</v>
      </c>
      <c r="L45" s="54" t="s">
        <v>585</v>
      </c>
      <c r="M45" s="108" t="s">
        <v>585</v>
      </c>
      <c r="N45" s="108" t="s">
        <v>585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2343</v>
      </c>
      <c r="R45" s="54" t="s">
        <v>2342</v>
      </c>
      <c r="S45" s="5" t="s">
        <v>2350</v>
      </c>
    </row>
    <row r="46" customFormat="false" ht="58.2" hidden="false" customHeight="false" outlineLevel="0" collapsed="false">
      <c r="A46" s="54" t="s">
        <v>2351</v>
      </c>
      <c r="B46" s="5" t="s">
        <v>2352</v>
      </c>
      <c r="C46" s="6" t="s">
        <v>2353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69</v>
      </c>
      <c r="H46" s="5" t="s">
        <v>2354</v>
      </c>
      <c r="I46" s="5" t="s">
        <v>2355</v>
      </c>
      <c r="J46" s="5" t="s">
        <v>2356</v>
      </c>
      <c r="K46" s="5" t="s">
        <v>2290</v>
      </c>
      <c r="L46" s="54" t="s">
        <v>2357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2351</v>
      </c>
      <c r="R46" s="54" t="s">
        <v>2358</v>
      </c>
      <c r="S46" s="5" t="s">
        <v>2359</v>
      </c>
    </row>
    <row r="47" customFormat="false" ht="44" hidden="false" customHeight="false" outlineLevel="0" collapsed="false">
      <c r="A47" s="54" t="s">
        <v>2360</v>
      </c>
      <c r="B47" s="5" t="s">
        <v>2361</v>
      </c>
      <c r="C47" s="6" t="s">
        <v>2362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77</v>
      </c>
      <c r="H47" s="5" t="s">
        <v>2354</v>
      </c>
      <c r="I47" s="6" t="s">
        <v>2363</v>
      </c>
      <c r="J47" s="5" t="s">
        <v>2364</v>
      </c>
      <c r="K47" s="5" t="s">
        <v>2365</v>
      </c>
      <c r="L47" s="54" t="s">
        <v>2366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2360</v>
      </c>
      <c r="R47" s="54" t="s">
        <v>2358</v>
      </c>
      <c r="S47" s="5" t="s">
        <v>2367</v>
      </c>
    </row>
    <row r="48" customFormat="false" ht="58.2" hidden="false" customHeight="false" outlineLevel="0" collapsed="false">
      <c r="A48" s="54" t="s">
        <v>2368</v>
      </c>
      <c r="B48" s="5" t="s">
        <v>2369</v>
      </c>
      <c r="C48" s="6" t="s">
        <v>2370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1745</v>
      </c>
      <c r="H48" s="5" t="s">
        <v>2354</v>
      </c>
      <c r="I48" s="5" t="s">
        <v>2371</v>
      </c>
      <c r="J48" s="5" t="s">
        <v>2372</v>
      </c>
      <c r="K48" s="5" t="s">
        <v>2290</v>
      </c>
      <c r="L48" s="54" t="s">
        <v>2373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2368</v>
      </c>
      <c r="R48" s="54" t="s">
        <v>2374</v>
      </c>
      <c r="S48" s="6" t="s">
        <v>2375</v>
      </c>
    </row>
    <row r="49" customFormat="false" ht="143.25" hidden="false" customHeight="false" outlineLevel="0" collapsed="false">
      <c r="A49" s="54" t="s">
        <v>2376</v>
      </c>
      <c r="B49" s="5" t="s">
        <v>2377</v>
      </c>
      <c r="C49" s="6" t="s">
        <v>2378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77</v>
      </c>
      <c r="H49" s="5" t="s">
        <v>2379</v>
      </c>
      <c r="I49" s="6" t="s">
        <v>2380</v>
      </c>
      <c r="J49" s="5" t="s">
        <v>2381</v>
      </c>
      <c r="K49" s="5" t="s">
        <v>2320</v>
      </c>
      <c r="L49" s="54" t="s">
        <v>2382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2376</v>
      </c>
      <c r="R49" s="54" t="s">
        <v>2383</v>
      </c>
      <c r="S49" s="5" t="s">
        <v>2384</v>
      </c>
    </row>
    <row r="50" customFormat="false" ht="69.4" hidden="false" customHeight="false" outlineLevel="0" collapsed="false">
      <c r="A50" s="54" t="s">
        <v>2385</v>
      </c>
      <c r="B50" s="5" t="s">
        <v>2386</v>
      </c>
      <c r="C50" s="6" t="s">
        <v>2378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77</v>
      </c>
      <c r="H50" s="5" t="s">
        <v>2379</v>
      </c>
      <c r="I50" s="6" t="s">
        <v>2387</v>
      </c>
      <c r="J50" s="5" t="s">
        <v>2388</v>
      </c>
      <c r="K50" s="5" t="s">
        <v>2320</v>
      </c>
      <c r="L50" s="54" t="s">
        <v>585</v>
      </c>
      <c r="M50" s="108" t="s">
        <v>585</v>
      </c>
      <c r="N50" s="108" t="s">
        <v>585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2385</v>
      </c>
      <c r="R50" s="54" t="s">
        <v>2389</v>
      </c>
      <c r="S50" s="6" t="s">
        <v>585</v>
      </c>
    </row>
    <row r="51" customFormat="false" ht="44" hidden="false" customHeight="false" outlineLevel="0" collapsed="false">
      <c r="A51" s="54" t="s">
        <v>2390</v>
      </c>
      <c r="B51" s="5" t="s">
        <v>2391</v>
      </c>
      <c r="C51" s="5" t="s">
        <v>2324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77</v>
      </c>
      <c r="H51" s="5" t="s">
        <v>2325</v>
      </c>
      <c r="I51" s="6" t="s">
        <v>2392</v>
      </c>
      <c r="J51" s="6" t="s">
        <v>2327</v>
      </c>
      <c r="K51" s="6" t="s">
        <v>2244</v>
      </c>
      <c r="L51" s="54" t="s">
        <v>585</v>
      </c>
      <c r="M51" s="108" t="s">
        <v>585</v>
      </c>
      <c r="N51" s="108" t="s">
        <v>585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2390</v>
      </c>
      <c r="R51" s="54" t="s">
        <v>2328</v>
      </c>
      <c r="S51" s="6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0" t="s">
        <v>2393</v>
      </c>
    </row>
    <row r="2" customFormat="false" ht="15" hidden="false" customHeight="false" outlineLevel="0" collapsed="false">
      <c r="A2" s="66" t="s">
        <v>2394</v>
      </c>
    </row>
    <row r="4" customFormat="false" ht="15" hidden="false" customHeight="false" outlineLevel="0" collapsed="false">
      <c r="A4" s="52" t="s">
        <v>2395</v>
      </c>
    </row>
    <row r="5" customFormat="false" ht="15" hidden="false" customHeight="false" outlineLevel="0" collapsed="false">
      <c r="A5" s="54" t="s">
        <v>2396</v>
      </c>
      <c r="B5" s="54" t="s">
        <v>77</v>
      </c>
      <c r="C5" s="58" t="n">
        <v>0.6</v>
      </c>
      <c r="F5" s="51" t="s">
        <v>2397</v>
      </c>
    </row>
    <row r="6" customFormat="false" ht="15" hidden="false" customHeight="false" outlineLevel="0" collapsed="false">
      <c r="A6" s="54" t="s">
        <v>2398</v>
      </c>
      <c r="B6" s="54" t="s">
        <v>2399</v>
      </c>
      <c r="C6" s="59" t="n">
        <v>10</v>
      </c>
      <c r="F6" s="51" t="s">
        <v>2400</v>
      </c>
    </row>
    <row r="7" customFormat="false" ht="15" hidden="false" customHeight="false" outlineLevel="0" collapsed="false">
      <c r="A7" s="54" t="s">
        <v>2401</v>
      </c>
      <c r="B7" s="54" t="s">
        <v>2399</v>
      </c>
      <c r="C7" s="59" t="n">
        <v>40</v>
      </c>
      <c r="F7" s="51" t="s">
        <v>2402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0" t="s">
        <v>2403</v>
      </c>
    </row>
    <row r="2" customFormat="false" ht="15" hidden="false" customHeight="false" outlineLevel="0" collapsed="false">
      <c r="A2" s="66" t="s">
        <v>2404</v>
      </c>
    </row>
    <row r="4" customFormat="false" ht="30" hidden="false" customHeight="true" outlineLevel="0" collapsed="false">
      <c r="A4" s="76" t="s">
        <v>2405</v>
      </c>
      <c r="B4" s="76" t="s">
        <v>2406</v>
      </c>
      <c r="C4" s="76" t="s">
        <v>2407</v>
      </c>
      <c r="D4" s="76" t="s">
        <v>2408</v>
      </c>
      <c r="E4" s="76" t="s">
        <v>2409</v>
      </c>
      <c r="F4" s="76" t="s">
        <v>2410</v>
      </c>
      <c r="G4" s="76" t="s">
        <v>2411</v>
      </c>
      <c r="H4" s="76" t="s">
        <v>2412</v>
      </c>
      <c r="I4" s="76" t="s">
        <v>2413</v>
      </c>
      <c r="J4" s="76" t="s">
        <v>2414</v>
      </c>
      <c r="K4" s="76" t="s">
        <v>65</v>
      </c>
      <c r="L4" s="76" t="s">
        <v>302</v>
      </c>
    </row>
    <row r="5" customFormat="false" ht="15" hidden="false" customHeight="false" outlineLevel="0" collapsed="false">
      <c r="A5" s="54" t="s">
        <v>2415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1" t="s">
        <v>78</v>
      </c>
      <c r="L5" s="51" t="s">
        <v>2416</v>
      </c>
    </row>
    <row r="6" customFormat="false" ht="15" hidden="false" customHeight="false" outlineLevel="0" collapsed="false">
      <c r="A6" s="54" t="s">
        <v>2417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1" t="s">
        <v>78</v>
      </c>
      <c r="L6" s="66" t="s">
        <v>2418</v>
      </c>
    </row>
    <row r="7" customFormat="false" ht="15" hidden="false" customHeight="false" outlineLevel="0" collapsed="false">
      <c r="A7" s="54" t="s">
        <v>2419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1" t="s">
        <v>78</v>
      </c>
      <c r="L7" s="51" t="s">
        <v>2420</v>
      </c>
    </row>
    <row r="8" customFormat="false" ht="15" hidden="false" customHeight="false" outlineLevel="0" collapsed="false">
      <c r="A8" s="54" t="s">
        <v>2421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1" t="s">
        <v>78</v>
      </c>
      <c r="L8" s="66" t="s">
        <v>2422</v>
      </c>
    </row>
    <row r="9" customFormat="false" ht="15" hidden="false" customHeight="false" outlineLevel="0" collapsed="false">
      <c r="A9" s="54" t="s">
        <v>2423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1" t="s">
        <v>78</v>
      </c>
      <c r="L9" s="66" t="s">
        <v>2424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2425</v>
      </c>
    </row>
    <row r="2" customFormat="false" ht="15" hidden="false" customHeight="true" outlineLevel="0" collapsed="false">
      <c r="A2" s="11" t="s">
        <v>2426</v>
      </c>
    </row>
    <row r="4" customFormat="false" ht="30" hidden="false" customHeight="true" outlineLevel="0" collapsed="false">
      <c r="A4" s="20" t="s">
        <v>794</v>
      </c>
      <c r="C4" s="200" t="s">
        <v>63</v>
      </c>
      <c r="D4" s="200" t="s">
        <v>2427</v>
      </c>
      <c r="E4" s="200" t="s">
        <v>2428</v>
      </c>
      <c r="F4" s="200" t="s">
        <v>2429</v>
      </c>
      <c r="G4" s="200" t="s">
        <v>2430</v>
      </c>
      <c r="H4" s="200" t="s">
        <v>2431</v>
      </c>
      <c r="I4" s="200" t="s">
        <v>2432</v>
      </c>
      <c r="J4" s="200" t="s">
        <v>2433</v>
      </c>
      <c r="K4" s="200" t="s">
        <v>2434</v>
      </c>
      <c r="L4" s="200" t="s">
        <v>2435</v>
      </c>
      <c r="M4" s="200" t="s">
        <v>2436</v>
      </c>
      <c r="N4" s="201" t="s">
        <v>2437</v>
      </c>
      <c r="O4" s="201" t="s">
        <v>2438</v>
      </c>
      <c r="P4" s="201" t="s">
        <v>2439</v>
      </c>
      <c r="Q4" s="201" t="s">
        <v>2440</v>
      </c>
      <c r="R4" s="200" t="s">
        <v>2441</v>
      </c>
      <c r="S4" s="200" t="s">
        <v>2442</v>
      </c>
      <c r="T4" s="201" t="s">
        <v>2443</v>
      </c>
      <c r="U4" s="201" t="s">
        <v>2444</v>
      </c>
      <c r="V4" s="200" t="s">
        <v>2445</v>
      </c>
      <c r="W4" s="200" t="s">
        <v>2446</v>
      </c>
      <c r="X4" s="200" t="s">
        <v>2447</v>
      </c>
      <c r="Y4" s="200" t="s">
        <v>2448</v>
      </c>
    </row>
    <row r="6" customFormat="false" ht="15" hidden="false" customHeight="true" outlineLevel="0" collapsed="false">
      <c r="A6" s="25" t="s">
        <v>833</v>
      </c>
      <c r="B6" s="14"/>
      <c r="C6" s="14"/>
    </row>
    <row r="7" customFormat="false" ht="15" hidden="false" customHeight="true" outlineLevel="0" collapsed="false">
      <c r="A7" s="15" t="s">
        <v>2449</v>
      </c>
      <c r="B7" s="16" t="s">
        <v>835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76</v>
      </c>
      <c r="B8" s="16" t="s">
        <v>77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836</v>
      </c>
      <c r="B9" s="16" t="s">
        <v>835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707</v>
      </c>
      <c r="B10" s="16" t="s">
        <v>708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1911</v>
      </c>
      <c r="B11" s="21" t="s">
        <v>706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5" t="s">
        <v>155</v>
      </c>
      <c r="B12" s="21" t="s">
        <v>700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1912</v>
      </c>
      <c r="B13" s="21" t="s">
        <v>700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80</v>
      </c>
      <c r="B14" s="16" t="s">
        <v>81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20" t="s">
        <v>839</v>
      </c>
      <c r="B15" s="16" t="s">
        <v>835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2450</v>
      </c>
      <c r="B16" s="14"/>
      <c r="C16" s="14"/>
    </row>
    <row r="17" customFormat="false" ht="15" hidden="false" customHeight="true" outlineLevel="0" collapsed="false">
      <c r="A17" s="20" t="s">
        <v>841</v>
      </c>
      <c r="B17" s="16" t="s">
        <v>842</v>
      </c>
      <c r="C17" s="30" t="n">
        <f aca="false">Spec_Rack!F12</f>
        <v>8.4</v>
      </c>
      <c r="D17" s="30" t="n">
        <f aca="false">Spec_Rack!F11</f>
        <v>7.8</v>
      </c>
      <c r="E17" s="30" t="n">
        <f aca="false">Spec_Rack!F13</f>
        <v>9.1</v>
      </c>
      <c r="F17" s="30" t="n">
        <f aca="false">Spec_Rack!F12</f>
        <v>8.4</v>
      </c>
      <c r="G17" s="30" t="n">
        <f aca="false">Spec_Rack!F12</f>
        <v>8.4</v>
      </c>
      <c r="H17" s="30" t="n">
        <f aca="false">Spec_Rack!F12</f>
        <v>8.4</v>
      </c>
      <c r="I17" s="30" t="n">
        <f aca="false">Spec_Rack!F12</f>
        <v>8.4</v>
      </c>
      <c r="J17" s="30" t="n">
        <f aca="false">Spec_Rack!F12</f>
        <v>8.4</v>
      </c>
      <c r="K17" s="30" t="n">
        <f aca="false">Spec_Rack!F12</f>
        <v>8.4</v>
      </c>
      <c r="L17" s="30" t="n">
        <f aca="false">Spec_Rack!F12</f>
        <v>8.4</v>
      </c>
      <c r="M17" s="30" t="n">
        <f aca="false">Spec_Rack!F12</f>
        <v>8.4</v>
      </c>
      <c r="N17" s="30" t="n">
        <f aca="false">Spec_Rack!F12</f>
        <v>8.4</v>
      </c>
      <c r="O17" s="30" t="n">
        <f aca="false">Spec_Rack!F12</f>
        <v>8.4</v>
      </c>
      <c r="P17" s="30" t="n">
        <f aca="false">Spec_Rack!F12</f>
        <v>8.4</v>
      </c>
      <c r="Q17" s="30" t="n">
        <f aca="false">Spec_Rack!F12</f>
        <v>8.4</v>
      </c>
      <c r="R17" s="30" t="n">
        <f aca="false">Spec_Rack!F12</f>
        <v>8.4</v>
      </c>
      <c r="S17" s="30" t="n">
        <f aca="false">Spec_Rack!F12</f>
        <v>8.4</v>
      </c>
      <c r="T17" s="30" t="n">
        <f aca="false">Spec_Rack!F12</f>
        <v>8.4</v>
      </c>
      <c r="U17" s="30" t="n">
        <f aca="false">Spec_Rack!F12</f>
        <v>8.4</v>
      </c>
      <c r="V17" s="30" t="n">
        <f aca="false">Spec_Rack!F12</f>
        <v>8.4</v>
      </c>
      <c r="W17" s="30" t="n">
        <f aca="false">Spec_Rack!F12</f>
        <v>8.4</v>
      </c>
      <c r="X17" s="30" t="n">
        <f aca="false">Spec_Rack!F12</f>
        <v>8.4</v>
      </c>
      <c r="Y17" s="30" t="n">
        <f aca="false">Spec_Rack!F12</f>
        <v>8.4</v>
      </c>
    </row>
    <row r="18" customFormat="false" ht="15" hidden="false" customHeight="true" outlineLevel="0" collapsed="false">
      <c r="A18" s="20" t="s">
        <v>843</v>
      </c>
      <c r="B18" s="16" t="s">
        <v>844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5" t="s">
        <v>91</v>
      </c>
      <c r="B19" s="16" t="s">
        <v>77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845</v>
      </c>
      <c r="B20" s="16" t="s">
        <v>844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20" t="s">
        <v>846</v>
      </c>
      <c r="B21" s="16" t="s">
        <v>94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846</v>
      </c>
      <c r="B22" s="16" t="s">
        <v>844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5" t="s">
        <v>847</v>
      </c>
      <c r="B23" s="16" t="s">
        <v>844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20" t="s">
        <v>97</v>
      </c>
      <c r="B24" s="16" t="s">
        <v>844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20" t="s">
        <v>848</v>
      </c>
      <c r="B25" s="16" t="s">
        <v>844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20" t="s">
        <v>849</v>
      </c>
      <c r="B26" s="16" t="s">
        <v>844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20" t="s">
        <v>850</v>
      </c>
      <c r="B27" s="16" t="s">
        <v>844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20" t="s">
        <v>851</v>
      </c>
      <c r="B28" s="16" t="s">
        <v>844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20" t="s">
        <v>852</v>
      </c>
      <c r="B29" s="16" t="s">
        <v>77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107</v>
      </c>
      <c r="B30" s="16" t="s">
        <v>844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20" t="s">
        <v>853</v>
      </c>
      <c r="B31" s="16" t="s">
        <v>844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20" t="s">
        <v>2451</v>
      </c>
      <c r="B32" s="16" t="s">
        <v>844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20" t="s">
        <v>855</v>
      </c>
      <c r="B33" s="16" t="s">
        <v>856</v>
      </c>
      <c r="C33" s="31" t="n">
        <f aca="false">C32*1000000/C13</f>
        <v>172.261818580673</v>
      </c>
      <c r="D33" s="31" t="n">
        <f aca="false">D32*1000000/D13</f>
        <v>163.095151914007</v>
      </c>
      <c r="E33" s="31" t="n">
        <f aca="false">E32*1000000/E13</f>
        <v>182.956263025118</v>
      </c>
      <c r="F33" s="31" t="n">
        <f aca="false">F32*1000000/F13</f>
        <v>164.79740899698</v>
      </c>
      <c r="G33" s="31" t="n">
        <f aca="false">G32*1000000/G13</f>
        <v>172.826388888889</v>
      </c>
      <c r="H33" s="31" t="n">
        <f aca="false">H32*1000000/H13</f>
        <v>166.42848524734</v>
      </c>
      <c r="I33" s="31" t="n">
        <f aca="false">I32*1000000/I13</f>
        <v>178.095151914007</v>
      </c>
      <c r="J33" s="31" t="n">
        <f aca="false">J32*1000000/J13</f>
        <v>169.896731380937</v>
      </c>
      <c r="K33" s="31" t="n">
        <f aca="false">K32*1000000/K13</f>
        <v>175.809449380279</v>
      </c>
      <c r="L33" s="31" t="n">
        <f aca="false">L32*1000000/L13</f>
        <v>169.502550180981</v>
      </c>
      <c r="M33" s="31" t="n">
        <f aca="false">M32*1000000/M13</f>
        <v>176.203630580235</v>
      </c>
      <c r="N33" s="31" t="n">
        <f aca="false">N32*1000000/N13</f>
        <v>172.261818580673</v>
      </c>
      <c r="O33" s="31" t="n">
        <f aca="false">O32*1000000/O13</f>
        <v>172.261818580673</v>
      </c>
      <c r="P33" s="31" t="n">
        <f aca="false">P32*1000000/P13</f>
        <v>172.261818580673</v>
      </c>
      <c r="Q33" s="31" t="n">
        <f aca="false">Q32*1000000/Q13</f>
        <v>172.261818580673</v>
      </c>
      <c r="R33" s="31" t="n">
        <f aca="false">R32*1000000/R13</f>
        <v>172.261818580673</v>
      </c>
      <c r="S33" s="31" t="n">
        <f aca="false">S32*1000000/S13</f>
        <v>172.261818580673</v>
      </c>
      <c r="T33" s="31" t="n">
        <f aca="false">T32*1000000/T13</f>
        <v>172.261818580673</v>
      </c>
      <c r="U33" s="31" t="n">
        <f aca="false">U32*1000000/U13</f>
        <v>172.261818580673</v>
      </c>
      <c r="V33" s="31" t="n">
        <f aca="false">V32*1000000/V13</f>
        <v>172.261818580673</v>
      </c>
      <c r="W33" s="31" t="n">
        <f aca="false">W32*1000000/W13</f>
        <v>172.261818580673</v>
      </c>
      <c r="X33" s="31" t="n">
        <f aca="false">X32*1000000/X13</f>
        <v>170.881654055489</v>
      </c>
      <c r="Y33" s="31" t="n">
        <f aca="false">Y32*1000000/Y13</f>
        <v>174.233803462906</v>
      </c>
    </row>
    <row r="34" customFormat="false" ht="15" hidden="false" customHeight="true" outlineLevel="0" collapsed="false">
      <c r="A34" s="20" t="s">
        <v>857</v>
      </c>
      <c r="B34" s="16" t="s">
        <v>842</v>
      </c>
      <c r="C34" s="31" t="n">
        <f aca="false">C32*1000/C7</f>
        <v>50.256352</v>
      </c>
      <c r="D34" s="31" t="n">
        <f aca="false">D32*1000/D7</f>
        <v>47.582032</v>
      </c>
      <c r="E34" s="31" t="n">
        <f aca="false">E32*1000/E7</f>
        <v>53.376392</v>
      </c>
      <c r="F34" s="31" t="n">
        <f aca="false">F32*1000/F7</f>
        <v>58.057468</v>
      </c>
      <c r="G34" s="31" t="n">
        <f aca="false">G32*1000/G7</f>
        <v>49.774</v>
      </c>
      <c r="H34" s="31" t="n">
        <f aca="false">H32*1000/H7</f>
        <v>48.554512</v>
      </c>
      <c r="I34" s="31" t="n">
        <f aca="false">I32*1000/I7</f>
        <v>51.958192</v>
      </c>
      <c r="J34" s="31" t="n">
        <f aca="false">J32*1000/J7</f>
        <v>49.566352</v>
      </c>
      <c r="K34" s="31" t="n">
        <f aca="false">K32*1000/K7</f>
        <v>51.291352</v>
      </c>
      <c r="L34" s="31" t="n">
        <f aca="false">L32*1000/L7</f>
        <v>49.451352</v>
      </c>
      <c r="M34" s="31" t="n">
        <f aca="false">M32*1000/M7</f>
        <v>51.406352</v>
      </c>
      <c r="N34" s="31" t="n">
        <f aca="false">N32*1000/N7</f>
        <v>50.256352</v>
      </c>
      <c r="O34" s="31" t="n">
        <f aca="false">O32*1000/O7</f>
        <v>50.256352</v>
      </c>
      <c r="P34" s="31" t="n">
        <f aca="false">P32*1000/P7</f>
        <v>50.256352</v>
      </c>
      <c r="Q34" s="31" t="n">
        <f aca="false">Q32*1000/Q7</f>
        <v>50.256352</v>
      </c>
      <c r="R34" s="31" t="n">
        <f aca="false">R32*1000/R7</f>
        <v>50.256352</v>
      </c>
      <c r="S34" s="31" t="n">
        <f aca="false">S32*1000/S7</f>
        <v>50.256352</v>
      </c>
      <c r="T34" s="31" t="n">
        <f aca="false">T32*1000/T7</f>
        <v>50.256352</v>
      </c>
      <c r="U34" s="31" t="n">
        <f aca="false">U32*1000/U7</f>
        <v>50.256352</v>
      </c>
      <c r="V34" s="31" t="n">
        <f aca="false">V32*1000/V7</f>
        <v>50.256352</v>
      </c>
      <c r="W34" s="31" t="n">
        <f aca="false">W32*1000/W7</f>
        <v>50.256352</v>
      </c>
      <c r="X34" s="31" t="n">
        <f aca="false">X32*1000/X7</f>
        <v>51.49006</v>
      </c>
      <c r="Y34" s="31" t="n">
        <f aca="false">Y32*1000/Y7</f>
        <v>48.623776</v>
      </c>
    </row>
    <row r="35" customFormat="false" ht="15" hidden="false" customHeight="true" outlineLevel="0" collapsed="false">
      <c r="A35" s="20" t="s">
        <v>858</v>
      </c>
      <c r="B35" s="16" t="s">
        <v>842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5" t="s">
        <v>2452</v>
      </c>
      <c r="B36" s="14"/>
      <c r="C36" s="14"/>
    </row>
    <row r="37" customFormat="false" ht="15" hidden="false" customHeight="true" outlineLevel="0" collapsed="false">
      <c r="A37" s="15" t="s">
        <v>860</v>
      </c>
      <c r="B37" s="21" t="s">
        <v>112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2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5" t="s">
        <v>861</v>
      </c>
      <c r="B38" s="16" t="s">
        <v>844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20" t="s">
        <v>862</v>
      </c>
      <c r="B39" s="16" t="s">
        <v>844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84</v>
      </c>
      <c r="B40" s="16" t="s">
        <v>77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86</v>
      </c>
      <c r="B41" s="16" t="s">
        <v>87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20" t="s">
        <v>863</v>
      </c>
      <c r="B42" s="16" t="s">
        <v>844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5" t="s">
        <v>123</v>
      </c>
      <c r="B43" s="16" t="s">
        <v>844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20" t="s">
        <v>126</v>
      </c>
      <c r="B44" s="16" t="s">
        <v>844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20" t="s">
        <v>864</v>
      </c>
      <c r="B45" s="16" t="s">
        <v>844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137</v>
      </c>
      <c r="B46" s="16" t="s">
        <v>844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20" t="s">
        <v>865</v>
      </c>
      <c r="B47" s="16" t="s">
        <v>844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20" t="s">
        <v>866</v>
      </c>
      <c r="B48" s="16" t="s">
        <v>844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5" t="s">
        <v>2453</v>
      </c>
      <c r="B49" s="14"/>
      <c r="C49" s="14"/>
    </row>
    <row r="50" customFormat="false" ht="15" hidden="false" customHeight="true" outlineLevel="0" collapsed="false">
      <c r="A50" s="15" t="s">
        <v>868</v>
      </c>
      <c r="B50" s="16" t="s">
        <v>77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869</v>
      </c>
      <c r="B51" s="16" t="s">
        <v>81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5" t="s">
        <v>870</v>
      </c>
      <c r="B52" s="16" t="s">
        <v>844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20" t="s">
        <v>871</v>
      </c>
      <c r="B53" s="16" t="s">
        <v>844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872</v>
      </c>
      <c r="B54" s="16" t="s">
        <v>844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5" t="s">
        <v>873</v>
      </c>
      <c r="B55" s="14"/>
      <c r="C55" s="14"/>
    </row>
    <row r="56" customFormat="false" ht="15" hidden="false" customHeight="true" outlineLevel="0" collapsed="false">
      <c r="A56" s="20" t="s">
        <v>874</v>
      </c>
      <c r="B56" s="16" t="s">
        <v>817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20" t="s">
        <v>875</v>
      </c>
      <c r="B57" s="16" t="s">
        <v>817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20" t="s">
        <v>876</v>
      </c>
      <c r="B58" s="16" t="s">
        <v>877</v>
      </c>
      <c r="C58" s="17" t="n">
        <f aca="false">C54*1000000000/(C11*8760)</f>
        <v>359.538774929064</v>
      </c>
      <c r="D58" s="17" t="n">
        <f aca="false">D54*1000000000/(D11*8760)</f>
        <v>339.602602435986</v>
      </c>
      <c r="E58" s="17" t="n">
        <f aca="false">E54*1000000000/(E11*8760)</f>
        <v>382.797642837654</v>
      </c>
      <c r="F58" s="17" t="n">
        <f aca="false">F54*1000000000/(F11*8760)</f>
        <v>345.90111129158</v>
      </c>
      <c r="G58" s="17" t="n">
        <f aca="false">G54*1000000000/(G11*8760)</f>
        <v>360.570259050724</v>
      </c>
      <c r="H58" s="17" t="n">
        <f aca="false">H54*1000000000/(H11*8760)</f>
        <v>346.852119706196</v>
      </c>
      <c r="I58" s="17" t="n">
        <f aca="false">I54*1000000000/(I11*8760)</f>
        <v>372.225430151931</v>
      </c>
      <c r="J58" s="17" t="n">
        <f aca="false">J54*1000000000/(J11*8760)</f>
        <v>356.99071586994</v>
      </c>
      <c r="K58" s="17" t="n">
        <f aca="false">K54*1000000000/(K11*8760)</f>
        <v>363.36086351775</v>
      </c>
      <c r="L58" s="17" t="n">
        <f aca="false">L54*1000000000/(L11*8760)</f>
        <v>356.307944730157</v>
      </c>
      <c r="M58" s="17" t="n">
        <f aca="false">M54*1000000000/(M11*8760)</f>
        <v>364.154246641788</v>
      </c>
      <c r="N58" s="17" t="n">
        <f aca="false">N54*1000000000/(N11*8760)</f>
        <v>333.911304036212</v>
      </c>
      <c r="O58" s="17" t="n">
        <f aca="false">O54*1000000000/(O11*8760)</f>
        <v>450.459906770806</v>
      </c>
      <c r="P58" s="17" t="n">
        <f aca="false">P54*1000000000/(P11*8760)</f>
        <v>339.801074366408</v>
      </c>
      <c r="Q58" s="17" t="n">
        <f aca="false">Q54*1000000000/(Q11*8760)</f>
        <v>390.292761272921</v>
      </c>
      <c r="R58" s="17" t="n">
        <f aca="false">R54*1000000000/(R11*8760)</f>
        <v>354.80037413933</v>
      </c>
      <c r="S58" s="17" t="n">
        <f aca="false">S54*1000000000/(S11*8760)</f>
        <v>364.277175718797</v>
      </c>
      <c r="T58" s="17" t="n">
        <f aca="false">T54*1000000000/(T11*8760)</f>
        <v>357.959307999153</v>
      </c>
      <c r="U58" s="17" t="n">
        <f aca="false">U54*1000000000/(U11*8760)</f>
        <v>361.118241858975</v>
      </c>
      <c r="V58" s="17" t="n">
        <f aca="false">V54*1000000000/(V11*8760)</f>
        <v>357.169574534197</v>
      </c>
      <c r="W58" s="17" t="n">
        <f aca="false">W54*1000000000/(W11*8760)</f>
        <v>361.90797532393</v>
      </c>
      <c r="X58" s="17" t="n">
        <f aca="false">X54*1000000000/(X11*8760)</f>
        <v>357.017179704711</v>
      </c>
      <c r="Y58" s="17" t="n">
        <f aca="false">Y54*1000000000/(Y11*8760)</f>
        <v>363.141640798165</v>
      </c>
    </row>
    <row r="59" customFormat="false" ht="15" hidden="false" customHeight="true" outlineLevel="0" collapsed="false">
      <c r="A59" s="20" t="s">
        <v>878</v>
      </c>
      <c r="B59" s="16" t="s">
        <v>879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20" t="s">
        <v>880</v>
      </c>
      <c r="B60" s="16" t="s">
        <v>77</v>
      </c>
      <c r="C60" s="22" t="n">
        <f aca="false">(C52+C53)/C54</f>
        <v>0.793916543741441</v>
      </c>
      <c r="D60" s="22" t="n">
        <f aca="false">(D52+D53)/D54</f>
        <v>0.789583452593095</v>
      </c>
      <c r="E60" s="22" t="n">
        <f aca="false">(E52+E53)/E54</f>
        <v>0.798401377702989</v>
      </c>
      <c r="F60" s="22" t="n">
        <f aca="false">(F52+F53)/F54</f>
        <v>0.804193262265861</v>
      </c>
      <c r="G60" s="22" t="n">
        <f aca="false">(G52+G53)/G54</f>
        <v>0.793170886758722</v>
      </c>
      <c r="H60" s="22" t="n">
        <f aca="false">(H52+H53)/H54</f>
        <v>0.791216754662159</v>
      </c>
      <c r="I60" s="22" t="n">
        <f aca="false">(I52+I53)/I54</f>
        <v>0.796432297607387</v>
      </c>
      <c r="J60" s="22" t="n">
        <f aca="false">(J52+J53)/J54</f>
        <v>0.7938069162524</v>
      </c>
      <c r="K60" s="22" t="n">
        <f aca="false">(K52+K53)/K54</f>
        <v>0.794078102124803</v>
      </c>
      <c r="L60" s="22" t="n">
        <f aca="false">(L52+L53)/L54</f>
        <v>0.793639121650252</v>
      </c>
      <c r="M60" s="22" t="n">
        <f aca="false">(M52+M53)/M54</f>
        <v>0.794304321707374</v>
      </c>
      <c r="N60" s="22" t="n">
        <f aca="false">(N52+N53)/N54</f>
        <v>0.778099775297472</v>
      </c>
      <c r="O60" s="22" t="n">
        <f aca="false">(O52+O53)/O54</f>
        <v>0.835512567749899</v>
      </c>
      <c r="P60" s="22" t="n">
        <f aca="false">(P52+P53)/P54</f>
        <v>0.781945970787447</v>
      </c>
      <c r="Q60" s="22" t="n">
        <f aca="false">(Q52+Q53)/Q54</f>
        <v>0.810155348116904</v>
      </c>
      <c r="R60" s="22" t="n">
        <f aca="false">(R52+R53)/R54</f>
        <v>0.804519392701148</v>
      </c>
      <c r="S60" s="22" t="n">
        <f aca="false">(S52+S53)/S54</f>
        <v>0.783589531706103</v>
      </c>
      <c r="T60" s="22" t="n">
        <f aca="false">(T52+T53)/T54</f>
        <v>0.797419637243767</v>
      </c>
      <c r="U60" s="22" t="n">
        <f aca="false">(U52+U53)/U54</f>
        <v>0.790444094054342</v>
      </c>
      <c r="V60" s="22" t="n">
        <f aca="false">(V52+V53)/V54</f>
        <v>0.799182802468479</v>
      </c>
      <c r="W60" s="22" t="n">
        <f aca="false">(W52+W53)/W54</f>
        <v>0.788719235262013</v>
      </c>
      <c r="X60" s="22" t="n">
        <f aca="false">(X52+X53)/X54</f>
        <v>0.795757539137829</v>
      </c>
      <c r="Y60" s="22" t="n">
        <f aca="false">(Y52+Y53)/Y54</f>
        <v>0.79133048439756</v>
      </c>
    </row>
    <row r="61" customFormat="false" ht="15" hidden="false" customHeight="true" outlineLevel="0" collapsed="false">
      <c r="A61" s="20" t="s">
        <v>881</v>
      </c>
      <c r="B61" s="16" t="s">
        <v>77</v>
      </c>
      <c r="C61" s="22" t="n">
        <f aca="false">C42/C54</f>
        <v>0.0527164369480688</v>
      </c>
      <c r="D61" s="22" t="n">
        <f aca="false">D42/D54</f>
        <v>0.0558111245996902</v>
      </c>
      <c r="E61" s="22" t="n">
        <f aca="false">E42/E54</f>
        <v>0.0495133747910045</v>
      </c>
      <c r="F61" s="22" t="n">
        <f aca="false">F42/F54</f>
        <v>0.0453768189183727</v>
      </c>
      <c r="G61" s="22" t="n">
        <f aca="false">G42/G54</f>
        <v>0.0532489841246141</v>
      </c>
      <c r="H61" s="22" t="n">
        <f aca="false">H42/H54</f>
        <v>0.0546446225411241</v>
      </c>
      <c r="I61" s="22" t="n">
        <f aca="false">I42/I54</f>
        <v>0.0509196890475688</v>
      </c>
      <c r="J61" s="22" t="n">
        <f aca="false">J42/J54</f>
        <v>0.0530927061023041</v>
      </c>
      <c r="K61" s="22" t="n">
        <f aca="false">K42/K54</f>
        <v>0.0521619278846964</v>
      </c>
      <c r="L61" s="22" t="n">
        <f aca="false">L42/L54</f>
        <v>0.0531944444104047</v>
      </c>
      <c r="M61" s="22" t="n">
        <f aca="false">M42/M54</f>
        <v>0.0520482826541858</v>
      </c>
      <c r="N61" s="22" t="n">
        <f aca="false">N42/N54</f>
        <v>0.0567623884840938</v>
      </c>
      <c r="O61" s="22" t="n">
        <f aca="false">O42/O54</f>
        <v>0.0420761157076238</v>
      </c>
      <c r="P61" s="22" t="n">
        <f aca="false">P42/P54</f>
        <v>0.0557785262871069</v>
      </c>
      <c r="Q61" s="22" t="n">
        <f aca="false">Q42/Q54</f>
        <v>0.048562528029261</v>
      </c>
      <c r="R61" s="22" t="n">
        <f aca="false">R42/R54</f>
        <v>0.0400653533798645</v>
      </c>
      <c r="S61" s="22" t="n">
        <f aca="false">S42/S54</f>
        <v>0.0650383980328109</v>
      </c>
      <c r="T61" s="22" t="n">
        <f aca="false">T42/T54</f>
        <v>0.048536623690936</v>
      </c>
      <c r="U61" s="22" t="n">
        <f aca="false">U42/U54</f>
        <v>0.0568596866864003</v>
      </c>
      <c r="V61" s="22" t="n">
        <f aca="false">V42/V54</f>
        <v>0.0464328541581284</v>
      </c>
      <c r="W61" s="22" t="n">
        <f aca="false">W42/W54</f>
        <v>0.0589177498360332</v>
      </c>
      <c r="X61" s="22" t="n">
        <f aca="false">X42/X54</f>
        <v>0.0514016006049486</v>
      </c>
      <c r="Y61" s="22" t="n">
        <f aca="false">Y42/Y54</f>
        <v>0.0545633969228026</v>
      </c>
    </row>
    <row r="64" customFormat="false" ht="15" hidden="false" customHeight="true" outlineLevel="0" collapsed="false">
      <c r="A64" s="13" t="s">
        <v>2454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8" t="s">
        <v>2455</v>
      </c>
      <c r="B65" s="28"/>
      <c r="C65" s="28" t="s">
        <v>2456</v>
      </c>
      <c r="D65" s="28" t="s">
        <v>2457</v>
      </c>
      <c r="E65" s="28" t="s">
        <v>2458</v>
      </c>
      <c r="F65" s="28" t="s">
        <v>2459</v>
      </c>
      <c r="G65" s="28" t="s">
        <v>2460</v>
      </c>
      <c r="H65" s="28" t="s">
        <v>2461</v>
      </c>
      <c r="I65" s="203" t="s">
        <v>2462</v>
      </c>
      <c r="J65" s="203" t="s">
        <v>2463</v>
      </c>
    </row>
    <row r="66" customFormat="false" ht="15" hidden="false" customHeight="true" outlineLevel="0" collapsed="false">
      <c r="A66" s="20" t="s">
        <v>63</v>
      </c>
      <c r="C66" s="31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20" t="s">
        <v>2464</v>
      </c>
      <c r="C67" s="31" t="n">
        <f aca="false">D32</f>
        <v>47.582032</v>
      </c>
      <c r="D67" s="31" t="n">
        <f aca="false">E32</f>
        <v>53.376392</v>
      </c>
      <c r="E67" s="204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20" t="s">
        <v>2465</v>
      </c>
      <c r="C68" s="31" t="n">
        <f aca="false">F32</f>
        <v>58.057468</v>
      </c>
      <c r="D68" s="31" t="n">
        <f aca="false">G32</f>
        <v>49.774</v>
      </c>
      <c r="E68" s="204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20" t="s">
        <v>2466</v>
      </c>
      <c r="C69" s="31" t="n">
        <f aca="false">H32</f>
        <v>48.554512</v>
      </c>
      <c r="D69" s="31" t="n">
        <f aca="false">I32</f>
        <v>51.958192</v>
      </c>
      <c r="E69" s="204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20" t="s">
        <v>2467</v>
      </c>
      <c r="C70" s="31" t="n">
        <f aca="false">J32</f>
        <v>49.566352</v>
      </c>
      <c r="D70" s="31" t="n">
        <f aca="false">K32</f>
        <v>51.291352</v>
      </c>
      <c r="E70" s="204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20" t="s">
        <v>2468</v>
      </c>
      <c r="C71" s="31" t="n">
        <f aca="false">L32</f>
        <v>49.451352</v>
      </c>
      <c r="D71" s="31" t="n">
        <f aca="false">M32</f>
        <v>51.406352</v>
      </c>
      <c r="E71" s="204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5" t="s">
        <v>2469</v>
      </c>
      <c r="C72" s="31" t="n">
        <f aca="false">N32</f>
        <v>50.256352</v>
      </c>
      <c r="D72" s="31" t="n">
        <f aca="false">O32</f>
        <v>50.256352</v>
      </c>
      <c r="E72" s="204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5" t="s">
        <v>868</v>
      </c>
      <c r="C73" s="31" t="n">
        <f aca="false">P32</f>
        <v>50.256352</v>
      </c>
      <c r="D73" s="31" t="n">
        <f aca="false">Q32</f>
        <v>50.256352</v>
      </c>
      <c r="E73" s="204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20" t="s">
        <v>86</v>
      </c>
      <c r="C74" s="31" t="n">
        <f aca="false">R32</f>
        <v>50.256352</v>
      </c>
      <c r="D74" s="31" t="n">
        <f aca="false">S32</f>
        <v>50.256352</v>
      </c>
      <c r="E74" s="204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5" t="s">
        <v>80</v>
      </c>
      <c r="C75" s="31" t="n">
        <f aca="false">T32</f>
        <v>50.256352</v>
      </c>
      <c r="D75" s="31" t="n">
        <f aca="false">U32</f>
        <v>50.256352</v>
      </c>
      <c r="E75" s="204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20" t="s">
        <v>2470</v>
      </c>
      <c r="C76" s="31" t="n">
        <f aca="false">V32</f>
        <v>50.256352</v>
      </c>
      <c r="D76" s="31" t="n">
        <f aca="false">W32</f>
        <v>50.256352</v>
      </c>
      <c r="E76" s="204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20" t="s">
        <v>2471</v>
      </c>
      <c r="C77" s="31" t="n">
        <f aca="false">X32</f>
        <v>51.49006</v>
      </c>
      <c r="D77" s="31" t="n">
        <f aca="false">Y32</f>
        <v>48.623776</v>
      </c>
      <c r="E77" s="204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2472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334</v>
      </c>
      <c r="B3" s="12" t="s">
        <v>2473</v>
      </c>
      <c r="C3" s="12" t="s">
        <v>2474</v>
      </c>
      <c r="D3" s="12" t="s">
        <v>61</v>
      </c>
      <c r="E3" s="12" t="s">
        <v>506</v>
      </c>
      <c r="F3" s="12" t="s">
        <v>428</v>
      </c>
    </row>
    <row r="4" customFormat="false" ht="15" hidden="false" customHeight="true" outlineLevel="0" collapsed="false">
      <c r="A4" s="15" t="s">
        <v>2475</v>
      </c>
      <c r="B4" s="169" t="n">
        <f aca="false">(DC_Cost!M33)/CTL_GW</f>
        <v>50.256352</v>
      </c>
      <c r="C4" s="205" t="str">
        <f aca="false">TEXT(SRC_DC_010_Lo,"0")&amp;"–"&amp;TEXT(SRC_DC_010_Hi,"0")</f>
        <v>50–60</v>
      </c>
      <c r="D4" s="16" t="s">
        <v>2122</v>
      </c>
      <c r="E4" s="20" t="str">
        <f aca="false">IF(AND(B4&gt;=SRC_DC_010_Lo,B4&lt;=SRC_DC_010_Hi),"落在區間",IF(B4&lt;SRC_DC_010_Lo,"低於參照","高於參照"))</f>
        <v>落在區間</v>
      </c>
      <c r="F4" s="19" t="s">
        <v>2476</v>
      </c>
    </row>
    <row r="5" customFormat="false" ht="15" hidden="false" customHeight="true" outlineLevel="0" collapsed="false">
      <c r="A5" s="15" t="s">
        <v>2477</v>
      </c>
      <c r="B5" s="169" t="n">
        <f aca="false">(DC_Cost!M19)/CTL_GW</f>
        <v>34.0368</v>
      </c>
      <c r="C5" s="169" t="n">
        <f aca="false">SRC_DC_011</f>
        <v>35</v>
      </c>
      <c r="D5" s="16" t="s">
        <v>2122</v>
      </c>
      <c r="E5" s="20" t="str">
        <f aca="false">IF(ABS(B5-C5)/C5&lt;=0.2,"±20% 內","差距 &gt;20%")</f>
        <v>±20% 內</v>
      </c>
      <c r="F5" s="19" t="s">
        <v>2478</v>
      </c>
    </row>
    <row r="6" customFormat="false" ht="15" hidden="false" customHeight="true" outlineLevel="0" collapsed="false">
      <c r="A6" s="20" t="s">
        <v>858</v>
      </c>
      <c r="B6" s="169" t="n">
        <f aca="false">DC_Cost!M36</f>
        <v>12.67</v>
      </c>
      <c r="C6" s="205" t="str">
        <f aca="false">TEXT(SRC_DC_003,"0.0")&amp;" × "&amp;TEXT(1+SRC_DC_004_Lo,"0.00")&amp;"–"&amp;TEXT(1+SRC_DC_004_Hi,"0.00")</f>
        <v>11.3 × 1.07–1.10</v>
      </c>
      <c r="D6" s="16" t="s">
        <v>98</v>
      </c>
      <c r="E6" s="20" t="str">
        <f aca="false">IF(AND(B6&gt;=SRC_DC_003*(1+SRC_DC_004_Lo)*0.9,B6&lt;=SRC_DC_003*(1+SRC_DC_004_Hi)*1.3),"合理區間","需檢查")</f>
        <v>合理區間</v>
      </c>
      <c r="F6" s="6" t="s">
        <v>2479</v>
      </c>
    </row>
    <row r="7" customFormat="false" ht="15" hidden="false" customHeight="true" outlineLevel="0" collapsed="false">
      <c r="A7" s="15" t="s">
        <v>2480</v>
      </c>
      <c r="B7" s="169" t="n">
        <f aca="false">DC_Cost!G58</f>
        <v>2.08645378736555</v>
      </c>
      <c r="C7" s="169" t="n">
        <f aca="false">SRC_DC_012</f>
        <v>2.21</v>
      </c>
      <c r="D7" s="16" t="s">
        <v>817</v>
      </c>
      <c r="E7" s="20" t="str">
        <f aca="false">IF(B7&gt;C7,"高於參照（參照假設未知）","低於參照")</f>
        <v>低於參照</v>
      </c>
      <c r="F7" s="6" t="s">
        <v>2481</v>
      </c>
    </row>
    <row r="8" customFormat="false" ht="15" hidden="false" customHeight="true" outlineLevel="0" collapsed="false">
      <c r="A8" s="15" t="s">
        <v>2482</v>
      </c>
      <c r="B8" s="169" t="n">
        <f aca="false">DC_Cost!J58</f>
        <v>2.98269559427618</v>
      </c>
      <c r="C8" s="169" t="n">
        <f aca="false">SRC_DC_013</f>
        <v>2.65</v>
      </c>
      <c r="D8" s="16" t="s">
        <v>817</v>
      </c>
      <c r="E8" s="20" t="str">
        <f aca="false">IF(B8&gt;C8,"高於參照（參照假設未知）","低於參照")</f>
        <v>高於參照（參照假設未知）</v>
      </c>
      <c r="F8" s="19" t="s">
        <v>2483</v>
      </c>
    </row>
    <row r="9" customFormat="false" ht="15" hidden="false" customHeight="true" outlineLevel="0" collapsed="false">
      <c r="A9" s="15" t="s">
        <v>2484</v>
      </c>
      <c r="B9" s="169" t="n">
        <f aca="false">DC_Cost!G58</f>
        <v>2.08645378736555</v>
      </c>
      <c r="C9" s="169" t="n">
        <f aca="false">L1!$M$30</f>
        <v>10.5</v>
      </c>
      <c r="D9" s="16" t="s">
        <v>817</v>
      </c>
      <c r="E9" s="20" t="str">
        <f aca="false">"牌價 ÷ 持有成本＝"&amp;TEXT(C9/B9,"0.0")&amp;" 倍"</f>
        <v>牌價 ÷ 持有成本＝5.0 倍</v>
      </c>
      <c r="F9" s="6" t="s">
        <v>2485</v>
      </c>
    </row>
    <row r="10" customFormat="false" ht="15" hidden="false" customHeight="true" outlineLevel="0" collapsed="false">
      <c r="A10" s="20" t="s">
        <v>2486</v>
      </c>
      <c r="B10" s="169" t="n">
        <f aca="false">DC_Cost!J58</f>
        <v>2.98269559427618</v>
      </c>
      <c r="C10" s="169" t="n">
        <f aca="false">L1!$M$31</f>
        <v>3.57</v>
      </c>
      <c r="D10" s="16" t="s">
        <v>817</v>
      </c>
      <c r="E10" s="20" t="str">
        <f aca="false">"參照 ÷ 本模型＝"&amp;TEXT(C10/B10,"0.00")</f>
        <v>參照 ÷ 本模型＝1.20</v>
      </c>
      <c r="F10" s="19" t="s">
        <v>2487</v>
      </c>
    </row>
    <row r="12" customFormat="false" ht="15" hidden="false" customHeight="true" outlineLevel="0" collapsed="false">
      <c r="A12" s="34" t="s">
        <v>2488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334</v>
      </c>
      <c r="B13" s="9" t="s">
        <v>2489</v>
      </c>
      <c r="C13" s="9" t="s">
        <v>2474</v>
      </c>
      <c r="D13" s="9" t="s">
        <v>61</v>
      </c>
      <c r="E13" s="9" t="s">
        <v>506</v>
      </c>
      <c r="F13" s="9" t="s">
        <v>428</v>
      </c>
    </row>
    <row r="14" customFormat="false" ht="15" hidden="false" customHeight="true" outlineLevel="0" collapsed="false">
      <c r="A14" s="5" t="s">
        <v>2490</v>
      </c>
      <c r="B14" s="191" t="n">
        <f aca="false">Calib!C86</f>
        <v>1</v>
      </c>
      <c r="C14" s="36" t="s">
        <v>2491</v>
      </c>
      <c r="D14" s="36" t="s">
        <v>81</v>
      </c>
      <c r="E14" s="86" t="s">
        <v>2492</v>
      </c>
      <c r="F14" s="37" t="s">
        <v>2493</v>
      </c>
    </row>
    <row r="15" customFormat="false" ht="26.25" hidden="false" customHeight="true" outlineLevel="0" collapsed="false">
      <c r="A15" s="5" t="s">
        <v>2494</v>
      </c>
      <c r="B15" s="191" t="n">
        <f aca="false">Calib!E86</f>
        <v>0.99108369917347</v>
      </c>
      <c r="C15" s="41" t="n">
        <f aca="false">SRC_PERF_004</f>
        <v>11200</v>
      </c>
      <c r="D15" s="35" t="s">
        <v>2495</v>
      </c>
      <c r="E15" s="80" t="s">
        <v>2496</v>
      </c>
      <c r="F15" s="37" t="s">
        <v>2497</v>
      </c>
    </row>
    <row r="16" customFormat="false" ht="26.25" hidden="false" customHeight="true" outlineLevel="0" collapsed="false">
      <c r="A16" s="5" t="s">
        <v>2498</v>
      </c>
      <c r="B16" s="191" t="n">
        <f aca="false">Calib!F86</f>
        <v>2.18428412747673</v>
      </c>
      <c r="C16" s="41" t="n">
        <f aca="false">SRC_PERF_001</f>
        <v>6182</v>
      </c>
      <c r="D16" s="35" t="s">
        <v>2495</v>
      </c>
      <c r="E16" s="86" t="s">
        <v>2499</v>
      </c>
      <c r="F16" s="37" t="s">
        <v>2500</v>
      </c>
    </row>
    <row r="17" customFormat="false" ht="26.25" hidden="false" customHeight="true" outlineLevel="0" collapsed="false">
      <c r="A17" s="5" t="s">
        <v>2501</v>
      </c>
      <c r="B17" s="191" t="n">
        <f aca="false">Calib!G86</f>
        <v>4.1124545381639</v>
      </c>
      <c r="C17" s="41" t="n">
        <f aca="false">SRC_PERF_002</f>
        <v>2189</v>
      </c>
      <c r="D17" s="35" t="s">
        <v>2495</v>
      </c>
      <c r="E17" s="86" t="s">
        <v>2502</v>
      </c>
      <c r="F17" s="37" t="s">
        <v>2503</v>
      </c>
    </row>
    <row r="18" customFormat="false" ht="15" hidden="false" customHeight="true" outlineLevel="0" collapsed="false">
      <c r="A18" s="5" t="s">
        <v>2504</v>
      </c>
      <c r="B18" s="191" t="n">
        <f aca="false">Calib!H86</f>
        <v>1.00253190991747</v>
      </c>
      <c r="C18" s="41" t="n">
        <f aca="false">SRC_PERF_014</f>
        <v>3795.5</v>
      </c>
      <c r="D18" s="35" t="s">
        <v>2495</v>
      </c>
      <c r="E18" s="86" t="s">
        <v>2505</v>
      </c>
      <c r="F18" s="37" t="s">
        <v>2506</v>
      </c>
    </row>
    <row r="19" customFormat="false" ht="29.25" hidden="false" customHeight="true" outlineLevel="0" collapsed="false">
      <c r="A19" s="6" t="s">
        <v>2507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6" t="s">
        <v>2202</v>
      </c>
      <c r="E19" s="86" t="s">
        <v>2508</v>
      </c>
      <c r="F19" s="37" t="s">
        <v>2509</v>
      </c>
    </row>
    <row r="20" customFormat="false" ht="39" hidden="false" customHeight="true" outlineLevel="0" collapsed="false">
      <c r="A20" s="6" t="s">
        <v>2510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6" t="s">
        <v>81</v>
      </c>
      <c r="E20" s="86" t="s">
        <v>2511</v>
      </c>
      <c r="F20" s="37" t="s">
        <v>2512</v>
      </c>
    </row>
    <row r="21" customFormat="false" ht="39" hidden="false" customHeight="true" outlineLevel="0" collapsed="false">
      <c r="A21" s="6" t="s">
        <v>2513</v>
      </c>
      <c r="B21" s="191" t="n">
        <f aca="false">DC_Cost!J11*Inputs!$E$10/72</f>
        <v>1.51111111111111</v>
      </c>
      <c r="C21" s="36" t="s">
        <v>2514</v>
      </c>
      <c r="D21" s="36" t="s">
        <v>2515</v>
      </c>
      <c r="E21" s="80" t="s">
        <v>2516</v>
      </c>
      <c r="F21" s="37" t="s">
        <v>429</v>
      </c>
    </row>
    <row r="22" customFormat="false" ht="29.25" hidden="false" customHeight="true" outlineLevel="0" collapsed="false">
      <c r="A22" s="6" t="s">
        <v>2517</v>
      </c>
      <c r="B22" s="191" t="n">
        <f aca="false">Sens_Perf!C121</f>
        <v>0.613909623905938</v>
      </c>
      <c r="C22" s="36" t="s">
        <v>2518</v>
      </c>
      <c r="D22" s="36" t="s">
        <v>81</v>
      </c>
      <c r="E22" s="86"/>
      <c r="F22" s="37" t="s">
        <v>2512</v>
      </c>
    </row>
    <row r="23" customFormat="false" ht="15" hidden="false" customHeight="true" outlineLevel="0" collapsed="false">
      <c r="A23" s="5" t="s">
        <v>2519</v>
      </c>
      <c r="B23" s="191" t="n">
        <f aca="false">Calib!C149</f>
        <v>0.702796711119185</v>
      </c>
      <c r="C23" s="36" t="s">
        <v>2491</v>
      </c>
      <c r="D23" s="36" t="s">
        <v>81</v>
      </c>
      <c r="E23" s="80" t="s">
        <v>2520</v>
      </c>
      <c r="F23" s="37" t="s">
        <v>2521</v>
      </c>
    </row>
    <row r="24" customFormat="false" ht="15" hidden="false" customHeight="true" outlineLevel="0" collapsed="false">
      <c r="A24" s="5" t="s">
        <v>2522</v>
      </c>
      <c r="B24" s="191" t="n">
        <f aca="false">Calib!C150</f>
        <v>2.5251262330147</v>
      </c>
      <c r="C24" s="174" t="n">
        <f aca="false">Calib!C151</f>
        <v>2.5748897461993</v>
      </c>
      <c r="D24" s="36" t="s">
        <v>81</v>
      </c>
      <c r="E24" s="86" t="s">
        <v>2523</v>
      </c>
      <c r="F24" s="37" t="s">
        <v>2524</v>
      </c>
    </row>
    <row r="25" customFormat="false" ht="39" hidden="false" customHeight="true" outlineLevel="0" collapsed="false">
      <c r="A25" s="5" t="s">
        <v>2525</v>
      </c>
      <c r="B25" s="191" t="n">
        <f aca="false">Calib!C152</f>
        <v>1.5</v>
      </c>
      <c r="C25" s="174" t="n">
        <f aca="false">Calib!D152</f>
        <v>1.05487728759394</v>
      </c>
      <c r="D25" s="36" t="s">
        <v>81</v>
      </c>
      <c r="E25" s="80" t="s">
        <v>2526</v>
      </c>
      <c r="F25" s="37" t="s">
        <v>2527</v>
      </c>
    </row>
    <row r="26" customFormat="false" ht="15" hidden="false" customHeight="true" outlineLevel="0" collapsed="false">
      <c r="A26" s="5" t="s">
        <v>2528</v>
      </c>
      <c r="B26" s="206" t="n">
        <f aca="false">MAX(Perf!C116:Q116)</f>
        <v>0.067482803137983</v>
      </c>
      <c r="C26" s="36" t="s">
        <v>2529</v>
      </c>
      <c r="D26" s="36" t="s">
        <v>77</v>
      </c>
      <c r="E26" s="86" t="s">
        <v>2530</v>
      </c>
      <c r="F26" s="37" t="s">
        <v>2531</v>
      </c>
    </row>
    <row r="27" customFormat="false" ht="15" hidden="false" customHeight="true" outlineLevel="0" collapsed="false">
      <c r="A27" s="6" t="s">
        <v>2532</v>
      </c>
      <c r="B27" s="191" t="n">
        <f aca="false">COUNTIF(Perf!C90:Q90,"SLO 不可達")</f>
        <v>0</v>
      </c>
      <c r="C27" s="36" t="s">
        <v>585</v>
      </c>
      <c r="D27" s="35" t="s">
        <v>2533</v>
      </c>
      <c r="E27" s="80" t="s">
        <v>2534</v>
      </c>
      <c r="F27" s="37" t="s">
        <v>2535</v>
      </c>
    </row>
    <row r="28" customFormat="false" ht="39" hidden="false" customHeight="true" outlineLevel="0" collapsed="false">
      <c r="A28" s="5" t="s">
        <v>2536</v>
      </c>
      <c r="B28" s="191" t="n">
        <f aca="false">((8*1.32+3.96)/9)/((8*Unit_Cost!J32+Unit_Cost!J34)/9)</f>
        <v>11.5320709000744</v>
      </c>
      <c r="C28" s="36" t="s">
        <v>585</v>
      </c>
      <c r="D28" s="36" t="s">
        <v>81</v>
      </c>
      <c r="E28" s="80" t="s">
        <v>2537</v>
      </c>
      <c r="F28" s="37" t="s">
        <v>2538</v>
      </c>
    </row>
    <row r="30" customFormat="false" ht="15" hidden="false" customHeight="true" outlineLevel="0" collapsed="false">
      <c r="A30" s="34" t="s">
        <v>2539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334</v>
      </c>
      <c r="B31" s="9" t="s">
        <v>2489</v>
      </c>
      <c r="C31" s="9" t="s">
        <v>2474</v>
      </c>
      <c r="D31" s="9" t="s">
        <v>61</v>
      </c>
      <c r="E31" s="9" t="s">
        <v>506</v>
      </c>
      <c r="F31" s="9" t="s">
        <v>428</v>
      </c>
    </row>
    <row r="32" customFormat="false" ht="39" hidden="false" customHeight="true" outlineLevel="0" collapsed="false">
      <c r="A32" s="6" t="s">
        <v>2540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6" t="s">
        <v>77</v>
      </c>
      <c r="E32" s="86" t="s">
        <v>2541</v>
      </c>
      <c r="F32" s="37" t="s">
        <v>949</v>
      </c>
    </row>
    <row r="33" customFormat="false" ht="26.25" hidden="false" customHeight="true" outlineLevel="0" collapsed="false">
      <c r="A33" s="6" t="s">
        <v>2542</v>
      </c>
      <c r="B33" s="191" t="n">
        <f aca="false">Training!N78</f>
        <v>1.12717162997901</v>
      </c>
      <c r="C33" s="43" t="n">
        <f aca="false">L1!$M$33</f>
        <v>1</v>
      </c>
      <c r="D33" s="36" t="s">
        <v>81</v>
      </c>
      <c r="E33" s="80" t="s">
        <v>2543</v>
      </c>
      <c r="F33" s="37" t="s">
        <v>2544</v>
      </c>
    </row>
    <row r="34" customFormat="false" ht="26.25" hidden="false" customHeight="true" outlineLevel="0" collapsed="false">
      <c r="A34" s="6" t="s">
        <v>2545</v>
      </c>
      <c r="B34" s="191" t="n">
        <f aca="false">Training!M78</f>
        <v>0.371397626434424</v>
      </c>
      <c r="C34" s="43" t="n">
        <f aca="false">L1!$M$32</f>
        <v>0.0551801801801802</v>
      </c>
      <c r="D34" s="36" t="s">
        <v>81</v>
      </c>
      <c r="E34" s="80" t="s">
        <v>2546</v>
      </c>
      <c r="F34" s="37" t="s">
        <v>2547</v>
      </c>
    </row>
    <row r="35" customFormat="false" ht="15" hidden="false" customHeight="true" outlineLevel="0" collapsed="false">
      <c r="A35" s="6" t="s">
        <v>2548</v>
      </c>
      <c r="B35" s="179" t="n">
        <f aca="false">Training!N77</f>
        <v>0.0679835504547044</v>
      </c>
      <c r="C35" s="197" t="s">
        <v>2549</v>
      </c>
      <c r="D35" s="36" t="s">
        <v>77</v>
      </c>
      <c r="E35" s="86" t="s">
        <v>2550</v>
      </c>
      <c r="F35" s="47" t="s">
        <v>2551</v>
      </c>
    </row>
    <row r="36" customFormat="false" ht="29.25" hidden="false" customHeight="true" outlineLevel="0" collapsed="false">
      <c r="A36" s="5" t="s">
        <v>2552</v>
      </c>
      <c r="B36" s="179" t="n">
        <f aca="false">Training!N111-Training!N110</f>
        <v>0.252262860133895</v>
      </c>
      <c r="C36" s="197" t="s">
        <v>2553</v>
      </c>
      <c r="D36" s="36" t="s">
        <v>77</v>
      </c>
      <c r="E36" s="80" t="s">
        <v>2554</v>
      </c>
      <c r="F36" s="37" t="s">
        <v>2555</v>
      </c>
    </row>
    <row r="37" customFormat="false" ht="15" hidden="false" customHeight="true" outlineLevel="0" collapsed="false">
      <c r="A37" s="5" t="s">
        <v>2556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6" t="s">
        <v>77</v>
      </c>
      <c r="E37" s="80" t="s">
        <v>2557</v>
      </c>
      <c r="F37" s="37" t="s">
        <v>2558</v>
      </c>
    </row>
    <row r="38" customFormat="false" ht="36.75" hidden="false" customHeight="true" outlineLevel="0" collapsed="false">
      <c r="A38" s="5" t="s">
        <v>2559</v>
      </c>
      <c r="B38" s="191" t="n">
        <f aca="false">Train_In!$C$47/(Training!N34*1000000000)/1000000000000</f>
        <v>438.443429242364</v>
      </c>
      <c r="C38" s="43" t="n">
        <f aca="false">Training!N31</f>
        <v>60</v>
      </c>
      <c r="D38" s="36" t="s">
        <v>918</v>
      </c>
      <c r="E38" s="80" t="s">
        <v>2560</v>
      </c>
      <c r="F38" s="37" t="s">
        <v>2561</v>
      </c>
    </row>
    <row r="39" customFormat="false" ht="29.25" hidden="false" customHeight="true" outlineLevel="0" collapsed="false">
      <c r="A39" s="6" t="s">
        <v>2562</v>
      </c>
      <c r="B39" s="179" t="n">
        <f aca="false">Training!N117</f>
        <v>0.00500223043232874</v>
      </c>
      <c r="C39" s="178" t="n">
        <f aca="false">Training!K117</f>
        <v>0.00819830093710954</v>
      </c>
      <c r="D39" s="36" t="s">
        <v>77</v>
      </c>
      <c r="E39" s="86" t="s">
        <v>2563</v>
      </c>
      <c r="F39" s="37" t="s">
        <v>2564</v>
      </c>
    </row>
    <row r="41" customFormat="false" ht="15" hidden="false" customHeight="true" outlineLevel="0" collapsed="false">
      <c r="A41" s="34" t="s">
        <v>2565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334</v>
      </c>
      <c r="B42" s="9" t="s">
        <v>2489</v>
      </c>
      <c r="C42" s="9" t="s">
        <v>2474</v>
      </c>
      <c r="D42" s="9" t="s">
        <v>61</v>
      </c>
      <c r="E42" s="9" t="s">
        <v>506</v>
      </c>
      <c r="F42" s="9" t="s">
        <v>428</v>
      </c>
      <c r="H42" s="9" t="s">
        <v>2566</v>
      </c>
    </row>
    <row r="43" customFormat="false" ht="51.75" hidden="false" customHeight="true" outlineLevel="0" collapsed="false">
      <c r="A43" s="6" t="s">
        <v>2567</v>
      </c>
      <c r="B43" s="191" t="n">
        <f aca="false">IF(AND(ISNUMBER(Theory_Rev!D67),ISNUMBER(Theory_Rev!G67)),$I$46*Theory_Rev!D67+(1-$I$46)*Theory_Rev!G67,"SLO 不可達")</f>
        <v>10.9578708377053</v>
      </c>
      <c r="C43" s="43" t="n">
        <f aca="false">L1!$M$35</f>
        <v>10.456</v>
      </c>
      <c r="D43" s="36" t="s">
        <v>2568</v>
      </c>
      <c r="E43" s="86" t="s">
        <v>2569</v>
      </c>
      <c r="F43" s="37" t="s">
        <v>2570</v>
      </c>
      <c r="H43" s="37" t="s">
        <v>2571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2572</v>
      </c>
      <c r="B44" s="191" t="n">
        <f aca="false">IF(ISNUMBER(Unit_Cost!D34),INDEX(B4_MktOut,8,1)/Unit_Cost!D34,"SLO 不可達")</f>
        <v>0.902840925032714</v>
      </c>
      <c r="C44" s="207" t="s">
        <v>2573</v>
      </c>
      <c r="D44" s="36" t="s">
        <v>81</v>
      </c>
      <c r="E44" s="80" t="s">
        <v>2574</v>
      </c>
      <c r="F44" s="37" t="s">
        <v>2575</v>
      </c>
      <c r="H44" s="37" t="s">
        <v>2576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2577</v>
      </c>
      <c r="B45" s="191" t="n">
        <f aca="false">IF(ISNUMBER(Unit_Cost!D31),INDEX(B4_MktOut,8,1)*B4_OffPeak/Unit_Cost!D31,"SLO 不可達")</f>
        <v>0.752367437527262</v>
      </c>
      <c r="C45" s="207" t="s">
        <v>2573</v>
      </c>
      <c r="D45" s="36" t="s">
        <v>81</v>
      </c>
      <c r="E45" s="86"/>
      <c r="F45" s="37" t="s">
        <v>2578</v>
      </c>
      <c r="H45" s="37" t="s">
        <v>2579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2580</v>
      </c>
      <c r="B46" s="191" t="n">
        <f aca="false">IF(ISNUMBER(Unit_Cost!D21),INDEX(B4_MktOut,7,1)/Unit_Cost!D21,"SLO 不可達")</f>
        <v>0.938945282345837</v>
      </c>
      <c r="C46" s="207" t="s">
        <v>2573</v>
      </c>
      <c r="D46" s="36" t="s">
        <v>81</v>
      </c>
      <c r="E46" s="80" t="s">
        <v>2581</v>
      </c>
      <c r="F46" s="37" t="s">
        <v>2578</v>
      </c>
      <c r="H46" s="37" t="s">
        <v>2582</v>
      </c>
      <c r="I46" s="46" t="n">
        <v>0.57</v>
      </c>
      <c r="J46" s="37" t="s">
        <v>2583</v>
      </c>
    </row>
    <row r="47" customFormat="false" ht="15" hidden="false" customHeight="true" outlineLevel="0" collapsed="false">
      <c r="A47" s="5" t="s">
        <v>2584</v>
      </c>
      <c r="B47" s="191" t="str">
        <f aca="false">Price_Frontier!C26</f>
        <v>GPT-6 Luna</v>
      </c>
      <c r="C47" s="207" t="s">
        <v>585</v>
      </c>
      <c r="D47" s="35"/>
      <c r="E47" s="80" t="s">
        <v>2585</v>
      </c>
      <c r="F47" s="37" t="s">
        <v>2586</v>
      </c>
    </row>
    <row r="48" customFormat="false" ht="15" hidden="false" customHeight="true" outlineLevel="0" collapsed="false">
      <c r="A48" s="5" t="s">
        <v>2587</v>
      </c>
      <c r="B48" s="191" t="str">
        <f aca="false">Price_Frontier!D26</f>
        <v>GPT-6 Sol</v>
      </c>
      <c r="C48" s="207" t="s">
        <v>585</v>
      </c>
      <c r="D48" s="35"/>
      <c r="E48" s="86"/>
      <c r="F48" s="37" t="s">
        <v>2586</v>
      </c>
    </row>
    <row r="49" customFormat="false" ht="39" hidden="false" customHeight="true" outlineLevel="0" collapsed="false">
      <c r="A49" s="5" t="s">
        <v>2588</v>
      </c>
      <c r="B49" s="191" t="str">
        <f aca="false">Price_Frontier!E26</f>
        <v>Claude Fable 5.1</v>
      </c>
      <c r="C49" s="207" t="s">
        <v>585</v>
      </c>
      <c r="D49" s="35"/>
      <c r="E49" s="80" t="s">
        <v>2589</v>
      </c>
      <c r="F49" s="37" t="s">
        <v>2586</v>
      </c>
    </row>
    <row r="50" customFormat="false" ht="26.25" hidden="false" customHeight="true" outlineLevel="0" collapsed="false">
      <c r="A50" s="5" t="s">
        <v>2590</v>
      </c>
      <c r="B50" s="191" t="n">
        <f aca="false">Price_Frontier!C33</f>
        <v>1.29646017699115</v>
      </c>
      <c r="C50" s="207" t="s">
        <v>2591</v>
      </c>
      <c r="D50" s="36" t="s">
        <v>81</v>
      </c>
      <c r="E50" s="80" t="s">
        <v>2592</v>
      </c>
      <c r="F50" s="37" t="s">
        <v>2586</v>
      </c>
    </row>
    <row r="51" customFormat="false" ht="29.25" hidden="false" customHeight="true" outlineLevel="0" collapsed="false">
      <c r="A51" s="5" t="s">
        <v>2593</v>
      </c>
      <c r="B51" s="191" t="n">
        <f aca="false">Fleet_1GW!M34</f>
        <v>12.1291102743968</v>
      </c>
      <c r="C51" s="207" t="s">
        <v>2594</v>
      </c>
      <c r="D51" s="35" t="s">
        <v>293</v>
      </c>
      <c r="E51" s="86" t="s">
        <v>2595</v>
      </c>
      <c r="F51" s="37" t="s">
        <v>2596</v>
      </c>
    </row>
    <row r="52" customFormat="false" ht="29.25" hidden="false" customHeight="true" outlineLevel="0" collapsed="false">
      <c r="A52" s="6" t="s">
        <v>2597</v>
      </c>
      <c r="B52" s="191" t="n">
        <f aca="false">Fleet_1GW!M30</f>
        <v>0</v>
      </c>
      <c r="C52" s="207" t="s">
        <v>2598</v>
      </c>
      <c r="D52" s="36" t="s">
        <v>69</v>
      </c>
      <c r="E52" s="86"/>
      <c r="F52" s="37" t="s">
        <v>2596</v>
      </c>
    </row>
    <row r="53" customFormat="false" ht="29.25" hidden="false" customHeight="true" outlineLevel="0" collapsed="false">
      <c r="A53" s="5" t="s">
        <v>2599</v>
      </c>
      <c r="B53" s="180" t="n">
        <f aca="false">Amortize!M22/INDEX(B4_EffRef,1,2)</f>
        <v>0.00278369063354004</v>
      </c>
      <c r="C53" s="207" t="s">
        <v>585</v>
      </c>
      <c r="D53" s="36" t="s">
        <v>77</v>
      </c>
      <c r="E53" s="86" t="s">
        <v>2600</v>
      </c>
      <c r="F53" s="37" t="s">
        <v>2601</v>
      </c>
    </row>
    <row r="54" customFormat="false" ht="39" hidden="false" customHeight="true" outlineLevel="0" collapsed="false">
      <c r="A54" s="6" t="s">
        <v>2602</v>
      </c>
      <c r="B54" s="191" t="n">
        <f aca="false">Amortize!M41</f>
        <v>8.17903058415228</v>
      </c>
      <c r="C54" s="207" t="s">
        <v>2603</v>
      </c>
      <c r="D54" s="36" t="s">
        <v>81</v>
      </c>
      <c r="E54" s="86" t="s">
        <v>2604</v>
      </c>
      <c r="F54" s="37" t="s">
        <v>2601</v>
      </c>
    </row>
    <row r="55" customFormat="false" ht="29.25" hidden="false" customHeight="true" outlineLevel="0" collapsed="false">
      <c r="A55" s="6" t="s">
        <v>2605</v>
      </c>
      <c r="B55" s="180" t="n">
        <f aca="false">Amortize!M47/INDEX(B4_EffRef,1,3)</f>
        <v>0.185939567405413</v>
      </c>
      <c r="C55" s="207" t="s">
        <v>585</v>
      </c>
      <c r="D55" s="36" t="s">
        <v>77</v>
      </c>
      <c r="E55" s="86" t="s">
        <v>2606</v>
      </c>
      <c r="F55" s="37" t="s">
        <v>2601</v>
      </c>
    </row>
    <row r="56" customFormat="false" ht="29.25" hidden="false" customHeight="true" outlineLevel="0" collapsed="false">
      <c r="A56" s="5" t="s">
        <v>2607</v>
      </c>
      <c r="B56" s="191" t="n">
        <f aca="false">Theory_Rev!M64+Theory_Rev!M65+Theory_Rev!M66-Theory_Rev!M67</f>
        <v>0</v>
      </c>
      <c r="C56" s="207" t="s">
        <v>2598</v>
      </c>
      <c r="D56" s="36" t="s">
        <v>1369</v>
      </c>
      <c r="E56" s="86"/>
      <c r="F56" s="37" t="s">
        <v>2608</v>
      </c>
    </row>
    <row r="58" customFormat="false" ht="15" hidden="false" customHeight="true" outlineLevel="0" collapsed="false">
      <c r="A58" s="34" t="s">
        <v>2609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334</v>
      </c>
      <c r="B59" s="9" t="s">
        <v>2489</v>
      </c>
      <c r="C59" s="9" t="s">
        <v>2474</v>
      </c>
      <c r="D59" s="9" t="s">
        <v>61</v>
      </c>
      <c r="E59" s="9" t="s">
        <v>506</v>
      </c>
      <c r="F59" s="9" t="s">
        <v>428</v>
      </c>
    </row>
    <row r="60" customFormat="false" ht="39" hidden="false" customHeight="true" outlineLevel="0" collapsed="false">
      <c r="A60" s="5" t="s">
        <v>2610</v>
      </c>
      <c r="B60" s="208" t="n">
        <f aca="false">B5_W</f>
        <v>0</v>
      </c>
      <c r="C60" s="207" t="s">
        <v>2598</v>
      </c>
      <c r="D60" s="36" t="s">
        <v>81</v>
      </c>
      <c r="E60" s="80" t="s">
        <v>2611</v>
      </c>
      <c r="F60" s="37" t="s">
        <v>2612</v>
      </c>
    </row>
    <row r="61" customFormat="false" ht="29.25" hidden="false" customHeight="true" outlineLevel="0" collapsed="false">
      <c r="A61" s="6" t="s">
        <v>2613</v>
      </c>
      <c r="B61" s="191" t="n">
        <f aca="false">ABS(Workload!C35-Harness!C21)+ABS(Workload!D35-Harness!D21)+ABS(Workload!E35-Harness!E21)+ABS(Workload!F35-Harness!F21)+ABS(Workload!G35-Harness!G21)</f>
        <v>0</v>
      </c>
      <c r="C61" s="207" t="s">
        <v>2614</v>
      </c>
      <c r="D61" s="36" t="s">
        <v>255</v>
      </c>
      <c r="E61" s="80" t="s">
        <v>2615</v>
      </c>
      <c r="F61" s="37" t="s">
        <v>2616</v>
      </c>
    </row>
    <row r="62" customFormat="false" ht="39" hidden="false" customHeight="true" outlineLevel="0" collapsed="false">
      <c r="A62" s="6" t="s">
        <v>2617</v>
      </c>
      <c r="B62" s="191" t="n">
        <f aca="false">Harness!G45</f>
        <v>0.492530120481928</v>
      </c>
      <c r="C62" s="43" t="n">
        <f aca="false">Har_In!E72</f>
        <v>0.51</v>
      </c>
      <c r="D62" s="36" t="s">
        <v>81</v>
      </c>
      <c r="E62" s="86" t="s">
        <v>2618</v>
      </c>
      <c r="F62" s="37" t="s">
        <v>1526</v>
      </c>
    </row>
    <row r="63" customFormat="false" ht="39" hidden="false" customHeight="true" outlineLevel="0" collapsed="false">
      <c r="A63" s="6" t="s">
        <v>2619</v>
      </c>
      <c r="B63" s="191" t="n">
        <f aca="false">Harness!G138</f>
        <v>0.519416933036323</v>
      </c>
      <c r="C63" s="43" t="n">
        <f aca="false">(Har_In!D71/Har_In!C71)/(Har_In!D70/Har_In!C70)</f>
        <v>0.422310694422661</v>
      </c>
      <c r="D63" s="36" t="s">
        <v>81</v>
      </c>
      <c r="E63" s="86" t="s">
        <v>2620</v>
      </c>
      <c r="F63" s="37" t="s">
        <v>1526</v>
      </c>
    </row>
    <row r="64" customFormat="false" ht="39" hidden="false" customHeight="true" outlineLevel="0" collapsed="false">
      <c r="A64" s="6" t="s">
        <v>2621</v>
      </c>
      <c r="B64" s="191" t="n">
        <f aca="false">((1/Har_In!C70-1)/(1/Har_In!C71-1))^(1/B5_Beta)</f>
        <v>145.519176037217</v>
      </c>
      <c r="C64" s="207" t="s">
        <v>2622</v>
      </c>
      <c r="D64" s="36" t="s">
        <v>81</v>
      </c>
      <c r="E64" s="86" t="s">
        <v>2623</v>
      </c>
      <c r="F64" s="37" t="s">
        <v>2624</v>
      </c>
    </row>
    <row r="65" customFormat="false" ht="15" hidden="false" customHeight="true" outlineLevel="0" collapsed="false">
      <c r="A65" s="6" t="s">
        <v>2625</v>
      </c>
      <c r="B65" s="191" t="n">
        <f aca="false">AVERAGE(Har_In!F77:F80)</f>
        <v>0.80134078201291</v>
      </c>
      <c r="C65" s="207" t="n">
        <f aca="false">B5_Beta</f>
        <v>0.75</v>
      </c>
      <c r="D65" s="36" t="s">
        <v>81</v>
      </c>
      <c r="E65" s="86" t="s">
        <v>2626</v>
      </c>
      <c r="F65" s="37" t="s">
        <v>1545</v>
      </c>
    </row>
    <row r="66" customFormat="false" ht="29.25" hidden="false" customHeight="true" outlineLevel="0" collapsed="false">
      <c r="A66" s="6" t="s">
        <v>2627</v>
      </c>
      <c r="B66" s="179" t="n">
        <f aca="false">Harness!G62</f>
        <v>0.627115119175411</v>
      </c>
      <c r="C66" s="207" t="s">
        <v>585</v>
      </c>
      <c r="D66" s="36" t="s">
        <v>77</v>
      </c>
      <c r="E66" s="86" t="s">
        <v>2628</v>
      </c>
      <c r="F66" s="37" t="s">
        <v>2629</v>
      </c>
    </row>
    <row r="67" customFormat="false" ht="29.25" hidden="false" customHeight="true" outlineLevel="0" collapsed="false">
      <c r="A67" s="5" t="s">
        <v>2630</v>
      </c>
      <c r="B67" s="191" t="str">
        <f aca="false">Harness!G152</f>
        <v>Sol｜選定</v>
      </c>
      <c r="C67" s="43" t="str">
        <f aca="false">Harness!G148</f>
        <v>Luna｜選定</v>
      </c>
      <c r="D67" s="35"/>
      <c r="E67" s="86" t="s">
        <v>2631</v>
      </c>
      <c r="F67" s="37" t="s">
        <v>2632</v>
      </c>
    </row>
    <row r="68" customFormat="false" ht="29.25" hidden="false" customHeight="true" outlineLevel="0" collapsed="false">
      <c r="A68" s="6" t="s">
        <v>2633</v>
      </c>
      <c r="B68" s="191" t="n">
        <f aca="false">MIN(Sens_Har!C37:Z37)</f>
        <v>0.362029771999682</v>
      </c>
      <c r="C68" s="43" t="n">
        <f aca="false">MAX(Sens_Har!C37:Z37)</f>
        <v>0.768971159130678</v>
      </c>
      <c r="D68" s="36" t="s">
        <v>81</v>
      </c>
      <c r="E68" s="86" t="s">
        <v>2634</v>
      </c>
      <c r="F68" s="37" t="s">
        <v>2635</v>
      </c>
    </row>
    <row r="69" customFormat="false" ht="26.25" hidden="false" customHeight="true" outlineLevel="0" collapsed="false">
      <c r="A69" s="5" t="s">
        <v>2636</v>
      </c>
      <c r="B69" s="196" t="n">
        <f aca="false">B5_PFloor</f>
        <v>0.5</v>
      </c>
      <c r="C69" s="207" t="s">
        <v>2637</v>
      </c>
      <c r="D69" s="36" t="s">
        <v>77</v>
      </c>
      <c r="E69" s="86" t="s">
        <v>2638</v>
      </c>
      <c r="F69" s="37" t="s">
        <v>2639</v>
      </c>
    </row>
    <row r="70" customFormat="false" ht="29.25" hidden="false" customHeight="true" outlineLevel="0" collapsed="false">
      <c r="A70" s="5" t="s">
        <v>2640</v>
      </c>
      <c r="B70" s="191" t="n">
        <f aca="false">COUNTIF(Harness!C152:G152,"無合格")</f>
        <v>0</v>
      </c>
      <c r="C70" s="207" t="s">
        <v>2641</v>
      </c>
      <c r="D70" s="35"/>
      <c r="E70" s="80" t="s">
        <v>2642</v>
      </c>
      <c r="F70" s="37" t="s">
        <v>2632</v>
      </c>
    </row>
    <row r="72" customFormat="false" ht="15" hidden="false" customHeight="true" outlineLevel="0" collapsed="false">
      <c r="A72" s="34" t="s">
        <v>2643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2644</v>
      </c>
      <c r="B73" s="9" t="s">
        <v>2645</v>
      </c>
      <c r="C73" s="9" t="s">
        <v>2646</v>
      </c>
      <c r="D73" s="9" t="s">
        <v>2647</v>
      </c>
      <c r="E73" s="9" t="s">
        <v>2648</v>
      </c>
    </row>
    <row r="74" customFormat="false" ht="15" hidden="false" customHeight="true" outlineLevel="0" collapsed="false">
      <c r="A74" s="36" t="s">
        <v>2649</v>
      </c>
      <c r="B74" s="35" t="s">
        <v>2650</v>
      </c>
      <c r="C74" s="8" t="s">
        <v>2651</v>
      </c>
      <c r="D74" s="185" t="n">
        <f aca="false">COUNTIF(Gov_Map!$V$5:$V$700,1)</f>
        <v>0</v>
      </c>
      <c r="E74" s="37" t="s">
        <v>2652</v>
      </c>
    </row>
    <row r="75" customFormat="false" ht="15" hidden="false" customHeight="true" outlineLevel="0" collapsed="false">
      <c r="A75" s="36" t="s">
        <v>2653</v>
      </c>
      <c r="B75" s="36" t="s">
        <v>2654</v>
      </c>
      <c r="C75" s="8" t="s">
        <v>2651</v>
      </c>
      <c r="D75" s="185" t="n">
        <f aca="false">COUNTIF(Gov_Map!$W$5:$W$700,1)</f>
        <v>0</v>
      </c>
      <c r="E75" s="37" t="s">
        <v>2655</v>
      </c>
    </row>
    <row r="76" customFormat="false" ht="15" hidden="false" customHeight="true" outlineLevel="0" collapsed="false">
      <c r="A76" s="36" t="s">
        <v>2656</v>
      </c>
      <c r="B76" s="36" t="s">
        <v>2657</v>
      </c>
      <c r="C76" s="8" t="s">
        <v>2651</v>
      </c>
      <c r="D76" s="185" t="n">
        <f aca="false">COUNTIF(Gov_Map!$X$5:$X$700,1)</f>
        <v>0</v>
      </c>
      <c r="E76" s="37" t="s">
        <v>2658</v>
      </c>
    </row>
    <row r="77" customFormat="false" ht="15" hidden="false" customHeight="true" outlineLevel="0" collapsed="false">
      <c r="A77" s="36" t="s">
        <v>2659</v>
      </c>
      <c r="B77" s="36" t="s">
        <v>2660</v>
      </c>
      <c r="C77" s="8" t="s">
        <v>2651</v>
      </c>
      <c r="D77" s="185" t="n">
        <f aca="false">COUNTIF(Gov_Map!$Y$5:$Y$700,1)</f>
        <v>0</v>
      </c>
      <c r="E77" s="37" t="s">
        <v>2655</v>
      </c>
    </row>
    <row r="78" customFormat="false" ht="15" hidden="false" customHeight="true" outlineLevel="0" collapsed="false">
      <c r="A78" s="36" t="s">
        <v>2661</v>
      </c>
      <c r="B78" s="36" t="s">
        <v>2662</v>
      </c>
      <c r="C78" s="8" t="s">
        <v>2651</v>
      </c>
      <c r="D78" s="185" t="n">
        <f aca="false">COUNTIF(Gov_Map!$Z$5:$Z$700,1)</f>
        <v>0</v>
      </c>
      <c r="E78" s="37" t="s">
        <v>2655</v>
      </c>
    </row>
    <row r="79" customFormat="false" ht="15" hidden="false" customHeight="true" outlineLevel="0" collapsed="false">
      <c r="A79" s="36" t="s">
        <v>2663</v>
      </c>
      <c r="B79" s="35" t="s">
        <v>2664</v>
      </c>
      <c r="C79" s="8" t="s">
        <v>2651</v>
      </c>
      <c r="D79" s="185" t="n">
        <f aca="false">COUNTIF(Gov_Map!$AA$5:$AA$700,1)</f>
        <v>0</v>
      </c>
      <c r="E79" s="37" t="s">
        <v>2665</v>
      </c>
    </row>
    <row r="80" customFormat="false" ht="15" hidden="false" customHeight="true" outlineLevel="0" collapsed="false">
      <c r="A80" s="36" t="s">
        <v>2666</v>
      </c>
      <c r="B80" s="35" t="s">
        <v>2667</v>
      </c>
      <c r="C80" s="8" t="s">
        <v>2651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7" t="s">
        <v>2668</v>
      </c>
    </row>
    <row r="81" customFormat="false" ht="15" hidden="false" customHeight="true" outlineLevel="0" collapsed="false">
      <c r="A81" s="36" t="s">
        <v>2669</v>
      </c>
      <c r="B81" s="36" t="s">
        <v>2670</v>
      </c>
      <c r="C81" s="8" t="s">
        <v>2651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7" t="s">
        <v>2671</v>
      </c>
    </row>
    <row r="82" customFormat="false" ht="15" hidden="false" customHeight="true" outlineLevel="0" collapsed="false">
      <c r="A82" s="36" t="s">
        <v>2672</v>
      </c>
      <c r="B82" s="35" t="s">
        <v>2673</v>
      </c>
      <c r="C82" s="8" t="s">
        <v>2651</v>
      </c>
      <c r="D82" s="185" t="n">
        <f aca="false">COUNTIF(Gov_Map!$AB$5:$AB$700,1)</f>
        <v>0</v>
      </c>
      <c r="E82" s="37" t="s">
        <v>2674</v>
      </c>
    </row>
    <row r="83" customFormat="false" ht="15" hidden="false" customHeight="true" outlineLevel="0" collapsed="false">
      <c r="A83" s="36" t="s">
        <v>2675</v>
      </c>
      <c r="B83" s="35" t="s">
        <v>2676</v>
      </c>
      <c r="C83" s="8" t="s">
        <v>2651</v>
      </c>
      <c r="D83" s="185" t="n">
        <f aca="false">COUNTIF(Gov_Map!$AC$5:$AC$700,1)</f>
        <v>0</v>
      </c>
      <c r="E83" s="37" t="s">
        <v>2677</v>
      </c>
    </row>
    <row r="84" customFormat="false" ht="15" hidden="false" customHeight="true" outlineLevel="0" collapsed="false">
      <c r="A84" s="36" t="s">
        <v>2678</v>
      </c>
      <c r="B84" s="36" t="s">
        <v>2679</v>
      </c>
      <c r="C84" s="8" t="s">
        <v>2651</v>
      </c>
      <c r="D84" s="185" t="n">
        <v>0</v>
      </c>
      <c r="E84" s="47" t="s">
        <v>2680</v>
      </c>
    </row>
    <row r="85" customFormat="false" ht="15" hidden="false" customHeight="true" outlineLevel="0" collapsed="false">
      <c r="A85" s="36" t="s">
        <v>2681</v>
      </c>
      <c r="B85" s="35" t="s">
        <v>2682</v>
      </c>
      <c r="C85" s="8" t="s">
        <v>2651</v>
      </c>
      <c r="D85" s="185" t="n">
        <f aca="false">COUNTIF(Gov_Map!$AE$5:$AE$700,1)</f>
        <v>0</v>
      </c>
      <c r="E85" s="37" t="s">
        <v>2655</v>
      </c>
    </row>
    <row r="86" customFormat="false" ht="15" hidden="false" customHeight="true" outlineLevel="0" collapsed="false">
      <c r="A86" s="36" t="s">
        <v>2683</v>
      </c>
      <c r="B86" s="36" t="s">
        <v>2684</v>
      </c>
      <c r="C86" s="8" t="s">
        <v>2651</v>
      </c>
      <c r="D86" s="185" t="n">
        <f aca="false">COUNTIF(SRC_HW!$A$119:$A$400,"&lt;&gt;—")-COUNTIF(SRC_HW!$A$119:$A$400,"")+COUNTIF(SRC_DC!$A$68:$A$400,"&lt;&gt;—")-COUNTIF(SRC_DC!$A$68:$A$400,"")+COUNTIF(SRC_Model!$A$110:$A$400,"&lt;&gt;—")-COUNTIF(SRC_Model!$A$110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$72:$A$400,"&lt;&gt;—")-COUNTIF(SRC_Demand!$A$72:$A$400,"")</f>
        <v>0</v>
      </c>
      <c r="E86" s="47" t="s">
        <v>2685</v>
      </c>
    </row>
    <row r="87" customFormat="false" ht="15" hidden="false" customHeight="true" outlineLevel="0" collapsed="false">
      <c r="A87" s="36" t="s">
        <v>2686</v>
      </c>
      <c r="B87" s="35" t="s">
        <v>2687</v>
      </c>
      <c r="C87" s="36" t="s">
        <v>2688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213</v>
      </c>
      <c r="E87" s="37" t="s">
        <v>2689</v>
      </c>
    </row>
    <row r="88" customFormat="false" ht="15" hidden="false" customHeight="true" outlineLevel="0" collapsed="false">
      <c r="A88" s="36" t="s">
        <v>2690</v>
      </c>
      <c r="B88" s="36" t="s">
        <v>2691</v>
      </c>
      <c r="C88" s="36" t="s">
        <v>2688</v>
      </c>
      <c r="D88" s="185" t="n">
        <f aca="false">COUNTIF(Gov_Map!$AD$5:$AD$700,1)</f>
        <v>0</v>
      </c>
      <c r="E88" s="37" t="s">
        <v>2692</v>
      </c>
    </row>
    <row r="89" customFormat="false" ht="15" hidden="false" customHeight="true" outlineLevel="0" collapsed="false">
      <c r="A89" s="36" t="s">
        <v>2693</v>
      </c>
      <c r="B89" s="36" t="s">
        <v>2694</v>
      </c>
      <c r="C89" s="36" t="s">
        <v>2695</v>
      </c>
      <c r="D89" s="185" t="n">
        <f aca="false">COUNTIF(DB_Evidence!$L$5:$L$500,"待判定")</f>
        <v>4</v>
      </c>
      <c r="E89" s="37" t="s">
        <v>2696</v>
      </c>
    </row>
    <row r="90" customFormat="false" ht="15" hidden="false" customHeight="true" outlineLevel="0" collapsed="false">
      <c r="A90" s="36" t="s">
        <v>2697</v>
      </c>
      <c r="B90" s="36" t="s">
        <v>2698</v>
      </c>
      <c r="C90" s="36" t="s">
        <v>2695</v>
      </c>
      <c r="D90" s="185" t="n">
        <f aca="false">COUNTIF(DB_Evidence!$L$5:$L$500,"待 Andy")</f>
        <v>0</v>
      </c>
      <c r="E90" s="37" t="s">
        <v>2696</v>
      </c>
    </row>
    <row r="91" customFormat="false" ht="15" hidden="false" customHeight="true" outlineLevel="0" collapsed="false">
      <c r="A91" s="36" t="s">
        <v>2699</v>
      </c>
      <c r="B91" s="36" t="s">
        <v>2700</v>
      </c>
      <c r="C91" s="36" t="s">
        <v>2695</v>
      </c>
      <c r="D91" s="185" t="n">
        <f aca="false">COUNTIF(L1!$P$5:$P$200,"低於外部區間")+COUNTIF(L1!$P$5:$P$200,"高於外部區間")+COUNTIF(L1!$P$5:$P$200,"差距 &gt;20%")</f>
        <v>7</v>
      </c>
      <c r="E91" s="37" t="s">
        <v>2701</v>
      </c>
    </row>
    <row r="92" customFormat="false" ht="15" hidden="false" customHeight="true" outlineLevel="0" collapsed="false">
      <c r="A92" s="36" t="s">
        <v>2702</v>
      </c>
      <c r="B92" s="35" t="s">
        <v>2703</v>
      </c>
      <c r="C92" s="36" t="s">
        <v>2695</v>
      </c>
      <c r="D92" s="185" t="n">
        <f aca="false">COUNTIF(Gov_Map!$F$5:$F$700,"原始數據（G0-2 保留）")</f>
        <v>14</v>
      </c>
      <c r="E92" s="37" t="s">
        <v>2655</v>
      </c>
    </row>
    <row r="93" customFormat="false" ht="15" hidden="false" customHeight="true" outlineLevel="0" collapsed="false">
      <c r="A93" s="36" t="s">
        <v>2704</v>
      </c>
      <c r="B93" s="36" t="s">
        <v>2705</v>
      </c>
      <c r="C93" s="36" t="s">
        <v>2695</v>
      </c>
      <c r="D93" s="185" t="n">
        <f aca="false">COUNTIF(Gov_Map!$F$5:$F$700,"Derived（待改公式）")</f>
        <v>0</v>
      </c>
      <c r="E93" s="37" t="s">
        <v>2706</v>
      </c>
    </row>
    <row r="94" customFormat="false" ht="15" hidden="false" customHeight="true" outlineLevel="0" collapsed="false">
      <c r="A94" s="36" t="s">
        <v>2707</v>
      </c>
      <c r="B94" s="35" t="s">
        <v>2708</v>
      </c>
      <c r="C94" s="36" t="s">
        <v>2695</v>
      </c>
      <c r="D94" s="185" t="n">
        <f aca="false">COUNTIF(Gov_Map!$M$5:$M$700,"結構選擇（無數值區間）")</f>
        <v>26</v>
      </c>
      <c r="E94" s="37" t="s">
        <v>2655</v>
      </c>
    </row>
    <row r="95" customFormat="false" ht="15" hidden="false" customHeight="true" outlineLevel="0" collapsed="false">
      <c r="A95" s="36" t="s">
        <v>2709</v>
      </c>
      <c r="B95" s="35" t="s">
        <v>2710</v>
      </c>
      <c r="C95" s="36" t="s">
        <v>2695</v>
      </c>
      <c r="D95" s="185" t="n">
        <f aca="false">COUNTIF(Gov_Map!$F$5:$F$700,"原始數據（切片二）")</f>
        <v>3</v>
      </c>
      <c r="E95" s="37" t="s">
        <v>2711</v>
      </c>
    </row>
    <row r="96" customFormat="false" ht="15" hidden="false" customHeight="true" outlineLevel="0" collapsed="false">
      <c r="A96" s="36" t="s">
        <v>2712</v>
      </c>
      <c r="B96" s="35" t="s">
        <v>2713</v>
      </c>
      <c r="C96" s="36" t="s">
        <v>2695</v>
      </c>
      <c r="D96" s="185" t="n">
        <f aca="false">COUNTIF(Gov_Map!$O$5:$O$700,"&lt;&gt;—")-COUNTIF(Gov_Map!$O$5:$O$700,"")</f>
        <v>53</v>
      </c>
      <c r="E96" s="37" t="s">
        <v>2714</v>
      </c>
    </row>
    <row r="97" customFormat="false" ht="15" hidden="false" customHeight="true" outlineLevel="0" collapsed="false">
      <c r="B97" s="8" t="s">
        <v>2715</v>
      </c>
      <c r="D97" s="209" t="n">
        <f aca="false">D74+D75+D76+D77+D78+D79+D80+D81+D82+D83+D84+D85+D86+D104+D105+D110+D114</f>
        <v>0</v>
      </c>
    </row>
    <row r="98" customFormat="false" ht="15" hidden="false" customHeight="true" outlineLevel="0" collapsed="false">
      <c r="B98" s="8" t="s">
        <v>2716</v>
      </c>
      <c r="D98" s="185" t="n">
        <f aca="false">D87+D88+D106</f>
        <v>213</v>
      </c>
    </row>
    <row r="99" customFormat="false" ht="15" hidden="false" customHeight="true" outlineLevel="0" collapsed="false">
      <c r="B99" s="8" t="s">
        <v>2717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7" t="s">
        <v>2718</v>
      </c>
    </row>
    <row r="102" customFormat="false" ht="15" hidden="false" customHeight="true" outlineLevel="0" collapsed="false">
      <c r="A102" s="34" t="s">
        <v>2719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2644</v>
      </c>
      <c r="B103" s="9" t="s">
        <v>2645</v>
      </c>
      <c r="C103" s="9" t="s">
        <v>2646</v>
      </c>
      <c r="D103" s="9" t="s">
        <v>2647</v>
      </c>
      <c r="E103" s="9" t="s">
        <v>2648</v>
      </c>
    </row>
    <row r="104" customFormat="false" ht="15" hidden="false" customHeight="true" outlineLevel="0" collapsed="false">
      <c r="A104" s="36" t="s">
        <v>2720</v>
      </c>
      <c r="B104" s="35" t="s">
        <v>2721</v>
      </c>
      <c r="C104" s="8" t="s">
        <v>2651</v>
      </c>
      <c r="D104" s="185" t="n">
        <f aca="false">IF(ABS(SUM(AL_MixGen)-1)&gt;0.000000001,1,0)</f>
        <v>0</v>
      </c>
      <c r="E104" s="37" t="s">
        <v>2722</v>
      </c>
    </row>
    <row r="105" customFormat="false" ht="15" hidden="false" customHeight="true" outlineLevel="0" collapsed="false">
      <c r="A105" s="36" t="s">
        <v>2723</v>
      </c>
      <c r="B105" s="36" t="s">
        <v>2724</v>
      </c>
      <c r="C105" s="8" t="s">
        <v>2651</v>
      </c>
      <c r="D105" s="185" t="n">
        <f aca="false">SUM(AL_SensCheck)</f>
        <v>0</v>
      </c>
      <c r="E105" s="37" t="s">
        <v>2725</v>
      </c>
    </row>
    <row r="106" customFormat="false" ht="15" hidden="false" customHeight="true" outlineLevel="0" collapsed="false">
      <c r="A106" s="36" t="s">
        <v>2726</v>
      </c>
      <c r="B106" s="36" t="s">
        <v>2727</v>
      </c>
      <c r="C106" s="8" t="s">
        <v>2688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7" t="s">
        <v>2728</v>
      </c>
    </row>
    <row r="108" customFormat="false" ht="15" hidden="false" customHeight="true" outlineLevel="0" collapsed="false">
      <c r="A108" s="34" t="s">
        <v>2729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2644</v>
      </c>
      <c r="B109" s="9" t="s">
        <v>2645</v>
      </c>
      <c r="C109" s="9" t="s">
        <v>2646</v>
      </c>
      <c r="D109" s="9" t="s">
        <v>2647</v>
      </c>
      <c r="E109" s="9" t="s">
        <v>2648</v>
      </c>
    </row>
    <row r="110" customFormat="false" ht="15" hidden="false" customHeight="true" outlineLevel="0" collapsed="false">
      <c r="A110" s="36" t="s">
        <v>2730</v>
      </c>
      <c r="B110" s="35" t="s">
        <v>2731</v>
      </c>
      <c r="C110" s="8" t="s">
        <v>2651</v>
      </c>
      <c r="D110" s="182" t="n">
        <f aca="false">SUM(Theory_Rev_Prod!C90:Q96)</f>
        <v>0</v>
      </c>
      <c r="E110" s="37" t="s">
        <v>2732</v>
      </c>
    </row>
    <row r="112" customFormat="false" ht="15" hidden="false" customHeight="true" outlineLevel="0" collapsed="false">
      <c r="A112" s="34" t="s">
        <v>2733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2644</v>
      </c>
      <c r="B113" s="9" t="s">
        <v>2645</v>
      </c>
      <c r="C113" s="9" t="s">
        <v>2646</v>
      </c>
      <c r="D113" s="9" t="s">
        <v>2647</v>
      </c>
      <c r="E113" s="9" t="s">
        <v>2648</v>
      </c>
    </row>
    <row r="114" customFormat="false" ht="15" hidden="false" customHeight="true" outlineLevel="0" collapsed="false">
      <c r="A114" s="36" t="s">
        <v>2734</v>
      </c>
      <c r="B114" s="35" t="s">
        <v>2735</v>
      </c>
      <c r="C114" s="8" t="s">
        <v>2651</v>
      </c>
      <c r="D114" s="182" t="n">
        <f aca="false">SUM(Theory_Rev!C96:Q99)</f>
        <v>0</v>
      </c>
      <c r="E114" s="37" t="s">
        <v>2736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10" t="s">
        <v>2737</v>
      </c>
    </row>
    <row r="2" customFormat="false" ht="15" hidden="false" customHeight="true" outlineLevel="0" collapsed="false">
      <c r="A2" s="37" t="s">
        <v>2738</v>
      </c>
    </row>
    <row r="4" customFormat="false" ht="43.5" hidden="false" customHeight="true" outlineLevel="0" collapsed="false">
      <c r="A4" s="77" t="s">
        <v>2739</v>
      </c>
      <c r="B4" s="211" t="s">
        <v>2740</v>
      </c>
      <c r="C4" s="211" t="s">
        <v>12</v>
      </c>
      <c r="D4" s="211" t="s">
        <v>2741</v>
      </c>
      <c r="E4" s="211" t="s">
        <v>2742</v>
      </c>
      <c r="F4" s="211" t="s">
        <v>2743</v>
      </c>
      <c r="G4" s="211" t="s">
        <v>2744</v>
      </c>
      <c r="H4" s="77" t="s">
        <v>2745</v>
      </c>
      <c r="I4" s="211" t="s">
        <v>2746</v>
      </c>
      <c r="J4" s="211" t="s">
        <v>2747</v>
      </c>
      <c r="K4" s="211" t="s">
        <v>1113</v>
      </c>
      <c r="L4" s="211" t="s">
        <v>1114</v>
      </c>
      <c r="M4" s="211" t="s">
        <v>2748</v>
      </c>
      <c r="N4" s="211" t="s">
        <v>2749</v>
      </c>
      <c r="O4" s="211" t="s">
        <v>2750</v>
      </c>
      <c r="P4" s="77" t="s">
        <v>2751</v>
      </c>
      <c r="Q4" s="211" t="s">
        <v>2752</v>
      </c>
      <c r="R4" s="77" t="s">
        <v>2753</v>
      </c>
      <c r="S4" s="77" t="s">
        <v>2754</v>
      </c>
      <c r="T4" s="77" t="s">
        <v>2755</v>
      </c>
      <c r="U4" s="211" t="s">
        <v>2756</v>
      </c>
      <c r="V4" s="77" t="s">
        <v>2757</v>
      </c>
      <c r="W4" s="77" t="s">
        <v>2758</v>
      </c>
      <c r="X4" s="77" t="s">
        <v>2759</v>
      </c>
      <c r="Y4" s="77" t="s">
        <v>2760</v>
      </c>
      <c r="Z4" s="77" t="s">
        <v>2761</v>
      </c>
      <c r="AA4" s="77" t="s">
        <v>2762</v>
      </c>
      <c r="AB4" s="77" t="s">
        <v>2763</v>
      </c>
      <c r="AC4" s="77" t="s">
        <v>2764</v>
      </c>
      <c r="AD4" s="77" t="s">
        <v>2765</v>
      </c>
      <c r="AE4" s="77" t="s">
        <v>2766</v>
      </c>
      <c r="AF4" s="77" t="s">
        <v>2767</v>
      </c>
    </row>
    <row r="5" customFormat="false" ht="15" hidden="false" customHeight="true" outlineLevel="0" collapsed="false">
      <c r="A5" s="36" t="s">
        <v>2768</v>
      </c>
      <c r="B5" s="212" t="s">
        <v>2769</v>
      </c>
      <c r="C5" s="36" t="s">
        <v>2770</v>
      </c>
      <c r="D5" s="36" t="s">
        <v>2661</v>
      </c>
      <c r="E5" s="6" t="s">
        <v>68</v>
      </c>
      <c r="F5" s="36" t="s">
        <v>70</v>
      </c>
      <c r="G5" s="212" t="s">
        <v>2771</v>
      </c>
      <c r="H5" s="36" t="s">
        <v>585</v>
      </c>
      <c r="I5" s="6" t="s">
        <v>585</v>
      </c>
      <c r="J5" s="36" t="s">
        <v>2772</v>
      </c>
      <c r="K5" s="212"/>
      <c r="L5" s="212"/>
      <c r="M5" s="36" t="s">
        <v>585</v>
      </c>
      <c r="N5" s="6" t="s">
        <v>2773</v>
      </c>
      <c r="O5" s="6" t="s">
        <v>585</v>
      </c>
      <c r="P5" s="212" t="s">
        <v>2774</v>
      </c>
      <c r="Q5" s="41" t="n">
        <f aca="false">Inputs!E5</f>
        <v>1</v>
      </c>
      <c r="R5" s="36" t="s">
        <v>585</v>
      </c>
      <c r="S5" s="35" t="str">
        <f aca="false">IF(ISNUMBER($AF5),INDEX(IDX_SrcStat,$AF5),"—")</f>
        <v>—</v>
      </c>
      <c r="T5" s="35" t="str">
        <f aca="false">IF(ISNUMBER($AF5),INDEX(IDX_SrcGrade,$AF5),"—")</f>
        <v>—</v>
      </c>
      <c r="U5" s="35" t="s">
        <v>2775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5" t="str">
        <f aca="false">IF(OR($H5="—",$H5=""),"—",MATCH($H5,IDX_SrcID,0))</f>
        <v>—</v>
      </c>
    </row>
    <row r="6" customFormat="false" ht="29.25" hidden="false" customHeight="true" outlineLevel="0" collapsed="false">
      <c r="A6" s="36" t="s">
        <v>2776</v>
      </c>
      <c r="B6" s="212" t="s">
        <v>2769</v>
      </c>
      <c r="C6" s="36" t="s">
        <v>2770</v>
      </c>
      <c r="D6" s="36" t="s">
        <v>2663</v>
      </c>
      <c r="E6" s="19" t="s">
        <v>72</v>
      </c>
      <c r="F6" s="36" t="s">
        <v>70</v>
      </c>
      <c r="G6" s="212" t="s">
        <v>2771</v>
      </c>
      <c r="H6" s="36" t="s">
        <v>585</v>
      </c>
      <c r="I6" s="6" t="s">
        <v>585</v>
      </c>
      <c r="J6" s="36" t="s">
        <v>2777</v>
      </c>
      <c r="K6" s="212"/>
      <c r="L6" s="212"/>
      <c r="M6" s="36" t="s">
        <v>585</v>
      </c>
      <c r="N6" s="6" t="s">
        <v>2778</v>
      </c>
      <c r="O6" s="6" t="s">
        <v>585</v>
      </c>
      <c r="P6" s="212" t="s">
        <v>2774</v>
      </c>
      <c r="Q6" s="41" t="n">
        <f aca="false">Inputs!E6</f>
        <v>2</v>
      </c>
      <c r="R6" s="36" t="s">
        <v>585</v>
      </c>
      <c r="S6" s="35" t="str">
        <f aca="false">IF(ISNUMBER($AF6),INDEX(IDX_SrcStat,$AF6),"—")</f>
        <v>—</v>
      </c>
      <c r="T6" s="35" t="str">
        <f aca="false">IF(ISNUMBER($AF6),INDEX(IDX_SrcGrade,$AF6),"—")</f>
        <v>—</v>
      </c>
      <c r="U6" s="35" t="s">
        <v>2775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5" t="str">
        <f aca="false">IF(OR($H6="—",$H6=""),"—",MATCH($H6,IDX_SrcID,0))</f>
        <v>—</v>
      </c>
    </row>
    <row r="7" customFormat="false" ht="29.25" hidden="false" customHeight="true" outlineLevel="0" collapsed="false">
      <c r="A7" s="36" t="s">
        <v>2779</v>
      </c>
      <c r="B7" s="212" t="s">
        <v>2769</v>
      </c>
      <c r="C7" s="36" t="s">
        <v>2770</v>
      </c>
      <c r="D7" s="36" t="s">
        <v>2669</v>
      </c>
      <c r="E7" s="19" t="s">
        <v>76</v>
      </c>
      <c r="F7" s="36" t="s">
        <v>78</v>
      </c>
      <c r="G7" s="212" t="s">
        <v>63</v>
      </c>
      <c r="H7" s="36" t="s">
        <v>585</v>
      </c>
      <c r="I7" s="6" t="s">
        <v>585</v>
      </c>
      <c r="J7" s="36" t="s">
        <v>585</v>
      </c>
      <c r="K7" s="178" t="n">
        <f aca="false">Sensitivity!$X$8</f>
        <v>0.05</v>
      </c>
      <c r="L7" s="178" t="n">
        <f aca="false">Sensitivity!$Y$8</f>
        <v>0.12</v>
      </c>
      <c r="M7" s="36" t="s">
        <v>2780</v>
      </c>
      <c r="N7" s="213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585</v>
      </c>
      <c r="P7" s="212" t="s">
        <v>1113</v>
      </c>
      <c r="Q7" s="178" t="n">
        <f aca="false">Inputs!E8</f>
        <v>0.08</v>
      </c>
      <c r="R7" s="36" t="s">
        <v>585</v>
      </c>
      <c r="S7" s="35" t="str">
        <f aca="false">IF(ISNUMBER($AF7),INDEX(IDX_SrcStat,$AF7),"—")</f>
        <v>—</v>
      </c>
      <c r="T7" s="35" t="str">
        <f aca="false">IF(ISNUMBER($AF7),INDEX(IDX_SrcGrade,$AF7),"—")</f>
        <v>—</v>
      </c>
      <c r="U7" s="35" t="s">
        <v>2775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5" t="str">
        <f aca="false">IF(OR($H7="—",$H7=""),"—",MATCH($H7,IDX_SrcID,0))</f>
        <v>—</v>
      </c>
    </row>
    <row r="8" customFormat="false" ht="43.5" hidden="false" customHeight="true" outlineLevel="0" collapsed="false">
      <c r="A8" s="36" t="s">
        <v>2781</v>
      </c>
      <c r="B8" s="212" t="s">
        <v>2769</v>
      </c>
      <c r="C8" s="36" t="s">
        <v>2770</v>
      </c>
      <c r="D8" s="36" t="s">
        <v>2672</v>
      </c>
      <c r="E8" s="6" t="s">
        <v>80</v>
      </c>
      <c r="F8" s="36" t="s">
        <v>78</v>
      </c>
      <c r="G8" s="212" t="s">
        <v>63</v>
      </c>
      <c r="H8" s="36" t="s">
        <v>585</v>
      </c>
      <c r="I8" s="6" t="s">
        <v>585</v>
      </c>
      <c r="J8" s="36" t="s">
        <v>585</v>
      </c>
      <c r="K8" s="174" t="n">
        <f aca="false">Inputs!$D$9</f>
        <v>1.1</v>
      </c>
      <c r="L8" s="174" t="n">
        <f aca="false">Inputs!$F$9</f>
        <v>1.3</v>
      </c>
      <c r="M8" s="36" t="s">
        <v>585</v>
      </c>
      <c r="N8" s="213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2782</v>
      </c>
      <c r="P8" s="212" t="s">
        <v>1113</v>
      </c>
      <c r="Q8" s="174" t="n">
        <f aca="false">Inputs!E9</f>
        <v>1.2</v>
      </c>
      <c r="R8" s="36" t="s">
        <v>585</v>
      </c>
      <c r="S8" s="35" t="str">
        <f aca="false">IF(ISNUMBER($AF8),INDEX(IDX_SrcStat,$AF8),"—")</f>
        <v>—</v>
      </c>
      <c r="T8" s="35" t="str">
        <f aca="false">IF(ISNUMBER($AF8),INDEX(IDX_SrcGrade,$AF8),"—")</f>
        <v>—</v>
      </c>
      <c r="U8" s="35" t="s">
        <v>2775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5" t="str">
        <f aca="false">IF(OR($H8="—",$H8=""),"—",MATCH($H8,IDX_SrcID,0))</f>
        <v>—</v>
      </c>
    </row>
    <row r="9" customFormat="false" ht="43.5" hidden="false" customHeight="true" outlineLevel="0" collapsed="false">
      <c r="A9" s="36" t="s">
        <v>2783</v>
      </c>
      <c r="B9" s="212" t="s">
        <v>2769</v>
      </c>
      <c r="C9" s="36" t="s">
        <v>2770</v>
      </c>
      <c r="D9" s="36" t="s">
        <v>2784</v>
      </c>
      <c r="E9" s="6" t="s">
        <v>80</v>
      </c>
      <c r="F9" s="36" t="s">
        <v>78</v>
      </c>
      <c r="G9" s="212" t="s">
        <v>1113</v>
      </c>
      <c r="H9" s="36" t="s">
        <v>585</v>
      </c>
      <c r="I9" s="6" t="s">
        <v>585</v>
      </c>
      <c r="J9" s="36" t="s">
        <v>585</v>
      </c>
      <c r="K9" s="212"/>
      <c r="L9" s="212"/>
      <c r="M9" s="36" t="s">
        <v>585</v>
      </c>
      <c r="N9" s="213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2782</v>
      </c>
      <c r="P9" s="212" t="s">
        <v>1113</v>
      </c>
      <c r="Q9" s="174" t="n">
        <f aca="false">Inputs!D9</f>
        <v>1.1</v>
      </c>
      <c r="R9" s="36" t="s">
        <v>585</v>
      </c>
      <c r="S9" s="35" t="str">
        <f aca="false">IF(ISNUMBER($AF9),INDEX(IDX_SrcStat,$AF9),"—")</f>
        <v>—</v>
      </c>
      <c r="T9" s="35" t="str">
        <f aca="false">IF(ISNUMBER($AF9),INDEX(IDX_SrcGrade,$AF9),"—")</f>
        <v>—</v>
      </c>
      <c r="U9" s="35" t="s">
        <v>2775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5" t="str">
        <f aca="false">IF(OR($H9="—",$H9=""),"—",MATCH($H9,IDX_SrcID,0))</f>
        <v>—</v>
      </c>
    </row>
    <row r="10" customFormat="false" ht="43.5" hidden="false" customHeight="true" outlineLevel="0" collapsed="false">
      <c r="A10" s="36" t="s">
        <v>2785</v>
      </c>
      <c r="B10" s="212" t="s">
        <v>2769</v>
      </c>
      <c r="C10" s="36" t="s">
        <v>2770</v>
      </c>
      <c r="D10" s="36" t="s">
        <v>2786</v>
      </c>
      <c r="E10" s="6" t="s">
        <v>80</v>
      </c>
      <c r="F10" s="36" t="s">
        <v>78</v>
      </c>
      <c r="G10" s="212" t="s">
        <v>1114</v>
      </c>
      <c r="H10" s="36" t="s">
        <v>585</v>
      </c>
      <c r="I10" s="6" t="s">
        <v>585</v>
      </c>
      <c r="J10" s="36" t="s">
        <v>585</v>
      </c>
      <c r="K10" s="212"/>
      <c r="L10" s="212"/>
      <c r="M10" s="36" t="s">
        <v>585</v>
      </c>
      <c r="N10" s="213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2782</v>
      </c>
      <c r="P10" s="212" t="s">
        <v>1113</v>
      </c>
      <c r="Q10" s="174" t="n">
        <f aca="false">Inputs!F9</f>
        <v>1.3</v>
      </c>
      <c r="R10" s="36" t="s">
        <v>585</v>
      </c>
      <c r="S10" s="35" t="str">
        <f aca="false">IF(ISNUMBER($AF10),INDEX(IDX_SrcStat,$AF10),"—")</f>
        <v>—</v>
      </c>
      <c r="T10" s="35" t="str">
        <f aca="false">IF(ISNUMBER($AF10),INDEX(IDX_SrcGrade,$AF10),"—")</f>
        <v>—</v>
      </c>
      <c r="U10" s="35" t="s">
        <v>2775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5" t="str">
        <f aca="false">IF(OR($H10="—",$H10=""),"—",MATCH($H10,IDX_SrcID,0))</f>
        <v>—</v>
      </c>
    </row>
    <row r="11" customFormat="false" ht="15" hidden="false" customHeight="true" outlineLevel="0" collapsed="false">
      <c r="A11" s="36" t="s">
        <v>2787</v>
      </c>
      <c r="B11" s="212" t="s">
        <v>2769</v>
      </c>
      <c r="C11" s="36" t="s">
        <v>2770</v>
      </c>
      <c r="D11" s="36" t="s">
        <v>2675</v>
      </c>
      <c r="E11" s="19" t="s">
        <v>84</v>
      </c>
      <c r="F11" s="36" t="s">
        <v>78</v>
      </c>
      <c r="G11" s="212" t="s">
        <v>63</v>
      </c>
      <c r="H11" s="36" t="s">
        <v>585</v>
      </c>
      <c r="I11" s="6" t="s">
        <v>585</v>
      </c>
      <c r="J11" s="36" t="s">
        <v>585</v>
      </c>
      <c r="K11" s="178" t="n">
        <f aca="false">Inputs!$D$10</f>
        <v>0.7</v>
      </c>
      <c r="L11" s="178" t="n">
        <f aca="false">Inputs!$F$10</f>
        <v>0.9</v>
      </c>
      <c r="M11" s="36" t="s">
        <v>585</v>
      </c>
      <c r="N11" s="213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585</v>
      </c>
      <c r="P11" s="212" t="s">
        <v>1113</v>
      </c>
      <c r="Q11" s="178" t="n">
        <f aca="false">Inputs!E10</f>
        <v>0.8</v>
      </c>
      <c r="R11" s="36" t="s">
        <v>585</v>
      </c>
      <c r="S11" s="35" t="str">
        <f aca="false">IF(ISNUMBER($AF11),INDEX(IDX_SrcStat,$AF11),"—")</f>
        <v>—</v>
      </c>
      <c r="T11" s="35" t="str">
        <f aca="false">IF(ISNUMBER($AF11),INDEX(IDX_SrcGrade,$AF11),"—")</f>
        <v>—</v>
      </c>
      <c r="U11" s="35" t="s">
        <v>2775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5" t="str">
        <f aca="false">IF(OR($H11="—",$H11=""),"—",MATCH($H11,IDX_SrcID,0))</f>
        <v>—</v>
      </c>
    </row>
    <row r="12" customFormat="false" ht="15" hidden="false" customHeight="true" outlineLevel="0" collapsed="false">
      <c r="A12" s="36" t="s">
        <v>2788</v>
      </c>
      <c r="B12" s="212" t="s">
        <v>2769</v>
      </c>
      <c r="C12" s="36" t="s">
        <v>2770</v>
      </c>
      <c r="D12" s="36" t="s">
        <v>2789</v>
      </c>
      <c r="E12" s="19" t="s">
        <v>84</v>
      </c>
      <c r="F12" s="36" t="s">
        <v>78</v>
      </c>
      <c r="G12" s="212" t="s">
        <v>1113</v>
      </c>
      <c r="H12" s="36" t="s">
        <v>585</v>
      </c>
      <c r="I12" s="6" t="s">
        <v>585</v>
      </c>
      <c r="J12" s="36" t="s">
        <v>585</v>
      </c>
      <c r="K12" s="212"/>
      <c r="L12" s="212"/>
      <c r="M12" s="36" t="s">
        <v>585</v>
      </c>
      <c r="N12" s="213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585</v>
      </c>
      <c r="P12" s="212" t="s">
        <v>1113</v>
      </c>
      <c r="Q12" s="178" t="n">
        <f aca="false">Inputs!D10</f>
        <v>0.7</v>
      </c>
      <c r="R12" s="36" t="s">
        <v>585</v>
      </c>
      <c r="S12" s="35" t="str">
        <f aca="false">IF(ISNUMBER($AF12),INDEX(IDX_SrcStat,$AF12),"—")</f>
        <v>—</v>
      </c>
      <c r="T12" s="35" t="str">
        <f aca="false">IF(ISNUMBER($AF12),INDEX(IDX_SrcGrade,$AF12),"—")</f>
        <v>—</v>
      </c>
      <c r="U12" s="35" t="s">
        <v>2775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5" t="str">
        <f aca="false">IF(OR($H12="—",$H12=""),"—",MATCH($H12,IDX_SrcID,0))</f>
        <v>—</v>
      </c>
    </row>
    <row r="13" customFormat="false" ht="15" hidden="false" customHeight="true" outlineLevel="0" collapsed="false">
      <c r="A13" s="36" t="s">
        <v>2790</v>
      </c>
      <c r="B13" s="212" t="s">
        <v>2769</v>
      </c>
      <c r="C13" s="36" t="s">
        <v>2770</v>
      </c>
      <c r="D13" s="36" t="s">
        <v>2791</v>
      </c>
      <c r="E13" s="19" t="s">
        <v>84</v>
      </c>
      <c r="F13" s="36" t="s">
        <v>78</v>
      </c>
      <c r="G13" s="212" t="s">
        <v>1114</v>
      </c>
      <c r="H13" s="36" t="s">
        <v>585</v>
      </c>
      <c r="I13" s="6" t="s">
        <v>585</v>
      </c>
      <c r="J13" s="36" t="s">
        <v>585</v>
      </c>
      <c r="K13" s="212"/>
      <c r="L13" s="212"/>
      <c r="M13" s="36" t="s">
        <v>585</v>
      </c>
      <c r="N13" s="213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585</v>
      </c>
      <c r="P13" s="212" t="s">
        <v>1113</v>
      </c>
      <c r="Q13" s="178" t="n">
        <f aca="false">Inputs!F10</f>
        <v>0.9</v>
      </c>
      <c r="R13" s="36" t="s">
        <v>585</v>
      </c>
      <c r="S13" s="35" t="str">
        <f aca="false">IF(ISNUMBER($AF13),INDEX(IDX_SrcStat,$AF13),"—")</f>
        <v>—</v>
      </c>
      <c r="T13" s="35" t="str">
        <f aca="false">IF(ISNUMBER($AF13),INDEX(IDX_SrcGrade,$AF13),"—")</f>
        <v>—</v>
      </c>
      <c r="U13" s="35" t="s">
        <v>2775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5" t="str">
        <f aca="false">IF(OR($H13="—",$H13=""),"—",MATCH($H13,IDX_SrcID,0))</f>
        <v>—</v>
      </c>
    </row>
    <row r="14" customFormat="false" ht="29.25" hidden="false" customHeight="true" outlineLevel="0" collapsed="false">
      <c r="A14" s="36" t="s">
        <v>2792</v>
      </c>
      <c r="B14" s="212" t="s">
        <v>2769</v>
      </c>
      <c r="C14" s="36" t="s">
        <v>2770</v>
      </c>
      <c r="D14" s="36" t="s">
        <v>2678</v>
      </c>
      <c r="E14" s="19" t="s">
        <v>86</v>
      </c>
      <c r="F14" s="36" t="s">
        <v>82</v>
      </c>
      <c r="G14" s="212" t="s">
        <v>63</v>
      </c>
      <c r="H14" s="36" t="s">
        <v>2793</v>
      </c>
      <c r="I14" s="19" t="s">
        <v>2794</v>
      </c>
      <c r="J14" s="36" t="s">
        <v>585</v>
      </c>
      <c r="K14" s="174" t="n">
        <f aca="false">Inputs!$D$11</f>
        <v>0.06</v>
      </c>
      <c r="L14" s="174" t="n">
        <f aca="false">Inputs!$F$11</f>
        <v>0.1</v>
      </c>
      <c r="M14" s="36" t="s">
        <v>585</v>
      </c>
      <c r="N14" s="21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585</v>
      </c>
      <c r="P14" s="212" t="s">
        <v>1113</v>
      </c>
      <c r="Q14" s="174" t="n">
        <f aca="false">Inputs!E11</f>
        <v>0.08</v>
      </c>
      <c r="R14" s="184" t="n">
        <f aca="false">SRC_DC_006</f>
        <v>0.0871</v>
      </c>
      <c r="S14" s="35" t="str">
        <f aca="false">IF(ISNUMBER($AF14),INDEX(IDX_SrcStat,$AF14),"—")</f>
        <v>Active</v>
      </c>
      <c r="T14" s="35" t="n">
        <f aca="false">IF(ISNUMBER($AF14),INDEX(IDX_SrcGrade,$AF14),"—")</f>
        <v>2</v>
      </c>
      <c r="U14" s="35" t="s">
        <v>2775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5" t="n">
        <f aca="false">IF(OR($H14="—",$H14=""),"—",MATCH($H14,IDX_SrcID,0))</f>
        <v>120</v>
      </c>
    </row>
    <row r="15" customFormat="false" ht="29.25" hidden="false" customHeight="true" outlineLevel="0" collapsed="false">
      <c r="A15" s="36" t="s">
        <v>2795</v>
      </c>
      <c r="B15" s="212" t="s">
        <v>2769</v>
      </c>
      <c r="C15" s="36" t="s">
        <v>2770</v>
      </c>
      <c r="D15" s="36" t="s">
        <v>2796</v>
      </c>
      <c r="E15" s="19" t="s">
        <v>86</v>
      </c>
      <c r="F15" s="36" t="s">
        <v>82</v>
      </c>
      <c r="G15" s="212" t="s">
        <v>1113</v>
      </c>
      <c r="H15" s="36" t="s">
        <v>2793</v>
      </c>
      <c r="I15" s="19" t="s">
        <v>2794</v>
      </c>
      <c r="J15" s="36" t="s">
        <v>585</v>
      </c>
      <c r="K15" s="212"/>
      <c r="L15" s="212"/>
      <c r="M15" s="36" t="s">
        <v>585</v>
      </c>
      <c r="N15" s="21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585</v>
      </c>
      <c r="P15" s="212" t="s">
        <v>1113</v>
      </c>
      <c r="Q15" s="174" t="n">
        <f aca="false">Inputs!D11</f>
        <v>0.06</v>
      </c>
      <c r="R15" s="184" t="n">
        <f aca="false">SRC_DC_006</f>
        <v>0.0871</v>
      </c>
      <c r="S15" s="35" t="str">
        <f aca="false">IF(ISNUMBER($AF15),INDEX(IDX_SrcStat,$AF15),"—")</f>
        <v>Active</v>
      </c>
      <c r="T15" s="35" t="n">
        <f aca="false">IF(ISNUMBER($AF15),INDEX(IDX_SrcGrade,$AF15),"—")</f>
        <v>2</v>
      </c>
      <c r="U15" s="35" t="s">
        <v>2775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5" t="n">
        <f aca="false">IF(OR($H15="—",$H15=""),"—",MATCH($H15,IDX_SrcID,0))</f>
        <v>120</v>
      </c>
    </row>
    <row r="16" customFormat="false" ht="29.25" hidden="false" customHeight="true" outlineLevel="0" collapsed="false">
      <c r="A16" s="36" t="s">
        <v>2797</v>
      </c>
      <c r="B16" s="212" t="s">
        <v>2769</v>
      </c>
      <c r="C16" s="36" t="s">
        <v>2770</v>
      </c>
      <c r="D16" s="36" t="s">
        <v>2798</v>
      </c>
      <c r="E16" s="19" t="s">
        <v>86</v>
      </c>
      <c r="F16" s="36" t="s">
        <v>82</v>
      </c>
      <c r="G16" s="212" t="s">
        <v>1114</v>
      </c>
      <c r="H16" s="36" t="s">
        <v>2793</v>
      </c>
      <c r="I16" s="19" t="s">
        <v>2794</v>
      </c>
      <c r="J16" s="36" t="s">
        <v>585</v>
      </c>
      <c r="K16" s="212"/>
      <c r="L16" s="212"/>
      <c r="M16" s="36" t="s">
        <v>585</v>
      </c>
      <c r="N16" s="21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585</v>
      </c>
      <c r="P16" s="212" t="s">
        <v>1113</v>
      </c>
      <c r="Q16" s="174" t="n">
        <f aca="false">Inputs!F11</f>
        <v>0.1</v>
      </c>
      <c r="R16" s="184" t="n">
        <f aca="false">SRC_DC_006</f>
        <v>0.0871</v>
      </c>
      <c r="S16" s="35" t="str">
        <f aca="false">IF(ISNUMBER($AF16),INDEX(IDX_SrcStat,$AF16),"—")</f>
        <v>Active</v>
      </c>
      <c r="T16" s="35" t="n">
        <f aca="false">IF(ISNUMBER($AF16),INDEX(IDX_SrcGrade,$AF16),"—")</f>
        <v>2</v>
      </c>
      <c r="U16" s="35" t="s">
        <v>2775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5" t="n">
        <f aca="false">IF(OR($H16="—",$H16=""),"—",MATCH($H16,IDX_SrcID,0))</f>
        <v>120</v>
      </c>
    </row>
    <row r="17" customFormat="false" ht="40.5" hidden="false" customHeight="true" outlineLevel="0" collapsed="false">
      <c r="A17" s="36" t="s">
        <v>2799</v>
      </c>
      <c r="B17" s="212" t="s">
        <v>2769</v>
      </c>
      <c r="C17" s="36" t="s">
        <v>2770</v>
      </c>
      <c r="D17" s="36" t="s">
        <v>2683</v>
      </c>
      <c r="E17" s="6" t="s">
        <v>91</v>
      </c>
      <c r="F17" s="36" t="s">
        <v>82</v>
      </c>
      <c r="G17" s="212" t="s">
        <v>63</v>
      </c>
      <c r="H17" s="36" t="s">
        <v>2800</v>
      </c>
      <c r="I17" s="19" t="s">
        <v>2794</v>
      </c>
      <c r="J17" s="36" t="s">
        <v>585</v>
      </c>
      <c r="K17" s="178" t="n">
        <f aca="false">Inputs!$D$13</f>
        <v>0.05</v>
      </c>
      <c r="L17" s="178" t="n">
        <f aca="false">Inputs!$F$13</f>
        <v>0.15</v>
      </c>
      <c r="M17" s="36" t="s">
        <v>585</v>
      </c>
      <c r="N17" s="213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585</v>
      </c>
      <c r="P17" s="212" t="s">
        <v>1113</v>
      </c>
      <c r="Q17" s="178" t="n">
        <f aca="false">Inputs!E13</f>
        <v>0.1</v>
      </c>
      <c r="R17" s="184" t="n">
        <f aca="false">SRC_DC_001_Lo</f>
        <v>0.04</v>
      </c>
      <c r="S17" s="35" t="str">
        <f aca="false">IF(ISNUMBER($AF17),INDEX(IDX_SrcStat,$AF17),"—")</f>
        <v>Active</v>
      </c>
      <c r="T17" s="35" t="n">
        <f aca="false">IF(ISNUMBER($AF17),INDEX(IDX_SrcGrade,$AF17),"—")</f>
        <v>3</v>
      </c>
      <c r="U17" s="35" t="s">
        <v>2775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5" t="n">
        <f aca="false">IF(OR($H17="—",$H17=""),"—",MATCH($H17,IDX_SrcID,0))</f>
        <v>115</v>
      </c>
    </row>
    <row r="18" customFormat="false" ht="40.5" hidden="false" customHeight="true" outlineLevel="0" collapsed="false">
      <c r="A18" s="36" t="s">
        <v>2801</v>
      </c>
      <c r="B18" s="212" t="s">
        <v>2769</v>
      </c>
      <c r="C18" s="36" t="s">
        <v>2770</v>
      </c>
      <c r="D18" s="36" t="s">
        <v>2802</v>
      </c>
      <c r="E18" s="6" t="s">
        <v>91</v>
      </c>
      <c r="F18" s="36" t="s">
        <v>82</v>
      </c>
      <c r="G18" s="212" t="s">
        <v>1113</v>
      </c>
      <c r="H18" s="36" t="s">
        <v>2800</v>
      </c>
      <c r="I18" s="19" t="s">
        <v>2794</v>
      </c>
      <c r="J18" s="36" t="s">
        <v>585</v>
      </c>
      <c r="K18" s="212"/>
      <c r="L18" s="212"/>
      <c r="M18" s="36" t="s">
        <v>585</v>
      </c>
      <c r="N18" s="213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585</v>
      </c>
      <c r="P18" s="212" t="s">
        <v>1113</v>
      </c>
      <c r="Q18" s="178" t="n">
        <f aca="false">Inputs!D13</f>
        <v>0.05</v>
      </c>
      <c r="R18" s="184" t="n">
        <f aca="false">SRC_DC_001_Lo</f>
        <v>0.04</v>
      </c>
      <c r="S18" s="35" t="str">
        <f aca="false">IF(ISNUMBER($AF18),INDEX(IDX_SrcStat,$AF18),"—")</f>
        <v>Active</v>
      </c>
      <c r="T18" s="35" t="n">
        <f aca="false">IF(ISNUMBER($AF18),INDEX(IDX_SrcGrade,$AF18),"—")</f>
        <v>3</v>
      </c>
      <c r="U18" s="35" t="s">
        <v>2775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5" t="n">
        <f aca="false">IF(OR($H18="—",$H18=""),"—",MATCH($H18,IDX_SrcID,0))</f>
        <v>115</v>
      </c>
    </row>
    <row r="19" customFormat="false" ht="15" hidden="false" customHeight="true" outlineLevel="0" collapsed="false">
      <c r="A19" s="36" t="s">
        <v>2803</v>
      </c>
      <c r="B19" s="212" t="s">
        <v>2769</v>
      </c>
      <c r="C19" s="36" t="s">
        <v>2770</v>
      </c>
      <c r="D19" s="36" t="s">
        <v>2804</v>
      </c>
      <c r="E19" s="6" t="s">
        <v>91</v>
      </c>
      <c r="F19" s="212" t="s">
        <v>296</v>
      </c>
      <c r="G19" s="212" t="s">
        <v>2771</v>
      </c>
      <c r="H19" s="36" t="s">
        <v>2805</v>
      </c>
      <c r="I19" s="19" t="s">
        <v>2806</v>
      </c>
      <c r="J19" s="36" t="s">
        <v>585</v>
      </c>
      <c r="K19" s="212"/>
      <c r="L19" s="212"/>
      <c r="M19" s="36" t="s">
        <v>585</v>
      </c>
      <c r="N19" s="19" t="s">
        <v>2807</v>
      </c>
      <c r="O19" s="6" t="s">
        <v>585</v>
      </c>
      <c r="P19" s="212" t="s">
        <v>1113</v>
      </c>
      <c r="Q19" s="178" t="n">
        <f aca="false">Inputs!F13</f>
        <v>0.15</v>
      </c>
      <c r="R19" s="184" t="n">
        <f aca="false">SRC_DC_002</f>
        <v>0.15</v>
      </c>
      <c r="S19" s="35" t="str">
        <f aca="false">IF(ISNUMBER($AF19),INDEX(IDX_SrcStat,$AF19),"—")</f>
        <v>Active</v>
      </c>
      <c r="T19" s="35" t="n">
        <f aca="false">IF(ISNUMBER($AF19),INDEX(IDX_SrcGrade,$AF19),"—")</f>
        <v>3</v>
      </c>
      <c r="U19" s="35" t="s">
        <v>2808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5" t="n">
        <f aca="false">IF(OR($H19="—",$H19=""),"—",MATCH($H19,IDX_SrcID,0))</f>
        <v>116</v>
      </c>
    </row>
    <row r="20" customFormat="false" ht="15" hidden="false" customHeight="true" outlineLevel="0" collapsed="false">
      <c r="A20" s="36" t="s">
        <v>2809</v>
      </c>
      <c r="B20" s="212" t="s">
        <v>2769</v>
      </c>
      <c r="C20" s="36" t="s">
        <v>2770</v>
      </c>
      <c r="D20" s="36" t="s">
        <v>2810</v>
      </c>
      <c r="E20" s="19" t="s">
        <v>93</v>
      </c>
      <c r="F20" s="36" t="s">
        <v>78</v>
      </c>
      <c r="G20" s="212" t="s">
        <v>63</v>
      </c>
      <c r="H20" s="36" t="s">
        <v>585</v>
      </c>
      <c r="I20" s="6" t="s">
        <v>585</v>
      </c>
      <c r="J20" s="36" t="s">
        <v>585</v>
      </c>
      <c r="K20" s="41" t="n">
        <f aca="false">Inputs!$D$14</f>
        <v>300</v>
      </c>
      <c r="L20" s="41" t="n">
        <f aca="false">Inputs!$F$14</f>
        <v>800</v>
      </c>
      <c r="M20" s="36" t="s">
        <v>585</v>
      </c>
      <c r="N20" s="213" t="str">
        <f aca="false">Inputs!$H$14</f>
        <v>v4 約 $350/GPU（$25K/架）</v>
      </c>
      <c r="O20" s="6" t="s">
        <v>585</v>
      </c>
      <c r="P20" s="212" t="s">
        <v>1113</v>
      </c>
      <c r="Q20" s="41" t="n">
        <f aca="false">Inputs!E14</f>
        <v>500</v>
      </c>
      <c r="R20" s="36" t="s">
        <v>585</v>
      </c>
      <c r="S20" s="35" t="str">
        <f aca="false">IF(ISNUMBER($AF20),INDEX(IDX_SrcStat,$AF20),"—")</f>
        <v>—</v>
      </c>
      <c r="T20" s="35" t="str">
        <f aca="false">IF(ISNUMBER($AF20),INDEX(IDX_SrcGrade,$AF20),"—")</f>
        <v>—</v>
      </c>
      <c r="U20" s="35" t="s">
        <v>2775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5" t="str">
        <f aca="false">IF(OR($H20="—",$H20=""),"—",MATCH($H20,IDX_SrcID,0))</f>
        <v>—</v>
      </c>
    </row>
    <row r="21" customFormat="false" ht="15" hidden="false" customHeight="true" outlineLevel="0" collapsed="false">
      <c r="A21" s="36" t="s">
        <v>2811</v>
      </c>
      <c r="B21" s="212" t="s">
        <v>2769</v>
      </c>
      <c r="C21" s="36" t="s">
        <v>2770</v>
      </c>
      <c r="D21" s="36" t="s">
        <v>2812</v>
      </c>
      <c r="E21" s="19" t="s">
        <v>93</v>
      </c>
      <c r="F21" s="36" t="s">
        <v>78</v>
      </c>
      <c r="G21" s="212" t="s">
        <v>1113</v>
      </c>
      <c r="H21" s="36" t="s">
        <v>585</v>
      </c>
      <c r="I21" s="6" t="s">
        <v>585</v>
      </c>
      <c r="J21" s="36" t="s">
        <v>585</v>
      </c>
      <c r="K21" s="212"/>
      <c r="L21" s="212"/>
      <c r="M21" s="36" t="s">
        <v>585</v>
      </c>
      <c r="N21" s="213" t="str">
        <f aca="false">Inputs!$H$14</f>
        <v>v4 約 $350/GPU（$25K/架）</v>
      </c>
      <c r="O21" s="6" t="s">
        <v>585</v>
      </c>
      <c r="P21" s="212" t="s">
        <v>1113</v>
      </c>
      <c r="Q21" s="41" t="n">
        <f aca="false">Inputs!D14</f>
        <v>300</v>
      </c>
      <c r="R21" s="36" t="s">
        <v>585</v>
      </c>
      <c r="S21" s="35" t="str">
        <f aca="false">IF(ISNUMBER($AF21),INDEX(IDX_SrcStat,$AF21),"—")</f>
        <v>—</v>
      </c>
      <c r="T21" s="35" t="str">
        <f aca="false">IF(ISNUMBER($AF21),INDEX(IDX_SrcGrade,$AF21),"—")</f>
        <v>—</v>
      </c>
      <c r="U21" s="35" t="s">
        <v>2775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5" t="str">
        <f aca="false">IF(OR($H21="—",$H21=""),"—",MATCH($H21,IDX_SrcID,0))</f>
        <v>—</v>
      </c>
    </row>
    <row r="22" customFormat="false" ht="15" hidden="false" customHeight="true" outlineLevel="0" collapsed="false">
      <c r="A22" s="36" t="s">
        <v>2813</v>
      </c>
      <c r="B22" s="212" t="s">
        <v>2769</v>
      </c>
      <c r="C22" s="36" t="s">
        <v>2770</v>
      </c>
      <c r="D22" s="36" t="s">
        <v>2814</v>
      </c>
      <c r="E22" s="19" t="s">
        <v>93</v>
      </c>
      <c r="F22" s="36" t="s">
        <v>78</v>
      </c>
      <c r="G22" s="212" t="s">
        <v>1114</v>
      </c>
      <c r="H22" s="36" t="s">
        <v>585</v>
      </c>
      <c r="I22" s="6" t="s">
        <v>585</v>
      </c>
      <c r="J22" s="36" t="s">
        <v>585</v>
      </c>
      <c r="K22" s="212"/>
      <c r="L22" s="212"/>
      <c r="M22" s="36" t="s">
        <v>585</v>
      </c>
      <c r="N22" s="213" t="str">
        <f aca="false">Inputs!$H$14</f>
        <v>v4 約 $350/GPU（$25K/架）</v>
      </c>
      <c r="O22" s="6" t="s">
        <v>585</v>
      </c>
      <c r="P22" s="212" t="s">
        <v>1113</v>
      </c>
      <c r="Q22" s="41" t="n">
        <f aca="false">Inputs!F14</f>
        <v>800</v>
      </c>
      <c r="R22" s="36" t="s">
        <v>585</v>
      </c>
      <c r="S22" s="35" t="str">
        <f aca="false">IF(ISNUMBER($AF22),INDEX(IDX_SrcStat,$AF22),"—")</f>
        <v>—</v>
      </c>
      <c r="T22" s="35" t="str">
        <f aca="false">IF(ISNUMBER($AF22),INDEX(IDX_SrcGrade,$AF22),"—")</f>
        <v>—</v>
      </c>
      <c r="U22" s="35" t="s">
        <v>2775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5" t="str">
        <f aca="false">IF(OR($H22="—",$H22=""),"—",MATCH($H22,IDX_SrcID,0))</f>
        <v>—</v>
      </c>
    </row>
    <row r="23" customFormat="false" ht="15" hidden="false" customHeight="true" outlineLevel="0" collapsed="false">
      <c r="A23" s="36" t="s">
        <v>2815</v>
      </c>
      <c r="B23" s="212" t="s">
        <v>2769</v>
      </c>
      <c r="C23" s="36" t="s">
        <v>2770</v>
      </c>
      <c r="D23" s="36" t="s">
        <v>2816</v>
      </c>
      <c r="E23" s="19" t="s">
        <v>97</v>
      </c>
      <c r="F23" s="36" t="s">
        <v>78</v>
      </c>
      <c r="G23" s="212" t="s">
        <v>63</v>
      </c>
      <c r="H23" s="36" t="s">
        <v>585</v>
      </c>
      <c r="I23" s="6" t="s">
        <v>585</v>
      </c>
      <c r="J23" s="36" t="s">
        <v>585</v>
      </c>
      <c r="K23" s="174" t="n">
        <f aca="false">Inputs!$D$16</f>
        <v>0.02</v>
      </c>
      <c r="L23" s="174" t="n">
        <f aca="false">Inputs!$F$16</f>
        <v>0.02</v>
      </c>
      <c r="M23" s="36" t="s">
        <v>585</v>
      </c>
      <c r="N23" s="213" t="str">
        <f aca="false">Inputs!$H$16</f>
        <v>v4：100 英畝 × $200K／GW</v>
      </c>
      <c r="O23" s="6" t="s">
        <v>585</v>
      </c>
      <c r="P23" s="212" t="s">
        <v>1113</v>
      </c>
      <c r="Q23" s="174" t="n">
        <f aca="false">Inputs!E16</f>
        <v>0.02</v>
      </c>
      <c r="R23" s="36" t="s">
        <v>585</v>
      </c>
      <c r="S23" s="35" t="str">
        <f aca="false">IF(ISNUMBER($AF23),INDEX(IDX_SrcStat,$AF23),"—")</f>
        <v>—</v>
      </c>
      <c r="T23" s="35" t="str">
        <f aca="false">IF(ISNUMBER($AF23),INDEX(IDX_SrcGrade,$AF23),"—")</f>
        <v>—</v>
      </c>
      <c r="U23" s="35" t="s">
        <v>2775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5" t="str">
        <f aca="false">IF(OR($H23="—",$H23=""),"—",MATCH($H23,IDX_SrcID,0))</f>
        <v>—</v>
      </c>
    </row>
    <row r="24" customFormat="false" ht="15" hidden="false" customHeight="true" outlineLevel="0" collapsed="false">
      <c r="A24" s="36" t="s">
        <v>2817</v>
      </c>
      <c r="B24" s="212" t="s">
        <v>2769</v>
      </c>
      <c r="C24" s="36" t="s">
        <v>2770</v>
      </c>
      <c r="D24" s="36" t="s">
        <v>2818</v>
      </c>
      <c r="E24" s="19" t="s">
        <v>97</v>
      </c>
      <c r="F24" s="36" t="s">
        <v>78</v>
      </c>
      <c r="G24" s="212" t="s">
        <v>1113</v>
      </c>
      <c r="H24" s="36" t="s">
        <v>585</v>
      </c>
      <c r="I24" s="6" t="s">
        <v>585</v>
      </c>
      <c r="J24" s="36" t="s">
        <v>585</v>
      </c>
      <c r="K24" s="212"/>
      <c r="L24" s="212"/>
      <c r="M24" s="36" t="s">
        <v>585</v>
      </c>
      <c r="N24" s="213" t="str">
        <f aca="false">Inputs!$H$16</f>
        <v>v4：100 英畝 × $200K／GW</v>
      </c>
      <c r="O24" s="6" t="s">
        <v>585</v>
      </c>
      <c r="P24" s="212" t="s">
        <v>1113</v>
      </c>
      <c r="Q24" s="174" t="n">
        <f aca="false">Inputs!D16</f>
        <v>0.02</v>
      </c>
      <c r="R24" s="36" t="s">
        <v>585</v>
      </c>
      <c r="S24" s="35" t="str">
        <f aca="false">IF(ISNUMBER($AF24),INDEX(IDX_SrcStat,$AF24),"—")</f>
        <v>—</v>
      </c>
      <c r="T24" s="35" t="str">
        <f aca="false">IF(ISNUMBER($AF24),INDEX(IDX_SrcGrade,$AF24),"—")</f>
        <v>—</v>
      </c>
      <c r="U24" s="35" t="s">
        <v>2775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5" t="str">
        <f aca="false">IF(OR($H24="—",$H24=""),"—",MATCH($H24,IDX_SrcID,0))</f>
        <v>—</v>
      </c>
    </row>
    <row r="25" customFormat="false" ht="15" hidden="false" customHeight="true" outlineLevel="0" collapsed="false">
      <c r="A25" s="36" t="s">
        <v>2819</v>
      </c>
      <c r="B25" s="212" t="s">
        <v>2769</v>
      </c>
      <c r="C25" s="36" t="s">
        <v>2770</v>
      </c>
      <c r="D25" s="36" t="s">
        <v>2820</v>
      </c>
      <c r="E25" s="19" t="s">
        <v>97</v>
      </c>
      <c r="F25" s="36" t="s">
        <v>78</v>
      </c>
      <c r="G25" s="212" t="s">
        <v>1114</v>
      </c>
      <c r="H25" s="36" t="s">
        <v>585</v>
      </c>
      <c r="I25" s="6" t="s">
        <v>585</v>
      </c>
      <c r="J25" s="36" t="s">
        <v>585</v>
      </c>
      <c r="K25" s="212"/>
      <c r="L25" s="212"/>
      <c r="M25" s="36" t="s">
        <v>585</v>
      </c>
      <c r="N25" s="213" t="str">
        <f aca="false">Inputs!$H$16</f>
        <v>v4：100 英畝 × $200K／GW</v>
      </c>
      <c r="O25" s="6" t="s">
        <v>585</v>
      </c>
      <c r="P25" s="212" t="s">
        <v>1113</v>
      </c>
      <c r="Q25" s="174" t="n">
        <f aca="false">Inputs!F16</f>
        <v>0.02</v>
      </c>
      <c r="R25" s="36" t="s">
        <v>585</v>
      </c>
      <c r="S25" s="35" t="str">
        <f aca="false">IF(ISNUMBER($AF25),INDEX(IDX_SrcStat,$AF25),"—")</f>
        <v>—</v>
      </c>
      <c r="T25" s="35" t="str">
        <f aca="false">IF(ISNUMBER($AF25),INDEX(IDX_SrcGrade,$AF25),"—")</f>
        <v>—</v>
      </c>
      <c r="U25" s="35" t="s">
        <v>2775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5" t="str">
        <f aca="false">IF(OR($H25="—",$H25=""),"—",MATCH($H25,IDX_SrcID,0))</f>
        <v>—</v>
      </c>
    </row>
    <row r="26" customFormat="false" ht="15" hidden="false" customHeight="true" outlineLevel="0" collapsed="false">
      <c r="A26" s="36" t="s">
        <v>2821</v>
      </c>
      <c r="B26" s="212" t="s">
        <v>2769</v>
      </c>
      <c r="C26" s="36" t="s">
        <v>2770</v>
      </c>
      <c r="D26" s="36" t="s">
        <v>2822</v>
      </c>
      <c r="E26" s="19" t="s">
        <v>100</v>
      </c>
      <c r="F26" s="36" t="s">
        <v>78</v>
      </c>
      <c r="G26" s="212" t="s">
        <v>63</v>
      </c>
      <c r="H26" s="36" t="s">
        <v>585</v>
      </c>
      <c r="I26" s="6" t="s">
        <v>585</v>
      </c>
      <c r="J26" s="36" t="s">
        <v>585</v>
      </c>
      <c r="K26" s="174" t="n">
        <f aca="false">Inputs!$D$17</f>
        <v>3</v>
      </c>
      <c r="L26" s="174" t="n">
        <f aca="false">Inputs!$F$17</f>
        <v>4.5</v>
      </c>
      <c r="M26" s="36" t="s">
        <v>585</v>
      </c>
      <c r="N26" s="213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585</v>
      </c>
      <c r="P26" s="212" t="s">
        <v>1113</v>
      </c>
      <c r="Q26" s="174" t="n">
        <f aca="false">Inputs!E17</f>
        <v>3.6</v>
      </c>
      <c r="R26" s="36" t="s">
        <v>585</v>
      </c>
      <c r="S26" s="35" t="str">
        <f aca="false">IF(ISNUMBER($AF26),INDEX(IDX_SrcStat,$AF26),"—")</f>
        <v>—</v>
      </c>
      <c r="T26" s="35" t="str">
        <f aca="false">IF(ISNUMBER($AF26),INDEX(IDX_SrcGrade,$AF26),"—")</f>
        <v>—</v>
      </c>
      <c r="U26" s="35" t="s">
        <v>2775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5" t="str">
        <f aca="false">IF(OR($H26="—",$H26=""),"—",MATCH($H26,IDX_SrcID,0))</f>
        <v>—</v>
      </c>
    </row>
    <row r="27" customFormat="false" ht="15" hidden="false" customHeight="true" outlineLevel="0" collapsed="false">
      <c r="A27" s="36" t="s">
        <v>2823</v>
      </c>
      <c r="B27" s="212" t="s">
        <v>2769</v>
      </c>
      <c r="C27" s="36" t="s">
        <v>2770</v>
      </c>
      <c r="D27" s="36" t="s">
        <v>2824</v>
      </c>
      <c r="E27" s="19" t="s">
        <v>100</v>
      </c>
      <c r="F27" s="36" t="s">
        <v>78</v>
      </c>
      <c r="G27" s="212" t="s">
        <v>1113</v>
      </c>
      <c r="H27" s="36" t="s">
        <v>585</v>
      </c>
      <c r="I27" s="6" t="s">
        <v>585</v>
      </c>
      <c r="J27" s="36" t="s">
        <v>585</v>
      </c>
      <c r="K27" s="212"/>
      <c r="L27" s="212"/>
      <c r="M27" s="36" t="s">
        <v>585</v>
      </c>
      <c r="N27" s="213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585</v>
      </c>
      <c r="P27" s="212" t="s">
        <v>1113</v>
      </c>
      <c r="Q27" s="174" t="n">
        <f aca="false">Inputs!D17</f>
        <v>3</v>
      </c>
      <c r="R27" s="36" t="s">
        <v>585</v>
      </c>
      <c r="S27" s="35" t="str">
        <f aca="false">IF(ISNUMBER($AF27),INDEX(IDX_SrcStat,$AF27),"—")</f>
        <v>—</v>
      </c>
      <c r="T27" s="35" t="str">
        <f aca="false">IF(ISNUMBER($AF27),INDEX(IDX_SrcGrade,$AF27),"—")</f>
        <v>—</v>
      </c>
      <c r="U27" s="35" t="s">
        <v>2775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5" t="str">
        <f aca="false">IF(OR($H27="—",$H27=""),"—",MATCH($H27,IDX_SrcID,0))</f>
        <v>—</v>
      </c>
    </row>
    <row r="28" customFormat="false" ht="15" hidden="false" customHeight="true" outlineLevel="0" collapsed="false">
      <c r="A28" s="36" t="s">
        <v>2825</v>
      </c>
      <c r="B28" s="212" t="s">
        <v>2769</v>
      </c>
      <c r="C28" s="36" t="s">
        <v>2770</v>
      </c>
      <c r="D28" s="36" t="s">
        <v>2826</v>
      </c>
      <c r="E28" s="19" t="s">
        <v>100</v>
      </c>
      <c r="F28" s="36" t="s">
        <v>78</v>
      </c>
      <c r="G28" s="212" t="s">
        <v>1114</v>
      </c>
      <c r="H28" s="36" t="s">
        <v>585</v>
      </c>
      <c r="I28" s="6" t="s">
        <v>585</v>
      </c>
      <c r="J28" s="36" t="s">
        <v>585</v>
      </c>
      <c r="K28" s="212"/>
      <c r="L28" s="212"/>
      <c r="M28" s="36" t="s">
        <v>585</v>
      </c>
      <c r="N28" s="213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585</v>
      </c>
      <c r="P28" s="212" t="s">
        <v>1113</v>
      </c>
      <c r="Q28" s="174" t="n">
        <f aca="false">Inputs!F17</f>
        <v>4.5</v>
      </c>
      <c r="R28" s="36" t="s">
        <v>585</v>
      </c>
      <c r="S28" s="35" t="str">
        <f aca="false">IF(ISNUMBER($AF28),INDEX(IDX_SrcStat,$AF28),"—")</f>
        <v>—</v>
      </c>
      <c r="T28" s="35" t="str">
        <f aca="false">IF(ISNUMBER($AF28),INDEX(IDX_SrcGrade,$AF28),"—")</f>
        <v>—</v>
      </c>
      <c r="U28" s="35" t="s">
        <v>2775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5" t="str">
        <f aca="false">IF(OR($H28="—",$H28=""),"—",MATCH($H28,IDX_SrcID,0))</f>
        <v>—</v>
      </c>
    </row>
    <row r="29" customFormat="false" ht="29.25" hidden="false" customHeight="true" outlineLevel="0" collapsed="false">
      <c r="A29" s="36" t="s">
        <v>2827</v>
      </c>
      <c r="B29" s="212" t="s">
        <v>2769</v>
      </c>
      <c r="C29" s="36" t="s">
        <v>2770</v>
      </c>
      <c r="D29" s="36" t="s">
        <v>2828</v>
      </c>
      <c r="E29" s="19" t="s">
        <v>102</v>
      </c>
      <c r="F29" s="36" t="s">
        <v>78</v>
      </c>
      <c r="G29" s="212" t="s">
        <v>63</v>
      </c>
      <c r="H29" s="36" t="s">
        <v>585</v>
      </c>
      <c r="I29" s="6" t="s">
        <v>585</v>
      </c>
      <c r="J29" s="36" t="s">
        <v>585</v>
      </c>
      <c r="K29" s="174" t="n">
        <f aca="false">Inputs!$D$18</f>
        <v>3.8</v>
      </c>
      <c r="L29" s="174" t="n">
        <f aca="false">Inputs!$F$18</f>
        <v>5.5</v>
      </c>
      <c r="M29" s="36" t="s">
        <v>585</v>
      </c>
      <c r="N29" s="19" t="s">
        <v>2829</v>
      </c>
      <c r="O29" s="6" t="s">
        <v>585</v>
      </c>
      <c r="P29" s="212" t="s">
        <v>2830</v>
      </c>
      <c r="Q29" s="174" t="n">
        <f aca="false">Inputs!E18</f>
        <v>4.5</v>
      </c>
      <c r="R29" s="36" t="s">
        <v>585</v>
      </c>
      <c r="S29" s="35" t="str">
        <f aca="false">IF(ISNUMBER($AF29),INDEX(IDX_SrcStat,$AF29),"—")</f>
        <v>—</v>
      </c>
      <c r="T29" s="35" t="str">
        <f aca="false">IF(ISNUMBER($AF29),INDEX(IDX_SrcGrade,$AF29),"—")</f>
        <v>—</v>
      </c>
      <c r="U29" s="35" t="s">
        <v>2775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5" t="str">
        <f aca="false">IF(OR($H29="—",$H29=""),"—",MATCH($H29,IDX_SrcID,0))</f>
        <v>—</v>
      </c>
    </row>
    <row r="30" customFormat="false" ht="29.25" hidden="false" customHeight="true" outlineLevel="0" collapsed="false">
      <c r="A30" s="36" t="s">
        <v>2831</v>
      </c>
      <c r="B30" s="212" t="s">
        <v>2769</v>
      </c>
      <c r="C30" s="36" t="s">
        <v>2770</v>
      </c>
      <c r="D30" s="36" t="s">
        <v>2832</v>
      </c>
      <c r="E30" s="19" t="s">
        <v>102</v>
      </c>
      <c r="F30" s="36" t="s">
        <v>78</v>
      </c>
      <c r="G30" s="212" t="s">
        <v>1113</v>
      </c>
      <c r="H30" s="36" t="s">
        <v>585</v>
      </c>
      <c r="I30" s="6" t="s">
        <v>585</v>
      </c>
      <c r="J30" s="36" t="s">
        <v>585</v>
      </c>
      <c r="K30" s="212"/>
      <c r="L30" s="212"/>
      <c r="M30" s="36" t="s">
        <v>585</v>
      </c>
      <c r="N30" s="19" t="s">
        <v>2829</v>
      </c>
      <c r="O30" s="6" t="s">
        <v>585</v>
      </c>
      <c r="P30" s="212" t="s">
        <v>2830</v>
      </c>
      <c r="Q30" s="174" t="n">
        <f aca="false">Inputs!D18</f>
        <v>3.8</v>
      </c>
      <c r="R30" s="36" t="s">
        <v>585</v>
      </c>
      <c r="S30" s="35" t="str">
        <f aca="false">IF(ISNUMBER($AF30),INDEX(IDX_SrcStat,$AF30),"—")</f>
        <v>—</v>
      </c>
      <c r="T30" s="35" t="str">
        <f aca="false">IF(ISNUMBER($AF30),INDEX(IDX_SrcGrade,$AF30),"—")</f>
        <v>—</v>
      </c>
      <c r="U30" s="35" t="s">
        <v>2775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5" t="str">
        <f aca="false">IF(OR($H30="—",$H30=""),"—",MATCH($H30,IDX_SrcID,0))</f>
        <v>—</v>
      </c>
    </row>
    <row r="31" customFormat="false" ht="29.25" hidden="false" customHeight="true" outlineLevel="0" collapsed="false">
      <c r="A31" s="36" t="s">
        <v>2833</v>
      </c>
      <c r="B31" s="212" t="s">
        <v>2769</v>
      </c>
      <c r="C31" s="36" t="s">
        <v>2770</v>
      </c>
      <c r="D31" s="36" t="s">
        <v>2834</v>
      </c>
      <c r="E31" s="19" t="s">
        <v>102</v>
      </c>
      <c r="F31" s="36" t="s">
        <v>78</v>
      </c>
      <c r="G31" s="212" t="s">
        <v>1114</v>
      </c>
      <c r="H31" s="36" t="s">
        <v>585</v>
      </c>
      <c r="I31" s="6" t="s">
        <v>585</v>
      </c>
      <c r="J31" s="36" t="s">
        <v>585</v>
      </c>
      <c r="K31" s="212"/>
      <c r="L31" s="212"/>
      <c r="M31" s="36" t="s">
        <v>585</v>
      </c>
      <c r="N31" s="19" t="s">
        <v>2829</v>
      </c>
      <c r="O31" s="6" t="s">
        <v>585</v>
      </c>
      <c r="P31" s="212" t="s">
        <v>2830</v>
      </c>
      <c r="Q31" s="174" t="n">
        <f aca="false">Inputs!F18</f>
        <v>5.5</v>
      </c>
      <c r="R31" s="36" t="s">
        <v>585</v>
      </c>
      <c r="S31" s="35" t="str">
        <f aca="false">IF(ISNUMBER($AF31),INDEX(IDX_SrcStat,$AF31),"—")</f>
        <v>—</v>
      </c>
      <c r="T31" s="35" t="str">
        <f aca="false">IF(ISNUMBER($AF31),INDEX(IDX_SrcGrade,$AF31),"—")</f>
        <v>—</v>
      </c>
      <c r="U31" s="35" t="s">
        <v>2775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5" t="str">
        <f aca="false">IF(OR($H31="—",$H31=""),"—",MATCH($H31,IDX_SrcID,0))</f>
        <v>—</v>
      </c>
    </row>
    <row r="32" customFormat="false" ht="29.25" hidden="false" customHeight="true" outlineLevel="0" collapsed="false">
      <c r="A32" s="36" t="s">
        <v>2835</v>
      </c>
      <c r="B32" s="212" t="s">
        <v>2769</v>
      </c>
      <c r="C32" s="36" t="s">
        <v>2770</v>
      </c>
      <c r="D32" s="36" t="s">
        <v>2836</v>
      </c>
      <c r="E32" s="19" t="s">
        <v>104</v>
      </c>
      <c r="F32" s="36" t="s">
        <v>78</v>
      </c>
      <c r="G32" s="212" t="s">
        <v>63</v>
      </c>
      <c r="H32" s="36" t="s">
        <v>585</v>
      </c>
      <c r="I32" s="6" t="s">
        <v>585</v>
      </c>
      <c r="J32" s="36" t="s">
        <v>585</v>
      </c>
      <c r="K32" s="174" t="n">
        <f aca="false">Inputs!$D$19</f>
        <v>2</v>
      </c>
      <c r="L32" s="174" t="n">
        <f aca="false">Inputs!$F$19</f>
        <v>3.2</v>
      </c>
      <c r="M32" s="36" t="s">
        <v>585</v>
      </c>
      <c r="N32" s="213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585</v>
      </c>
      <c r="P32" s="212" t="s">
        <v>1113</v>
      </c>
      <c r="Q32" s="174" t="n">
        <f aca="false">Inputs!E19</f>
        <v>2.5</v>
      </c>
      <c r="R32" s="36" t="s">
        <v>585</v>
      </c>
      <c r="S32" s="35" t="str">
        <f aca="false">IF(ISNUMBER($AF32),INDEX(IDX_SrcStat,$AF32),"—")</f>
        <v>—</v>
      </c>
      <c r="T32" s="35" t="str">
        <f aca="false">IF(ISNUMBER($AF32),INDEX(IDX_SrcGrade,$AF32),"—")</f>
        <v>—</v>
      </c>
      <c r="U32" s="35" t="s">
        <v>2775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5" t="str">
        <f aca="false">IF(OR($H32="—",$H32=""),"—",MATCH($H32,IDX_SrcID,0))</f>
        <v>—</v>
      </c>
    </row>
    <row r="33" customFormat="false" ht="29.25" hidden="false" customHeight="true" outlineLevel="0" collapsed="false">
      <c r="A33" s="36" t="s">
        <v>2837</v>
      </c>
      <c r="B33" s="212" t="s">
        <v>2769</v>
      </c>
      <c r="C33" s="36" t="s">
        <v>2770</v>
      </c>
      <c r="D33" s="36" t="s">
        <v>2838</v>
      </c>
      <c r="E33" s="19" t="s">
        <v>104</v>
      </c>
      <c r="F33" s="36" t="s">
        <v>78</v>
      </c>
      <c r="G33" s="212" t="s">
        <v>1113</v>
      </c>
      <c r="H33" s="36" t="s">
        <v>585</v>
      </c>
      <c r="I33" s="6" t="s">
        <v>585</v>
      </c>
      <c r="J33" s="36" t="s">
        <v>585</v>
      </c>
      <c r="K33" s="212"/>
      <c r="L33" s="212"/>
      <c r="M33" s="36" t="s">
        <v>585</v>
      </c>
      <c r="N33" s="213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585</v>
      </c>
      <c r="P33" s="212" t="s">
        <v>1113</v>
      </c>
      <c r="Q33" s="174" t="n">
        <f aca="false">Inputs!D19</f>
        <v>2</v>
      </c>
      <c r="R33" s="36" t="s">
        <v>585</v>
      </c>
      <c r="S33" s="35" t="str">
        <f aca="false">IF(ISNUMBER($AF33),INDEX(IDX_SrcStat,$AF33),"—")</f>
        <v>—</v>
      </c>
      <c r="T33" s="35" t="str">
        <f aca="false">IF(ISNUMBER($AF33),INDEX(IDX_SrcGrade,$AF33),"—")</f>
        <v>—</v>
      </c>
      <c r="U33" s="35" t="s">
        <v>2775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5" t="str">
        <f aca="false">IF(OR($H33="—",$H33=""),"—",MATCH($H33,IDX_SrcID,0))</f>
        <v>—</v>
      </c>
    </row>
    <row r="34" customFormat="false" ht="29.25" hidden="false" customHeight="true" outlineLevel="0" collapsed="false">
      <c r="A34" s="36" t="s">
        <v>2839</v>
      </c>
      <c r="B34" s="212" t="s">
        <v>2769</v>
      </c>
      <c r="C34" s="36" t="s">
        <v>2770</v>
      </c>
      <c r="D34" s="36" t="s">
        <v>2840</v>
      </c>
      <c r="E34" s="19" t="s">
        <v>104</v>
      </c>
      <c r="F34" s="36" t="s">
        <v>78</v>
      </c>
      <c r="G34" s="212" t="s">
        <v>1114</v>
      </c>
      <c r="H34" s="36" t="s">
        <v>585</v>
      </c>
      <c r="I34" s="6" t="s">
        <v>585</v>
      </c>
      <c r="J34" s="36" t="s">
        <v>585</v>
      </c>
      <c r="K34" s="212"/>
      <c r="L34" s="212"/>
      <c r="M34" s="36" t="s">
        <v>585</v>
      </c>
      <c r="N34" s="213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585</v>
      </c>
      <c r="P34" s="212" t="s">
        <v>1113</v>
      </c>
      <c r="Q34" s="174" t="n">
        <f aca="false">Inputs!F19</f>
        <v>3.2</v>
      </c>
      <c r="R34" s="36" t="s">
        <v>585</v>
      </c>
      <c r="S34" s="35" t="str">
        <f aca="false">IF(ISNUMBER($AF34),INDEX(IDX_SrcStat,$AF34),"—")</f>
        <v>—</v>
      </c>
      <c r="T34" s="35" t="str">
        <f aca="false">IF(ISNUMBER($AF34),INDEX(IDX_SrcGrade,$AF34),"—")</f>
        <v>—</v>
      </c>
      <c r="U34" s="35" t="s">
        <v>2775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5" t="str">
        <f aca="false">IF(OR($H34="—",$H34=""),"—",MATCH($H34,IDX_SrcID,0))</f>
        <v>—</v>
      </c>
    </row>
    <row r="35" customFormat="false" ht="15" hidden="false" customHeight="true" outlineLevel="0" collapsed="false">
      <c r="A35" s="36" t="s">
        <v>2841</v>
      </c>
      <c r="B35" s="212" t="s">
        <v>2769</v>
      </c>
      <c r="C35" s="36" t="s">
        <v>2770</v>
      </c>
      <c r="D35" s="36" t="s">
        <v>2842</v>
      </c>
      <c r="E35" s="19" t="s">
        <v>106</v>
      </c>
      <c r="F35" s="36" t="s">
        <v>78</v>
      </c>
      <c r="G35" s="212" t="s">
        <v>63</v>
      </c>
      <c r="H35" s="36" t="s">
        <v>585</v>
      </c>
      <c r="I35" s="6" t="s">
        <v>585</v>
      </c>
      <c r="J35" s="36" t="s">
        <v>585</v>
      </c>
      <c r="K35" s="174" t="n">
        <f aca="false">Inputs!$D$20</f>
        <v>0.3</v>
      </c>
      <c r="L35" s="174" t="n">
        <f aca="false">Inputs!$F$20</f>
        <v>0.5</v>
      </c>
      <c r="M35" s="36" t="s">
        <v>585</v>
      </c>
      <c r="N35" s="19" t="s">
        <v>2843</v>
      </c>
      <c r="O35" s="6" t="s">
        <v>585</v>
      </c>
      <c r="P35" s="212" t="s">
        <v>1113</v>
      </c>
      <c r="Q35" s="174" t="n">
        <f aca="false">Inputs!E20</f>
        <v>0.4</v>
      </c>
      <c r="R35" s="36" t="s">
        <v>585</v>
      </c>
      <c r="S35" s="35" t="str">
        <f aca="false">IF(ISNUMBER($AF35),INDEX(IDX_SrcStat,$AF35),"—")</f>
        <v>—</v>
      </c>
      <c r="T35" s="35" t="str">
        <f aca="false">IF(ISNUMBER($AF35),INDEX(IDX_SrcGrade,$AF35),"—")</f>
        <v>—</v>
      </c>
      <c r="U35" s="35" t="s">
        <v>2775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5" t="str">
        <f aca="false">IF(OR($H35="—",$H35=""),"—",MATCH($H35,IDX_SrcID,0))</f>
        <v>—</v>
      </c>
    </row>
    <row r="36" customFormat="false" ht="15" hidden="false" customHeight="true" outlineLevel="0" collapsed="false">
      <c r="A36" s="36" t="s">
        <v>2844</v>
      </c>
      <c r="B36" s="212" t="s">
        <v>2769</v>
      </c>
      <c r="C36" s="36" t="s">
        <v>2770</v>
      </c>
      <c r="D36" s="36" t="s">
        <v>2845</v>
      </c>
      <c r="E36" s="19" t="s">
        <v>106</v>
      </c>
      <c r="F36" s="36" t="s">
        <v>78</v>
      </c>
      <c r="G36" s="212" t="s">
        <v>1113</v>
      </c>
      <c r="H36" s="36" t="s">
        <v>585</v>
      </c>
      <c r="I36" s="6" t="s">
        <v>585</v>
      </c>
      <c r="J36" s="36" t="s">
        <v>585</v>
      </c>
      <c r="K36" s="212"/>
      <c r="L36" s="212"/>
      <c r="M36" s="36" t="s">
        <v>585</v>
      </c>
      <c r="N36" s="19" t="s">
        <v>2843</v>
      </c>
      <c r="O36" s="6" t="s">
        <v>585</v>
      </c>
      <c r="P36" s="212" t="s">
        <v>1113</v>
      </c>
      <c r="Q36" s="174" t="n">
        <f aca="false">Inputs!D20</f>
        <v>0.3</v>
      </c>
      <c r="R36" s="36" t="s">
        <v>585</v>
      </c>
      <c r="S36" s="35" t="str">
        <f aca="false">IF(ISNUMBER($AF36),INDEX(IDX_SrcStat,$AF36),"—")</f>
        <v>—</v>
      </c>
      <c r="T36" s="35" t="str">
        <f aca="false">IF(ISNUMBER($AF36),INDEX(IDX_SrcGrade,$AF36),"—")</f>
        <v>—</v>
      </c>
      <c r="U36" s="35" t="s">
        <v>2775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5" t="str">
        <f aca="false">IF(OR($H36="—",$H36=""),"—",MATCH($H36,IDX_SrcID,0))</f>
        <v>—</v>
      </c>
    </row>
    <row r="37" customFormat="false" ht="15" hidden="false" customHeight="true" outlineLevel="0" collapsed="false">
      <c r="A37" s="36" t="s">
        <v>2846</v>
      </c>
      <c r="B37" s="212" t="s">
        <v>2769</v>
      </c>
      <c r="C37" s="36" t="s">
        <v>2770</v>
      </c>
      <c r="D37" s="36" t="s">
        <v>2847</v>
      </c>
      <c r="E37" s="19" t="s">
        <v>106</v>
      </c>
      <c r="F37" s="36" t="s">
        <v>78</v>
      </c>
      <c r="G37" s="212" t="s">
        <v>1114</v>
      </c>
      <c r="H37" s="36" t="s">
        <v>585</v>
      </c>
      <c r="I37" s="6" t="s">
        <v>585</v>
      </c>
      <c r="J37" s="36" t="s">
        <v>585</v>
      </c>
      <c r="K37" s="212"/>
      <c r="L37" s="212"/>
      <c r="M37" s="36" t="s">
        <v>585</v>
      </c>
      <c r="N37" s="19" t="s">
        <v>2843</v>
      </c>
      <c r="O37" s="6" t="s">
        <v>585</v>
      </c>
      <c r="P37" s="212" t="s">
        <v>1113</v>
      </c>
      <c r="Q37" s="174" t="n">
        <f aca="false">Inputs!F20</f>
        <v>0.5</v>
      </c>
      <c r="R37" s="36" t="s">
        <v>585</v>
      </c>
      <c r="S37" s="35" t="str">
        <f aca="false">IF(ISNUMBER($AF37),INDEX(IDX_SrcStat,$AF37),"—")</f>
        <v>—</v>
      </c>
      <c r="T37" s="35" t="str">
        <f aca="false">IF(ISNUMBER($AF37),INDEX(IDX_SrcGrade,$AF37),"—")</f>
        <v>—</v>
      </c>
      <c r="U37" s="35" t="s">
        <v>2775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5" t="str">
        <f aca="false">IF(OR($H37="—",$H37=""),"—",MATCH($H37,IDX_SrcID,0))</f>
        <v>—</v>
      </c>
    </row>
    <row r="38" customFormat="false" ht="15" hidden="false" customHeight="true" outlineLevel="0" collapsed="false">
      <c r="A38" s="36" t="s">
        <v>2848</v>
      </c>
      <c r="B38" s="212" t="s">
        <v>2769</v>
      </c>
      <c r="C38" s="36" t="s">
        <v>2770</v>
      </c>
      <c r="D38" s="36" t="s">
        <v>2849</v>
      </c>
      <c r="E38" s="19" t="s">
        <v>107</v>
      </c>
      <c r="F38" s="36" t="s">
        <v>78</v>
      </c>
      <c r="G38" s="212" t="s">
        <v>63</v>
      </c>
      <c r="H38" s="36" t="s">
        <v>585</v>
      </c>
      <c r="I38" s="6" t="s">
        <v>585</v>
      </c>
      <c r="J38" s="36" t="s">
        <v>585</v>
      </c>
      <c r="K38" s="178" t="n">
        <f aca="false">Inputs!$D$21</f>
        <v>0.12</v>
      </c>
      <c r="L38" s="178" t="n">
        <f aca="false">Inputs!$F$21</f>
        <v>0.18</v>
      </c>
      <c r="M38" s="36" t="s">
        <v>585</v>
      </c>
      <c r="N38" s="6" t="s">
        <v>2850</v>
      </c>
      <c r="O38" s="6" t="s">
        <v>585</v>
      </c>
      <c r="P38" s="212" t="s">
        <v>1113</v>
      </c>
      <c r="Q38" s="178" t="n">
        <f aca="false">Inputs!E21</f>
        <v>0.15</v>
      </c>
      <c r="R38" s="36" t="s">
        <v>585</v>
      </c>
      <c r="S38" s="35" t="str">
        <f aca="false">IF(ISNUMBER($AF38),INDEX(IDX_SrcStat,$AF38),"—")</f>
        <v>—</v>
      </c>
      <c r="T38" s="35" t="str">
        <f aca="false">IF(ISNUMBER($AF38),INDEX(IDX_SrcGrade,$AF38),"—")</f>
        <v>—</v>
      </c>
      <c r="U38" s="35" t="s">
        <v>2775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5" t="str">
        <f aca="false">IF(OR($H38="—",$H38=""),"—",MATCH($H38,IDX_SrcID,0))</f>
        <v>—</v>
      </c>
    </row>
    <row r="39" customFormat="false" ht="15" hidden="false" customHeight="true" outlineLevel="0" collapsed="false">
      <c r="A39" s="36" t="s">
        <v>2851</v>
      </c>
      <c r="B39" s="212" t="s">
        <v>2769</v>
      </c>
      <c r="C39" s="36" t="s">
        <v>2770</v>
      </c>
      <c r="D39" s="36" t="s">
        <v>2852</v>
      </c>
      <c r="E39" s="19" t="s">
        <v>107</v>
      </c>
      <c r="F39" s="36" t="s">
        <v>78</v>
      </c>
      <c r="G39" s="212" t="s">
        <v>1113</v>
      </c>
      <c r="H39" s="36" t="s">
        <v>585</v>
      </c>
      <c r="I39" s="6" t="s">
        <v>585</v>
      </c>
      <c r="J39" s="36" t="s">
        <v>585</v>
      </c>
      <c r="K39" s="212"/>
      <c r="L39" s="212"/>
      <c r="M39" s="36" t="s">
        <v>585</v>
      </c>
      <c r="N39" s="6" t="s">
        <v>2850</v>
      </c>
      <c r="O39" s="6" t="s">
        <v>585</v>
      </c>
      <c r="P39" s="212" t="s">
        <v>1113</v>
      </c>
      <c r="Q39" s="178" t="n">
        <f aca="false">Inputs!D21</f>
        <v>0.12</v>
      </c>
      <c r="R39" s="36" t="s">
        <v>585</v>
      </c>
      <c r="S39" s="35" t="str">
        <f aca="false">IF(ISNUMBER($AF39),INDEX(IDX_SrcStat,$AF39),"—")</f>
        <v>—</v>
      </c>
      <c r="T39" s="35" t="str">
        <f aca="false">IF(ISNUMBER($AF39),INDEX(IDX_SrcGrade,$AF39),"—")</f>
        <v>—</v>
      </c>
      <c r="U39" s="35" t="s">
        <v>2775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5" t="str">
        <f aca="false">IF(OR($H39="—",$H39=""),"—",MATCH($H39,IDX_SrcID,0))</f>
        <v>—</v>
      </c>
    </row>
    <row r="40" customFormat="false" ht="15" hidden="false" customHeight="true" outlineLevel="0" collapsed="false">
      <c r="A40" s="36" t="s">
        <v>2853</v>
      </c>
      <c r="B40" s="212" t="s">
        <v>2769</v>
      </c>
      <c r="C40" s="36" t="s">
        <v>2770</v>
      </c>
      <c r="D40" s="36" t="s">
        <v>2854</v>
      </c>
      <c r="E40" s="19" t="s">
        <v>107</v>
      </c>
      <c r="F40" s="36" t="s">
        <v>78</v>
      </c>
      <c r="G40" s="212" t="s">
        <v>1114</v>
      </c>
      <c r="H40" s="36" t="s">
        <v>585</v>
      </c>
      <c r="I40" s="6" t="s">
        <v>585</v>
      </c>
      <c r="J40" s="36" t="s">
        <v>585</v>
      </c>
      <c r="K40" s="212"/>
      <c r="L40" s="212"/>
      <c r="M40" s="36" t="s">
        <v>585</v>
      </c>
      <c r="N40" s="6" t="s">
        <v>2850</v>
      </c>
      <c r="O40" s="6" t="s">
        <v>585</v>
      </c>
      <c r="P40" s="212" t="s">
        <v>1113</v>
      </c>
      <c r="Q40" s="178" t="n">
        <f aca="false">Inputs!F21</f>
        <v>0.18</v>
      </c>
      <c r="R40" s="36" t="s">
        <v>585</v>
      </c>
      <c r="S40" s="35" t="str">
        <f aca="false">IF(ISNUMBER($AF40),INDEX(IDX_SrcStat,$AF40),"—")</f>
        <v>—</v>
      </c>
      <c r="T40" s="35" t="str">
        <f aca="false">IF(ISNUMBER($AF40),INDEX(IDX_SrcGrade,$AF40),"—")</f>
        <v>—</v>
      </c>
      <c r="U40" s="35" t="s">
        <v>2775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5" t="str">
        <f aca="false">IF(OR($H40="—",$H40=""),"—",MATCH($H40,IDX_SrcID,0))</f>
        <v>—</v>
      </c>
    </row>
    <row r="41" customFormat="false" ht="29.25" hidden="false" customHeight="true" outlineLevel="0" collapsed="false">
      <c r="A41" s="36" t="s">
        <v>2855</v>
      </c>
      <c r="B41" s="212" t="s">
        <v>2769</v>
      </c>
      <c r="C41" s="36" t="s">
        <v>2770</v>
      </c>
      <c r="D41" s="36" t="s">
        <v>2856</v>
      </c>
      <c r="E41" s="6" t="s">
        <v>120</v>
      </c>
      <c r="F41" s="36" t="s">
        <v>78</v>
      </c>
      <c r="G41" s="212" t="s">
        <v>63</v>
      </c>
      <c r="H41" s="36" t="s">
        <v>585</v>
      </c>
      <c r="I41" s="6" t="s">
        <v>585</v>
      </c>
      <c r="J41" s="36" t="s">
        <v>2789</v>
      </c>
      <c r="K41" s="178" t="n">
        <f aca="false">Inputs!$D$28</f>
        <v>0.08</v>
      </c>
      <c r="L41" s="178" t="n">
        <f aca="false">Inputs!$F$28</f>
        <v>0.13</v>
      </c>
      <c r="M41" s="36" t="s">
        <v>585</v>
      </c>
      <c r="N41" s="213" t="str">
        <f aca="false">Inputs!$H$28</f>
        <v>與擁有者無關的單一假設；下游公司模型以自身 WACC 覆寫（Andy 2026-09-30 決定）</v>
      </c>
      <c r="O41" s="6" t="s">
        <v>585</v>
      </c>
      <c r="P41" s="212" t="s">
        <v>2830</v>
      </c>
      <c r="Q41" s="178" t="n">
        <f aca="false">Inputs!E28</f>
        <v>0.1</v>
      </c>
      <c r="R41" s="36" t="s">
        <v>585</v>
      </c>
      <c r="S41" s="35" t="str">
        <f aca="false">IF(ISNUMBER($AF41),INDEX(IDX_SrcStat,$AF41),"—")</f>
        <v>—</v>
      </c>
      <c r="T41" s="35" t="str">
        <f aca="false">IF(ISNUMBER($AF41),INDEX(IDX_SrcGrade,$AF41),"—")</f>
        <v>—</v>
      </c>
      <c r="U41" s="35" t="s">
        <v>2775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5" t="str">
        <f aca="false">IF(OR($H41="—",$H41=""),"—",MATCH($H41,IDX_SrcID,0))</f>
        <v>—</v>
      </c>
    </row>
    <row r="42" customFormat="false" ht="29.25" hidden="false" customHeight="true" outlineLevel="0" collapsed="false">
      <c r="A42" s="36" t="s">
        <v>2857</v>
      </c>
      <c r="B42" s="212" t="s">
        <v>2769</v>
      </c>
      <c r="C42" s="36" t="s">
        <v>2770</v>
      </c>
      <c r="D42" s="36" t="s">
        <v>2858</v>
      </c>
      <c r="E42" s="6" t="s">
        <v>120</v>
      </c>
      <c r="F42" s="36" t="s">
        <v>78</v>
      </c>
      <c r="G42" s="212" t="s">
        <v>1113</v>
      </c>
      <c r="H42" s="36" t="s">
        <v>585</v>
      </c>
      <c r="I42" s="6" t="s">
        <v>585</v>
      </c>
      <c r="J42" s="36" t="s">
        <v>585</v>
      </c>
      <c r="K42" s="212"/>
      <c r="L42" s="212"/>
      <c r="M42" s="36" t="s">
        <v>585</v>
      </c>
      <c r="N42" s="213" t="str">
        <f aca="false">Inputs!$H$28</f>
        <v>與擁有者無關的單一假設；下游公司模型以自身 WACC 覆寫（Andy 2026-09-30 決定）</v>
      </c>
      <c r="O42" s="6" t="s">
        <v>585</v>
      </c>
      <c r="P42" s="212" t="s">
        <v>2830</v>
      </c>
      <c r="Q42" s="178" t="n">
        <f aca="false">Inputs!D28</f>
        <v>0.08</v>
      </c>
      <c r="R42" s="36" t="s">
        <v>585</v>
      </c>
      <c r="S42" s="35" t="str">
        <f aca="false">IF(ISNUMBER($AF42),INDEX(IDX_SrcStat,$AF42),"—")</f>
        <v>—</v>
      </c>
      <c r="T42" s="35" t="str">
        <f aca="false">IF(ISNUMBER($AF42),INDEX(IDX_SrcGrade,$AF42),"—")</f>
        <v>—</v>
      </c>
      <c r="U42" s="35" t="s">
        <v>2775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5" t="str">
        <f aca="false">IF(OR($H42="—",$H42=""),"—",MATCH($H42,IDX_SrcID,0))</f>
        <v>—</v>
      </c>
    </row>
    <row r="43" customFormat="false" ht="29.25" hidden="false" customHeight="true" outlineLevel="0" collapsed="false">
      <c r="A43" s="36" t="s">
        <v>2859</v>
      </c>
      <c r="B43" s="212" t="s">
        <v>2769</v>
      </c>
      <c r="C43" s="36" t="s">
        <v>2770</v>
      </c>
      <c r="D43" s="36" t="s">
        <v>2860</v>
      </c>
      <c r="E43" s="6" t="s">
        <v>120</v>
      </c>
      <c r="F43" s="36" t="s">
        <v>78</v>
      </c>
      <c r="G43" s="212" t="s">
        <v>1114</v>
      </c>
      <c r="H43" s="36" t="s">
        <v>585</v>
      </c>
      <c r="I43" s="6" t="s">
        <v>585</v>
      </c>
      <c r="J43" s="36" t="s">
        <v>585</v>
      </c>
      <c r="K43" s="212"/>
      <c r="L43" s="212"/>
      <c r="M43" s="36" t="s">
        <v>585</v>
      </c>
      <c r="N43" s="213" t="str">
        <f aca="false">Inputs!$H$28</f>
        <v>與擁有者無關的單一假設；下游公司模型以自身 WACC 覆寫（Andy 2026-09-30 決定）</v>
      </c>
      <c r="O43" s="6" t="s">
        <v>585</v>
      </c>
      <c r="P43" s="212" t="s">
        <v>2830</v>
      </c>
      <c r="Q43" s="178" t="n">
        <f aca="false">Inputs!F28</f>
        <v>0.13</v>
      </c>
      <c r="R43" s="36" t="s">
        <v>585</v>
      </c>
      <c r="S43" s="35" t="str">
        <f aca="false">IF(ISNUMBER($AF43),INDEX(IDX_SrcStat,$AF43),"—")</f>
        <v>—</v>
      </c>
      <c r="T43" s="35" t="str">
        <f aca="false">IF(ISNUMBER($AF43),INDEX(IDX_SrcGrade,$AF43),"—")</f>
        <v>—</v>
      </c>
      <c r="U43" s="35" t="s">
        <v>2775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5" t="str">
        <f aca="false">IF(OR($H43="—",$H43=""),"—",MATCH($H43,IDX_SrcID,0))</f>
        <v>—</v>
      </c>
    </row>
    <row r="44" customFormat="false" ht="29.25" hidden="false" customHeight="true" outlineLevel="0" collapsed="false">
      <c r="A44" s="36" t="s">
        <v>2861</v>
      </c>
      <c r="B44" s="212" t="s">
        <v>2769</v>
      </c>
      <c r="C44" s="36" t="s">
        <v>2770</v>
      </c>
      <c r="D44" s="36" t="s">
        <v>2862</v>
      </c>
      <c r="E44" s="6" t="s">
        <v>123</v>
      </c>
      <c r="F44" s="36" t="s">
        <v>78</v>
      </c>
      <c r="G44" s="212" t="s">
        <v>63</v>
      </c>
      <c r="H44" s="36" t="s">
        <v>585</v>
      </c>
      <c r="I44" s="6" t="s">
        <v>585</v>
      </c>
      <c r="J44" s="36" t="s">
        <v>585</v>
      </c>
      <c r="K44" s="178" t="n">
        <f aca="false">Inputs!$D$30</f>
        <v>0.02</v>
      </c>
      <c r="L44" s="178" t="n">
        <f aca="false">Inputs!$F$30</f>
        <v>0.04</v>
      </c>
      <c r="M44" s="36" t="s">
        <v>585</v>
      </c>
      <c r="N44" s="6" t="s">
        <v>2863</v>
      </c>
      <c r="O44" s="6" t="s">
        <v>2864</v>
      </c>
      <c r="P44" s="212" t="s">
        <v>1113</v>
      </c>
      <c r="Q44" s="178" t="n">
        <f aca="false">Inputs!E30</f>
        <v>0.03</v>
      </c>
      <c r="R44" s="36" t="s">
        <v>585</v>
      </c>
      <c r="S44" s="35" t="str">
        <f aca="false">IF(ISNUMBER($AF44),INDEX(IDX_SrcStat,$AF44),"—")</f>
        <v>—</v>
      </c>
      <c r="T44" s="35" t="str">
        <f aca="false">IF(ISNUMBER($AF44),INDEX(IDX_SrcGrade,$AF44),"—")</f>
        <v>—</v>
      </c>
      <c r="U44" s="35" t="s">
        <v>2775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5" t="str">
        <f aca="false">IF(OR($H44="—",$H44=""),"—",MATCH($H44,IDX_SrcID,0))</f>
        <v>—</v>
      </c>
    </row>
    <row r="45" customFormat="false" ht="29.25" hidden="false" customHeight="true" outlineLevel="0" collapsed="false">
      <c r="A45" s="36" t="s">
        <v>2865</v>
      </c>
      <c r="B45" s="212" t="s">
        <v>2769</v>
      </c>
      <c r="C45" s="36" t="s">
        <v>2770</v>
      </c>
      <c r="D45" s="36" t="s">
        <v>2866</v>
      </c>
      <c r="E45" s="6" t="s">
        <v>123</v>
      </c>
      <c r="F45" s="36" t="s">
        <v>78</v>
      </c>
      <c r="G45" s="212" t="s">
        <v>1113</v>
      </c>
      <c r="H45" s="36" t="s">
        <v>585</v>
      </c>
      <c r="I45" s="6" t="s">
        <v>585</v>
      </c>
      <c r="J45" s="36" t="s">
        <v>585</v>
      </c>
      <c r="K45" s="212"/>
      <c r="L45" s="212"/>
      <c r="M45" s="36" t="s">
        <v>585</v>
      </c>
      <c r="N45" s="6" t="s">
        <v>2863</v>
      </c>
      <c r="O45" s="6" t="s">
        <v>2864</v>
      </c>
      <c r="P45" s="212" t="s">
        <v>1113</v>
      </c>
      <c r="Q45" s="178" t="n">
        <f aca="false">Inputs!D30</f>
        <v>0.02</v>
      </c>
      <c r="R45" s="36" t="s">
        <v>585</v>
      </c>
      <c r="S45" s="35" t="str">
        <f aca="false">IF(ISNUMBER($AF45),INDEX(IDX_SrcStat,$AF45),"—")</f>
        <v>—</v>
      </c>
      <c r="T45" s="35" t="str">
        <f aca="false">IF(ISNUMBER($AF45),INDEX(IDX_SrcGrade,$AF45),"—")</f>
        <v>—</v>
      </c>
      <c r="U45" s="35" t="s">
        <v>2775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5" t="str">
        <f aca="false">IF(OR($H45="—",$H45=""),"—",MATCH($H45,IDX_SrcID,0))</f>
        <v>—</v>
      </c>
    </row>
    <row r="46" customFormat="false" ht="29.25" hidden="false" customHeight="true" outlineLevel="0" collapsed="false">
      <c r="A46" s="36" t="s">
        <v>2867</v>
      </c>
      <c r="B46" s="212" t="s">
        <v>2769</v>
      </c>
      <c r="C46" s="36" t="s">
        <v>2770</v>
      </c>
      <c r="D46" s="36" t="s">
        <v>2868</v>
      </c>
      <c r="E46" s="6" t="s">
        <v>123</v>
      </c>
      <c r="F46" s="36" t="s">
        <v>78</v>
      </c>
      <c r="G46" s="212" t="s">
        <v>1114</v>
      </c>
      <c r="H46" s="36" t="s">
        <v>585</v>
      </c>
      <c r="I46" s="6" t="s">
        <v>585</v>
      </c>
      <c r="J46" s="36" t="s">
        <v>585</v>
      </c>
      <c r="K46" s="212"/>
      <c r="L46" s="212"/>
      <c r="M46" s="36" t="s">
        <v>585</v>
      </c>
      <c r="N46" s="6" t="s">
        <v>2863</v>
      </c>
      <c r="O46" s="6" t="s">
        <v>2864</v>
      </c>
      <c r="P46" s="212" t="s">
        <v>1113</v>
      </c>
      <c r="Q46" s="178" t="n">
        <f aca="false">Inputs!F30</f>
        <v>0.04</v>
      </c>
      <c r="R46" s="36" t="s">
        <v>585</v>
      </c>
      <c r="S46" s="35" t="str">
        <f aca="false">IF(ISNUMBER($AF46),INDEX(IDX_SrcStat,$AF46),"—")</f>
        <v>—</v>
      </c>
      <c r="T46" s="35" t="str">
        <f aca="false">IF(ISNUMBER($AF46),INDEX(IDX_SrcGrade,$AF46),"—")</f>
        <v>—</v>
      </c>
      <c r="U46" s="35" t="s">
        <v>2775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5" t="str">
        <f aca="false">IF(OR($H46="—",$H46=""),"—",MATCH($H46,IDX_SrcID,0))</f>
        <v>—</v>
      </c>
    </row>
    <row r="47" customFormat="false" ht="29.25" hidden="false" customHeight="true" outlineLevel="0" collapsed="false">
      <c r="A47" s="36" t="s">
        <v>2869</v>
      </c>
      <c r="B47" s="212" t="s">
        <v>2769</v>
      </c>
      <c r="C47" s="36" t="s">
        <v>2770</v>
      </c>
      <c r="D47" s="36" t="s">
        <v>2870</v>
      </c>
      <c r="E47" s="19" t="s">
        <v>126</v>
      </c>
      <c r="F47" s="36" t="s">
        <v>78</v>
      </c>
      <c r="G47" s="212" t="s">
        <v>63</v>
      </c>
      <c r="H47" s="36" t="s">
        <v>585</v>
      </c>
      <c r="I47" s="6" t="s">
        <v>585</v>
      </c>
      <c r="J47" s="36" t="s">
        <v>585</v>
      </c>
      <c r="K47" s="178" t="n">
        <f aca="false">Inputs!$D$31</f>
        <v>0.015</v>
      </c>
      <c r="L47" s="178" t="n">
        <f aca="false">Inputs!$F$31</f>
        <v>0.025</v>
      </c>
      <c r="M47" s="36" t="s">
        <v>585</v>
      </c>
      <c r="N47" s="6" t="s">
        <v>128</v>
      </c>
      <c r="O47" s="6" t="s">
        <v>2871</v>
      </c>
      <c r="P47" s="212" t="s">
        <v>1113</v>
      </c>
      <c r="Q47" s="178" t="n">
        <f aca="false">Inputs!E31</f>
        <v>0.02</v>
      </c>
      <c r="R47" s="36" t="s">
        <v>585</v>
      </c>
      <c r="S47" s="35" t="str">
        <f aca="false">IF(ISNUMBER($AF47),INDEX(IDX_SrcStat,$AF47),"—")</f>
        <v>—</v>
      </c>
      <c r="T47" s="35" t="str">
        <f aca="false">IF(ISNUMBER($AF47),INDEX(IDX_SrcGrade,$AF47),"—")</f>
        <v>—</v>
      </c>
      <c r="U47" s="35" t="s">
        <v>2775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5" t="str">
        <f aca="false">IF(OR($H47="—",$H47=""),"—",MATCH($H47,IDX_SrcID,0))</f>
        <v>—</v>
      </c>
    </row>
    <row r="48" customFormat="false" ht="29.25" hidden="false" customHeight="true" outlineLevel="0" collapsed="false">
      <c r="A48" s="36" t="s">
        <v>2872</v>
      </c>
      <c r="B48" s="212" t="s">
        <v>2769</v>
      </c>
      <c r="C48" s="36" t="s">
        <v>2770</v>
      </c>
      <c r="D48" s="36" t="s">
        <v>2873</v>
      </c>
      <c r="E48" s="19" t="s">
        <v>126</v>
      </c>
      <c r="F48" s="36" t="s">
        <v>78</v>
      </c>
      <c r="G48" s="212" t="s">
        <v>1113</v>
      </c>
      <c r="H48" s="36" t="s">
        <v>585</v>
      </c>
      <c r="I48" s="6" t="s">
        <v>585</v>
      </c>
      <c r="J48" s="36" t="s">
        <v>585</v>
      </c>
      <c r="K48" s="212"/>
      <c r="L48" s="212"/>
      <c r="M48" s="36" t="s">
        <v>585</v>
      </c>
      <c r="N48" s="6" t="s">
        <v>128</v>
      </c>
      <c r="O48" s="6" t="s">
        <v>2871</v>
      </c>
      <c r="P48" s="212" t="s">
        <v>1113</v>
      </c>
      <c r="Q48" s="178" t="n">
        <f aca="false">Inputs!D31</f>
        <v>0.015</v>
      </c>
      <c r="R48" s="36" t="s">
        <v>585</v>
      </c>
      <c r="S48" s="35" t="str">
        <f aca="false">IF(ISNUMBER($AF48),INDEX(IDX_SrcStat,$AF48),"—")</f>
        <v>—</v>
      </c>
      <c r="T48" s="35" t="str">
        <f aca="false">IF(ISNUMBER($AF48),INDEX(IDX_SrcGrade,$AF48),"—")</f>
        <v>—</v>
      </c>
      <c r="U48" s="35" t="s">
        <v>2775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5" t="str">
        <f aca="false">IF(OR($H48="—",$H48=""),"—",MATCH($H48,IDX_SrcID,0))</f>
        <v>—</v>
      </c>
    </row>
    <row r="49" customFormat="false" ht="29.25" hidden="false" customHeight="true" outlineLevel="0" collapsed="false">
      <c r="A49" s="36" t="s">
        <v>2874</v>
      </c>
      <c r="B49" s="212" t="s">
        <v>2769</v>
      </c>
      <c r="C49" s="36" t="s">
        <v>2770</v>
      </c>
      <c r="D49" s="36" t="s">
        <v>2875</v>
      </c>
      <c r="E49" s="19" t="s">
        <v>126</v>
      </c>
      <c r="F49" s="36" t="s">
        <v>78</v>
      </c>
      <c r="G49" s="212" t="s">
        <v>1114</v>
      </c>
      <c r="H49" s="36" t="s">
        <v>585</v>
      </c>
      <c r="I49" s="6" t="s">
        <v>585</v>
      </c>
      <c r="J49" s="36" t="s">
        <v>585</v>
      </c>
      <c r="K49" s="212"/>
      <c r="L49" s="212"/>
      <c r="M49" s="36" t="s">
        <v>585</v>
      </c>
      <c r="N49" s="6" t="s">
        <v>128</v>
      </c>
      <c r="O49" s="6" t="s">
        <v>2871</v>
      </c>
      <c r="P49" s="212" t="s">
        <v>1113</v>
      </c>
      <c r="Q49" s="178" t="n">
        <f aca="false">Inputs!F31</f>
        <v>0.025</v>
      </c>
      <c r="R49" s="36" t="s">
        <v>585</v>
      </c>
      <c r="S49" s="35" t="str">
        <f aca="false">IF(ISNUMBER($AF49),INDEX(IDX_SrcStat,$AF49),"—")</f>
        <v>—</v>
      </c>
      <c r="T49" s="35" t="str">
        <f aca="false">IF(ISNUMBER($AF49),INDEX(IDX_SrcGrade,$AF49),"—")</f>
        <v>—</v>
      </c>
      <c r="U49" s="35" t="s">
        <v>2775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5" t="str">
        <f aca="false">IF(OR($H49="—",$H49=""),"—",MATCH($H49,IDX_SrcID,0))</f>
        <v>—</v>
      </c>
    </row>
    <row r="50" customFormat="false" ht="15" hidden="false" customHeight="true" outlineLevel="0" collapsed="false">
      <c r="A50" s="36" t="s">
        <v>2876</v>
      </c>
      <c r="B50" s="212" t="s">
        <v>2769</v>
      </c>
      <c r="C50" s="36" t="s">
        <v>2770</v>
      </c>
      <c r="D50" s="36" t="s">
        <v>2877</v>
      </c>
      <c r="E50" s="19" t="s">
        <v>129</v>
      </c>
      <c r="F50" s="36" t="s">
        <v>78</v>
      </c>
      <c r="G50" s="212" t="s">
        <v>63</v>
      </c>
      <c r="H50" s="36" t="s">
        <v>585</v>
      </c>
      <c r="I50" s="6" t="s">
        <v>585</v>
      </c>
      <c r="J50" s="36" t="s">
        <v>585</v>
      </c>
      <c r="K50" s="41" t="n">
        <f aca="false">Inputs!$D$32</f>
        <v>50</v>
      </c>
      <c r="L50" s="41" t="n">
        <f aca="false">Inputs!$F$32</f>
        <v>100</v>
      </c>
      <c r="M50" s="36" t="s">
        <v>585</v>
      </c>
      <c r="N50" s="213" t="str">
        <f aca="false">Inputs!$H$32</f>
        <v>v4：500 FTE × $150K</v>
      </c>
      <c r="O50" s="6" t="s">
        <v>585</v>
      </c>
      <c r="P50" s="212" t="s">
        <v>1113</v>
      </c>
      <c r="Q50" s="41" t="n">
        <f aca="false">Inputs!E32</f>
        <v>75</v>
      </c>
      <c r="R50" s="36" t="s">
        <v>585</v>
      </c>
      <c r="S50" s="35" t="str">
        <f aca="false">IF(ISNUMBER($AF50),INDEX(IDX_SrcStat,$AF50),"—")</f>
        <v>—</v>
      </c>
      <c r="T50" s="35" t="str">
        <f aca="false">IF(ISNUMBER($AF50),INDEX(IDX_SrcGrade,$AF50),"—")</f>
        <v>—</v>
      </c>
      <c r="U50" s="35" t="s">
        <v>2775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5" t="str">
        <f aca="false">IF(OR($H50="—",$H50=""),"—",MATCH($H50,IDX_SrcID,0))</f>
        <v>—</v>
      </c>
    </row>
    <row r="51" customFormat="false" ht="15" hidden="false" customHeight="true" outlineLevel="0" collapsed="false">
      <c r="A51" s="36" t="s">
        <v>2878</v>
      </c>
      <c r="B51" s="212" t="s">
        <v>2769</v>
      </c>
      <c r="C51" s="36" t="s">
        <v>2770</v>
      </c>
      <c r="D51" s="36" t="s">
        <v>2879</v>
      </c>
      <c r="E51" s="19" t="s">
        <v>129</v>
      </c>
      <c r="F51" s="36" t="s">
        <v>78</v>
      </c>
      <c r="G51" s="212" t="s">
        <v>1113</v>
      </c>
      <c r="H51" s="36" t="s">
        <v>585</v>
      </c>
      <c r="I51" s="6" t="s">
        <v>585</v>
      </c>
      <c r="J51" s="36" t="s">
        <v>585</v>
      </c>
      <c r="K51" s="212"/>
      <c r="L51" s="212"/>
      <c r="M51" s="36" t="s">
        <v>585</v>
      </c>
      <c r="N51" s="213" t="str">
        <f aca="false">Inputs!$H$32</f>
        <v>v4：500 FTE × $150K</v>
      </c>
      <c r="O51" s="6" t="s">
        <v>585</v>
      </c>
      <c r="P51" s="212" t="s">
        <v>1113</v>
      </c>
      <c r="Q51" s="41" t="n">
        <f aca="false">Inputs!D32</f>
        <v>50</v>
      </c>
      <c r="R51" s="36" t="s">
        <v>585</v>
      </c>
      <c r="S51" s="35" t="str">
        <f aca="false">IF(ISNUMBER($AF51),INDEX(IDX_SrcStat,$AF51),"—")</f>
        <v>—</v>
      </c>
      <c r="T51" s="35" t="str">
        <f aca="false">IF(ISNUMBER($AF51),INDEX(IDX_SrcGrade,$AF51),"—")</f>
        <v>—</v>
      </c>
      <c r="U51" s="35" t="s">
        <v>2775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5" t="str">
        <f aca="false">IF(OR($H51="—",$H51=""),"—",MATCH($H51,IDX_SrcID,0))</f>
        <v>—</v>
      </c>
    </row>
    <row r="52" customFormat="false" ht="15" hidden="false" customHeight="true" outlineLevel="0" collapsed="false">
      <c r="A52" s="36" t="s">
        <v>2880</v>
      </c>
      <c r="B52" s="212" t="s">
        <v>2769</v>
      </c>
      <c r="C52" s="36" t="s">
        <v>2770</v>
      </c>
      <c r="D52" s="36" t="s">
        <v>2881</v>
      </c>
      <c r="E52" s="19" t="s">
        <v>129</v>
      </c>
      <c r="F52" s="36" t="s">
        <v>78</v>
      </c>
      <c r="G52" s="212" t="s">
        <v>1114</v>
      </c>
      <c r="H52" s="36" t="s">
        <v>585</v>
      </c>
      <c r="I52" s="6" t="s">
        <v>585</v>
      </c>
      <c r="J52" s="36" t="s">
        <v>585</v>
      </c>
      <c r="K52" s="212"/>
      <c r="L52" s="212"/>
      <c r="M52" s="36" t="s">
        <v>585</v>
      </c>
      <c r="N52" s="213" t="str">
        <f aca="false">Inputs!$H$32</f>
        <v>v4：500 FTE × $150K</v>
      </c>
      <c r="O52" s="6" t="s">
        <v>585</v>
      </c>
      <c r="P52" s="212" t="s">
        <v>1113</v>
      </c>
      <c r="Q52" s="41" t="n">
        <f aca="false">Inputs!F32</f>
        <v>100</v>
      </c>
      <c r="R52" s="36" t="s">
        <v>585</v>
      </c>
      <c r="S52" s="35" t="str">
        <f aca="false">IF(ISNUMBER($AF52),INDEX(IDX_SrcStat,$AF52),"—")</f>
        <v>—</v>
      </c>
      <c r="T52" s="35" t="str">
        <f aca="false">IF(ISNUMBER($AF52),INDEX(IDX_SrcGrade,$AF52),"—")</f>
        <v>—</v>
      </c>
      <c r="U52" s="35" t="s">
        <v>2775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5" t="str">
        <f aca="false">IF(OR($H52="—",$H52=""),"—",MATCH($H52,IDX_SrcID,0))</f>
        <v>—</v>
      </c>
    </row>
    <row r="53" customFormat="false" ht="15" hidden="false" customHeight="true" outlineLevel="0" collapsed="false">
      <c r="A53" s="36" t="s">
        <v>2882</v>
      </c>
      <c r="B53" s="212" t="s">
        <v>2769</v>
      </c>
      <c r="C53" s="36" t="s">
        <v>2770</v>
      </c>
      <c r="D53" s="36" t="s">
        <v>2883</v>
      </c>
      <c r="E53" s="19" t="s">
        <v>132</v>
      </c>
      <c r="F53" s="36" t="s">
        <v>78</v>
      </c>
      <c r="G53" s="212" t="s">
        <v>63</v>
      </c>
      <c r="H53" s="36" t="s">
        <v>585</v>
      </c>
      <c r="I53" s="6" t="s">
        <v>585</v>
      </c>
      <c r="J53" s="36" t="s">
        <v>585</v>
      </c>
      <c r="K53" s="41" t="n">
        <f aca="false">Inputs!$D$33</f>
        <v>150</v>
      </c>
      <c r="L53" s="41" t="n">
        <f aca="false">Inputs!$F$33</f>
        <v>250</v>
      </c>
      <c r="M53" s="36" t="s">
        <v>585</v>
      </c>
      <c r="N53" s="213" t="str">
        <f aca="false">Inputs!$H$33</f>
        <v>v4＝$200M</v>
      </c>
      <c r="O53" s="6" t="s">
        <v>585</v>
      </c>
      <c r="P53" s="212" t="s">
        <v>1113</v>
      </c>
      <c r="Q53" s="41" t="n">
        <f aca="false">Inputs!E33</f>
        <v>200</v>
      </c>
      <c r="R53" s="36" t="s">
        <v>585</v>
      </c>
      <c r="S53" s="35" t="str">
        <f aca="false">IF(ISNUMBER($AF53),INDEX(IDX_SrcStat,$AF53),"—")</f>
        <v>—</v>
      </c>
      <c r="T53" s="35" t="str">
        <f aca="false">IF(ISNUMBER($AF53),INDEX(IDX_SrcGrade,$AF53),"—")</f>
        <v>—</v>
      </c>
      <c r="U53" s="35" t="s">
        <v>2775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5" t="str">
        <f aca="false">IF(OR($H53="—",$H53=""),"—",MATCH($H53,IDX_SrcID,0))</f>
        <v>—</v>
      </c>
    </row>
    <row r="54" customFormat="false" ht="15" hidden="false" customHeight="true" outlineLevel="0" collapsed="false">
      <c r="A54" s="36" t="s">
        <v>2884</v>
      </c>
      <c r="B54" s="212" t="s">
        <v>2769</v>
      </c>
      <c r="C54" s="36" t="s">
        <v>2770</v>
      </c>
      <c r="D54" s="36" t="s">
        <v>2885</v>
      </c>
      <c r="E54" s="19" t="s">
        <v>132</v>
      </c>
      <c r="F54" s="36" t="s">
        <v>78</v>
      </c>
      <c r="G54" s="212" t="s">
        <v>1113</v>
      </c>
      <c r="H54" s="36" t="s">
        <v>585</v>
      </c>
      <c r="I54" s="6" t="s">
        <v>585</v>
      </c>
      <c r="J54" s="36" t="s">
        <v>585</v>
      </c>
      <c r="K54" s="212"/>
      <c r="L54" s="212"/>
      <c r="M54" s="36" t="s">
        <v>585</v>
      </c>
      <c r="N54" s="213" t="str">
        <f aca="false">Inputs!$H$33</f>
        <v>v4＝$200M</v>
      </c>
      <c r="O54" s="6" t="s">
        <v>585</v>
      </c>
      <c r="P54" s="212" t="s">
        <v>1113</v>
      </c>
      <c r="Q54" s="41" t="n">
        <f aca="false">Inputs!D33</f>
        <v>150</v>
      </c>
      <c r="R54" s="36" t="s">
        <v>585</v>
      </c>
      <c r="S54" s="35" t="str">
        <f aca="false">IF(ISNUMBER($AF54),INDEX(IDX_SrcStat,$AF54),"—")</f>
        <v>—</v>
      </c>
      <c r="T54" s="35" t="str">
        <f aca="false">IF(ISNUMBER($AF54),INDEX(IDX_SrcGrade,$AF54),"—")</f>
        <v>—</v>
      </c>
      <c r="U54" s="35" t="s">
        <v>2775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5" t="str">
        <f aca="false">IF(OR($H54="—",$H54=""),"—",MATCH($H54,IDX_SrcID,0))</f>
        <v>—</v>
      </c>
    </row>
    <row r="55" customFormat="false" ht="15" hidden="false" customHeight="true" outlineLevel="0" collapsed="false">
      <c r="A55" s="36" t="s">
        <v>2886</v>
      </c>
      <c r="B55" s="212" t="s">
        <v>2769</v>
      </c>
      <c r="C55" s="36" t="s">
        <v>2770</v>
      </c>
      <c r="D55" s="36" t="s">
        <v>2887</v>
      </c>
      <c r="E55" s="19" t="s">
        <v>132</v>
      </c>
      <c r="F55" s="36" t="s">
        <v>78</v>
      </c>
      <c r="G55" s="212" t="s">
        <v>1114</v>
      </c>
      <c r="H55" s="36" t="s">
        <v>585</v>
      </c>
      <c r="I55" s="6" t="s">
        <v>585</v>
      </c>
      <c r="J55" s="36" t="s">
        <v>585</v>
      </c>
      <c r="K55" s="212"/>
      <c r="L55" s="212"/>
      <c r="M55" s="36" t="s">
        <v>585</v>
      </c>
      <c r="N55" s="213" t="str">
        <f aca="false">Inputs!$H$33</f>
        <v>v4＝$200M</v>
      </c>
      <c r="O55" s="6" t="s">
        <v>585</v>
      </c>
      <c r="P55" s="212" t="s">
        <v>1113</v>
      </c>
      <c r="Q55" s="41" t="n">
        <f aca="false">Inputs!F33</f>
        <v>250</v>
      </c>
      <c r="R55" s="36" t="s">
        <v>585</v>
      </c>
      <c r="S55" s="35" t="str">
        <f aca="false">IF(ISNUMBER($AF55),INDEX(IDX_SrcStat,$AF55),"—")</f>
        <v>—</v>
      </c>
      <c r="T55" s="35" t="str">
        <f aca="false">IF(ISNUMBER($AF55),INDEX(IDX_SrcGrade,$AF55),"—")</f>
        <v>—</v>
      </c>
      <c r="U55" s="35" t="s">
        <v>2775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5" t="str">
        <f aca="false">IF(OR($H55="—",$H55=""),"—",MATCH($H55,IDX_SrcID,0))</f>
        <v>—</v>
      </c>
    </row>
    <row r="56" customFormat="false" ht="15" hidden="false" customHeight="true" outlineLevel="0" collapsed="false">
      <c r="A56" s="36" t="s">
        <v>2888</v>
      </c>
      <c r="B56" s="212" t="s">
        <v>2769</v>
      </c>
      <c r="C56" s="36" t="s">
        <v>2770</v>
      </c>
      <c r="D56" s="36" t="s">
        <v>2889</v>
      </c>
      <c r="E56" s="19" t="s">
        <v>134</v>
      </c>
      <c r="F56" s="36" t="s">
        <v>78</v>
      </c>
      <c r="G56" s="212" t="s">
        <v>63</v>
      </c>
      <c r="H56" s="36" t="s">
        <v>585</v>
      </c>
      <c r="I56" s="6" t="s">
        <v>585</v>
      </c>
      <c r="J56" s="36" t="s">
        <v>585</v>
      </c>
      <c r="K56" s="174" t="n">
        <f aca="false">Inputs!$D$34</f>
        <v>0.04</v>
      </c>
      <c r="L56" s="174" t="n">
        <f aca="false">Inputs!$F$34</f>
        <v>0.06</v>
      </c>
      <c r="M56" s="36" t="s">
        <v>585</v>
      </c>
      <c r="N56" s="213" t="str">
        <f aca="false">Inputs!$H$34</f>
        <v>v4＝$50K/MW</v>
      </c>
      <c r="O56" s="6" t="s">
        <v>585</v>
      </c>
      <c r="P56" s="212" t="s">
        <v>1113</v>
      </c>
      <c r="Q56" s="174" t="n">
        <f aca="false">Inputs!E34</f>
        <v>0.05</v>
      </c>
      <c r="R56" s="36" t="s">
        <v>585</v>
      </c>
      <c r="S56" s="35" t="str">
        <f aca="false">IF(ISNUMBER($AF56),INDEX(IDX_SrcStat,$AF56),"—")</f>
        <v>—</v>
      </c>
      <c r="T56" s="35" t="str">
        <f aca="false">IF(ISNUMBER($AF56),INDEX(IDX_SrcGrade,$AF56),"—")</f>
        <v>—</v>
      </c>
      <c r="U56" s="35" t="s">
        <v>2775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5" t="str">
        <f aca="false">IF(OR($H56="—",$H56=""),"—",MATCH($H56,IDX_SrcID,0))</f>
        <v>—</v>
      </c>
    </row>
    <row r="57" customFormat="false" ht="15" hidden="false" customHeight="true" outlineLevel="0" collapsed="false">
      <c r="A57" s="36" t="s">
        <v>2890</v>
      </c>
      <c r="B57" s="212" t="s">
        <v>2769</v>
      </c>
      <c r="C57" s="36" t="s">
        <v>2770</v>
      </c>
      <c r="D57" s="36" t="s">
        <v>2891</v>
      </c>
      <c r="E57" s="19" t="s">
        <v>134</v>
      </c>
      <c r="F57" s="36" t="s">
        <v>78</v>
      </c>
      <c r="G57" s="212" t="s">
        <v>1113</v>
      </c>
      <c r="H57" s="36" t="s">
        <v>585</v>
      </c>
      <c r="I57" s="6" t="s">
        <v>585</v>
      </c>
      <c r="J57" s="36" t="s">
        <v>585</v>
      </c>
      <c r="K57" s="212"/>
      <c r="L57" s="212"/>
      <c r="M57" s="36" t="s">
        <v>585</v>
      </c>
      <c r="N57" s="213" t="str">
        <f aca="false">Inputs!$H$34</f>
        <v>v4＝$50K/MW</v>
      </c>
      <c r="O57" s="6" t="s">
        <v>585</v>
      </c>
      <c r="P57" s="212" t="s">
        <v>1113</v>
      </c>
      <c r="Q57" s="174" t="n">
        <f aca="false">Inputs!D34</f>
        <v>0.04</v>
      </c>
      <c r="R57" s="36" t="s">
        <v>585</v>
      </c>
      <c r="S57" s="35" t="str">
        <f aca="false">IF(ISNUMBER($AF57),INDEX(IDX_SrcStat,$AF57),"—")</f>
        <v>—</v>
      </c>
      <c r="T57" s="35" t="str">
        <f aca="false">IF(ISNUMBER($AF57),INDEX(IDX_SrcGrade,$AF57),"—")</f>
        <v>—</v>
      </c>
      <c r="U57" s="35" t="s">
        <v>2775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5" t="str">
        <f aca="false">IF(OR($H57="—",$H57=""),"—",MATCH($H57,IDX_SrcID,0))</f>
        <v>—</v>
      </c>
    </row>
    <row r="58" customFormat="false" ht="15" hidden="false" customHeight="true" outlineLevel="0" collapsed="false">
      <c r="A58" s="36" t="s">
        <v>2892</v>
      </c>
      <c r="B58" s="212" t="s">
        <v>2769</v>
      </c>
      <c r="C58" s="36" t="s">
        <v>2770</v>
      </c>
      <c r="D58" s="36" t="s">
        <v>2893</v>
      </c>
      <c r="E58" s="19" t="s">
        <v>134</v>
      </c>
      <c r="F58" s="36" t="s">
        <v>78</v>
      </c>
      <c r="G58" s="212" t="s">
        <v>1114</v>
      </c>
      <c r="H58" s="36" t="s">
        <v>585</v>
      </c>
      <c r="I58" s="6" t="s">
        <v>585</v>
      </c>
      <c r="J58" s="36" t="s">
        <v>585</v>
      </c>
      <c r="K58" s="212"/>
      <c r="L58" s="212"/>
      <c r="M58" s="36" t="s">
        <v>585</v>
      </c>
      <c r="N58" s="213" t="str">
        <f aca="false">Inputs!$H$34</f>
        <v>v4＝$50K/MW</v>
      </c>
      <c r="O58" s="6" t="s">
        <v>585</v>
      </c>
      <c r="P58" s="212" t="s">
        <v>1113</v>
      </c>
      <c r="Q58" s="174" t="n">
        <f aca="false">Inputs!F34</f>
        <v>0.06</v>
      </c>
      <c r="R58" s="36" t="s">
        <v>585</v>
      </c>
      <c r="S58" s="35" t="str">
        <f aca="false">IF(ISNUMBER($AF58),INDEX(IDX_SrcStat,$AF58),"—")</f>
        <v>—</v>
      </c>
      <c r="T58" s="35" t="str">
        <f aca="false">IF(ISNUMBER($AF58),INDEX(IDX_SrcGrade,$AF58),"—")</f>
        <v>—</v>
      </c>
      <c r="U58" s="35" t="s">
        <v>2775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5" t="str">
        <f aca="false">IF(OR($H58="—",$H58=""),"—",MATCH($H58,IDX_SrcID,0))</f>
        <v>—</v>
      </c>
    </row>
    <row r="59" customFormat="false" ht="29.25" hidden="false" customHeight="true" outlineLevel="0" collapsed="false">
      <c r="A59" s="36" t="s">
        <v>2894</v>
      </c>
      <c r="B59" s="212" t="s">
        <v>2769</v>
      </c>
      <c r="C59" s="36" t="s">
        <v>2770</v>
      </c>
      <c r="D59" s="36" t="s">
        <v>2895</v>
      </c>
      <c r="E59" s="19" t="s">
        <v>137</v>
      </c>
      <c r="F59" s="36" t="s">
        <v>78</v>
      </c>
      <c r="G59" s="212" t="s">
        <v>63</v>
      </c>
      <c r="H59" s="36" t="s">
        <v>585</v>
      </c>
      <c r="I59" s="6" t="s">
        <v>585</v>
      </c>
      <c r="J59" s="36" t="s">
        <v>585</v>
      </c>
      <c r="K59" s="178" t="n">
        <f aca="false">Inputs!$D$35</f>
        <v>0.003</v>
      </c>
      <c r="L59" s="178" t="n">
        <f aca="false">Inputs!$F$35</f>
        <v>0.008</v>
      </c>
      <c r="M59" s="36" t="s">
        <v>585</v>
      </c>
      <c r="N59" s="213" t="str">
        <f aca="false">Inputs!$H$35</f>
        <v>v4＝0.5%</v>
      </c>
      <c r="O59" s="6" t="s">
        <v>2871</v>
      </c>
      <c r="P59" s="212" t="s">
        <v>1113</v>
      </c>
      <c r="Q59" s="178" t="n">
        <f aca="false">Inputs!E35</f>
        <v>0.005</v>
      </c>
      <c r="R59" s="36" t="s">
        <v>585</v>
      </c>
      <c r="S59" s="35" t="str">
        <f aca="false">IF(ISNUMBER($AF59),INDEX(IDX_SrcStat,$AF59),"—")</f>
        <v>—</v>
      </c>
      <c r="T59" s="35" t="str">
        <f aca="false">IF(ISNUMBER($AF59),INDEX(IDX_SrcGrade,$AF59),"—")</f>
        <v>—</v>
      </c>
      <c r="U59" s="35" t="s">
        <v>2775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5" t="str">
        <f aca="false">IF(OR($H59="—",$H59=""),"—",MATCH($H59,IDX_SrcID,0))</f>
        <v>—</v>
      </c>
    </row>
    <row r="60" customFormat="false" ht="29.25" hidden="false" customHeight="true" outlineLevel="0" collapsed="false">
      <c r="A60" s="36" t="s">
        <v>2896</v>
      </c>
      <c r="B60" s="212" t="s">
        <v>2769</v>
      </c>
      <c r="C60" s="36" t="s">
        <v>2770</v>
      </c>
      <c r="D60" s="36" t="s">
        <v>2897</v>
      </c>
      <c r="E60" s="19" t="s">
        <v>137</v>
      </c>
      <c r="F60" s="36" t="s">
        <v>78</v>
      </c>
      <c r="G60" s="212" t="s">
        <v>1113</v>
      </c>
      <c r="H60" s="36" t="s">
        <v>585</v>
      </c>
      <c r="I60" s="6" t="s">
        <v>585</v>
      </c>
      <c r="J60" s="36" t="s">
        <v>585</v>
      </c>
      <c r="K60" s="212"/>
      <c r="L60" s="212"/>
      <c r="M60" s="36" t="s">
        <v>585</v>
      </c>
      <c r="N60" s="213" t="str">
        <f aca="false">Inputs!$H$35</f>
        <v>v4＝0.5%</v>
      </c>
      <c r="O60" s="6" t="s">
        <v>2871</v>
      </c>
      <c r="P60" s="212" t="s">
        <v>1113</v>
      </c>
      <c r="Q60" s="178" t="n">
        <f aca="false">Inputs!D35</f>
        <v>0.003</v>
      </c>
      <c r="R60" s="36" t="s">
        <v>585</v>
      </c>
      <c r="S60" s="35" t="str">
        <f aca="false">IF(ISNUMBER($AF60),INDEX(IDX_SrcStat,$AF60),"—")</f>
        <v>—</v>
      </c>
      <c r="T60" s="35" t="str">
        <f aca="false">IF(ISNUMBER($AF60),INDEX(IDX_SrcGrade,$AF60),"—")</f>
        <v>—</v>
      </c>
      <c r="U60" s="35" t="s">
        <v>2775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5" t="str">
        <f aca="false">IF(OR($H60="—",$H60=""),"—",MATCH($H60,IDX_SrcID,0))</f>
        <v>—</v>
      </c>
    </row>
    <row r="61" customFormat="false" ht="29.25" hidden="false" customHeight="true" outlineLevel="0" collapsed="false">
      <c r="A61" s="36" t="s">
        <v>2898</v>
      </c>
      <c r="B61" s="212" t="s">
        <v>2769</v>
      </c>
      <c r="C61" s="36" t="s">
        <v>2770</v>
      </c>
      <c r="D61" s="36" t="s">
        <v>2899</v>
      </c>
      <c r="E61" s="19" t="s">
        <v>137</v>
      </c>
      <c r="F61" s="36" t="s">
        <v>78</v>
      </c>
      <c r="G61" s="212" t="s">
        <v>1114</v>
      </c>
      <c r="H61" s="36" t="s">
        <v>585</v>
      </c>
      <c r="I61" s="6" t="s">
        <v>585</v>
      </c>
      <c r="J61" s="36" t="s">
        <v>585</v>
      </c>
      <c r="K61" s="212"/>
      <c r="L61" s="212"/>
      <c r="M61" s="36" t="s">
        <v>585</v>
      </c>
      <c r="N61" s="213" t="str">
        <f aca="false">Inputs!$H$35</f>
        <v>v4＝0.5%</v>
      </c>
      <c r="O61" s="6" t="s">
        <v>2871</v>
      </c>
      <c r="P61" s="212" t="s">
        <v>1113</v>
      </c>
      <c r="Q61" s="178" t="n">
        <f aca="false">Inputs!F35</f>
        <v>0.008</v>
      </c>
      <c r="R61" s="36" t="s">
        <v>585</v>
      </c>
      <c r="S61" s="35" t="str">
        <f aca="false">IF(ISNUMBER($AF61),INDEX(IDX_SrcStat,$AF61),"—")</f>
        <v>—</v>
      </c>
      <c r="T61" s="35" t="str">
        <f aca="false">IF(ISNUMBER($AF61),INDEX(IDX_SrcGrade,$AF61),"—")</f>
        <v>—</v>
      </c>
      <c r="U61" s="35" t="s">
        <v>2775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5" t="str">
        <f aca="false">IF(OR($H61="—",$H61=""),"—",MATCH($H61,IDX_SrcID,0))</f>
        <v>—</v>
      </c>
    </row>
    <row r="62" customFormat="false" ht="15" hidden="false" customHeight="true" outlineLevel="0" collapsed="false">
      <c r="A62" s="36" t="s">
        <v>2900</v>
      </c>
      <c r="B62" s="212" t="s">
        <v>2769</v>
      </c>
      <c r="C62" s="36" t="s">
        <v>2770</v>
      </c>
      <c r="D62" s="36" t="s">
        <v>2901</v>
      </c>
      <c r="E62" s="6" t="s">
        <v>111</v>
      </c>
      <c r="F62" s="212" t="s">
        <v>296</v>
      </c>
      <c r="G62" s="212" t="s">
        <v>2771</v>
      </c>
      <c r="H62" s="36" t="s">
        <v>2902</v>
      </c>
      <c r="I62" s="19" t="s">
        <v>2806</v>
      </c>
      <c r="J62" s="36" t="s">
        <v>2903</v>
      </c>
      <c r="K62" s="212"/>
      <c r="L62" s="212"/>
      <c r="M62" s="36" t="s">
        <v>585</v>
      </c>
      <c r="N62" s="19" t="s">
        <v>2904</v>
      </c>
      <c r="O62" s="6" t="s">
        <v>585</v>
      </c>
      <c r="P62" s="212" t="s">
        <v>1114</v>
      </c>
      <c r="Q62" s="41" t="n">
        <f aca="false">Inputs!D23</f>
        <v>6</v>
      </c>
      <c r="R62" s="184" t="n">
        <f aca="false">SRC_DC_007</f>
        <v>6</v>
      </c>
      <c r="S62" s="35" t="str">
        <f aca="false">IF(ISNUMBER($AF62),INDEX(IDX_SrcStat,$AF62),"—")</f>
        <v>Active</v>
      </c>
      <c r="T62" s="35" t="n">
        <f aca="false">IF(ISNUMBER($AF62),INDEX(IDX_SrcGrade,$AF62),"—")</f>
        <v>2</v>
      </c>
      <c r="U62" s="35" t="s">
        <v>2808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5" t="n">
        <f aca="false">IF(OR($H62="—",$H62=""),"—",MATCH($H62,IDX_SrcID,0))</f>
        <v>121</v>
      </c>
    </row>
    <row r="63" customFormat="false" ht="15" hidden="false" customHeight="true" outlineLevel="0" collapsed="false">
      <c r="A63" s="36" t="s">
        <v>2905</v>
      </c>
      <c r="B63" s="212" t="s">
        <v>2769</v>
      </c>
      <c r="C63" s="36" t="s">
        <v>2770</v>
      </c>
      <c r="D63" s="36" t="s">
        <v>2906</v>
      </c>
      <c r="E63" s="6" t="s">
        <v>111</v>
      </c>
      <c r="F63" s="212" t="s">
        <v>296</v>
      </c>
      <c r="G63" s="212" t="s">
        <v>2771</v>
      </c>
      <c r="H63" s="36" t="s">
        <v>2902</v>
      </c>
      <c r="I63" s="19" t="s">
        <v>2806</v>
      </c>
      <c r="J63" s="36" t="s">
        <v>2903</v>
      </c>
      <c r="K63" s="212"/>
      <c r="L63" s="212"/>
      <c r="M63" s="36" t="s">
        <v>585</v>
      </c>
      <c r="N63" s="19" t="s">
        <v>2904</v>
      </c>
      <c r="O63" s="6" t="s">
        <v>585</v>
      </c>
      <c r="P63" s="212" t="s">
        <v>1114</v>
      </c>
      <c r="Q63" s="41" t="n">
        <f aca="false">Inputs!E23</f>
        <v>6</v>
      </c>
      <c r="R63" s="184" t="n">
        <f aca="false">SRC_DC_007</f>
        <v>6</v>
      </c>
      <c r="S63" s="35" t="str">
        <f aca="false">IF(ISNUMBER($AF63),INDEX(IDX_SrcStat,$AF63),"—")</f>
        <v>Active</v>
      </c>
      <c r="T63" s="35" t="n">
        <f aca="false">IF(ISNUMBER($AF63),INDEX(IDX_SrcGrade,$AF63),"—")</f>
        <v>2</v>
      </c>
      <c r="U63" s="35" t="s">
        <v>2808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5" t="n">
        <f aca="false">IF(OR($H63="—",$H63=""),"—",MATCH($H63,IDX_SrcID,0))</f>
        <v>121</v>
      </c>
    </row>
    <row r="64" customFormat="false" ht="15" hidden="false" customHeight="true" outlineLevel="0" collapsed="false">
      <c r="A64" s="36" t="s">
        <v>2907</v>
      </c>
      <c r="B64" s="212" t="s">
        <v>2769</v>
      </c>
      <c r="C64" s="36" t="s">
        <v>2770</v>
      </c>
      <c r="D64" s="36" t="s">
        <v>2908</v>
      </c>
      <c r="E64" s="6" t="s">
        <v>111</v>
      </c>
      <c r="F64" s="212" t="s">
        <v>296</v>
      </c>
      <c r="G64" s="212" t="s">
        <v>2771</v>
      </c>
      <c r="H64" s="36" t="s">
        <v>2909</v>
      </c>
      <c r="I64" s="19" t="s">
        <v>2806</v>
      </c>
      <c r="J64" s="36" t="s">
        <v>2903</v>
      </c>
      <c r="K64" s="212"/>
      <c r="L64" s="212"/>
      <c r="M64" s="36" t="s">
        <v>585</v>
      </c>
      <c r="N64" s="19" t="s">
        <v>2904</v>
      </c>
      <c r="O64" s="6" t="s">
        <v>585</v>
      </c>
      <c r="P64" s="212" t="s">
        <v>1114</v>
      </c>
      <c r="Q64" s="41" t="n">
        <f aca="false">Inputs!F23</f>
        <v>4</v>
      </c>
      <c r="R64" s="184" t="n">
        <f aca="false">SRC_DC_008</f>
        <v>4</v>
      </c>
      <c r="S64" s="35" t="str">
        <f aca="false">IF(ISNUMBER($AF64),INDEX(IDX_SrcStat,$AF64),"—")</f>
        <v>Active</v>
      </c>
      <c r="T64" s="35" t="n">
        <f aca="false">IF(ISNUMBER($AF64),INDEX(IDX_SrcGrade,$AF64),"—")</f>
        <v>2</v>
      </c>
      <c r="U64" s="35" t="s">
        <v>2808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5" t="n">
        <f aca="false">IF(OR($H64="—",$H64=""),"—",MATCH($H64,IDX_SrcID,0))</f>
        <v>122</v>
      </c>
    </row>
    <row r="65" customFormat="false" ht="29.25" hidden="false" customHeight="true" outlineLevel="0" collapsed="false">
      <c r="A65" s="36" t="s">
        <v>2910</v>
      </c>
      <c r="B65" s="212" t="s">
        <v>2769</v>
      </c>
      <c r="C65" s="36" t="s">
        <v>2770</v>
      </c>
      <c r="D65" s="36" t="s">
        <v>2911</v>
      </c>
      <c r="E65" s="19" t="s">
        <v>115</v>
      </c>
      <c r="F65" s="36" t="s">
        <v>78</v>
      </c>
      <c r="G65" s="212" t="s">
        <v>63</v>
      </c>
      <c r="H65" s="36" t="s">
        <v>585</v>
      </c>
      <c r="I65" s="6" t="s">
        <v>585</v>
      </c>
      <c r="J65" s="36" t="s">
        <v>585</v>
      </c>
      <c r="K65" s="214" t="n">
        <v>25</v>
      </c>
      <c r="L65" s="214" t="n">
        <v>40</v>
      </c>
      <c r="M65" s="36" t="s">
        <v>2912</v>
      </c>
      <c r="N65" s="19" t="s">
        <v>2913</v>
      </c>
      <c r="O65" s="6" t="s">
        <v>2864</v>
      </c>
      <c r="P65" s="212" t="s">
        <v>1113</v>
      </c>
      <c r="Q65" s="41" t="n">
        <f aca="false">Inputs!E24</f>
        <v>30</v>
      </c>
      <c r="R65" s="36" t="s">
        <v>585</v>
      </c>
      <c r="S65" s="35" t="str">
        <f aca="false">IF(ISNUMBER($AF65),INDEX(IDX_SrcStat,$AF65),"—")</f>
        <v>—</v>
      </c>
      <c r="T65" s="35" t="str">
        <f aca="false">IF(ISNUMBER($AF65),INDEX(IDX_SrcGrade,$AF65),"—")</f>
        <v>—</v>
      </c>
      <c r="U65" s="35" t="s">
        <v>2775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5" t="str">
        <f aca="false">IF(OR($H65="—",$H65=""),"—",MATCH($H65,IDX_SrcID,0))</f>
        <v>—</v>
      </c>
    </row>
    <row r="66" customFormat="false" ht="29.25" hidden="false" customHeight="true" outlineLevel="0" collapsed="false">
      <c r="A66" s="36" t="s">
        <v>2914</v>
      </c>
      <c r="B66" s="212" t="s">
        <v>2769</v>
      </c>
      <c r="C66" s="36" t="s">
        <v>2770</v>
      </c>
      <c r="D66" s="36" t="s">
        <v>2915</v>
      </c>
      <c r="E66" s="19" t="s">
        <v>117</v>
      </c>
      <c r="F66" s="36" t="s">
        <v>78</v>
      </c>
      <c r="G66" s="212" t="s">
        <v>63</v>
      </c>
      <c r="H66" s="36" t="s">
        <v>585</v>
      </c>
      <c r="I66" s="6" t="s">
        <v>585</v>
      </c>
      <c r="J66" s="36" t="s">
        <v>585</v>
      </c>
      <c r="K66" s="214" t="n">
        <v>15</v>
      </c>
      <c r="L66" s="214" t="n">
        <v>25</v>
      </c>
      <c r="M66" s="36" t="s">
        <v>2916</v>
      </c>
      <c r="N66" s="19" t="s">
        <v>2917</v>
      </c>
      <c r="O66" s="6" t="s">
        <v>2864</v>
      </c>
      <c r="P66" s="212" t="s">
        <v>1113</v>
      </c>
      <c r="Q66" s="41" t="n">
        <f aca="false">Inputs!E25</f>
        <v>20</v>
      </c>
      <c r="R66" s="36" t="s">
        <v>585</v>
      </c>
      <c r="S66" s="35" t="str">
        <f aca="false">IF(ISNUMBER($AF66),INDEX(IDX_SrcStat,$AF66),"—")</f>
        <v>—</v>
      </c>
      <c r="T66" s="35" t="str">
        <f aca="false">IF(ISNUMBER($AF66),INDEX(IDX_SrcGrade,$AF66),"—")</f>
        <v>—</v>
      </c>
      <c r="U66" s="35" t="s">
        <v>2775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5" t="str">
        <f aca="false">IF(OR($H66="—",$H66=""),"—",MATCH($H66,IDX_SrcID,0))</f>
        <v>—</v>
      </c>
    </row>
    <row r="67" customFormat="false" ht="29.25" hidden="false" customHeight="true" outlineLevel="0" collapsed="false">
      <c r="A67" s="36" t="s">
        <v>2918</v>
      </c>
      <c r="B67" s="212" t="s">
        <v>2769</v>
      </c>
      <c r="C67" s="36" t="s">
        <v>2770</v>
      </c>
      <c r="D67" s="36" t="s">
        <v>2919</v>
      </c>
      <c r="E67" s="19" t="s">
        <v>118</v>
      </c>
      <c r="F67" s="36" t="s">
        <v>78</v>
      </c>
      <c r="G67" s="212" t="s">
        <v>63</v>
      </c>
      <c r="H67" s="36" t="s">
        <v>585</v>
      </c>
      <c r="I67" s="6" t="s">
        <v>585</v>
      </c>
      <c r="J67" s="36" t="s">
        <v>585</v>
      </c>
      <c r="K67" s="214" t="n">
        <v>10</v>
      </c>
      <c r="L67" s="214" t="n">
        <v>20</v>
      </c>
      <c r="M67" s="36" t="s">
        <v>2920</v>
      </c>
      <c r="N67" s="19" t="s">
        <v>2921</v>
      </c>
      <c r="O67" s="6" t="s">
        <v>2864</v>
      </c>
      <c r="P67" s="212" t="s">
        <v>1113</v>
      </c>
      <c r="Q67" s="41" t="n">
        <f aca="false">Inputs!E26</f>
        <v>15</v>
      </c>
      <c r="R67" s="36" t="s">
        <v>585</v>
      </c>
      <c r="S67" s="35" t="str">
        <f aca="false">IF(ISNUMBER($AF67),INDEX(IDX_SrcStat,$AF67),"—")</f>
        <v>—</v>
      </c>
      <c r="T67" s="35" t="str">
        <f aca="false">IF(ISNUMBER($AF67),INDEX(IDX_SrcGrade,$AF67),"—")</f>
        <v>—</v>
      </c>
      <c r="U67" s="35" t="s">
        <v>2775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5" t="str">
        <f aca="false">IF(OR($H67="—",$H67=""),"—",MATCH($H67,IDX_SrcID,0))</f>
        <v>—</v>
      </c>
    </row>
    <row r="68" customFormat="false" ht="29.25" hidden="false" customHeight="true" outlineLevel="0" collapsed="false">
      <c r="A68" s="36" t="s">
        <v>2922</v>
      </c>
      <c r="B68" s="212" t="s">
        <v>2769</v>
      </c>
      <c r="C68" s="36" t="s">
        <v>2770</v>
      </c>
      <c r="D68" s="36" t="s">
        <v>2923</v>
      </c>
      <c r="E68" s="19" t="s">
        <v>119</v>
      </c>
      <c r="F68" s="36" t="s">
        <v>78</v>
      </c>
      <c r="G68" s="212" t="s">
        <v>63</v>
      </c>
      <c r="H68" s="36" t="s">
        <v>585</v>
      </c>
      <c r="I68" s="6" t="s">
        <v>585</v>
      </c>
      <c r="J68" s="36" t="s">
        <v>585</v>
      </c>
      <c r="K68" s="214" t="n">
        <v>7</v>
      </c>
      <c r="L68" s="214" t="n">
        <v>15</v>
      </c>
      <c r="M68" s="36" t="s">
        <v>2924</v>
      </c>
      <c r="N68" s="19" t="s">
        <v>2925</v>
      </c>
      <c r="O68" s="6" t="s">
        <v>2864</v>
      </c>
      <c r="P68" s="212" t="s">
        <v>1113</v>
      </c>
      <c r="Q68" s="41" t="n">
        <f aca="false">Inputs!E27</f>
        <v>10</v>
      </c>
      <c r="R68" s="36" t="s">
        <v>585</v>
      </c>
      <c r="S68" s="35" t="str">
        <f aca="false">IF(ISNUMBER($AF68),INDEX(IDX_SrcStat,$AF68),"—")</f>
        <v>—</v>
      </c>
      <c r="T68" s="35" t="str">
        <f aca="false">IF(ISNUMBER($AF68),INDEX(IDX_SrcGrade,$AF68),"—")</f>
        <v>—</v>
      </c>
      <c r="U68" s="35" t="s">
        <v>2775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5" t="str">
        <f aca="false">IF(OR($H68="—",$H68=""),"—",MATCH($H68,IDX_SrcID,0))</f>
        <v>—</v>
      </c>
    </row>
    <row r="69" customFormat="false" ht="15" hidden="false" customHeight="true" outlineLevel="0" collapsed="false">
      <c r="A69" s="36" t="s">
        <v>2926</v>
      </c>
      <c r="B69" s="212" t="s">
        <v>2769</v>
      </c>
      <c r="C69" s="36" t="s">
        <v>2927</v>
      </c>
      <c r="D69" s="36" t="s">
        <v>2928</v>
      </c>
      <c r="E69" s="6" t="s">
        <v>155</v>
      </c>
      <c r="F69" s="36" t="s">
        <v>70</v>
      </c>
      <c r="G69" s="212" t="s">
        <v>2771</v>
      </c>
      <c r="H69" s="36" t="s">
        <v>585</v>
      </c>
      <c r="I69" s="6" t="s">
        <v>585</v>
      </c>
      <c r="J69" s="36" t="s">
        <v>2929</v>
      </c>
      <c r="K69" s="212"/>
      <c r="L69" s="212"/>
      <c r="M69" s="36" t="s">
        <v>585</v>
      </c>
      <c r="N69" s="6" t="s">
        <v>2930</v>
      </c>
      <c r="O69" s="6" t="s">
        <v>585</v>
      </c>
      <c r="P69" s="212" t="s">
        <v>1114</v>
      </c>
      <c r="Q69" s="41" t="n">
        <f aca="false">Spec_Rack!C6</f>
        <v>32</v>
      </c>
      <c r="R69" s="36" t="s">
        <v>585</v>
      </c>
      <c r="S69" s="35" t="str">
        <f aca="false">IF(ISNUMBER($AF69),INDEX(IDX_SrcStat,$AF69),"—")</f>
        <v>—</v>
      </c>
      <c r="T69" s="35" t="str">
        <f aca="false">IF(ISNUMBER($AF69),INDEX(IDX_SrcGrade,$AF69),"—")</f>
        <v>—</v>
      </c>
      <c r="U69" s="35" t="s">
        <v>2775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5" t="str">
        <f aca="false">IF(OR($H69="—",$H69=""),"—",MATCH($H69,IDX_SrcID,0))</f>
        <v>—</v>
      </c>
    </row>
    <row r="70" customFormat="false" ht="15" hidden="false" customHeight="true" outlineLevel="0" collapsed="false">
      <c r="A70" s="36" t="s">
        <v>2931</v>
      </c>
      <c r="B70" s="212" t="s">
        <v>2769</v>
      </c>
      <c r="C70" s="36" t="s">
        <v>2927</v>
      </c>
      <c r="D70" s="36" t="s">
        <v>2932</v>
      </c>
      <c r="E70" s="6" t="s">
        <v>155</v>
      </c>
      <c r="F70" s="212" t="s">
        <v>296</v>
      </c>
      <c r="G70" s="212" t="s">
        <v>2771</v>
      </c>
      <c r="H70" s="36" t="s">
        <v>2933</v>
      </c>
      <c r="I70" s="19" t="s">
        <v>2806</v>
      </c>
      <c r="J70" s="36" t="s">
        <v>585</v>
      </c>
      <c r="K70" s="212"/>
      <c r="L70" s="212"/>
      <c r="M70" s="36" t="s">
        <v>585</v>
      </c>
      <c r="N70" s="19" t="s">
        <v>2904</v>
      </c>
      <c r="O70" s="6" t="s">
        <v>585</v>
      </c>
      <c r="P70" s="212" t="s">
        <v>1114</v>
      </c>
      <c r="Q70" s="41" t="n">
        <f aca="false">Spec_Rack!D6</f>
        <v>72</v>
      </c>
      <c r="R70" s="184" t="n">
        <f aca="false">SRC_HW_047</f>
        <v>72</v>
      </c>
      <c r="S70" s="35" t="str">
        <f aca="false">IF(ISNUMBER($AF70),INDEX(IDX_SrcStat,$AF70),"—")</f>
        <v>Active</v>
      </c>
      <c r="T70" s="35" t="n">
        <f aca="false">IF(ISNUMBER($AF70),INDEX(IDX_SrcGrade,$AF70),"—")</f>
        <v>1</v>
      </c>
      <c r="U70" s="35" t="s">
        <v>2808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5" t="n">
        <f aca="false">IF(OR($H70="—",$H70=""),"—",MATCH($H70,IDX_SrcID,0))</f>
        <v>47</v>
      </c>
    </row>
    <row r="71" customFormat="false" ht="15" hidden="false" customHeight="true" outlineLevel="0" collapsed="false">
      <c r="A71" s="36" t="s">
        <v>2934</v>
      </c>
      <c r="B71" s="212" t="s">
        <v>2769</v>
      </c>
      <c r="C71" s="36" t="s">
        <v>2927</v>
      </c>
      <c r="D71" s="36" t="s">
        <v>2663</v>
      </c>
      <c r="E71" s="6" t="s">
        <v>155</v>
      </c>
      <c r="F71" s="212" t="s">
        <v>296</v>
      </c>
      <c r="G71" s="212" t="s">
        <v>2771</v>
      </c>
      <c r="H71" s="36" t="s">
        <v>2933</v>
      </c>
      <c r="I71" s="19" t="s">
        <v>2806</v>
      </c>
      <c r="J71" s="36" t="s">
        <v>585</v>
      </c>
      <c r="K71" s="212"/>
      <c r="L71" s="212"/>
      <c r="M71" s="36" t="s">
        <v>585</v>
      </c>
      <c r="N71" s="19" t="s">
        <v>2904</v>
      </c>
      <c r="O71" s="6" t="s">
        <v>585</v>
      </c>
      <c r="P71" s="212" t="s">
        <v>1114</v>
      </c>
      <c r="Q71" s="41" t="n">
        <f aca="false">Spec_Rack!E6</f>
        <v>72</v>
      </c>
      <c r="R71" s="184" t="n">
        <f aca="false">SRC_HW_047</f>
        <v>72</v>
      </c>
      <c r="S71" s="35" t="str">
        <f aca="false">IF(ISNUMBER($AF71),INDEX(IDX_SrcStat,$AF71),"—")</f>
        <v>Active</v>
      </c>
      <c r="T71" s="35" t="n">
        <f aca="false">IF(ISNUMBER($AF71),INDEX(IDX_SrcGrade,$AF71),"—")</f>
        <v>1</v>
      </c>
      <c r="U71" s="35" t="s">
        <v>2808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5" t="n">
        <f aca="false">IF(OR($H71="—",$H71=""),"—",MATCH($H71,IDX_SrcID,0))</f>
        <v>47</v>
      </c>
    </row>
    <row r="72" customFormat="false" ht="15" hidden="false" customHeight="true" outlineLevel="0" collapsed="false">
      <c r="A72" s="36" t="s">
        <v>2935</v>
      </c>
      <c r="B72" s="212" t="s">
        <v>2769</v>
      </c>
      <c r="C72" s="36" t="s">
        <v>2927</v>
      </c>
      <c r="D72" s="36" t="s">
        <v>2936</v>
      </c>
      <c r="E72" s="6" t="s">
        <v>155</v>
      </c>
      <c r="F72" s="212" t="s">
        <v>296</v>
      </c>
      <c r="G72" s="212" t="s">
        <v>2771</v>
      </c>
      <c r="H72" s="36" t="s">
        <v>2933</v>
      </c>
      <c r="I72" s="19" t="s">
        <v>2806</v>
      </c>
      <c r="J72" s="36" t="s">
        <v>585</v>
      </c>
      <c r="K72" s="212"/>
      <c r="L72" s="212"/>
      <c r="M72" s="36" t="s">
        <v>585</v>
      </c>
      <c r="N72" s="19" t="s">
        <v>2904</v>
      </c>
      <c r="O72" s="6" t="s">
        <v>585</v>
      </c>
      <c r="P72" s="212" t="s">
        <v>1114</v>
      </c>
      <c r="Q72" s="41" t="n">
        <f aca="false">Spec_Rack!F6</f>
        <v>72</v>
      </c>
      <c r="R72" s="184" t="n">
        <f aca="false">SRC_HW_047</f>
        <v>72</v>
      </c>
      <c r="S72" s="35" t="str">
        <f aca="false">IF(ISNUMBER($AF72),INDEX(IDX_SrcStat,$AF72),"—")</f>
        <v>Active</v>
      </c>
      <c r="T72" s="35" t="n">
        <f aca="false">IF(ISNUMBER($AF72),INDEX(IDX_SrcGrade,$AF72),"—")</f>
        <v>1</v>
      </c>
      <c r="U72" s="35" t="s">
        <v>2808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5" t="n">
        <f aca="false">IF(OR($H72="—",$H72=""),"—",MATCH($H72,IDX_SrcID,0))</f>
        <v>47</v>
      </c>
    </row>
    <row r="73" customFormat="false" ht="15" hidden="false" customHeight="true" outlineLevel="0" collapsed="false">
      <c r="A73" s="36" t="s">
        <v>2937</v>
      </c>
      <c r="B73" s="212" t="s">
        <v>2769</v>
      </c>
      <c r="C73" s="36" t="s">
        <v>2927</v>
      </c>
      <c r="D73" s="36" t="s">
        <v>2938</v>
      </c>
      <c r="E73" s="6" t="s">
        <v>155</v>
      </c>
      <c r="F73" s="212" t="s">
        <v>296</v>
      </c>
      <c r="G73" s="212" t="s">
        <v>2771</v>
      </c>
      <c r="H73" s="36" t="s">
        <v>2939</v>
      </c>
      <c r="I73" s="19" t="s">
        <v>2806</v>
      </c>
      <c r="J73" s="36" t="s">
        <v>585</v>
      </c>
      <c r="K73" s="212"/>
      <c r="L73" s="212"/>
      <c r="M73" s="36" t="s">
        <v>585</v>
      </c>
      <c r="N73" s="19" t="s">
        <v>2904</v>
      </c>
      <c r="O73" s="6" t="s">
        <v>585</v>
      </c>
      <c r="P73" s="212" t="s">
        <v>1114</v>
      </c>
      <c r="Q73" s="41" t="n">
        <f aca="false">Spec_Rack!G6</f>
        <v>72</v>
      </c>
      <c r="R73" s="184" t="n">
        <f aca="false">SRC_HW_061</f>
        <v>72</v>
      </c>
      <c r="S73" s="35" t="str">
        <f aca="false">IF(ISNUMBER($AF73),INDEX(IDX_SrcStat,$AF73),"—")</f>
        <v>Active</v>
      </c>
      <c r="T73" s="35" t="n">
        <f aca="false">IF(ISNUMBER($AF73),INDEX(IDX_SrcGrade,$AF73),"—")</f>
        <v>1</v>
      </c>
      <c r="U73" s="35" t="s">
        <v>2808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5" t="n">
        <f aca="false">IF(OR($H73="—",$H73=""),"—",MATCH($H73,IDX_SrcID,0))</f>
        <v>61</v>
      </c>
    </row>
    <row r="74" customFormat="false" ht="29.25" hidden="false" customHeight="true" outlineLevel="0" collapsed="false">
      <c r="A74" s="36" t="s">
        <v>2940</v>
      </c>
      <c r="B74" s="212" t="s">
        <v>2769</v>
      </c>
      <c r="C74" s="36" t="s">
        <v>2927</v>
      </c>
      <c r="D74" s="36" t="s">
        <v>2941</v>
      </c>
      <c r="E74" s="19" t="s">
        <v>160</v>
      </c>
      <c r="F74" s="36" t="s">
        <v>78</v>
      </c>
      <c r="G74" s="212" t="s">
        <v>1113</v>
      </c>
      <c r="H74" s="36" t="s">
        <v>585</v>
      </c>
      <c r="I74" s="6" t="s">
        <v>585</v>
      </c>
      <c r="J74" s="36" t="s">
        <v>585</v>
      </c>
      <c r="K74" s="212"/>
      <c r="L74" s="212"/>
      <c r="M74" s="36" t="s">
        <v>585</v>
      </c>
      <c r="N74" s="6" t="s">
        <v>2942</v>
      </c>
      <c r="O74" s="6" t="s">
        <v>585</v>
      </c>
      <c r="P74" s="212" t="s">
        <v>2774</v>
      </c>
      <c r="Q74" s="41" t="n">
        <f aca="false">Spec_Rack!C8</f>
        <v>38</v>
      </c>
      <c r="R74" s="36" t="s">
        <v>585</v>
      </c>
      <c r="S74" s="35" t="str">
        <f aca="false">IF(ISNUMBER($AF74),INDEX(IDX_SrcStat,$AF74),"—")</f>
        <v>—</v>
      </c>
      <c r="T74" s="35" t="str">
        <f aca="false">IF(ISNUMBER($AF74),INDEX(IDX_SrcGrade,$AF74),"—")</f>
        <v>—</v>
      </c>
      <c r="U74" s="35" t="s">
        <v>2775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5" t="str">
        <f aca="false">IF(OR($H74="—",$H74=""),"—",MATCH($H74,IDX_SrcID,0))</f>
        <v>—</v>
      </c>
    </row>
    <row r="75" customFormat="false" ht="15" hidden="false" customHeight="true" outlineLevel="0" collapsed="false">
      <c r="A75" s="36" t="s">
        <v>2943</v>
      </c>
      <c r="B75" s="212" t="s">
        <v>2769</v>
      </c>
      <c r="C75" s="36" t="s">
        <v>2927</v>
      </c>
      <c r="D75" s="36" t="s">
        <v>2944</v>
      </c>
      <c r="E75" s="19" t="s">
        <v>160</v>
      </c>
      <c r="F75" s="212" t="s">
        <v>296</v>
      </c>
      <c r="G75" s="212" t="s">
        <v>2771</v>
      </c>
      <c r="H75" s="36" t="s">
        <v>2945</v>
      </c>
      <c r="I75" s="19" t="s">
        <v>2806</v>
      </c>
      <c r="J75" s="36" t="s">
        <v>585</v>
      </c>
      <c r="K75" s="212"/>
      <c r="L75" s="212"/>
      <c r="M75" s="36" t="s">
        <v>585</v>
      </c>
      <c r="N75" s="19" t="s">
        <v>2904</v>
      </c>
      <c r="O75" s="6" t="s">
        <v>585</v>
      </c>
      <c r="P75" s="212" t="s">
        <v>2774</v>
      </c>
      <c r="Q75" s="41" t="n">
        <f aca="false">Spec_Rack!D8</f>
        <v>120</v>
      </c>
      <c r="R75" s="184" t="n">
        <f aca="false">SRC_HW_004_Lo</f>
        <v>120</v>
      </c>
      <c r="S75" s="35" t="str">
        <f aca="false">IF(ISNUMBER($AF75),INDEX(IDX_SrcStat,$AF75),"—")</f>
        <v>Active</v>
      </c>
      <c r="T75" s="35" t="n">
        <f aca="false">IF(ISNUMBER($AF75),INDEX(IDX_SrcGrade,$AF75),"—")</f>
        <v>1</v>
      </c>
      <c r="U75" s="35" t="s">
        <v>2808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5" t="n">
        <f aca="false">IF(OR($H75="—",$H75=""),"—",MATCH($H75,IDX_SrcID,0))</f>
        <v>4</v>
      </c>
    </row>
    <row r="76" customFormat="false" ht="15" hidden="false" customHeight="true" outlineLevel="0" collapsed="false">
      <c r="A76" s="36" t="s">
        <v>2946</v>
      </c>
      <c r="B76" s="212" t="s">
        <v>2769</v>
      </c>
      <c r="C76" s="36" t="s">
        <v>2927</v>
      </c>
      <c r="D76" s="36" t="s">
        <v>2669</v>
      </c>
      <c r="E76" s="19" t="s">
        <v>160</v>
      </c>
      <c r="F76" s="212" t="s">
        <v>296</v>
      </c>
      <c r="G76" s="212" t="s">
        <v>2771</v>
      </c>
      <c r="H76" s="36" t="s">
        <v>2947</v>
      </c>
      <c r="I76" s="19" t="s">
        <v>2806</v>
      </c>
      <c r="J76" s="36" t="s">
        <v>585</v>
      </c>
      <c r="K76" s="212"/>
      <c r="L76" s="212"/>
      <c r="M76" s="36" t="s">
        <v>585</v>
      </c>
      <c r="N76" s="19" t="s">
        <v>2904</v>
      </c>
      <c r="O76" s="6" t="s">
        <v>585</v>
      </c>
      <c r="P76" s="212" t="s">
        <v>2774</v>
      </c>
      <c r="Q76" s="41" t="n">
        <f aca="false">Spec_Rack!E8</f>
        <v>132</v>
      </c>
      <c r="R76" s="184" t="n">
        <f aca="false">SRC_HW_005_Lo</f>
        <v>132</v>
      </c>
      <c r="S76" s="35" t="str">
        <f aca="false">IF(ISNUMBER($AF76),INDEX(IDX_SrcStat,$AF76),"—")</f>
        <v>Active</v>
      </c>
      <c r="T76" s="35" t="n">
        <f aca="false">IF(ISNUMBER($AF76),INDEX(IDX_SrcGrade,$AF76),"—")</f>
        <v>2</v>
      </c>
      <c r="U76" s="35" t="s">
        <v>2808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5" t="n">
        <f aca="false">IF(OR($H76="—",$H76=""),"—",MATCH($H76,IDX_SrcID,0))</f>
        <v>5</v>
      </c>
    </row>
    <row r="77" customFormat="false" ht="15" hidden="false" customHeight="true" outlineLevel="0" collapsed="false">
      <c r="A77" s="36" t="s">
        <v>2948</v>
      </c>
      <c r="B77" s="212" t="s">
        <v>2769</v>
      </c>
      <c r="C77" s="36" t="s">
        <v>2927</v>
      </c>
      <c r="D77" s="36" t="s">
        <v>2949</v>
      </c>
      <c r="E77" s="19" t="s">
        <v>160</v>
      </c>
      <c r="F77" s="212" t="s">
        <v>296</v>
      </c>
      <c r="G77" s="212" t="s">
        <v>2771</v>
      </c>
      <c r="H77" s="36" t="s">
        <v>2950</v>
      </c>
      <c r="I77" s="19" t="s">
        <v>2806</v>
      </c>
      <c r="J77" s="36" t="s">
        <v>585</v>
      </c>
      <c r="K77" s="212"/>
      <c r="L77" s="212"/>
      <c r="M77" s="36" t="s">
        <v>585</v>
      </c>
      <c r="N77" s="19" t="s">
        <v>2904</v>
      </c>
      <c r="O77" s="6" t="s">
        <v>585</v>
      </c>
      <c r="P77" s="212" t="s">
        <v>2774</v>
      </c>
      <c r="Q77" s="41" t="n">
        <f aca="false">Spec_Rack!F8</f>
        <v>188</v>
      </c>
      <c r="R77" s="184" t="n">
        <f aca="false">SRC_HW_011</f>
        <v>188</v>
      </c>
      <c r="S77" s="35" t="str">
        <f aca="false">IF(ISNUMBER($AF77),INDEX(IDX_SrcStat,$AF77),"—")</f>
        <v>Active</v>
      </c>
      <c r="T77" s="35" t="n">
        <f aca="false">IF(ISNUMBER($AF77),INDEX(IDX_SrcGrade,$AF77),"—")</f>
        <v>1</v>
      </c>
      <c r="U77" s="35" t="s">
        <v>2808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5" t="n">
        <f aca="false">IF(OR($H77="—",$H77=""),"—",MATCH($H77,IDX_SrcID,0))</f>
        <v>11</v>
      </c>
    </row>
    <row r="78" customFormat="false" ht="29.25" hidden="false" customHeight="true" outlineLevel="0" collapsed="false">
      <c r="A78" s="36" t="s">
        <v>2951</v>
      </c>
      <c r="B78" s="212" t="s">
        <v>2769</v>
      </c>
      <c r="C78" s="36" t="s">
        <v>2927</v>
      </c>
      <c r="D78" s="36" t="s">
        <v>2952</v>
      </c>
      <c r="E78" s="19" t="s">
        <v>160</v>
      </c>
      <c r="F78" s="36" t="s">
        <v>256</v>
      </c>
      <c r="G78" s="212" t="s">
        <v>1113</v>
      </c>
      <c r="H78" s="36" t="s">
        <v>585</v>
      </c>
      <c r="I78" s="6" t="s">
        <v>585</v>
      </c>
      <c r="J78" s="36" t="s">
        <v>585</v>
      </c>
      <c r="K78" s="212"/>
      <c r="L78" s="212"/>
      <c r="M78" s="36" t="s">
        <v>585</v>
      </c>
      <c r="N78" s="6" t="s">
        <v>2953</v>
      </c>
      <c r="O78" s="6" t="s">
        <v>585</v>
      </c>
      <c r="P78" s="212" t="s">
        <v>2774</v>
      </c>
      <c r="Q78" s="41" t="n">
        <f aca="false">Spec_Rack!G8</f>
        <v>300</v>
      </c>
      <c r="R78" s="36" t="s">
        <v>585</v>
      </c>
      <c r="S78" s="35" t="str">
        <f aca="false">IF(ISNUMBER($AF78),INDEX(IDX_SrcStat,$AF78),"—")</f>
        <v>—</v>
      </c>
      <c r="T78" s="35" t="str">
        <f aca="false">IF(ISNUMBER($AF78),INDEX(IDX_SrcGrade,$AF78),"—")</f>
        <v>—</v>
      </c>
      <c r="U78" s="35" t="s">
        <v>2775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5" t="str">
        <f aca="false">IF(OR($H78="—",$H78=""),"—",MATCH($H78,IDX_SrcID,0))</f>
        <v>—</v>
      </c>
    </row>
    <row r="79" customFormat="false" ht="43.5" hidden="false" customHeight="true" outlineLevel="0" collapsed="false">
      <c r="A79" s="36" t="s">
        <v>2954</v>
      </c>
      <c r="B79" s="212" t="s">
        <v>2769</v>
      </c>
      <c r="C79" s="36" t="s">
        <v>2927</v>
      </c>
      <c r="D79" s="36" t="s">
        <v>2955</v>
      </c>
      <c r="E79" s="19" t="s">
        <v>161</v>
      </c>
      <c r="F79" s="212" t="s">
        <v>2956</v>
      </c>
      <c r="G79" s="212" t="s">
        <v>63</v>
      </c>
      <c r="H79" s="36" t="s">
        <v>2957</v>
      </c>
      <c r="I79" s="19" t="s">
        <v>2958</v>
      </c>
      <c r="J79" s="36" t="s">
        <v>585</v>
      </c>
      <c r="K79" s="41" t="n">
        <f aca="false">Spec_Rack!C8</f>
        <v>38</v>
      </c>
      <c r="L79" s="41" t="n">
        <f aca="false">Spec_Rack!C10</f>
        <v>44</v>
      </c>
      <c r="M79" s="36" t="s">
        <v>585</v>
      </c>
      <c r="N79" s="19" t="s">
        <v>2959</v>
      </c>
      <c r="O79" s="6" t="s">
        <v>585</v>
      </c>
      <c r="P79" s="212" t="s">
        <v>1114</v>
      </c>
      <c r="Q79" s="41" t="n">
        <f aca="false">Spec_Rack!C9</f>
        <v>41</v>
      </c>
      <c r="R79" s="184" t="n">
        <f aca="false">SRC_HW_001</f>
        <v>10.2</v>
      </c>
      <c r="S79" s="35" t="str">
        <f aca="false">IF(ISNUMBER($AF79),INDEX(IDX_SrcStat,$AF79),"—")</f>
        <v>Active</v>
      </c>
      <c r="T79" s="35" t="n">
        <f aca="false">IF(ISNUMBER($AF79),INDEX(IDX_SrcGrade,$AF79),"—")</f>
        <v>1</v>
      </c>
      <c r="U79" s="35" t="s">
        <v>2775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5" t="n">
        <f aca="false">IF(OR($H79="—",$H79=""),"—",MATCH($H79,IDX_SrcID,0))</f>
        <v>1</v>
      </c>
    </row>
    <row r="80" customFormat="false" ht="43.5" hidden="false" customHeight="true" outlineLevel="0" collapsed="false">
      <c r="A80" s="36" t="s">
        <v>2960</v>
      </c>
      <c r="B80" s="212" t="s">
        <v>2769</v>
      </c>
      <c r="C80" s="36" t="s">
        <v>2927</v>
      </c>
      <c r="D80" s="36" t="s">
        <v>2784</v>
      </c>
      <c r="E80" s="19" t="s">
        <v>161</v>
      </c>
      <c r="F80" s="212" t="s">
        <v>296</v>
      </c>
      <c r="G80" s="212" t="s">
        <v>63</v>
      </c>
      <c r="H80" s="36" t="s">
        <v>2945</v>
      </c>
      <c r="I80" s="19" t="s">
        <v>2961</v>
      </c>
      <c r="J80" s="36" t="s">
        <v>585</v>
      </c>
      <c r="K80" s="41" t="n">
        <f aca="false">Spec_Rack!D8</f>
        <v>120</v>
      </c>
      <c r="L80" s="41" t="n">
        <f aca="false">Spec_Rack!D10</f>
        <v>140</v>
      </c>
      <c r="M80" s="36" t="s">
        <v>585</v>
      </c>
      <c r="N80" s="19" t="s">
        <v>2962</v>
      </c>
      <c r="O80" s="6" t="s">
        <v>585</v>
      </c>
      <c r="P80" s="212" t="s">
        <v>1114</v>
      </c>
      <c r="Q80" s="41" t="n">
        <f aca="false">Spec_Rack!D9</f>
        <v>132</v>
      </c>
      <c r="R80" s="184" t="n">
        <f aca="false">SRC_HW_004_Hi</f>
        <v>132</v>
      </c>
      <c r="S80" s="35" t="str">
        <f aca="false">IF(ISNUMBER($AF80),INDEX(IDX_SrcStat,$AF80),"—")</f>
        <v>Active</v>
      </c>
      <c r="T80" s="35" t="n">
        <f aca="false">IF(ISNUMBER($AF80),INDEX(IDX_SrcGrade,$AF80),"—")</f>
        <v>1</v>
      </c>
      <c r="U80" s="35" t="s">
        <v>2808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5" t="n">
        <f aca="false">IF(OR($H80="—",$H80=""),"—",MATCH($H80,IDX_SrcID,0))</f>
        <v>4</v>
      </c>
    </row>
    <row r="81" customFormat="false" ht="29.25" hidden="false" customHeight="true" outlineLevel="0" collapsed="false">
      <c r="A81" s="36" t="s">
        <v>2963</v>
      </c>
      <c r="B81" s="212" t="s">
        <v>2769</v>
      </c>
      <c r="C81" s="36" t="s">
        <v>2927</v>
      </c>
      <c r="D81" s="36" t="s">
        <v>2672</v>
      </c>
      <c r="E81" s="19" t="s">
        <v>161</v>
      </c>
      <c r="F81" s="212" t="s">
        <v>256</v>
      </c>
      <c r="G81" s="212" t="s">
        <v>63</v>
      </c>
      <c r="H81" s="36" t="s">
        <v>2947</v>
      </c>
      <c r="I81" s="19" t="s">
        <v>2964</v>
      </c>
      <c r="J81" s="36" t="s">
        <v>585</v>
      </c>
      <c r="K81" s="41" t="n">
        <f aca="false">Spec_Rack!E8</f>
        <v>132</v>
      </c>
      <c r="L81" s="41" t="n">
        <f aca="false">Spec_Rack!E10</f>
        <v>140</v>
      </c>
      <c r="M81" s="36" t="s">
        <v>585</v>
      </c>
      <c r="N81" s="19" t="s">
        <v>2965</v>
      </c>
      <c r="O81" s="19" t="s">
        <v>2966</v>
      </c>
      <c r="P81" s="212" t="s">
        <v>1114</v>
      </c>
      <c r="Q81" s="41" t="n">
        <f aca="false">Spec_Rack!E9</f>
        <v>136</v>
      </c>
      <c r="R81" s="184" t="n">
        <f aca="false">SRC_HW_005_Lo</f>
        <v>132</v>
      </c>
      <c r="S81" s="35" t="str">
        <f aca="false">IF(ISNUMBER($AF81),INDEX(IDX_SrcStat,$AF81),"—")</f>
        <v>Active</v>
      </c>
      <c r="T81" s="35" t="n">
        <f aca="false">IF(ISNUMBER($AF81),INDEX(IDX_SrcGrade,$AF81),"—")</f>
        <v>2</v>
      </c>
      <c r="U81" s="35" t="s">
        <v>2775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5" t="n">
        <f aca="false">IF(OR($H81="—",$H81=""),"—",MATCH($H81,IDX_SrcID,0))</f>
        <v>5</v>
      </c>
    </row>
    <row r="82" customFormat="false" ht="15" hidden="false" customHeight="true" outlineLevel="0" collapsed="false">
      <c r="A82" s="36" t="s">
        <v>2967</v>
      </c>
      <c r="B82" s="212" t="s">
        <v>2769</v>
      </c>
      <c r="C82" s="36" t="s">
        <v>2927</v>
      </c>
      <c r="D82" s="36" t="s">
        <v>2786</v>
      </c>
      <c r="E82" s="19" t="s">
        <v>161</v>
      </c>
      <c r="F82" s="212" t="s">
        <v>296</v>
      </c>
      <c r="G82" s="212" t="s">
        <v>2771</v>
      </c>
      <c r="H82" s="36" t="s">
        <v>2968</v>
      </c>
      <c r="I82" s="19" t="s">
        <v>2806</v>
      </c>
      <c r="J82" s="36" t="s">
        <v>585</v>
      </c>
      <c r="K82" s="212"/>
      <c r="L82" s="212"/>
      <c r="M82" s="36" t="s">
        <v>585</v>
      </c>
      <c r="N82" s="19" t="s">
        <v>2904</v>
      </c>
      <c r="O82" s="6" t="s">
        <v>585</v>
      </c>
      <c r="P82" s="212" t="s">
        <v>1114</v>
      </c>
      <c r="Q82" s="41" t="n">
        <f aca="false">Spec_Rack!F9</f>
        <v>227</v>
      </c>
      <c r="R82" s="184" t="n">
        <f aca="false">SRC_HW_014</f>
        <v>227</v>
      </c>
      <c r="S82" s="35" t="str">
        <f aca="false">IF(ISNUMBER($AF82),INDEX(IDX_SrcStat,$AF82),"—")</f>
        <v>Active</v>
      </c>
      <c r="T82" s="35" t="n">
        <f aca="false">IF(ISNUMBER($AF82),INDEX(IDX_SrcGrade,$AF82),"—")</f>
        <v>1</v>
      </c>
      <c r="U82" s="35" t="s">
        <v>2808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5" t="n">
        <f aca="false">IF(OR($H82="—",$H82=""),"—",MATCH($H82,IDX_SrcID,0))</f>
        <v>14</v>
      </c>
    </row>
    <row r="83" customFormat="false" ht="15" hidden="false" customHeight="true" outlineLevel="0" collapsed="false">
      <c r="A83" s="36" t="s">
        <v>2969</v>
      </c>
      <c r="B83" s="212" t="s">
        <v>2769</v>
      </c>
      <c r="C83" s="36" t="s">
        <v>2927</v>
      </c>
      <c r="D83" s="36" t="s">
        <v>2970</v>
      </c>
      <c r="E83" s="19" t="s">
        <v>161</v>
      </c>
      <c r="F83" s="212" t="s">
        <v>256</v>
      </c>
      <c r="G83" s="212" t="s">
        <v>63</v>
      </c>
      <c r="H83" s="36" t="s">
        <v>585</v>
      </c>
      <c r="I83" s="19" t="s">
        <v>2971</v>
      </c>
      <c r="J83" s="36" t="s">
        <v>585</v>
      </c>
      <c r="K83" s="215" t="n">
        <f aca="false">Spec_Rack!G8</f>
        <v>300</v>
      </c>
      <c r="L83" s="215" t="n">
        <f aca="false">Spec_Rack!G10</f>
        <v>454</v>
      </c>
      <c r="M83" s="36" t="s">
        <v>585</v>
      </c>
      <c r="N83" s="19" t="s">
        <v>2972</v>
      </c>
      <c r="O83" s="19" t="s">
        <v>2973</v>
      </c>
      <c r="P83" s="212" t="s">
        <v>1114</v>
      </c>
      <c r="Q83" s="41" t="n">
        <f aca="false">Spec_Rack!G9</f>
        <v>340</v>
      </c>
      <c r="R83" s="36" t="s">
        <v>585</v>
      </c>
      <c r="S83" s="35" t="str">
        <f aca="false">IF(ISNUMBER($AF83),INDEX(IDX_SrcStat,$AF83),"—")</f>
        <v>—</v>
      </c>
      <c r="T83" s="35" t="str">
        <f aca="false">IF(ISNUMBER($AF83),INDEX(IDX_SrcGrade,$AF83),"—")</f>
        <v>—</v>
      </c>
      <c r="U83" s="35" t="s">
        <v>2775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5" t="str">
        <f aca="false">IF(OR($H83="—",$H83=""),"—",MATCH($H83,IDX_SrcID,0))</f>
        <v>—</v>
      </c>
    </row>
    <row r="84" customFormat="false" ht="29.25" hidden="false" customHeight="true" outlineLevel="0" collapsed="false">
      <c r="A84" s="36" t="s">
        <v>2974</v>
      </c>
      <c r="B84" s="212" t="s">
        <v>2769</v>
      </c>
      <c r="C84" s="36" t="s">
        <v>2927</v>
      </c>
      <c r="D84" s="36" t="s">
        <v>2975</v>
      </c>
      <c r="E84" s="19" t="s">
        <v>162</v>
      </c>
      <c r="F84" s="36" t="s">
        <v>78</v>
      </c>
      <c r="G84" s="212" t="s">
        <v>1114</v>
      </c>
      <c r="H84" s="36" t="s">
        <v>585</v>
      </c>
      <c r="I84" s="6" t="s">
        <v>585</v>
      </c>
      <c r="J84" s="36" t="s">
        <v>585</v>
      </c>
      <c r="K84" s="212"/>
      <c r="L84" s="212"/>
      <c r="M84" s="36" t="s">
        <v>585</v>
      </c>
      <c r="N84" s="6" t="s">
        <v>2976</v>
      </c>
      <c r="O84" s="6" t="s">
        <v>585</v>
      </c>
      <c r="P84" s="212" t="s">
        <v>2774</v>
      </c>
      <c r="Q84" s="41" t="n">
        <f aca="false">Spec_Rack!C10</f>
        <v>44</v>
      </c>
      <c r="R84" s="36" t="s">
        <v>585</v>
      </c>
      <c r="S84" s="35" t="str">
        <f aca="false">IF(ISNUMBER($AF84),INDEX(IDX_SrcStat,$AF84),"—")</f>
        <v>—</v>
      </c>
      <c r="T84" s="35" t="str">
        <f aca="false">IF(ISNUMBER($AF84),INDEX(IDX_SrcGrade,$AF84),"—")</f>
        <v>—</v>
      </c>
      <c r="U84" s="35" t="s">
        <v>2775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5" t="str">
        <f aca="false">IF(OR($H84="—",$H84=""),"—",MATCH($H84,IDX_SrcID,0))</f>
        <v>—</v>
      </c>
    </row>
    <row r="85" customFormat="false" ht="15" hidden="false" customHeight="true" outlineLevel="0" collapsed="false">
      <c r="A85" s="36" t="s">
        <v>2977</v>
      </c>
      <c r="B85" s="212" t="s">
        <v>2769</v>
      </c>
      <c r="C85" s="36" t="s">
        <v>2927</v>
      </c>
      <c r="D85" s="36" t="s">
        <v>2789</v>
      </c>
      <c r="E85" s="19" t="s">
        <v>162</v>
      </c>
      <c r="F85" s="36" t="s">
        <v>78</v>
      </c>
      <c r="G85" s="212" t="s">
        <v>1114</v>
      </c>
      <c r="H85" s="36" t="s">
        <v>585</v>
      </c>
      <c r="I85" s="6" t="s">
        <v>585</v>
      </c>
      <c r="J85" s="36" t="s">
        <v>585</v>
      </c>
      <c r="K85" s="212"/>
      <c r="L85" s="212"/>
      <c r="M85" s="36" t="s">
        <v>585</v>
      </c>
      <c r="N85" s="6" t="s">
        <v>2978</v>
      </c>
      <c r="O85" s="6" t="s">
        <v>585</v>
      </c>
      <c r="P85" s="212" t="s">
        <v>2774</v>
      </c>
      <c r="Q85" s="41" t="n">
        <f aca="false">Spec_Rack!D10</f>
        <v>140</v>
      </c>
      <c r="R85" s="36" t="s">
        <v>585</v>
      </c>
      <c r="S85" s="35" t="str">
        <f aca="false">IF(ISNUMBER($AF85),INDEX(IDX_SrcStat,$AF85),"—")</f>
        <v>—</v>
      </c>
      <c r="T85" s="35" t="str">
        <f aca="false">IF(ISNUMBER($AF85),INDEX(IDX_SrcGrade,$AF85),"—")</f>
        <v>—</v>
      </c>
      <c r="U85" s="35" t="s">
        <v>2775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5" t="str">
        <f aca="false">IF(OR($H85="—",$H85=""),"—",MATCH($H85,IDX_SrcID,0))</f>
        <v>—</v>
      </c>
    </row>
    <row r="86" customFormat="false" ht="15" hidden="false" customHeight="true" outlineLevel="0" collapsed="false">
      <c r="A86" s="36" t="s">
        <v>2979</v>
      </c>
      <c r="B86" s="212" t="s">
        <v>2769</v>
      </c>
      <c r="C86" s="36" t="s">
        <v>2927</v>
      </c>
      <c r="D86" s="36" t="s">
        <v>2675</v>
      </c>
      <c r="E86" s="19" t="s">
        <v>162</v>
      </c>
      <c r="F86" s="212" t="s">
        <v>296</v>
      </c>
      <c r="G86" s="212" t="s">
        <v>2771</v>
      </c>
      <c r="H86" s="36" t="s">
        <v>2947</v>
      </c>
      <c r="I86" s="19" t="s">
        <v>2806</v>
      </c>
      <c r="J86" s="36" t="s">
        <v>585</v>
      </c>
      <c r="K86" s="212"/>
      <c r="L86" s="212"/>
      <c r="M86" s="36" t="s">
        <v>585</v>
      </c>
      <c r="N86" s="19" t="s">
        <v>2904</v>
      </c>
      <c r="O86" s="6" t="s">
        <v>585</v>
      </c>
      <c r="P86" s="212" t="s">
        <v>2774</v>
      </c>
      <c r="Q86" s="41" t="n">
        <f aca="false">Spec_Rack!E10</f>
        <v>140</v>
      </c>
      <c r="R86" s="184" t="n">
        <f aca="false">SRC_HW_005_Hi</f>
        <v>140</v>
      </c>
      <c r="S86" s="35" t="str">
        <f aca="false">IF(ISNUMBER($AF86),INDEX(IDX_SrcStat,$AF86),"—")</f>
        <v>Active</v>
      </c>
      <c r="T86" s="35" t="n">
        <f aca="false">IF(ISNUMBER($AF86),INDEX(IDX_SrcGrade,$AF86),"—")</f>
        <v>2</v>
      </c>
      <c r="U86" s="35" t="s">
        <v>2808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5" t="n">
        <f aca="false">IF(OR($H86="—",$H86=""),"—",MATCH($H86,IDX_SrcID,0))</f>
        <v>5</v>
      </c>
    </row>
    <row r="87" customFormat="false" ht="15" hidden="false" customHeight="true" outlineLevel="0" collapsed="false">
      <c r="A87" s="36" t="s">
        <v>2980</v>
      </c>
      <c r="B87" s="212" t="s">
        <v>2769</v>
      </c>
      <c r="C87" s="36" t="s">
        <v>2927</v>
      </c>
      <c r="D87" s="36" t="s">
        <v>2791</v>
      </c>
      <c r="E87" s="19" t="s">
        <v>162</v>
      </c>
      <c r="F87" s="212" t="s">
        <v>296</v>
      </c>
      <c r="G87" s="212" t="s">
        <v>2771</v>
      </c>
      <c r="H87" s="36" t="s">
        <v>2981</v>
      </c>
      <c r="I87" s="19" t="s">
        <v>2806</v>
      </c>
      <c r="J87" s="36" t="s">
        <v>585</v>
      </c>
      <c r="K87" s="212"/>
      <c r="L87" s="212"/>
      <c r="M87" s="36" t="s">
        <v>585</v>
      </c>
      <c r="N87" s="19" t="s">
        <v>2904</v>
      </c>
      <c r="O87" s="6" t="s">
        <v>585</v>
      </c>
      <c r="P87" s="212" t="s">
        <v>2774</v>
      </c>
      <c r="Q87" s="41" t="n">
        <f aca="false">Spec_Rack!F10</f>
        <v>230</v>
      </c>
      <c r="R87" s="184" t="n">
        <f aca="false">SRC_HW_012</f>
        <v>230</v>
      </c>
      <c r="S87" s="35" t="str">
        <f aca="false">IF(ISNUMBER($AF87),INDEX(IDX_SrcStat,$AF87),"—")</f>
        <v>Active</v>
      </c>
      <c r="T87" s="35" t="n">
        <f aca="false">IF(ISNUMBER($AF87),INDEX(IDX_SrcGrade,$AF87),"—")</f>
        <v>3</v>
      </c>
      <c r="U87" s="35" t="s">
        <v>2808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5" t="n">
        <f aca="false">IF(OR($H87="—",$H87=""),"—",MATCH($H87,IDX_SrcID,0))</f>
        <v>12</v>
      </c>
    </row>
    <row r="88" customFormat="false" ht="29.25" hidden="false" customHeight="true" outlineLevel="0" collapsed="false">
      <c r="A88" s="36" t="s">
        <v>2982</v>
      </c>
      <c r="B88" s="212" t="s">
        <v>2769</v>
      </c>
      <c r="C88" s="36" t="s">
        <v>2927</v>
      </c>
      <c r="D88" s="36" t="s">
        <v>2983</v>
      </c>
      <c r="E88" s="19" t="s">
        <v>162</v>
      </c>
      <c r="F88" s="36" t="s">
        <v>256</v>
      </c>
      <c r="G88" s="212" t="s">
        <v>1114</v>
      </c>
      <c r="H88" s="36" t="s">
        <v>585</v>
      </c>
      <c r="I88" s="6" t="s">
        <v>585</v>
      </c>
      <c r="J88" s="36" t="s">
        <v>585</v>
      </c>
      <c r="K88" s="212"/>
      <c r="L88" s="212"/>
      <c r="M88" s="36" t="s">
        <v>585</v>
      </c>
      <c r="N88" s="6" t="s">
        <v>2984</v>
      </c>
      <c r="O88" s="6" t="s">
        <v>585</v>
      </c>
      <c r="P88" s="212" t="s">
        <v>2774</v>
      </c>
      <c r="Q88" s="41" t="n">
        <f aca="false">Spec_Rack!G10</f>
        <v>454</v>
      </c>
      <c r="R88" s="36" t="s">
        <v>585</v>
      </c>
      <c r="S88" s="35" t="str">
        <f aca="false">IF(ISNUMBER($AF88),INDEX(IDX_SrcStat,$AF88),"—")</f>
        <v>—</v>
      </c>
      <c r="T88" s="35" t="str">
        <f aca="false">IF(ISNUMBER($AF88),INDEX(IDX_SrcGrade,$AF88),"—")</f>
        <v>—</v>
      </c>
      <c r="U88" s="35" t="s">
        <v>2775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5" t="str">
        <f aca="false">IF(OR($H88="—",$H88=""),"—",MATCH($H88,IDX_SrcID,0))</f>
        <v>—</v>
      </c>
    </row>
    <row r="89" customFormat="false" ht="43.5" hidden="false" customHeight="true" outlineLevel="0" collapsed="false">
      <c r="A89" s="36" t="s">
        <v>2985</v>
      </c>
      <c r="B89" s="212" t="s">
        <v>2769</v>
      </c>
      <c r="C89" s="36" t="s">
        <v>2927</v>
      </c>
      <c r="D89" s="36" t="s">
        <v>2986</v>
      </c>
      <c r="E89" s="19" t="s">
        <v>163</v>
      </c>
      <c r="F89" s="212" t="s">
        <v>2956</v>
      </c>
      <c r="G89" s="212" t="s">
        <v>1113</v>
      </c>
      <c r="H89" s="36" t="s">
        <v>2987</v>
      </c>
      <c r="I89" s="19" t="s">
        <v>2988</v>
      </c>
      <c r="J89" s="36" t="s">
        <v>585</v>
      </c>
      <c r="K89" s="212"/>
      <c r="L89" s="212"/>
      <c r="M89" s="36" t="s">
        <v>585</v>
      </c>
      <c r="N89" s="19" t="s">
        <v>2989</v>
      </c>
      <c r="O89" s="6" t="s">
        <v>585</v>
      </c>
      <c r="P89" s="212" t="s">
        <v>2774</v>
      </c>
      <c r="Q89" s="177" t="n">
        <f aca="false">Spec_Rack!C11</f>
        <v>0.9</v>
      </c>
      <c r="R89" s="184" t="n">
        <f aca="false">SRC_HW_003_Lo</f>
        <v>220000</v>
      </c>
      <c r="S89" s="35" t="str">
        <f aca="false">IF(ISNUMBER($AF89),INDEX(IDX_SrcStat,$AF89),"—")</f>
        <v>Active</v>
      </c>
      <c r="T89" s="35" t="n">
        <f aca="false">IF(ISNUMBER($AF89),INDEX(IDX_SrcGrade,$AF89),"—")</f>
        <v>2</v>
      </c>
      <c r="U89" s="35" t="s">
        <v>2775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5" t="n">
        <f aca="false">IF(OR($H89="—",$H89=""),"—",MATCH($H89,IDX_SrcID,0))</f>
        <v>3</v>
      </c>
    </row>
    <row r="90" customFormat="false" ht="15" hidden="false" customHeight="true" outlineLevel="0" collapsed="false">
      <c r="A90" s="36" t="s">
        <v>2990</v>
      </c>
      <c r="B90" s="212" t="s">
        <v>2769</v>
      </c>
      <c r="C90" s="36" t="s">
        <v>2927</v>
      </c>
      <c r="D90" s="36" t="s">
        <v>2796</v>
      </c>
      <c r="E90" s="19" t="s">
        <v>163</v>
      </c>
      <c r="F90" s="212" t="s">
        <v>296</v>
      </c>
      <c r="G90" s="212" t="s">
        <v>2771</v>
      </c>
      <c r="H90" s="36" t="s">
        <v>2991</v>
      </c>
      <c r="I90" s="19" t="s">
        <v>2806</v>
      </c>
      <c r="J90" s="36" t="s">
        <v>585</v>
      </c>
      <c r="K90" s="212"/>
      <c r="L90" s="212"/>
      <c r="M90" s="36" t="s">
        <v>585</v>
      </c>
      <c r="N90" s="19" t="s">
        <v>2992</v>
      </c>
      <c r="O90" s="6" t="s">
        <v>585</v>
      </c>
      <c r="P90" s="212" t="s">
        <v>2774</v>
      </c>
      <c r="Q90" s="177" t="n">
        <f aca="false">Spec_Rack!D11</f>
        <v>2.8</v>
      </c>
      <c r="R90" s="184" t="n">
        <f aca="false">SRC_HW_006_Lo</f>
        <v>2.8</v>
      </c>
      <c r="S90" s="35" t="str">
        <f aca="false">IF(ISNUMBER($AF90),INDEX(IDX_SrcStat,$AF90),"—")</f>
        <v>Active</v>
      </c>
      <c r="T90" s="35" t="n">
        <f aca="false">IF(ISNUMBER($AF90),INDEX(IDX_SrcGrade,$AF90),"—")</f>
        <v>2</v>
      </c>
      <c r="U90" s="35" t="s">
        <v>2808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5" t="n">
        <f aca="false">IF(OR($H90="—",$H90=""),"—",MATCH($H90,IDX_SrcID,0))</f>
        <v>6</v>
      </c>
    </row>
    <row r="91" customFormat="false" ht="15" hidden="false" customHeight="true" outlineLevel="0" collapsed="false">
      <c r="A91" s="36" t="s">
        <v>2993</v>
      </c>
      <c r="B91" s="212" t="s">
        <v>2769</v>
      </c>
      <c r="C91" s="36" t="s">
        <v>2927</v>
      </c>
      <c r="D91" s="36" t="s">
        <v>2678</v>
      </c>
      <c r="E91" s="19" t="s">
        <v>163</v>
      </c>
      <c r="F91" s="212" t="s">
        <v>296</v>
      </c>
      <c r="G91" s="212" t="s">
        <v>2771</v>
      </c>
      <c r="H91" s="36" t="s">
        <v>2994</v>
      </c>
      <c r="I91" s="19" t="s">
        <v>2806</v>
      </c>
      <c r="J91" s="36" t="s">
        <v>585</v>
      </c>
      <c r="K91" s="212"/>
      <c r="L91" s="212"/>
      <c r="M91" s="36" t="s">
        <v>585</v>
      </c>
      <c r="N91" s="19" t="s">
        <v>2992</v>
      </c>
      <c r="O91" s="6" t="s">
        <v>585</v>
      </c>
      <c r="P91" s="212" t="s">
        <v>2774</v>
      </c>
      <c r="Q91" s="177" t="n">
        <f aca="false">Spec_Rack!E11</f>
        <v>4</v>
      </c>
      <c r="R91" s="184" t="n">
        <f aca="false">SRC_HW_052</f>
        <v>4</v>
      </c>
      <c r="S91" s="35" t="str">
        <f aca="false">IF(ISNUMBER($AF91),INDEX(IDX_SrcStat,$AF91),"—")</f>
        <v>Active</v>
      </c>
      <c r="T91" s="35" t="n">
        <f aca="false">IF(ISNUMBER($AF91),INDEX(IDX_SrcGrade,$AF91),"—")</f>
        <v>3</v>
      </c>
      <c r="U91" s="35" t="s">
        <v>2808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5" t="n">
        <f aca="false">IF(OR($H91="—",$H91=""),"—",MATCH($H91,IDX_SrcID,0))</f>
        <v>52</v>
      </c>
    </row>
    <row r="92" customFormat="false" ht="43.5" hidden="false" customHeight="true" outlineLevel="0" collapsed="false">
      <c r="A92" s="36" t="s">
        <v>2995</v>
      </c>
      <c r="B92" s="212" t="s">
        <v>2769</v>
      </c>
      <c r="C92" s="36" t="s">
        <v>2927</v>
      </c>
      <c r="D92" s="36" t="s">
        <v>2798</v>
      </c>
      <c r="E92" s="19" t="s">
        <v>163</v>
      </c>
      <c r="F92" s="212" t="s">
        <v>256</v>
      </c>
      <c r="G92" s="212" t="s">
        <v>1113</v>
      </c>
      <c r="H92" s="36" t="s">
        <v>2996</v>
      </c>
      <c r="I92" s="19" t="s">
        <v>2997</v>
      </c>
      <c r="J92" s="36" t="s">
        <v>585</v>
      </c>
      <c r="K92" s="212"/>
      <c r="L92" s="212"/>
      <c r="M92" s="36" t="s">
        <v>585</v>
      </c>
      <c r="N92" s="19" t="s">
        <v>2998</v>
      </c>
      <c r="O92" s="19" t="s">
        <v>2999</v>
      </c>
      <c r="P92" s="212" t="s">
        <v>2774</v>
      </c>
      <c r="Q92" s="177" t="n">
        <f aca="false">Spec_Rack!F11</f>
        <v>7.8</v>
      </c>
      <c r="R92" s="184" t="n">
        <f aca="false">SRC_HW_015</f>
        <v>7.8</v>
      </c>
      <c r="S92" s="35" t="str">
        <f aca="false">IF(ISNUMBER($AF92),INDEX(IDX_SrcStat,$AF92),"—")</f>
        <v>Active</v>
      </c>
      <c r="T92" s="35" t="n">
        <f aca="false">IF(ISNUMBER($AF92),INDEX(IDX_SrcGrade,$AF92),"—")</f>
        <v>2</v>
      </c>
      <c r="U92" s="35" t="s">
        <v>2775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5" t="n">
        <f aca="false">IF(OR($H92="—",$H92=""),"—",MATCH($H92,IDX_SrcID,0))</f>
        <v>15</v>
      </c>
    </row>
    <row r="93" customFormat="false" ht="29.25" hidden="false" customHeight="true" outlineLevel="0" collapsed="false">
      <c r="A93" s="36" t="s">
        <v>3000</v>
      </c>
      <c r="B93" s="212" t="s">
        <v>2769</v>
      </c>
      <c r="C93" s="36" t="s">
        <v>2927</v>
      </c>
      <c r="D93" s="36" t="s">
        <v>3001</v>
      </c>
      <c r="E93" s="19" t="s">
        <v>163</v>
      </c>
      <c r="F93" s="36" t="s">
        <v>78</v>
      </c>
      <c r="G93" s="212" t="s">
        <v>1113</v>
      </c>
      <c r="H93" s="36" t="s">
        <v>585</v>
      </c>
      <c r="I93" s="6" t="s">
        <v>585</v>
      </c>
      <c r="J93" s="36" t="s">
        <v>585</v>
      </c>
      <c r="K93" s="212"/>
      <c r="L93" s="212"/>
      <c r="M93" s="36" t="s">
        <v>585</v>
      </c>
      <c r="N93" s="6" t="s">
        <v>3002</v>
      </c>
      <c r="O93" s="6" t="s">
        <v>3003</v>
      </c>
      <c r="P93" s="212" t="s">
        <v>2774</v>
      </c>
      <c r="Q93" s="177" t="n">
        <f aca="false">Spec_Rack!G11</f>
        <v>12.6</v>
      </c>
      <c r="R93" s="36" t="s">
        <v>585</v>
      </c>
      <c r="S93" s="35" t="str">
        <f aca="false">IF(ISNUMBER($AF93),INDEX(IDX_SrcStat,$AF93),"—")</f>
        <v>—</v>
      </c>
      <c r="T93" s="35" t="str">
        <f aca="false">IF(ISNUMBER($AF93),INDEX(IDX_SrcGrade,$AF93),"—")</f>
        <v>—</v>
      </c>
      <c r="U93" s="35" t="s">
        <v>3004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5" t="str">
        <f aca="false">IF(OR($H93="—",$H93=""),"—",MATCH($H93,IDX_SrcID,0))</f>
        <v>—</v>
      </c>
    </row>
    <row r="94" customFormat="false" ht="43.5" hidden="false" customHeight="true" outlineLevel="0" collapsed="false">
      <c r="A94" s="36" t="s">
        <v>3005</v>
      </c>
      <c r="B94" s="212" t="s">
        <v>2769</v>
      </c>
      <c r="C94" s="36" t="s">
        <v>2927</v>
      </c>
      <c r="D94" s="36" t="s">
        <v>3006</v>
      </c>
      <c r="E94" s="19" t="s">
        <v>164</v>
      </c>
      <c r="F94" s="212" t="s">
        <v>2956</v>
      </c>
      <c r="G94" s="212" t="s">
        <v>63</v>
      </c>
      <c r="H94" s="36" t="s">
        <v>2987</v>
      </c>
      <c r="I94" s="19" t="s">
        <v>3007</v>
      </c>
      <c r="J94" s="36" t="s">
        <v>585</v>
      </c>
      <c r="K94" s="177" t="n">
        <f aca="false">Spec_Rack!C11</f>
        <v>0.9</v>
      </c>
      <c r="L94" s="177" t="n">
        <f aca="false">Spec_Rack!C13</f>
        <v>1.3</v>
      </c>
      <c r="M94" s="36" t="s">
        <v>585</v>
      </c>
      <c r="N94" s="19" t="s">
        <v>3008</v>
      </c>
      <c r="O94" s="6" t="s">
        <v>585</v>
      </c>
      <c r="P94" s="212" t="s">
        <v>1114</v>
      </c>
      <c r="Q94" s="177" t="n">
        <f aca="false">Spec_Rack!C12</f>
        <v>1.1</v>
      </c>
      <c r="R94" s="184" t="n">
        <f aca="false">SRC_HW_003_Lo</f>
        <v>220000</v>
      </c>
      <c r="S94" s="35" t="str">
        <f aca="false">IF(ISNUMBER($AF94),INDEX(IDX_SrcStat,$AF94),"—")</f>
        <v>Active</v>
      </c>
      <c r="T94" s="35" t="n">
        <f aca="false">IF(ISNUMBER($AF94),INDEX(IDX_SrcGrade,$AF94),"—")</f>
        <v>2</v>
      </c>
      <c r="U94" s="35" t="s">
        <v>2775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5" t="n">
        <f aca="false">IF(OR($H94="—",$H94=""),"—",MATCH($H94,IDX_SrcID,0))</f>
        <v>3</v>
      </c>
    </row>
    <row r="95" customFormat="false" ht="29.25" hidden="false" customHeight="true" outlineLevel="0" collapsed="false">
      <c r="A95" s="36" t="s">
        <v>3009</v>
      </c>
      <c r="B95" s="212" t="s">
        <v>2769</v>
      </c>
      <c r="C95" s="36" t="s">
        <v>2927</v>
      </c>
      <c r="D95" s="36" t="s">
        <v>3010</v>
      </c>
      <c r="E95" s="19" t="s">
        <v>164</v>
      </c>
      <c r="F95" s="212" t="s">
        <v>2956</v>
      </c>
      <c r="G95" s="212" t="s">
        <v>63</v>
      </c>
      <c r="H95" s="36" t="s">
        <v>2991</v>
      </c>
      <c r="I95" s="19" t="s">
        <v>3011</v>
      </c>
      <c r="J95" s="36" t="s">
        <v>585</v>
      </c>
      <c r="K95" s="177" t="n">
        <f aca="false">Spec_Rack!D11</f>
        <v>2.8</v>
      </c>
      <c r="L95" s="177" t="n">
        <f aca="false">Spec_Rack!D13</f>
        <v>3.4</v>
      </c>
      <c r="M95" s="36" t="s">
        <v>585</v>
      </c>
      <c r="N95" s="19" t="s">
        <v>3012</v>
      </c>
      <c r="O95" s="6" t="s">
        <v>585</v>
      </c>
      <c r="P95" s="212" t="s">
        <v>1114</v>
      </c>
      <c r="Q95" s="177" t="n">
        <f aca="false">Spec_Rack!D12</f>
        <v>3.1</v>
      </c>
      <c r="R95" s="184" t="n">
        <f aca="false">SRC_HW_006_Lo</f>
        <v>2.8</v>
      </c>
      <c r="S95" s="35" t="str">
        <f aca="false">IF(ISNUMBER($AF95),INDEX(IDX_SrcStat,$AF95),"—")</f>
        <v>Active</v>
      </c>
      <c r="T95" s="35" t="n">
        <f aca="false">IF(ISNUMBER($AF95),INDEX(IDX_SrcGrade,$AF95),"—")</f>
        <v>2</v>
      </c>
      <c r="U95" s="35" t="s">
        <v>2775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5" t="n">
        <f aca="false">IF(OR($H95="—",$H95=""),"—",MATCH($H95,IDX_SrcID,0))</f>
        <v>6</v>
      </c>
    </row>
    <row r="96" customFormat="false" ht="15" hidden="false" customHeight="true" outlineLevel="0" collapsed="false">
      <c r="A96" s="36" t="s">
        <v>3013</v>
      </c>
      <c r="B96" s="212" t="s">
        <v>2769</v>
      </c>
      <c r="C96" s="36" t="s">
        <v>2927</v>
      </c>
      <c r="D96" s="36" t="s">
        <v>2681</v>
      </c>
      <c r="E96" s="19" t="s">
        <v>164</v>
      </c>
      <c r="F96" s="212" t="s">
        <v>296</v>
      </c>
      <c r="G96" s="212" t="s">
        <v>2771</v>
      </c>
      <c r="H96" s="36" t="s">
        <v>3014</v>
      </c>
      <c r="I96" s="19" t="s">
        <v>2806</v>
      </c>
      <c r="J96" s="36" t="s">
        <v>585</v>
      </c>
      <c r="K96" s="212"/>
      <c r="L96" s="212"/>
      <c r="M96" s="36" t="s">
        <v>585</v>
      </c>
      <c r="N96" s="19" t="s">
        <v>2904</v>
      </c>
      <c r="O96" s="6" t="s">
        <v>585</v>
      </c>
      <c r="P96" s="212" t="s">
        <v>1114</v>
      </c>
      <c r="Q96" s="177" t="n">
        <f aca="false">Spec_Rack!E12</f>
        <v>5</v>
      </c>
      <c r="R96" s="184" t="n">
        <f aca="false">SRC_HW_010</f>
        <v>5</v>
      </c>
      <c r="S96" s="35" t="str">
        <f aca="false">IF(ISNUMBER($AF96),INDEX(IDX_SrcStat,$AF96),"—")</f>
        <v>Active</v>
      </c>
      <c r="T96" s="35" t="n">
        <f aca="false">IF(ISNUMBER($AF96),INDEX(IDX_SrcGrade,$AF96),"—")</f>
        <v>2</v>
      </c>
      <c r="U96" s="35" t="s">
        <v>2808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5" t="n">
        <f aca="false">IF(OR($H96="—",$H96=""),"—",MATCH($H96,IDX_SrcID,0))</f>
        <v>10</v>
      </c>
    </row>
    <row r="97" customFormat="false" ht="15" hidden="false" customHeight="true" outlineLevel="0" collapsed="false">
      <c r="A97" s="36" t="s">
        <v>3015</v>
      </c>
      <c r="B97" s="212" t="s">
        <v>2769</v>
      </c>
      <c r="C97" s="36" t="s">
        <v>2927</v>
      </c>
      <c r="D97" s="36" t="s">
        <v>3016</v>
      </c>
      <c r="E97" s="19" t="s">
        <v>164</v>
      </c>
      <c r="F97" s="212" t="s">
        <v>256</v>
      </c>
      <c r="G97" s="212" t="s">
        <v>63</v>
      </c>
      <c r="H97" s="36" t="s">
        <v>2996</v>
      </c>
      <c r="I97" s="19" t="s">
        <v>3017</v>
      </c>
      <c r="J97" s="36" t="s">
        <v>585</v>
      </c>
      <c r="K97" s="216" t="n">
        <f aca="false">Spec_Rack!F11</f>
        <v>7.8</v>
      </c>
      <c r="L97" s="216" t="n">
        <f aca="false">Spec_Rack!F13</f>
        <v>9.1</v>
      </c>
      <c r="M97" s="36" t="s">
        <v>585</v>
      </c>
      <c r="N97" s="19" t="s">
        <v>3018</v>
      </c>
      <c r="O97" s="19" t="s">
        <v>3019</v>
      </c>
      <c r="P97" s="212" t="s">
        <v>1114</v>
      </c>
      <c r="Q97" s="177" t="n">
        <f aca="false">Spec_Rack!F12</f>
        <v>8.4</v>
      </c>
      <c r="R97" s="184" t="n">
        <f aca="false">SRC_HW_015</f>
        <v>7.8</v>
      </c>
      <c r="S97" s="35" t="str">
        <f aca="false">IF(ISNUMBER($AF97),INDEX(IDX_SrcStat,$AF97),"—")</f>
        <v>Active</v>
      </c>
      <c r="T97" s="35" t="n">
        <f aca="false">IF(ISNUMBER($AF97),INDEX(IDX_SrcGrade,$AF97),"—")</f>
        <v>2</v>
      </c>
      <c r="U97" s="35" t="s">
        <v>2775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5" t="n">
        <f aca="false">IF(OR($H97="—",$H97=""),"—",MATCH($H97,IDX_SrcID,0))</f>
        <v>15</v>
      </c>
    </row>
    <row r="98" customFormat="false" ht="29.25" hidden="false" customHeight="true" outlineLevel="0" collapsed="false">
      <c r="A98" s="36" t="s">
        <v>3020</v>
      </c>
      <c r="B98" s="212" t="s">
        <v>2769</v>
      </c>
      <c r="C98" s="36" t="s">
        <v>2927</v>
      </c>
      <c r="D98" s="36" t="s">
        <v>3021</v>
      </c>
      <c r="E98" s="19" t="s">
        <v>164</v>
      </c>
      <c r="F98" s="36" t="s">
        <v>78</v>
      </c>
      <c r="G98" s="212" t="s">
        <v>63</v>
      </c>
      <c r="H98" s="36" t="s">
        <v>585</v>
      </c>
      <c r="I98" s="6" t="s">
        <v>585</v>
      </c>
      <c r="J98" s="36" t="s">
        <v>585</v>
      </c>
      <c r="K98" s="177" t="n">
        <f aca="false">Spec_Rack!G11</f>
        <v>12.6</v>
      </c>
      <c r="L98" s="177" t="n">
        <f aca="false">Spec_Rack!G13</f>
        <v>21</v>
      </c>
      <c r="M98" s="36" t="s">
        <v>585</v>
      </c>
      <c r="N98" s="6" t="s">
        <v>3022</v>
      </c>
      <c r="O98" s="6" t="s">
        <v>3003</v>
      </c>
      <c r="P98" s="212" t="s">
        <v>1114</v>
      </c>
      <c r="Q98" s="177" t="n">
        <f aca="false">Spec_Rack!G12</f>
        <v>16.8</v>
      </c>
      <c r="R98" s="36" t="s">
        <v>585</v>
      </c>
      <c r="S98" s="35" t="str">
        <f aca="false">IF(ISNUMBER($AF98),INDEX(IDX_SrcStat,$AF98),"—")</f>
        <v>—</v>
      </c>
      <c r="T98" s="35" t="str">
        <f aca="false">IF(ISNUMBER($AF98),INDEX(IDX_SrcGrade,$AF98),"—")</f>
        <v>—</v>
      </c>
      <c r="U98" s="35" t="s">
        <v>3004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5" t="str">
        <f aca="false">IF(OR($H98="—",$H98=""),"—",MATCH($H98,IDX_SrcID,0))</f>
        <v>—</v>
      </c>
    </row>
    <row r="99" customFormat="false" ht="43.5" hidden="false" customHeight="true" outlineLevel="0" collapsed="false">
      <c r="A99" s="36" t="s">
        <v>3023</v>
      </c>
      <c r="B99" s="212" t="s">
        <v>2769</v>
      </c>
      <c r="C99" s="36" t="s">
        <v>2927</v>
      </c>
      <c r="D99" s="36" t="s">
        <v>3024</v>
      </c>
      <c r="E99" s="19" t="s">
        <v>165</v>
      </c>
      <c r="F99" s="212" t="s">
        <v>2956</v>
      </c>
      <c r="G99" s="212" t="s">
        <v>1114</v>
      </c>
      <c r="H99" s="36" t="s">
        <v>2987</v>
      </c>
      <c r="I99" s="19" t="s">
        <v>3025</v>
      </c>
      <c r="J99" s="36" t="s">
        <v>585</v>
      </c>
      <c r="K99" s="212"/>
      <c r="L99" s="212"/>
      <c r="M99" s="36" t="s">
        <v>585</v>
      </c>
      <c r="N99" s="19" t="s">
        <v>3026</v>
      </c>
      <c r="O99" s="6" t="s">
        <v>585</v>
      </c>
      <c r="P99" s="212" t="s">
        <v>2774</v>
      </c>
      <c r="Q99" s="177" t="n">
        <f aca="false">Spec_Rack!C13</f>
        <v>1.3</v>
      </c>
      <c r="R99" s="184" t="n">
        <f aca="false">SRC_HW_003_Lo</f>
        <v>220000</v>
      </c>
      <c r="S99" s="35" t="str">
        <f aca="false">IF(ISNUMBER($AF99),INDEX(IDX_SrcStat,$AF99),"—")</f>
        <v>Active</v>
      </c>
      <c r="T99" s="35" t="n">
        <f aca="false">IF(ISNUMBER($AF99),INDEX(IDX_SrcGrade,$AF99),"—")</f>
        <v>2</v>
      </c>
      <c r="U99" s="35" t="s">
        <v>2775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5" t="n">
        <f aca="false">IF(OR($H99="—",$H99=""),"—",MATCH($H99,IDX_SrcID,0))</f>
        <v>3</v>
      </c>
    </row>
    <row r="100" customFormat="false" ht="15" hidden="false" customHeight="true" outlineLevel="0" collapsed="false">
      <c r="A100" s="36" t="s">
        <v>3027</v>
      </c>
      <c r="B100" s="212" t="s">
        <v>2769</v>
      </c>
      <c r="C100" s="36" t="s">
        <v>2927</v>
      </c>
      <c r="D100" s="36" t="s">
        <v>2802</v>
      </c>
      <c r="E100" s="19" t="s">
        <v>165</v>
      </c>
      <c r="F100" s="212" t="s">
        <v>296</v>
      </c>
      <c r="G100" s="212" t="s">
        <v>2771</v>
      </c>
      <c r="H100" s="36" t="s">
        <v>2991</v>
      </c>
      <c r="I100" s="19" t="s">
        <v>2806</v>
      </c>
      <c r="J100" s="36" t="s">
        <v>585</v>
      </c>
      <c r="K100" s="212"/>
      <c r="L100" s="212"/>
      <c r="M100" s="36" t="s">
        <v>585</v>
      </c>
      <c r="N100" s="19" t="s">
        <v>2992</v>
      </c>
      <c r="O100" s="6" t="s">
        <v>585</v>
      </c>
      <c r="P100" s="212" t="s">
        <v>2774</v>
      </c>
      <c r="Q100" s="177" t="n">
        <f aca="false">Spec_Rack!D13</f>
        <v>3.4</v>
      </c>
      <c r="R100" s="184" t="n">
        <f aca="false">SRC_HW_006_Hi</f>
        <v>3.4</v>
      </c>
      <c r="S100" s="35" t="str">
        <f aca="false">IF(ISNUMBER($AF100),INDEX(IDX_SrcStat,$AF100),"—")</f>
        <v>Active</v>
      </c>
      <c r="T100" s="35" t="n">
        <f aca="false">IF(ISNUMBER($AF100),INDEX(IDX_SrcGrade,$AF100),"—")</f>
        <v>2</v>
      </c>
      <c r="U100" s="35" t="s">
        <v>2808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5" t="n">
        <f aca="false">IF(OR($H100="—",$H100=""),"—",MATCH($H100,IDX_SrcID,0))</f>
        <v>6</v>
      </c>
    </row>
    <row r="101" customFormat="false" ht="15" hidden="false" customHeight="true" outlineLevel="0" collapsed="false">
      <c r="A101" s="36" t="s">
        <v>3028</v>
      </c>
      <c r="B101" s="212" t="s">
        <v>2769</v>
      </c>
      <c r="C101" s="36" t="s">
        <v>2927</v>
      </c>
      <c r="D101" s="36" t="s">
        <v>2683</v>
      </c>
      <c r="E101" s="19" t="s">
        <v>165</v>
      </c>
      <c r="F101" s="212" t="s">
        <v>296</v>
      </c>
      <c r="G101" s="212" t="s">
        <v>2771</v>
      </c>
      <c r="H101" s="36" t="s">
        <v>3029</v>
      </c>
      <c r="I101" s="19" t="s">
        <v>2806</v>
      </c>
      <c r="J101" s="36" t="s">
        <v>585</v>
      </c>
      <c r="K101" s="212"/>
      <c r="L101" s="212"/>
      <c r="M101" s="36" t="s">
        <v>585</v>
      </c>
      <c r="N101" s="19" t="s">
        <v>2992</v>
      </c>
      <c r="O101" s="6" t="s">
        <v>585</v>
      </c>
      <c r="P101" s="212" t="s">
        <v>2774</v>
      </c>
      <c r="Q101" s="177" t="n">
        <f aca="false">Spec_Rack!E13</f>
        <v>6.5</v>
      </c>
      <c r="R101" s="184" t="n">
        <f aca="false">SRC_HW_007_Hi</f>
        <v>6.5</v>
      </c>
      <c r="S101" s="35" t="str">
        <f aca="false">IF(ISNUMBER($AF101),INDEX(IDX_SrcStat,$AF101),"—")</f>
        <v>Active</v>
      </c>
      <c r="T101" s="35" t="n">
        <f aca="false">IF(ISNUMBER($AF101),INDEX(IDX_SrcGrade,$AF101),"—")</f>
        <v>3</v>
      </c>
      <c r="U101" s="35" t="s">
        <v>2808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5" t="n">
        <f aca="false">IF(OR($H101="—",$H101=""),"—",MATCH($H101,IDX_SrcID,0))</f>
        <v>7</v>
      </c>
    </row>
    <row r="102" customFormat="false" ht="43.5" hidden="false" customHeight="true" outlineLevel="0" collapsed="false">
      <c r="A102" s="36" t="s">
        <v>3030</v>
      </c>
      <c r="B102" s="212" t="s">
        <v>2769</v>
      </c>
      <c r="C102" s="36" t="s">
        <v>2927</v>
      </c>
      <c r="D102" s="36" t="s">
        <v>2804</v>
      </c>
      <c r="E102" s="19" t="s">
        <v>165</v>
      </c>
      <c r="F102" s="212" t="s">
        <v>2956</v>
      </c>
      <c r="G102" s="212" t="s">
        <v>1114</v>
      </c>
      <c r="H102" s="36" t="s">
        <v>3031</v>
      </c>
      <c r="I102" s="19" t="s">
        <v>3032</v>
      </c>
      <c r="J102" s="36" t="s">
        <v>585</v>
      </c>
      <c r="K102" s="212"/>
      <c r="L102" s="212"/>
      <c r="M102" s="36" t="s">
        <v>585</v>
      </c>
      <c r="N102" s="19" t="s">
        <v>3033</v>
      </c>
      <c r="O102" s="6" t="s">
        <v>585</v>
      </c>
      <c r="P102" s="212" t="s">
        <v>2774</v>
      </c>
      <c r="Q102" s="177" t="n">
        <f aca="false">Spec_Rack!F13</f>
        <v>9.1</v>
      </c>
      <c r="R102" s="184" t="n">
        <f aca="false">SRC_HW_017</f>
        <v>9.09</v>
      </c>
      <c r="S102" s="35" t="str">
        <f aca="false">IF(ISNUMBER($AF102),INDEX(IDX_SrcStat,$AF102),"—")</f>
        <v>Alt</v>
      </c>
      <c r="T102" s="35" t="n">
        <f aca="false">IF(ISNUMBER($AF102),INDEX(IDX_SrcGrade,$AF102),"—")</f>
        <v>3</v>
      </c>
      <c r="U102" s="35" t="s">
        <v>2775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5" t="n">
        <f aca="false">IF(OR($H102="—",$H102=""),"—",MATCH($H102,IDX_SrcID,0))</f>
        <v>17</v>
      </c>
    </row>
    <row r="103" customFormat="false" ht="29.25" hidden="false" customHeight="true" outlineLevel="0" collapsed="false">
      <c r="A103" s="36" t="s">
        <v>3034</v>
      </c>
      <c r="B103" s="212" t="s">
        <v>2769</v>
      </c>
      <c r="C103" s="36" t="s">
        <v>2927</v>
      </c>
      <c r="D103" s="36" t="s">
        <v>3035</v>
      </c>
      <c r="E103" s="19" t="s">
        <v>165</v>
      </c>
      <c r="F103" s="36" t="s">
        <v>78</v>
      </c>
      <c r="G103" s="212" t="s">
        <v>1114</v>
      </c>
      <c r="H103" s="36" t="s">
        <v>585</v>
      </c>
      <c r="I103" s="6" t="s">
        <v>585</v>
      </c>
      <c r="J103" s="36" t="s">
        <v>585</v>
      </c>
      <c r="K103" s="212"/>
      <c r="L103" s="212"/>
      <c r="M103" s="36" t="s">
        <v>585</v>
      </c>
      <c r="N103" s="6" t="s">
        <v>3036</v>
      </c>
      <c r="O103" s="6" t="s">
        <v>3003</v>
      </c>
      <c r="P103" s="212" t="s">
        <v>2774</v>
      </c>
      <c r="Q103" s="177" t="n">
        <f aca="false">Spec_Rack!G13</f>
        <v>21</v>
      </c>
      <c r="R103" s="36" t="s">
        <v>585</v>
      </c>
      <c r="S103" s="35" t="str">
        <f aca="false">IF(ISNUMBER($AF103),INDEX(IDX_SrcStat,$AF103),"—")</f>
        <v>—</v>
      </c>
      <c r="T103" s="35" t="str">
        <f aca="false">IF(ISNUMBER($AF103),INDEX(IDX_SrcGrade,$AF103),"—")</f>
        <v>—</v>
      </c>
      <c r="U103" s="35" t="s">
        <v>3004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5" t="str">
        <f aca="false">IF(OR($H103="—",$H103=""),"—",MATCH($H103,IDX_SrcID,0))</f>
        <v>—</v>
      </c>
    </row>
    <row r="104" customFormat="false" ht="15" hidden="false" customHeight="true" outlineLevel="0" collapsed="false">
      <c r="A104" s="36" t="s">
        <v>3037</v>
      </c>
      <c r="B104" s="212" t="s">
        <v>2769</v>
      </c>
      <c r="C104" s="36" t="s">
        <v>2927</v>
      </c>
      <c r="D104" s="36" t="s">
        <v>3038</v>
      </c>
      <c r="E104" s="19" t="s">
        <v>3039</v>
      </c>
      <c r="F104" s="212" t="s">
        <v>296</v>
      </c>
      <c r="G104" s="212" t="s">
        <v>2771</v>
      </c>
      <c r="H104" s="36" t="s">
        <v>3040</v>
      </c>
      <c r="I104" s="19" t="s">
        <v>2806</v>
      </c>
      <c r="J104" s="36" t="s">
        <v>585</v>
      </c>
      <c r="K104" s="212"/>
      <c r="L104" s="212"/>
      <c r="M104" s="36" t="s">
        <v>585</v>
      </c>
      <c r="N104" s="19" t="s">
        <v>2992</v>
      </c>
      <c r="O104" s="6" t="s">
        <v>585</v>
      </c>
      <c r="P104" s="212" t="s">
        <v>2830</v>
      </c>
      <c r="Q104" s="38" t="n">
        <f aca="false">Spec_Rack!C23</f>
        <v>1.979</v>
      </c>
      <c r="R104" s="184" t="n">
        <f aca="false">SRC_HW_040</f>
        <v>1.979</v>
      </c>
      <c r="S104" s="35" t="str">
        <f aca="false">IF(ISNUMBER($AF104),INDEX(IDX_SrcStat,$AF104),"—")</f>
        <v>Active</v>
      </c>
      <c r="T104" s="35" t="n">
        <f aca="false">IF(ISNUMBER($AF104),INDEX(IDX_SrcGrade,$AF104),"—")</f>
        <v>1</v>
      </c>
      <c r="U104" s="35" t="s">
        <v>2808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5" t="n">
        <f aca="false">IF(OR($H104="—",$H104=""),"—",MATCH($H104,IDX_SrcID,0))</f>
        <v>40</v>
      </c>
    </row>
    <row r="105" customFormat="false" ht="15" hidden="false" customHeight="true" outlineLevel="0" collapsed="false">
      <c r="A105" s="36" t="s">
        <v>3041</v>
      </c>
      <c r="B105" s="212" t="s">
        <v>2769</v>
      </c>
      <c r="C105" s="36" t="s">
        <v>2927</v>
      </c>
      <c r="D105" s="36" t="s">
        <v>2901</v>
      </c>
      <c r="E105" s="19" t="s">
        <v>3039</v>
      </c>
      <c r="F105" s="212" t="s">
        <v>296</v>
      </c>
      <c r="G105" s="212" t="s">
        <v>2771</v>
      </c>
      <c r="H105" s="36" t="s">
        <v>3042</v>
      </c>
      <c r="I105" s="19" t="s">
        <v>2806</v>
      </c>
      <c r="J105" s="36" t="s">
        <v>585</v>
      </c>
      <c r="K105" s="212"/>
      <c r="L105" s="212"/>
      <c r="M105" s="36" t="s">
        <v>585</v>
      </c>
      <c r="N105" s="19" t="s">
        <v>2992</v>
      </c>
      <c r="O105" s="6" t="s">
        <v>585</v>
      </c>
      <c r="P105" s="212" t="s">
        <v>2830</v>
      </c>
      <c r="Q105" s="38" t="n">
        <f aca="false">Spec_Rack!D23</f>
        <v>10</v>
      </c>
      <c r="R105" s="184" t="n">
        <f aca="false">SRC_HW_022</f>
        <v>10</v>
      </c>
      <c r="S105" s="35" t="str">
        <f aca="false">IF(ISNUMBER($AF105),INDEX(IDX_SrcStat,$AF105),"—")</f>
        <v>Active</v>
      </c>
      <c r="T105" s="35" t="n">
        <f aca="false">IF(ISNUMBER($AF105),INDEX(IDX_SrcGrade,$AF105),"—")</f>
        <v>1</v>
      </c>
      <c r="U105" s="35" t="s">
        <v>2808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5" t="n">
        <f aca="false">IF(OR($H105="—",$H105=""),"—",MATCH($H105,IDX_SrcID,0))</f>
        <v>22</v>
      </c>
    </row>
    <row r="106" customFormat="false" ht="15" hidden="false" customHeight="true" outlineLevel="0" collapsed="false">
      <c r="A106" s="36" t="s">
        <v>3043</v>
      </c>
      <c r="B106" s="212" t="s">
        <v>2769</v>
      </c>
      <c r="C106" s="36" t="s">
        <v>2927</v>
      </c>
      <c r="D106" s="36" t="s">
        <v>2906</v>
      </c>
      <c r="E106" s="19" t="s">
        <v>3039</v>
      </c>
      <c r="F106" s="212" t="s">
        <v>296</v>
      </c>
      <c r="G106" s="212" t="s">
        <v>2771</v>
      </c>
      <c r="H106" s="36" t="s">
        <v>3044</v>
      </c>
      <c r="I106" s="19" t="s">
        <v>2806</v>
      </c>
      <c r="J106" s="36" t="s">
        <v>585</v>
      </c>
      <c r="K106" s="212"/>
      <c r="L106" s="212"/>
      <c r="M106" s="36" t="s">
        <v>585</v>
      </c>
      <c r="N106" s="19" t="s">
        <v>2992</v>
      </c>
      <c r="O106" s="6" t="s">
        <v>585</v>
      </c>
      <c r="P106" s="212" t="s">
        <v>2830</v>
      </c>
      <c r="Q106" s="38" t="n">
        <f aca="false">Spec_Rack!E23</f>
        <v>15</v>
      </c>
      <c r="R106" s="184" t="n">
        <f aca="false">SRC_HW_025</f>
        <v>15</v>
      </c>
      <c r="S106" s="35" t="str">
        <f aca="false">IF(ISNUMBER($AF106),INDEX(IDX_SrcStat,$AF106),"—")</f>
        <v>Active</v>
      </c>
      <c r="T106" s="35" t="n">
        <f aca="false">IF(ISNUMBER($AF106),INDEX(IDX_SrcGrade,$AF106),"—")</f>
        <v>1</v>
      </c>
      <c r="U106" s="35" t="s">
        <v>2808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5" t="n">
        <f aca="false">IF(OR($H106="—",$H106=""),"—",MATCH($H106,IDX_SrcID,0))</f>
        <v>25</v>
      </c>
    </row>
    <row r="107" customFormat="false" ht="15" hidden="false" customHeight="true" outlineLevel="0" collapsed="false">
      <c r="A107" s="36" t="s">
        <v>3045</v>
      </c>
      <c r="B107" s="212" t="s">
        <v>2769</v>
      </c>
      <c r="C107" s="36" t="s">
        <v>2927</v>
      </c>
      <c r="D107" s="36" t="s">
        <v>2908</v>
      </c>
      <c r="E107" s="19" t="s">
        <v>3039</v>
      </c>
      <c r="F107" s="212" t="s">
        <v>296</v>
      </c>
      <c r="G107" s="212" t="s">
        <v>2771</v>
      </c>
      <c r="H107" s="36" t="s">
        <v>3046</v>
      </c>
      <c r="I107" s="19" t="s">
        <v>2806</v>
      </c>
      <c r="J107" s="36" t="s">
        <v>585</v>
      </c>
      <c r="K107" s="212"/>
      <c r="L107" s="212"/>
      <c r="M107" s="36" t="s">
        <v>585</v>
      </c>
      <c r="N107" s="19" t="s">
        <v>2992</v>
      </c>
      <c r="O107" s="6" t="s">
        <v>585</v>
      </c>
      <c r="P107" s="212" t="s">
        <v>2830</v>
      </c>
      <c r="Q107" s="38" t="n">
        <f aca="false">Spec_Rack!F23</f>
        <v>35</v>
      </c>
      <c r="R107" s="184" t="n">
        <f aca="false">SRC_HW_028</f>
        <v>35</v>
      </c>
      <c r="S107" s="35" t="str">
        <f aca="false">IF(ISNUMBER($AF107),INDEX(IDX_SrcStat,$AF107),"—")</f>
        <v>Active</v>
      </c>
      <c r="T107" s="35" t="n">
        <f aca="false">IF(ISNUMBER($AF107),INDEX(IDX_SrcGrade,$AF107),"—")</f>
        <v>1</v>
      </c>
      <c r="U107" s="35" t="s">
        <v>2808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5" t="n">
        <f aca="false">IF(OR($H107="—",$H107=""),"—",MATCH($H107,IDX_SrcID,0))</f>
        <v>28</v>
      </c>
    </row>
    <row r="108" customFormat="false" ht="15" hidden="false" customHeight="true" outlineLevel="0" collapsed="false">
      <c r="A108" s="36" t="s">
        <v>3047</v>
      </c>
      <c r="B108" s="212" t="s">
        <v>2769</v>
      </c>
      <c r="C108" s="36" t="s">
        <v>2927</v>
      </c>
      <c r="D108" s="36" t="s">
        <v>3048</v>
      </c>
      <c r="E108" s="19" t="s">
        <v>3039</v>
      </c>
      <c r="F108" s="36" t="s">
        <v>256</v>
      </c>
      <c r="G108" s="212" t="s">
        <v>63</v>
      </c>
      <c r="H108" s="36" t="s">
        <v>3049</v>
      </c>
      <c r="I108" s="6" t="s">
        <v>3050</v>
      </c>
      <c r="J108" s="36" t="s">
        <v>585</v>
      </c>
      <c r="K108" s="184" t="n">
        <f aca="false">Spec_Rack!G23*0.7</f>
        <v>49</v>
      </c>
      <c r="L108" s="184" t="n">
        <f aca="false">Spec_Rack!G23*1.3</f>
        <v>91</v>
      </c>
      <c r="M108" s="36" t="s">
        <v>3051</v>
      </c>
      <c r="N108" s="6" t="s">
        <v>3052</v>
      </c>
      <c r="O108" s="6" t="s">
        <v>3053</v>
      </c>
      <c r="P108" s="212" t="s">
        <v>1114</v>
      </c>
      <c r="Q108" s="38" t="n">
        <f aca="false">Spec_Rack!G23</f>
        <v>70</v>
      </c>
      <c r="R108" s="184" t="n">
        <f aca="false">SRC_HW_063</f>
        <v>2520</v>
      </c>
      <c r="S108" s="35" t="str">
        <f aca="false">IF(ISNUMBER($AF108),INDEX(IDX_SrcStat,$AF108),"—")</f>
        <v>Active</v>
      </c>
      <c r="T108" s="35" t="n">
        <f aca="false">IF(ISNUMBER($AF108),INDEX(IDX_SrcGrade,$AF108),"—")</f>
        <v>1</v>
      </c>
      <c r="U108" s="35" t="s">
        <v>2775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5" t="n">
        <f aca="false">IF(OR($H108="—",$H108=""),"—",MATCH($H108,IDX_SrcID,0))</f>
        <v>63</v>
      </c>
    </row>
    <row r="109" customFormat="false" ht="29.25" hidden="false" customHeight="true" outlineLevel="0" collapsed="false">
      <c r="A109" s="36" t="s">
        <v>3054</v>
      </c>
      <c r="B109" s="212" t="s">
        <v>2769</v>
      </c>
      <c r="C109" s="36" t="s">
        <v>2927</v>
      </c>
      <c r="D109" s="36" t="s">
        <v>3055</v>
      </c>
      <c r="E109" s="19" t="s">
        <v>3056</v>
      </c>
      <c r="F109" s="36" t="s">
        <v>3057</v>
      </c>
      <c r="G109" s="212" t="s">
        <v>2771</v>
      </c>
      <c r="H109" s="36" t="s">
        <v>585</v>
      </c>
      <c r="I109" s="6" t="s">
        <v>585</v>
      </c>
      <c r="J109" s="36" t="s">
        <v>585</v>
      </c>
      <c r="K109" s="212"/>
      <c r="L109" s="212"/>
      <c r="M109" s="36" t="s">
        <v>585</v>
      </c>
      <c r="N109" s="6" t="s">
        <v>3058</v>
      </c>
      <c r="O109" s="6" t="s">
        <v>585</v>
      </c>
      <c r="P109" s="212" t="s">
        <v>1114</v>
      </c>
      <c r="Q109" s="38" t="n">
        <f aca="false">Spec_Rack!C24</f>
        <v>1.979</v>
      </c>
      <c r="R109" s="36" t="s">
        <v>585</v>
      </c>
      <c r="S109" s="35" t="str">
        <f aca="false">IF(ISNUMBER($AF109),INDEX(IDX_SrcStat,$AF109),"—")</f>
        <v>—</v>
      </c>
      <c r="T109" s="35" t="str">
        <f aca="false">IF(ISNUMBER($AF109),INDEX(IDX_SrcGrade,$AF109),"—")</f>
        <v>—</v>
      </c>
      <c r="U109" s="35" t="s">
        <v>3004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5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6" t="s">
        <v>3059</v>
      </c>
      <c r="B110" s="212" t="s">
        <v>2769</v>
      </c>
      <c r="C110" s="36" t="s">
        <v>2927</v>
      </c>
      <c r="D110" s="36" t="s">
        <v>3060</v>
      </c>
      <c r="E110" s="19" t="s">
        <v>3056</v>
      </c>
      <c r="F110" s="212" t="s">
        <v>296</v>
      </c>
      <c r="G110" s="212" t="s">
        <v>2771</v>
      </c>
      <c r="H110" s="36" t="s">
        <v>3042</v>
      </c>
      <c r="I110" s="19" t="s">
        <v>2806</v>
      </c>
      <c r="J110" s="36" t="s">
        <v>585</v>
      </c>
      <c r="K110" s="212"/>
      <c r="L110" s="212"/>
      <c r="M110" s="36" t="s">
        <v>585</v>
      </c>
      <c r="N110" s="19" t="s">
        <v>2904</v>
      </c>
      <c r="O110" s="6" t="s">
        <v>585</v>
      </c>
      <c r="P110" s="212" t="s">
        <v>1114</v>
      </c>
      <c r="Q110" s="38" t="n">
        <f aca="false">Spec_Rack!D24</f>
        <v>10</v>
      </c>
      <c r="R110" s="184" t="n">
        <f aca="false">SRC_HW_022</f>
        <v>10</v>
      </c>
      <c r="S110" s="35" t="str">
        <f aca="false">IF(ISNUMBER($AF110),INDEX(IDX_SrcStat,$AF110),"—")</f>
        <v>Active</v>
      </c>
      <c r="T110" s="35" t="n">
        <f aca="false">IF(ISNUMBER($AF110),INDEX(IDX_SrcGrade,$AF110),"—")</f>
        <v>1</v>
      </c>
      <c r="U110" s="35" t="s">
        <v>2808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5" t="n">
        <f aca="false">IF(OR($H110="—",$H110=""),"—",MATCH($H110,IDX_SrcID,0))</f>
        <v>22</v>
      </c>
    </row>
    <row r="111" customFormat="false" ht="29.25" hidden="false" customHeight="true" outlineLevel="0" collapsed="false">
      <c r="A111" s="36" t="s">
        <v>3061</v>
      </c>
      <c r="B111" s="212" t="s">
        <v>2769</v>
      </c>
      <c r="C111" s="36" t="s">
        <v>2927</v>
      </c>
      <c r="D111" s="36" t="s">
        <v>2911</v>
      </c>
      <c r="E111" s="19" t="s">
        <v>3056</v>
      </c>
      <c r="F111" s="212" t="s">
        <v>296</v>
      </c>
      <c r="G111" s="212" t="s">
        <v>2771</v>
      </c>
      <c r="H111" s="36" t="s">
        <v>3044</v>
      </c>
      <c r="I111" s="19" t="s">
        <v>2806</v>
      </c>
      <c r="J111" s="36" t="s">
        <v>585</v>
      </c>
      <c r="K111" s="212"/>
      <c r="L111" s="212"/>
      <c r="M111" s="36" t="s">
        <v>585</v>
      </c>
      <c r="N111" s="19" t="s">
        <v>2904</v>
      </c>
      <c r="O111" s="6" t="s">
        <v>585</v>
      </c>
      <c r="P111" s="212" t="s">
        <v>1114</v>
      </c>
      <c r="Q111" s="38" t="n">
        <f aca="false">Spec_Rack!E24</f>
        <v>15</v>
      </c>
      <c r="R111" s="184" t="n">
        <f aca="false">SRC_HW_025</f>
        <v>15</v>
      </c>
      <c r="S111" s="35" t="str">
        <f aca="false">IF(ISNUMBER($AF111),INDEX(IDX_SrcStat,$AF111),"—")</f>
        <v>Active</v>
      </c>
      <c r="T111" s="35" t="n">
        <f aca="false">IF(ISNUMBER($AF111),INDEX(IDX_SrcGrade,$AF111),"—")</f>
        <v>1</v>
      </c>
      <c r="U111" s="35" t="s">
        <v>2808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5" t="n">
        <f aca="false">IF(OR($H111="—",$H111=""),"—",MATCH($H111,IDX_SrcID,0))</f>
        <v>25</v>
      </c>
    </row>
    <row r="112" customFormat="false" ht="29.25" hidden="false" customHeight="true" outlineLevel="0" collapsed="false">
      <c r="A112" s="36" t="s">
        <v>3062</v>
      </c>
      <c r="B112" s="212" t="s">
        <v>2769</v>
      </c>
      <c r="C112" s="36" t="s">
        <v>2927</v>
      </c>
      <c r="D112" s="36" t="s">
        <v>3063</v>
      </c>
      <c r="E112" s="19" t="s">
        <v>3056</v>
      </c>
      <c r="F112" s="212" t="s">
        <v>296</v>
      </c>
      <c r="G112" s="212" t="s">
        <v>2771</v>
      </c>
      <c r="H112" s="36" t="s">
        <v>3064</v>
      </c>
      <c r="I112" s="19" t="s">
        <v>2806</v>
      </c>
      <c r="J112" s="36" t="s">
        <v>585</v>
      </c>
      <c r="K112" s="212"/>
      <c r="L112" s="212"/>
      <c r="M112" s="36" t="s">
        <v>585</v>
      </c>
      <c r="N112" s="19" t="s">
        <v>2904</v>
      </c>
      <c r="O112" s="6" t="s">
        <v>585</v>
      </c>
      <c r="P112" s="212" t="s">
        <v>1114</v>
      </c>
      <c r="Q112" s="38" t="n">
        <f aca="false">Spec_Rack!F24</f>
        <v>50</v>
      </c>
      <c r="R112" s="184" t="n">
        <f aca="false">SRC_HW_027</f>
        <v>50</v>
      </c>
      <c r="S112" s="35" t="str">
        <f aca="false">IF(ISNUMBER($AF112),INDEX(IDX_SrcStat,$AF112),"—")</f>
        <v>Active</v>
      </c>
      <c r="T112" s="35" t="n">
        <f aca="false">IF(ISNUMBER($AF112),INDEX(IDX_SrcGrade,$AF112),"—")</f>
        <v>1</v>
      </c>
      <c r="U112" s="35" t="s">
        <v>2808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5" t="n">
        <f aca="false">IF(OR($H112="—",$H112=""),"—",MATCH($H112,IDX_SrcID,0))</f>
        <v>27</v>
      </c>
    </row>
    <row r="113" customFormat="false" ht="43.5" hidden="false" customHeight="true" outlineLevel="0" collapsed="false">
      <c r="A113" s="36" t="s">
        <v>3065</v>
      </c>
      <c r="B113" s="212" t="s">
        <v>2769</v>
      </c>
      <c r="C113" s="36" t="s">
        <v>2927</v>
      </c>
      <c r="D113" s="36" t="s">
        <v>3066</v>
      </c>
      <c r="E113" s="19" t="s">
        <v>3056</v>
      </c>
      <c r="F113" s="212" t="s">
        <v>256</v>
      </c>
      <c r="G113" s="212" t="s">
        <v>2771</v>
      </c>
      <c r="H113" s="36" t="s">
        <v>3049</v>
      </c>
      <c r="I113" s="19" t="s">
        <v>3067</v>
      </c>
      <c r="J113" s="36" t="s">
        <v>585</v>
      </c>
      <c r="K113" s="212"/>
      <c r="L113" s="212"/>
      <c r="M113" s="36" t="s">
        <v>585</v>
      </c>
      <c r="N113" s="19" t="s">
        <v>3068</v>
      </c>
      <c r="O113" s="19" t="s">
        <v>3069</v>
      </c>
      <c r="P113" s="212" t="s">
        <v>1114</v>
      </c>
      <c r="Q113" s="38" t="n">
        <f aca="false">Spec_Rack!G24</f>
        <v>100</v>
      </c>
      <c r="R113" s="184" t="n">
        <f aca="false">SRC_HW_063</f>
        <v>2520</v>
      </c>
      <c r="S113" s="35" t="str">
        <f aca="false">IF(ISNUMBER($AF113),INDEX(IDX_SrcStat,$AF113),"—")</f>
        <v>Active</v>
      </c>
      <c r="T113" s="35" t="n">
        <f aca="false">IF(ISNUMBER($AF113),INDEX(IDX_SrcGrade,$AF113),"—")</f>
        <v>1</v>
      </c>
      <c r="U113" s="35" t="s">
        <v>2775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5" t="n">
        <f aca="false">IF(OR($H113="—",$H113=""),"—",MATCH($H113,IDX_SrcID,0))</f>
        <v>63</v>
      </c>
    </row>
    <row r="114" customFormat="false" ht="15" hidden="false" customHeight="true" outlineLevel="0" collapsed="false">
      <c r="A114" s="36" t="s">
        <v>3070</v>
      </c>
      <c r="B114" s="212" t="s">
        <v>2769</v>
      </c>
      <c r="C114" s="36" t="s">
        <v>2927</v>
      </c>
      <c r="D114" s="36" t="s">
        <v>3071</v>
      </c>
      <c r="E114" s="6" t="s">
        <v>195</v>
      </c>
      <c r="F114" s="212" t="s">
        <v>296</v>
      </c>
      <c r="G114" s="212" t="s">
        <v>2771</v>
      </c>
      <c r="H114" s="36" t="s">
        <v>3072</v>
      </c>
      <c r="I114" s="19" t="s">
        <v>2806</v>
      </c>
      <c r="J114" s="36" t="s">
        <v>585</v>
      </c>
      <c r="K114" s="212"/>
      <c r="L114" s="212"/>
      <c r="M114" s="36" t="s">
        <v>585</v>
      </c>
      <c r="N114" s="19" t="s">
        <v>2992</v>
      </c>
      <c r="O114" s="6" t="s">
        <v>585</v>
      </c>
      <c r="P114" s="212" t="s">
        <v>2830</v>
      </c>
      <c r="Q114" s="41" t="n">
        <f aca="false">Spec_Rack!C25</f>
        <v>80</v>
      </c>
      <c r="R114" s="184" t="n">
        <f aca="false">SRC_HW_020</f>
        <v>80</v>
      </c>
      <c r="S114" s="35" t="str">
        <f aca="false">IF(ISNUMBER($AF114),INDEX(IDX_SrcStat,$AF114),"—")</f>
        <v>Active</v>
      </c>
      <c r="T114" s="35" t="n">
        <f aca="false">IF(ISNUMBER($AF114),INDEX(IDX_SrcGrade,$AF114),"—")</f>
        <v>3</v>
      </c>
      <c r="U114" s="35" t="s">
        <v>2808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5" t="n">
        <f aca="false">IF(OR($H114="—",$H114=""),"—",MATCH($H114,IDX_SrcID,0))</f>
        <v>20</v>
      </c>
    </row>
    <row r="115" customFormat="false" ht="43.5" hidden="false" customHeight="true" outlineLevel="0" collapsed="false">
      <c r="A115" s="36" t="s">
        <v>3073</v>
      </c>
      <c r="B115" s="212" t="s">
        <v>2769</v>
      </c>
      <c r="C115" s="36" t="s">
        <v>2927</v>
      </c>
      <c r="D115" s="36" t="s">
        <v>3074</v>
      </c>
      <c r="E115" s="6" t="s">
        <v>195</v>
      </c>
      <c r="F115" s="212" t="s">
        <v>2956</v>
      </c>
      <c r="G115" s="212" t="s">
        <v>2771</v>
      </c>
      <c r="H115" s="36" t="s">
        <v>3075</v>
      </c>
      <c r="I115" s="19" t="s">
        <v>3076</v>
      </c>
      <c r="J115" s="36" t="s">
        <v>585</v>
      </c>
      <c r="K115" s="212"/>
      <c r="L115" s="212"/>
      <c r="M115" s="36" t="s">
        <v>585</v>
      </c>
      <c r="N115" s="19" t="s">
        <v>3077</v>
      </c>
      <c r="O115" s="6" t="s">
        <v>585</v>
      </c>
      <c r="P115" s="212" t="s">
        <v>2830</v>
      </c>
      <c r="Q115" s="41" t="n">
        <f aca="false">Spec_Rack!D25</f>
        <v>186</v>
      </c>
      <c r="R115" s="184" t="n">
        <f aca="false">SRC_HW_041</f>
        <v>13.4</v>
      </c>
      <c r="S115" s="35" t="str">
        <f aca="false">IF(ISNUMBER($AF115),INDEX(IDX_SrcStat,$AF115),"—")</f>
        <v>Active</v>
      </c>
      <c r="T115" s="35" t="n">
        <f aca="false">IF(ISNUMBER($AF115),INDEX(IDX_SrcGrade,$AF115),"—")</f>
        <v>3</v>
      </c>
      <c r="U115" s="35" t="s">
        <v>2775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5" t="n">
        <f aca="false">IF(OR($H115="—",$H115=""),"—",MATCH($H115,IDX_SrcID,0))</f>
        <v>41</v>
      </c>
    </row>
    <row r="116" customFormat="false" ht="15" hidden="false" customHeight="true" outlineLevel="0" collapsed="false">
      <c r="A116" s="36" t="s">
        <v>3078</v>
      </c>
      <c r="B116" s="212" t="s">
        <v>2769</v>
      </c>
      <c r="C116" s="36" t="s">
        <v>2927</v>
      </c>
      <c r="D116" s="36" t="s">
        <v>2915</v>
      </c>
      <c r="E116" s="6" t="s">
        <v>195</v>
      </c>
      <c r="F116" s="212" t="s">
        <v>296</v>
      </c>
      <c r="G116" s="212" t="s">
        <v>2771</v>
      </c>
      <c r="H116" s="36" t="s">
        <v>3079</v>
      </c>
      <c r="I116" s="19" t="s">
        <v>2806</v>
      </c>
      <c r="J116" s="36" t="s">
        <v>585</v>
      </c>
      <c r="K116" s="212"/>
      <c r="L116" s="212"/>
      <c r="M116" s="36" t="s">
        <v>585</v>
      </c>
      <c r="N116" s="19" t="s">
        <v>2992</v>
      </c>
      <c r="O116" s="6" t="s">
        <v>585</v>
      </c>
      <c r="P116" s="212" t="s">
        <v>2830</v>
      </c>
      <c r="Q116" s="41" t="n">
        <f aca="false">Spec_Rack!E25</f>
        <v>288</v>
      </c>
      <c r="R116" s="184" t="n">
        <f aca="false">SRC_HW_026</f>
        <v>288</v>
      </c>
      <c r="S116" s="35" t="str">
        <f aca="false">IF(ISNUMBER($AF116),INDEX(IDX_SrcStat,$AF116),"—")</f>
        <v>Active</v>
      </c>
      <c r="T116" s="35" t="n">
        <f aca="false">IF(ISNUMBER($AF116),INDEX(IDX_SrcGrade,$AF116),"—")</f>
        <v>3</v>
      </c>
      <c r="U116" s="35" t="s">
        <v>2808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5" t="n">
        <f aca="false">IF(OR($H116="—",$H116=""),"—",MATCH($H116,IDX_SrcID,0))</f>
        <v>26</v>
      </c>
    </row>
    <row r="117" customFormat="false" ht="15" hidden="false" customHeight="true" outlineLevel="0" collapsed="false">
      <c r="A117" s="36" t="s">
        <v>3080</v>
      </c>
      <c r="B117" s="212" t="s">
        <v>2769</v>
      </c>
      <c r="C117" s="36" t="s">
        <v>2927</v>
      </c>
      <c r="D117" s="36" t="s">
        <v>3081</v>
      </c>
      <c r="E117" s="6" t="s">
        <v>195</v>
      </c>
      <c r="F117" s="212" t="s">
        <v>296</v>
      </c>
      <c r="G117" s="212" t="s">
        <v>2771</v>
      </c>
      <c r="H117" s="36" t="s">
        <v>3082</v>
      </c>
      <c r="I117" s="19" t="s">
        <v>2806</v>
      </c>
      <c r="J117" s="36" t="s">
        <v>585</v>
      </c>
      <c r="K117" s="212"/>
      <c r="L117" s="212"/>
      <c r="M117" s="36" t="s">
        <v>585</v>
      </c>
      <c r="N117" s="19" t="s">
        <v>2992</v>
      </c>
      <c r="O117" s="6" t="s">
        <v>585</v>
      </c>
      <c r="P117" s="212" t="s">
        <v>2830</v>
      </c>
      <c r="Q117" s="41" t="n">
        <f aca="false">Spec_Rack!F25</f>
        <v>288</v>
      </c>
      <c r="R117" s="184" t="n">
        <f aca="false">SRC_HW_029</f>
        <v>288</v>
      </c>
      <c r="S117" s="35" t="str">
        <f aca="false">IF(ISNUMBER($AF117),INDEX(IDX_SrcStat,$AF117),"—")</f>
        <v>Active</v>
      </c>
      <c r="T117" s="35" t="n">
        <f aca="false">IF(ISNUMBER($AF117),INDEX(IDX_SrcGrade,$AF117),"—")</f>
        <v>3</v>
      </c>
      <c r="U117" s="35" t="s">
        <v>2808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5" t="n">
        <f aca="false">IF(OR($H117="—",$H117=""),"—",MATCH($H117,IDX_SrcID,0))</f>
        <v>29</v>
      </c>
    </row>
    <row r="118" customFormat="false" ht="15" hidden="false" customHeight="true" outlineLevel="0" collapsed="false">
      <c r="A118" s="36" t="s">
        <v>3083</v>
      </c>
      <c r="B118" s="212" t="s">
        <v>2769</v>
      </c>
      <c r="C118" s="36" t="s">
        <v>2927</v>
      </c>
      <c r="D118" s="36" t="s">
        <v>3084</v>
      </c>
      <c r="E118" s="6" t="s">
        <v>195</v>
      </c>
      <c r="F118" s="36" t="s">
        <v>78</v>
      </c>
      <c r="G118" s="212" t="s">
        <v>63</v>
      </c>
      <c r="H118" s="36" t="s">
        <v>585</v>
      </c>
      <c r="I118" s="6" t="s">
        <v>585</v>
      </c>
      <c r="J118" s="36" t="s">
        <v>585</v>
      </c>
      <c r="K118" s="184" t="n">
        <f aca="false">Spec_Rack!G25*0.7</f>
        <v>716.8</v>
      </c>
      <c r="L118" s="184" t="n">
        <f aca="false">Spec_Rack!G25*1.3</f>
        <v>1331.2</v>
      </c>
      <c r="M118" s="36" t="s">
        <v>3051</v>
      </c>
      <c r="N118" s="6" t="s">
        <v>3085</v>
      </c>
      <c r="O118" s="6" t="s">
        <v>585</v>
      </c>
      <c r="P118" s="212" t="s">
        <v>2830</v>
      </c>
      <c r="Q118" s="41" t="n">
        <f aca="false">Spec_Rack!G25</f>
        <v>1024</v>
      </c>
      <c r="R118" s="36" t="s">
        <v>585</v>
      </c>
      <c r="S118" s="35" t="str">
        <f aca="false">IF(ISNUMBER($AF118),INDEX(IDX_SrcStat,$AF118),"—")</f>
        <v>—</v>
      </c>
      <c r="T118" s="35" t="str">
        <f aca="false">IF(ISNUMBER($AF118),INDEX(IDX_SrcGrade,$AF118),"—")</f>
        <v>—</v>
      </c>
      <c r="U118" s="35" t="s">
        <v>2775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5" t="str">
        <f aca="false">IF(OR($H118="—",$H118=""),"—",MATCH($H118,IDX_SrcID,0))</f>
        <v>—</v>
      </c>
    </row>
    <row r="119" customFormat="false" ht="15" hidden="false" customHeight="true" outlineLevel="0" collapsed="false">
      <c r="A119" s="36" t="s">
        <v>3086</v>
      </c>
      <c r="B119" s="212" t="s">
        <v>2769</v>
      </c>
      <c r="C119" s="36" t="s">
        <v>2927</v>
      </c>
      <c r="D119" s="36" t="s">
        <v>3087</v>
      </c>
      <c r="E119" s="6" t="s">
        <v>197</v>
      </c>
      <c r="F119" s="212" t="s">
        <v>296</v>
      </c>
      <c r="G119" s="212" t="s">
        <v>2771</v>
      </c>
      <c r="H119" s="36" t="s">
        <v>3088</v>
      </c>
      <c r="I119" s="19" t="s">
        <v>2806</v>
      </c>
      <c r="J119" s="36" t="s">
        <v>585</v>
      </c>
      <c r="K119" s="212"/>
      <c r="L119" s="212"/>
      <c r="M119" s="36" t="s">
        <v>585</v>
      </c>
      <c r="N119" s="19" t="s">
        <v>2992</v>
      </c>
      <c r="O119" s="6" t="s">
        <v>585</v>
      </c>
      <c r="P119" s="212" t="s">
        <v>2830</v>
      </c>
      <c r="Q119" s="43" t="n">
        <f aca="false">Spec_Rack!C26</f>
        <v>3.35</v>
      </c>
      <c r="R119" s="184" t="n">
        <f aca="false">SRC_HW_021</f>
        <v>3.35</v>
      </c>
      <c r="S119" s="35" t="str">
        <f aca="false">IF(ISNUMBER($AF119),INDEX(IDX_SrcStat,$AF119),"—")</f>
        <v>Active</v>
      </c>
      <c r="T119" s="35" t="n">
        <f aca="false">IF(ISNUMBER($AF119),INDEX(IDX_SrcGrade,$AF119),"—")</f>
        <v>3</v>
      </c>
      <c r="U119" s="35" t="s">
        <v>2808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5" t="n">
        <f aca="false">IF(OR($H119="—",$H119=""),"—",MATCH($H119,IDX_SrcID,0))</f>
        <v>21</v>
      </c>
    </row>
    <row r="120" customFormat="false" ht="15" hidden="false" customHeight="true" outlineLevel="0" collapsed="false">
      <c r="A120" s="36" t="s">
        <v>3089</v>
      </c>
      <c r="B120" s="212" t="s">
        <v>2769</v>
      </c>
      <c r="C120" s="36" t="s">
        <v>2927</v>
      </c>
      <c r="D120" s="36" t="s">
        <v>3090</v>
      </c>
      <c r="E120" s="6" t="s">
        <v>197</v>
      </c>
      <c r="F120" s="212" t="s">
        <v>296</v>
      </c>
      <c r="G120" s="212" t="s">
        <v>2771</v>
      </c>
      <c r="H120" s="36" t="s">
        <v>3091</v>
      </c>
      <c r="I120" s="19" t="s">
        <v>2806</v>
      </c>
      <c r="J120" s="36" t="s">
        <v>585</v>
      </c>
      <c r="K120" s="212"/>
      <c r="L120" s="212"/>
      <c r="M120" s="36" t="s">
        <v>585</v>
      </c>
      <c r="N120" s="19" t="s">
        <v>2992</v>
      </c>
      <c r="O120" s="6" t="s">
        <v>585</v>
      </c>
      <c r="P120" s="212" t="s">
        <v>2830</v>
      </c>
      <c r="Q120" s="43" t="n">
        <f aca="false">Spec_Rack!D26</f>
        <v>8</v>
      </c>
      <c r="R120" s="184" t="n">
        <f aca="false">SRC_HW_023</f>
        <v>8</v>
      </c>
      <c r="S120" s="35" t="str">
        <f aca="false">IF(ISNUMBER($AF120),INDEX(IDX_SrcStat,$AF120),"—")</f>
        <v>Active</v>
      </c>
      <c r="T120" s="35" t="n">
        <f aca="false">IF(ISNUMBER($AF120),INDEX(IDX_SrcGrade,$AF120),"—")</f>
        <v>3</v>
      </c>
      <c r="U120" s="35" t="s">
        <v>2808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5" t="n">
        <f aca="false">IF(OR($H120="—",$H120=""),"—",MATCH($H120,IDX_SrcID,0))</f>
        <v>23</v>
      </c>
    </row>
    <row r="121" customFormat="false" ht="15" hidden="false" customHeight="true" outlineLevel="0" collapsed="false">
      <c r="A121" s="36" t="s">
        <v>3092</v>
      </c>
      <c r="B121" s="212" t="s">
        <v>2769</v>
      </c>
      <c r="C121" s="36" t="s">
        <v>2927</v>
      </c>
      <c r="D121" s="36" t="s">
        <v>2919</v>
      </c>
      <c r="E121" s="6" t="s">
        <v>197</v>
      </c>
      <c r="F121" s="212" t="s">
        <v>296</v>
      </c>
      <c r="G121" s="212" t="s">
        <v>2771</v>
      </c>
      <c r="H121" s="36" t="s">
        <v>3093</v>
      </c>
      <c r="I121" s="19" t="s">
        <v>2806</v>
      </c>
      <c r="J121" s="36" t="s">
        <v>585</v>
      </c>
      <c r="K121" s="212"/>
      <c r="L121" s="212"/>
      <c r="M121" s="36" t="s">
        <v>585</v>
      </c>
      <c r="N121" s="19" t="s">
        <v>2992</v>
      </c>
      <c r="O121" s="6" t="s">
        <v>585</v>
      </c>
      <c r="P121" s="212" t="s">
        <v>2830</v>
      </c>
      <c r="Q121" s="43" t="n">
        <f aca="false">Spec_Rack!E26</f>
        <v>8</v>
      </c>
      <c r="R121" s="184" t="n">
        <f aca="false">SRC_HW_059</f>
        <v>8</v>
      </c>
      <c r="S121" s="35" t="str">
        <f aca="false">IF(ISNUMBER($AF121),INDEX(IDX_SrcStat,$AF121),"—")</f>
        <v>Active</v>
      </c>
      <c r="T121" s="35" t="n">
        <f aca="false">IF(ISNUMBER($AF121),INDEX(IDX_SrcGrade,$AF121),"—")</f>
        <v>3</v>
      </c>
      <c r="U121" s="35" t="s">
        <v>2808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5" t="n">
        <f aca="false">IF(OR($H121="—",$H121=""),"—",MATCH($H121,IDX_SrcID,0))</f>
        <v>59</v>
      </c>
    </row>
    <row r="122" customFormat="false" ht="15" hidden="false" customHeight="true" outlineLevel="0" collapsed="false">
      <c r="A122" s="36" t="s">
        <v>3094</v>
      </c>
      <c r="B122" s="212" t="s">
        <v>2769</v>
      </c>
      <c r="C122" s="36" t="s">
        <v>2927</v>
      </c>
      <c r="D122" s="36" t="s">
        <v>3095</v>
      </c>
      <c r="E122" s="6" t="s">
        <v>197</v>
      </c>
      <c r="F122" s="212" t="s">
        <v>296</v>
      </c>
      <c r="G122" s="212" t="s">
        <v>2771</v>
      </c>
      <c r="H122" s="36" t="s">
        <v>3096</v>
      </c>
      <c r="I122" s="19" t="s">
        <v>2806</v>
      </c>
      <c r="J122" s="36" t="s">
        <v>585</v>
      </c>
      <c r="K122" s="212"/>
      <c r="L122" s="212"/>
      <c r="M122" s="36" t="s">
        <v>585</v>
      </c>
      <c r="N122" s="19" t="s">
        <v>2992</v>
      </c>
      <c r="O122" s="6" t="s">
        <v>585</v>
      </c>
      <c r="P122" s="212" t="s">
        <v>2830</v>
      </c>
      <c r="Q122" s="43" t="n">
        <f aca="false">Spec_Rack!F26</f>
        <v>22</v>
      </c>
      <c r="R122" s="184" t="n">
        <f aca="false">SRC_HW_030</f>
        <v>22</v>
      </c>
      <c r="S122" s="35" t="str">
        <f aca="false">IF(ISNUMBER($AF122),INDEX(IDX_SrcStat,$AF122),"—")</f>
        <v>Active</v>
      </c>
      <c r="T122" s="35" t="n">
        <f aca="false">IF(ISNUMBER($AF122),INDEX(IDX_SrcGrade,$AF122),"—")</f>
        <v>3</v>
      </c>
      <c r="U122" s="35" t="s">
        <v>2808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5" t="n">
        <f aca="false">IF(OR($H122="—",$H122=""),"—",MATCH($H122,IDX_SrcID,0))</f>
        <v>30</v>
      </c>
    </row>
    <row r="123" customFormat="false" ht="43.5" hidden="false" customHeight="true" outlineLevel="0" collapsed="false">
      <c r="A123" s="36" t="s">
        <v>3097</v>
      </c>
      <c r="B123" s="212" t="s">
        <v>2769</v>
      </c>
      <c r="C123" s="36" t="s">
        <v>2927</v>
      </c>
      <c r="D123" s="36" t="s">
        <v>3098</v>
      </c>
      <c r="E123" s="6" t="s">
        <v>197</v>
      </c>
      <c r="F123" s="212" t="s">
        <v>2956</v>
      </c>
      <c r="G123" s="212" t="s">
        <v>2771</v>
      </c>
      <c r="H123" s="36" t="s">
        <v>3099</v>
      </c>
      <c r="I123" s="19" t="s">
        <v>3100</v>
      </c>
      <c r="J123" s="36" t="s">
        <v>585</v>
      </c>
      <c r="K123" s="212"/>
      <c r="L123" s="212"/>
      <c r="M123" s="36" t="s">
        <v>585</v>
      </c>
      <c r="N123" s="19" t="s">
        <v>3101</v>
      </c>
      <c r="O123" s="6" t="s">
        <v>585</v>
      </c>
      <c r="P123" s="212" t="s">
        <v>2830</v>
      </c>
      <c r="Q123" s="43" t="n">
        <f aca="false">Spec_Rack!G26</f>
        <v>32</v>
      </c>
      <c r="R123" s="184" t="n">
        <f aca="false">SRC_HW_044</f>
        <v>4600</v>
      </c>
      <c r="S123" s="35" t="str">
        <f aca="false">IF(ISNUMBER($AF123),INDEX(IDX_SrcStat,$AF123),"—")</f>
        <v>Active</v>
      </c>
      <c r="T123" s="35" t="n">
        <f aca="false">IF(ISNUMBER($AF123),INDEX(IDX_SrcGrade,$AF123),"—")</f>
        <v>3</v>
      </c>
      <c r="U123" s="35" t="s">
        <v>2775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5" t="n">
        <f aca="false">IF(OR($H123="—",$H123=""),"—",MATCH($H123,IDX_SrcID,0))</f>
        <v>44</v>
      </c>
    </row>
    <row r="124" customFormat="false" ht="29.25" hidden="false" customHeight="true" outlineLevel="0" collapsed="false">
      <c r="A124" s="36" t="s">
        <v>3102</v>
      </c>
      <c r="B124" s="212" t="s">
        <v>2769</v>
      </c>
      <c r="C124" s="36" t="s">
        <v>2927</v>
      </c>
      <c r="D124" s="36" t="s">
        <v>3103</v>
      </c>
      <c r="E124" s="6" t="s">
        <v>199</v>
      </c>
      <c r="F124" s="212" t="s">
        <v>296</v>
      </c>
      <c r="G124" s="212" t="s">
        <v>2771</v>
      </c>
      <c r="H124" s="36" t="s">
        <v>3104</v>
      </c>
      <c r="I124" s="19" t="s">
        <v>3105</v>
      </c>
      <c r="J124" s="36" t="s">
        <v>585</v>
      </c>
      <c r="K124" s="212"/>
      <c r="L124" s="212"/>
      <c r="M124" s="36" t="s">
        <v>585</v>
      </c>
      <c r="N124" s="19" t="s">
        <v>2904</v>
      </c>
      <c r="O124" s="6" t="s">
        <v>585</v>
      </c>
      <c r="P124" s="212" t="s">
        <v>2774</v>
      </c>
      <c r="Q124" s="43" t="n">
        <f aca="false">Spec_Rack!C27</f>
        <v>0.05</v>
      </c>
      <c r="R124" s="184" t="n">
        <f aca="false">SRC_HW_060</f>
        <v>400</v>
      </c>
      <c r="S124" s="35" t="str">
        <f aca="false">IF(ISNUMBER($AF124),INDEX(IDX_SrcStat,$AF124),"—")</f>
        <v>Active</v>
      </c>
      <c r="T124" s="35" t="n">
        <f aca="false">IF(ISNUMBER($AF124),INDEX(IDX_SrcGrade,$AF124),"—")</f>
        <v>3</v>
      </c>
      <c r="U124" s="35" t="s">
        <v>2808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5" t="n">
        <f aca="false">IF(OR($H124="—",$H124=""),"—",MATCH($H124,IDX_SrcID,0))</f>
        <v>60</v>
      </c>
    </row>
    <row r="125" customFormat="false" ht="29.25" hidden="false" customHeight="true" outlineLevel="0" collapsed="false">
      <c r="A125" s="36" t="s">
        <v>3106</v>
      </c>
      <c r="B125" s="212" t="s">
        <v>2769</v>
      </c>
      <c r="C125" s="36" t="s">
        <v>2927</v>
      </c>
      <c r="D125" s="36" t="s">
        <v>3107</v>
      </c>
      <c r="E125" s="6" t="s">
        <v>199</v>
      </c>
      <c r="F125" s="212" t="s">
        <v>296</v>
      </c>
      <c r="G125" s="212" t="s">
        <v>2771</v>
      </c>
      <c r="H125" s="36" t="s">
        <v>3108</v>
      </c>
      <c r="I125" s="19" t="s">
        <v>2806</v>
      </c>
      <c r="J125" s="36" t="s">
        <v>585</v>
      </c>
      <c r="K125" s="212"/>
      <c r="L125" s="212"/>
      <c r="M125" s="36" t="s">
        <v>585</v>
      </c>
      <c r="N125" s="19" t="s">
        <v>2904</v>
      </c>
      <c r="O125" s="6" t="s">
        <v>585</v>
      </c>
      <c r="P125" s="212" t="s">
        <v>2774</v>
      </c>
      <c r="Q125" s="43" t="n">
        <f aca="false">Spec_Rack!D27</f>
        <v>0.9</v>
      </c>
      <c r="R125" s="184" t="n">
        <f aca="false">SRC_HW_048</f>
        <v>0.9</v>
      </c>
      <c r="S125" s="35" t="str">
        <f aca="false">IF(ISNUMBER($AF125),INDEX(IDX_SrcStat,$AF125),"—")</f>
        <v>Active</v>
      </c>
      <c r="T125" s="35" t="n">
        <f aca="false">IF(ISNUMBER($AF125),INDEX(IDX_SrcGrade,$AF125),"—")</f>
        <v>3</v>
      </c>
      <c r="U125" s="35" t="s">
        <v>2808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5" t="n">
        <f aca="false">IF(OR($H125="—",$H125=""),"—",MATCH($H125,IDX_SrcID,0))</f>
        <v>48</v>
      </c>
    </row>
    <row r="126" customFormat="false" ht="29.25" hidden="false" customHeight="true" outlineLevel="0" collapsed="false">
      <c r="A126" s="36" t="s">
        <v>3109</v>
      </c>
      <c r="B126" s="212" t="s">
        <v>2769</v>
      </c>
      <c r="C126" s="36" t="s">
        <v>2927</v>
      </c>
      <c r="D126" s="36" t="s">
        <v>2923</v>
      </c>
      <c r="E126" s="6" t="s">
        <v>199</v>
      </c>
      <c r="F126" s="212" t="s">
        <v>296</v>
      </c>
      <c r="G126" s="212" t="s">
        <v>2771</v>
      </c>
      <c r="H126" s="36" t="s">
        <v>3108</v>
      </c>
      <c r="I126" s="19" t="s">
        <v>2806</v>
      </c>
      <c r="J126" s="36" t="s">
        <v>585</v>
      </c>
      <c r="K126" s="212"/>
      <c r="L126" s="212"/>
      <c r="M126" s="36" t="s">
        <v>585</v>
      </c>
      <c r="N126" s="19" t="s">
        <v>2904</v>
      </c>
      <c r="O126" s="6" t="s">
        <v>585</v>
      </c>
      <c r="P126" s="212" t="s">
        <v>2774</v>
      </c>
      <c r="Q126" s="43" t="n">
        <f aca="false">Spec_Rack!E27</f>
        <v>0.9</v>
      </c>
      <c r="R126" s="184" t="n">
        <f aca="false">SRC_HW_048</f>
        <v>0.9</v>
      </c>
      <c r="S126" s="35" t="str">
        <f aca="false">IF(ISNUMBER($AF126),INDEX(IDX_SrcStat,$AF126),"—")</f>
        <v>Active</v>
      </c>
      <c r="T126" s="35" t="n">
        <f aca="false">IF(ISNUMBER($AF126),INDEX(IDX_SrcGrade,$AF126),"—")</f>
        <v>3</v>
      </c>
      <c r="U126" s="35" t="s">
        <v>2808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5" t="n">
        <f aca="false">IF(OR($H126="—",$H126=""),"—",MATCH($H126,IDX_SrcID,0))</f>
        <v>48</v>
      </c>
    </row>
    <row r="127" customFormat="false" ht="29.25" hidden="false" customHeight="true" outlineLevel="0" collapsed="false">
      <c r="A127" s="36" t="s">
        <v>3110</v>
      </c>
      <c r="B127" s="212" t="s">
        <v>2769</v>
      </c>
      <c r="C127" s="36" t="s">
        <v>2927</v>
      </c>
      <c r="D127" s="36" t="s">
        <v>3111</v>
      </c>
      <c r="E127" s="6" t="s">
        <v>199</v>
      </c>
      <c r="F127" s="212" t="s">
        <v>296</v>
      </c>
      <c r="G127" s="212" t="s">
        <v>2771</v>
      </c>
      <c r="H127" s="36" t="s">
        <v>3112</v>
      </c>
      <c r="I127" s="19" t="s">
        <v>2806</v>
      </c>
      <c r="J127" s="36" t="s">
        <v>585</v>
      </c>
      <c r="K127" s="212"/>
      <c r="L127" s="212"/>
      <c r="M127" s="36" t="s">
        <v>585</v>
      </c>
      <c r="N127" s="19" t="s">
        <v>2904</v>
      </c>
      <c r="O127" s="6" t="s">
        <v>585</v>
      </c>
      <c r="P127" s="212" t="s">
        <v>2774</v>
      </c>
      <c r="Q127" s="43" t="n">
        <f aca="false">Spec_Rack!F27</f>
        <v>1.8</v>
      </c>
      <c r="R127" s="184" t="n">
        <f aca="false">SRC_HW_049</f>
        <v>1.8</v>
      </c>
      <c r="S127" s="35" t="str">
        <f aca="false">IF(ISNUMBER($AF127),INDEX(IDX_SrcStat,$AF127),"—")</f>
        <v>Active</v>
      </c>
      <c r="T127" s="35" t="n">
        <f aca="false">IF(ISNUMBER($AF127),INDEX(IDX_SrcGrade,$AF127),"—")</f>
        <v>3</v>
      </c>
      <c r="U127" s="35" t="s">
        <v>2808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5" t="n">
        <f aca="false">IF(OR($H127="—",$H127=""),"—",MATCH($H127,IDX_SrcID,0))</f>
        <v>49</v>
      </c>
    </row>
    <row r="128" customFormat="false" ht="29.25" hidden="false" customHeight="true" outlineLevel="0" collapsed="false">
      <c r="A128" s="36" t="s">
        <v>3113</v>
      </c>
      <c r="B128" s="212" t="s">
        <v>2769</v>
      </c>
      <c r="C128" s="36" t="s">
        <v>2927</v>
      </c>
      <c r="D128" s="36" t="s">
        <v>3114</v>
      </c>
      <c r="E128" s="6" t="s">
        <v>199</v>
      </c>
      <c r="F128" s="36" t="s">
        <v>78</v>
      </c>
      <c r="G128" s="212" t="s">
        <v>2771</v>
      </c>
      <c r="H128" s="36" t="s">
        <v>585</v>
      </c>
      <c r="I128" s="6" t="s">
        <v>585</v>
      </c>
      <c r="J128" s="36" t="s">
        <v>585</v>
      </c>
      <c r="K128" s="214" t="n">
        <v>1.8</v>
      </c>
      <c r="L128" s="214" t="n">
        <v>3.6</v>
      </c>
      <c r="M128" s="36" t="s">
        <v>3115</v>
      </c>
      <c r="N128" s="6" t="s">
        <v>3116</v>
      </c>
      <c r="O128" s="6" t="s">
        <v>585</v>
      </c>
      <c r="P128" s="212" t="s">
        <v>2774</v>
      </c>
      <c r="Q128" s="43" t="n">
        <f aca="false">Spec_Rack!G27</f>
        <v>1.8</v>
      </c>
      <c r="R128" s="36" t="s">
        <v>585</v>
      </c>
      <c r="S128" s="35" t="str">
        <f aca="false">IF(ISNUMBER($AF128),INDEX(IDX_SrcStat,$AF128),"—")</f>
        <v>—</v>
      </c>
      <c r="T128" s="35" t="str">
        <f aca="false">IF(ISNUMBER($AF128),INDEX(IDX_SrcGrade,$AF128),"—")</f>
        <v>—</v>
      </c>
      <c r="U128" s="35" t="s">
        <v>2775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5" t="str">
        <f aca="false">IF(OR($H128="—",$H128=""),"—",MATCH($H128,IDX_SrcID,0))</f>
        <v>—</v>
      </c>
    </row>
    <row r="129" customFormat="false" ht="15" hidden="false" customHeight="true" outlineLevel="0" collapsed="false">
      <c r="A129" s="36" t="s">
        <v>3117</v>
      </c>
      <c r="B129" s="212" t="s">
        <v>2769</v>
      </c>
      <c r="C129" s="36" t="s">
        <v>2927</v>
      </c>
      <c r="D129" s="36" t="s">
        <v>3118</v>
      </c>
      <c r="E129" s="6" t="s">
        <v>201</v>
      </c>
      <c r="F129" s="212" t="s">
        <v>296</v>
      </c>
      <c r="G129" s="212" t="s">
        <v>2771</v>
      </c>
      <c r="H129" s="36" t="s">
        <v>3119</v>
      </c>
      <c r="I129" s="19" t="s">
        <v>2806</v>
      </c>
      <c r="J129" s="36" t="s">
        <v>585</v>
      </c>
      <c r="K129" s="212"/>
      <c r="L129" s="212"/>
      <c r="M129" s="36" t="s">
        <v>585</v>
      </c>
      <c r="N129" s="19" t="s">
        <v>2904</v>
      </c>
      <c r="O129" s="6" t="s">
        <v>585</v>
      </c>
      <c r="P129" s="212" t="s">
        <v>1114</v>
      </c>
      <c r="Q129" s="41" t="n">
        <f aca="false">Spec_Rack!C28</f>
        <v>8</v>
      </c>
      <c r="R129" s="184" t="n">
        <f aca="false">SRC_HW_053</f>
        <v>8</v>
      </c>
      <c r="S129" s="35" t="str">
        <f aca="false">IF(ISNUMBER($AF129),INDEX(IDX_SrcStat,$AF129),"—")</f>
        <v>Active</v>
      </c>
      <c r="T129" s="35" t="n">
        <f aca="false">IF(ISNUMBER($AF129),INDEX(IDX_SrcGrade,$AF129),"—")</f>
        <v>1</v>
      </c>
      <c r="U129" s="35" t="s">
        <v>2808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5" t="n">
        <f aca="false">IF(OR($H129="—",$H129=""),"—",MATCH($H129,IDX_SrcID,0))</f>
        <v>53</v>
      </c>
    </row>
    <row r="130" customFormat="false" ht="15" hidden="false" customHeight="true" outlineLevel="0" collapsed="false">
      <c r="A130" s="36" t="s">
        <v>3120</v>
      </c>
      <c r="B130" s="212" t="s">
        <v>2769</v>
      </c>
      <c r="C130" s="36" t="s">
        <v>2927</v>
      </c>
      <c r="D130" s="36" t="s">
        <v>2858</v>
      </c>
      <c r="E130" s="6" t="s">
        <v>201</v>
      </c>
      <c r="F130" s="212" t="s">
        <v>296</v>
      </c>
      <c r="G130" s="212" t="s">
        <v>2771</v>
      </c>
      <c r="H130" s="36" t="s">
        <v>2933</v>
      </c>
      <c r="I130" s="19" t="s">
        <v>2806</v>
      </c>
      <c r="J130" s="36" t="s">
        <v>585</v>
      </c>
      <c r="K130" s="212"/>
      <c r="L130" s="212"/>
      <c r="M130" s="36" t="s">
        <v>585</v>
      </c>
      <c r="N130" s="19" t="s">
        <v>2904</v>
      </c>
      <c r="O130" s="6" t="s">
        <v>585</v>
      </c>
      <c r="P130" s="212" t="s">
        <v>1114</v>
      </c>
      <c r="Q130" s="41" t="n">
        <f aca="false">Spec_Rack!D28</f>
        <v>72</v>
      </c>
      <c r="R130" s="184" t="n">
        <f aca="false">SRC_HW_047</f>
        <v>72</v>
      </c>
      <c r="S130" s="35" t="str">
        <f aca="false">IF(ISNUMBER($AF130),INDEX(IDX_SrcStat,$AF130),"—")</f>
        <v>Active</v>
      </c>
      <c r="T130" s="35" t="n">
        <f aca="false">IF(ISNUMBER($AF130),INDEX(IDX_SrcGrade,$AF130),"—")</f>
        <v>1</v>
      </c>
      <c r="U130" s="35" t="s">
        <v>2808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5" t="n">
        <f aca="false">IF(OR($H130="—",$H130=""),"—",MATCH($H130,IDX_SrcID,0))</f>
        <v>47</v>
      </c>
    </row>
    <row r="131" customFormat="false" ht="15" hidden="false" customHeight="true" outlineLevel="0" collapsed="false">
      <c r="A131" s="36" t="s">
        <v>3121</v>
      </c>
      <c r="B131" s="212" t="s">
        <v>2769</v>
      </c>
      <c r="C131" s="36" t="s">
        <v>2927</v>
      </c>
      <c r="D131" s="36" t="s">
        <v>2856</v>
      </c>
      <c r="E131" s="6" t="s">
        <v>201</v>
      </c>
      <c r="F131" s="212" t="s">
        <v>296</v>
      </c>
      <c r="G131" s="212" t="s">
        <v>2771</v>
      </c>
      <c r="H131" s="36" t="s">
        <v>2933</v>
      </c>
      <c r="I131" s="19" t="s">
        <v>2806</v>
      </c>
      <c r="J131" s="36" t="s">
        <v>585</v>
      </c>
      <c r="K131" s="212"/>
      <c r="L131" s="212"/>
      <c r="M131" s="36" t="s">
        <v>585</v>
      </c>
      <c r="N131" s="19" t="s">
        <v>2904</v>
      </c>
      <c r="O131" s="6" t="s">
        <v>585</v>
      </c>
      <c r="P131" s="212" t="s">
        <v>1114</v>
      </c>
      <c r="Q131" s="41" t="n">
        <f aca="false">Spec_Rack!E28</f>
        <v>72</v>
      </c>
      <c r="R131" s="184" t="n">
        <f aca="false">SRC_HW_047</f>
        <v>72</v>
      </c>
      <c r="S131" s="35" t="str">
        <f aca="false">IF(ISNUMBER($AF131),INDEX(IDX_SrcStat,$AF131),"—")</f>
        <v>Active</v>
      </c>
      <c r="T131" s="35" t="n">
        <f aca="false">IF(ISNUMBER($AF131),INDEX(IDX_SrcGrade,$AF131),"—")</f>
        <v>1</v>
      </c>
      <c r="U131" s="35" t="s">
        <v>2808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5" t="n">
        <f aca="false">IF(OR($H131="—",$H131=""),"—",MATCH($H131,IDX_SrcID,0))</f>
        <v>47</v>
      </c>
    </row>
    <row r="132" customFormat="false" ht="15" hidden="false" customHeight="true" outlineLevel="0" collapsed="false">
      <c r="A132" s="36" t="s">
        <v>3122</v>
      </c>
      <c r="B132" s="212" t="s">
        <v>2769</v>
      </c>
      <c r="C132" s="36" t="s">
        <v>2927</v>
      </c>
      <c r="D132" s="36" t="s">
        <v>2860</v>
      </c>
      <c r="E132" s="6" t="s">
        <v>201</v>
      </c>
      <c r="F132" s="212" t="s">
        <v>296</v>
      </c>
      <c r="G132" s="212" t="s">
        <v>2771</v>
      </c>
      <c r="H132" s="36" t="s">
        <v>2933</v>
      </c>
      <c r="I132" s="19" t="s">
        <v>2806</v>
      </c>
      <c r="J132" s="36" t="s">
        <v>585</v>
      </c>
      <c r="K132" s="212"/>
      <c r="L132" s="212"/>
      <c r="M132" s="36" t="s">
        <v>585</v>
      </c>
      <c r="N132" s="19" t="s">
        <v>2904</v>
      </c>
      <c r="O132" s="6" t="s">
        <v>585</v>
      </c>
      <c r="P132" s="212" t="s">
        <v>1114</v>
      </c>
      <c r="Q132" s="41" t="n">
        <f aca="false">Spec_Rack!F28</f>
        <v>72</v>
      </c>
      <c r="R132" s="184" t="n">
        <f aca="false">SRC_HW_047</f>
        <v>72</v>
      </c>
      <c r="S132" s="35" t="str">
        <f aca="false">IF(ISNUMBER($AF132),INDEX(IDX_SrcStat,$AF132),"—")</f>
        <v>Active</v>
      </c>
      <c r="T132" s="35" t="n">
        <f aca="false">IF(ISNUMBER($AF132),INDEX(IDX_SrcGrade,$AF132),"—")</f>
        <v>1</v>
      </c>
      <c r="U132" s="35" t="s">
        <v>2808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5" t="n">
        <f aca="false">IF(OR($H132="—",$H132=""),"—",MATCH($H132,IDX_SrcID,0))</f>
        <v>47</v>
      </c>
    </row>
    <row r="133" customFormat="false" ht="15" hidden="false" customHeight="true" outlineLevel="0" collapsed="false">
      <c r="A133" s="36" t="s">
        <v>3123</v>
      </c>
      <c r="B133" s="212" t="s">
        <v>2769</v>
      </c>
      <c r="C133" s="36" t="s">
        <v>2927</v>
      </c>
      <c r="D133" s="36" t="s">
        <v>3124</v>
      </c>
      <c r="E133" s="6" t="s">
        <v>201</v>
      </c>
      <c r="F133" s="212" t="s">
        <v>296</v>
      </c>
      <c r="G133" s="212" t="s">
        <v>2771</v>
      </c>
      <c r="H133" s="36" t="s">
        <v>3125</v>
      </c>
      <c r="I133" s="19" t="s">
        <v>2806</v>
      </c>
      <c r="J133" s="36" t="s">
        <v>585</v>
      </c>
      <c r="K133" s="212" t="n">
        <v>72</v>
      </c>
      <c r="L133" s="212" t="n">
        <v>576</v>
      </c>
      <c r="M133" s="212" t="s">
        <v>3126</v>
      </c>
      <c r="N133" s="19" t="s">
        <v>2904</v>
      </c>
      <c r="O133" s="6" t="s">
        <v>585</v>
      </c>
      <c r="P133" s="212" t="s">
        <v>1114</v>
      </c>
      <c r="Q133" s="41" t="n">
        <f aca="false">Spec_Rack!G28</f>
        <v>576</v>
      </c>
      <c r="R133" s="184" t="n">
        <f aca="false">SRC_HW_062</f>
        <v>576</v>
      </c>
      <c r="S133" s="35" t="str">
        <f aca="false">IF(ISNUMBER($AF133),INDEX(IDX_SrcStat,$AF133),"—")</f>
        <v>Active</v>
      </c>
      <c r="T133" s="35" t="n">
        <f aca="false">IF(ISNUMBER($AF133),INDEX(IDX_SrcGrade,$AF133),"—")</f>
        <v>1</v>
      </c>
      <c r="U133" s="35" t="s">
        <v>2808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5" t="n">
        <f aca="false">IF(OR($H133="—",$H133=""),"—",MATCH($H133,IDX_SrcID,0))</f>
        <v>62</v>
      </c>
    </row>
    <row r="134" customFormat="false" ht="29.25" hidden="false" customHeight="true" outlineLevel="0" collapsed="false">
      <c r="A134" s="36" t="s">
        <v>3127</v>
      </c>
      <c r="B134" s="212" t="s">
        <v>2769</v>
      </c>
      <c r="C134" s="36" t="s">
        <v>2927</v>
      </c>
      <c r="D134" s="36" t="s">
        <v>3128</v>
      </c>
      <c r="E134" s="6" t="s">
        <v>202</v>
      </c>
      <c r="F134" s="36" t="s">
        <v>82</v>
      </c>
      <c r="G134" s="212" t="s">
        <v>2771</v>
      </c>
      <c r="H134" s="36" t="s">
        <v>3129</v>
      </c>
      <c r="I134" s="19" t="s">
        <v>3130</v>
      </c>
      <c r="J134" s="36" t="s">
        <v>585</v>
      </c>
      <c r="K134" s="214" t="n">
        <v>32</v>
      </c>
      <c r="L134" s="214" t="n">
        <v>144</v>
      </c>
      <c r="M134" s="36" t="s">
        <v>3131</v>
      </c>
      <c r="N134" s="6" t="s">
        <v>3132</v>
      </c>
      <c r="O134" s="6" t="s">
        <v>585</v>
      </c>
      <c r="P134" s="212" t="s">
        <v>2830</v>
      </c>
      <c r="Q134" s="41" t="n">
        <f aca="false">Spec_Rack!C29</f>
        <v>64</v>
      </c>
      <c r="R134" s="184" t="n">
        <f aca="false">SRC_PERF_051</f>
        <v>18</v>
      </c>
      <c r="S134" s="35" t="str">
        <f aca="false">IF(ISNUMBER($AF134),INDEX(IDX_SrcStat,$AF134),"—")</f>
        <v>Active</v>
      </c>
      <c r="T134" s="35" t="n">
        <f aca="false">IF(ISNUMBER($AF134),INDEX(IDX_SrcGrade,$AF134),"—")</f>
        <v>1</v>
      </c>
      <c r="U134" s="35" t="s">
        <v>2775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5" t="n">
        <f aca="false">IF(OR($H134="—",$H134=""),"—",MATCH($H134,IDX_SrcID,0))</f>
        <v>333</v>
      </c>
    </row>
    <row r="135" customFormat="false" ht="29.25" hidden="false" customHeight="true" outlineLevel="0" collapsed="false">
      <c r="A135" s="36" t="s">
        <v>3133</v>
      </c>
      <c r="B135" s="212" t="s">
        <v>2769</v>
      </c>
      <c r="C135" s="36" t="s">
        <v>2927</v>
      </c>
      <c r="D135" s="36" t="s">
        <v>3134</v>
      </c>
      <c r="E135" s="6" t="s">
        <v>202</v>
      </c>
      <c r="F135" s="36" t="s">
        <v>82</v>
      </c>
      <c r="G135" s="212" t="s">
        <v>2771</v>
      </c>
      <c r="H135" s="36" t="s">
        <v>3135</v>
      </c>
      <c r="I135" s="19" t="s">
        <v>3136</v>
      </c>
      <c r="J135" s="36" t="s">
        <v>585</v>
      </c>
      <c r="K135" s="214" t="n">
        <v>16</v>
      </c>
      <c r="L135" s="214" t="n">
        <v>72</v>
      </c>
      <c r="M135" s="36" t="s">
        <v>3137</v>
      </c>
      <c r="N135" s="6" t="s">
        <v>3138</v>
      </c>
      <c r="O135" s="6" t="s">
        <v>585</v>
      </c>
      <c r="P135" s="212" t="s">
        <v>2830</v>
      </c>
      <c r="Q135" s="41" t="n">
        <f aca="false">Spec_Rack!D29</f>
        <v>32</v>
      </c>
      <c r="R135" s="184" t="n">
        <f aca="false">SRC_PERF_008</f>
        <v>32</v>
      </c>
      <c r="S135" s="35" t="str">
        <f aca="false">IF(ISNUMBER($AF135),INDEX(IDX_SrcStat,$AF135),"—")</f>
        <v>Active</v>
      </c>
      <c r="T135" s="35" t="n">
        <f aca="false">IF(ISNUMBER($AF135),INDEX(IDX_SrcGrade,$AF135),"—")</f>
        <v>1</v>
      </c>
      <c r="U135" s="35" t="s">
        <v>2775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5" t="n">
        <f aca="false">IF(OR($H135="—",$H135=""),"—",MATCH($H135,IDX_SrcID,0))</f>
        <v>290</v>
      </c>
    </row>
    <row r="136" customFormat="false" ht="15" hidden="false" customHeight="true" outlineLevel="0" collapsed="false">
      <c r="A136" s="36" t="s">
        <v>3139</v>
      </c>
      <c r="B136" s="212" t="s">
        <v>2769</v>
      </c>
      <c r="C136" s="36" t="s">
        <v>2927</v>
      </c>
      <c r="D136" s="36" t="s">
        <v>3140</v>
      </c>
      <c r="E136" s="6" t="s">
        <v>202</v>
      </c>
      <c r="F136" s="212" t="s">
        <v>296</v>
      </c>
      <c r="G136" s="212" t="s">
        <v>2771</v>
      </c>
      <c r="H136" s="36" t="s">
        <v>3135</v>
      </c>
      <c r="I136" s="19" t="s">
        <v>2806</v>
      </c>
      <c r="J136" s="36" t="s">
        <v>585</v>
      </c>
      <c r="K136" s="212"/>
      <c r="L136" s="212"/>
      <c r="M136" s="36" t="s">
        <v>585</v>
      </c>
      <c r="N136" s="19" t="s">
        <v>2992</v>
      </c>
      <c r="O136" s="6" t="s">
        <v>585</v>
      </c>
      <c r="P136" s="212" t="s">
        <v>2830</v>
      </c>
      <c r="Q136" s="41" t="n">
        <f aca="false">Spec_Rack!E29</f>
        <v>32</v>
      </c>
      <c r="R136" s="184" t="n">
        <f aca="false">SRC_PERF_008</f>
        <v>32</v>
      </c>
      <c r="S136" s="35" t="str">
        <f aca="false">IF(ISNUMBER($AF136),INDEX(IDX_SrcStat,$AF136),"—")</f>
        <v>Active</v>
      </c>
      <c r="T136" s="35" t="n">
        <f aca="false">IF(ISNUMBER($AF136),INDEX(IDX_SrcGrade,$AF136),"—")</f>
        <v>1</v>
      </c>
      <c r="U136" s="35" t="s">
        <v>2808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5" t="n">
        <f aca="false">IF(OR($H136="—",$H136=""),"—",MATCH($H136,IDX_SrcID,0))</f>
        <v>290</v>
      </c>
    </row>
    <row r="137" customFormat="false" ht="29.25" hidden="false" customHeight="true" outlineLevel="0" collapsed="false">
      <c r="A137" s="36" t="s">
        <v>3141</v>
      </c>
      <c r="B137" s="212" t="s">
        <v>2769</v>
      </c>
      <c r="C137" s="36" t="s">
        <v>2927</v>
      </c>
      <c r="D137" s="36" t="s">
        <v>3142</v>
      </c>
      <c r="E137" s="6" t="s">
        <v>202</v>
      </c>
      <c r="F137" s="36" t="s">
        <v>82</v>
      </c>
      <c r="G137" s="212" t="s">
        <v>2771</v>
      </c>
      <c r="H137" s="36" t="s">
        <v>3135</v>
      </c>
      <c r="I137" s="19" t="s">
        <v>3136</v>
      </c>
      <c r="J137" s="36" t="s">
        <v>585</v>
      </c>
      <c r="K137" s="214" t="n">
        <v>16</v>
      </c>
      <c r="L137" s="214" t="n">
        <v>72</v>
      </c>
      <c r="M137" s="36" t="s">
        <v>3137</v>
      </c>
      <c r="N137" s="6" t="s">
        <v>3138</v>
      </c>
      <c r="O137" s="6" t="s">
        <v>585</v>
      </c>
      <c r="P137" s="212" t="s">
        <v>2830</v>
      </c>
      <c r="Q137" s="41" t="n">
        <f aca="false">Spec_Rack!F29</f>
        <v>32</v>
      </c>
      <c r="R137" s="184" t="n">
        <f aca="false">SRC_PERF_008</f>
        <v>32</v>
      </c>
      <c r="S137" s="35" t="str">
        <f aca="false">IF(ISNUMBER($AF137),INDEX(IDX_SrcStat,$AF137),"—")</f>
        <v>Active</v>
      </c>
      <c r="T137" s="35" t="n">
        <f aca="false">IF(ISNUMBER($AF137),INDEX(IDX_SrcGrade,$AF137),"—")</f>
        <v>1</v>
      </c>
      <c r="U137" s="35" t="s">
        <v>2775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5" t="n">
        <f aca="false">IF(OR($H137="—",$H137=""),"—",MATCH($H137,IDX_SrcID,0))</f>
        <v>290</v>
      </c>
    </row>
    <row r="138" customFormat="false" ht="15" hidden="false" customHeight="true" outlineLevel="0" collapsed="false">
      <c r="A138" s="36" t="s">
        <v>3143</v>
      </c>
      <c r="B138" s="212" t="s">
        <v>2769</v>
      </c>
      <c r="C138" s="36" t="s">
        <v>2927</v>
      </c>
      <c r="D138" s="36" t="s">
        <v>3144</v>
      </c>
      <c r="E138" s="6" t="s">
        <v>202</v>
      </c>
      <c r="F138" s="36" t="s">
        <v>78</v>
      </c>
      <c r="G138" s="212" t="s">
        <v>2771</v>
      </c>
      <c r="H138" s="36" t="s">
        <v>585</v>
      </c>
      <c r="I138" s="6" t="s">
        <v>585</v>
      </c>
      <c r="J138" s="36" t="s">
        <v>585</v>
      </c>
      <c r="K138" s="214" t="n">
        <v>32</v>
      </c>
      <c r="L138" s="214" t="n">
        <v>144</v>
      </c>
      <c r="M138" s="36" t="s">
        <v>3131</v>
      </c>
      <c r="N138" s="6" t="s">
        <v>3085</v>
      </c>
      <c r="O138" s="6" t="s">
        <v>585</v>
      </c>
      <c r="P138" s="212" t="s">
        <v>2830</v>
      </c>
      <c r="Q138" s="41" t="n">
        <f aca="false">Spec_Rack!G29</f>
        <v>64</v>
      </c>
      <c r="R138" s="36" t="s">
        <v>585</v>
      </c>
      <c r="S138" s="35" t="str">
        <f aca="false">IF(ISNUMBER($AF138),INDEX(IDX_SrcStat,$AF138),"—")</f>
        <v>—</v>
      </c>
      <c r="T138" s="35" t="str">
        <f aca="false">IF(ISNUMBER($AF138),INDEX(IDX_SrcGrade,$AF138),"—")</f>
        <v>—</v>
      </c>
      <c r="U138" s="35" t="s">
        <v>2775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5" t="str">
        <f aca="false">IF(OR($H138="—",$H138=""),"—",MATCH($H138,IDX_SrcID,0))</f>
        <v>—</v>
      </c>
    </row>
    <row r="139" customFormat="false" ht="15" hidden="false" customHeight="true" outlineLevel="0" collapsed="false">
      <c r="A139" s="36" t="s">
        <v>3145</v>
      </c>
      <c r="B139" s="212" t="s">
        <v>2769</v>
      </c>
      <c r="C139" s="36" t="s">
        <v>2927</v>
      </c>
      <c r="D139" s="36" t="s">
        <v>3146</v>
      </c>
      <c r="E139" s="19" t="s">
        <v>3147</v>
      </c>
      <c r="F139" s="212" t="s">
        <v>296</v>
      </c>
      <c r="G139" s="212" t="s">
        <v>2771</v>
      </c>
      <c r="H139" s="36" t="s">
        <v>3148</v>
      </c>
      <c r="I139" s="19" t="s">
        <v>2806</v>
      </c>
      <c r="J139" s="36" t="s">
        <v>585</v>
      </c>
      <c r="K139" s="212"/>
      <c r="L139" s="212"/>
      <c r="M139" s="36" t="s">
        <v>585</v>
      </c>
      <c r="N139" s="19" t="s">
        <v>2992</v>
      </c>
      <c r="O139" s="6" t="s">
        <v>585</v>
      </c>
      <c r="P139" s="212" t="s">
        <v>2830</v>
      </c>
      <c r="Q139" s="45" t="n">
        <f aca="false">Spec_Rack!C30</f>
        <v>1</v>
      </c>
      <c r="R139" s="184" t="n">
        <f aca="false">SRC_HW_055</f>
        <v>1</v>
      </c>
      <c r="S139" s="35" t="str">
        <f aca="false">IF(ISNUMBER($AF139),INDEX(IDX_SrcStat,$AF139),"—")</f>
        <v>Active</v>
      </c>
      <c r="T139" s="35" t="n">
        <f aca="false">IF(ISNUMBER($AF139),INDEX(IDX_SrcGrade,$AF139),"—")</f>
        <v>3</v>
      </c>
      <c r="U139" s="35" t="s">
        <v>2808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5" t="n">
        <f aca="false">IF(OR($H139="—",$H139=""),"—",MATCH($H139,IDX_SrcID,0))</f>
        <v>55</v>
      </c>
    </row>
    <row r="140" customFormat="false" ht="15" hidden="false" customHeight="true" outlineLevel="0" collapsed="false">
      <c r="A140" s="36" t="s">
        <v>3149</v>
      </c>
      <c r="B140" s="212" t="s">
        <v>2769</v>
      </c>
      <c r="C140" s="36" t="s">
        <v>2927</v>
      </c>
      <c r="D140" s="36" t="s">
        <v>2866</v>
      </c>
      <c r="E140" s="19" t="s">
        <v>3147</v>
      </c>
      <c r="F140" s="212" t="s">
        <v>296</v>
      </c>
      <c r="G140" s="212" t="s">
        <v>2771</v>
      </c>
      <c r="H140" s="36" t="s">
        <v>3150</v>
      </c>
      <c r="I140" s="19" t="s">
        <v>2806</v>
      </c>
      <c r="J140" s="36" t="s">
        <v>585</v>
      </c>
      <c r="K140" s="212"/>
      <c r="L140" s="212"/>
      <c r="M140" s="36" t="s">
        <v>585</v>
      </c>
      <c r="N140" s="19" t="s">
        <v>2992</v>
      </c>
      <c r="O140" s="6" t="s">
        <v>585</v>
      </c>
      <c r="P140" s="212" t="s">
        <v>2830</v>
      </c>
      <c r="Q140" s="45" t="n">
        <f aca="false">Spec_Rack!D30</f>
        <v>0.5625</v>
      </c>
      <c r="R140" s="184" t="n">
        <f aca="false">SRC_HW_050</f>
        <v>0.5625</v>
      </c>
      <c r="S140" s="35" t="str">
        <f aca="false">IF(ISNUMBER($AF140),INDEX(IDX_SrcStat,$AF140),"—")</f>
        <v>Active</v>
      </c>
      <c r="T140" s="35" t="n">
        <f aca="false">IF(ISNUMBER($AF140),INDEX(IDX_SrcGrade,$AF140),"—")</f>
        <v>3</v>
      </c>
      <c r="U140" s="35" t="s">
        <v>2808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5" t="n">
        <f aca="false">IF(OR($H140="—",$H140=""),"—",MATCH($H140,IDX_SrcID,0))</f>
        <v>50</v>
      </c>
    </row>
    <row r="141" customFormat="false" ht="15" hidden="false" customHeight="true" outlineLevel="0" collapsed="false">
      <c r="A141" s="36" t="s">
        <v>3151</v>
      </c>
      <c r="B141" s="212" t="s">
        <v>2769</v>
      </c>
      <c r="C141" s="36" t="s">
        <v>2927</v>
      </c>
      <c r="D141" s="36" t="s">
        <v>2862</v>
      </c>
      <c r="E141" s="19" t="s">
        <v>3147</v>
      </c>
      <c r="F141" s="212" t="s">
        <v>296</v>
      </c>
      <c r="G141" s="212" t="s">
        <v>2771</v>
      </c>
      <c r="H141" s="36" t="s">
        <v>3150</v>
      </c>
      <c r="I141" s="19" t="s">
        <v>2806</v>
      </c>
      <c r="J141" s="36" t="s">
        <v>585</v>
      </c>
      <c r="K141" s="212"/>
      <c r="L141" s="212"/>
      <c r="M141" s="36" t="s">
        <v>585</v>
      </c>
      <c r="N141" s="19" t="s">
        <v>2992</v>
      </c>
      <c r="O141" s="6" t="s">
        <v>585</v>
      </c>
      <c r="P141" s="212" t="s">
        <v>2830</v>
      </c>
      <c r="Q141" s="45" t="n">
        <f aca="false">Spec_Rack!E30</f>
        <v>0.5625</v>
      </c>
      <c r="R141" s="184" t="n">
        <f aca="false">SRC_HW_050</f>
        <v>0.5625</v>
      </c>
      <c r="S141" s="35" t="str">
        <f aca="false">IF(ISNUMBER($AF141),INDEX(IDX_SrcStat,$AF141),"—")</f>
        <v>Active</v>
      </c>
      <c r="T141" s="35" t="n">
        <f aca="false">IF(ISNUMBER($AF141),INDEX(IDX_SrcGrade,$AF141),"—")</f>
        <v>3</v>
      </c>
      <c r="U141" s="35" t="s">
        <v>2808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5" t="n">
        <f aca="false">IF(OR($H141="—",$H141=""),"—",MATCH($H141,IDX_SrcID,0))</f>
        <v>50</v>
      </c>
    </row>
    <row r="142" customFormat="false" ht="15" hidden="false" customHeight="true" outlineLevel="0" collapsed="false">
      <c r="A142" s="36" t="s">
        <v>3152</v>
      </c>
      <c r="B142" s="212" t="s">
        <v>2769</v>
      </c>
      <c r="C142" s="36" t="s">
        <v>2927</v>
      </c>
      <c r="D142" s="36" t="s">
        <v>2868</v>
      </c>
      <c r="E142" s="19" t="s">
        <v>3147</v>
      </c>
      <c r="F142" s="212" t="s">
        <v>296</v>
      </c>
      <c r="G142" s="212" t="s">
        <v>2771</v>
      </c>
      <c r="H142" s="36" t="s">
        <v>3150</v>
      </c>
      <c r="I142" s="19" t="s">
        <v>2806</v>
      </c>
      <c r="J142" s="36" t="s">
        <v>585</v>
      </c>
      <c r="K142" s="212"/>
      <c r="L142" s="212"/>
      <c r="M142" s="36" t="s">
        <v>585</v>
      </c>
      <c r="N142" s="19" t="s">
        <v>2992</v>
      </c>
      <c r="O142" s="6" t="s">
        <v>585</v>
      </c>
      <c r="P142" s="212" t="s">
        <v>2830</v>
      </c>
      <c r="Q142" s="45" t="n">
        <f aca="false">Spec_Rack!F30</f>
        <v>0.5625</v>
      </c>
      <c r="R142" s="184" t="n">
        <f aca="false">SRC_HW_050</f>
        <v>0.5625</v>
      </c>
      <c r="S142" s="35" t="str">
        <f aca="false">IF(ISNUMBER($AF142),INDEX(IDX_SrcStat,$AF142),"—")</f>
        <v>Active</v>
      </c>
      <c r="T142" s="35" t="n">
        <f aca="false">IF(ISNUMBER($AF142),INDEX(IDX_SrcGrade,$AF142),"—")</f>
        <v>3</v>
      </c>
      <c r="U142" s="35" t="s">
        <v>2808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5" t="n">
        <f aca="false">IF(OR($H142="—",$H142=""),"—",MATCH($H142,IDX_SrcID,0))</f>
        <v>50</v>
      </c>
    </row>
    <row r="143" customFormat="false" ht="15" hidden="false" customHeight="true" outlineLevel="0" collapsed="false">
      <c r="A143" s="36" t="s">
        <v>3153</v>
      </c>
      <c r="B143" s="212" t="s">
        <v>2769</v>
      </c>
      <c r="C143" s="36" t="s">
        <v>2927</v>
      </c>
      <c r="D143" s="36" t="s">
        <v>3154</v>
      </c>
      <c r="E143" s="19" t="s">
        <v>3147</v>
      </c>
      <c r="F143" s="212" t="s">
        <v>296</v>
      </c>
      <c r="G143" s="212" t="s">
        <v>2771</v>
      </c>
      <c r="H143" s="36" t="s">
        <v>3150</v>
      </c>
      <c r="I143" s="19" t="s">
        <v>2806</v>
      </c>
      <c r="J143" s="36" t="s">
        <v>585</v>
      </c>
      <c r="K143" s="212"/>
      <c r="L143" s="212"/>
      <c r="M143" s="36" t="s">
        <v>585</v>
      </c>
      <c r="N143" s="19" t="s">
        <v>2992</v>
      </c>
      <c r="O143" s="6" t="s">
        <v>585</v>
      </c>
      <c r="P143" s="212" t="s">
        <v>2830</v>
      </c>
      <c r="Q143" s="45" t="n">
        <f aca="false">Spec_Rack!G30</f>
        <v>0.5625</v>
      </c>
      <c r="R143" s="184" t="n">
        <f aca="false">SRC_HW_050</f>
        <v>0.5625</v>
      </c>
      <c r="S143" s="35" t="str">
        <f aca="false">IF(ISNUMBER($AF143),INDEX(IDX_SrcStat,$AF143),"—")</f>
        <v>Active</v>
      </c>
      <c r="T143" s="35" t="n">
        <f aca="false">IF(ISNUMBER($AF143),INDEX(IDX_SrcGrade,$AF143),"—")</f>
        <v>3</v>
      </c>
      <c r="U143" s="35" t="s">
        <v>2808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5" t="n">
        <f aca="false">IF(OR($H143="—",$H143=""),"—",MATCH($H143,IDX_SrcID,0))</f>
        <v>50</v>
      </c>
    </row>
    <row r="144" customFormat="false" ht="29.25" hidden="false" customHeight="true" outlineLevel="0" collapsed="false">
      <c r="A144" s="36" t="s">
        <v>3155</v>
      </c>
      <c r="B144" s="212" t="s">
        <v>2769</v>
      </c>
      <c r="C144" s="36" t="s">
        <v>2927</v>
      </c>
      <c r="D144" s="36" t="s">
        <v>3156</v>
      </c>
      <c r="E144" s="19" t="s">
        <v>3157</v>
      </c>
      <c r="F144" s="36" t="s">
        <v>78</v>
      </c>
      <c r="G144" s="212" t="s">
        <v>2771</v>
      </c>
      <c r="H144" s="36" t="s">
        <v>585</v>
      </c>
      <c r="I144" s="6" t="s">
        <v>585</v>
      </c>
      <c r="J144" s="36" t="s">
        <v>585</v>
      </c>
      <c r="K144" s="214" t="n">
        <v>1</v>
      </c>
      <c r="L144" s="214" t="n">
        <v>2</v>
      </c>
      <c r="M144" s="36" t="s">
        <v>3158</v>
      </c>
      <c r="N144" s="19" t="s">
        <v>3159</v>
      </c>
      <c r="O144" s="6" t="s">
        <v>3160</v>
      </c>
      <c r="P144" s="212" t="s">
        <v>2830</v>
      </c>
      <c r="Q144" s="174" t="n">
        <f aca="false">Spec_Rack!C31</f>
        <v>1</v>
      </c>
      <c r="R144" s="36" t="s">
        <v>585</v>
      </c>
      <c r="S144" s="35" t="str">
        <f aca="false">IF(ISNUMBER($AF144),INDEX(IDX_SrcStat,$AF144),"—")</f>
        <v>—</v>
      </c>
      <c r="T144" s="35" t="str">
        <f aca="false">IF(ISNUMBER($AF144),INDEX(IDX_SrcGrade,$AF144),"—")</f>
        <v>—</v>
      </c>
      <c r="U144" s="35" t="s">
        <v>2775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5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6" t="s">
        <v>3161</v>
      </c>
      <c r="B145" s="212" t="s">
        <v>2769</v>
      </c>
      <c r="C145" s="36" t="s">
        <v>2927</v>
      </c>
      <c r="D145" s="36" t="s">
        <v>2873</v>
      </c>
      <c r="E145" s="19" t="s">
        <v>3157</v>
      </c>
      <c r="F145" s="36" t="s">
        <v>78</v>
      </c>
      <c r="G145" s="212" t="s">
        <v>2771</v>
      </c>
      <c r="H145" s="36" t="s">
        <v>585</v>
      </c>
      <c r="I145" s="6" t="s">
        <v>585</v>
      </c>
      <c r="J145" s="36" t="s">
        <v>585</v>
      </c>
      <c r="K145" s="214" t="n">
        <v>1</v>
      </c>
      <c r="L145" s="214" t="n">
        <v>2</v>
      </c>
      <c r="M145" s="36" t="s">
        <v>3158</v>
      </c>
      <c r="N145" s="19" t="s">
        <v>3159</v>
      </c>
      <c r="O145" s="6" t="s">
        <v>3160</v>
      </c>
      <c r="P145" s="212" t="s">
        <v>2830</v>
      </c>
      <c r="Q145" s="174" t="n">
        <f aca="false">Spec_Rack!D31</f>
        <v>1</v>
      </c>
      <c r="R145" s="36" t="s">
        <v>585</v>
      </c>
      <c r="S145" s="35" t="str">
        <f aca="false">IF(ISNUMBER($AF145),INDEX(IDX_SrcStat,$AF145),"—")</f>
        <v>—</v>
      </c>
      <c r="T145" s="35" t="str">
        <f aca="false">IF(ISNUMBER($AF145),INDEX(IDX_SrcGrade,$AF145),"—")</f>
        <v>—</v>
      </c>
      <c r="U145" s="35" t="s">
        <v>2775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5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6" t="s">
        <v>3162</v>
      </c>
      <c r="B146" s="212" t="s">
        <v>2769</v>
      </c>
      <c r="C146" s="36" t="s">
        <v>2927</v>
      </c>
      <c r="D146" s="36" t="s">
        <v>2870</v>
      </c>
      <c r="E146" s="19" t="s">
        <v>3157</v>
      </c>
      <c r="F146" s="36" t="s">
        <v>78</v>
      </c>
      <c r="G146" s="212" t="s">
        <v>2771</v>
      </c>
      <c r="H146" s="36" t="s">
        <v>585</v>
      </c>
      <c r="I146" s="6" t="s">
        <v>585</v>
      </c>
      <c r="J146" s="36" t="s">
        <v>585</v>
      </c>
      <c r="K146" s="214" t="n">
        <v>1</v>
      </c>
      <c r="L146" s="214" t="n">
        <v>2</v>
      </c>
      <c r="M146" s="36" t="s">
        <v>3158</v>
      </c>
      <c r="N146" s="19" t="s">
        <v>3159</v>
      </c>
      <c r="O146" s="6" t="s">
        <v>3160</v>
      </c>
      <c r="P146" s="212" t="s">
        <v>2830</v>
      </c>
      <c r="Q146" s="174" t="n">
        <f aca="false">Spec_Rack!E31</f>
        <v>1</v>
      </c>
      <c r="R146" s="36" t="s">
        <v>585</v>
      </c>
      <c r="S146" s="35" t="str">
        <f aca="false">IF(ISNUMBER($AF146),INDEX(IDX_SrcStat,$AF146),"—")</f>
        <v>—</v>
      </c>
      <c r="T146" s="35" t="str">
        <f aca="false">IF(ISNUMBER($AF146),INDEX(IDX_SrcGrade,$AF146),"—")</f>
        <v>—</v>
      </c>
      <c r="U146" s="35" t="s">
        <v>2775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5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6" t="s">
        <v>3163</v>
      </c>
      <c r="B147" s="212" t="s">
        <v>2769</v>
      </c>
      <c r="C147" s="36" t="s">
        <v>2927</v>
      </c>
      <c r="D147" s="36" t="s">
        <v>2875</v>
      </c>
      <c r="E147" s="19" t="s">
        <v>3157</v>
      </c>
      <c r="F147" s="36" t="s">
        <v>78</v>
      </c>
      <c r="G147" s="212" t="s">
        <v>2771</v>
      </c>
      <c r="H147" s="36" t="s">
        <v>585</v>
      </c>
      <c r="I147" s="6" t="s">
        <v>585</v>
      </c>
      <c r="J147" s="36" t="s">
        <v>585</v>
      </c>
      <c r="K147" s="214" t="n">
        <v>1</v>
      </c>
      <c r="L147" s="214" t="n">
        <v>2</v>
      </c>
      <c r="M147" s="36" t="s">
        <v>3158</v>
      </c>
      <c r="N147" s="19" t="s">
        <v>3159</v>
      </c>
      <c r="O147" s="6" t="s">
        <v>3160</v>
      </c>
      <c r="P147" s="212" t="s">
        <v>2830</v>
      </c>
      <c r="Q147" s="174" t="n">
        <f aca="false">Spec_Rack!F31</f>
        <v>1</v>
      </c>
      <c r="R147" s="36" t="s">
        <v>585</v>
      </c>
      <c r="S147" s="35" t="str">
        <f aca="false">IF(ISNUMBER($AF147),INDEX(IDX_SrcStat,$AF147),"—")</f>
        <v>—</v>
      </c>
      <c r="T147" s="35" t="str">
        <f aca="false">IF(ISNUMBER($AF147),INDEX(IDX_SrcGrade,$AF147),"—")</f>
        <v>—</v>
      </c>
      <c r="U147" s="35" t="s">
        <v>2775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5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6" t="s">
        <v>3164</v>
      </c>
      <c r="B148" s="212" t="s">
        <v>2769</v>
      </c>
      <c r="C148" s="36" t="s">
        <v>2927</v>
      </c>
      <c r="D148" s="36" t="s">
        <v>3165</v>
      </c>
      <c r="E148" s="19" t="s">
        <v>3157</v>
      </c>
      <c r="F148" s="36" t="s">
        <v>78</v>
      </c>
      <c r="G148" s="212" t="s">
        <v>2771</v>
      </c>
      <c r="H148" s="36" t="s">
        <v>585</v>
      </c>
      <c r="I148" s="6" t="s">
        <v>585</v>
      </c>
      <c r="J148" s="36" t="s">
        <v>585</v>
      </c>
      <c r="K148" s="214" t="n">
        <v>1</v>
      </c>
      <c r="L148" s="214" t="n">
        <v>2</v>
      </c>
      <c r="M148" s="36" t="s">
        <v>3158</v>
      </c>
      <c r="N148" s="19" t="s">
        <v>3159</v>
      </c>
      <c r="O148" s="6" t="s">
        <v>3160</v>
      </c>
      <c r="P148" s="212" t="s">
        <v>2830</v>
      </c>
      <c r="Q148" s="174" t="n">
        <f aca="false">Spec_Rack!G31</f>
        <v>1</v>
      </c>
      <c r="R148" s="36" t="s">
        <v>585</v>
      </c>
      <c r="S148" s="35" t="str">
        <f aca="false">IF(ISNUMBER($AF148),INDEX(IDX_SrcStat,$AF148),"—")</f>
        <v>—</v>
      </c>
      <c r="T148" s="35" t="str">
        <f aca="false">IF(ISNUMBER($AF148),INDEX(IDX_SrcGrade,$AF148),"—")</f>
        <v>—</v>
      </c>
      <c r="U148" s="35" t="s">
        <v>2775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5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6" t="s">
        <v>3166</v>
      </c>
      <c r="B149" s="212" t="s">
        <v>2769</v>
      </c>
      <c r="C149" s="36" t="s">
        <v>2927</v>
      </c>
      <c r="D149" s="36" t="s">
        <v>3167</v>
      </c>
      <c r="E149" s="19" t="s">
        <v>3168</v>
      </c>
      <c r="F149" s="36" t="s">
        <v>78</v>
      </c>
      <c r="G149" s="212" t="s">
        <v>2771</v>
      </c>
      <c r="H149" s="36" t="s">
        <v>585</v>
      </c>
      <c r="I149" s="6" t="s">
        <v>585</v>
      </c>
      <c r="J149" s="36" t="s">
        <v>585</v>
      </c>
      <c r="K149" s="214" t="n">
        <v>4</v>
      </c>
      <c r="L149" s="214" t="n">
        <v>16</v>
      </c>
      <c r="M149" s="36" t="s">
        <v>3169</v>
      </c>
      <c r="N149" s="6" t="s">
        <v>3170</v>
      </c>
      <c r="O149" s="6" t="s">
        <v>585</v>
      </c>
      <c r="P149" s="212" t="s">
        <v>2774</v>
      </c>
      <c r="Q149" s="41" t="n">
        <f aca="false">Spec_Rack!C32</f>
        <v>8</v>
      </c>
      <c r="R149" s="36" t="s">
        <v>585</v>
      </c>
      <c r="S149" s="35" t="str">
        <f aca="false">IF(ISNUMBER($AF149),INDEX(IDX_SrcStat,$AF149),"—")</f>
        <v>—</v>
      </c>
      <c r="T149" s="35" t="str">
        <f aca="false">IF(ISNUMBER($AF149),INDEX(IDX_SrcGrade,$AF149),"—")</f>
        <v>—</v>
      </c>
      <c r="U149" s="35" t="s">
        <v>2775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5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6" t="s">
        <v>3171</v>
      </c>
      <c r="B150" s="212" t="s">
        <v>2769</v>
      </c>
      <c r="C150" s="36" t="s">
        <v>2927</v>
      </c>
      <c r="D150" s="36" t="s">
        <v>2879</v>
      </c>
      <c r="E150" s="19" t="s">
        <v>3168</v>
      </c>
      <c r="F150" s="36" t="s">
        <v>82</v>
      </c>
      <c r="G150" s="212" t="s">
        <v>2771</v>
      </c>
      <c r="H150" s="36" t="s">
        <v>3172</v>
      </c>
      <c r="I150" s="19" t="s">
        <v>3173</v>
      </c>
      <c r="J150" s="36" t="s">
        <v>585</v>
      </c>
      <c r="K150" s="214" t="n">
        <v>2</v>
      </c>
      <c r="L150" s="214" t="n">
        <v>8</v>
      </c>
      <c r="M150" s="36" t="s">
        <v>3174</v>
      </c>
      <c r="N150" s="6" t="s">
        <v>3175</v>
      </c>
      <c r="O150" s="6" t="s">
        <v>585</v>
      </c>
      <c r="P150" s="212" t="s">
        <v>2774</v>
      </c>
      <c r="Q150" s="41" t="n">
        <f aca="false">Spec_Rack!D32</f>
        <v>4</v>
      </c>
      <c r="R150" s="184" t="n">
        <f aca="false">SRC_PERF_007</f>
        <v>4</v>
      </c>
      <c r="S150" s="35" t="str">
        <f aca="false">IF(ISNUMBER($AF150),INDEX(IDX_SrcStat,$AF150),"—")</f>
        <v>Active</v>
      </c>
      <c r="T150" s="35" t="n">
        <f aca="false">IF(ISNUMBER($AF150),INDEX(IDX_SrcGrade,$AF150),"—")</f>
        <v>1</v>
      </c>
      <c r="U150" s="35" t="s">
        <v>2775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5" t="n">
        <f aca="false">IF(OR($H150="—",$H150=""),"—",MATCH($H150,IDX_SrcID,0))</f>
        <v>289</v>
      </c>
    </row>
    <row r="151" customFormat="false" ht="29.25" hidden="false" customHeight="true" outlineLevel="0" collapsed="false">
      <c r="A151" s="36" t="s">
        <v>3176</v>
      </c>
      <c r="B151" s="212" t="s">
        <v>2769</v>
      </c>
      <c r="C151" s="36" t="s">
        <v>2927</v>
      </c>
      <c r="D151" s="36" t="s">
        <v>2877</v>
      </c>
      <c r="E151" s="19" t="s">
        <v>3168</v>
      </c>
      <c r="F151" s="212" t="s">
        <v>296</v>
      </c>
      <c r="G151" s="212" t="s">
        <v>2771</v>
      </c>
      <c r="H151" s="36" t="s">
        <v>3172</v>
      </c>
      <c r="I151" s="19" t="s">
        <v>2806</v>
      </c>
      <c r="J151" s="36" t="s">
        <v>585</v>
      </c>
      <c r="K151" s="212"/>
      <c r="L151" s="212"/>
      <c r="M151" s="36" t="s">
        <v>585</v>
      </c>
      <c r="N151" s="19" t="s">
        <v>2904</v>
      </c>
      <c r="O151" s="6" t="s">
        <v>585</v>
      </c>
      <c r="P151" s="212" t="s">
        <v>2774</v>
      </c>
      <c r="Q151" s="41" t="n">
        <f aca="false">Spec_Rack!E32</f>
        <v>4</v>
      </c>
      <c r="R151" s="184" t="n">
        <f aca="false">SRC_PERF_007</f>
        <v>4</v>
      </c>
      <c r="S151" s="35" t="str">
        <f aca="false">IF(ISNUMBER($AF151),INDEX(IDX_SrcStat,$AF151),"—")</f>
        <v>Active</v>
      </c>
      <c r="T151" s="35" t="n">
        <f aca="false">IF(ISNUMBER($AF151),INDEX(IDX_SrcGrade,$AF151),"—")</f>
        <v>1</v>
      </c>
      <c r="U151" s="35" t="s">
        <v>2808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5" t="n">
        <f aca="false">IF(OR($H151="—",$H151=""),"—",MATCH($H151,IDX_SrcID,0))</f>
        <v>289</v>
      </c>
    </row>
    <row r="152" customFormat="false" ht="29.25" hidden="false" customHeight="true" outlineLevel="0" collapsed="false">
      <c r="A152" s="36" t="s">
        <v>3177</v>
      </c>
      <c r="B152" s="212" t="s">
        <v>2769</v>
      </c>
      <c r="C152" s="36" t="s">
        <v>2927</v>
      </c>
      <c r="D152" s="36" t="s">
        <v>2881</v>
      </c>
      <c r="E152" s="19" t="s">
        <v>3168</v>
      </c>
      <c r="F152" s="36" t="s">
        <v>82</v>
      </c>
      <c r="G152" s="212" t="s">
        <v>2771</v>
      </c>
      <c r="H152" s="36" t="s">
        <v>3172</v>
      </c>
      <c r="I152" s="19" t="s">
        <v>3173</v>
      </c>
      <c r="J152" s="36" t="s">
        <v>585</v>
      </c>
      <c r="K152" s="214" t="n">
        <v>2</v>
      </c>
      <c r="L152" s="214" t="n">
        <v>8</v>
      </c>
      <c r="M152" s="36" t="s">
        <v>3174</v>
      </c>
      <c r="N152" s="6" t="s">
        <v>3175</v>
      </c>
      <c r="O152" s="6" t="s">
        <v>585</v>
      </c>
      <c r="P152" s="212" t="s">
        <v>2774</v>
      </c>
      <c r="Q152" s="41" t="n">
        <f aca="false">Spec_Rack!F32</f>
        <v>4</v>
      </c>
      <c r="R152" s="184" t="n">
        <f aca="false">SRC_PERF_007</f>
        <v>4</v>
      </c>
      <c r="S152" s="35" t="str">
        <f aca="false">IF(ISNUMBER($AF152),INDEX(IDX_SrcStat,$AF152),"—")</f>
        <v>Active</v>
      </c>
      <c r="T152" s="35" t="n">
        <f aca="false">IF(ISNUMBER($AF152),INDEX(IDX_SrcGrade,$AF152),"—")</f>
        <v>1</v>
      </c>
      <c r="U152" s="35" t="s">
        <v>2775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5" t="n">
        <f aca="false">IF(OR($H152="—",$H152=""),"—",MATCH($H152,IDX_SrcID,0))</f>
        <v>289</v>
      </c>
    </row>
    <row r="153" customFormat="false" ht="29.25" hidden="false" customHeight="true" outlineLevel="0" collapsed="false">
      <c r="A153" s="36" t="s">
        <v>3178</v>
      </c>
      <c r="B153" s="212" t="s">
        <v>2769</v>
      </c>
      <c r="C153" s="36" t="s">
        <v>2927</v>
      </c>
      <c r="D153" s="36" t="s">
        <v>3179</v>
      </c>
      <c r="E153" s="19" t="s">
        <v>3168</v>
      </c>
      <c r="F153" s="36" t="s">
        <v>78</v>
      </c>
      <c r="G153" s="212" t="s">
        <v>2771</v>
      </c>
      <c r="H153" s="36" t="s">
        <v>585</v>
      </c>
      <c r="I153" s="6" t="s">
        <v>585</v>
      </c>
      <c r="J153" s="36" t="s">
        <v>585</v>
      </c>
      <c r="K153" s="214" t="n">
        <v>4</v>
      </c>
      <c r="L153" s="214" t="n">
        <v>16</v>
      </c>
      <c r="M153" s="36" t="s">
        <v>3169</v>
      </c>
      <c r="N153" s="6" t="s">
        <v>3180</v>
      </c>
      <c r="O153" s="6" t="s">
        <v>585</v>
      </c>
      <c r="P153" s="212" t="s">
        <v>2774</v>
      </c>
      <c r="Q153" s="41" t="n">
        <f aca="false">Spec_Rack!G32</f>
        <v>8</v>
      </c>
      <c r="R153" s="36" t="s">
        <v>585</v>
      </c>
      <c r="S153" s="35" t="str">
        <f aca="false">IF(ISNUMBER($AF153),INDEX(IDX_SrcStat,$AF153),"—")</f>
        <v>—</v>
      </c>
      <c r="T153" s="35" t="str">
        <f aca="false">IF(ISNUMBER($AF153),INDEX(IDX_SrcGrade,$AF153),"—")</f>
        <v>—</v>
      </c>
      <c r="U153" s="35" t="s">
        <v>2775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5" t="str">
        <f aca="false">IF(OR($H153="—",$H153=""),"—",MATCH($H153,IDX_SrcID,0))</f>
        <v>—</v>
      </c>
    </row>
    <row r="154" customFormat="false" ht="15" hidden="false" customHeight="true" outlineLevel="0" collapsed="false">
      <c r="A154" s="36" t="s">
        <v>3181</v>
      </c>
      <c r="B154" s="212" t="s">
        <v>2769</v>
      </c>
      <c r="C154" s="36" t="s">
        <v>2927</v>
      </c>
      <c r="D154" s="36" t="s">
        <v>3182</v>
      </c>
      <c r="E154" s="6" t="s">
        <v>210</v>
      </c>
      <c r="F154" s="212" t="s">
        <v>296</v>
      </c>
      <c r="G154" s="212" t="s">
        <v>2771</v>
      </c>
      <c r="H154" s="36" t="s">
        <v>3183</v>
      </c>
      <c r="I154" s="19" t="s">
        <v>2806</v>
      </c>
      <c r="J154" s="36" t="s">
        <v>585</v>
      </c>
      <c r="K154" s="212"/>
      <c r="L154" s="212"/>
      <c r="M154" s="36" t="s">
        <v>585</v>
      </c>
      <c r="N154" s="19" t="s">
        <v>2904</v>
      </c>
      <c r="O154" s="6" t="s">
        <v>585</v>
      </c>
      <c r="P154" s="212" t="s">
        <v>2774</v>
      </c>
      <c r="Q154" s="41" t="n">
        <f aca="false">Spec_Rack!C33</f>
        <v>700</v>
      </c>
      <c r="R154" s="184" t="n">
        <f aca="false">SRC_HW_056</f>
        <v>700</v>
      </c>
      <c r="S154" s="35" t="str">
        <f aca="false">IF(ISNUMBER($AF154),INDEX(IDX_SrcStat,$AF154),"—")</f>
        <v>Active</v>
      </c>
      <c r="T154" s="35" t="n">
        <f aca="false">IF(ISNUMBER($AF154),INDEX(IDX_SrcGrade,$AF154),"—")</f>
        <v>3</v>
      </c>
      <c r="U154" s="35" t="s">
        <v>2808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5" t="n">
        <f aca="false">IF(OR($H154="—",$H154=""),"—",MATCH($H154,IDX_SrcID,0))</f>
        <v>56</v>
      </c>
    </row>
    <row r="155" customFormat="false" ht="15" hidden="false" customHeight="true" outlineLevel="0" collapsed="false">
      <c r="A155" s="36" t="s">
        <v>3184</v>
      </c>
      <c r="B155" s="212" t="s">
        <v>2769</v>
      </c>
      <c r="C155" s="36" t="s">
        <v>2927</v>
      </c>
      <c r="D155" s="36" t="s">
        <v>2885</v>
      </c>
      <c r="E155" s="6" t="s">
        <v>210</v>
      </c>
      <c r="F155" s="212" t="s">
        <v>296</v>
      </c>
      <c r="G155" s="212" t="s">
        <v>2771</v>
      </c>
      <c r="H155" s="36" t="s">
        <v>3185</v>
      </c>
      <c r="I155" s="19" t="s">
        <v>2806</v>
      </c>
      <c r="J155" s="36" t="s">
        <v>585</v>
      </c>
      <c r="K155" s="212"/>
      <c r="L155" s="212"/>
      <c r="M155" s="36" t="s">
        <v>585</v>
      </c>
      <c r="N155" s="19" t="s">
        <v>2904</v>
      </c>
      <c r="O155" s="6" t="s">
        <v>585</v>
      </c>
      <c r="P155" s="212" t="s">
        <v>2774</v>
      </c>
      <c r="Q155" s="41" t="n">
        <f aca="false">Spec_Rack!D33</f>
        <v>1200</v>
      </c>
      <c r="R155" s="184" t="n">
        <f aca="false">SRC_HW_057</f>
        <v>1200</v>
      </c>
      <c r="S155" s="35" t="str">
        <f aca="false">IF(ISNUMBER($AF155),INDEX(IDX_SrcStat,$AF155),"—")</f>
        <v>Active</v>
      </c>
      <c r="T155" s="35" t="n">
        <f aca="false">IF(ISNUMBER($AF155),INDEX(IDX_SrcGrade,$AF155),"—")</f>
        <v>3</v>
      </c>
      <c r="U155" s="35" t="s">
        <v>2808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5" t="n">
        <f aca="false">IF(OR($H155="—",$H155=""),"—",MATCH($H155,IDX_SrcID,0))</f>
        <v>57</v>
      </c>
    </row>
    <row r="156" customFormat="false" ht="15" hidden="false" customHeight="true" outlineLevel="0" collapsed="false">
      <c r="A156" s="36" t="s">
        <v>3186</v>
      </c>
      <c r="B156" s="212" t="s">
        <v>2769</v>
      </c>
      <c r="C156" s="36" t="s">
        <v>2927</v>
      </c>
      <c r="D156" s="36" t="s">
        <v>2883</v>
      </c>
      <c r="E156" s="6" t="s">
        <v>210</v>
      </c>
      <c r="F156" s="212" t="s">
        <v>296</v>
      </c>
      <c r="G156" s="212" t="s">
        <v>2771</v>
      </c>
      <c r="H156" s="36" t="s">
        <v>3187</v>
      </c>
      <c r="I156" s="19" t="s">
        <v>2806</v>
      </c>
      <c r="J156" s="36" t="s">
        <v>585</v>
      </c>
      <c r="K156" s="212"/>
      <c r="L156" s="212"/>
      <c r="M156" s="36" t="s">
        <v>585</v>
      </c>
      <c r="N156" s="19" t="s">
        <v>2904</v>
      </c>
      <c r="O156" s="6" t="s">
        <v>585</v>
      </c>
      <c r="P156" s="212" t="s">
        <v>2774</v>
      </c>
      <c r="Q156" s="41" t="n">
        <f aca="false">Spec_Rack!E33</f>
        <v>1400</v>
      </c>
      <c r="R156" s="184" t="n">
        <f aca="false">SRC_HW_058</f>
        <v>1400</v>
      </c>
      <c r="S156" s="35" t="str">
        <f aca="false">IF(ISNUMBER($AF156),INDEX(IDX_SrcStat,$AF156),"—")</f>
        <v>Active</v>
      </c>
      <c r="T156" s="35" t="n">
        <f aca="false">IF(ISNUMBER($AF156),INDEX(IDX_SrcGrade,$AF156),"—")</f>
        <v>3</v>
      </c>
      <c r="U156" s="35" t="s">
        <v>2808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5" t="n">
        <f aca="false">IF(OR($H156="—",$H156=""),"—",MATCH($H156,IDX_SrcID,0))</f>
        <v>58</v>
      </c>
    </row>
    <row r="157" customFormat="false" ht="15" hidden="false" customHeight="true" outlineLevel="0" collapsed="false">
      <c r="A157" s="36" t="s">
        <v>3188</v>
      </c>
      <c r="B157" s="212" t="s">
        <v>2769</v>
      </c>
      <c r="C157" s="36" t="s">
        <v>2927</v>
      </c>
      <c r="D157" s="36" t="s">
        <v>2887</v>
      </c>
      <c r="E157" s="6" t="s">
        <v>210</v>
      </c>
      <c r="F157" s="212" t="s">
        <v>296</v>
      </c>
      <c r="G157" s="212" t="s">
        <v>2771</v>
      </c>
      <c r="H157" s="36" t="s">
        <v>3189</v>
      </c>
      <c r="I157" s="19" t="s">
        <v>3105</v>
      </c>
      <c r="J157" s="36" t="s">
        <v>585</v>
      </c>
      <c r="K157" s="212"/>
      <c r="L157" s="212"/>
      <c r="M157" s="36" t="s">
        <v>585</v>
      </c>
      <c r="N157" s="19" t="s">
        <v>2904</v>
      </c>
      <c r="O157" s="6" t="s">
        <v>585</v>
      </c>
      <c r="P157" s="212" t="s">
        <v>2774</v>
      </c>
      <c r="Q157" s="41" t="n">
        <f aca="false">Spec_Rack!F33</f>
        <v>1800</v>
      </c>
      <c r="R157" s="184" t="n">
        <f aca="false">SRC_HW_046</f>
        <v>1.8</v>
      </c>
      <c r="S157" s="35" t="str">
        <f aca="false">IF(ISNUMBER($AF157),INDEX(IDX_SrcStat,$AF157),"—")</f>
        <v>Active</v>
      </c>
      <c r="T157" s="35" t="n">
        <f aca="false">IF(ISNUMBER($AF157),INDEX(IDX_SrcGrade,$AF157),"—")</f>
        <v>3</v>
      </c>
      <c r="U157" s="35" t="s">
        <v>2808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5" t="n">
        <f aca="false">IF(OR($H157="—",$H157=""),"—",MATCH($H157,IDX_SrcID,0))</f>
        <v>46</v>
      </c>
    </row>
    <row r="158" customFormat="false" ht="15" hidden="false" customHeight="true" outlineLevel="0" collapsed="false">
      <c r="A158" s="36" t="s">
        <v>3190</v>
      </c>
      <c r="B158" s="212" t="s">
        <v>2769</v>
      </c>
      <c r="C158" s="36" t="s">
        <v>2927</v>
      </c>
      <c r="D158" s="36" t="s">
        <v>3191</v>
      </c>
      <c r="E158" s="6" t="s">
        <v>210</v>
      </c>
      <c r="F158" s="36" t="s">
        <v>78</v>
      </c>
      <c r="G158" s="212" t="s">
        <v>63</v>
      </c>
      <c r="H158" s="36" t="s">
        <v>585</v>
      </c>
      <c r="I158" s="6" t="s">
        <v>585</v>
      </c>
      <c r="J158" s="36" t="s">
        <v>585</v>
      </c>
      <c r="K158" s="184" t="n">
        <f aca="false">Spec_Rack!G33*0.7</f>
        <v>2520</v>
      </c>
      <c r="L158" s="184" t="n">
        <f aca="false">Spec_Rack!G33*1.3</f>
        <v>4680</v>
      </c>
      <c r="M158" s="36" t="s">
        <v>3051</v>
      </c>
      <c r="N158" s="6" t="s">
        <v>3180</v>
      </c>
      <c r="O158" s="6" t="s">
        <v>585</v>
      </c>
      <c r="P158" s="212" t="s">
        <v>2774</v>
      </c>
      <c r="Q158" s="41" t="n">
        <f aca="false">Spec_Rack!G33</f>
        <v>3600</v>
      </c>
      <c r="R158" s="36" t="s">
        <v>585</v>
      </c>
      <c r="S158" s="35" t="str">
        <f aca="false">IF(ISNUMBER($AF158),INDEX(IDX_SrcStat,$AF158),"—")</f>
        <v>—</v>
      </c>
      <c r="T158" s="35" t="str">
        <f aca="false">IF(ISNUMBER($AF158),INDEX(IDX_SrcGrade,$AF158),"—")</f>
        <v>—</v>
      </c>
      <c r="U158" s="35" t="s">
        <v>2775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5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6" t="s">
        <v>3192</v>
      </c>
      <c r="B159" s="212" t="s">
        <v>2769</v>
      </c>
      <c r="C159" s="36" t="s">
        <v>2927</v>
      </c>
      <c r="D159" s="36" t="s">
        <v>3193</v>
      </c>
      <c r="E159" s="6" t="s">
        <v>212</v>
      </c>
      <c r="F159" s="36" t="s">
        <v>82</v>
      </c>
      <c r="G159" s="212" t="s">
        <v>2771</v>
      </c>
      <c r="H159" s="36" t="s">
        <v>3194</v>
      </c>
      <c r="I159" s="19" t="s">
        <v>3195</v>
      </c>
      <c r="J159" s="36" t="s">
        <v>585</v>
      </c>
      <c r="K159" s="184" t="n">
        <f aca="false">Spec_Rack!C34*0.7</f>
        <v>21.7</v>
      </c>
      <c r="L159" s="184" t="n">
        <f aca="false">Spec_Rack!C34*1.3</f>
        <v>40.3</v>
      </c>
      <c r="M159" s="36" t="s">
        <v>3196</v>
      </c>
      <c r="N159" s="213" t="str">
        <f aca="false">Spec_Rack!$H$34</f>
        <v>Analogy：HBM3 約 3.9 pJ/bit、HBM3e 約 3、HBM4 約 2.5；區間 ±30%（S29）</v>
      </c>
      <c r="O159" s="6" t="s">
        <v>585</v>
      </c>
      <c r="P159" s="212" t="s">
        <v>2774</v>
      </c>
      <c r="Q159" s="41" t="n">
        <f aca="false">Spec_Rack!C34</f>
        <v>31</v>
      </c>
      <c r="R159" s="184" t="n">
        <f aca="false">SRC_HW_032</f>
        <v>3.9</v>
      </c>
      <c r="S159" s="35" t="str">
        <f aca="false">IF(ISNUMBER($AF159),INDEX(IDX_SrcStat,$AF159),"—")</f>
        <v>Active</v>
      </c>
      <c r="T159" s="35" t="n">
        <f aca="false">IF(ISNUMBER($AF159),INDEX(IDX_SrcGrade,$AF159),"—")</f>
        <v>3</v>
      </c>
      <c r="U159" s="35" t="s">
        <v>2775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5" t="n">
        <f aca="false">IF(OR($H159="—",$H159=""),"—",MATCH($H159,IDX_SrcID,0))</f>
        <v>32</v>
      </c>
    </row>
    <row r="160" customFormat="false" ht="29.25" hidden="false" customHeight="true" outlineLevel="0" collapsed="false">
      <c r="A160" s="36" t="s">
        <v>3197</v>
      </c>
      <c r="B160" s="212" t="s">
        <v>2769</v>
      </c>
      <c r="C160" s="36" t="s">
        <v>2927</v>
      </c>
      <c r="D160" s="36" t="s">
        <v>2891</v>
      </c>
      <c r="E160" s="6" t="s">
        <v>212</v>
      </c>
      <c r="F160" s="36" t="s">
        <v>82</v>
      </c>
      <c r="G160" s="212" t="s">
        <v>2771</v>
      </c>
      <c r="H160" s="36" t="s">
        <v>3198</v>
      </c>
      <c r="I160" s="19" t="s">
        <v>3195</v>
      </c>
      <c r="J160" s="36" t="s">
        <v>585</v>
      </c>
      <c r="K160" s="184" t="n">
        <f aca="false">Spec_Rack!D34*0.7</f>
        <v>17.5</v>
      </c>
      <c r="L160" s="184" t="n">
        <f aca="false">Spec_Rack!D34*1.3</f>
        <v>32.5</v>
      </c>
      <c r="M160" s="36" t="s">
        <v>3196</v>
      </c>
      <c r="N160" s="213" t="str">
        <f aca="false">Spec_Rack!$H$34</f>
        <v>Analogy：HBM3 約 3.9 pJ/bit、HBM3e 約 3、HBM4 約 2.5；區間 ±30%（S29）</v>
      </c>
      <c r="O160" s="6" t="s">
        <v>585</v>
      </c>
      <c r="P160" s="212" t="s">
        <v>2774</v>
      </c>
      <c r="Q160" s="41" t="n">
        <f aca="false">Spec_Rack!D34</f>
        <v>25</v>
      </c>
      <c r="R160" s="184" t="n">
        <f aca="false">SRC_HW_033</f>
        <v>3</v>
      </c>
      <c r="S160" s="35" t="str">
        <f aca="false">IF(ISNUMBER($AF160),INDEX(IDX_SrcStat,$AF160),"—")</f>
        <v>Active</v>
      </c>
      <c r="T160" s="35" t="n">
        <f aca="false">IF(ISNUMBER($AF160),INDEX(IDX_SrcGrade,$AF160),"—")</f>
        <v>3</v>
      </c>
      <c r="U160" s="35" t="s">
        <v>2775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5" t="n">
        <f aca="false">IF(OR($H160="—",$H160=""),"—",MATCH($H160,IDX_SrcID,0))</f>
        <v>33</v>
      </c>
    </row>
    <row r="161" customFormat="false" ht="29.25" hidden="false" customHeight="true" outlineLevel="0" collapsed="false">
      <c r="A161" s="36" t="s">
        <v>3199</v>
      </c>
      <c r="B161" s="212" t="s">
        <v>2769</v>
      </c>
      <c r="C161" s="36" t="s">
        <v>2927</v>
      </c>
      <c r="D161" s="36" t="s">
        <v>2889</v>
      </c>
      <c r="E161" s="6" t="s">
        <v>212</v>
      </c>
      <c r="F161" s="36" t="s">
        <v>82</v>
      </c>
      <c r="G161" s="212" t="s">
        <v>2771</v>
      </c>
      <c r="H161" s="36" t="s">
        <v>3198</v>
      </c>
      <c r="I161" s="19" t="s">
        <v>3195</v>
      </c>
      <c r="J161" s="36" t="s">
        <v>585</v>
      </c>
      <c r="K161" s="184" t="n">
        <f aca="false">Spec_Rack!E34*0.7</f>
        <v>17.5</v>
      </c>
      <c r="L161" s="184" t="n">
        <f aca="false">Spec_Rack!E34*1.3</f>
        <v>32.5</v>
      </c>
      <c r="M161" s="36" t="s">
        <v>3196</v>
      </c>
      <c r="N161" s="213" t="str">
        <f aca="false">Spec_Rack!$H$34</f>
        <v>Analogy：HBM3 約 3.9 pJ/bit、HBM3e 約 3、HBM4 約 2.5；區間 ±30%（S29）</v>
      </c>
      <c r="O161" s="6" t="s">
        <v>585</v>
      </c>
      <c r="P161" s="212" t="s">
        <v>2774</v>
      </c>
      <c r="Q161" s="41" t="n">
        <f aca="false">Spec_Rack!E34</f>
        <v>25</v>
      </c>
      <c r="R161" s="184" t="n">
        <f aca="false">SRC_HW_033</f>
        <v>3</v>
      </c>
      <c r="S161" s="35" t="str">
        <f aca="false">IF(ISNUMBER($AF161),INDEX(IDX_SrcStat,$AF161),"—")</f>
        <v>Active</v>
      </c>
      <c r="T161" s="35" t="n">
        <f aca="false">IF(ISNUMBER($AF161),INDEX(IDX_SrcGrade,$AF161),"—")</f>
        <v>3</v>
      </c>
      <c r="U161" s="35" t="s">
        <v>2775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5" t="n">
        <f aca="false">IF(OR($H161="—",$H161=""),"—",MATCH($H161,IDX_SrcID,0))</f>
        <v>33</v>
      </c>
    </row>
    <row r="162" customFormat="false" ht="15" hidden="false" customHeight="true" outlineLevel="0" collapsed="false">
      <c r="A162" s="36" t="s">
        <v>3200</v>
      </c>
      <c r="B162" s="212" t="s">
        <v>2769</v>
      </c>
      <c r="C162" s="36" t="s">
        <v>2927</v>
      </c>
      <c r="D162" s="36" t="s">
        <v>2893</v>
      </c>
      <c r="E162" s="6" t="s">
        <v>212</v>
      </c>
      <c r="F162" s="212" t="s">
        <v>296</v>
      </c>
      <c r="G162" s="212" t="s">
        <v>2771</v>
      </c>
      <c r="H162" s="36" t="s">
        <v>3201</v>
      </c>
      <c r="I162" s="19" t="s">
        <v>3105</v>
      </c>
      <c r="J162" s="36" t="s">
        <v>585</v>
      </c>
      <c r="K162" s="212"/>
      <c r="L162" s="212"/>
      <c r="M162" s="36" t="s">
        <v>585</v>
      </c>
      <c r="N162" s="19" t="s">
        <v>2904</v>
      </c>
      <c r="O162" s="6" t="s">
        <v>585</v>
      </c>
      <c r="P162" s="212" t="s">
        <v>2774</v>
      </c>
      <c r="Q162" s="41" t="n">
        <f aca="false">Spec_Rack!F34</f>
        <v>20</v>
      </c>
      <c r="R162" s="184" t="n">
        <f aca="false">SRC_HW_034</f>
        <v>2.5</v>
      </c>
      <c r="S162" s="35" t="str">
        <f aca="false">IF(ISNUMBER($AF162),INDEX(IDX_SrcStat,$AF162),"—")</f>
        <v>Active</v>
      </c>
      <c r="T162" s="35" t="n">
        <f aca="false">IF(ISNUMBER($AF162),INDEX(IDX_SrcGrade,$AF162),"—")</f>
        <v>3</v>
      </c>
      <c r="U162" s="35" t="s">
        <v>2808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5" t="n">
        <f aca="false">IF(OR($H162="—",$H162=""),"—",MATCH($H162,IDX_SrcID,0))</f>
        <v>34</v>
      </c>
    </row>
    <row r="163" customFormat="false" ht="15" hidden="false" customHeight="true" outlineLevel="0" collapsed="false">
      <c r="A163" s="36" t="s">
        <v>3202</v>
      </c>
      <c r="B163" s="212" t="s">
        <v>2769</v>
      </c>
      <c r="C163" s="36" t="s">
        <v>2927</v>
      </c>
      <c r="D163" s="36" t="s">
        <v>3203</v>
      </c>
      <c r="E163" s="6" t="s">
        <v>212</v>
      </c>
      <c r="F163" s="36" t="s">
        <v>78</v>
      </c>
      <c r="G163" s="212" t="s">
        <v>63</v>
      </c>
      <c r="H163" s="36" t="s">
        <v>585</v>
      </c>
      <c r="I163" s="6" t="s">
        <v>585</v>
      </c>
      <c r="J163" s="36" t="s">
        <v>585</v>
      </c>
      <c r="K163" s="184" t="n">
        <f aca="false">Spec_Rack!G34*0.7</f>
        <v>12.6</v>
      </c>
      <c r="L163" s="184" t="n">
        <f aca="false">Spec_Rack!G34*1.3</f>
        <v>23.4</v>
      </c>
      <c r="M163" s="36" t="s">
        <v>3051</v>
      </c>
      <c r="N163" s="6" t="s">
        <v>3180</v>
      </c>
      <c r="O163" s="6" t="s">
        <v>585</v>
      </c>
      <c r="P163" s="212" t="s">
        <v>2774</v>
      </c>
      <c r="Q163" s="41" t="n">
        <f aca="false">Spec_Rack!G34</f>
        <v>18</v>
      </c>
      <c r="R163" s="36" t="s">
        <v>585</v>
      </c>
      <c r="S163" s="35" t="str">
        <f aca="false">IF(ISNUMBER($AF163),INDEX(IDX_SrcStat,$AF163),"—")</f>
        <v>—</v>
      </c>
      <c r="T163" s="35" t="str">
        <f aca="false">IF(ISNUMBER($AF163),INDEX(IDX_SrcGrade,$AF163),"—")</f>
        <v>—</v>
      </c>
      <c r="U163" s="35" t="s">
        <v>2775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5" t="str">
        <f aca="false">IF(OR($H163="—",$H163=""),"—",MATCH($H163,IDX_SrcID,0))</f>
        <v>—</v>
      </c>
    </row>
    <row r="164" customFormat="false" ht="15" hidden="false" customHeight="true" outlineLevel="0" collapsed="false">
      <c r="A164" s="36" t="s">
        <v>3204</v>
      </c>
      <c r="B164" s="212" t="s">
        <v>2769</v>
      </c>
      <c r="C164" s="36" t="s">
        <v>2927</v>
      </c>
      <c r="D164" s="36" t="s">
        <v>3205</v>
      </c>
      <c r="E164" s="6" t="s">
        <v>217</v>
      </c>
      <c r="F164" s="212" t="s">
        <v>296</v>
      </c>
      <c r="G164" s="212" t="s">
        <v>2771</v>
      </c>
      <c r="H164" s="36" t="s">
        <v>3206</v>
      </c>
      <c r="I164" s="19" t="s">
        <v>2806</v>
      </c>
      <c r="J164" s="36" t="s">
        <v>585</v>
      </c>
      <c r="K164" s="212"/>
      <c r="L164" s="212"/>
      <c r="M164" s="36" t="s">
        <v>585</v>
      </c>
      <c r="N164" s="19" t="s">
        <v>2904</v>
      </c>
      <c r="O164" s="6" t="s">
        <v>585</v>
      </c>
      <c r="P164" s="212" t="s">
        <v>2774</v>
      </c>
      <c r="Q164" s="38" t="n">
        <f aca="false">Spec_Rack!C39</f>
        <v>0.989</v>
      </c>
      <c r="R164" s="184" t="n">
        <f aca="false">SRC_HW_019</f>
        <v>0.989</v>
      </c>
      <c r="S164" s="35" t="str">
        <f aca="false">IF(ISNUMBER($AF164),INDEX(IDX_SrcStat,$AF164),"—")</f>
        <v>Active</v>
      </c>
      <c r="T164" s="35" t="n">
        <f aca="false">IF(ISNUMBER($AF164),INDEX(IDX_SrcGrade,$AF164),"—")</f>
        <v>3</v>
      </c>
      <c r="U164" s="35" t="s">
        <v>2808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5" t="n">
        <f aca="false">IF(OR($H164="—",$H164=""),"—",MATCH($H164,IDX_SrcID,0))</f>
        <v>19</v>
      </c>
    </row>
    <row r="165" customFormat="false" ht="15" hidden="false" customHeight="true" outlineLevel="0" collapsed="false">
      <c r="A165" s="36" t="s">
        <v>3207</v>
      </c>
      <c r="B165" s="212" t="s">
        <v>2769</v>
      </c>
      <c r="C165" s="36" t="s">
        <v>2927</v>
      </c>
      <c r="D165" s="36" t="s">
        <v>3208</v>
      </c>
      <c r="E165" s="6" t="s">
        <v>217</v>
      </c>
      <c r="F165" s="212" t="s">
        <v>296</v>
      </c>
      <c r="G165" s="212" t="s">
        <v>2771</v>
      </c>
      <c r="H165" s="36" t="s">
        <v>3209</v>
      </c>
      <c r="I165" s="19" t="s">
        <v>2806</v>
      </c>
      <c r="J165" s="36" t="s">
        <v>585</v>
      </c>
      <c r="K165" s="212"/>
      <c r="L165" s="212"/>
      <c r="M165" s="36" t="s">
        <v>585</v>
      </c>
      <c r="N165" s="19" t="s">
        <v>2904</v>
      </c>
      <c r="O165" s="6" t="s">
        <v>585</v>
      </c>
      <c r="P165" s="212" t="s">
        <v>2774</v>
      </c>
      <c r="Q165" s="38" t="n">
        <f aca="false">Spec_Rack!D39</f>
        <v>2.5</v>
      </c>
      <c r="R165" s="184" t="n">
        <f aca="false">SRC_HW_042</f>
        <v>2.5</v>
      </c>
      <c r="S165" s="35" t="str">
        <f aca="false">IF(ISNUMBER($AF165),INDEX(IDX_SrcStat,$AF165),"—")</f>
        <v>Active</v>
      </c>
      <c r="T165" s="35" t="n">
        <f aca="false">IF(ISNUMBER($AF165),INDEX(IDX_SrcGrade,$AF165),"—")</f>
        <v>3</v>
      </c>
      <c r="U165" s="35" t="s">
        <v>2808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5" t="n">
        <f aca="false">IF(OR($H165="—",$H165=""),"—",MATCH($H165,IDX_SrcID,0))</f>
        <v>42</v>
      </c>
    </row>
    <row r="166" customFormat="false" ht="15" hidden="false" customHeight="true" outlineLevel="0" collapsed="false">
      <c r="A166" s="36" t="s">
        <v>3210</v>
      </c>
      <c r="B166" s="212" t="s">
        <v>2769</v>
      </c>
      <c r="C166" s="36" t="s">
        <v>2927</v>
      </c>
      <c r="D166" s="36" t="s">
        <v>3211</v>
      </c>
      <c r="E166" s="6" t="s">
        <v>217</v>
      </c>
      <c r="F166" s="212" t="s">
        <v>296</v>
      </c>
      <c r="G166" s="212" t="s">
        <v>2771</v>
      </c>
      <c r="H166" s="36" t="s">
        <v>3209</v>
      </c>
      <c r="I166" s="19" t="s">
        <v>2806</v>
      </c>
      <c r="J166" s="36" t="s">
        <v>585</v>
      </c>
      <c r="K166" s="212"/>
      <c r="L166" s="212"/>
      <c r="M166" s="36" t="s">
        <v>585</v>
      </c>
      <c r="N166" s="19" t="s">
        <v>2904</v>
      </c>
      <c r="O166" s="6" t="s">
        <v>585</v>
      </c>
      <c r="P166" s="212" t="s">
        <v>2774</v>
      </c>
      <c r="Q166" s="38" t="n">
        <f aca="false">Spec_Rack!E39</f>
        <v>2.5</v>
      </c>
      <c r="R166" s="184" t="n">
        <f aca="false">SRC_HW_042</f>
        <v>2.5</v>
      </c>
      <c r="S166" s="35" t="str">
        <f aca="false">IF(ISNUMBER($AF166),INDEX(IDX_SrcStat,$AF166),"—")</f>
        <v>Active</v>
      </c>
      <c r="T166" s="35" t="n">
        <f aca="false">IF(ISNUMBER($AF166),INDEX(IDX_SrcGrade,$AF166),"—")</f>
        <v>3</v>
      </c>
      <c r="U166" s="35" t="s">
        <v>2808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5" t="n">
        <f aca="false">IF(OR($H166="—",$H166=""),"—",MATCH($H166,IDX_SrcID,0))</f>
        <v>42</v>
      </c>
    </row>
    <row r="167" customFormat="false" ht="15" hidden="false" customHeight="true" outlineLevel="0" collapsed="false">
      <c r="A167" s="36" t="s">
        <v>3212</v>
      </c>
      <c r="B167" s="212" t="s">
        <v>2769</v>
      </c>
      <c r="C167" s="36" t="s">
        <v>2927</v>
      </c>
      <c r="D167" s="36" t="s">
        <v>3213</v>
      </c>
      <c r="E167" s="6" t="s">
        <v>217</v>
      </c>
      <c r="F167" s="212" t="s">
        <v>296</v>
      </c>
      <c r="G167" s="212" t="s">
        <v>2771</v>
      </c>
      <c r="H167" s="36" t="s">
        <v>3214</v>
      </c>
      <c r="I167" s="19" t="s">
        <v>3105</v>
      </c>
      <c r="J167" s="36" t="s">
        <v>585</v>
      </c>
      <c r="K167" s="212"/>
      <c r="L167" s="212"/>
      <c r="M167" s="36" t="s">
        <v>585</v>
      </c>
      <c r="N167" s="19" t="s">
        <v>2904</v>
      </c>
      <c r="O167" s="6" t="s">
        <v>585</v>
      </c>
      <c r="P167" s="212" t="s">
        <v>2774</v>
      </c>
      <c r="Q167" s="38" t="n">
        <f aca="false">Spec_Rack!F39</f>
        <v>4</v>
      </c>
      <c r="R167" s="184" t="n">
        <f aca="false">SRC_HW_039</f>
        <v>288</v>
      </c>
      <c r="S167" s="35" t="str">
        <f aca="false">IF(ISNUMBER($AF167),INDEX(IDX_SrcStat,$AF167),"—")</f>
        <v>Active</v>
      </c>
      <c r="T167" s="35" t="n">
        <f aca="false">IF(ISNUMBER($AF167),INDEX(IDX_SrcGrade,$AF167),"—")</f>
        <v>2</v>
      </c>
      <c r="U167" s="35" t="s">
        <v>2808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5" t="n">
        <f aca="false">IF(OR($H167="—",$H167=""),"—",MATCH($H167,IDX_SrcID,0))</f>
        <v>39</v>
      </c>
    </row>
    <row r="168" customFormat="false" ht="15" hidden="false" customHeight="true" outlineLevel="0" collapsed="false">
      <c r="A168" s="36" t="s">
        <v>3215</v>
      </c>
      <c r="B168" s="212" t="s">
        <v>2769</v>
      </c>
      <c r="C168" s="36" t="s">
        <v>2927</v>
      </c>
      <c r="D168" s="36" t="s">
        <v>3216</v>
      </c>
      <c r="E168" s="6" t="s">
        <v>217</v>
      </c>
      <c r="F168" s="36" t="s">
        <v>78</v>
      </c>
      <c r="G168" s="212" t="s">
        <v>63</v>
      </c>
      <c r="H168" s="36" t="s">
        <v>585</v>
      </c>
      <c r="I168" s="6" t="s">
        <v>585</v>
      </c>
      <c r="J168" s="36" t="s">
        <v>585</v>
      </c>
      <c r="K168" s="184" t="n">
        <f aca="false">Spec_Rack!G39*0.7</f>
        <v>5.6</v>
      </c>
      <c r="L168" s="184" t="n">
        <f aca="false">Spec_Rack!G39*1.3</f>
        <v>10.4</v>
      </c>
      <c r="M168" s="36" t="s">
        <v>3051</v>
      </c>
      <c r="N168" s="6" t="s">
        <v>3180</v>
      </c>
      <c r="O168" s="6" t="s">
        <v>585</v>
      </c>
      <c r="P168" s="212" t="s">
        <v>2774</v>
      </c>
      <c r="Q168" s="38" t="n">
        <f aca="false">Spec_Rack!G39</f>
        <v>8</v>
      </c>
      <c r="R168" s="36" t="s">
        <v>585</v>
      </c>
      <c r="S168" s="35" t="str">
        <f aca="false">IF(ISNUMBER($AF168),INDEX(IDX_SrcStat,$AF168),"—")</f>
        <v>—</v>
      </c>
      <c r="T168" s="35" t="str">
        <f aca="false">IF(ISNUMBER($AF168),INDEX(IDX_SrcGrade,$AF168),"—")</f>
        <v>—</v>
      </c>
      <c r="U168" s="35" t="s">
        <v>2775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5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6" t="s">
        <v>3217</v>
      </c>
      <c r="B169" s="212" t="s">
        <v>2769</v>
      </c>
      <c r="C169" s="36" t="s">
        <v>2927</v>
      </c>
      <c r="D169" s="36" t="s">
        <v>3218</v>
      </c>
      <c r="E169" s="6" t="s">
        <v>219</v>
      </c>
      <c r="F169" s="212" t="s">
        <v>296</v>
      </c>
      <c r="G169" s="212" t="s">
        <v>2771</v>
      </c>
      <c r="H169" s="36" t="s">
        <v>3040</v>
      </c>
      <c r="I169" s="19" t="s">
        <v>2806</v>
      </c>
      <c r="J169" s="36" t="s">
        <v>585</v>
      </c>
      <c r="K169" s="212"/>
      <c r="L169" s="212"/>
      <c r="M169" s="36" t="s">
        <v>585</v>
      </c>
      <c r="N169" s="19" t="s">
        <v>2992</v>
      </c>
      <c r="O169" s="6" t="s">
        <v>585</v>
      </c>
      <c r="P169" s="212" t="s">
        <v>2774</v>
      </c>
      <c r="Q169" s="38" t="n">
        <f aca="false">Spec_Rack!C40</f>
        <v>1.979</v>
      </c>
      <c r="R169" s="184" t="n">
        <f aca="false">SRC_HW_040</f>
        <v>1.979</v>
      </c>
      <c r="S169" s="35" t="str">
        <f aca="false">IF(ISNUMBER($AF169),INDEX(IDX_SrcStat,$AF169),"—")</f>
        <v>Active</v>
      </c>
      <c r="T169" s="35" t="n">
        <f aca="false">IF(ISNUMBER($AF169),INDEX(IDX_SrcGrade,$AF169),"—")</f>
        <v>1</v>
      </c>
      <c r="U169" s="35" t="s">
        <v>2808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5" t="n">
        <f aca="false">IF(OR($H169="—",$H169=""),"—",MATCH($H169,IDX_SrcID,0))</f>
        <v>40</v>
      </c>
    </row>
    <row r="170" customFormat="false" ht="29.25" hidden="false" customHeight="true" outlineLevel="0" collapsed="false">
      <c r="A170" s="36" t="s">
        <v>3219</v>
      </c>
      <c r="B170" s="212" t="s">
        <v>2769</v>
      </c>
      <c r="C170" s="36" t="s">
        <v>2927</v>
      </c>
      <c r="D170" s="36" t="s">
        <v>3220</v>
      </c>
      <c r="E170" s="6" t="s">
        <v>219</v>
      </c>
      <c r="F170" s="212" t="s">
        <v>296</v>
      </c>
      <c r="G170" s="212" t="s">
        <v>2771</v>
      </c>
      <c r="H170" s="36" t="s">
        <v>3221</v>
      </c>
      <c r="I170" s="19" t="s">
        <v>2806</v>
      </c>
      <c r="J170" s="36" t="s">
        <v>585</v>
      </c>
      <c r="K170" s="212"/>
      <c r="L170" s="212"/>
      <c r="M170" s="36" t="s">
        <v>585</v>
      </c>
      <c r="N170" s="19" t="s">
        <v>2992</v>
      </c>
      <c r="O170" s="6" t="s">
        <v>585</v>
      </c>
      <c r="P170" s="212" t="s">
        <v>2774</v>
      </c>
      <c r="Q170" s="38" t="n">
        <f aca="false">Spec_Rack!D40</f>
        <v>5</v>
      </c>
      <c r="R170" s="184" t="n">
        <f aca="false">SRC_HW_043</f>
        <v>5</v>
      </c>
      <c r="S170" s="35" t="str">
        <f aca="false">IF(ISNUMBER($AF170),INDEX(IDX_SrcStat,$AF170),"—")</f>
        <v>Active</v>
      </c>
      <c r="T170" s="35" t="n">
        <f aca="false">IF(ISNUMBER($AF170),INDEX(IDX_SrcGrade,$AF170),"—")</f>
        <v>1</v>
      </c>
      <c r="U170" s="35" t="s">
        <v>2808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5" t="n">
        <f aca="false">IF(OR($H170="—",$H170=""),"—",MATCH($H170,IDX_SrcID,0))</f>
        <v>43</v>
      </c>
    </row>
    <row r="171" customFormat="false" ht="29.25" hidden="false" customHeight="true" outlineLevel="0" collapsed="false">
      <c r="A171" s="36" t="s">
        <v>3222</v>
      </c>
      <c r="B171" s="212" t="s">
        <v>2769</v>
      </c>
      <c r="C171" s="36" t="s">
        <v>2927</v>
      </c>
      <c r="D171" s="36" t="s">
        <v>3223</v>
      </c>
      <c r="E171" s="6" t="s">
        <v>219</v>
      </c>
      <c r="F171" s="212" t="s">
        <v>296</v>
      </c>
      <c r="G171" s="212" t="s">
        <v>2771</v>
      </c>
      <c r="H171" s="36" t="s">
        <v>3221</v>
      </c>
      <c r="I171" s="19" t="s">
        <v>2806</v>
      </c>
      <c r="J171" s="36" t="s">
        <v>585</v>
      </c>
      <c r="K171" s="212"/>
      <c r="L171" s="212"/>
      <c r="M171" s="36" t="s">
        <v>585</v>
      </c>
      <c r="N171" s="19" t="s">
        <v>2992</v>
      </c>
      <c r="O171" s="6" t="s">
        <v>585</v>
      </c>
      <c r="P171" s="212" t="s">
        <v>2774</v>
      </c>
      <c r="Q171" s="38" t="n">
        <f aca="false">Spec_Rack!E40</f>
        <v>5</v>
      </c>
      <c r="R171" s="184" t="n">
        <f aca="false">SRC_HW_043</f>
        <v>5</v>
      </c>
      <c r="S171" s="35" t="str">
        <f aca="false">IF(ISNUMBER($AF171),INDEX(IDX_SrcStat,$AF171),"—")</f>
        <v>Active</v>
      </c>
      <c r="T171" s="35" t="n">
        <f aca="false">IF(ISNUMBER($AF171),INDEX(IDX_SrcGrade,$AF171),"—")</f>
        <v>1</v>
      </c>
      <c r="U171" s="35" t="s">
        <v>2808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5" t="n">
        <f aca="false">IF(OR($H171="—",$H171=""),"—",MATCH($H171,IDX_SrcID,0))</f>
        <v>43</v>
      </c>
    </row>
    <row r="172" customFormat="false" ht="29.25" hidden="false" customHeight="true" outlineLevel="0" collapsed="false">
      <c r="A172" s="36" t="s">
        <v>3224</v>
      </c>
      <c r="B172" s="212" t="s">
        <v>2769</v>
      </c>
      <c r="C172" s="36" t="s">
        <v>2927</v>
      </c>
      <c r="D172" s="36" t="s">
        <v>3225</v>
      </c>
      <c r="E172" s="6" t="s">
        <v>219</v>
      </c>
      <c r="F172" s="212" t="s">
        <v>296</v>
      </c>
      <c r="G172" s="212" t="s">
        <v>2771</v>
      </c>
      <c r="H172" s="36" t="s">
        <v>3226</v>
      </c>
      <c r="I172" s="19" t="s">
        <v>3105</v>
      </c>
      <c r="J172" s="36" t="s">
        <v>585</v>
      </c>
      <c r="K172" s="212"/>
      <c r="L172" s="212"/>
      <c r="M172" s="36" t="s">
        <v>585</v>
      </c>
      <c r="N172" s="19" t="s">
        <v>2992</v>
      </c>
      <c r="O172" s="6" t="s">
        <v>585</v>
      </c>
      <c r="P172" s="212" t="s">
        <v>2774</v>
      </c>
      <c r="Q172" s="38" t="n">
        <f aca="false">Spec_Rack!F40</f>
        <v>17.5</v>
      </c>
      <c r="R172" s="184" t="n">
        <f aca="false">SRC_HW_038</f>
        <v>1260</v>
      </c>
      <c r="S172" s="35" t="str">
        <f aca="false">IF(ISNUMBER($AF172),INDEX(IDX_SrcStat,$AF172),"—")</f>
        <v>Active</v>
      </c>
      <c r="T172" s="35" t="n">
        <f aca="false">IF(ISNUMBER($AF172),INDEX(IDX_SrcGrade,$AF172),"—")</f>
        <v>2</v>
      </c>
      <c r="U172" s="35" t="s">
        <v>2808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5" t="n">
        <f aca="false">IF(OR($H172="—",$H172=""),"—",MATCH($H172,IDX_SrcID,0))</f>
        <v>38</v>
      </c>
    </row>
    <row r="173" customFormat="false" ht="43.5" hidden="false" customHeight="true" outlineLevel="0" collapsed="false">
      <c r="A173" s="36" t="s">
        <v>3227</v>
      </c>
      <c r="B173" s="212" t="s">
        <v>2769</v>
      </c>
      <c r="C173" s="36" t="s">
        <v>2927</v>
      </c>
      <c r="D173" s="36" t="s">
        <v>3228</v>
      </c>
      <c r="E173" s="6" t="s">
        <v>219</v>
      </c>
      <c r="F173" s="212" t="s">
        <v>256</v>
      </c>
      <c r="G173" s="212" t="s">
        <v>2771</v>
      </c>
      <c r="H173" s="36" t="s">
        <v>3049</v>
      </c>
      <c r="I173" s="19" t="s">
        <v>3229</v>
      </c>
      <c r="J173" s="36" t="s">
        <v>585</v>
      </c>
      <c r="K173" s="212"/>
      <c r="L173" s="212"/>
      <c r="M173" s="36" t="s">
        <v>585</v>
      </c>
      <c r="N173" s="19" t="s">
        <v>3230</v>
      </c>
      <c r="O173" s="19" t="s">
        <v>3069</v>
      </c>
      <c r="P173" s="212" t="s">
        <v>2774</v>
      </c>
      <c r="Q173" s="38" t="n">
        <f aca="false">Spec_Rack!G40</f>
        <v>35</v>
      </c>
      <c r="R173" s="184" t="n">
        <f aca="false">SRC_HW_063</f>
        <v>2520</v>
      </c>
      <c r="S173" s="35" t="str">
        <f aca="false">IF(ISNUMBER($AF173),INDEX(IDX_SrcStat,$AF173),"—")</f>
        <v>Active</v>
      </c>
      <c r="T173" s="35" t="n">
        <f aca="false">IF(ISNUMBER($AF173),INDEX(IDX_SrcGrade,$AF173),"—")</f>
        <v>1</v>
      </c>
      <c r="U173" s="35" t="s">
        <v>2775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5" t="n">
        <f aca="false">IF(OR($H173="—",$H173=""),"—",MATCH($H173,IDX_SrcID,0))</f>
        <v>63</v>
      </c>
    </row>
    <row r="174" customFormat="false" ht="43.5" hidden="false" customHeight="true" outlineLevel="0" collapsed="false">
      <c r="A174" s="36" t="s">
        <v>3231</v>
      </c>
      <c r="B174" s="212" t="s">
        <v>2769</v>
      </c>
      <c r="C174" s="36" t="s">
        <v>2927</v>
      </c>
      <c r="D174" s="36" t="s">
        <v>3232</v>
      </c>
      <c r="E174" s="6" t="s">
        <v>221</v>
      </c>
      <c r="F174" s="36" t="s">
        <v>3057</v>
      </c>
      <c r="G174" s="212" t="s">
        <v>2771</v>
      </c>
      <c r="H174" s="36" t="s">
        <v>585</v>
      </c>
      <c r="I174" s="6" t="s">
        <v>585</v>
      </c>
      <c r="J174" s="36" t="s">
        <v>585</v>
      </c>
      <c r="K174" s="212"/>
      <c r="L174" s="212"/>
      <c r="M174" s="36" t="s">
        <v>585</v>
      </c>
      <c r="N174" s="6" t="s">
        <v>3233</v>
      </c>
      <c r="O174" s="6" t="s">
        <v>585</v>
      </c>
      <c r="P174" s="212" t="s">
        <v>2774</v>
      </c>
      <c r="Q174" s="38" t="n">
        <f aca="false">Spec_Rack!C41</f>
        <v>1.979</v>
      </c>
      <c r="R174" s="36" t="s">
        <v>585</v>
      </c>
      <c r="S174" s="35" t="str">
        <f aca="false">IF(ISNUMBER($AF174),INDEX(IDX_SrcStat,$AF174),"—")</f>
        <v>—</v>
      </c>
      <c r="T174" s="35" t="str">
        <f aca="false">IF(ISNUMBER($AF174),INDEX(IDX_SrcGrade,$AF174),"—")</f>
        <v>—</v>
      </c>
      <c r="U174" s="35" t="s">
        <v>3004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5" t="str">
        <f aca="false">IF(OR($H174="—",$H174=""),"—",MATCH($H174,IDX_SrcID,0))</f>
        <v>—</v>
      </c>
    </row>
    <row r="175" customFormat="false" ht="69" hidden="false" customHeight="true" outlineLevel="0" collapsed="false">
      <c r="A175" s="36" t="s">
        <v>3234</v>
      </c>
      <c r="B175" s="212" t="s">
        <v>2769</v>
      </c>
      <c r="C175" s="36" t="s">
        <v>2927</v>
      </c>
      <c r="D175" s="36" t="s">
        <v>3235</v>
      </c>
      <c r="E175" s="6" t="s">
        <v>221</v>
      </c>
      <c r="F175" s="36" t="s">
        <v>82</v>
      </c>
      <c r="G175" s="212" t="s">
        <v>2771</v>
      </c>
      <c r="H175" s="36" t="s">
        <v>3236</v>
      </c>
      <c r="I175" s="19" t="s">
        <v>3237</v>
      </c>
      <c r="J175" s="36" t="s">
        <v>585</v>
      </c>
      <c r="K175" s="214" t="n">
        <v>5</v>
      </c>
      <c r="L175" s="214" t="n">
        <v>10</v>
      </c>
      <c r="M175" s="36" t="s">
        <v>3238</v>
      </c>
      <c r="N175" s="213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585</v>
      </c>
      <c r="P175" s="212" t="s">
        <v>2774</v>
      </c>
      <c r="Q175" s="38" t="n">
        <f aca="false">Spec_Rack!D41</f>
        <v>10</v>
      </c>
      <c r="R175" s="184" t="n">
        <f aca="false">SRC_HW_037</f>
        <v>2520</v>
      </c>
      <c r="S175" s="35" t="str">
        <f aca="false">IF(ISNUMBER($AF175),INDEX(IDX_SrcStat,$AF175),"—")</f>
        <v>Active</v>
      </c>
      <c r="T175" s="35" t="n">
        <f aca="false">IF(ISNUMBER($AF175),INDEX(IDX_SrcGrade,$AF175),"—")</f>
        <v>2</v>
      </c>
      <c r="U175" s="35" t="s">
        <v>2775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5" t="n">
        <f aca="false">IF(OR($H175="—",$H175=""),"—",MATCH($H175,IDX_SrcID,0))</f>
        <v>37</v>
      </c>
    </row>
    <row r="176" customFormat="false" ht="69" hidden="false" customHeight="true" outlineLevel="0" collapsed="false">
      <c r="A176" s="36" t="s">
        <v>3239</v>
      </c>
      <c r="B176" s="212" t="s">
        <v>2769</v>
      </c>
      <c r="C176" s="36" t="s">
        <v>2927</v>
      </c>
      <c r="D176" s="36" t="s">
        <v>3240</v>
      </c>
      <c r="E176" s="6" t="s">
        <v>221</v>
      </c>
      <c r="F176" s="36" t="s">
        <v>78</v>
      </c>
      <c r="G176" s="212" t="s">
        <v>2771</v>
      </c>
      <c r="H176" s="36" t="s">
        <v>585</v>
      </c>
      <c r="I176" s="6" t="s">
        <v>585</v>
      </c>
      <c r="J176" s="36" t="s">
        <v>585</v>
      </c>
      <c r="K176" s="214" t="n">
        <v>10</v>
      </c>
      <c r="L176" s="214" t="n">
        <v>15</v>
      </c>
      <c r="M176" s="36" t="s">
        <v>3241</v>
      </c>
      <c r="N176" s="213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585</v>
      </c>
      <c r="P176" s="212" t="s">
        <v>2774</v>
      </c>
      <c r="Q176" s="38" t="n">
        <f aca="false">Spec_Rack!E41</f>
        <v>15</v>
      </c>
      <c r="R176" s="36" t="s">
        <v>585</v>
      </c>
      <c r="S176" s="35" t="str">
        <f aca="false">IF(ISNUMBER($AF176),INDEX(IDX_SrcStat,$AF176),"—")</f>
        <v>—</v>
      </c>
      <c r="T176" s="35" t="str">
        <f aca="false">IF(ISNUMBER($AF176),INDEX(IDX_SrcGrade,$AF176),"—")</f>
        <v>—</v>
      </c>
      <c r="U176" s="35" t="s">
        <v>2775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5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6" t="s">
        <v>3242</v>
      </c>
      <c r="B177" s="212" t="s">
        <v>2769</v>
      </c>
      <c r="C177" s="36" t="s">
        <v>2927</v>
      </c>
      <c r="D177" s="36" t="s">
        <v>3243</v>
      </c>
      <c r="E177" s="6" t="s">
        <v>221</v>
      </c>
      <c r="F177" s="212" t="s">
        <v>296</v>
      </c>
      <c r="G177" s="212" t="s">
        <v>2771</v>
      </c>
      <c r="H177" s="36" t="s">
        <v>3236</v>
      </c>
      <c r="I177" s="19" t="s">
        <v>3105</v>
      </c>
      <c r="J177" s="36" t="s">
        <v>585</v>
      </c>
      <c r="K177" s="212"/>
      <c r="L177" s="212"/>
      <c r="M177" s="36" t="s">
        <v>585</v>
      </c>
      <c r="N177" s="19" t="s">
        <v>2904</v>
      </c>
      <c r="O177" s="6" t="s">
        <v>585</v>
      </c>
      <c r="P177" s="212" t="s">
        <v>2774</v>
      </c>
      <c r="Q177" s="38" t="n">
        <f aca="false">Spec_Rack!F41</f>
        <v>35</v>
      </c>
      <c r="R177" s="184" t="n">
        <f aca="false">SRC_HW_037</f>
        <v>2520</v>
      </c>
      <c r="S177" s="35" t="str">
        <f aca="false">IF(ISNUMBER($AF177),INDEX(IDX_SrcStat,$AF177),"—")</f>
        <v>Active</v>
      </c>
      <c r="T177" s="35" t="n">
        <f aca="false">IF(ISNUMBER($AF177),INDEX(IDX_SrcGrade,$AF177),"—")</f>
        <v>2</v>
      </c>
      <c r="U177" s="35" t="s">
        <v>2808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5" t="n">
        <f aca="false">IF(OR($H177="—",$H177=""),"—",MATCH($H177,IDX_SrcID,0))</f>
        <v>37</v>
      </c>
    </row>
    <row r="178" customFormat="false" ht="43.5" hidden="false" customHeight="true" outlineLevel="0" collapsed="false">
      <c r="A178" s="36" t="s">
        <v>3244</v>
      </c>
      <c r="B178" s="212" t="s">
        <v>2769</v>
      </c>
      <c r="C178" s="36" t="s">
        <v>2927</v>
      </c>
      <c r="D178" s="36" t="s">
        <v>3245</v>
      </c>
      <c r="E178" s="6" t="s">
        <v>221</v>
      </c>
      <c r="F178" s="36" t="s">
        <v>78</v>
      </c>
      <c r="G178" s="212" t="s">
        <v>63</v>
      </c>
      <c r="H178" s="36" t="s">
        <v>585</v>
      </c>
      <c r="I178" s="6" t="s">
        <v>585</v>
      </c>
      <c r="J178" s="36" t="s">
        <v>585</v>
      </c>
      <c r="K178" s="184" t="n">
        <f aca="false">Spec_Rack!G41*0.7</f>
        <v>49</v>
      </c>
      <c r="L178" s="184" t="n">
        <f aca="false">Spec_Rack!G41*1.3</f>
        <v>91</v>
      </c>
      <c r="M178" s="36" t="s">
        <v>3051</v>
      </c>
      <c r="N178" s="6" t="s">
        <v>3180</v>
      </c>
      <c r="O178" s="6" t="s">
        <v>585</v>
      </c>
      <c r="P178" s="212" t="s">
        <v>2774</v>
      </c>
      <c r="Q178" s="38" t="n">
        <f aca="false">Spec_Rack!G41</f>
        <v>70</v>
      </c>
      <c r="R178" s="36" t="s">
        <v>585</v>
      </c>
      <c r="S178" s="35" t="str">
        <f aca="false">IF(ISNUMBER($AF178),INDEX(IDX_SrcStat,$AF178),"—")</f>
        <v>—</v>
      </c>
      <c r="T178" s="35" t="str">
        <f aca="false">IF(ISNUMBER($AF178),INDEX(IDX_SrcGrade,$AF178),"—")</f>
        <v>—</v>
      </c>
      <c r="U178" s="35" t="s">
        <v>2775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5" t="str">
        <f aca="false">IF(OR($H178="—",$H178=""),"—",MATCH($H178,IDX_SrcID,0))</f>
        <v>—</v>
      </c>
    </row>
    <row r="179" customFormat="false" ht="15" hidden="false" customHeight="true" outlineLevel="0" collapsed="false">
      <c r="A179" s="36" t="s">
        <v>3246</v>
      </c>
      <c r="B179" s="212" t="s">
        <v>2769</v>
      </c>
      <c r="C179" s="36" t="s">
        <v>3247</v>
      </c>
      <c r="D179" s="36" t="s">
        <v>2928</v>
      </c>
      <c r="E179" s="19" t="s">
        <v>233</v>
      </c>
      <c r="F179" s="212" t="s">
        <v>296</v>
      </c>
      <c r="G179" s="212" t="s">
        <v>2771</v>
      </c>
      <c r="H179" s="36" t="s">
        <v>3248</v>
      </c>
      <c r="I179" s="19" t="s">
        <v>2806</v>
      </c>
      <c r="J179" s="36" t="s">
        <v>585</v>
      </c>
      <c r="K179" s="212"/>
      <c r="L179" s="212"/>
      <c r="M179" s="36" t="s">
        <v>585</v>
      </c>
      <c r="N179" s="19" t="s">
        <v>2992</v>
      </c>
      <c r="O179" s="6" t="s">
        <v>585</v>
      </c>
      <c r="P179" s="212" t="s">
        <v>2830</v>
      </c>
      <c r="Q179" s="41" t="n">
        <f aca="false">Arch!C6</f>
        <v>284</v>
      </c>
      <c r="R179" s="184" t="n">
        <f aca="false">SRC_MOD_005</f>
        <v>284</v>
      </c>
      <c r="S179" s="35" t="str">
        <f aca="false">IF(ISNUMBER($AF179),INDEX(IDX_SrcStat,$AF179),"—")</f>
        <v>Active</v>
      </c>
      <c r="T179" s="35" t="n">
        <f aca="false">IF(ISNUMBER($AF179),INDEX(IDX_SrcGrade,$AF179),"—")</f>
        <v>3</v>
      </c>
      <c r="U179" s="35" t="s">
        <v>2808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5" t="n">
        <f aca="false">IF(OR($H179="—",$H179=""),"—",MATCH($H179,IDX_SrcID,0))</f>
        <v>182</v>
      </c>
    </row>
    <row r="180" customFormat="false" ht="15" hidden="false" customHeight="true" outlineLevel="0" collapsed="false">
      <c r="A180" s="36" t="s">
        <v>3249</v>
      </c>
      <c r="B180" s="212" t="s">
        <v>2769</v>
      </c>
      <c r="C180" s="36" t="s">
        <v>3247</v>
      </c>
      <c r="D180" s="36" t="s">
        <v>2932</v>
      </c>
      <c r="E180" s="19" t="s">
        <v>233</v>
      </c>
      <c r="F180" s="212" t="s">
        <v>296</v>
      </c>
      <c r="G180" s="212" t="s">
        <v>2771</v>
      </c>
      <c r="H180" s="36" t="s">
        <v>3250</v>
      </c>
      <c r="I180" s="19" t="s">
        <v>2806</v>
      </c>
      <c r="J180" s="36" t="s">
        <v>585</v>
      </c>
      <c r="K180" s="212"/>
      <c r="L180" s="212"/>
      <c r="M180" s="36" t="s">
        <v>585</v>
      </c>
      <c r="N180" s="19" t="s">
        <v>2992</v>
      </c>
      <c r="O180" s="6" t="s">
        <v>585</v>
      </c>
      <c r="P180" s="212" t="s">
        <v>2830</v>
      </c>
      <c r="Q180" s="41" t="n">
        <f aca="false">Arch!D6</f>
        <v>1600</v>
      </c>
      <c r="R180" s="184" t="n">
        <f aca="false">SRC_MOD_001</f>
        <v>1600</v>
      </c>
      <c r="S180" s="35" t="str">
        <f aca="false">IF(ISNUMBER($AF180),INDEX(IDX_SrcStat,$AF180),"—")</f>
        <v>Active</v>
      </c>
      <c r="T180" s="35" t="n">
        <f aca="false">IF(ISNUMBER($AF180),INDEX(IDX_SrcGrade,$AF180),"—")</f>
        <v>3</v>
      </c>
      <c r="U180" s="35" t="s">
        <v>2808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5" t="n">
        <f aca="false">IF(OR($H180="—",$H180=""),"—",MATCH($H180,IDX_SrcID,0))</f>
        <v>178</v>
      </c>
    </row>
    <row r="181" customFormat="false" ht="15" hidden="false" customHeight="true" outlineLevel="0" collapsed="false">
      <c r="A181" s="36" t="s">
        <v>3251</v>
      </c>
      <c r="B181" s="212" t="s">
        <v>2769</v>
      </c>
      <c r="C181" s="36" t="s">
        <v>3247</v>
      </c>
      <c r="D181" s="36" t="s">
        <v>3252</v>
      </c>
      <c r="E181" s="19" t="s">
        <v>237</v>
      </c>
      <c r="F181" s="212" t="s">
        <v>296</v>
      </c>
      <c r="G181" s="212" t="s">
        <v>2771</v>
      </c>
      <c r="H181" s="36" t="s">
        <v>3253</v>
      </c>
      <c r="I181" s="19" t="s">
        <v>2806</v>
      </c>
      <c r="J181" s="36" t="s">
        <v>585</v>
      </c>
      <c r="K181" s="212"/>
      <c r="L181" s="212"/>
      <c r="M181" s="36" t="s">
        <v>585</v>
      </c>
      <c r="N181" s="19" t="s">
        <v>2904</v>
      </c>
      <c r="O181" s="6" t="s">
        <v>585</v>
      </c>
      <c r="P181" s="212" t="s">
        <v>1114</v>
      </c>
      <c r="Q181" s="41" t="n">
        <f aca="false">Arch!C7</f>
        <v>13</v>
      </c>
      <c r="R181" s="184" t="n">
        <f aca="false">SRC_MOD_006</f>
        <v>13</v>
      </c>
      <c r="S181" s="35" t="str">
        <f aca="false">IF(ISNUMBER($AF181),INDEX(IDX_SrcStat,$AF181),"—")</f>
        <v>Active</v>
      </c>
      <c r="T181" s="35" t="n">
        <f aca="false">IF(ISNUMBER($AF181),INDEX(IDX_SrcGrade,$AF181),"—")</f>
        <v>1</v>
      </c>
      <c r="U181" s="35" t="s">
        <v>2808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5" t="n">
        <f aca="false">IF(OR($H181="—",$H181=""),"—",MATCH($H181,IDX_SrcID,0))</f>
        <v>183</v>
      </c>
    </row>
    <row r="182" customFormat="false" ht="15" hidden="false" customHeight="true" outlineLevel="0" collapsed="false">
      <c r="A182" s="36" t="s">
        <v>3254</v>
      </c>
      <c r="B182" s="212" t="s">
        <v>2769</v>
      </c>
      <c r="C182" s="36" t="s">
        <v>3247</v>
      </c>
      <c r="D182" s="36" t="s">
        <v>3255</v>
      </c>
      <c r="E182" s="19" t="s">
        <v>237</v>
      </c>
      <c r="F182" s="212" t="s">
        <v>296</v>
      </c>
      <c r="G182" s="212" t="s">
        <v>2771</v>
      </c>
      <c r="H182" s="36" t="s">
        <v>3256</v>
      </c>
      <c r="I182" s="19" t="s">
        <v>2806</v>
      </c>
      <c r="J182" s="36" t="s">
        <v>585</v>
      </c>
      <c r="K182" s="212"/>
      <c r="L182" s="212"/>
      <c r="M182" s="36" t="s">
        <v>585</v>
      </c>
      <c r="N182" s="19" t="s">
        <v>2904</v>
      </c>
      <c r="O182" s="6" t="s">
        <v>585</v>
      </c>
      <c r="P182" s="212" t="s">
        <v>1114</v>
      </c>
      <c r="Q182" s="41" t="n">
        <f aca="false">Arch!D7</f>
        <v>49</v>
      </c>
      <c r="R182" s="184" t="n">
        <f aca="false">SRC_MOD_002</f>
        <v>49</v>
      </c>
      <c r="S182" s="35" t="str">
        <f aca="false">IF(ISNUMBER($AF182),INDEX(IDX_SrcStat,$AF182),"—")</f>
        <v>Active</v>
      </c>
      <c r="T182" s="35" t="n">
        <f aca="false">IF(ISNUMBER($AF182),INDEX(IDX_SrcGrade,$AF182),"—")</f>
        <v>1</v>
      </c>
      <c r="U182" s="35" t="s">
        <v>2808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5" t="n">
        <f aca="false">IF(OR($H182="—",$H182=""),"—",MATCH($H182,IDX_SrcID,0))</f>
        <v>179</v>
      </c>
    </row>
    <row r="183" customFormat="false" ht="15" hidden="false" customHeight="true" outlineLevel="0" collapsed="false">
      <c r="A183" s="36" t="s">
        <v>3257</v>
      </c>
      <c r="B183" s="212" t="s">
        <v>2769</v>
      </c>
      <c r="C183" s="36" t="s">
        <v>3247</v>
      </c>
      <c r="D183" s="36" t="s">
        <v>2941</v>
      </c>
      <c r="E183" s="19" t="s">
        <v>239</v>
      </c>
      <c r="F183" s="212" t="s">
        <v>296</v>
      </c>
      <c r="G183" s="212" t="s">
        <v>2771</v>
      </c>
      <c r="H183" s="36" t="s">
        <v>3258</v>
      </c>
      <c r="I183" s="19" t="s">
        <v>2806</v>
      </c>
      <c r="J183" s="36" t="s">
        <v>585</v>
      </c>
      <c r="K183" s="212"/>
      <c r="L183" s="212"/>
      <c r="M183" s="36" t="s">
        <v>585</v>
      </c>
      <c r="N183" s="19" t="s">
        <v>2992</v>
      </c>
      <c r="O183" s="6" t="s">
        <v>585</v>
      </c>
      <c r="P183" s="212" t="s">
        <v>2830</v>
      </c>
      <c r="Q183" s="41" t="n">
        <f aca="false">Arch!C8</f>
        <v>43</v>
      </c>
      <c r="R183" s="184" t="n">
        <f aca="false">SRC_MOD_007</f>
        <v>43</v>
      </c>
      <c r="S183" s="35" t="str">
        <f aca="false">IF(ISNUMBER($AF183),INDEX(IDX_SrcStat,$AF183),"—")</f>
        <v>Active</v>
      </c>
      <c r="T183" s="35" t="n">
        <f aca="false">IF(ISNUMBER($AF183),INDEX(IDX_SrcGrade,$AF183),"—")</f>
        <v>1</v>
      </c>
      <c r="U183" s="35" t="s">
        <v>2808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5" t="n">
        <f aca="false">IF(OR($H183="—",$H183=""),"—",MATCH($H183,IDX_SrcID,0))</f>
        <v>184</v>
      </c>
    </row>
    <row r="184" customFormat="false" ht="15" hidden="false" customHeight="true" outlineLevel="0" collapsed="false">
      <c r="A184" s="36" t="s">
        <v>3259</v>
      </c>
      <c r="B184" s="212" t="s">
        <v>2769</v>
      </c>
      <c r="C184" s="36" t="s">
        <v>3247</v>
      </c>
      <c r="D184" s="36" t="s">
        <v>2944</v>
      </c>
      <c r="E184" s="19" t="s">
        <v>239</v>
      </c>
      <c r="F184" s="212" t="s">
        <v>296</v>
      </c>
      <c r="G184" s="212" t="s">
        <v>2771</v>
      </c>
      <c r="H184" s="36" t="s">
        <v>3260</v>
      </c>
      <c r="I184" s="19" t="s">
        <v>2806</v>
      </c>
      <c r="J184" s="36" t="s">
        <v>585</v>
      </c>
      <c r="K184" s="212"/>
      <c r="L184" s="212"/>
      <c r="M184" s="36" t="s">
        <v>585</v>
      </c>
      <c r="N184" s="19" t="s">
        <v>2992</v>
      </c>
      <c r="O184" s="6" t="s">
        <v>585</v>
      </c>
      <c r="P184" s="212" t="s">
        <v>2830</v>
      </c>
      <c r="Q184" s="41" t="n">
        <f aca="false">Arch!D8</f>
        <v>61</v>
      </c>
      <c r="R184" s="184" t="n">
        <f aca="false">SRC_MOD_003</f>
        <v>61</v>
      </c>
      <c r="S184" s="35" t="str">
        <f aca="false">IF(ISNUMBER($AF184),INDEX(IDX_SrcStat,$AF184),"—")</f>
        <v>Active</v>
      </c>
      <c r="T184" s="35" t="n">
        <f aca="false">IF(ISNUMBER($AF184),INDEX(IDX_SrcGrade,$AF184),"—")</f>
        <v>3</v>
      </c>
      <c r="U184" s="35" t="s">
        <v>2808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5" t="n">
        <f aca="false">IF(OR($H184="—",$H184=""),"—",MATCH($H184,IDX_SrcID,0))</f>
        <v>180</v>
      </c>
    </row>
    <row r="185" customFormat="false" ht="15" hidden="false" customHeight="true" outlineLevel="0" collapsed="false">
      <c r="A185" s="36" t="s">
        <v>3261</v>
      </c>
      <c r="B185" s="212" t="s">
        <v>2769</v>
      </c>
      <c r="C185" s="36" t="s">
        <v>3247</v>
      </c>
      <c r="D185" s="36" t="s">
        <v>2986</v>
      </c>
      <c r="E185" s="6" t="s">
        <v>246</v>
      </c>
      <c r="F185" s="212" t="s">
        <v>296</v>
      </c>
      <c r="G185" s="212" t="s">
        <v>2771</v>
      </c>
      <c r="H185" s="36" t="s">
        <v>3262</v>
      </c>
      <c r="I185" s="19" t="s">
        <v>2806</v>
      </c>
      <c r="J185" s="36" t="s">
        <v>585</v>
      </c>
      <c r="K185" s="212"/>
      <c r="L185" s="212"/>
      <c r="M185" s="36" t="s">
        <v>585</v>
      </c>
      <c r="N185" s="19" t="s">
        <v>2904</v>
      </c>
      <c r="O185" s="6" t="s">
        <v>585</v>
      </c>
      <c r="P185" s="212" t="s">
        <v>2830</v>
      </c>
      <c r="Q185" s="41" t="n">
        <f aca="false">Arch!C11</f>
        <v>512</v>
      </c>
      <c r="R185" s="184" t="n">
        <f aca="false">SRC_MOD_009</f>
        <v>512</v>
      </c>
      <c r="S185" s="35" t="str">
        <f aca="false">IF(ISNUMBER($AF185),INDEX(IDX_SrcStat,$AF185),"—")</f>
        <v>Active</v>
      </c>
      <c r="T185" s="35" t="n">
        <f aca="false">IF(ISNUMBER($AF185),INDEX(IDX_SrcGrade,$AF185),"—")</f>
        <v>1</v>
      </c>
      <c r="U185" s="35" t="s">
        <v>2808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5" t="n">
        <f aca="false">IF(OR($H185="—",$H185=""),"—",MATCH($H185,IDX_SrcID,0))</f>
        <v>186</v>
      </c>
    </row>
    <row r="186" customFormat="false" ht="15" hidden="false" customHeight="true" outlineLevel="0" collapsed="false">
      <c r="A186" s="36" t="s">
        <v>3263</v>
      </c>
      <c r="B186" s="212" t="s">
        <v>2769</v>
      </c>
      <c r="C186" s="36" t="s">
        <v>3247</v>
      </c>
      <c r="D186" s="36" t="s">
        <v>2796</v>
      </c>
      <c r="E186" s="6" t="s">
        <v>246</v>
      </c>
      <c r="F186" s="212" t="s">
        <v>296</v>
      </c>
      <c r="G186" s="212" t="s">
        <v>2771</v>
      </c>
      <c r="H186" s="36" t="s">
        <v>3262</v>
      </c>
      <c r="I186" s="19" t="s">
        <v>2806</v>
      </c>
      <c r="J186" s="36" t="s">
        <v>585</v>
      </c>
      <c r="K186" s="212"/>
      <c r="L186" s="212"/>
      <c r="M186" s="36" t="s">
        <v>585</v>
      </c>
      <c r="N186" s="19" t="s">
        <v>2904</v>
      </c>
      <c r="O186" s="6" t="s">
        <v>585</v>
      </c>
      <c r="P186" s="212" t="s">
        <v>2830</v>
      </c>
      <c r="Q186" s="41" t="n">
        <f aca="false">Arch!D11</f>
        <v>512</v>
      </c>
      <c r="R186" s="184" t="n">
        <f aca="false">SRC_MOD_009</f>
        <v>512</v>
      </c>
      <c r="S186" s="35" t="str">
        <f aca="false">IF(ISNUMBER($AF186),INDEX(IDX_SrcStat,$AF186),"—")</f>
        <v>Active</v>
      </c>
      <c r="T186" s="35" t="n">
        <f aca="false">IF(ISNUMBER($AF186),INDEX(IDX_SrcGrade,$AF186),"—")</f>
        <v>1</v>
      </c>
      <c r="U186" s="35" t="s">
        <v>2808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5" t="n">
        <f aca="false">IF(OR($H186="—",$H186=""),"—",MATCH($H186,IDX_SrcID,0))</f>
        <v>186</v>
      </c>
    </row>
    <row r="187" customFormat="false" ht="15" hidden="false" customHeight="true" outlineLevel="0" collapsed="false">
      <c r="A187" s="36" t="s">
        <v>3264</v>
      </c>
      <c r="B187" s="212" t="s">
        <v>2769</v>
      </c>
      <c r="C187" s="36" t="s">
        <v>3247</v>
      </c>
      <c r="D187" s="36" t="s">
        <v>3006</v>
      </c>
      <c r="E187" s="6" t="s">
        <v>248</v>
      </c>
      <c r="F187" s="212" t="s">
        <v>296</v>
      </c>
      <c r="G187" s="212" t="s">
        <v>2771</v>
      </c>
      <c r="H187" s="36" t="s">
        <v>3265</v>
      </c>
      <c r="I187" s="19" t="s">
        <v>2806</v>
      </c>
      <c r="J187" s="36" t="s">
        <v>585</v>
      </c>
      <c r="K187" s="212"/>
      <c r="L187" s="212"/>
      <c r="M187" s="36" t="s">
        <v>585</v>
      </c>
      <c r="N187" s="19" t="s">
        <v>2992</v>
      </c>
      <c r="O187" s="6" t="s">
        <v>585</v>
      </c>
      <c r="P187" s="212" t="s">
        <v>2830</v>
      </c>
      <c r="Q187" s="41" t="n">
        <f aca="false">Arch!C12</f>
        <v>256</v>
      </c>
      <c r="R187" s="184" t="n">
        <f aca="false">SRC_MOD_010</f>
        <v>256</v>
      </c>
      <c r="S187" s="35" t="str">
        <f aca="false">IF(ISNUMBER($AF187),INDEX(IDX_SrcStat,$AF187),"—")</f>
        <v>Active</v>
      </c>
      <c r="T187" s="35" t="n">
        <f aca="false">IF(ISNUMBER($AF187),INDEX(IDX_SrcGrade,$AF187),"—")</f>
        <v>1</v>
      </c>
      <c r="U187" s="35" t="s">
        <v>2808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5" t="n">
        <f aca="false">IF(OR($H187="—",$H187=""),"—",MATCH($H187,IDX_SrcID,0))</f>
        <v>187</v>
      </c>
    </row>
    <row r="188" customFormat="false" ht="15" hidden="false" customHeight="true" outlineLevel="0" collapsed="false">
      <c r="A188" s="36" t="s">
        <v>3266</v>
      </c>
      <c r="B188" s="212" t="s">
        <v>2769</v>
      </c>
      <c r="C188" s="36" t="s">
        <v>3247</v>
      </c>
      <c r="D188" s="36" t="s">
        <v>3010</v>
      </c>
      <c r="E188" s="6" t="s">
        <v>248</v>
      </c>
      <c r="F188" s="212" t="s">
        <v>296</v>
      </c>
      <c r="G188" s="212" t="s">
        <v>2771</v>
      </c>
      <c r="H188" s="36" t="s">
        <v>3267</v>
      </c>
      <c r="I188" s="19" t="s">
        <v>2806</v>
      </c>
      <c r="J188" s="36" t="s">
        <v>585</v>
      </c>
      <c r="K188" s="212"/>
      <c r="L188" s="212"/>
      <c r="M188" s="36" t="s">
        <v>585</v>
      </c>
      <c r="N188" s="19" t="s">
        <v>2992</v>
      </c>
      <c r="O188" s="6" t="s">
        <v>585</v>
      </c>
      <c r="P188" s="212" t="s">
        <v>2830</v>
      </c>
      <c r="Q188" s="41" t="n">
        <f aca="false">Arch!D12</f>
        <v>384</v>
      </c>
      <c r="R188" s="184" t="n">
        <f aca="false">SRC_MOD_011</f>
        <v>384</v>
      </c>
      <c r="S188" s="35" t="str">
        <f aca="false">IF(ISNUMBER($AF188),INDEX(IDX_SrcStat,$AF188),"—")</f>
        <v>Active</v>
      </c>
      <c r="T188" s="35" t="n">
        <f aca="false">IF(ISNUMBER($AF188),INDEX(IDX_SrcGrade,$AF188),"—")</f>
        <v>1</v>
      </c>
      <c r="U188" s="35" t="s">
        <v>2808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5" t="n">
        <f aca="false">IF(OR($H188="—",$H188=""),"—",MATCH($H188,IDX_SrcID,0))</f>
        <v>188</v>
      </c>
    </row>
    <row r="189" customFormat="false" ht="15" hidden="false" customHeight="true" outlineLevel="0" collapsed="false">
      <c r="A189" s="36" t="s">
        <v>3268</v>
      </c>
      <c r="B189" s="212" t="s">
        <v>2769</v>
      </c>
      <c r="C189" s="36" t="s">
        <v>3247</v>
      </c>
      <c r="D189" s="36" t="s">
        <v>3024</v>
      </c>
      <c r="E189" s="19" t="s">
        <v>3269</v>
      </c>
      <c r="F189" s="212" t="s">
        <v>296</v>
      </c>
      <c r="G189" s="212" t="s">
        <v>2771</v>
      </c>
      <c r="H189" s="36" t="s">
        <v>3270</v>
      </c>
      <c r="I189" s="19" t="s">
        <v>2806</v>
      </c>
      <c r="J189" s="36" t="s">
        <v>585</v>
      </c>
      <c r="K189" s="212"/>
      <c r="L189" s="212"/>
      <c r="M189" s="36" t="s">
        <v>585</v>
      </c>
      <c r="N189" s="19" t="s">
        <v>2992</v>
      </c>
      <c r="O189" s="6" t="s">
        <v>585</v>
      </c>
      <c r="P189" s="212" t="s">
        <v>2830</v>
      </c>
      <c r="Q189" s="41" t="n">
        <f aca="false">Arch!C13</f>
        <v>6</v>
      </c>
      <c r="R189" s="184" t="n">
        <f aca="false">SRC_MOD_012</f>
        <v>6</v>
      </c>
      <c r="S189" s="35" t="str">
        <f aca="false">IF(ISNUMBER($AF189),INDEX(IDX_SrcStat,$AF189),"—")</f>
        <v>Active</v>
      </c>
      <c r="T189" s="35" t="n">
        <f aca="false">IF(ISNUMBER($AF189),INDEX(IDX_SrcGrade,$AF189),"—")</f>
        <v>1</v>
      </c>
      <c r="U189" s="35" t="s">
        <v>2808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5" t="n">
        <f aca="false">IF(OR($H189="—",$H189=""),"—",MATCH($H189,IDX_SrcID,0))</f>
        <v>189</v>
      </c>
    </row>
    <row r="190" customFormat="false" ht="15" hidden="false" customHeight="true" outlineLevel="0" collapsed="false">
      <c r="A190" s="36" t="s">
        <v>3271</v>
      </c>
      <c r="B190" s="212" t="s">
        <v>2769</v>
      </c>
      <c r="C190" s="36" t="s">
        <v>3247</v>
      </c>
      <c r="D190" s="36" t="s">
        <v>2802</v>
      </c>
      <c r="E190" s="19" t="s">
        <v>3269</v>
      </c>
      <c r="F190" s="212" t="s">
        <v>296</v>
      </c>
      <c r="G190" s="212" t="s">
        <v>2771</v>
      </c>
      <c r="H190" s="36" t="s">
        <v>3270</v>
      </c>
      <c r="I190" s="19" t="s">
        <v>2806</v>
      </c>
      <c r="J190" s="36" t="s">
        <v>585</v>
      </c>
      <c r="K190" s="212"/>
      <c r="L190" s="212"/>
      <c r="M190" s="36" t="s">
        <v>585</v>
      </c>
      <c r="N190" s="19" t="s">
        <v>2992</v>
      </c>
      <c r="O190" s="6" t="s">
        <v>585</v>
      </c>
      <c r="P190" s="212" t="s">
        <v>2830</v>
      </c>
      <c r="Q190" s="41" t="n">
        <f aca="false">Arch!D13</f>
        <v>6</v>
      </c>
      <c r="R190" s="184" t="n">
        <f aca="false">SRC_MOD_012</f>
        <v>6</v>
      </c>
      <c r="S190" s="35" t="str">
        <f aca="false">IF(ISNUMBER($AF190),INDEX(IDX_SrcStat,$AF190),"—")</f>
        <v>Active</v>
      </c>
      <c r="T190" s="35" t="n">
        <f aca="false">IF(ISNUMBER($AF190),INDEX(IDX_SrcGrade,$AF190),"—")</f>
        <v>1</v>
      </c>
      <c r="U190" s="35" t="s">
        <v>2808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5" t="n">
        <f aca="false">IF(OR($H190="—",$H190=""),"—",MATCH($H190,IDX_SrcID,0))</f>
        <v>189</v>
      </c>
    </row>
    <row r="191" customFormat="false" ht="15" hidden="false" customHeight="true" outlineLevel="0" collapsed="false">
      <c r="A191" s="36" t="s">
        <v>3272</v>
      </c>
      <c r="B191" s="212" t="s">
        <v>2769</v>
      </c>
      <c r="C191" s="36" t="s">
        <v>3247</v>
      </c>
      <c r="D191" s="36" t="s">
        <v>3273</v>
      </c>
      <c r="E191" s="6" t="s">
        <v>250</v>
      </c>
      <c r="F191" s="212" t="s">
        <v>296</v>
      </c>
      <c r="G191" s="212" t="s">
        <v>2771</v>
      </c>
      <c r="H191" s="36" t="s">
        <v>3274</v>
      </c>
      <c r="I191" s="19" t="s">
        <v>2806</v>
      </c>
      <c r="J191" s="36" t="s">
        <v>585</v>
      </c>
      <c r="K191" s="212"/>
      <c r="L191" s="212"/>
      <c r="M191" s="36" t="s">
        <v>585</v>
      </c>
      <c r="N191" s="19" t="s">
        <v>2904</v>
      </c>
      <c r="O191" s="6" t="s">
        <v>585</v>
      </c>
      <c r="P191" s="212" t="s">
        <v>1113</v>
      </c>
      <c r="Q191" s="41" t="n">
        <f aca="false">Arch!C14</f>
        <v>1</v>
      </c>
      <c r="R191" s="184" t="n">
        <f aca="false">SRC_MOD_013</f>
        <v>1</v>
      </c>
      <c r="S191" s="35" t="str">
        <f aca="false">IF(ISNUMBER($AF191),INDEX(IDX_SrcStat,$AF191),"—")</f>
        <v>Active</v>
      </c>
      <c r="T191" s="35" t="n">
        <f aca="false">IF(ISNUMBER($AF191),INDEX(IDX_SrcGrade,$AF191),"—")</f>
        <v>1</v>
      </c>
      <c r="U191" s="35" t="s">
        <v>2808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5" t="n">
        <f aca="false">IF(OR($H191="—",$H191=""),"—",MATCH($H191,IDX_SrcID,0))</f>
        <v>190</v>
      </c>
    </row>
    <row r="192" customFormat="false" ht="15" hidden="false" customHeight="true" outlineLevel="0" collapsed="false">
      <c r="A192" s="36" t="s">
        <v>3275</v>
      </c>
      <c r="B192" s="212" t="s">
        <v>2769</v>
      </c>
      <c r="C192" s="36" t="s">
        <v>3247</v>
      </c>
      <c r="D192" s="36" t="s">
        <v>2812</v>
      </c>
      <c r="E192" s="6" t="s">
        <v>250</v>
      </c>
      <c r="F192" s="212" t="s">
        <v>296</v>
      </c>
      <c r="G192" s="212" t="s">
        <v>2771</v>
      </c>
      <c r="H192" s="36" t="s">
        <v>3274</v>
      </c>
      <c r="I192" s="19" t="s">
        <v>2806</v>
      </c>
      <c r="J192" s="36" t="s">
        <v>585</v>
      </c>
      <c r="K192" s="212"/>
      <c r="L192" s="212"/>
      <c r="M192" s="36" t="s">
        <v>585</v>
      </c>
      <c r="N192" s="19" t="s">
        <v>2904</v>
      </c>
      <c r="O192" s="6" t="s">
        <v>585</v>
      </c>
      <c r="P192" s="212" t="s">
        <v>1113</v>
      </c>
      <c r="Q192" s="41" t="n">
        <f aca="false">Arch!D14</f>
        <v>1</v>
      </c>
      <c r="R192" s="184" t="n">
        <f aca="false">SRC_MOD_013</f>
        <v>1</v>
      </c>
      <c r="S192" s="35" t="str">
        <f aca="false">IF(ISNUMBER($AF192),INDEX(IDX_SrcStat,$AF192),"—")</f>
        <v>Active</v>
      </c>
      <c r="T192" s="35" t="n">
        <f aca="false">IF(ISNUMBER($AF192),INDEX(IDX_SrcGrade,$AF192),"—")</f>
        <v>1</v>
      </c>
      <c r="U192" s="35" t="s">
        <v>2808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5" t="n">
        <f aca="false">IF(OR($H192="—",$H192=""),"—",MATCH($H192,IDX_SrcID,0))</f>
        <v>190</v>
      </c>
    </row>
    <row r="193" customFormat="false" ht="15" hidden="false" customHeight="true" outlineLevel="0" collapsed="false">
      <c r="A193" s="36" t="s">
        <v>3276</v>
      </c>
      <c r="B193" s="212" t="s">
        <v>2769</v>
      </c>
      <c r="C193" s="36" t="s">
        <v>3247</v>
      </c>
      <c r="D193" s="36" t="s">
        <v>3277</v>
      </c>
      <c r="E193" s="6" t="s">
        <v>251</v>
      </c>
      <c r="F193" s="212" t="s">
        <v>296</v>
      </c>
      <c r="G193" s="212" t="s">
        <v>2771</v>
      </c>
      <c r="H193" s="36" t="s">
        <v>3278</v>
      </c>
      <c r="I193" s="19" t="s">
        <v>2806</v>
      </c>
      <c r="J193" s="36" t="s">
        <v>585</v>
      </c>
      <c r="K193" s="212"/>
      <c r="L193" s="212"/>
      <c r="M193" s="36" t="s">
        <v>585</v>
      </c>
      <c r="N193" s="19" t="s">
        <v>2904</v>
      </c>
      <c r="O193" s="6" t="s">
        <v>585</v>
      </c>
      <c r="P193" s="212" t="s">
        <v>2774</v>
      </c>
      <c r="Q193" s="41" t="n">
        <f aca="false">Arch!C15</f>
        <v>129280</v>
      </c>
      <c r="R193" s="184" t="n">
        <f aca="false">SRC_MOD_014</f>
        <v>129280</v>
      </c>
      <c r="S193" s="35" t="str">
        <f aca="false">IF(ISNUMBER($AF193),INDEX(IDX_SrcStat,$AF193),"—")</f>
        <v>Active</v>
      </c>
      <c r="T193" s="35" t="n">
        <f aca="false">IF(ISNUMBER($AF193),INDEX(IDX_SrcGrade,$AF193),"—")</f>
        <v>1</v>
      </c>
      <c r="U193" s="35" t="s">
        <v>2808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5" t="n">
        <f aca="false">IF(OR($H193="—",$H193=""),"—",MATCH($H193,IDX_SrcID,0))</f>
        <v>191</v>
      </c>
    </row>
    <row r="194" customFormat="false" ht="15" hidden="false" customHeight="true" outlineLevel="0" collapsed="false">
      <c r="A194" s="36" t="s">
        <v>3279</v>
      </c>
      <c r="B194" s="212" t="s">
        <v>2769</v>
      </c>
      <c r="C194" s="36" t="s">
        <v>3247</v>
      </c>
      <c r="D194" s="36" t="s">
        <v>3280</v>
      </c>
      <c r="E194" s="6" t="s">
        <v>251</v>
      </c>
      <c r="F194" s="212" t="s">
        <v>296</v>
      </c>
      <c r="G194" s="212" t="s">
        <v>2771</v>
      </c>
      <c r="H194" s="36" t="s">
        <v>3278</v>
      </c>
      <c r="I194" s="19" t="s">
        <v>2806</v>
      </c>
      <c r="J194" s="36" t="s">
        <v>585</v>
      </c>
      <c r="K194" s="212"/>
      <c r="L194" s="212"/>
      <c r="M194" s="36" t="s">
        <v>585</v>
      </c>
      <c r="N194" s="19" t="s">
        <v>2904</v>
      </c>
      <c r="O194" s="6" t="s">
        <v>585</v>
      </c>
      <c r="P194" s="212" t="s">
        <v>2774</v>
      </c>
      <c r="Q194" s="41" t="n">
        <f aca="false">Arch!D15</f>
        <v>129280</v>
      </c>
      <c r="R194" s="184" t="n">
        <f aca="false">SRC_MOD_014</f>
        <v>129280</v>
      </c>
      <c r="S194" s="35" t="str">
        <f aca="false">IF(ISNUMBER($AF194),INDEX(IDX_SrcStat,$AF194),"—")</f>
        <v>Active</v>
      </c>
      <c r="T194" s="35" t="n">
        <f aca="false">IF(ISNUMBER($AF194),INDEX(IDX_SrcGrade,$AF194),"—")</f>
        <v>1</v>
      </c>
      <c r="U194" s="35" t="s">
        <v>2808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5" t="n">
        <f aca="false">IF(OR($H194="—",$H194=""),"—",MATCH($H194,IDX_SrcID,0))</f>
        <v>191</v>
      </c>
    </row>
    <row r="195" customFormat="false" ht="15" hidden="false" customHeight="true" outlineLevel="0" collapsed="false">
      <c r="A195" s="36" t="s">
        <v>3281</v>
      </c>
      <c r="B195" s="212" t="s">
        <v>2769</v>
      </c>
      <c r="C195" s="36" t="s">
        <v>3247</v>
      </c>
      <c r="D195" s="36" t="s">
        <v>3282</v>
      </c>
      <c r="E195" s="19" t="s">
        <v>252</v>
      </c>
      <c r="F195" s="212" t="s">
        <v>296</v>
      </c>
      <c r="G195" s="212" t="s">
        <v>2771</v>
      </c>
      <c r="H195" s="36" t="s">
        <v>3283</v>
      </c>
      <c r="I195" s="19" t="s">
        <v>2806</v>
      </c>
      <c r="J195" s="36" t="s">
        <v>585</v>
      </c>
      <c r="K195" s="212"/>
      <c r="L195" s="212"/>
      <c r="M195" s="36" t="s">
        <v>585</v>
      </c>
      <c r="N195" s="19" t="s">
        <v>2904</v>
      </c>
      <c r="O195" s="6" t="s">
        <v>585</v>
      </c>
      <c r="P195" s="212" t="s">
        <v>2830</v>
      </c>
      <c r="Q195" s="176" t="n">
        <f aca="false">Arch!C16</f>
        <v>0.512</v>
      </c>
      <c r="R195" s="184" t="n">
        <f aca="false">SRC_MOD_015</f>
        <v>0.512</v>
      </c>
      <c r="S195" s="35" t="str">
        <f aca="false">IF(ISNUMBER($AF195),INDEX(IDX_SrcStat,$AF195),"—")</f>
        <v>Active</v>
      </c>
      <c r="T195" s="35" t="n">
        <f aca="false">IF(ISNUMBER($AF195),INDEX(IDX_SrcGrade,$AF195),"—")</f>
        <v>1</v>
      </c>
      <c r="U195" s="35" t="s">
        <v>2808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5" t="n">
        <f aca="false">IF(OR($H195="—",$H195=""),"—",MATCH($H195,IDX_SrcID,0))</f>
        <v>192</v>
      </c>
    </row>
    <row r="196" customFormat="false" ht="15" hidden="false" customHeight="true" outlineLevel="0" collapsed="false">
      <c r="A196" s="36" t="s">
        <v>3284</v>
      </c>
      <c r="B196" s="212" t="s">
        <v>2769</v>
      </c>
      <c r="C196" s="36" t="s">
        <v>3247</v>
      </c>
      <c r="D196" s="36" t="s">
        <v>2818</v>
      </c>
      <c r="E196" s="19" t="s">
        <v>252</v>
      </c>
      <c r="F196" s="212" t="s">
        <v>296</v>
      </c>
      <c r="G196" s="212" t="s">
        <v>2771</v>
      </c>
      <c r="H196" s="36" t="s">
        <v>3283</v>
      </c>
      <c r="I196" s="19" t="s">
        <v>2806</v>
      </c>
      <c r="J196" s="36" t="s">
        <v>585</v>
      </c>
      <c r="K196" s="212"/>
      <c r="L196" s="212"/>
      <c r="M196" s="36" t="s">
        <v>585</v>
      </c>
      <c r="N196" s="19" t="s">
        <v>2904</v>
      </c>
      <c r="O196" s="6" t="s">
        <v>585</v>
      </c>
      <c r="P196" s="212" t="s">
        <v>2830</v>
      </c>
      <c r="Q196" s="176" t="n">
        <f aca="false">Arch!D16</f>
        <v>0.492</v>
      </c>
      <c r="R196" s="184" t="n">
        <f aca="false">SRC_MOD_015</f>
        <v>0.512</v>
      </c>
      <c r="S196" s="35" t="str">
        <f aca="false">IF(ISNUMBER($AF196),INDEX(IDX_SrcStat,$AF196),"—")</f>
        <v>Active</v>
      </c>
      <c r="T196" s="35" t="n">
        <f aca="false">IF(ISNUMBER($AF196),INDEX(IDX_SrcGrade,$AF196),"—")</f>
        <v>1</v>
      </c>
      <c r="U196" s="35" t="s">
        <v>2808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5" t="n">
        <f aca="false">IF(OR($H196="—",$H196=""),"—",MATCH($H196,IDX_SrcID,0))</f>
        <v>192</v>
      </c>
    </row>
    <row r="197" customFormat="false" ht="15" hidden="false" customHeight="true" outlineLevel="0" collapsed="false">
      <c r="A197" s="36" t="s">
        <v>3285</v>
      </c>
      <c r="B197" s="212" t="s">
        <v>2769</v>
      </c>
      <c r="C197" s="36" t="s">
        <v>3247</v>
      </c>
      <c r="D197" s="36" t="s">
        <v>3286</v>
      </c>
      <c r="E197" s="19" t="s">
        <v>258</v>
      </c>
      <c r="F197" s="212" t="s">
        <v>296</v>
      </c>
      <c r="G197" s="212" t="s">
        <v>2771</v>
      </c>
      <c r="H197" s="36" t="s">
        <v>3287</v>
      </c>
      <c r="I197" s="19" t="s">
        <v>2806</v>
      </c>
      <c r="J197" s="36" t="s">
        <v>585</v>
      </c>
      <c r="K197" s="212"/>
      <c r="L197" s="212"/>
      <c r="M197" s="36" t="s">
        <v>585</v>
      </c>
      <c r="N197" s="19" t="s">
        <v>2904</v>
      </c>
      <c r="O197" s="6" t="s">
        <v>585</v>
      </c>
      <c r="P197" s="212" t="s">
        <v>1113</v>
      </c>
      <c r="Q197" s="41" t="n">
        <f aca="false">Arch!C18</f>
        <v>128</v>
      </c>
      <c r="R197" s="184" t="n">
        <f aca="false">SRC_MOD_016</f>
        <v>128</v>
      </c>
      <c r="S197" s="35" t="str">
        <f aca="false">IF(ISNUMBER($AF197),INDEX(IDX_SrcStat,$AF197),"—")</f>
        <v>Active</v>
      </c>
      <c r="T197" s="35" t="n">
        <f aca="false">IF(ISNUMBER($AF197),INDEX(IDX_SrcGrade,$AF197),"—")</f>
        <v>1</v>
      </c>
      <c r="U197" s="35" t="s">
        <v>2808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5" t="n">
        <f aca="false">IF(OR($H197="—",$H197=""),"—",MATCH($H197,IDX_SrcID,0))</f>
        <v>193</v>
      </c>
    </row>
    <row r="198" customFormat="false" ht="15" hidden="false" customHeight="true" outlineLevel="0" collapsed="false">
      <c r="A198" s="36" t="s">
        <v>3288</v>
      </c>
      <c r="B198" s="212" t="s">
        <v>2769</v>
      </c>
      <c r="C198" s="36" t="s">
        <v>3247</v>
      </c>
      <c r="D198" s="36" t="s">
        <v>2832</v>
      </c>
      <c r="E198" s="19" t="s">
        <v>258</v>
      </c>
      <c r="F198" s="212" t="s">
        <v>296</v>
      </c>
      <c r="G198" s="212" t="s">
        <v>2771</v>
      </c>
      <c r="H198" s="36" t="s">
        <v>3287</v>
      </c>
      <c r="I198" s="19" t="s">
        <v>2806</v>
      </c>
      <c r="J198" s="36" t="s">
        <v>585</v>
      </c>
      <c r="K198" s="212"/>
      <c r="L198" s="212"/>
      <c r="M198" s="36" t="s">
        <v>585</v>
      </c>
      <c r="N198" s="19" t="s">
        <v>2904</v>
      </c>
      <c r="O198" s="6" t="s">
        <v>585</v>
      </c>
      <c r="P198" s="212" t="s">
        <v>1113</v>
      </c>
      <c r="Q198" s="41" t="n">
        <f aca="false">Arch!D18</f>
        <v>128</v>
      </c>
      <c r="R198" s="184" t="n">
        <f aca="false">SRC_MOD_016</f>
        <v>128</v>
      </c>
      <c r="S198" s="35" t="str">
        <f aca="false">IF(ISNUMBER($AF198),INDEX(IDX_SrcStat,$AF198),"—")</f>
        <v>Active</v>
      </c>
      <c r="T198" s="35" t="n">
        <f aca="false">IF(ISNUMBER($AF198),INDEX(IDX_SrcGrade,$AF198),"—")</f>
        <v>1</v>
      </c>
      <c r="U198" s="35" t="s">
        <v>2808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5" t="n">
        <f aca="false">IF(OR($H198="—",$H198=""),"—",MATCH($H198,IDX_SrcID,0))</f>
        <v>193</v>
      </c>
    </row>
    <row r="199" customFormat="false" ht="15" hidden="false" customHeight="true" outlineLevel="0" collapsed="false">
      <c r="A199" s="36" t="s">
        <v>3289</v>
      </c>
      <c r="B199" s="212" t="s">
        <v>2769</v>
      </c>
      <c r="C199" s="36" t="s">
        <v>3247</v>
      </c>
      <c r="D199" s="36" t="s">
        <v>3290</v>
      </c>
      <c r="E199" s="19" t="s">
        <v>260</v>
      </c>
      <c r="F199" s="212" t="s">
        <v>296</v>
      </c>
      <c r="G199" s="212" t="s">
        <v>2771</v>
      </c>
      <c r="H199" s="36" t="s">
        <v>3291</v>
      </c>
      <c r="I199" s="19" t="s">
        <v>2806</v>
      </c>
      <c r="J199" s="36" t="s">
        <v>585</v>
      </c>
      <c r="K199" s="212"/>
      <c r="L199" s="212"/>
      <c r="M199" s="36" t="s">
        <v>585</v>
      </c>
      <c r="N199" s="19" t="s">
        <v>2904</v>
      </c>
      <c r="O199" s="6" t="s">
        <v>585</v>
      </c>
      <c r="P199" s="212" t="s">
        <v>1113</v>
      </c>
      <c r="Q199" s="41" t="n">
        <f aca="false">Arch!C19</f>
        <v>128</v>
      </c>
      <c r="R199" s="184" t="n">
        <f aca="false">SRC_MOD_017</f>
        <v>128</v>
      </c>
      <c r="S199" s="35" t="str">
        <f aca="false">IF(ISNUMBER($AF199),INDEX(IDX_SrcStat,$AF199),"—")</f>
        <v>Active</v>
      </c>
      <c r="T199" s="35" t="n">
        <f aca="false">IF(ISNUMBER($AF199),INDEX(IDX_SrcGrade,$AF199),"—")</f>
        <v>1</v>
      </c>
      <c r="U199" s="35" t="s">
        <v>2808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5" t="n">
        <f aca="false">IF(OR($H199="—",$H199=""),"—",MATCH($H199,IDX_SrcID,0))</f>
        <v>194</v>
      </c>
    </row>
    <row r="200" customFormat="false" ht="15" hidden="false" customHeight="true" outlineLevel="0" collapsed="false">
      <c r="A200" s="36" t="s">
        <v>3292</v>
      </c>
      <c r="B200" s="212" t="s">
        <v>2769</v>
      </c>
      <c r="C200" s="36" t="s">
        <v>3247</v>
      </c>
      <c r="D200" s="36" t="s">
        <v>2838</v>
      </c>
      <c r="E200" s="19" t="s">
        <v>260</v>
      </c>
      <c r="F200" s="212" t="s">
        <v>296</v>
      </c>
      <c r="G200" s="212" t="s">
        <v>2771</v>
      </c>
      <c r="H200" s="36" t="s">
        <v>3291</v>
      </c>
      <c r="I200" s="19" t="s">
        <v>2806</v>
      </c>
      <c r="J200" s="36" t="s">
        <v>585</v>
      </c>
      <c r="K200" s="212"/>
      <c r="L200" s="212"/>
      <c r="M200" s="36" t="s">
        <v>585</v>
      </c>
      <c r="N200" s="19" t="s">
        <v>2904</v>
      </c>
      <c r="O200" s="6" t="s">
        <v>585</v>
      </c>
      <c r="P200" s="212" t="s">
        <v>1113</v>
      </c>
      <c r="Q200" s="41" t="n">
        <f aca="false">Arch!D19</f>
        <v>128</v>
      </c>
      <c r="R200" s="184" t="n">
        <f aca="false">SRC_MOD_017</f>
        <v>128</v>
      </c>
      <c r="S200" s="35" t="str">
        <f aca="false">IF(ISNUMBER($AF200),INDEX(IDX_SrcStat,$AF200),"—")</f>
        <v>Active</v>
      </c>
      <c r="T200" s="35" t="n">
        <f aca="false">IF(ISNUMBER($AF200),INDEX(IDX_SrcGrade,$AF200),"—")</f>
        <v>1</v>
      </c>
      <c r="U200" s="35" t="s">
        <v>2808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5" t="n">
        <f aca="false">IF(OR($H200="—",$H200=""),"—",MATCH($H200,IDX_SrcID,0))</f>
        <v>194</v>
      </c>
    </row>
    <row r="201" customFormat="false" ht="15" hidden="false" customHeight="true" outlineLevel="0" collapsed="false">
      <c r="A201" s="36" t="s">
        <v>3293</v>
      </c>
      <c r="B201" s="212" t="s">
        <v>2769</v>
      </c>
      <c r="C201" s="36" t="s">
        <v>3247</v>
      </c>
      <c r="D201" s="36" t="s">
        <v>2784</v>
      </c>
      <c r="E201" s="6" t="s">
        <v>242</v>
      </c>
      <c r="F201" s="212" t="s">
        <v>296</v>
      </c>
      <c r="G201" s="212" t="s">
        <v>2771</v>
      </c>
      <c r="H201" s="36" t="s">
        <v>3294</v>
      </c>
      <c r="I201" s="19" t="s">
        <v>2806</v>
      </c>
      <c r="J201" s="36" t="s">
        <v>585</v>
      </c>
      <c r="K201" s="212"/>
      <c r="L201" s="212"/>
      <c r="M201" s="36" t="s">
        <v>585</v>
      </c>
      <c r="N201" s="19" t="s">
        <v>2904</v>
      </c>
      <c r="O201" s="6" t="s">
        <v>585</v>
      </c>
      <c r="P201" s="212" t="s">
        <v>2774</v>
      </c>
      <c r="Q201" s="41" t="n">
        <f aca="false">Arch!D9</f>
        <v>7168</v>
      </c>
      <c r="R201" s="184" t="n">
        <f aca="false">SRC_MOD_004</f>
        <v>7168</v>
      </c>
      <c r="S201" s="35" t="str">
        <f aca="false">IF(ISNUMBER($AF201),INDEX(IDX_SrcStat,$AF201),"—")</f>
        <v>Active</v>
      </c>
      <c r="T201" s="35" t="n">
        <f aca="false">IF(ISNUMBER($AF201),INDEX(IDX_SrcGrade,$AF201),"—")</f>
        <v>3</v>
      </c>
      <c r="U201" s="35" t="s">
        <v>2808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5" t="n">
        <f aca="false">IF(OR($H201="—",$H201=""),"—",MATCH($H201,IDX_SrcID,0))</f>
        <v>181</v>
      </c>
    </row>
    <row r="202" customFormat="false" ht="15" hidden="false" customHeight="true" outlineLevel="0" collapsed="false">
      <c r="A202" s="36" t="s">
        <v>3295</v>
      </c>
      <c r="B202" s="212" t="s">
        <v>2769</v>
      </c>
      <c r="C202" s="36" t="s">
        <v>3247</v>
      </c>
      <c r="D202" s="36" t="s">
        <v>2789</v>
      </c>
      <c r="E202" s="6" t="s">
        <v>244</v>
      </c>
      <c r="F202" s="212" t="s">
        <v>296</v>
      </c>
      <c r="G202" s="212" t="s">
        <v>2771</v>
      </c>
      <c r="H202" s="36" t="s">
        <v>3296</v>
      </c>
      <c r="I202" s="19" t="s">
        <v>2806</v>
      </c>
      <c r="J202" s="36" t="s">
        <v>585</v>
      </c>
      <c r="K202" s="212"/>
      <c r="L202" s="212"/>
      <c r="M202" s="36" t="s">
        <v>585</v>
      </c>
      <c r="N202" s="19" t="s">
        <v>2904</v>
      </c>
      <c r="O202" s="6" t="s">
        <v>585</v>
      </c>
      <c r="P202" s="212" t="s">
        <v>2830</v>
      </c>
      <c r="Q202" s="41" t="n">
        <f aca="false">Arch!D10</f>
        <v>128</v>
      </c>
      <c r="R202" s="184" t="n">
        <f aca="false">SRC_MOD_008</f>
        <v>128</v>
      </c>
      <c r="S202" s="35" t="str">
        <f aca="false">IF(ISNUMBER($AF202),INDEX(IDX_SrcStat,$AF202),"—")</f>
        <v>Active</v>
      </c>
      <c r="T202" s="35" t="n">
        <f aca="false">IF(ISNUMBER($AF202),INDEX(IDX_SrcGrade,$AF202),"—")</f>
        <v>3</v>
      </c>
      <c r="U202" s="35" t="s">
        <v>2808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5" t="n">
        <f aca="false">IF(OR($H202="—",$H202=""),"—",MATCH($H202,IDX_SrcID,0))</f>
        <v>185</v>
      </c>
    </row>
    <row r="203" customFormat="false" ht="29.25" hidden="false" customHeight="true" outlineLevel="0" collapsed="false">
      <c r="A203" s="36" t="s">
        <v>3297</v>
      </c>
      <c r="B203" s="212" t="s">
        <v>2769</v>
      </c>
      <c r="C203" s="36" t="s">
        <v>3247</v>
      </c>
      <c r="D203" s="36" t="s">
        <v>2955</v>
      </c>
      <c r="E203" s="6" t="s">
        <v>242</v>
      </c>
      <c r="F203" s="212" t="s">
        <v>296</v>
      </c>
      <c r="G203" s="212" t="s">
        <v>2771</v>
      </c>
      <c r="H203" s="36" t="s">
        <v>3298</v>
      </c>
      <c r="I203" s="19" t="s">
        <v>2806</v>
      </c>
      <c r="J203" s="36" t="s">
        <v>585</v>
      </c>
      <c r="K203" s="212"/>
      <c r="L203" s="212"/>
      <c r="M203" s="36" t="s">
        <v>585</v>
      </c>
      <c r="N203" s="19" t="s">
        <v>3299</v>
      </c>
      <c r="O203" s="6" t="s">
        <v>585</v>
      </c>
      <c r="P203" s="212" t="s">
        <v>2774</v>
      </c>
      <c r="Q203" s="41" t="n">
        <f aca="false">Arch!C9</f>
        <v>4096</v>
      </c>
      <c r="R203" s="184" t="n">
        <f aca="false">SRC_MOD_052</f>
        <v>4096</v>
      </c>
      <c r="S203" s="35" t="str">
        <f aca="false">IF(ISNUMBER($AF203),INDEX(IDX_SrcStat,$AF203),"—")</f>
        <v>Active</v>
      </c>
      <c r="T203" s="35" t="n">
        <f aca="false">IF(ISNUMBER($AF203),INDEX(IDX_SrcGrade,$AF203),"—")</f>
        <v>1</v>
      </c>
      <c r="U203" s="35" t="s">
        <v>2808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5" t="n">
        <f aca="false">IF(OR($H203="—",$H203=""),"—",MATCH($H203,IDX_SrcID,0))</f>
        <v>229</v>
      </c>
    </row>
    <row r="204" customFormat="false" ht="15" hidden="false" customHeight="true" outlineLevel="0" collapsed="false">
      <c r="A204" s="36" t="s">
        <v>3300</v>
      </c>
      <c r="B204" s="212" t="s">
        <v>2769</v>
      </c>
      <c r="C204" s="36" t="s">
        <v>3247</v>
      </c>
      <c r="D204" s="36" t="s">
        <v>2975</v>
      </c>
      <c r="E204" s="6" t="s">
        <v>244</v>
      </c>
      <c r="F204" s="212" t="s">
        <v>296</v>
      </c>
      <c r="G204" s="212" t="s">
        <v>2771</v>
      </c>
      <c r="H204" s="36" t="s">
        <v>3301</v>
      </c>
      <c r="I204" s="19" t="s">
        <v>2806</v>
      </c>
      <c r="J204" s="36" t="s">
        <v>585</v>
      </c>
      <c r="K204" s="214"/>
      <c r="L204" s="214"/>
      <c r="M204" s="36" t="s">
        <v>585</v>
      </c>
      <c r="N204" s="213" t="str">
        <f aca="false">Arch!$G$10</f>
        <v>V4-Pro 128；V4-Flash 64（官方 config.json num_attention_heads，v5.13 讀原文）；Astra [Assumed]</v>
      </c>
      <c r="O204" s="6" t="s">
        <v>3302</v>
      </c>
      <c r="P204" s="212" t="s">
        <v>2830</v>
      </c>
      <c r="Q204" s="41" t="n">
        <f aca="false">Arch!C10</f>
        <v>64</v>
      </c>
      <c r="R204" s="184" t="n">
        <f aca="false">SRC_MOD_053</f>
        <v>64</v>
      </c>
      <c r="S204" s="35" t="str">
        <f aca="false">IF(ISNUMBER($AF204),INDEX(IDX_SrcStat,$AF204),"—")</f>
        <v>Active</v>
      </c>
      <c r="T204" s="35" t="n">
        <f aca="false">IF(ISNUMBER($AF204),INDEX(IDX_SrcGrade,$AF204),"—")</f>
        <v>1</v>
      </c>
      <c r="U204" s="35" t="s">
        <v>2808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5" t="n">
        <f aca="false">IF(OR($H204="—",$H204=""),"—",MATCH($H204,IDX_SrcID,0))</f>
        <v>230</v>
      </c>
    </row>
    <row r="205" customFormat="false" ht="29.25" hidden="false" customHeight="true" outlineLevel="0" collapsed="false">
      <c r="A205" s="36" t="s">
        <v>3303</v>
      </c>
      <c r="B205" s="212" t="s">
        <v>2769</v>
      </c>
      <c r="C205" s="36" t="s">
        <v>3247</v>
      </c>
      <c r="D205" s="36" t="s">
        <v>3304</v>
      </c>
      <c r="E205" s="19" t="s">
        <v>3305</v>
      </c>
      <c r="F205" s="212" t="s">
        <v>296</v>
      </c>
      <c r="G205" s="212" t="s">
        <v>2771</v>
      </c>
      <c r="H205" s="36" t="s">
        <v>3306</v>
      </c>
      <c r="I205" s="19" t="s">
        <v>3105</v>
      </c>
      <c r="J205" s="36" t="s">
        <v>585</v>
      </c>
      <c r="K205" s="212"/>
      <c r="L205" s="212"/>
      <c r="M205" s="36" t="s">
        <v>585</v>
      </c>
      <c r="N205" s="19" t="s">
        <v>2904</v>
      </c>
      <c r="O205" s="6" t="s">
        <v>585</v>
      </c>
      <c r="P205" s="212" t="s">
        <v>2774</v>
      </c>
      <c r="Q205" s="41" t="n">
        <f aca="false">Arch!C17</f>
        <v>4224</v>
      </c>
      <c r="R205" s="184" t="n">
        <f aca="false">SRC_MOD_018</f>
        <v>1024</v>
      </c>
      <c r="S205" s="35" t="str">
        <f aca="false">IF(ISNUMBER($AF205),INDEX(IDX_SrcStat,$AF205),"—")</f>
        <v>Active</v>
      </c>
      <c r="T205" s="35" t="n">
        <f aca="false">IF(ISNUMBER($AF205),INDEX(IDX_SrcGrade,$AF205),"—")</f>
        <v>3</v>
      </c>
      <c r="U205" s="35" t="s">
        <v>2808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5" t="n">
        <f aca="false">IF(OR($H205="—",$H205=""),"—",MATCH($H205,IDX_SrcID,0))</f>
        <v>195</v>
      </c>
    </row>
    <row r="206" customFormat="false" ht="29.25" hidden="false" customHeight="true" outlineLevel="0" collapsed="false">
      <c r="A206" s="36" t="s">
        <v>3307</v>
      </c>
      <c r="B206" s="212" t="s">
        <v>2769</v>
      </c>
      <c r="C206" s="36" t="s">
        <v>3247</v>
      </c>
      <c r="D206" s="36" t="s">
        <v>2824</v>
      </c>
      <c r="E206" s="19" t="s">
        <v>3305</v>
      </c>
      <c r="F206" s="212" t="s">
        <v>296</v>
      </c>
      <c r="G206" s="212" t="s">
        <v>2771</v>
      </c>
      <c r="H206" s="36" t="s">
        <v>3306</v>
      </c>
      <c r="I206" s="19" t="s">
        <v>3105</v>
      </c>
      <c r="J206" s="36" t="s">
        <v>585</v>
      </c>
      <c r="K206" s="212"/>
      <c r="L206" s="212"/>
      <c r="M206" s="36" t="s">
        <v>585</v>
      </c>
      <c r="N206" s="19" t="s">
        <v>2904</v>
      </c>
      <c r="O206" s="6" t="s">
        <v>585</v>
      </c>
      <c r="P206" s="212" t="s">
        <v>2774</v>
      </c>
      <c r="Q206" s="41" t="n">
        <f aca="false">Arch!D17</f>
        <v>4224</v>
      </c>
      <c r="R206" s="184" t="n">
        <f aca="false">SRC_MOD_018</f>
        <v>1024</v>
      </c>
      <c r="S206" s="35" t="str">
        <f aca="false">IF(ISNUMBER($AF206),INDEX(IDX_SrcStat,$AF206),"—")</f>
        <v>Active</v>
      </c>
      <c r="T206" s="35" t="n">
        <f aca="false">IF(ISNUMBER($AF206),INDEX(IDX_SrcGrade,$AF206),"—")</f>
        <v>3</v>
      </c>
      <c r="U206" s="35" t="s">
        <v>2808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5" t="n">
        <f aca="false">IF(OR($H206="—",$H206=""),"—",MATCH($H206,IDX_SrcID,0))</f>
        <v>195</v>
      </c>
    </row>
    <row r="207" customFormat="false" ht="40.5" hidden="false" customHeight="true" outlineLevel="0" collapsed="false">
      <c r="A207" s="36" t="s">
        <v>3308</v>
      </c>
      <c r="B207" s="212" t="s">
        <v>2769</v>
      </c>
      <c r="C207" s="36" t="s">
        <v>3247</v>
      </c>
      <c r="D207" s="36" t="s">
        <v>2663</v>
      </c>
      <c r="E207" s="19" t="s">
        <v>233</v>
      </c>
      <c r="F207" s="36" t="s">
        <v>78</v>
      </c>
      <c r="G207" s="212" t="s">
        <v>2771</v>
      </c>
      <c r="H207" s="36" t="s">
        <v>585</v>
      </c>
      <c r="I207" s="6" t="s">
        <v>585</v>
      </c>
      <c r="J207" s="36" t="s">
        <v>585</v>
      </c>
      <c r="K207" s="214" t="n">
        <v>2000</v>
      </c>
      <c r="L207" s="214" t="n">
        <v>10000</v>
      </c>
      <c r="M207" s="36" t="s">
        <v>3309</v>
      </c>
      <c r="N207" s="213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</v>
      </c>
      <c r="O207" s="6" t="s">
        <v>585</v>
      </c>
      <c r="P207" s="212" t="s">
        <v>1114</v>
      </c>
      <c r="Q207" s="41" t="n">
        <f aca="false">Arch!E6</f>
        <v>4000</v>
      </c>
      <c r="R207" s="36" t="s">
        <v>585</v>
      </c>
      <c r="S207" s="35" t="str">
        <f aca="false">IF(ISNUMBER($AF207),INDEX(IDX_SrcStat,$AF207),"—")</f>
        <v>—</v>
      </c>
      <c r="T207" s="35" t="str">
        <f aca="false">IF(ISNUMBER($AF207),INDEX(IDX_SrcGrade,$AF207),"—")</f>
        <v>—</v>
      </c>
      <c r="U207" s="35" t="s">
        <v>2775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5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6" t="s">
        <v>3310</v>
      </c>
      <c r="B208" s="212" t="s">
        <v>2769</v>
      </c>
      <c r="C208" s="36" t="s">
        <v>3247</v>
      </c>
      <c r="D208" s="36" t="s">
        <v>2666</v>
      </c>
      <c r="E208" s="19" t="s">
        <v>237</v>
      </c>
      <c r="F208" s="36" t="s">
        <v>78</v>
      </c>
      <c r="G208" s="212" t="s">
        <v>2771</v>
      </c>
      <c r="H208" s="36" t="s">
        <v>585</v>
      </c>
      <c r="I208" s="6" t="s">
        <v>585</v>
      </c>
      <c r="J208" s="36" t="s">
        <v>585</v>
      </c>
      <c r="K208" s="214" t="n">
        <v>60</v>
      </c>
      <c r="L208" s="214" t="n">
        <v>250</v>
      </c>
      <c r="M208" s="36" t="s">
        <v>3311</v>
      </c>
      <c r="N208" s="213" t="str">
        <f aca="false">Arch!$G$7&amp;" ｜v5.25 X12：Epoch GPT-6 Astra 1.0e27（E248）；J8 未結"</f>
        <v>V4-Flash 13B、V4-Pro 49B；Astra 180B [Assumed，區間 60–250B] ｜v5.25 X12：Epoch GPT-6 Astra 1.0e27（E248）；J8 未結</v>
      </c>
      <c r="O208" s="6" t="s">
        <v>585</v>
      </c>
      <c r="P208" s="212" t="s">
        <v>1114</v>
      </c>
      <c r="Q208" s="41" t="n">
        <f aca="false">Arch!E7</f>
        <v>180</v>
      </c>
      <c r="R208" s="36" t="s">
        <v>585</v>
      </c>
      <c r="S208" s="35" t="str">
        <f aca="false">IF(ISNUMBER($AF208),INDEX(IDX_SrcStat,$AF208),"—")</f>
        <v>—</v>
      </c>
      <c r="T208" s="35" t="str">
        <f aca="false">IF(ISNUMBER($AF208),INDEX(IDX_SrcGrade,$AF208),"—")</f>
        <v>—</v>
      </c>
      <c r="U208" s="35" t="s">
        <v>2775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5" t="str">
        <f aca="false">IF(OR($H208="—",$H208=""),"—",MATCH($H208,IDX_SrcID,0))</f>
        <v>—</v>
      </c>
    </row>
    <row r="209" customFormat="false" ht="15" hidden="false" customHeight="true" outlineLevel="0" collapsed="false">
      <c r="A209" s="36" t="s">
        <v>3312</v>
      </c>
      <c r="B209" s="212" t="s">
        <v>2769</v>
      </c>
      <c r="C209" s="36" t="s">
        <v>3247</v>
      </c>
      <c r="D209" s="36" t="s">
        <v>2669</v>
      </c>
      <c r="E209" s="19" t="s">
        <v>239</v>
      </c>
      <c r="F209" s="36" t="s">
        <v>78</v>
      </c>
      <c r="G209" s="212" t="s">
        <v>2771</v>
      </c>
      <c r="H209" s="36" t="s">
        <v>585</v>
      </c>
      <c r="I209" s="6" t="s">
        <v>585</v>
      </c>
      <c r="J209" s="36" t="s">
        <v>585</v>
      </c>
      <c r="K209" s="214" t="n">
        <v>80</v>
      </c>
      <c r="L209" s="214" t="n">
        <v>160</v>
      </c>
      <c r="M209" s="36" t="s">
        <v>3313</v>
      </c>
      <c r="N209" s="6" t="s">
        <v>3314</v>
      </c>
      <c r="O209" s="6" t="s">
        <v>585</v>
      </c>
      <c r="P209" s="212" t="s">
        <v>1114</v>
      </c>
      <c r="Q209" s="41" t="n">
        <f aca="false">Arch!E8</f>
        <v>100</v>
      </c>
      <c r="R209" s="36" t="s">
        <v>585</v>
      </c>
      <c r="S209" s="35" t="str">
        <f aca="false">IF(ISNUMBER($AF209),INDEX(IDX_SrcStat,$AF209),"—")</f>
        <v>—</v>
      </c>
      <c r="T209" s="35" t="str">
        <f aca="false">IF(ISNUMBER($AF209),INDEX(IDX_SrcGrade,$AF209),"—")</f>
        <v>—</v>
      </c>
      <c r="U209" s="35" t="s">
        <v>2775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5" t="str">
        <f aca="false">IF(OR($H209="—",$H209=""),"—",MATCH($H209,IDX_SrcID,0))</f>
        <v>—</v>
      </c>
    </row>
    <row r="210" customFormat="false" ht="15" hidden="false" customHeight="true" outlineLevel="0" collapsed="false">
      <c r="A210" s="36" t="s">
        <v>3315</v>
      </c>
      <c r="B210" s="212" t="s">
        <v>2769</v>
      </c>
      <c r="C210" s="36" t="s">
        <v>3247</v>
      </c>
      <c r="D210" s="36" t="s">
        <v>2672</v>
      </c>
      <c r="E210" s="6" t="s">
        <v>242</v>
      </c>
      <c r="F210" s="36" t="s">
        <v>78</v>
      </c>
      <c r="G210" s="212" t="s">
        <v>2771</v>
      </c>
      <c r="H210" s="36" t="s">
        <v>585</v>
      </c>
      <c r="I210" s="6" t="s">
        <v>585</v>
      </c>
      <c r="J210" s="36" t="s">
        <v>585</v>
      </c>
      <c r="K210" s="214" t="n">
        <v>8192</v>
      </c>
      <c r="L210" s="214" t="n">
        <v>16384</v>
      </c>
      <c r="M210" s="36" t="s">
        <v>3316</v>
      </c>
      <c r="N210" s="6" t="s">
        <v>3317</v>
      </c>
      <c r="O210" s="6" t="s">
        <v>585</v>
      </c>
      <c r="P210" s="212" t="s">
        <v>2774</v>
      </c>
      <c r="Q210" s="41" t="n">
        <f aca="false">Arch!E9</f>
        <v>12288</v>
      </c>
      <c r="R210" s="36" t="s">
        <v>585</v>
      </c>
      <c r="S210" s="35" t="str">
        <f aca="false">IF(ISNUMBER($AF210),INDEX(IDX_SrcStat,$AF210),"—")</f>
        <v>—</v>
      </c>
      <c r="T210" s="35" t="str">
        <f aca="false">IF(ISNUMBER($AF210),INDEX(IDX_SrcGrade,$AF210),"—")</f>
        <v>—</v>
      </c>
      <c r="U210" s="35" t="s">
        <v>2775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5" t="str">
        <f aca="false">IF(OR($H210="—",$H210=""),"—",MATCH($H210,IDX_SrcID,0))</f>
        <v>—</v>
      </c>
    </row>
    <row r="211" customFormat="false" ht="15" hidden="false" customHeight="true" outlineLevel="0" collapsed="false">
      <c r="A211" s="36" t="s">
        <v>3318</v>
      </c>
      <c r="B211" s="212" t="s">
        <v>2769</v>
      </c>
      <c r="C211" s="36" t="s">
        <v>3247</v>
      </c>
      <c r="D211" s="36" t="s">
        <v>2675</v>
      </c>
      <c r="E211" s="6" t="s">
        <v>244</v>
      </c>
      <c r="F211" s="36" t="s">
        <v>78</v>
      </c>
      <c r="G211" s="212" t="s">
        <v>2771</v>
      </c>
      <c r="H211" s="36" t="s">
        <v>585</v>
      </c>
      <c r="I211" s="6" t="s">
        <v>585</v>
      </c>
      <c r="J211" s="36" t="s">
        <v>585</v>
      </c>
      <c r="K211" s="214" t="n">
        <v>64</v>
      </c>
      <c r="L211" s="214" t="n">
        <v>128</v>
      </c>
      <c r="M211" s="36" t="s">
        <v>3319</v>
      </c>
      <c r="N211" s="6" t="s">
        <v>3317</v>
      </c>
      <c r="O211" s="6" t="s">
        <v>585</v>
      </c>
      <c r="P211" s="212" t="s">
        <v>2830</v>
      </c>
      <c r="Q211" s="41" t="n">
        <f aca="false">Arch!E10</f>
        <v>96</v>
      </c>
      <c r="R211" s="36" t="s">
        <v>585</v>
      </c>
      <c r="S211" s="35" t="str">
        <f aca="false">IF(ISNUMBER($AF211),INDEX(IDX_SrcStat,$AF211),"—")</f>
        <v>—</v>
      </c>
      <c r="T211" s="35" t="str">
        <f aca="false">IF(ISNUMBER($AF211),INDEX(IDX_SrcGrade,$AF211),"—")</f>
        <v>—</v>
      </c>
      <c r="U211" s="35" t="s">
        <v>2775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5" t="str">
        <f aca="false">IF(OR($H211="—",$H211=""),"—",MATCH($H211,IDX_SrcID,0))</f>
        <v>—</v>
      </c>
    </row>
    <row r="212" customFormat="false" ht="15" hidden="false" customHeight="true" outlineLevel="0" collapsed="false">
      <c r="A212" s="36" t="s">
        <v>3320</v>
      </c>
      <c r="B212" s="212" t="s">
        <v>2769</v>
      </c>
      <c r="C212" s="36" t="s">
        <v>3247</v>
      </c>
      <c r="D212" s="36" t="s">
        <v>2678</v>
      </c>
      <c r="E212" s="6" t="s">
        <v>246</v>
      </c>
      <c r="F212" s="36" t="s">
        <v>78</v>
      </c>
      <c r="G212" s="212" t="s">
        <v>2771</v>
      </c>
      <c r="H212" s="36" t="s">
        <v>585</v>
      </c>
      <c r="I212" s="6" t="s">
        <v>585</v>
      </c>
      <c r="J212" s="36" t="s">
        <v>585</v>
      </c>
      <c r="K212" s="214" t="n">
        <v>128</v>
      </c>
      <c r="L212" s="214" t="n">
        <v>192</v>
      </c>
      <c r="M212" s="36" t="s">
        <v>3321</v>
      </c>
      <c r="N212" s="6" t="s">
        <v>3317</v>
      </c>
      <c r="O212" s="6" t="s">
        <v>585</v>
      </c>
      <c r="P212" s="212" t="s">
        <v>2830</v>
      </c>
      <c r="Q212" s="41" t="n">
        <f aca="false">Arch!E11</f>
        <v>128</v>
      </c>
      <c r="R212" s="36" t="s">
        <v>585</v>
      </c>
      <c r="S212" s="35" t="str">
        <f aca="false">IF(ISNUMBER($AF212),INDEX(IDX_SrcStat,$AF212),"—")</f>
        <v>—</v>
      </c>
      <c r="T212" s="35" t="str">
        <f aca="false">IF(ISNUMBER($AF212),INDEX(IDX_SrcGrade,$AF212),"—")</f>
        <v>—</v>
      </c>
      <c r="U212" s="35" t="s">
        <v>2775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5" t="str">
        <f aca="false">IF(OR($H212="—",$H212=""),"—",MATCH($H212,IDX_SrcID,0))</f>
        <v>—</v>
      </c>
    </row>
    <row r="213" customFormat="false" ht="15" hidden="false" customHeight="true" outlineLevel="0" collapsed="false">
      <c r="A213" s="36" t="s">
        <v>3322</v>
      </c>
      <c r="B213" s="212" t="s">
        <v>2769</v>
      </c>
      <c r="C213" s="36" t="s">
        <v>3247</v>
      </c>
      <c r="D213" s="36" t="s">
        <v>2681</v>
      </c>
      <c r="E213" s="6" t="s">
        <v>248</v>
      </c>
      <c r="F213" s="36" t="s">
        <v>78</v>
      </c>
      <c r="G213" s="212" t="s">
        <v>2771</v>
      </c>
      <c r="H213" s="36" t="s">
        <v>585</v>
      </c>
      <c r="I213" s="6" t="s">
        <v>585</v>
      </c>
      <c r="J213" s="36" t="s">
        <v>585</v>
      </c>
      <c r="K213" s="214" t="n">
        <v>256</v>
      </c>
      <c r="L213" s="214" t="n">
        <v>1024</v>
      </c>
      <c r="M213" s="36" t="s">
        <v>3323</v>
      </c>
      <c r="N213" s="6" t="s">
        <v>3324</v>
      </c>
      <c r="O213" s="6" t="s">
        <v>585</v>
      </c>
      <c r="P213" s="212" t="s">
        <v>2830</v>
      </c>
      <c r="Q213" s="41" t="n">
        <f aca="false">Arch!E12</f>
        <v>512</v>
      </c>
      <c r="R213" s="36" t="s">
        <v>585</v>
      </c>
      <c r="S213" s="35" t="str">
        <f aca="false">IF(ISNUMBER($AF213),INDEX(IDX_SrcStat,$AF213),"—")</f>
        <v>—</v>
      </c>
      <c r="T213" s="35" t="str">
        <f aca="false">IF(ISNUMBER($AF213),INDEX(IDX_SrcGrade,$AF213),"—")</f>
        <v>—</v>
      </c>
      <c r="U213" s="35" t="s">
        <v>2775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5" t="str">
        <f aca="false">IF(OR($H213="—",$H213=""),"—",MATCH($H213,IDX_SrcID,0))</f>
        <v>—</v>
      </c>
    </row>
    <row r="214" customFormat="false" ht="15" hidden="false" customHeight="true" outlineLevel="0" collapsed="false">
      <c r="A214" s="36" t="s">
        <v>3325</v>
      </c>
      <c r="B214" s="212" t="s">
        <v>2769</v>
      </c>
      <c r="C214" s="36" t="s">
        <v>3247</v>
      </c>
      <c r="D214" s="36" t="s">
        <v>2683</v>
      </c>
      <c r="E214" s="19" t="s">
        <v>3269</v>
      </c>
      <c r="F214" s="36" t="s">
        <v>78</v>
      </c>
      <c r="G214" s="212" t="s">
        <v>2771</v>
      </c>
      <c r="H214" s="36" t="s">
        <v>585</v>
      </c>
      <c r="I214" s="6" t="s">
        <v>585</v>
      </c>
      <c r="J214" s="36" t="s">
        <v>585</v>
      </c>
      <c r="K214" s="214" t="n">
        <v>8</v>
      </c>
      <c r="L214" s="214" t="n">
        <v>32</v>
      </c>
      <c r="M214" s="36" t="s">
        <v>3326</v>
      </c>
      <c r="N214" s="6" t="s">
        <v>3324</v>
      </c>
      <c r="O214" s="6" t="s">
        <v>585</v>
      </c>
      <c r="P214" s="212" t="s">
        <v>2830</v>
      </c>
      <c r="Q214" s="41" t="n">
        <f aca="false">Arch!E13</f>
        <v>16</v>
      </c>
      <c r="R214" s="36" t="s">
        <v>585</v>
      </c>
      <c r="S214" s="35" t="str">
        <f aca="false">IF(ISNUMBER($AF214),INDEX(IDX_SrcStat,$AF214),"—")</f>
        <v>—</v>
      </c>
      <c r="T214" s="35" t="str">
        <f aca="false">IF(ISNUMBER($AF214),INDEX(IDX_SrcGrade,$AF214),"—")</f>
        <v>—</v>
      </c>
      <c r="U214" s="35" t="s">
        <v>2775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5" t="str">
        <f aca="false">IF(OR($H214="—",$H214=""),"—",MATCH($H214,IDX_SrcID,0))</f>
        <v>—</v>
      </c>
    </row>
    <row r="215" customFormat="false" ht="15" hidden="false" customHeight="true" outlineLevel="0" collapsed="false">
      <c r="A215" s="36" t="s">
        <v>3327</v>
      </c>
      <c r="B215" s="212" t="s">
        <v>2769</v>
      </c>
      <c r="C215" s="36" t="s">
        <v>3247</v>
      </c>
      <c r="D215" s="36" t="s">
        <v>3328</v>
      </c>
      <c r="E215" s="6" t="s">
        <v>251</v>
      </c>
      <c r="F215" s="36" t="s">
        <v>78</v>
      </c>
      <c r="G215" s="212" t="s">
        <v>2771</v>
      </c>
      <c r="H215" s="36" t="s">
        <v>585</v>
      </c>
      <c r="I215" s="6" t="s">
        <v>585</v>
      </c>
      <c r="J215" s="36" t="s">
        <v>585</v>
      </c>
      <c r="K215" s="214" t="n">
        <v>128000</v>
      </c>
      <c r="L215" s="214" t="n">
        <v>262144</v>
      </c>
      <c r="M215" s="36" t="s">
        <v>3329</v>
      </c>
      <c r="N215" s="6" t="s">
        <v>3317</v>
      </c>
      <c r="O215" s="6" t="s">
        <v>585</v>
      </c>
      <c r="P215" s="212" t="s">
        <v>2774</v>
      </c>
      <c r="Q215" s="41" t="n">
        <f aca="false">Arch!E15</f>
        <v>200000</v>
      </c>
      <c r="R215" s="36" t="s">
        <v>585</v>
      </c>
      <c r="S215" s="35" t="str">
        <f aca="false">IF(ISNUMBER($AF215),INDEX(IDX_SrcStat,$AF215),"—")</f>
        <v>—</v>
      </c>
      <c r="T215" s="35" t="str">
        <f aca="false">IF(ISNUMBER($AF215),INDEX(IDX_SrcGrade,$AF215),"—")</f>
        <v>—</v>
      </c>
      <c r="U215" s="35" t="s">
        <v>2775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5" t="str">
        <f aca="false">IF(OR($H215="—",$H215=""),"—",MATCH($H215,IDX_SrcID,0))</f>
        <v>—</v>
      </c>
    </row>
    <row r="216" customFormat="false" ht="15" hidden="false" customHeight="true" outlineLevel="0" collapsed="false">
      <c r="A216" s="36" t="s">
        <v>3330</v>
      </c>
      <c r="B216" s="212" t="s">
        <v>2769</v>
      </c>
      <c r="C216" s="36" t="s">
        <v>3247</v>
      </c>
      <c r="D216" s="36" t="s">
        <v>2810</v>
      </c>
      <c r="E216" s="6" t="s">
        <v>250</v>
      </c>
      <c r="F216" s="36" t="s">
        <v>78</v>
      </c>
      <c r="G216" s="212" t="s">
        <v>2771</v>
      </c>
      <c r="H216" s="36" t="s">
        <v>585</v>
      </c>
      <c r="I216" s="6" t="s">
        <v>585</v>
      </c>
      <c r="J216" s="36" t="s">
        <v>585</v>
      </c>
      <c r="K216" s="212"/>
      <c r="L216" s="212"/>
      <c r="M216" s="212" t="s">
        <v>2708</v>
      </c>
      <c r="N216" s="6" t="s">
        <v>3331</v>
      </c>
      <c r="O216" s="6" t="s">
        <v>585</v>
      </c>
      <c r="P216" s="212" t="s">
        <v>1113</v>
      </c>
      <c r="Q216" s="41" t="n">
        <f aca="false">Arch!E14</f>
        <v>1</v>
      </c>
      <c r="R216" s="36" t="s">
        <v>585</v>
      </c>
      <c r="S216" s="35" t="str">
        <f aca="false">IF(ISNUMBER($AF216),INDEX(IDX_SrcStat,$AF216),"—")</f>
        <v>—</v>
      </c>
      <c r="T216" s="35" t="str">
        <f aca="false">IF(ISNUMBER($AF216),INDEX(IDX_SrcGrade,$AF216),"—")</f>
        <v>—</v>
      </c>
      <c r="U216" s="35" t="s">
        <v>2775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5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6" t="s">
        <v>3332</v>
      </c>
      <c r="B217" s="212" t="s">
        <v>2769</v>
      </c>
      <c r="C217" s="36" t="s">
        <v>3247</v>
      </c>
      <c r="D217" s="36" t="s">
        <v>2816</v>
      </c>
      <c r="E217" s="19" t="s">
        <v>252</v>
      </c>
      <c r="F217" s="36" t="s">
        <v>78</v>
      </c>
      <c r="G217" s="212" t="s">
        <v>2771</v>
      </c>
      <c r="H217" s="36" t="s">
        <v>585</v>
      </c>
      <c r="I217" s="6" t="s">
        <v>585</v>
      </c>
      <c r="J217" s="36" t="s">
        <v>585</v>
      </c>
      <c r="K217" s="212"/>
      <c r="L217" s="212"/>
      <c r="M217" s="212" t="s">
        <v>2708</v>
      </c>
      <c r="N217" s="6" t="s">
        <v>3333</v>
      </c>
      <c r="O217" s="6" t="s">
        <v>585</v>
      </c>
      <c r="P217" s="212" t="s">
        <v>2830</v>
      </c>
      <c r="Q217" s="176" t="n">
        <f aca="false">Arch!E16</f>
        <v>1</v>
      </c>
      <c r="R217" s="36" t="s">
        <v>585</v>
      </c>
      <c r="S217" s="35" t="str">
        <f aca="false">IF(ISNUMBER($AF217),INDEX(IDX_SrcStat,$AF217),"—")</f>
        <v>—</v>
      </c>
      <c r="T217" s="35" t="str">
        <f aca="false">IF(ISNUMBER($AF217),INDEX(IDX_SrcGrade,$AF217),"—")</f>
        <v>—</v>
      </c>
      <c r="U217" s="35" t="s">
        <v>2775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5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6" t="s">
        <v>3334</v>
      </c>
      <c r="B218" s="212" t="s">
        <v>2769</v>
      </c>
      <c r="C218" s="36" t="s">
        <v>3247</v>
      </c>
      <c r="D218" s="36" t="s">
        <v>2822</v>
      </c>
      <c r="E218" s="19" t="s">
        <v>3305</v>
      </c>
      <c r="F218" s="36" t="s">
        <v>78</v>
      </c>
      <c r="G218" s="212" t="s">
        <v>2771</v>
      </c>
      <c r="H218" s="36" t="s">
        <v>585</v>
      </c>
      <c r="I218" s="6" t="s">
        <v>585</v>
      </c>
      <c r="J218" s="36" t="s">
        <v>585</v>
      </c>
      <c r="K218" s="212"/>
      <c r="L218" s="212"/>
      <c r="M218" s="212" t="s">
        <v>2708</v>
      </c>
      <c r="N218" s="6" t="s">
        <v>3335</v>
      </c>
      <c r="O218" s="6" t="s">
        <v>585</v>
      </c>
      <c r="P218" s="212" t="s">
        <v>2774</v>
      </c>
      <c r="Q218" s="41" t="n">
        <f aca="false">Arch!E17</f>
        <v>0</v>
      </c>
      <c r="R218" s="36" t="s">
        <v>585</v>
      </c>
      <c r="S218" s="35" t="str">
        <f aca="false">IF(ISNUMBER($AF218),INDEX(IDX_SrcStat,$AF218),"—")</f>
        <v>—</v>
      </c>
      <c r="T218" s="35" t="str">
        <f aca="false">IF(ISNUMBER($AF218),INDEX(IDX_SrcGrade,$AF218),"—")</f>
        <v>—</v>
      </c>
      <c r="U218" s="35" t="s">
        <v>2775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5" t="str">
        <f aca="false">IF(OR($H218="—",$H218=""),"—",MATCH($H218,IDX_SrcID,0))</f>
        <v>—</v>
      </c>
    </row>
    <row r="219" customFormat="false" ht="15" hidden="false" customHeight="true" outlineLevel="0" collapsed="false">
      <c r="A219" s="36" t="s">
        <v>3336</v>
      </c>
      <c r="B219" s="212" t="s">
        <v>2769</v>
      </c>
      <c r="C219" s="36" t="s">
        <v>3247</v>
      </c>
      <c r="D219" s="36" t="s">
        <v>2828</v>
      </c>
      <c r="E219" s="19" t="s">
        <v>258</v>
      </c>
      <c r="F219" s="36" t="s">
        <v>78</v>
      </c>
      <c r="G219" s="212" t="s">
        <v>2771</v>
      </c>
      <c r="H219" s="36" t="s">
        <v>585</v>
      </c>
      <c r="I219" s="6" t="s">
        <v>585</v>
      </c>
      <c r="J219" s="36" t="s">
        <v>585</v>
      </c>
      <c r="K219" s="212"/>
      <c r="L219" s="212"/>
      <c r="M219" s="212" t="s">
        <v>2708</v>
      </c>
      <c r="N219" s="6" t="s">
        <v>3337</v>
      </c>
      <c r="O219" s="6" t="s">
        <v>585</v>
      </c>
      <c r="P219" s="212" t="s">
        <v>1113</v>
      </c>
      <c r="Q219" s="41" t="n">
        <f aca="false">Arch!E18</f>
        <v>1</v>
      </c>
      <c r="R219" s="36" t="s">
        <v>585</v>
      </c>
      <c r="S219" s="35" t="str">
        <f aca="false">IF(ISNUMBER($AF219),INDEX(IDX_SrcStat,$AF219),"—")</f>
        <v>—</v>
      </c>
      <c r="T219" s="35" t="str">
        <f aca="false">IF(ISNUMBER($AF219),INDEX(IDX_SrcGrade,$AF219),"—")</f>
        <v>—</v>
      </c>
      <c r="U219" s="35" t="s">
        <v>2775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5" t="str">
        <f aca="false">IF(OR($H219="—",$H219=""),"—",MATCH($H219,IDX_SrcID,0))</f>
        <v>—</v>
      </c>
    </row>
    <row r="220" customFormat="false" ht="15" hidden="false" customHeight="true" outlineLevel="0" collapsed="false">
      <c r="A220" s="36" t="s">
        <v>3338</v>
      </c>
      <c r="B220" s="212" t="s">
        <v>2769</v>
      </c>
      <c r="C220" s="36" t="s">
        <v>3247</v>
      </c>
      <c r="D220" s="36" t="s">
        <v>2836</v>
      </c>
      <c r="E220" s="19" t="s">
        <v>260</v>
      </c>
      <c r="F220" s="36" t="s">
        <v>78</v>
      </c>
      <c r="G220" s="212" t="s">
        <v>2771</v>
      </c>
      <c r="H220" s="36" t="s">
        <v>585</v>
      </c>
      <c r="I220" s="6" t="s">
        <v>585</v>
      </c>
      <c r="J220" s="36" t="s">
        <v>585</v>
      </c>
      <c r="K220" s="212"/>
      <c r="L220" s="212"/>
      <c r="M220" s="212" t="s">
        <v>2708</v>
      </c>
      <c r="N220" s="6" t="s">
        <v>3339</v>
      </c>
      <c r="O220" s="6" t="s">
        <v>585</v>
      </c>
      <c r="P220" s="212" t="s">
        <v>1113</v>
      </c>
      <c r="Q220" s="41" t="n">
        <f aca="false">Arch!E19</f>
        <v>0</v>
      </c>
      <c r="R220" s="36" t="s">
        <v>585</v>
      </c>
      <c r="S220" s="35" t="str">
        <f aca="false">IF(ISNUMBER($AF220),INDEX(IDX_SrcStat,$AF220),"—")</f>
        <v>—</v>
      </c>
      <c r="T220" s="35" t="str">
        <f aca="false">IF(ISNUMBER($AF220),INDEX(IDX_SrcGrade,$AF220),"—")</f>
        <v>—</v>
      </c>
      <c r="U220" s="35" t="s">
        <v>2775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5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6" t="s">
        <v>3340</v>
      </c>
      <c r="B221" s="212" t="s">
        <v>2769</v>
      </c>
      <c r="C221" s="36" t="s">
        <v>3247</v>
      </c>
      <c r="D221" s="36" t="s">
        <v>2842</v>
      </c>
      <c r="E221" s="6" t="s">
        <v>261</v>
      </c>
      <c r="F221" s="36" t="s">
        <v>70</v>
      </c>
      <c r="G221" s="212" t="s">
        <v>2771</v>
      </c>
      <c r="H221" s="36" t="s">
        <v>585</v>
      </c>
      <c r="I221" s="6" t="s">
        <v>585</v>
      </c>
      <c r="J221" s="36" t="s">
        <v>3341</v>
      </c>
      <c r="K221" s="212"/>
      <c r="L221" s="212"/>
      <c r="M221" s="36" t="s">
        <v>585</v>
      </c>
      <c r="N221" s="6" t="s">
        <v>3342</v>
      </c>
      <c r="O221" s="6" t="s">
        <v>585</v>
      </c>
      <c r="P221" s="212" t="s">
        <v>2774</v>
      </c>
      <c r="Q221" s="182" t="n">
        <f aca="false">Arch!E20</f>
        <v>2</v>
      </c>
      <c r="R221" s="36" t="s">
        <v>585</v>
      </c>
      <c r="S221" s="35" t="str">
        <f aca="false">IF(ISNUMBER($AF221),INDEX(IDX_SrcStat,$AF221),"—")</f>
        <v>—</v>
      </c>
      <c r="T221" s="35" t="str">
        <f aca="false">IF(ISNUMBER($AF221),INDEX(IDX_SrcGrade,$AF221),"—")</f>
        <v>—</v>
      </c>
      <c r="U221" s="35" t="s">
        <v>2775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5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6" t="s">
        <v>3343</v>
      </c>
      <c r="B222" s="212" t="s">
        <v>2769</v>
      </c>
      <c r="C222" s="36" t="s">
        <v>3247</v>
      </c>
      <c r="D222" s="36" t="s">
        <v>3344</v>
      </c>
      <c r="E222" s="6" t="s">
        <v>263</v>
      </c>
      <c r="F222" s="36" t="s">
        <v>3057</v>
      </c>
      <c r="G222" s="212" t="s">
        <v>2771</v>
      </c>
      <c r="H222" s="36" t="s">
        <v>585</v>
      </c>
      <c r="I222" s="6" t="s">
        <v>585</v>
      </c>
      <c r="J222" s="36" t="s">
        <v>585</v>
      </c>
      <c r="K222" s="212"/>
      <c r="L222" s="212"/>
      <c r="M222" s="36" t="s">
        <v>585</v>
      </c>
      <c r="N222" s="217" t="s">
        <v>3345</v>
      </c>
      <c r="O222" s="6" t="s">
        <v>585</v>
      </c>
      <c r="P222" s="212" t="s">
        <v>2774</v>
      </c>
      <c r="Q222" s="41" t="n">
        <f aca="false">Arch!C21</f>
        <v>2795</v>
      </c>
      <c r="R222" s="36" t="s">
        <v>585</v>
      </c>
      <c r="S222" s="35" t="str">
        <f aca="false">IF(ISNUMBER($AF222),INDEX(IDX_SrcStat,$AF222),"—")</f>
        <v>—</v>
      </c>
      <c r="T222" s="35" t="str">
        <f aca="false">IF(ISNUMBER($AF222),INDEX(IDX_SrcGrade,$AF222),"—")</f>
        <v>—</v>
      </c>
      <c r="U222" s="35" t="s">
        <v>3004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5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6" t="s">
        <v>3346</v>
      </c>
      <c r="B223" s="212" t="s">
        <v>2769</v>
      </c>
      <c r="C223" s="36" t="s">
        <v>3247</v>
      </c>
      <c r="D223" s="36" t="s">
        <v>2852</v>
      </c>
      <c r="E223" s="6" t="s">
        <v>263</v>
      </c>
      <c r="F223" s="36" t="s">
        <v>3057</v>
      </c>
      <c r="G223" s="212" t="s">
        <v>2771</v>
      </c>
      <c r="H223" s="36" t="s">
        <v>585</v>
      </c>
      <c r="I223" s="6" t="s">
        <v>585</v>
      </c>
      <c r="J223" s="36" t="s">
        <v>585</v>
      </c>
      <c r="K223" s="212"/>
      <c r="L223" s="212"/>
      <c r="M223" s="36" t="s">
        <v>585</v>
      </c>
      <c r="N223" s="217" t="s">
        <v>3345</v>
      </c>
      <c r="O223" s="6" t="s">
        <v>585</v>
      </c>
      <c r="P223" s="212" t="s">
        <v>2774</v>
      </c>
      <c r="Q223" s="41" t="n">
        <f aca="false">Arch!D21</f>
        <v>3965</v>
      </c>
      <c r="R223" s="36" t="s">
        <v>585</v>
      </c>
      <c r="S223" s="35" t="str">
        <f aca="false">IF(ISNUMBER($AF223),INDEX(IDX_SrcStat,$AF223),"—")</f>
        <v>—</v>
      </c>
      <c r="T223" s="35" t="str">
        <f aca="false">IF(ISNUMBER($AF223),INDEX(IDX_SrcGrade,$AF223),"—")</f>
        <v>—</v>
      </c>
      <c r="U223" s="35" t="s">
        <v>3004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5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6" t="s">
        <v>3347</v>
      </c>
      <c r="B224" s="212" t="s">
        <v>2769</v>
      </c>
      <c r="C224" s="36" t="s">
        <v>3247</v>
      </c>
      <c r="D224" s="36" t="s">
        <v>2849</v>
      </c>
      <c r="E224" s="6" t="s">
        <v>263</v>
      </c>
      <c r="F224" s="36" t="s">
        <v>3057</v>
      </c>
      <c r="G224" s="212" t="s">
        <v>2771</v>
      </c>
      <c r="H224" s="36" t="s">
        <v>585</v>
      </c>
      <c r="I224" s="6" t="s">
        <v>585</v>
      </c>
      <c r="J224" s="36" t="s">
        <v>585</v>
      </c>
      <c r="K224" s="212"/>
      <c r="L224" s="212"/>
      <c r="M224" s="36" t="s">
        <v>585</v>
      </c>
      <c r="N224" s="217" t="s">
        <v>3345</v>
      </c>
      <c r="O224" s="6" t="s">
        <v>585</v>
      </c>
      <c r="P224" s="212" t="s">
        <v>2774</v>
      </c>
      <c r="Q224" s="41" t="n">
        <f aca="false">Arch!E21</f>
        <v>14976</v>
      </c>
      <c r="R224" s="36" t="s">
        <v>585</v>
      </c>
      <c r="S224" s="35" t="str">
        <f aca="false">IF(ISNUMBER($AF224),INDEX(IDX_SrcStat,$AF224),"—")</f>
        <v>—</v>
      </c>
      <c r="T224" s="35" t="str">
        <f aca="false">IF(ISNUMBER($AF224),INDEX(IDX_SrcGrade,$AF224),"—")</f>
        <v>—</v>
      </c>
      <c r="U224" s="35" t="s">
        <v>3004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5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6" t="s">
        <v>3348</v>
      </c>
      <c r="B225" s="212" t="s">
        <v>2769</v>
      </c>
      <c r="C225" s="36" t="s">
        <v>3247</v>
      </c>
      <c r="D225" s="36" t="s">
        <v>3349</v>
      </c>
      <c r="E225" s="6" t="s">
        <v>266</v>
      </c>
      <c r="F225" s="36" t="s">
        <v>3057</v>
      </c>
      <c r="G225" s="212" t="s">
        <v>2771</v>
      </c>
      <c r="H225" s="36" t="s">
        <v>585</v>
      </c>
      <c r="I225" s="6" t="s">
        <v>585</v>
      </c>
      <c r="J225" s="36" t="s">
        <v>585</v>
      </c>
      <c r="K225" s="212"/>
      <c r="L225" s="212"/>
      <c r="M225" s="36" t="s">
        <v>585</v>
      </c>
      <c r="N225" s="217" t="s">
        <v>3345</v>
      </c>
      <c r="O225" s="6" t="s">
        <v>585</v>
      </c>
      <c r="P225" s="212" t="s">
        <v>2774</v>
      </c>
      <c r="Q225" s="41" t="n">
        <f aca="false">Arch!C22</f>
        <v>2795</v>
      </c>
      <c r="R225" s="36" t="s">
        <v>585</v>
      </c>
      <c r="S225" s="35" t="str">
        <f aca="false">IF(ISNUMBER($AF225),INDEX(IDX_SrcStat,$AF225),"—")</f>
        <v>—</v>
      </c>
      <c r="T225" s="35" t="str">
        <f aca="false">IF(ISNUMBER($AF225),INDEX(IDX_SrcGrade,$AF225),"—")</f>
        <v>—</v>
      </c>
      <c r="U225" s="35" t="s">
        <v>3004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5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6" t="s">
        <v>3350</v>
      </c>
      <c r="B226" s="212" t="s">
        <v>2769</v>
      </c>
      <c r="C226" s="36" t="s">
        <v>3247</v>
      </c>
      <c r="D226" s="36" t="s">
        <v>3351</v>
      </c>
      <c r="E226" s="6" t="s">
        <v>266</v>
      </c>
      <c r="F226" s="36" t="s">
        <v>3057</v>
      </c>
      <c r="G226" s="212" t="s">
        <v>2771</v>
      </c>
      <c r="H226" s="36" t="s">
        <v>585</v>
      </c>
      <c r="I226" s="6" t="s">
        <v>585</v>
      </c>
      <c r="J226" s="36" t="s">
        <v>585</v>
      </c>
      <c r="K226" s="212"/>
      <c r="L226" s="212"/>
      <c r="M226" s="36" t="s">
        <v>585</v>
      </c>
      <c r="N226" s="217" t="s">
        <v>3345</v>
      </c>
      <c r="O226" s="6" t="s">
        <v>585</v>
      </c>
      <c r="P226" s="212" t="s">
        <v>2774</v>
      </c>
      <c r="Q226" s="41" t="n">
        <f aca="false">Arch!D22</f>
        <v>3965</v>
      </c>
      <c r="R226" s="36" t="s">
        <v>585</v>
      </c>
      <c r="S226" s="35" t="str">
        <f aca="false">IF(ISNUMBER($AF226),INDEX(IDX_SrcStat,$AF226),"—")</f>
        <v>—</v>
      </c>
      <c r="T226" s="35" t="str">
        <f aca="false">IF(ISNUMBER($AF226),INDEX(IDX_SrcGrade,$AF226),"—")</f>
        <v>—</v>
      </c>
      <c r="U226" s="35" t="s">
        <v>3004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5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6" t="s">
        <v>3352</v>
      </c>
      <c r="B227" s="212" t="s">
        <v>2769</v>
      </c>
      <c r="C227" s="36" t="s">
        <v>3247</v>
      </c>
      <c r="D227" s="36" t="s">
        <v>3353</v>
      </c>
      <c r="E227" s="6" t="s">
        <v>266</v>
      </c>
      <c r="F227" s="36" t="s">
        <v>3057</v>
      </c>
      <c r="G227" s="212" t="s">
        <v>2771</v>
      </c>
      <c r="H227" s="36" t="s">
        <v>585</v>
      </c>
      <c r="I227" s="6" t="s">
        <v>585</v>
      </c>
      <c r="J227" s="36" t="s">
        <v>585</v>
      </c>
      <c r="K227" s="212"/>
      <c r="L227" s="212"/>
      <c r="M227" s="36" t="s">
        <v>585</v>
      </c>
      <c r="N227" s="217" t="s">
        <v>3345</v>
      </c>
      <c r="O227" s="6" t="s">
        <v>585</v>
      </c>
      <c r="P227" s="212" t="s">
        <v>2774</v>
      </c>
      <c r="Q227" s="41" t="n">
        <f aca="false">Arch!E22</f>
        <v>57600</v>
      </c>
      <c r="R227" s="36" t="s">
        <v>585</v>
      </c>
      <c r="S227" s="35" t="str">
        <f aca="false">IF(ISNUMBER($AF227),INDEX(IDX_SrcStat,$AF227),"—")</f>
        <v>—</v>
      </c>
      <c r="T227" s="35" t="str">
        <f aca="false">IF(ISNUMBER($AF227),INDEX(IDX_SrcGrade,$AF227),"—")</f>
        <v>—</v>
      </c>
      <c r="U227" s="35" t="s">
        <v>3004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5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6" t="s">
        <v>3354</v>
      </c>
      <c r="B228" s="212" t="s">
        <v>2769</v>
      </c>
      <c r="C228" s="36" t="s">
        <v>3247</v>
      </c>
      <c r="D228" s="36" t="s">
        <v>3038</v>
      </c>
      <c r="E228" s="6" t="s">
        <v>268</v>
      </c>
      <c r="F228" s="36" t="s">
        <v>3057</v>
      </c>
      <c r="G228" s="212" t="s">
        <v>2771</v>
      </c>
      <c r="H228" s="36" t="s">
        <v>585</v>
      </c>
      <c r="I228" s="6" t="s">
        <v>585</v>
      </c>
      <c r="J228" s="36" t="s">
        <v>585</v>
      </c>
      <c r="K228" s="212"/>
      <c r="L228" s="212"/>
      <c r="M228" s="36" t="s">
        <v>585</v>
      </c>
      <c r="N228" s="217" t="s">
        <v>3345</v>
      </c>
      <c r="O228" s="6" t="s">
        <v>585</v>
      </c>
      <c r="P228" s="212" t="s">
        <v>2774</v>
      </c>
      <c r="Q228" s="41" t="n">
        <f aca="false">Arch!C23</f>
        <v>2795</v>
      </c>
      <c r="R228" s="36" t="s">
        <v>585</v>
      </c>
      <c r="S228" s="35" t="str">
        <f aca="false">IF(ISNUMBER($AF228),INDEX(IDX_SrcStat,$AF228),"—")</f>
        <v>—</v>
      </c>
      <c r="T228" s="35" t="str">
        <f aca="false">IF(ISNUMBER($AF228),INDEX(IDX_SrcGrade,$AF228),"—")</f>
        <v>—</v>
      </c>
      <c r="U228" s="35" t="s">
        <v>3004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5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6" t="s">
        <v>3355</v>
      </c>
      <c r="B229" s="212" t="s">
        <v>2769</v>
      </c>
      <c r="C229" s="36" t="s">
        <v>3247</v>
      </c>
      <c r="D229" s="36" t="s">
        <v>2901</v>
      </c>
      <c r="E229" s="6" t="s">
        <v>268</v>
      </c>
      <c r="F229" s="36" t="s">
        <v>3057</v>
      </c>
      <c r="G229" s="212" t="s">
        <v>2771</v>
      </c>
      <c r="H229" s="36" t="s">
        <v>585</v>
      </c>
      <c r="I229" s="6" t="s">
        <v>585</v>
      </c>
      <c r="J229" s="36" t="s">
        <v>585</v>
      </c>
      <c r="K229" s="212"/>
      <c r="L229" s="212"/>
      <c r="M229" s="36" t="s">
        <v>585</v>
      </c>
      <c r="N229" s="217" t="s">
        <v>3345</v>
      </c>
      <c r="O229" s="6" t="s">
        <v>585</v>
      </c>
      <c r="P229" s="212" t="s">
        <v>2774</v>
      </c>
      <c r="Q229" s="41" t="n">
        <f aca="false">Arch!D23</f>
        <v>3965</v>
      </c>
      <c r="R229" s="36" t="s">
        <v>585</v>
      </c>
      <c r="S229" s="35" t="str">
        <f aca="false">IF(ISNUMBER($AF229),INDEX(IDX_SrcStat,$AF229),"—")</f>
        <v>—</v>
      </c>
      <c r="T229" s="35" t="str">
        <f aca="false">IF(ISNUMBER($AF229),INDEX(IDX_SrcGrade,$AF229),"—")</f>
        <v>—</v>
      </c>
      <c r="U229" s="35" t="s">
        <v>3004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5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6" t="s">
        <v>3356</v>
      </c>
      <c r="B230" s="212" t="s">
        <v>2769</v>
      </c>
      <c r="C230" s="36" t="s">
        <v>3247</v>
      </c>
      <c r="D230" s="36" t="s">
        <v>2906</v>
      </c>
      <c r="E230" s="6" t="s">
        <v>268</v>
      </c>
      <c r="F230" s="36" t="s">
        <v>3057</v>
      </c>
      <c r="G230" s="212" t="s">
        <v>2771</v>
      </c>
      <c r="H230" s="36" t="s">
        <v>585</v>
      </c>
      <c r="I230" s="6" t="s">
        <v>585</v>
      </c>
      <c r="J230" s="36" t="s">
        <v>585</v>
      </c>
      <c r="K230" s="212"/>
      <c r="L230" s="212"/>
      <c r="M230" s="36" t="s">
        <v>585</v>
      </c>
      <c r="N230" s="217" t="s">
        <v>3345</v>
      </c>
      <c r="O230" s="6" t="s">
        <v>585</v>
      </c>
      <c r="P230" s="212" t="s">
        <v>2774</v>
      </c>
      <c r="Q230" s="41" t="n">
        <f aca="false">Arch!E23</f>
        <v>204800</v>
      </c>
      <c r="R230" s="36" t="s">
        <v>585</v>
      </c>
      <c r="S230" s="35" t="str">
        <f aca="false">IF(ISNUMBER($AF230),INDEX(IDX_SrcStat,$AF230),"—")</f>
        <v>—</v>
      </c>
      <c r="T230" s="35" t="str">
        <f aca="false">IF(ISNUMBER($AF230),INDEX(IDX_SrcGrade,$AF230),"—")</f>
        <v>—</v>
      </c>
      <c r="U230" s="35" t="s">
        <v>3004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5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6" t="s">
        <v>3357</v>
      </c>
      <c r="B231" s="212" t="s">
        <v>2769</v>
      </c>
      <c r="C231" s="36" t="s">
        <v>3358</v>
      </c>
      <c r="D231" s="36" t="s">
        <v>2928</v>
      </c>
      <c r="E231" s="6" t="s">
        <v>306</v>
      </c>
      <c r="F231" s="36" t="s">
        <v>82</v>
      </c>
      <c r="G231" s="212" t="s">
        <v>2771</v>
      </c>
      <c r="H231" s="36" t="s">
        <v>3359</v>
      </c>
      <c r="I231" s="19" t="s">
        <v>3360</v>
      </c>
      <c r="J231" s="36" t="s">
        <v>585</v>
      </c>
      <c r="K231" s="214" t="n">
        <v>1</v>
      </c>
      <c r="L231" s="214" t="n">
        <v>5</v>
      </c>
      <c r="M231" s="36" t="s">
        <v>3361</v>
      </c>
      <c r="N231" s="213" t="str">
        <f aca="false">Serving!$F$6&amp;" ｜補充旗標（IF 全欄分段，非分段依據）：中"</f>
        <v>DeepSeek MTP；區間 1–5 ｜補充旗標（IF 全欄分段，非分段依據）：中</v>
      </c>
      <c r="O231" s="6" t="s">
        <v>585</v>
      </c>
      <c r="P231" s="212" t="s">
        <v>1113</v>
      </c>
      <c r="Q231" s="182" t="n">
        <f aca="false">Serving!C6</f>
        <v>3</v>
      </c>
      <c r="R231" s="184" t="n">
        <f aca="false">SRC_PERF_035</f>
        <v>3</v>
      </c>
      <c r="S231" s="35" t="str">
        <f aca="false">IF(ISNUMBER($AF231),INDEX(IDX_SrcStat,$AF231),"—")</f>
        <v>Active</v>
      </c>
      <c r="T231" s="35" t="n">
        <f aca="false">IF(ISNUMBER($AF231),INDEX(IDX_SrcGrade,$AF231),"—")</f>
        <v>1</v>
      </c>
      <c r="U231" s="35" t="s">
        <v>2775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5" t="n">
        <f aca="false">IF(OR($H231="—",$H231=""),"—",MATCH($H231,IDX_SrcID,0))</f>
        <v>317</v>
      </c>
    </row>
    <row r="232" customFormat="false" ht="15" hidden="false" customHeight="true" outlineLevel="0" collapsed="false">
      <c r="A232" s="36" t="s">
        <v>3362</v>
      </c>
      <c r="B232" s="212" t="s">
        <v>2769</v>
      </c>
      <c r="C232" s="36" t="s">
        <v>3358</v>
      </c>
      <c r="D232" s="36" t="s">
        <v>3252</v>
      </c>
      <c r="E232" s="19" t="s">
        <v>3363</v>
      </c>
      <c r="F232" s="212" t="s">
        <v>296</v>
      </c>
      <c r="G232" s="212" t="s">
        <v>2771</v>
      </c>
      <c r="H232" s="36" t="s">
        <v>3364</v>
      </c>
      <c r="I232" s="19" t="s">
        <v>2806</v>
      </c>
      <c r="J232" s="36" t="s">
        <v>585</v>
      </c>
      <c r="K232" s="212"/>
      <c r="L232" s="212"/>
      <c r="M232" s="36" t="s">
        <v>585</v>
      </c>
      <c r="N232" s="19" t="s">
        <v>2992</v>
      </c>
      <c r="O232" s="6" t="s">
        <v>585</v>
      </c>
      <c r="P232" s="212" t="s">
        <v>2830</v>
      </c>
      <c r="Q232" s="176" t="n">
        <f aca="false">Serving!C7</f>
        <v>0.7</v>
      </c>
      <c r="R232" s="184" t="n">
        <f aca="false">SRC_PERF_005</f>
        <v>0.7</v>
      </c>
      <c r="S232" s="35" t="str">
        <f aca="false">IF(ISNUMBER($AF232),INDEX(IDX_SrcStat,$AF232),"—")</f>
        <v>Active</v>
      </c>
      <c r="T232" s="35" t="n">
        <f aca="false">IF(ISNUMBER($AF232),INDEX(IDX_SrcGrade,$AF232),"—")</f>
        <v>1</v>
      </c>
      <c r="U232" s="35" t="s">
        <v>2808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5" t="n">
        <f aca="false">IF(OR($H232="—",$H232=""),"—",MATCH($H232,IDX_SrcID,0))</f>
        <v>287</v>
      </c>
    </row>
    <row r="233" customFormat="false" ht="29.25" hidden="false" customHeight="true" outlineLevel="0" collapsed="false">
      <c r="A233" s="36" t="s">
        <v>3365</v>
      </c>
      <c r="B233" s="212" t="s">
        <v>2769</v>
      </c>
      <c r="C233" s="36" t="s">
        <v>3358</v>
      </c>
      <c r="D233" s="36" t="s">
        <v>2955</v>
      </c>
      <c r="E233" s="6" t="s">
        <v>313</v>
      </c>
      <c r="F233" s="36" t="s">
        <v>78</v>
      </c>
      <c r="G233" s="212" t="s">
        <v>2771</v>
      </c>
      <c r="H233" s="36" t="s">
        <v>585</v>
      </c>
      <c r="I233" s="6" t="s">
        <v>585</v>
      </c>
      <c r="J233" s="36" t="s">
        <v>585</v>
      </c>
      <c r="K233" s="214" t="n">
        <v>0.05</v>
      </c>
      <c r="L233" s="214" t="n">
        <v>0.2</v>
      </c>
      <c r="M233" s="36" t="s">
        <v>3366</v>
      </c>
      <c r="N233" s="213" t="str">
        <f aca="false">Serving!$F$9&amp;" ｜補充旗標（IF 全欄分段，非分段依據）：中"</f>
        <v>區間 5–20% ｜補充旗標（IF 全欄分段，非分段依據）：中</v>
      </c>
      <c r="O233" s="6" t="s">
        <v>585</v>
      </c>
      <c r="P233" s="212" t="s">
        <v>1113</v>
      </c>
      <c r="Q233" s="176" t="n">
        <f aca="false">Serving!C9</f>
        <v>0.1</v>
      </c>
      <c r="R233" s="36" t="s">
        <v>585</v>
      </c>
      <c r="S233" s="35" t="str">
        <f aca="false">IF(ISNUMBER($AF233),INDEX(IDX_SrcStat,$AF233),"—")</f>
        <v>—</v>
      </c>
      <c r="T233" s="35" t="str">
        <f aca="false">IF(ISNUMBER($AF233),INDEX(IDX_SrcGrade,$AF233),"—")</f>
        <v>—</v>
      </c>
      <c r="U233" s="35" t="s">
        <v>2775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5" t="str">
        <f aca="false">IF(OR($H233="—",$H233=""),"—",MATCH($H233,IDX_SrcID,0))</f>
        <v>—</v>
      </c>
    </row>
    <row r="234" customFormat="false" ht="15" hidden="false" customHeight="true" outlineLevel="0" collapsed="false">
      <c r="A234" s="36" t="s">
        <v>3367</v>
      </c>
      <c r="B234" s="212" t="s">
        <v>2769</v>
      </c>
      <c r="C234" s="36" t="s">
        <v>3358</v>
      </c>
      <c r="D234" s="36" t="s">
        <v>2975</v>
      </c>
      <c r="E234" s="19" t="s">
        <v>3368</v>
      </c>
      <c r="F234" s="36" t="s">
        <v>78</v>
      </c>
      <c r="G234" s="212" t="s">
        <v>2771</v>
      </c>
      <c r="H234" s="36" t="s">
        <v>585</v>
      </c>
      <c r="I234" s="6" t="s">
        <v>585</v>
      </c>
      <c r="J234" s="36" t="s">
        <v>585</v>
      </c>
      <c r="K234" s="214" t="n">
        <v>0.1</v>
      </c>
      <c r="L234" s="214" t="n">
        <v>0.3</v>
      </c>
      <c r="M234" s="36" t="s">
        <v>3369</v>
      </c>
      <c r="N234" s="213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585</v>
      </c>
      <c r="P234" s="212" t="s">
        <v>2830</v>
      </c>
      <c r="Q234" s="176" t="n">
        <f aca="false">Serving!C10</f>
        <v>0.2</v>
      </c>
      <c r="R234" s="36" t="s">
        <v>585</v>
      </c>
      <c r="S234" s="35" t="str">
        <f aca="false">IF(ISNUMBER($AF234),INDEX(IDX_SrcStat,$AF234),"—")</f>
        <v>—</v>
      </c>
      <c r="T234" s="35" t="str">
        <f aca="false">IF(ISNUMBER($AF234),INDEX(IDX_SrcGrade,$AF234),"—")</f>
        <v>—</v>
      </c>
      <c r="U234" s="35" t="s">
        <v>2775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5" t="str">
        <f aca="false">IF(OR($H234="—",$H234=""),"—",MATCH($H234,IDX_SrcID,0))</f>
        <v>—</v>
      </c>
    </row>
    <row r="235" customFormat="false" ht="15" hidden="false" customHeight="true" outlineLevel="0" collapsed="false">
      <c r="A235" s="36" t="s">
        <v>3370</v>
      </c>
      <c r="B235" s="212" t="s">
        <v>2769</v>
      </c>
      <c r="C235" s="36" t="s">
        <v>3358</v>
      </c>
      <c r="D235" s="36" t="s">
        <v>2986</v>
      </c>
      <c r="E235" s="19" t="s">
        <v>3371</v>
      </c>
      <c r="F235" s="36" t="s">
        <v>78</v>
      </c>
      <c r="G235" s="212" t="s">
        <v>2771</v>
      </c>
      <c r="H235" s="36" t="s">
        <v>585</v>
      </c>
      <c r="I235" s="6" t="s">
        <v>585</v>
      </c>
      <c r="J235" s="36" t="s">
        <v>585</v>
      </c>
      <c r="K235" s="214" t="n">
        <v>0.3</v>
      </c>
      <c r="L235" s="214" t="n">
        <v>0.5</v>
      </c>
      <c r="M235" s="36" t="s">
        <v>3372</v>
      </c>
      <c r="N235" s="213" t="str">
        <f aca="false">Serving!$F$11&amp;" ｜補充旗標（IF 全欄分段，非分段依據）：高"</f>
        <v>超過時自動加寬 EP ｜補充旗標（IF 全欄分段，非分段依據）：高</v>
      </c>
      <c r="O235" s="6" t="s">
        <v>585</v>
      </c>
      <c r="P235" s="212" t="s">
        <v>1113</v>
      </c>
      <c r="Q235" s="176" t="n">
        <f aca="false">Serving!C11</f>
        <v>0.4</v>
      </c>
      <c r="R235" s="36" t="s">
        <v>585</v>
      </c>
      <c r="S235" s="35" t="str">
        <f aca="false">IF(ISNUMBER($AF235),INDEX(IDX_SrcStat,$AF235),"—")</f>
        <v>—</v>
      </c>
      <c r="T235" s="35" t="str">
        <f aca="false">IF(ISNUMBER($AF235),INDEX(IDX_SrcGrade,$AF235),"—")</f>
        <v>—</v>
      </c>
      <c r="U235" s="35" t="s">
        <v>2775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5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6" t="s">
        <v>3373</v>
      </c>
      <c r="B236" s="212" t="s">
        <v>2769</v>
      </c>
      <c r="C236" s="36" t="s">
        <v>3358</v>
      </c>
      <c r="D236" s="36" t="s">
        <v>3006</v>
      </c>
      <c r="E236" s="6" t="s">
        <v>319</v>
      </c>
      <c r="F236" s="36" t="s">
        <v>78</v>
      </c>
      <c r="G236" s="212" t="s">
        <v>2771</v>
      </c>
      <c r="H236" s="36" t="s">
        <v>585</v>
      </c>
      <c r="I236" s="6" t="s">
        <v>585</v>
      </c>
      <c r="J236" s="36" t="s">
        <v>585</v>
      </c>
      <c r="K236" s="214" t="n">
        <v>2</v>
      </c>
      <c r="L236" s="214" t="n">
        <v>4</v>
      </c>
      <c r="M236" s="36" t="s">
        <v>3374</v>
      </c>
      <c r="N236" s="213" t="str">
        <f aca="false">Serving!$F$12</f>
        <v>FP8 dispatch 1 B＋BF16 combine 2 B</v>
      </c>
      <c r="O236" s="6" t="s">
        <v>3160</v>
      </c>
      <c r="P236" s="212" t="s">
        <v>2774</v>
      </c>
      <c r="Q236" s="181" t="n">
        <f aca="false">Serving!C12</f>
        <v>3</v>
      </c>
      <c r="R236" s="36" t="s">
        <v>585</v>
      </c>
      <c r="S236" s="35" t="str">
        <f aca="false">IF(ISNUMBER($AF236),INDEX(IDX_SrcStat,$AF236),"—")</f>
        <v>—</v>
      </c>
      <c r="T236" s="35" t="str">
        <f aca="false">IF(ISNUMBER($AF236),INDEX(IDX_SrcGrade,$AF236),"—")</f>
        <v>—</v>
      </c>
      <c r="U236" s="35" t="s">
        <v>2775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5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6" t="s">
        <v>3375</v>
      </c>
      <c r="B237" s="212" t="s">
        <v>2769</v>
      </c>
      <c r="C237" s="36" t="s">
        <v>3358</v>
      </c>
      <c r="D237" s="36" t="s">
        <v>3024</v>
      </c>
      <c r="E237" s="6" t="s">
        <v>321</v>
      </c>
      <c r="F237" s="36" t="s">
        <v>78</v>
      </c>
      <c r="G237" s="212" t="s">
        <v>2771</v>
      </c>
      <c r="H237" s="36" t="s">
        <v>585</v>
      </c>
      <c r="I237" s="6" t="s">
        <v>585</v>
      </c>
      <c r="J237" s="36" t="s">
        <v>585</v>
      </c>
      <c r="K237" s="214" t="n">
        <v>0.5</v>
      </c>
      <c r="L237" s="214" t="n">
        <v>0.85</v>
      </c>
      <c r="M237" s="36" t="s">
        <v>3376</v>
      </c>
      <c r="N237" s="213" t="str">
        <f aca="false">Serving!$F$13</f>
        <v>區間 0.5–0.85</v>
      </c>
      <c r="O237" s="6" t="s">
        <v>3160</v>
      </c>
      <c r="P237" s="212" t="s">
        <v>2774</v>
      </c>
      <c r="Q237" s="176" t="n">
        <f aca="false">Serving!C13</f>
        <v>0.7</v>
      </c>
      <c r="R237" s="36" t="s">
        <v>585</v>
      </c>
      <c r="S237" s="35" t="str">
        <f aca="false">IF(ISNUMBER($AF237),INDEX(IDX_SrcStat,$AF237),"—")</f>
        <v>—</v>
      </c>
      <c r="T237" s="35" t="str">
        <f aca="false">IF(ISNUMBER($AF237),INDEX(IDX_SrcGrade,$AF237),"—")</f>
        <v>—</v>
      </c>
      <c r="U237" s="35" t="s">
        <v>2775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5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6" t="s">
        <v>3377</v>
      </c>
      <c r="B238" s="212" t="s">
        <v>2769</v>
      </c>
      <c r="C238" s="36" t="s">
        <v>3358</v>
      </c>
      <c r="D238" s="36" t="s">
        <v>3273</v>
      </c>
      <c r="E238" s="6" t="s">
        <v>323</v>
      </c>
      <c r="F238" s="36" t="s">
        <v>78</v>
      </c>
      <c r="G238" s="212" t="s">
        <v>2771</v>
      </c>
      <c r="H238" s="36" t="s">
        <v>585</v>
      </c>
      <c r="I238" s="6" t="s">
        <v>585</v>
      </c>
      <c r="J238" s="36" t="s">
        <v>585</v>
      </c>
      <c r="K238" s="214" t="n">
        <v>0.5</v>
      </c>
      <c r="L238" s="214" t="n">
        <v>0.85</v>
      </c>
      <c r="M238" s="36" t="s">
        <v>3376</v>
      </c>
      <c r="N238" s="213" t="str">
        <f aca="false">Serving!$F$14</f>
        <v>區間 0.5–0.85</v>
      </c>
      <c r="O238" s="6" t="s">
        <v>3160</v>
      </c>
      <c r="P238" s="212" t="s">
        <v>2774</v>
      </c>
      <c r="Q238" s="176" t="n">
        <f aca="false">Serving!C14</f>
        <v>0.7</v>
      </c>
      <c r="R238" s="36" t="s">
        <v>585</v>
      </c>
      <c r="S238" s="35" t="str">
        <f aca="false">IF(ISNUMBER($AF238),INDEX(IDX_SrcStat,$AF238),"—")</f>
        <v>—</v>
      </c>
      <c r="T238" s="35" t="str">
        <f aca="false">IF(ISNUMBER($AF238),INDEX(IDX_SrcGrade,$AF238),"—")</f>
        <v>—</v>
      </c>
      <c r="U238" s="35" t="s">
        <v>2775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5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6" t="s">
        <v>3378</v>
      </c>
      <c r="B239" s="212" t="s">
        <v>2769</v>
      </c>
      <c r="C239" s="36" t="s">
        <v>3358</v>
      </c>
      <c r="D239" s="36" t="s">
        <v>3277</v>
      </c>
      <c r="E239" s="19" t="s">
        <v>3379</v>
      </c>
      <c r="F239" s="36" t="s">
        <v>78</v>
      </c>
      <c r="G239" s="212" t="s">
        <v>2771</v>
      </c>
      <c r="H239" s="36" t="s">
        <v>585</v>
      </c>
      <c r="I239" s="6" t="s">
        <v>585</v>
      </c>
      <c r="J239" s="36" t="s">
        <v>585</v>
      </c>
      <c r="K239" s="214" t="n">
        <v>0.05</v>
      </c>
      <c r="L239" s="214" t="n">
        <v>0.4</v>
      </c>
      <c r="M239" s="36" t="s">
        <v>3380</v>
      </c>
      <c r="N239" s="213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585</v>
      </c>
      <c r="P239" s="212" t="s">
        <v>1113</v>
      </c>
      <c r="Q239" s="174" t="n">
        <f aca="false">Serving!C15</f>
        <v>0.1</v>
      </c>
      <c r="R239" s="36" t="s">
        <v>585</v>
      </c>
      <c r="S239" s="35" t="str">
        <f aca="false">IF(ISNUMBER($AF239),INDEX(IDX_SrcStat,$AF239),"—")</f>
        <v>—</v>
      </c>
      <c r="T239" s="35" t="str">
        <f aca="false">IF(ISNUMBER($AF239),INDEX(IDX_SrcGrade,$AF239),"—")</f>
        <v>—</v>
      </c>
      <c r="U239" s="35" t="s">
        <v>2775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5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6" t="s">
        <v>3381</v>
      </c>
      <c r="B240" s="212" t="s">
        <v>2769</v>
      </c>
      <c r="C240" s="36" t="s">
        <v>3358</v>
      </c>
      <c r="D240" s="36" t="s">
        <v>3304</v>
      </c>
      <c r="E240" s="19" t="s">
        <v>3382</v>
      </c>
      <c r="F240" s="36" t="s">
        <v>78</v>
      </c>
      <c r="G240" s="212" t="s">
        <v>2771</v>
      </c>
      <c r="H240" s="36" t="s">
        <v>585</v>
      </c>
      <c r="I240" s="6" t="s">
        <v>585</v>
      </c>
      <c r="J240" s="36" t="s">
        <v>3383</v>
      </c>
      <c r="K240" s="214" t="n">
        <v>0.4</v>
      </c>
      <c r="L240" s="214" t="n">
        <v>0.8</v>
      </c>
      <c r="M240" s="36" t="s">
        <v>3384</v>
      </c>
      <c r="N240" s="213" t="str">
        <f aca="false">Serving!$F$17</f>
        <v>J6：Andy 尚未給值，暫沿用 OpenAI v0.5 的 60%（區間 40–80%）。Unit_Cost 同時輸出 100% 版</v>
      </c>
      <c r="O240" s="6" t="s">
        <v>585</v>
      </c>
      <c r="P240" s="212" t="s">
        <v>1114</v>
      </c>
      <c r="Q240" s="176" t="n">
        <f aca="false">Serving!C17</f>
        <v>0.6</v>
      </c>
      <c r="R240" s="36" t="s">
        <v>585</v>
      </c>
      <c r="S240" s="35" t="str">
        <f aca="false">IF(ISNUMBER($AF240),INDEX(IDX_SrcStat,$AF240),"—")</f>
        <v>—</v>
      </c>
      <c r="T240" s="35" t="str">
        <f aca="false">IF(ISNUMBER($AF240),INDEX(IDX_SrcGrade,$AF240),"—")</f>
        <v>—</v>
      </c>
      <c r="U240" s="35" t="s">
        <v>2775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5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6" t="s">
        <v>3385</v>
      </c>
      <c r="B241" s="212" t="s">
        <v>2769</v>
      </c>
      <c r="C241" s="36" t="s">
        <v>3358</v>
      </c>
      <c r="D241" s="36" t="s">
        <v>3286</v>
      </c>
      <c r="E241" s="19" t="s">
        <v>331</v>
      </c>
      <c r="F241" s="36" t="s">
        <v>78</v>
      </c>
      <c r="G241" s="212" t="s">
        <v>2771</v>
      </c>
      <c r="H241" s="36" t="s">
        <v>585</v>
      </c>
      <c r="I241" s="6" t="s">
        <v>585</v>
      </c>
      <c r="J241" s="36" t="s">
        <v>3383</v>
      </c>
      <c r="K241" s="214" t="n">
        <v>0.7</v>
      </c>
      <c r="L241" s="214" t="n">
        <v>1</v>
      </c>
      <c r="M241" s="36" t="s">
        <v>3386</v>
      </c>
      <c r="N241" s="213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585</v>
      </c>
      <c r="P241" s="212" t="s">
        <v>1114</v>
      </c>
      <c r="Q241" s="174" t="n">
        <f aca="false">Serving!C18</f>
        <v>1</v>
      </c>
      <c r="R241" s="36" t="s">
        <v>585</v>
      </c>
      <c r="S241" s="35" t="str">
        <f aca="false">IF(ISNUMBER($AF241),INDEX(IDX_SrcStat,$AF241),"—")</f>
        <v>—</v>
      </c>
      <c r="T241" s="35" t="str">
        <f aca="false">IF(ISNUMBER($AF241),INDEX(IDX_SrcGrade,$AF241),"—")</f>
        <v>—</v>
      </c>
      <c r="U241" s="35" t="s">
        <v>2775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5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6" t="s">
        <v>3387</v>
      </c>
      <c r="B242" s="212" t="s">
        <v>2769</v>
      </c>
      <c r="C242" s="36" t="s">
        <v>3358</v>
      </c>
      <c r="D242" s="36" t="s">
        <v>3282</v>
      </c>
      <c r="E242" s="19" t="s">
        <v>3388</v>
      </c>
      <c r="F242" s="36" t="s">
        <v>70</v>
      </c>
      <c r="G242" s="212" t="s">
        <v>2771</v>
      </c>
      <c r="H242" s="36" t="s">
        <v>585</v>
      </c>
      <c r="I242" s="6" t="s">
        <v>585</v>
      </c>
      <c r="J242" s="36" t="s">
        <v>3389</v>
      </c>
      <c r="K242" s="212"/>
      <c r="L242" s="212"/>
      <c r="M242" s="36" t="s">
        <v>585</v>
      </c>
      <c r="N242" s="6" t="s">
        <v>3390</v>
      </c>
      <c r="O242" s="6" t="s">
        <v>585</v>
      </c>
      <c r="P242" s="212" t="s">
        <v>2774</v>
      </c>
      <c r="Q242" s="182" t="n">
        <f aca="false">Serving!C16</f>
        <v>1</v>
      </c>
      <c r="R242" s="36" t="s">
        <v>585</v>
      </c>
      <c r="S242" s="35" t="str">
        <f aca="false">IF(ISNUMBER($AF242),INDEX(IDX_SrcStat,$AF242),"—")</f>
        <v>—</v>
      </c>
      <c r="T242" s="35" t="str">
        <f aca="false">IF(ISNUMBER($AF242),INDEX(IDX_SrcGrade,$AF242),"—")</f>
        <v>—</v>
      </c>
      <c r="U242" s="35" t="s">
        <v>2775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5" t="str">
        <f aca="false">IF(OR($H242="—",$H242=""),"—",MATCH($H242,IDX_SrcID,0))</f>
        <v>—</v>
      </c>
    </row>
    <row r="243" customFormat="false" ht="15" hidden="false" customHeight="true" outlineLevel="0" collapsed="false">
      <c r="A243" s="36" t="s">
        <v>3391</v>
      </c>
      <c r="B243" s="212" t="s">
        <v>2769</v>
      </c>
      <c r="C243" s="36" t="s">
        <v>3358</v>
      </c>
      <c r="D243" s="36" t="s">
        <v>3344</v>
      </c>
      <c r="E243" s="6" t="s">
        <v>335</v>
      </c>
      <c r="F243" s="212" t="s">
        <v>296</v>
      </c>
      <c r="G243" s="212" t="s">
        <v>2771</v>
      </c>
      <c r="H243" s="36" t="s">
        <v>3392</v>
      </c>
      <c r="I243" s="19" t="s">
        <v>2806</v>
      </c>
      <c r="J243" s="36" t="s">
        <v>3393</v>
      </c>
      <c r="K243" s="212"/>
      <c r="L243" s="212"/>
      <c r="M243" s="36" t="s">
        <v>585</v>
      </c>
      <c r="N243" s="19" t="s">
        <v>2904</v>
      </c>
      <c r="O243" s="6" t="s">
        <v>585</v>
      </c>
      <c r="P243" s="212" t="s">
        <v>1114</v>
      </c>
      <c r="Q243" s="41" t="n">
        <f aca="false">Serving!C21</f>
        <v>120</v>
      </c>
      <c r="R243" s="184" t="n">
        <f aca="false">SRC_PERF_018</f>
        <v>120</v>
      </c>
      <c r="S243" s="35" t="str">
        <f aca="false">IF(ISNUMBER($AF243),INDEX(IDX_SrcStat,$AF243),"—")</f>
        <v>Active</v>
      </c>
      <c r="T243" s="35" t="n">
        <f aca="false">IF(ISNUMBER($AF243),INDEX(IDX_SrcGrade,$AF243),"—")</f>
        <v>1</v>
      </c>
      <c r="U243" s="35" t="s">
        <v>2808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5" t="n">
        <f aca="false">IF(OR($H243="—",$H243=""),"—",MATCH($H243,IDX_SrcID,0))</f>
        <v>300</v>
      </c>
    </row>
    <row r="244" customFormat="false" ht="29.25" hidden="false" customHeight="true" outlineLevel="0" collapsed="false">
      <c r="A244" s="36" t="s">
        <v>3394</v>
      </c>
      <c r="B244" s="212" t="s">
        <v>2769</v>
      </c>
      <c r="C244" s="36" t="s">
        <v>3358</v>
      </c>
      <c r="D244" s="36" t="s">
        <v>2852</v>
      </c>
      <c r="E244" s="6" t="s">
        <v>335</v>
      </c>
      <c r="F244" s="36" t="s">
        <v>70</v>
      </c>
      <c r="G244" s="212" t="s">
        <v>2771</v>
      </c>
      <c r="H244" s="36" t="s">
        <v>3395</v>
      </c>
      <c r="I244" s="19" t="s">
        <v>3396</v>
      </c>
      <c r="J244" s="36" t="s">
        <v>3393</v>
      </c>
      <c r="K244" s="212"/>
      <c r="L244" s="212"/>
      <c r="M244" s="36" t="s">
        <v>585</v>
      </c>
      <c r="N244" s="6" t="s">
        <v>3397</v>
      </c>
      <c r="O244" s="6" t="s">
        <v>585</v>
      </c>
      <c r="P244" s="212" t="s">
        <v>1114</v>
      </c>
      <c r="Q244" s="41" t="n">
        <f aca="false">Serving!D21</f>
        <v>65</v>
      </c>
      <c r="R244" s="184" t="n">
        <f aca="false">SRC_PERF_019</f>
        <v>68</v>
      </c>
      <c r="S244" s="35" t="str">
        <f aca="false">IF(ISNUMBER($AF244),INDEX(IDX_SrcStat,$AF244),"—")</f>
        <v>Active</v>
      </c>
      <c r="T244" s="35" t="n">
        <f aca="false">IF(ISNUMBER($AF244),INDEX(IDX_SrcGrade,$AF244),"—")</f>
        <v>1</v>
      </c>
      <c r="U244" s="35" t="s">
        <v>2775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5" t="n">
        <f aca="false">IF(OR($H244="—",$H244=""),"—",MATCH($H244,IDX_SrcID,0))</f>
        <v>301</v>
      </c>
    </row>
    <row r="245" customFormat="false" ht="15" hidden="false" customHeight="true" outlineLevel="0" collapsed="false">
      <c r="A245" s="36" t="s">
        <v>3398</v>
      </c>
      <c r="B245" s="212" t="s">
        <v>2769</v>
      </c>
      <c r="C245" s="36" t="s">
        <v>3358</v>
      </c>
      <c r="D245" s="36" t="s">
        <v>2849</v>
      </c>
      <c r="E245" s="6" t="s">
        <v>335</v>
      </c>
      <c r="F245" s="36" t="s">
        <v>70</v>
      </c>
      <c r="G245" s="212" t="s">
        <v>2771</v>
      </c>
      <c r="H245" s="36" t="s">
        <v>3399</v>
      </c>
      <c r="I245" s="19" t="s">
        <v>3400</v>
      </c>
      <c r="J245" s="36" t="s">
        <v>3393</v>
      </c>
      <c r="K245" s="212"/>
      <c r="L245" s="212"/>
      <c r="M245" s="36" t="s">
        <v>585</v>
      </c>
      <c r="N245" s="6" t="s">
        <v>3401</v>
      </c>
      <c r="O245" s="6" t="s">
        <v>585</v>
      </c>
      <c r="P245" s="212" t="s">
        <v>1114</v>
      </c>
      <c r="Q245" s="41" t="n">
        <f aca="false">Serving!E21</f>
        <v>55</v>
      </c>
      <c r="R245" s="184" t="n">
        <f aca="false">SRC_PERF_020_Lo</f>
        <v>52</v>
      </c>
      <c r="S245" s="35" t="str">
        <f aca="false">IF(ISNUMBER($AF245),INDEX(IDX_SrcStat,$AF245),"—")</f>
        <v>Active</v>
      </c>
      <c r="T245" s="35" t="n">
        <f aca="false">IF(ISNUMBER($AF245),INDEX(IDX_SrcGrade,$AF245),"—")</f>
        <v>1</v>
      </c>
      <c r="U245" s="35" t="s">
        <v>2775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5" t="n">
        <f aca="false">IF(OR($H245="—",$H245=""),"—",MATCH($H245,IDX_SrcID,0))</f>
        <v>302</v>
      </c>
    </row>
    <row r="246" customFormat="false" ht="15" hidden="false" customHeight="true" outlineLevel="0" collapsed="false">
      <c r="A246" s="36" t="s">
        <v>3402</v>
      </c>
      <c r="B246" s="212" t="s">
        <v>2769</v>
      </c>
      <c r="C246" s="36" t="s">
        <v>3358</v>
      </c>
      <c r="D246" s="36" t="s">
        <v>3349</v>
      </c>
      <c r="E246" s="6" t="s">
        <v>338</v>
      </c>
      <c r="F246" s="36" t="s">
        <v>78</v>
      </c>
      <c r="G246" s="212" t="s">
        <v>2771</v>
      </c>
      <c r="H246" s="36" t="s">
        <v>585</v>
      </c>
      <c r="I246" s="6" t="s">
        <v>585</v>
      </c>
      <c r="J246" s="36" t="s">
        <v>585</v>
      </c>
      <c r="K246" s="184" t="n">
        <f aca="false">Serving!C22*0.5</f>
        <v>1</v>
      </c>
      <c r="L246" s="184" t="n">
        <f aca="false">Serving!C22*2</f>
        <v>4</v>
      </c>
      <c r="M246" s="36" t="s">
        <v>3403</v>
      </c>
      <c r="N246" s="6" t="s">
        <v>3404</v>
      </c>
      <c r="O246" s="6" t="s">
        <v>585</v>
      </c>
      <c r="P246" s="212" t="s">
        <v>2774</v>
      </c>
      <c r="Q246" s="181" t="n">
        <f aca="false">Serving!C22</f>
        <v>2</v>
      </c>
      <c r="R246" s="36" t="s">
        <v>585</v>
      </c>
      <c r="S246" s="35" t="str">
        <f aca="false">IF(ISNUMBER($AF246),INDEX(IDX_SrcStat,$AF246),"—")</f>
        <v>—</v>
      </c>
      <c r="T246" s="35" t="str">
        <f aca="false">IF(ISNUMBER($AF246),INDEX(IDX_SrcGrade,$AF246),"—")</f>
        <v>—</v>
      </c>
      <c r="U246" s="35" t="s">
        <v>2775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5" t="str">
        <f aca="false">IF(OR($H246="—",$H246=""),"—",MATCH($H246,IDX_SrcID,0))</f>
        <v>—</v>
      </c>
    </row>
    <row r="247" customFormat="false" ht="15" hidden="false" customHeight="true" outlineLevel="0" collapsed="false">
      <c r="A247" s="36" t="s">
        <v>3405</v>
      </c>
      <c r="B247" s="212" t="s">
        <v>2769</v>
      </c>
      <c r="C247" s="36" t="s">
        <v>3358</v>
      </c>
      <c r="D247" s="36" t="s">
        <v>3351</v>
      </c>
      <c r="E247" s="6" t="s">
        <v>338</v>
      </c>
      <c r="F247" s="36" t="s">
        <v>78</v>
      </c>
      <c r="G247" s="212" t="s">
        <v>2771</v>
      </c>
      <c r="H247" s="36" t="s">
        <v>585</v>
      </c>
      <c r="I247" s="6" t="s">
        <v>585</v>
      </c>
      <c r="J247" s="36" t="s">
        <v>585</v>
      </c>
      <c r="K247" s="184" t="n">
        <f aca="false">Serving!D22*0.5</f>
        <v>1.5</v>
      </c>
      <c r="L247" s="184" t="n">
        <f aca="false">Serving!D22*2</f>
        <v>6</v>
      </c>
      <c r="M247" s="36" t="s">
        <v>3403</v>
      </c>
      <c r="N247" s="6" t="s">
        <v>3404</v>
      </c>
      <c r="O247" s="6" t="s">
        <v>585</v>
      </c>
      <c r="P247" s="212" t="s">
        <v>2774</v>
      </c>
      <c r="Q247" s="181" t="n">
        <f aca="false">Serving!D22</f>
        <v>3</v>
      </c>
      <c r="R247" s="36" t="s">
        <v>585</v>
      </c>
      <c r="S247" s="35" t="str">
        <f aca="false">IF(ISNUMBER($AF247),INDEX(IDX_SrcStat,$AF247),"—")</f>
        <v>—</v>
      </c>
      <c r="T247" s="35" t="str">
        <f aca="false">IF(ISNUMBER($AF247),INDEX(IDX_SrcGrade,$AF247),"—")</f>
        <v>—</v>
      </c>
      <c r="U247" s="35" t="s">
        <v>2775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5" t="str">
        <f aca="false">IF(OR($H247="—",$H247=""),"—",MATCH($H247,IDX_SrcID,0))</f>
        <v>—</v>
      </c>
    </row>
    <row r="248" customFormat="false" ht="15" hidden="false" customHeight="true" outlineLevel="0" collapsed="false">
      <c r="A248" s="36" t="s">
        <v>3406</v>
      </c>
      <c r="B248" s="212" t="s">
        <v>2769</v>
      </c>
      <c r="C248" s="36" t="s">
        <v>3358</v>
      </c>
      <c r="D248" s="36" t="s">
        <v>3353</v>
      </c>
      <c r="E248" s="6" t="s">
        <v>338</v>
      </c>
      <c r="F248" s="36" t="s">
        <v>78</v>
      </c>
      <c r="G248" s="212" t="s">
        <v>2771</v>
      </c>
      <c r="H248" s="36" t="s">
        <v>585</v>
      </c>
      <c r="I248" s="6" t="s">
        <v>585</v>
      </c>
      <c r="J248" s="36" t="s">
        <v>585</v>
      </c>
      <c r="K248" s="184" t="n">
        <f aca="false">Serving!E22*0.5</f>
        <v>2.5</v>
      </c>
      <c r="L248" s="184" t="n">
        <f aca="false">Serving!E22*2</f>
        <v>10</v>
      </c>
      <c r="M248" s="36" t="s">
        <v>3403</v>
      </c>
      <c r="N248" s="6" t="s">
        <v>3404</v>
      </c>
      <c r="O248" s="6" t="s">
        <v>585</v>
      </c>
      <c r="P248" s="212" t="s">
        <v>2774</v>
      </c>
      <c r="Q248" s="181" t="n">
        <f aca="false">Serving!E22</f>
        <v>5</v>
      </c>
      <c r="R248" s="36" t="s">
        <v>585</v>
      </c>
      <c r="S248" s="35" t="str">
        <f aca="false">IF(ISNUMBER($AF248),INDEX(IDX_SrcStat,$AF248),"—")</f>
        <v>—</v>
      </c>
      <c r="T248" s="35" t="str">
        <f aca="false">IF(ISNUMBER($AF248),INDEX(IDX_SrcGrade,$AF248),"—")</f>
        <v>—</v>
      </c>
      <c r="U248" s="35" t="s">
        <v>2775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5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6" t="s">
        <v>3407</v>
      </c>
      <c r="B249" s="212" t="s">
        <v>2769</v>
      </c>
      <c r="C249" s="36" t="s">
        <v>3358</v>
      </c>
      <c r="D249" s="36" t="s">
        <v>3038</v>
      </c>
      <c r="E249" s="19" t="s">
        <v>3408</v>
      </c>
      <c r="F249" s="36" t="s">
        <v>78</v>
      </c>
      <c r="G249" s="212" t="s">
        <v>2771</v>
      </c>
      <c r="H249" s="36" t="s">
        <v>585</v>
      </c>
      <c r="I249" s="6" t="s">
        <v>585</v>
      </c>
      <c r="J249" s="36" t="s">
        <v>585</v>
      </c>
      <c r="K249" s="184" t="n">
        <f aca="false">Serving!C23*0.5</f>
        <v>4096</v>
      </c>
      <c r="L249" s="184" t="n">
        <f aca="false">Serving!C23*2</f>
        <v>16384</v>
      </c>
      <c r="M249" s="36" t="s">
        <v>3403</v>
      </c>
      <c r="N249" s="19" t="s">
        <v>3409</v>
      </c>
      <c r="O249" s="6" t="s">
        <v>585</v>
      </c>
      <c r="P249" s="212" t="s">
        <v>1114</v>
      </c>
      <c r="Q249" s="41" t="n">
        <f aca="false">Serving!C23</f>
        <v>8192</v>
      </c>
      <c r="R249" s="36" t="s">
        <v>585</v>
      </c>
      <c r="S249" s="35" t="str">
        <f aca="false">IF(ISNUMBER($AF249),INDEX(IDX_SrcStat,$AF249),"—")</f>
        <v>—</v>
      </c>
      <c r="T249" s="35" t="str">
        <f aca="false">IF(ISNUMBER($AF249),INDEX(IDX_SrcGrade,$AF249),"—")</f>
        <v>—</v>
      </c>
      <c r="U249" s="35" t="s">
        <v>2775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5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6" t="s">
        <v>3410</v>
      </c>
      <c r="B250" s="212" t="s">
        <v>2769</v>
      </c>
      <c r="C250" s="36" t="s">
        <v>3358</v>
      </c>
      <c r="D250" s="36" t="s">
        <v>2901</v>
      </c>
      <c r="E250" s="19" t="s">
        <v>3408</v>
      </c>
      <c r="F250" s="36" t="s">
        <v>78</v>
      </c>
      <c r="G250" s="212" t="s">
        <v>2771</v>
      </c>
      <c r="H250" s="36" t="s">
        <v>585</v>
      </c>
      <c r="I250" s="6" t="s">
        <v>585</v>
      </c>
      <c r="J250" s="36" t="s">
        <v>585</v>
      </c>
      <c r="K250" s="184" t="n">
        <f aca="false">Serving!D23*0.5</f>
        <v>8192</v>
      </c>
      <c r="L250" s="184" t="n">
        <v>68000</v>
      </c>
      <c r="M250" s="36" t="s">
        <v>3403</v>
      </c>
      <c r="N250" s="19" t="s">
        <v>3411</v>
      </c>
      <c r="O250" s="6" t="s">
        <v>585</v>
      </c>
      <c r="P250" s="212" t="s">
        <v>1114</v>
      </c>
      <c r="Q250" s="41" t="n">
        <f aca="false">Serving!D23</f>
        <v>16384</v>
      </c>
      <c r="R250" s="36" t="s">
        <v>585</v>
      </c>
      <c r="S250" s="35" t="str">
        <f aca="false">IF(ISNUMBER($AF250),INDEX(IDX_SrcStat,$AF250),"—")</f>
        <v>—</v>
      </c>
      <c r="T250" s="35" t="str">
        <f aca="false">IF(ISNUMBER($AF250),INDEX(IDX_SrcGrade,$AF250),"—")</f>
        <v>—</v>
      </c>
      <c r="U250" s="35" t="s">
        <v>2775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5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6" t="s">
        <v>3412</v>
      </c>
      <c r="B251" s="212" t="s">
        <v>2769</v>
      </c>
      <c r="C251" s="36" t="s">
        <v>3358</v>
      </c>
      <c r="D251" s="36" t="s">
        <v>2906</v>
      </c>
      <c r="E251" s="19" t="s">
        <v>3408</v>
      </c>
      <c r="F251" s="36" t="s">
        <v>78</v>
      </c>
      <c r="G251" s="212" t="s">
        <v>2771</v>
      </c>
      <c r="H251" s="36" t="s">
        <v>585</v>
      </c>
      <c r="I251" s="6" t="s">
        <v>585</v>
      </c>
      <c r="J251" s="36" t="s">
        <v>585</v>
      </c>
      <c r="K251" s="184" t="n">
        <f aca="false">Serving!E23*0.5</f>
        <v>16384</v>
      </c>
      <c r="L251" s="184" t="n">
        <v>68000</v>
      </c>
      <c r="M251" s="36" t="s">
        <v>3403</v>
      </c>
      <c r="N251" s="19" t="s">
        <v>3411</v>
      </c>
      <c r="O251" s="6" t="s">
        <v>585</v>
      </c>
      <c r="P251" s="212" t="s">
        <v>1114</v>
      </c>
      <c r="Q251" s="41" t="n">
        <f aca="false">Serving!E23</f>
        <v>32768</v>
      </c>
      <c r="R251" s="36" t="s">
        <v>585</v>
      </c>
      <c r="S251" s="35" t="str">
        <f aca="false">IF(ISNUMBER($AF251),INDEX(IDX_SrcStat,$AF251),"—")</f>
        <v>—</v>
      </c>
      <c r="T251" s="35" t="str">
        <f aca="false">IF(ISNUMBER($AF251),INDEX(IDX_SrcGrade,$AF251),"—")</f>
        <v>—</v>
      </c>
      <c r="U251" s="35" t="s">
        <v>2775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5" t="str">
        <f aca="false">IF(OR($H251="—",$H251=""),"—",MATCH($H251,IDX_SrcID,0))</f>
        <v>—</v>
      </c>
    </row>
    <row r="252" customFormat="false" ht="15" hidden="false" customHeight="true" outlineLevel="0" collapsed="false">
      <c r="A252" s="36" t="s">
        <v>3413</v>
      </c>
      <c r="B252" s="212" t="s">
        <v>2769</v>
      </c>
      <c r="C252" s="36" t="s">
        <v>3358</v>
      </c>
      <c r="D252" s="36" t="s">
        <v>3055</v>
      </c>
      <c r="E252" s="19" t="s">
        <v>3414</v>
      </c>
      <c r="F252" s="36" t="s">
        <v>78</v>
      </c>
      <c r="G252" s="212" t="s">
        <v>2771</v>
      </c>
      <c r="H252" s="36" t="s">
        <v>585</v>
      </c>
      <c r="I252" s="6" t="s">
        <v>585</v>
      </c>
      <c r="J252" s="36" t="s">
        <v>585</v>
      </c>
      <c r="K252" s="214" t="n">
        <v>400</v>
      </c>
      <c r="L252" s="184" t="n">
        <f aca="false">Serving!C24*2</f>
        <v>2048</v>
      </c>
      <c r="M252" s="36" t="s">
        <v>3415</v>
      </c>
      <c r="N252" s="19" t="s">
        <v>3416</v>
      </c>
      <c r="O252" s="6" t="s">
        <v>585</v>
      </c>
      <c r="P252" s="212" t="s">
        <v>1114</v>
      </c>
      <c r="Q252" s="41" t="n">
        <f aca="false">Serving!C24</f>
        <v>1024</v>
      </c>
      <c r="R252" s="36" t="s">
        <v>585</v>
      </c>
      <c r="S252" s="35" t="str">
        <f aca="false">IF(ISNUMBER($AF252),INDEX(IDX_SrcStat,$AF252),"—")</f>
        <v>—</v>
      </c>
      <c r="T252" s="35" t="str">
        <f aca="false">IF(ISNUMBER($AF252),INDEX(IDX_SrcGrade,$AF252),"—")</f>
        <v>—</v>
      </c>
      <c r="U252" s="35" t="s">
        <v>2775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5" t="str">
        <f aca="false">IF(OR($H252="—",$H252=""),"—",MATCH($H252,IDX_SrcID,0))</f>
        <v>—</v>
      </c>
    </row>
    <row r="253" customFormat="false" ht="15" hidden="false" customHeight="true" outlineLevel="0" collapsed="false">
      <c r="A253" s="36" t="s">
        <v>3417</v>
      </c>
      <c r="B253" s="212" t="s">
        <v>2769</v>
      </c>
      <c r="C253" s="36" t="s">
        <v>3358</v>
      </c>
      <c r="D253" s="36" t="s">
        <v>3060</v>
      </c>
      <c r="E253" s="19" t="s">
        <v>3414</v>
      </c>
      <c r="F253" s="36" t="s">
        <v>78</v>
      </c>
      <c r="G253" s="212" t="s">
        <v>2771</v>
      </c>
      <c r="H253" s="36" t="s">
        <v>585</v>
      </c>
      <c r="I253" s="6" t="s">
        <v>585</v>
      </c>
      <c r="J253" s="36" t="s">
        <v>585</v>
      </c>
      <c r="K253" s="184" t="n">
        <f aca="false">Serving!D24*0.5</f>
        <v>1024</v>
      </c>
      <c r="L253" s="184" t="n">
        <f aca="false">Serving!D24*2</f>
        <v>4096</v>
      </c>
      <c r="M253" s="36" t="s">
        <v>3403</v>
      </c>
      <c r="N253" s="19" t="s">
        <v>3416</v>
      </c>
      <c r="O253" s="6" t="s">
        <v>585</v>
      </c>
      <c r="P253" s="212" t="s">
        <v>1114</v>
      </c>
      <c r="Q253" s="41" t="n">
        <f aca="false">Serving!D24</f>
        <v>2048</v>
      </c>
      <c r="R253" s="36" t="s">
        <v>585</v>
      </c>
      <c r="S253" s="35" t="str">
        <f aca="false">IF(ISNUMBER($AF253),INDEX(IDX_SrcStat,$AF253),"—")</f>
        <v>—</v>
      </c>
      <c r="T253" s="35" t="str">
        <f aca="false">IF(ISNUMBER($AF253),INDEX(IDX_SrcGrade,$AF253),"—")</f>
        <v>—</v>
      </c>
      <c r="U253" s="35" t="s">
        <v>2775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5" t="str">
        <f aca="false">IF(OR($H253="—",$H253=""),"—",MATCH($H253,IDX_SrcID,0))</f>
        <v>—</v>
      </c>
    </row>
    <row r="254" customFormat="false" ht="15" hidden="false" customHeight="true" outlineLevel="0" collapsed="false">
      <c r="A254" s="36" t="s">
        <v>3418</v>
      </c>
      <c r="B254" s="212" t="s">
        <v>2769</v>
      </c>
      <c r="C254" s="36" t="s">
        <v>3358</v>
      </c>
      <c r="D254" s="36" t="s">
        <v>2911</v>
      </c>
      <c r="E254" s="19" t="s">
        <v>3414</v>
      </c>
      <c r="F254" s="36" t="s">
        <v>78</v>
      </c>
      <c r="G254" s="212" t="s">
        <v>2771</v>
      </c>
      <c r="H254" s="36" t="s">
        <v>585</v>
      </c>
      <c r="I254" s="6" t="s">
        <v>585</v>
      </c>
      <c r="J254" s="36" t="s">
        <v>585</v>
      </c>
      <c r="K254" s="184" t="n">
        <f aca="false">Serving!E24*0.5</f>
        <v>2048</v>
      </c>
      <c r="L254" s="184" t="n">
        <f aca="false">Serving!E24*2</f>
        <v>8192</v>
      </c>
      <c r="M254" s="36" t="s">
        <v>3403</v>
      </c>
      <c r="N254" s="19" t="s">
        <v>3416</v>
      </c>
      <c r="O254" s="6" t="s">
        <v>585</v>
      </c>
      <c r="P254" s="212" t="s">
        <v>1114</v>
      </c>
      <c r="Q254" s="41" t="n">
        <f aca="false">Serving!E24</f>
        <v>4096</v>
      </c>
      <c r="R254" s="36" t="s">
        <v>585</v>
      </c>
      <c r="S254" s="35" t="str">
        <f aca="false">IF(ISNUMBER($AF254),INDEX(IDX_SrcStat,$AF254),"—")</f>
        <v>—</v>
      </c>
      <c r="T254" s="35" t="str">
        <f aca="false">IF(ISNUMBER($AF254),INDEX(IDX_SrcGrade,$AF254),"—")</f>
        <v>—</v>
      </c>
      <c r="U254" s="35" t="s">
        <v>2775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5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6" t="s">
        <v>3419</v>
      </c>
      <c r="B255" s="212" t="s">
        <v>2769</v>
      </c>
      <c r="C255" s="36" t="s">
        <v>3420</v>
      </c>
      <c r="D255" s="36" t="s">
        <v>3421</v>
      </c>
      <c r="E255" s="19" t="s">
        <v>3422</v>
      </c>
      <c r="F255" s="36" t="s">
        <v>78</v>
      </c>
      <c r="G255" s="212" t="s">
        <v>2771</v>
      </c>
      <c r="H255" s="36" t="s">
        <v>585</v>
      </c>
      <c r="I255" s="6" t="s">
        <v>585</v>
      </c>
      <c r="J255" s="36" t="s">
        <v>585</v>
      </c>
      <c r="K255" s="184" t="n">
        <f aca="false">MAX(1,Workload!C5*0.5)</f>
        <v>1</v>
      </c>
      <c r="L255" s="184" t="n">
        <f aca="false">Workload!C5*2</f>
        <v>2</v>
      </c>
      <c r="M255" s="36" t="s">
        <v>3423</v>
      </c>
      <c r="N255" s="19" t="s">
        <v>3424</v>
      </c>
      <c r="O255" s="6" t="s">
        <v>585</v>
      </c>
      <c r="P255" s="212" t="s">
        <v>1114</v>
      </c>
      <c r="Q255" s="41" t="n">
        <f aca="false">Workload!C5</f>
        <v>1</v>
      </c>
      <c r="R255" s="36" t="s">
        <v>585</v>
      </c>
      <c r="S255" s="35" t="str">
        <f aca="false">IF(ISNUMBER($AF255),INDEX(IDX_SrcStat,$AF255),"—")</f>
        <v>—</v>
      </c>
      <c r="T255" s="35" t="str">
        <f aca="false">IF(ISNUMBER($AF255),INDEX(IDX_SrcGrade,$AF255),"—")</f>
        <v>—</v>
      </c>
      <c r="U255" s="35" t="s">
        <v>2775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5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6" t="s">
        <v>3425</v>
      </c>
      <c r="B256" s="212" t="s">
        <v>2769</v>
      </c>
      <c r="C256" s="36" t="s">
        <v>3420</v>
      </c>
      <c r="D256" s="36" t="s">
        <v>3426</v>
      </c>
      <c r="E256" s="19" t="s">
        <v>3422</v>
      </c>
      <c r="F256" s="36" t="s">
        <v>78</v>
      </c>
      <c r="G256" s="212" t="s">
        <v>2771</v>
      </c>
      <c r="H256" s="36" t="s">
        <v>585</v>
      </c>
      <c r="I256" s="6" t="s">
        <v>585</v>
      </c>
      <c r="J256" s="36" t="s">
        <v>585</v>
      </c>
      <c r="K256" s="184" t="n">
        <f aca="false">MAX(1,Workload!D5*0.5)</f>
        <v>1</v>
      </c>
      <c r="L256" s="184" t="n">
        <f aca="false">Workload!D5*2</f>
        <v>2</v>
      </c>
      <c r="M256" s="36" t="s">
        <v>3423</v>
      </c>
      <c r="N256" s="19" t="s">
        <v>3424</v>
      </c>
      <c r="O256" s="6" t="s">
        <v>585</v>
      </c>
      <c r="P256" s="212" t="s">
        <v>1114</v>
      </c>
      <c r="Q256" s="41" t="n">
        <f aca="false">Workload!D5</f>
        <v>1</v>
      </c>
      <c r="R256" s="36" t="s">
        <v>585</v>
      </c>
      <c r="S256" s="35" t="str">
        <f aca="false">IF(ISNUMBER($AF256),INDEX(IDX_SrcStat,$AF256),"—")</f>
        <v>—</v>
      </c>
      <c r="T256" s="35" t="str">
        <f aca="false">IF(ISNUMBER($AF256),INDEX(IDX_SrcGrade,$AF256),"—")</f>
        <v>—</v>
      </c>
      <c r="U256" s="35" t="s">
        <v>2775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5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6" t="s">
        <v>3427</v>
      </c>
      <c r="B257" s="212" t="s">
        <v>2769</v>
      </c>
      <c r="C257" s="36" t="s">
        <v>3420</v>
      </c>
      <c r="D257" s="36" t="s">
        <v>2661</v>
      </c>
      <c r="E257" s="19" t="s">
        <v>3422</v>
      </c>
      <c r="F257" s="36" t="s">
        <v>78</v>
      </c>
      <c r="G257" s="212" t="s">
        <v>2771</v>
      </c>
      <c r="H257" s="36" t="s">
        <v>585</v>
      </c>
      <c r="I257" s="6" t="s">
        <v>585</v>
      </c>
      <c r="J257" s="36" t="s">
        <v>585</v>
      </c>
      <c r="K257" s="184" t="n">
        <f aca="false">MAX(1,Workload!E5*0.5)</f>
        <v>2</v>
      </c>
      <c r="L257" s="184" t="n">
        <f aca="false">Workload!E5*2</f>
        <v>8</v>
      </c>
      <c r="M257" s="36" t="s">
        <v>3423</v>
      </c>
      <c r="N257" s="19" t="s">
        <v>3424</v>
      </c>
      <c r="O257" s="6" t="s">
        <v>585</v>
      </c>
      <c r="P257" s="212" t="s">
        <v>1114</v>
      </c>
      <c r="Q257" s="41" t="n">
        <f aca="false">Workload!E5</f>
        <v>4</v>
      </c>
      <c r="R257" s="36" t="s">
        <v>585</v>
      </c>
      <c r="S257" s="35" t="str">
        <f aca="false">IF(ISNUMBER($AF257),INDEX(IDX_SrcStat,$AF257),"—")</f>
        <v>—</v>
      </c>
      <c r="T257" s="35" t="str">
        <f aca="false">IF(ISNUMBER($AF257),INDEX(IDX_SrcGrade,$AF257),"—")</f>
        <v>—</v>
      </c>
      <c r="U257" s="35" t="s">
        <v>2775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5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6" t="s">
        <v>3428</v>
      </c>
      <c r="B258" s="212" t="s">
        <v>2769</v>
      </c>
      <c r="C258" s="36" t="s">
        <v>3420</v>
      </c>
      <c r="D258" s="36" t="s">
        <v>3429</v>
      </c>
      <c r="E258" s="19" t="s">
        <v>3422</v>
      </c>
      <c r="F258" s="36" t="s">
        <v>78</v>
      </c>
      <c r="G258" s="212" t="s">
        <v>2771</v>
      </c>
      <c r="H258" s="36" t="s">
        <v>585</v>
      </c>
      <c r="I258" s="6" t="s">
        <v>585</v>
      </c>
      <c r="J258" s="36" t="s">
        <v>585</v>
      </c>
      <c r="K258" s="184" t="n">
        <f aca="false">MAX(1,Workload!F5*0.5)</f>
        <v>2</v>
      </c>
      <c r="L258" s="184" t="n">
        <f aca="false">Workload!F5*2</f>
        <v>8</v>
      </c>
      <c r="M258" s="36" t="s">
        <v>3423</v>
      </c>
      <c r="N258" s="19" t="s">
        <v>3424</v>
      </c>
      <c r="O258" s="6" t="s">
        <v>585</v>
      </c>
      <c r="P258" s="212" t="s">
        <v>1114</v>
      </c>
      <c r="Q258" s="41" t="n">
        <f aca="false">Workload!F5</f>
        <v>4</v>
      </c>
      <c r="R258" s="36" t="s">
        <v>585</v>
      </c>
      <c r="S258" s="35" t="str">
        <f aca="false">IF(ISNUMBER($AF258),INDEX(IDX_SrcStat,$AF258),"—")</f>
        <v>—</v>
      </c>
      <c r="T258" s="35" t="str">
        <f aca="false">IF(ISNUMBER($AF258),INDEX(IDX_SrcGrade,$AF258),"—")</f>
        <v>—</v>
      </c>
      <c r="U258" s="35" t="s">
        <v>2775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5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6" t="s">
        <v>3430</v>
      </c>
      <c r="B259" s="212" t="s">
        <v>2769</v>
      </c>
      <c r="C259" s="36" t="s">
        <v>3420</v>
      </c>
      <c r="D259" s="36" t="s">
        <v>3431</v>
      </c>
      <c r="E259" s="19" t="s">
        <v>3422</v>
      </c>
      <c r="F259" s="36" t="s">
        <v>78</v>
      </c>
      <c r="G259" s="212" t="s">
        <v>2771</v>
      </c>
      <c r="H259" s="36" t="s">
        <v>585</v>
      </c>
      <c r="I259" s="6" t="s">
        <v>585</v>
      </c>
      <c r="J259" s="36" t="s">
        <v>585</v>
      </c>
      <c r="K259" s="184" t="n">
        <f aca="false">MAX(1,Workload!G5*0.5)</f>
        <v>15</v>
      </c>
      <c r="L259" s="184" t="n">
        <f aca="false">Workload!G5*2</f>
        <v>60</v>
      </c>
      <c r="M259" s="36" t="s">
        <v>3423</v>
      </c>
      <c r="N259" s="19" t="s">
        <v>3432</v>
      </c>
      <c r="O259" s="6" t="s">
        <v>585</v>
      </c>
      <c r="P259" s="212" t="s">
        <v>1114</v>
      </c>
      <c r="Q259" s="41" t="n">
        <f aca="false">Workload!G5</f>
        <v>30</v>
      </c>
      <c r="R259" s="36" t="s">
        <v>585</v>
      </c>
      <c r="S259" s="35" t="str">
        <f aca="false">IF(ISNUMBER($AF259),INDEX(IDX_SrcStat,$AF259),"—")</f>
        <v>—</v>
      </c>
      <c r="T259" s="35" t="str">
        <f aca="false">IF(ISNUMBER($AF259),INDEX(IDX_SrcGrade,$AF259),"—")</f>
        <v>—</v>
      </c>
      <c r="U259" s="35" t="s">
        <v>2775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5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6" t="s">
        <v>3433</v>
      </c>
      <c r="B260" s="212" t="s">
        <v>2769</v>
      </c>
      <c r="C260" s="36" t="s">
        <v>3420</v>
      </c>
      <c r="D260" s="36" t="s">
        <v>2928</v>
      </c>
      <c r="E260" s="19" t="s">
        <v>3434</v>
      </c>
      <c r="F260" s="36" t="s">
        <v>78</v>
      </c>
      <c r="G260" s="212" t="s">
        <v>2771</v>
      </c>
      <c r="H260" s="36" t="s">
        <v>585</v>
      </c>
      <c r="I260" s="6" t="s">
        <v>585</v>
      </c>
      <c r="J260" s="36" t="s">
        <v>585</v>
      </c>
      <c r="K260" s="184" t="n">
        <f aca="false">Workload!C6*0.5</f>
        <v>1000</v>
      </c>
      <c r="L260" s="184" t="n">
        <f aca="false">Workload!C6*2</f>
        <v>4000</v>
      </c>
      <c r="M260" s="36" t="s">
        <v>3403</v>
      </c>
      <c r="N260" s="19" t="s">
        <v>3435</v>
      </c>
      <c r="O260" s="6" t="s">
        <v>585</v>
      </c>
      <c r="P260" s="212" t="s">
        <v>1113</v>
      </c>
      <c r="Q260" s="41" t="n">
        <f aca="false">Workload!C6</f>
        <v>2000</v>
      </c>
      <c r="R260" s="36" t="s">
        <v>585</v>
      </c>
      <c r="S260" s="35" t="str">
        <f aca="false">IF(ISNUMBER($AF260),INDEX(IDX_SrcStat,$AF260),"—")</f>
        <v>—</v>
      </c>
      <c r="T260" s="35" t="str">
        <f aca="false">IF(ISNUMBER($AF260),INDEX(IDX_SrcGrade,$AF260),"—")</f>
        <v>—</v>
      </c>
      <c r="U260" s="35" t="s">
        <v>2775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5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6" t="s">
        <v>3436</v>
      </c>
      <c r="B261" s="212" t="s">
        <v>2769</v>
      </c>
      <c r="C261" s="36" t="s">
        <v>3420</v>
      </c>
      <c r="D261" s="36" t="s">
        <v>2932</v>
      </c>
      <c r="E261" s="19" t="s">
        <v>3434</v>
      </c>
      <c r="F261" s="36" t="s">
        <v>78</v>
      </c>
      <c r="G261" s="212" t="s">
        <v>2771</v>
      </c>
      <c r="H261" s="36" t="s">
        <v>585</v>
      </c>
      <c r="I261" s="6" t="s">
        <v>585</v>
      </c>
      <c r="J261" s="36" t="s">
        <v>585</v>
      </c>
      <c r="K261" s="184" t="n">
        <f aca="false">Workload!D6*0.5</f>
        <v>1000</v>
      </c>
      <c r="L261" s="184" t="n">
        <f aca="false">Workload!D6*2</f>
        <v>4000</v>
      </c>
      <c r="M261" s="36" t="s">
        <v>3403</v>
      </c>
      <c r="N261" s="19" t="s">
        <v>3435</v>
      </c>
      <c r="O261" s="6" t="s">
        <v>585</v>
      </c>
      <c r="P261" s="212" t="s">
        <v>1113</v>
      </c>
      <c r="Q261" s="41" t="n">
        <f aca="false">Workload!D6</f>
        <v>2000</v>
      </c>
      <c r="R261" s="36" t="s">
        <v>585</v>
      </c>
      <c r="S261" s="35" t="str">
        <f aca="false">IF(ISNUMBER($AF261),INDEX(IDX_SrcStat,$AF261),"—")</f>
        <v>—</v>
      </c>
      <c r="T261" s="35" t="str">
        <f aca="false">IF(ISNUMBER($AF261),INDEX(IDX_SrcGrade,$AF261),"—")</f>
        <v>—</v>
      </c>
      <c r="U261" s="35" t="s">
        <v>2775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5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6" t="s">
        <v>3437</v>
      </c>
      <c r="B262" s="212" t="s">
        <v>2769</v>
      </c>
      <c r="C262" s="36" t="s">
        <v>3420</v>
      </c>
      <c r="D262" s="36" t="s">
        <v>2663</v>
      </c>
      <c r="E262" s="19" t="s">
        <v>3434</v>
      </c>
      <c r="F262" s="36" t="s">
        <v>78</v>
      </c>
      <c r="G262" s="212" t="s">
        <v>2771</v>
      </c>
      <c r="H262" s="36" t="s">
        <v>585</v>
      </c>
      <c r="I262" s="6" t="s">
        <v>585</v>
      </c>
      <c r="J262" s="36" t="s">
        <v>585</v>
      </c>
      <c r="K262" s="184" t="n">
        <f aca="false">Workload!E6*0.5</f>
        <v>1500</v>
      </c>
      <c r="L262" s="184" t="n">
        <f aca="false">Workload!E6*2</f>
        <v>6000</v>
      </c>
      <c r="M262" s="36" t="s">
        <v>3403</v>
      </c>
      <c r="N262" s="19" t="s">
        <v>3435</v>
      </c>
      <c r="O262" s="6" t="s">
        <v>585</v>
      </c>
      <c r="P262" s="212" t="s">
        <v>1113</v>
      </c>
      <c r="Q262" s="41" t="n">
        <f aca="false">Workload!E6</f>
        <v>3000</v>
      </c>
      <c r="R262" s="36" t="s">
        <v>585</v>
      </c>
      <c r="S262" s="35" t="str">
        <f aca="false">IF(ISNUMBER($AF262),INDEX(IDX_SrcStat,$AF262),"—")</f>
        <v>—</v>
      </c>
      <c r="T262" s="35" t="str">
        <f aca="false">IF(ISNUMBER($AF262),INDEX(IDX_SrcGrade,$AF262),"—")</f>
        <v>—</v>
      </c>
      <c r="U262" s="35" t="s">
        <v>2775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5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6" t="s">
        <v>3438</v>
      </c>
      <c r="B263" s="212" t="s">
        <v>2769</v>
      </c>
      <c r="C263" s="36" t="s">
        <v>3420</v>
      </c>
      <c r="D263" s="36" t="s">
        <v>2936</v>
      </c>
      <c r="E263" s="19" t="s">
        <v>3434</v>
      </c>
      <c r="F263" s="36" t="s">
        <v>78</v>
      </c>
      <c r="G263" s="212" t="s">
        <v>2771</v>
      </c>
      <c r="H263" s="36" t="s">
        <v>585</v>
      </c>
      <c r="I263" s="6" t="s">
        <v>585</v>
      </c>
      <c r="J263" s="36" t="s">
        <v>585</v>
      </c>
      <c r="K263" s="184" t="n">
        <f aca="false">Workload!F6*0.5</f>
        <v>1500</v>
      </c>
      <c r="L263" s="184" t="n">
        <f aca="false">Workload!F6*2</f>
        <v>6000</v>
      </c>
      <c r="M263" s="36" t="s">
        <v>3403</v>
      </c>
      <c r="N263" s="19" t="s">
        <v>3435</v>
      </c>
      <c r="O263" s="6" t="s">
        <v>585</v>
      </c>
      <c r="P263" s="212" t="s">
        <v>1113</v>
      </c>
      <c r="Q263" s="41" t="n">
        <f aca="false">Workload!F6</f>
        <v>3000</v>
      </c>
      <c r="R263" s="36" t="s">
        <v>585</v>
      </c>
      <c r="S263" s="35" t="str">
        <f aca="false">IF(ISNUMBER($AF263),INDEX(IDX_SrcStat,$AF263),"—")</f>
        <v>—</v>
      </c>
      <c r="T263" s="35" t="str">
        <f aca="false">IF(ISNUMBER($AF263),INDEX(IDX_SrcGrade,$AF263),"—")</f>
        <v>—</v>
      </c>
      <c r="U263" s="35" t="s">
        <v>2775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5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6" t="s">
        <v>3439</v>
      </c>
      <c r="B264" s="212" t="s">
        <v>2769</v>
      </c>
      <c r="C264" s="36" t="s">
        <v>3420</v>
      </c>
      <c r="D264" s="36" t="s">
        <v>2938</v>
      </c>
      <c r="E264" s="19" t="s">
        <v>3434</v>
      </c>
      <c r="F264" s="36" t="s">
        <v>78</v>
      </c>
      <c r="G264" s="212" t="s">
        <v>2771</v>
      </c>
      <c r="H264" s="36" t="s">
        <v>585</v>
      </c>
      <c r="I264" s="6" t="s">
        <v>585</v>
      </c>
      <c r="J264" s="36" t="s">
        <v>585</v>
      </c>
      <c r="K264" s="184" t="n">
        <f aca="false">Workload!G6*0.5</f>
        <v>6000</v>
      </c>
      <c r="L264" s="184" t="n">
        <f aca="false">Workload!G6*2</f>
        <v>24000</v>
      </c>
      <c r="M264" s="36" t="s">
        <v>3403</v>
      </c>
      <c r="N264" s="19" t="s">
        <v>3435</v>
      </c>
      <c r="O264" s="6" t="s">
        <v>585</v>
      </c>
      <c r="P264" s="212" t="s">
        <v>1113</v>
      </c>
      <c r="Q264" s="41" t="n">
        <f aca="false">Workload!G6</f>
        <v>12000</v>
      </c>
      <c r="R264" s="36" t="s">
        <v>585</v>
      </c>
      <c r="S264" s="35" t="str">
        <f aca="false">IF(ISNUMBER($AF264),INDEX(IDX_SrcStat,$AF264),"—")</f>
        <v>—</v>
      </c>
      <c r="T264" s="35" t="str">
        <f aca="false">IF(ISNUMBER($AF264),INDEX(IDX_SrcGrade,$AF264),"—")</f>
        <v>—</v>
      </c>
      <c r="U264" s="35" t="s">
        <v>2775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5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6" t="s">
        <v>3440</v>
      </c>
      <c r="B265" s="212" t="s">
        <v>2769</v>
      </c>
      <c r="C265" s="36" t="s">
        <v>3420</v>
      </c>
      <c r="D265" s="36" t="s">
        <v>3252</v>
      </c>
      <c r="E265" s="19" t="s">
        <v>3441</v>
      </c>
      <c r="F265" s="36" t="s">
        <v>78</v>
      </c>
      <c r="G265" s="212" t="s">
        <v>2771</v>
      </c>
      <c r="H265" s="36" t="s">
        <v>585</v>
      </c>
      <c r="I265" s="6" t="s">
        <v>585</v>
      </c>
      <c r="J265" s="36" t="s">
        <v>585</v>
      </c>
      <c r="K265" s="184" t="n">
        <f aca="false">Workload!C7*0.5</f>
        <v>250</v>
      </c>
      <c r="L265" s="184" t="n">
        <f aca="false">Workload!C7*2</f>
        <v>1000</v>
      </c>
      <c r="M265" s="36" t="s">
        <v>3403</v>
      </c>
      <c r="N265" s="19" t="s">
        <v>3435</v>
      </c>
      <c r="O265" s="6" t="s">
        <v>585</v>
      </c>
      <c r="P265" s="212" t="s">
        <v>2830</v>
      </c>
      <c r="Q265" s="41" t="n">
        <f aca="false">Workload!C7</f>
        <v>500</v>
      </c>
      <c r="R265" s="36" t="s">
        <v>585</v>
      </c>
      <c r="S265" s="35" t="str">
        <f aca="false">IF(ISNUMBER($AF265),INDEX(IDX_SrcStat,$AF265),"—")</f>
        <v>—</v>
      </c>
      <c r="T265" s="35" t="str">
        <f aca="false">IF(ISNUMBER($AF265),INDEX(IDX_SrcGrade,$AF265),"—")</f>
        <v>—</v>
      </c>
      <c r="U265" s="35" t="s">
        <v>2775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5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6" t="s">
        <v>3442</v>
      </c>
      <c r="B266" s="212" t="s">
        <v>2769</v>
      </c>
      <c r="C266" s="36" t="s">
        <v>3420</v>
      </c>
      <c r="D266" s="36" t="s">
        <v>3255</v>
      </c>
      <c r="E266" s="19" t="s">
        <v>3441</v>
      </c>
      <c r="F266" s="36" t="s">
        <v>78</v>
      </c>
      <c r="G266" s="212" t="s">
        <v>2771</v>
      </c>
      <c r="H266" s="36" t="s">
        <v>585</v>
      </c>
      <c r="I266" s="6" t="s">
        <v>585</v>
      </c>
      <c r="J266" s="36" t="s">
        <v>585</v>
      </c>
      <c r="K266" s="184" t="n">
        <f aca="false">Workload!D7*0.5</f>
        <v>250</v>
      </c>
      <c r="L266" s="184" t="n">
        <f aca="false">Workload!D7*2</f>
        <v>1000</v>
      </c>
      <c r="M266" s="36" t="s">
        <v>3403</v>
      </c>
      <c r="N266" s="19" t="s">
        <v>3435</v>
      </c>
      <c r="O266" s="6" t="s">
        <v>585</v>
      </c>
      <c r="P266" s="212" t="s">
        <v>2830</v>
      </c>
      <c r="Q266" s="41" t="n">
        <f aca="false">Workload!D7</f>
        <v>500</v>
      </c>
      <c r="R266" s="36" t="s">
        <v>585</v>
      </c>
      <c r="S266" s="35" t="str">
        <f aca="false">IF(ISNUMBER($AF266),INDEX(IDX_SrcStat,$AF266),"—")</f>
        <v>—</v>
      </c>
      <c r="T266" s="35" t="str">
        <f aca="false">IF(ISNUMBER($AF266),INDEX(IDX_SrcGrade,$AF266),"—")</f>
        <v>—</v>
      </c>
      <c r="U266" s="35" t="s">
        <v>2775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5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6" t="s">
        <v>3443</v>
      </c>
      <c r="B267" s="212" t="s">
        <v>2769</v>
      </c>
      <c r="C267" s="36" t="s">
        <v>3420</v>
      </c>
      <c r="D267" s="36" t="s">
        <v>2666</v>
      </c>
      <c r="E267" s="19" t="s">
        <v>3441</v>
      </c>
      <c r="F267" s="36" t="s">
        <v>78</v>
      </c>
      <c r="G267" s="212" t="s">
        <v>2771</v>
      </c>
      <c r="H267" s="36" t="s">
        <v>585</v>
      </c>
      <c r="I267" s="6" t="s">
        <v>585</v>
      </c>
      <c r="J267" s="36" t="s">
        <v>585</v>
      </c>
      <c r="K267" s="184" t="n">
        <f aca="false">Workload!E7*0.5</f>
        <v>600</v>
      </c>
      <c r="L267" s="184" t="n">
        <f aca="false">Workload!E7*2</f>
        <v>2400</v>
      </c>
      <c r="M267" s="36" t="s">
        <v>3403</v>
      </c>
      <c r="N267" s="19" t="s">
        <v>3435</v>
      </c>
      <c r="O267" s="6" t="s">
        <v>585</v>
      </c>
      <c r="P267" s="212" t="s">
        <v>2830</v>
      </c>
      <c r="Q267" s="41" t="n">
        <f aca="false">Workload!E7</f>
        <v>1200</v>
      </c>
      <c r="R267" s="36" t="s">
        <v>585</v>
      </c>
      <c r="S267" s="35" t="str">
        <f aca="false">IF(ISNUMBER($AF267),INDEX(IDX_SrcStat,$AF267),"—")</f>
        <v>—</v>
      </c>
      <c r="T267" s="35" t="str">
        <f aca="false">IF(ISNUMBER($AF267),INDEX(IDX_SrcGrade,$AF267),"—")</f>
        <v>—</v>
      </c>
      <c r="U267" s="35" t="s">
        <v>2775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5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6" t="s">
        <v>3444</v>
      </c>
      <c r="B268" s="212" t="s">
        <v>2769</v>
      </c>
      <c r="C268" s="36" t="s">
        <v>3420</v>
      </c>
      <c r="D268" s="36" t="s">
        <v>3445</v>
      </c>
      <c r="E268" s="19" t="s">
        <v>3441</v>
      </c>
      <c r="F268" s="36" t="s">
        <v>78</v>
      </c>
      <c r="G268" s="212" t="s">
        <v>2771</v>
      </c>
      <c r="H268" s="36" t="s">
        <v>585</v>
      </c>
      <c r="I268" s="6" t="s">
        <v>585</v>
      </c>
      <c r="J268" s="36" t="s">
        <v>585</v>
      </c>
      <c r="K268" s="184" t="n">
        <f aca="false">Workload!F7*0.5</f>
        <v>600</v>
      </c>
      <c r="L268" s="184" t="n">
        <f aca="false">Workload!F7*2</f>
        <v>2400</v>
      </c>
      <c r="M268" s="36" t="s">
        <v>3403</v>
      </c>
      <c r="N268" s="19" t="s">
        <v>3435</v>
      </c>
      <c r="O268" s="6" t="s">
        <v>585</v>
      </c>
      <c r="P268" s="212" t="s">
        <v>2830</v>
      </c>
      <c r="Q268" s="41" t="n">
        <f aca="false">Workload!F7</f>
        <v>1200</v>
      </c>
      <c r="R268" s="36" t="s">
        <v>585</v>
      </c>
      <c r="S268" s="35" t="str">
        <f aca="false">IF(ISNUMBER($AF268),INDEX(IDX_SrcStat,$AF268),"—")</f>
        <v>—</v>
      </c>
      <c r="T268" s="35" t="str">
        <f aca="false">IF(ISNUMBER($AF268),INDEX(IDX_SrcGrade,$AF268),"—")</f>
        <v>—</v>
      </c>
      <c r="U268" s="35" t="s">
        <v>2775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5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6" t="s">
        <v>3446</v>
      </c>
      <c r="B269" s="212" t="s">
        <v>2769</v>
      </c>
      <c r="C269" s="36" t="s">
        <v>3420</v>
      </c>
      <c r="D269" s="36" t="s">
        <v>3447</v>
      </c>
      <c r="E269" s="19" t="s">
        <v>3441</v>
      </c>
      <c r="F269" s="36" t="s">
        <v>78</v>
      </c>
      <c r="G269" s="212" t="s">
        <v>2771</v>
      </c>
      <c r="H269" s="36" t="s">
        <v>585</v>
      </c>
      <c r="I269" s="6" t="s">
        <v>585</v>
      </c>
      <c r="J269" s="36" t="s">
        <v>585</v>
      </c>
      <c r="K269" s="184" t="n">
        <f aca="false">Workload!G7*0.5</f>
        <v>1000</v>
      </c>
      <c r="L269" s="184" t="n">
        <f aca="false">Workload!G7*2</f>
        <v>4000</v>
      </c>
      <c r="M269" s="36" t="s">
        <v>3403</v>
      </c>
      <c r="N269" s="19" t="s">
        <v>3435</v>
      </c>
      <c r="O269" s="6" t="s">
        <v>585</v>
      </c>
      <c r="P269" s="212" t="s">
        <v>2830</v>
      </c>
      <c r="Q269" s="41" t="n">
        <f aca="false">Workload!G7</f>
        <v>2000</v>
      </c>
      <c r="R269" s="36" t="s">
        <v>585</v>
      </c>
      <c r="S269" s="35" t="str">
        <f aca="false">IF(ISNUMBER($AF269),INDEX(IDX_SrcStat,$AF269),"—")</f>
        <v>—</v>
      </c>
      <c r="T269" s="35" t="str">
        <f aca="false">IF(ISNUMBER($AF269),INDEX(IDX_SrcGrade,$AF269),"—")</f>
        <v>—</v>
      </c>
      <c r="U269" s="35" t="s">
        <v>2775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5" t="str">
        <f aca="false">IF(OR($H269="—",$H269=""),"—",MATCH($H269,IDX_SrcID,0))</f>
        <v>—</v>
      </c>
    </row>
    <row r="270" customFormat="false" ht="15" hidden="false" customHeight="true" outlineLevel="0" collapsed="false">
      <c r="A270" s="36" t="s">
        <v>3448</v>
      </c>
      <c r="B270" s="212" t="s">
        <v>2769</v>
      </c>
      <c r="C270" s="36" t="s">
        <v>3420</v>
      </c>
      <c r="D270" s="36" t="s">
        <v>2941</v>
      </c>
      <c r="E270" s="19" t="s">
        <v>3449</v>
      </c>
      <c r="F270" s="36" t="s">
        <v>78</v>
      </c>
      <c r="G270" s="212" t="s">
        <v>2771</v>
      </c>
      <c r="H270" s="36" t="s">
        <v>585</v>
      </c>
      <c r="I270" s="6" t="s">
        <v>585</v>
      </c>
      <c r="J270" s="36" t="s">
        <v>585</v>
      </c>
      <c r="K270" s="184" t="n">
        <f aca="false">Workload!C8*0.5</f>
        <v>0</v>
      </c>
      <c r="L270" s="184" t="n">
        <f aca="false">Workload!C8*2</f>
        <v>0</v>
      </c>
      <c r="M270" s="36" t="s">
        <v>3403</v>
      </c>
      <c r="N270" s="213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585</v>
      </c>
      <c r="P270" s="212" t="s">
        <v>2830</v>
      </c>
      <c r="Q270" s="41" t="n">
        <f aca="false">Workload!C8</f>
        <v>0</v>
      </c>
      <c r="R270" s="36" t="s">
        <v>585</v>
      </c>
      <c r="S270" s="35" t="str">
        <f aca="false">IF(ISNUMBER($AF270),INDEX(IDX_SrcStat,$AF270),"—")</f>
        <v>—</v>
      </c>
      <c r="T270" s="35" t="str">
        <f aca="false">IF(ISNUMBER($AF270),INDEX(IDX_SrcGrade,$AF270),"—")</f>
        <v>—</v>
      </c>
      <c r="U270" s="35" t="s">
        <v>2775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5" t="str">
        <f aca="false">IF(OR($H270="—",$H270=""),"—",MATCH($H270,IDX_SrcID,0))</f>
        <v>—</v>
      </c>
    </row>
    <row r="271" customFormat="false" ht="15" hidden="false" customHeight="true" outlineLevel="0" collapsed="false">
      <c r="A271" s="36" t="s">
        <v>3450</v>
      </c>
      <c r="B271" s="212" t="s">
        <v>2769</v>
      </c>
      <c r="C271" s="36" t="s">
        <v>3420</v>
      </c>
      <c r="D271" s="36" t="s">
        <v>2944</v>
      </c>
      <c r="E271" s="19" t="s">
        <v>3449</v>
      </c>
      <c r="F271" s="36" t="s">
        <v>78</v>
      </c>
      <c r="G271" s="212" t="s">
        <v>2771</v>
      </c>
      <c r="H271" s="36" t="s">
        <v>585</v>
      </c>
      <c r="I271" s="6" t="s">
        <v>585</v>
      </c>
      <c r="J271" s="36" t="s">
        <v>585</v>
      </c>
      <c r="K271" s="184" t="n">
        <f aca="false">Workload!D8*0.5</f>
        <v>1500</v>
      </c>
      <c r="L271" s="184" t="n">
        <f aca="false">Workload!D8*2</f>
        <v>6000</v>
      </c>
      <c r="M271" s="36" t="s">
        <v>3403</v>
      </c>
      <c r="N271" s="213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585</v>
      </c>
      <c r="P271" s="212" t="s">
        <v>2830</v>
      </c>
      <c r="Q271" s="41" t="n">
        <f aca="false">Workload!D8</f>
        <v>3000</v>
      </c>
      <c r="R271" s="36" t="s">
        <v>585</v>
      </c>
      <c r="S271" s="35" t="str">
        <f aca="false">IF(ISNUMBER($AF271),INDEX(IDX_SrcStat,$AF271),"—")</f>
        <v>—</v>
      </c>
      <c r="T271" s="35" t="str">
        <f aca="false">IF(ISNUMBER($AF271),INDEX(IDX_SrcGrade,$AF271),"—")</f>
        <v>—</v>
      </c>
      <c r="U271" s="35" t="s">
        <v>2775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5" t="str">
        <f aca="false">IF(OR($H271="—",$H271=""),"—",MATCH($H271,IDX_SrcID,0))</f>
        <v>—</v>
      </c>
    </row>
    <row r="272" customFormat="false" ht="15" hidden="false" customHeight="true" outlineLevel="0" collapsed="false">
      <c r="A272" s="36" t="s">
        <v>3451</v>
      </c>
      <c r="B272" s="212" t="s">
        <v>2769</v>
      </c>
      <c r="C272" s="36" t="s">
        <v>3420</v>
      </c>
      <c r="D272" s="36" t="s">
        <v>2669</v>
      </c>
      <c r="E272" s="19" t="s">
        <v>3449</v>
      </c>
      <c r="F272" s="36" t="s">
        <v>78</v>
      </c>
      <c r="G272" s="212" t="s">
        <v>2771</v>
      </c>
      <c r="H272" s="36" t="s">
        <v>585</v>
      </c>
      <c r="I272" s="6" t="s">
        <v>585</v>
      </c>
      <c r="J272" s="36" t="s">
        <v>585</v>
      </c>
      <c r="K272" s="184" t="n">
        <f aca="false">Workload!E8*0.5</f>
        <v>200</v>
      </c>
      <c r="L272" s="184" t="n">
        <f aca="false">Workload!E8*2</f>
        <v>800</v>
      </c>
      <c r="M272" s="36" t="s">
        <v>3403</v>
      </c>
      <c r="N272" s="213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585</v>
      </c>
      <c r="P272" s="212" t="s">
        <v>2830</v>
      </c>
      <c r="Q272" s="41" t="n">
        <f aca="false">Workload!E8</f>
        <v>400</v>
      </c>
      <c r="R272" s="36" t="s">
        <v>585</v>
      </c>
      <c r="S272" s="35" t="str">
        <f aca="false">IF(ISNUMBER($AF272),INDEX(IDX_SrcStat,$AF272),"—")</f>
        <v>—</v>
      </c>
      <c r="T272" s="35" t="str">
        <f aca="false">IF(ISNUMBER($AF272),INDEX(IDX_SrcGrade,$AF272),"—")</f>
        <v>—</v>
      </c>
      <c r="U272" s="35" t="s">
        <v>2775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5" t="str">
        <f aca="false">IF(OR($H272="—",$H272=""),"—",MATCH($H272,IDX_SrcID,0))</f>
        <v>—</v>
      </c>
    </row>
    <row r="273" customFormat="false" ht="15" hidden="false" customHeight="true" outlineLevel="0" collapsed="false">
      <c r="A273" s="36" t="s">
        <v>3452</v>
      </c>
      <c r="B273" s="212" t="s">
        <v>2769</v>
      </c>
      <c r="C273" s="36" t="s">
        <v>3420</v>
      </c>
      <c r="D273" s="36" t="s">
        <v>2949</v>
      </c>
      <c r="E273" s="19" t="s">
        <v>3449</v>
      </c>
      <c r="F273" s="36" t="s">
        <v>78</v>
      </c>
      <c r="G273" s="212" t="s">
        <v>2771</v>
      </c>
      <c r="H273" s="36" t="s">
        <v>585</v>
      </c>
      <c r="I273" s="6" t="s">
        <v>585</v>
      </c>
      <c r="J273" s="36" t="s">
        <v>585</v>
      </c>
      <c r="K273" s="184" t="n">
        <f aca="false">Workload!F8*0.5</f>
        <v>200</v>
      </c>
      <c r="L273" s="184" t="n">
        <f aca="false">Workload!F8*2</f>
        <v>800</v>
      </c>
      <c r="M273" s="36" t="s">
        <v>3403</v>
      </c>
      <c r="N273" s="213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585</v>
      </c>
      <c r="P273" s="212" t="s">
        <v>2830</v>
      </c>
      <c r="Q273" s="41" t="n">
        <f aca="false">Workload!F8</f>
        <v>400</v>
      </c>
      <c r="R273" s="36" t="s">
        <v>585</v>
      </c>
      <c r="S273" s="35" t="str">
        <f aca="false">IF(ISNUMBER($AF273),INDEX(IDX_SrcStat,$AF273),"—")</f>
        <v>—</v>
      </c>
      <c r="T273" s="35" t="str">
        <f aca="false">IF(ISNUMBER($AF273),INDEX(IDX_SrcGrade,$AF273),"—")</f>
        <v>—</v>
      </c>
      <c r="U273" s="35" t="s">
        <v>2775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5" t="str">
        <f aca="false">IF(OR($H273="—",$H273=""),"—",MATCH($H273,IDX_SrcID,0))</f>
        <v>—</v>
      </c>
    </row>
    <row r="274" customFormat="false" ht="15" hidden="false" customHeight="true" outlineLevel="0" collapsed="false">
      <c r="A274" s="36" t="s">
        <v>3453</v>
      </c>
      <c r="B274" s="212" t="s">
        <v>2769</v>
      </c>
      <c r="C274" s="36" t="s">
        <v>3420</v>
      </c>
      <c r="D274" s="36" t="s">
        <v>2952</v>
      </c>
      <c r="E274" s="19" t="s">
        <v>3449</v>
      </c>
      <c r="F274" s="36" t="s">
        <v>78</v>
      </c>
      <c r="G274" s="212" t="s">
        <v>2771</v>
      </c>
      <c r="H274" s="36" t="s">
        <v>585</v>
      </c>
      <c r="I274" s="6" t="s">
        <v>585</v>
      </c>
      <c r="J274" s="36" t="s">
        <v>585</v>
      </c>
      <c r="K274" s="184" t="n">
        <f aca="false">Workload!G8*0.5</f>
        <v>300</v>
      </c>
      <c r="L274" s="184" t="n">
        <f aca="false">Workload!G8*2</f>
        <v>1200</v>
      </c>
      <c r="M274" s="36" t="s">
        <v>3403</v>
      </c>
      <c r="N274" s="213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585</v>
      </c>
      <c r="P274" s="212" t="s">
        <v>1114</v>
      </c>
      <c r="Q274" s="41" t="n">
        <f aca="false">Workload!G8</f>
        <v>600</v>
      </c>
      <c r="R274" s="36" t="s">
        <v>585</v>
      </c>
      <c r="S274" s="35" t="str">
        <f aca="false">IF(ISNUMBER($AF274),INDEX(IDX_SrcStat,$AF274),"—")</f>
        <v>—</v>
      </c>
      <c r="T274" s="35" t="str">
        <f aca="false">IF(ISNUMBER($AF274),INDEX(IDX_SrcGrade,$AF274),"—")</f>
        <v>—</v>
      </c>
      <c r="U274" s="35" t="s">
        <v>2775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5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6" t="s">
        <v>3454</v>
      </c>
      <c r="B275" s="212" t="s">
        <v>2769</v>
      </c>
      <c r="C275" s="36" t="s">
        <v>3420</v>
      </c>
      <c r="D275" s="36" t="s">
        <v>2955</v>
      </c>
      <c r="E275" s="19" t="s">
        <v>3455</v>
      </c>
      <c r="F275" s="36" t="s">
        <v>78</v>
      </c>
      <c r="G275" s="212" t="s">
        <v>2771</v>
      </c>
      <c r="H275" s="36" t="s">
        <v>585</v>
      </c>
      <c r="I275" s="6" t="s">
        <v>585</v>
      </c>
      <c r="J275" s="36" t="s">
        <v>585</v>
      </c>
      <c r="K275" s="184" t="n">
        <f aca="false">Workload!C9*0.5</f>
        <v>250</v>
      </c>
      <c r="L275" s="184" t="n">
        <f aca="false">Workload!C9*2</f>
        <v>1000</v>
      </c>
      <c r="M275" s="36" t="s">
        <v>3403</v>
      </c>
      <c r="N275" s="19" t="s">
        <v>3435</v>
      </c>
      <c r="O275" s="6" t="s">
        <v>585</v>
      </c>
      <c r="P275" s="212" t="s">
        <v>2830</v>
      </c>
      <c r="Q275" s="41" t="n">
        <f aca="false">Workload!C9</f>
        <v>500</v>
      </c>
      <c r="R275" s="36" t="s">
        <v>585</v>
      </c>
      <c r="S275" s="35" t="str">
        <f aca="false">IF(ISNUMBER($AF275),INDEX(IDX_SrcStat,$AF275),"—")</f>
        <v>—</v>
      </c>
      <c r="T275" s="35" t="str">
        <f aca="false">IF(ISNUMBER($AF275),INDEX(IDX_SrcGrade,$AF275),"—")</f>
        <v>—</v>
      </c>
      <c r="U275" s="35" t="s">
        <v>2775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5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6" t="s">
        <v>3456</v>
      </c>
      <c r="B276" s="212" t="s">
        <v>2769</v>
      </c>
      <c r="C276" s="36" t="s">
        <v>3420</v>
      </c>
      <c r="D276" s="36" t="s">
        <v>2784</v>
      </c>
      <c r="E276" s="19" t="s">
        <v>3455</v>
      </c>
      <c r="F276" s="36" t="s">
        <v>78</v>
      </c>
      <c r="G276" s="212" t="s">
        <v>2771</v>
      </c>
      <c r="H276" s="36" t="s">
        <v>585</v>
      </c>
      <c r="I276" s="6" t="s">
        <v>585</v>
      </c>
      <c r="J276" s="36" t="s">
        <v>585</v>
      </c>
      <c r="K276" s="184" t="n">
        <f aca="false">Workload!D9*0.5</f>
        <v>350</v>
      </c>
      <c r="L276" s="184" t="n">
        <f aca="false">Workload!D9*2</f>
        <v>1400</v>
      </c>
      <c r="M276" s="36" t="s">
        <v>3403</v>
      </c>
      <c r="N276" s="19" t="s">
        <v>3435</v>
      </c>
      <c r="O276" s="6" t="s">
        <v>585</v>
      </c>
      <c r="P276" s="212" t="s">
        <v>2830</v>
      </c>
      <c r="Q276" s="41" t="n">
        <f aca="false">Workload!D9</f>
        <v>700</v>
      </c>
      <c r="R276" s="36" t="s">
        <v>585</v>
      </c>
      <c r="S276" s="35" t="str">
        <f aca="false">IF(ISNUMBER($AF276),INDEX(IDX_SrcStat,$AF276),"—")</f>
        <v>—</v>
      </c>
      <c r="T276" s="35" t="str">
        <f aca="false">IF(ISNUMBER($AF276),INDEX(IDX_SrcGrade,$AF276),"—")</f>
        <v>—</v>
      </c>
      <c r="U276" s="35" t="s">
        <v>2775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5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6" t="s">
        <v>3457</v>
      </c>
      <c r="B277" s="212" t="s">
        <v>2769</v>
      </c>
      <c r="C277" s="36" t="s">
        <v>3420</v>
      </c>
      <c r="D277" s="36" t="s">
        <v>2672</v>
      </c>
      <c r="E277" s="19" t="s">
        <v>3455</v>
      </c>
      <c r="F277" s="36" t="s">
        <v>78</v>
      </c>
      <c r="G277" s="212" t="s">
        <v>2771</v>
      </c>
      <c r="H277" s="36" t="s">
        <v>585</v>
      </c>
      <c r="I277" s="6" t="s">
        <v>585</v>
      </c>
      <c r="J277" s="36" t="s">
        <v>585</v>
      </c>
      <c r="K277" s="184" t="n">
        <f aca="false">Workload!E9*0.5</f>
        <v>100</v>
      </c>
      <c r="L277" s="184" t="n">
        <f aca="false">Workload!E9*2</f>
        <v>400</v>
      </c>
      <c r="M277" s="36" t="s">
        <v>3403</v>
      </c>
      <c r="N277" s="19" t="s">
        <v>3435</v>
      </c>
      <c r="O277" s="6" t="s">
        <v>585</v>
      </c>
      <c r="P277" s="212" t="s">
        <v>2830</v>
      </c>
      <c r="Q277" s="41" t="n">
        <f aca="false">Workload!E9</f>
        <v>200</v>
      </c>
      <c r="R277" s="36" t="s">
        <v>585</v>
      </c>
      <c r="S277" s="35" t="str">
        <f aca="false">IF(ISNUMBER($AF277),INDEX(IDX_SrcStat,$AF277),"—")</f>
        <v>—</v>
      </c>
      <c r="T277" s="35" t="str">
        <f aca="false">IF(ISNUMBER($AF277),INDEX(IDX_SrcGrade,$AF277),"—")</f>
        <v>—</v>
      </c>
      <c r="U277" s="35" t="s">
        <v>2775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5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6" t="s">
        <v>3458</v>
      </c>
      <c r="B278" s="212" t="s">
        <v>2769</v>
      </c>
      <c r="C278" s="36" t="s">
        <v>3420</v>
      </c>
      <c r="D278" s="36" t="s">
        <v>2786</v>
      </c>
      <c r="E278" s="19" t="s">
        <v>3455</v>
      </c>
      <c r="F278" s="36" t="s">
        <v>78</v>
      </c>
      <c r="G278" s="212" t="s">
        <v>2771</v>
      </c>
      <c r="H278" s="36" t="s">
        <v>585</v>
      </c>
      <c r="I278" s="6" t="s">
        <v>585</v>
      </c>
      <c r="J278" s="36" t="s">
        <v>585</v>
      </c>
      <c r="K278" s="184" t="n">
        <f aca="false">Workload!F9*0.5</f>
        <v>100</v>
      </c>
      <c r="L278" s="184" t="n">
        <f aca="false">Workload!F9*2</f>
        <v>400</v>
      </c>
      <c r="M278" s="36" t="s">
        <v>3403</v>
      </c>
      <c r="N278" s="19" t="s">
        <v>3435</v>
      </c>
      <c r="O278" s="6" t="s">
        <v>585</v>
      </c>
      <c r="P278" s="212" t="s">
        <v>2830</v>
      </c>
      <c r="Q278" s="41" t="n">
        <f aca="false">Workload!F9</f>
        <v>200</v>
      </c>
      <c r="R278" s="36" t="s">
        <v>585</v>
      </c>
      <c r="S278" s="35" t="str">
        <f aca="false">IF(ISNUMBER($AF278),INDEX(IDX_SrcStat,$AF278),"—")</f>
        <v>—</v>
      </c>
      <c r="T278" s="35" t="str">
        <f aca="false">IF(ISNUMBER($AF278),INDEX(IDX_SrcGrade,$AF278),"—")</f>
        <v>—</v>
      </c>
      <c r="U278" s="35" t="s">
        <v>2775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5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6" t="s">
        <v>3459</v>
      </c>
      <c r="B279" s="212" t="s">
        <v>2769</v>
      </c>
      <c r="C279" s="36" t="s">
        <v>3420</v>
      </c>
      <c r="D279" s="36" t="s">
        <v>2970</v>
      </c>
      <c r="E279" s="19" t="s">
        <v>3455</v>
      </c>
      <c r="F279" s="36" t="s">
        <v>78</v>
      </c>
      <c r="G279" s="212" t="s">
        <v>2771</v>
      </c>
      <c r="H279" s="36" t="s">
        <v>585</v>
      </c>
      <c r="I279" s="6" t="s">
        <v>585</v>
      </c>
      <c r="J279" s="36" t="s">
        <v>585</v>
      </c>
      <c r="K279" s="184" t="n">
        <f aca="false">Workload!G9*0.5</f>
        <v>200</v>
      </c>
      <c r="L279" s="184" t="n">
        <f aca="false">Workload!G9*2</f>
        <v>800</v>
      </c>
      <c r="M279" s="36" t="s">
        <v>3403</v>
      </c>
      <c r="N279" s="19" t="s">
        <v>3460</v>
      </c>
      <c r="O279" s="6" t="s">
        <v>585</v>
      </c>
      <c r="P279" s="212" t="s">
        <v>1114</v>
      </c>
      <c r="Q279" s="41" t="n">
        <f aca="false">Workload!G9</f>
        <v>400</v>
      </c>
      <c r="R279" s="36" t="s">
        <v>585</v>
      </c>
      <c r="S279" s="35" t="str">
        <f aca="false">IF(ISNUMBER($AF279),INDEX(IDX_SrcStat,$AF279),"—")</f>
        <v>—</v>
      </c>
      <c r="T279" s="35" t="str">
        <f aca="false">IF(ISNUMBER($AF279),INDEX(IDX_SrcGrade,$AF279),"—")</f>
        <v>—</v>
      </c>
      <c r="U279" s="35" t="s">
        <v>2775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5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6" t="s">
        <v>3461</v>
      </c>
      <c r="B280" s="212" t="s">
        <v>2769</v>
      </c>
      <c r="C280" s="36" t="s">
        <v>3420</v>
      </c>
      <c r="D280" s="36" t="s">
        <v>2975</v>
      </c>
      <c r="E280" s="19" t="s">
        <v>3462</v>
      </c>
      <c r="F280" s="36" t="s">
        <v>78</v>
      </c>
      <c r="G280" s="212" t="s">
        <v>2771</v>
      </c>
      <c r="H280" s="36" t="s">
        <v>585</v>
      </c>
      <c r="I280" s="6" t="s">
        <v>585</v>
      </c>
      <c r="J280" s="36" t="s">
        <v>585</v>
      </c>
      <c r="K280" s="214" t="n">
        <v>0</v>
      </c>
      <c r="L280" s="214" t="n">
        <v>1</v>
      </c>
      <c r="M280" s="36" t="s">
        <v>3463</v>
      </c>
      <c r="N280" s="213" t="str">
        <f aca="false">Workload!$H$10</f>
        <v>Assumed：多數 API 不保留前輪思考（標準 harness）</v>
      </c>
      <c r="O280" s="6" t="s">
        <v>585</v>
      </c>
      <c r="P280" s="212" t="s">
        <v>2774</v>
      </c>
      <c r="Q280" s="176" t="n">
        <f aca="false">Workload!C10</f>
        <v>0</v>
      </c>
      <c r="R280" s="36" t="s">
        <v>585</v>
      </c>
      <c r="S280" s="35" t="str">
        <f aca="false">IF(ISNUMBER($AF280),INDEX(IDX_SrcStat,$AF280),"—")</f>
        <v>—</v>
      </c>
      <c r="T280" s="35" t="str">
        <f aca="false">IF(ISNUMBER($AF280),INDEX(IDX_SrcGrade,$AF280),"—")</f>
        <v>—</v>
      </c>
      <c r="U280" s="35" t="s">
        <v>2775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5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6" t="s">
        <v>3464</v>
      </c>
      <c r="B281" s="212" t="s">
        <v>2769</v>
      </c>
      <c r="C281" s="36" t="s">
        <v>3420</v>
      </c>
      <c r="D281" s="36" t="s">
        <v>2789</v>
      </c>
      <c r="E281" s="19" t="s">
        <v>3462</v>
      </c>
      <c r="F281" s="36" t="s">
        <v>78</v>
      </c>
      <c r="G281" s="212" t="s">
        <v>2771</v>
      </c>
      <c r="H281" s="36" t="s">
        <v>585</v>
      </c>
      <c r="I281" s="6" t="s">
        <v>585</v>
      </c>
      <c r="J281" s="36" t="s">
        <v>585</v>
      </c>
      <c r="K281" s="214" t="n">
        <v>0</v>
      </c>
      <c r="L281" s="214" t="n">
        <v>1</v>
      </c>
      <c r="M281" s="36" t="s">
        <v>3463</v>
      </c>
      <c r="N281" s="213" t="str">
        <f aca="false">Workload!$H$10</f>
        <v>Assumed：多數 API 不保留前輪思考（標準 harness）</v>
      </c>
      <c r="O281" s="6" t="s">
        <v>585</v>
      </c>
      <c r="P281" s="212" t="s">
        <v>2774</v>
      </c>
      <c r="Q281" s="176" t="n">
        <f aca="false">Workload!D10</f>
        <v>0</v>
      </c>
      <c r="R281" s="36" t="s">
        <v>585</v>
      </c>
      <c r="S281" s="35" t="str">
        <f aca="false">IF(ISNUMBER($AF281),INDEX(IDX_SrcStat,$AF281),"—")</f>
        <v>—</v>
      </c>
      <c r="T281" s="35" t="str">
        <f aca="false">IF(ISNUMBER($AF281),INDEX(IDX_SrcGrade,$AF281),"—")</f>
        <v>—</v>
      </c>
      <c r="U281" s="35" t="s">
        <v>2775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5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6" t="s">
        <v>3465</v>
      </c>
      <c r="B282" s="212" t="s">
        <v>2769</v>
      </c>
      <c r="C282" s="36" t="s">
        <v>3420</v>
      </c>
      <c r="D282" s="36" t="s">
        <v>2675</v>
      </c>
      <c r="E282" s="19" t="s">
        <v>3462</v>
      </c>
      <c r="F282" s="36" t="s">
        <v>78</v>
      </c>
      <c r="G282" s="212" t="s">
        <v>2771</v>
      </c>
      <c r="H282" s="36" t="s">
        <v>585</v>
      </c>
      <c r="I282" s="6" t="s">
        <v>585</v>
      </c>
      <c r="J282" s="36" t="s">
        <v>585</v>
      </c>
      <c r="K282" s="214" t="n">
        <v>0</v>
      </c>
      <c r="L282" s="214" t="n">
        <v>1</v>
      </c>
      <c r="M282" s="36" t="s">
        <v>3463</v>
      </c>
      <c r="N282" s="213" t="str">
        <f aca="false">Workload!$H$10</f>
        <v>Assumed：多數 API 不保留前輪思考（標準 harness）</v>
      </c>
      <c r="O282" s="6" t="s">
        <v>585</v>
      </c>
      <c r="P282" s="212" t="s">
        <v>2774</v>
      </c>
      <c r="Q282" s="176" t="n">
        <f aca="false">Workload!E10</f>
        <v>0</v>
      </c>
      <c r="R282" s="36" t="s">
        <v>585</v>
      </c>
      <c r="S282" s="35" t="str">
        <f aca="false">IF(ISNUMBER($AF282),INDEX(IDX_SrcStat,$AF282),"—")</f>
        <v>—</v>
      </c>
      <c r="T282" s="35" t="str">
        <f aca="false">IF(ISNUMBER($AF282),INDEX(IDX_SrcGrade,$AF282),"—")</f>
        <v>—</v>
      </c>
      <c r="U282" s="35" t="s">
        <v>2775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5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6" t="s">
        <v>3466</v>
      </c>
      <c r="B283" s="212" t="s">
        <v>2769</v>
      </c>
      <c r="C283" s="36" t="s">
        <v>3420</v>
      </c>
      <c r="D283" s="36" t="s">
        <v>2791</v>
      </c>
      <c r="E283" s="19" t="s">
        <v>3462</v>
      </c>
      <c r="F283" s="36" t="s">
        <v>78</v>
      </c>
      <c r="G283" s="212" t="s">
        <v>2771</v>
      </c>
      <c r="H283" s="36" t="s">
        <v>585</v>
      </c>
      <c r="I283" s="6" t="s">
        <v>585</v>
      </c>
      <c r="J283" s="36" t="s">
        <v>585</v>
      </c>
      <c r="K283" s="214" t="n">
        <v>0</v>
      </c>
      <c r="L283" s="214" t="n">
        <v>1</v>
      </c>
      <c r="M283" s="36" t="s">
        <v>3463</v>
      </c>
      <c r="N283" s="213" t="str">
        <f aca="false">Workload!$H$10</f>
        <v>Assumed：多數 API 不保留前輪思考（標準 harness）</v>
      </c>
      <c r="O283" s="6" t="s">
        <v>585</v>
      </c>
      <c r="P283" s="212" t="s">
        <v>2774</v>
      </c>
      <c r="Q283" s="176" t="n">
        <f aca="false">Workload!F10</f>
        <v>0</v>
      </c>
      <c r="R283" s="36" t="s">
        <v>585</v>
      </c>
      <c r="S283" s="35" t="str">
        <f aca="false">IF(ISNUMBER($AF283),INDEX(IDX_SrcStat,$AF283),"—")</f>
        <v>—</v>
      </c>
      <c r="T283" s="35" t="str">
        <f aca="false">IF(ISNUMBER($AF283),INDEX(IDX_SrcGrade,$AF283),"—")</f>
        <v>—</v>
      </c>
      <c r="U283" s="35" t="s">
        <v>2775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5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6" t="s">
        <v>3467</v>
      </c>
      <c r="B284" s="212" t="s">
        <v>2769</v>
      </c>
      <c r="C284" s="36" t="s">
        <v>3420</v>
      </c>
      <c r="D284" s="36" t="s">
        <v>2983</v>
      </c>
      <c r="E284" s="19" t="s">
        <v>3462</v>
      </c>
      <c r="F284" s="36" t="s">
        <v>78</v>
      </c>
      <c r="G284" s="212" t="s">
        <v>2771</v>
      </c>
      <c r="H284" s="36" t="s">
        <v>585</v>
      </c>
      <c r="I284" s="6" t="s">
        <v>585</v>
      </c>
      <c r="J284" s="36" t="s">
        <v>585</v>
      </c>
      <c r="K284" s="214" t="n">
        <v>0</v>
      </c>
      <c r="L284" s="214" t="n">
        <v>1</v>
      </c>
      <c r="M284" s="36" t="s">
        <v>3463</v>
      </c>
      <c r="N284" s="213" t="str">
        <f aca="false">Workload!$H$10</f>
        <v>Assumed：多數 API 不保留前輪思考（標準 harness）</v>
      </c>
      <c r="O284" s="6" t="s">
        <v>585</v>
      </c>
      <c r="P284" s="212" t="s">
        <v>2774</v>
      </c>
      <c r="Q284" s="176" t="n">
        <f aca="false">Workload!G10</f>
        <v>0</v>
      </c>
      <c r="R284" s="36" t="s">
        <v>585</v>
      </c>
      <c r="S284" s="35" t="str">
        <f aca="false">IF(ISNUMBER($AF284),INDEX(IDX_SrcStat,$AF284),"—")</f>
        <v>—</v>
      </c>
      <c r="T284" s="35" t="str">
        <f aca="false">IF(ISNUMBER($AF284),INDEX(IDX_SrcGrade,$AF284),"—")</f>
        <v>—</v>
      </c>
      <c r="U284" s="35" t="s">
        <v>2775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5" t="str">
        <f aca="false">IF(OR($H284="—",$H284=""),"—",MATCH($H284,IDX_SrcID,0))</f>
        <v>—</v>
      </c>
    </row>
    <row r="285" customFormat="false" ht="15" hidden="false" customHeight="true" outlineLevel="0" collapsed="false">
      <c r="A285" s="36" t="s">
        <v>3468</v>
      </c>
      <c r="B285" s="212" t="s">
        <v>2769</v>
      </c>
      <c r="C285" s="36" t="s">
        <v>3420</v>
      </c>
      <c r="D285" s="36" t="s">
        <v>2986</v>
      </c>
      <c r="E285" s="19" t="s">
        <v>3469</v>
      </c>
      <c r="F285" s="36" t="s">
        <v>78</v>
      </c>
      <c r="G285" s="212" t="s">
        <v>2771</v>
      </c>
      <c r="H285" s="36" t="s">
        <v>585</v>
      </c>
      <c r="I285" s="6" t="s">
        <v>585</v>
      </c>
      <c r="J285" s="36" t="s">
        <v>585</v>
      </c>
      <c r="K285" s="214" t="n">
        <v>0.3</v>
      </c>
      <c r="L285" s="214" t="n">
        <v>0.7</v>
      </c>
      <c r="M285" s="36" t="s">
        <v>3470</v>
      </c>
      <c r="N285" s="213" t="str">
        <f aca="false">Workload!$H$11</f>
        <v>Assumed；代理迴圈前綴重用高</v>
      </c>
      <c r="O285" s="6" t="s">
        <v>585</v>
      </c>
      <c r="P285" s="212" t="s">
        <v>1114</v>
      </c>
      <c r="Q285" s="176" t="n">
        <f aca="false">Workload!C11</f>
        <v>0.5</v>
      </c>
      <c r="R285" s="36" t="s">
        <v>585</v>
      </c>
      <c r="S285" s="35" t="str">
        <f aca="false">IF(ISNUMBER($AF285),INDEX(IDX_SrcStat,$AF285),"—")</f>
        <v>—</v>
      </c>
      <c r="T285" s="35" t="str">
        <f aca="false">IF(ISNUMBER($AF285),INDEX(IDX_SrcGrade,$AF285),"—")</f>
        <v>—</v>
      </c>
      <c r="U285" s="35" t="s">
        <v>2775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5" t="str">
        <f aca="false">IF(OR($H285="—",$H285=""),"—",MATCH($H285,IDX_SrcID,0))</f>
        <v>—</v>
      </c>
    </row>
    <row r="286" customFormat="false" ht="15" hidden="false" customHeight="true" outlineLevel="0" collapsed="false">
      <c r="A286" s="36" t="s">
        <v>3471</v>
      </c>
      <c r="B286" s="212" t="s">
        <v>2769</v>
      </c>
      <c r="C286" s="36" t="s">
        <v>3420</v>
      </c>
      <c r="D286" s="36" t="s">
        <v>2796</v>
      </c>
      <c r="E286" s="19" t="s">
        <v>3469</v>
      </c>
      <c r="F286" s="36" t="s">
        <v>78</v>
      </c>
      <c r="G286" s="212" t="s">
        <v>2771</v>
      </c>
      <c r="H286" s="36" t="s">
        <v>585</v>
      </c>
      <c r="I286" s="6" t="s">
        <v>585</v>
      </c>
      <c r="J286" s="36" t="s">
        <v>585</v>
      </c>
      <c r="K286" s="214" t="n">
        <v>0.3</v>
      </c>
      <c r="L286" s="214" t="n">
        <v>0.7</v>
      </c>
      <c r="M286" s="36" t="s">
        <v>3470</v>
      </c>
      <c r="N286" s="213" t="str">
        <f aca="false">Workload!$H$11</f>
        <v>Assumed；代理迴圈前綴重用高</v>
      </c>
      <c r="O286" s="6" t="s">
        <v>585</v>
      </c>
      <c r="P286" s="212" t="s">
        <v>1114</v>
      </c>
      <c r="Q286" s="176" t="n">
        <f aca="false">Workload!D11</f>
        <v>0.5</v>
      </c>
      <c r="R286" s="36" t="s">
        <v>585</v>
      </c>
      <c r="S286" s="35" t="str">
        <f aca="false">IF(ISNUMBER($AF286),INDEX(IDX_SrcStat,$AF286),"—")</f>
        <v>—</v>
      </c>
      <c r="T286" s="35" t="str">
        <f aca="false">IF(ISNUMBER($AF286),INDEX(IDX_SrcGrade,$AF286),"—")</f>
        <v>—</v>
      </c>
      <c r="U286" s="35" t="s">
        <v>2775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5" t="str">
        <f aca="false">IF(OR($H286="—",$H286=""),"—",MATCH($H286,IDX_SrcID,0))</f>
        <v>—</v>
      </c>
    </row>
    <row r="287" customFormat="false" ht="15" hidden="false" customHeight="true" outlineLevel="0" collapsed="false">
      <c r="A287" s="36" t="s">
        <v>3472</v>
      </c>
      <c r="B287" s="212" t="s">
        <v>2769</v>
      </c>
      <c r="C287" s="36" t="s">
        <v>3420</v>
      </c>
      <c r="D287" s="36" t="s">
        <v>2678</v>
      </c>
      <c r="E287" s="19" t="s">
        <v>3469</v>
      </c>
      <c r="F287" s="36" t="s">
        <v>78</v>
      </c>
      <c r="G287" s="212" t="s">
        <v>2771</v>
      </c>
      <c r="H287" s="36" t="s">
        <v>585</v>
      </c>
      <c r="I287" s="6" t="s">
        <v>585</v>
      </c>
      <c r="J287" s="36" t="s">
        <v>585</v>
      </c>
      <c r="K287" s="214" t="n">
        <v>0.7</v>
      </c>
      <c r="L287" s="214" t="n">
        <v>0.95</v>
      </c>
      <c r="M287" s="36" t="s">
        <v>3473</v>
      </c>
      <c r="N287" s="213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585</v>
      </c>
      <c r="P287" s="212" t="s">
        <v>1114</v>
      </c>
      <c r="Q287" s="176" t="n">
        <f aca="false">Workload!E11</f>
        <v>0.9</v>
      </c>
      <c r="R287" s="36" t="s">
        <v>585</v>
      </c>
      <c r="S287" s="35" t="str">
        <f aca="false">IF(ISNUMBER($AF287),INDEX(IDX_SrcStat,$AF287),"—")</f>
        <v>—</v>
      </c>
      <c r="T287" s="35" t="str">
        <f aca="false">IF(ISNUMBER($AF287),INDEX(IDX_SrcGrade,$AF287),"—")</f>
        <v>—</v>
      </c>
      <c r="U287" s="35" t="s">
        <v>2775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5" t="str">
        <f aca="false">IF(OR($H287="—",$H287=""),"—",MATCH($H287,IDX_SrcID,0))</f>
        <v>—</v>
      </c>
    </row>
    <row r="288" customFormat="false" ht="15" hidden="false" customHeight="true" outlineLevel="0" collapsed="false">
      <c r="A288" s="36" t="s">
        <v>3474</v>
      </c>
      <c r="B288" s="212" t="s">
        <v>2769</v>
      </c>
      <c r="C288" s="36" t="s">
        <v>3420</v>
      </c>
      <c r="D288" s="36" t="s">
        <v>2798</v>
      </c>
      <c r="E288" s="19" t="s">
        <v>3469</v>
      </c>
      <c r="F288" s="36" t="s">
        <v>78</v>
      </c>
      <c r="G288" s="212" t="s">
        <v>2771</v>
      </c>
      <c r="H288" s="36" t="s">
        <v>585</v>
      </c>
      <c r="I288" s="6" t="s">
        <v>585</v>
      </c>
      <c r="J288" s="36" t="s">
        <v>585</v>
      </c>
      <c r="K288" s="214" t="n">
        <v>0.7</v>
      </c>
      <c r="L288" s="214" t="n">
        <v>0.95</v>
      </c>
      <c r="M288" s="36" t="s">
        <v>3473</v>
      </c>
      <c r="N288" s="213" t="str">
        <f aca="false">Workload!$H$11</f>
        <v>Assumed；代理迴圈前綴重用高</v>
      </c>
      <c r="O288" s="6" t="s">
        <v>585</v>
      </c>
      <c r="P288" s="212" t="s">
        <v>1114</v>
      </c>
      <c r="Q288" s="176" t="n">
        <f aca="false">Workload!F11</f>
        <v>0.9</v>
      </c>
      <c r="R288" s="36" t="s">
        <v>585</v>
      </c>
      <c r="S288" s="35" t="str">
        <f aca="false">IF(ISNUMBER($AF288),INDEX(IDX_SrcStat,$AF288),"—")</f>
        <v>—</v>
      </c>
      <c r="T288" s="35" t="str">
        <f aca="false">IF(ISNUMBER($AF288),INDEX(IDX_SrcGrade,$AF288),"—")</f>
        <v>—</v>
      </c>
      <c r="U288" s="35" t="s">
        <v>2775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5" t="str">
        <f aca="false">IF(OR($H288="—",$H288=""),"—",MATCH($H288,IDX_SrcID,0))</f>
        <v>—</v>
      </c>
    </row>
    <row r="289" customFormat="false" ht="15" hidden="false" customHeight="true" outlineLevel="0" collapsed="false">
      <c r="A289" s="36" t="s">
        <v>3475</v>
      </c>
      <c r="B289" s="212" t="s">
        <v>2769</v>
      </c>
      <c r="C289" s="36" t="s">
        <v>3420</v>
      </c>
      <c r="D289" s="36" t="s">
        <v>3001</v>
      </c>
      <c r="E289" s="19" t="s">
        <v>3469</v>
      </c>
      <c r="F289" s="36" t="s">
        <v>78</v>
      </c>
      <c r="G289" s="212" t="s">
        <v>2771</v>
      </c>
      <c r="H289" s="36" t="s">
        <v>585</v>
      </c>
      <c r="I289" s="6" t="s">
        <v>585</v>
      </c>
      <c r="J289" s="36" t="s">
        <v>585</v>
      </c>
      <c r="K289" s="214" t="n">
        <v>0.7</v>
      </c>
      <c r="L289" s="214" t="n">
        <v>0.95</v>
      </c>
      <c r="M289" s="36" t="s">
        <v>3473</v>
      </c>
      <c r="N289" s="213" t="str">
        <f aca="false">Workload!$H$11</f>
        <v>Assumed；代理迴圈前綴重用高</v>
      </c>
      <c r="O289" s="6" t="s">
        <v>585</v>
      </c>
      <c r="P289" s="212" t="s">
        <v>1114</v>
      </c>
      <c r="Q289" s="176" t="n">
        <f aca="false">Workload!G11</f>
        <v>0.9</v>
      </c>
      <c r="R289" s="36" t="s">
        <v>585</v>
      </c>
      <c r="S289" s="35" t="str">
        <f aca="false">IF(ISNUMBER($AF289),INDEX(IDX_SrcStat,$AF289),"—")</f>
        <v>—</v>
      </c>
      <c r="T289" s="35" t="str">
        <f aca="false">IF(ISNUMBER($AF289),INDEX(IDX_SrcGrade,$AF289),"—")</f>
        <v>—</v>
      </c>
      <c r="U289" s="35" t="s">
        <v>2775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5" t="str">
        <f aca="false">IF(OR($H289="—",$H289=""),"—",MATCH($H289,IDX_SrcID,0))</f>
        <v>—</v>
      </c>
    </row>
    <row r="290" customFormat="false" ht="15" hidden="false" customHeight="true" outlineLevel="0" collapsed="false">
      <c r="A290" s="36" t="s">
        <v>3476</v>
      </c>
      <c r="B290" s="212" t="s">
        <v>2769</v>
      </c>
      <c r="C290" s="36" t="s">
        <v>3420</v>
      </c>
      <c r="D290" s="36" t="s">
        <v>3006</v>
      </c>
      <c r="E290" s="19" t="s">
        <v>3477</v>
      </c>
      <c r="F290" s="36" t="s">
        <v>78</v>
      </c>
      <c r="G290" s="212" t="s">
        <v>2771</v>
      </c>
      <c r="H290" s="36" t="s">
        <v>585</v>
      </c>
      <c r="I290" s="6" t="s">
        <v>585</v>
      </c>
      <c r="J290" s="36" t="s">
        <v>585</v>
      </c>
      <c r="K290" s="214" t="n">
        <v>0</v>
      </c>
      <c r="L290" s="184" t="n">
        <f aca="false">MAX(1,Workload!C12*2)</f>
        <v>1</v>
      </c>
      <c r="M290" s="36" t="s">
        <v>3478</v>
      </c>
      <c r="N290" s="213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585</v>
      </c>
      <c r="P290" s="212" t="s">
        <v>2774</v>
      </c>
      <c r="Q290" s="182" t="n">
        <f aca="false">Workload!C12</f>
        <v>0</v>
      </c>
      <c r="R290" s="36" t="s">
        <v>585</v>
      </c>
      <c r="S290" s="35" t="str">
        <f aca="false">IF(ISNUMBER($AF290),INDEX(IDX_SrcStat,$AF290),"—")</f>
        <v>—</v>
      </c>
      <c r="T290" s="35" t="str">
        <f aca="false">IF(ISNUMBER($AF290),INDEX(IDX_SrcGrade,$AF290),"—")</f>
        <v>—</v>
      </c>
      <c r="U290" s="35" t="s">
        <v>2775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5" t="str">
        <f aca="false">IF(OR($H290="—",$H290=""),"—",MATCH($H290,IDX_SrcID,0))</f>
        <v>—</v>
      </c>
    </row>
    <row r="291" customFormat="false" ht="15" hidden="false" customHeight="true" outlineLevel="0" collapsed="false">
      <c r="A291" s="36" t="s">
        <v>3479</v>
      </c>
      <c r="B291" s="212" t="s">
        <v>2769</v>
      </c>
      <c r="C291" s="36" t="s">
        <v>3420</v>
      </c>
      <c r="D291" s="36" t="s">
        <v>3010</v>
      </c>
      <c r="E291" s="19" t="s">
        <v>3477</v>
      </c>
      <c r="F291" s="36" t="s">
        <v>78</v>
      </c>
      <c r="G291" s="212" t="s">
        <v>2771</v>
      </c>
      <c r="H291" s="36" t="s">
        <v>585</v>
      </c>
      <c r="I291" s="6" t="s">
        <v>585</v>
      </c>
      <c r="J291" s="36" t="s">
        <v>585</v>
      </c>
      <c r="K291" s="214" t="n">
        <v>0</v>
      </c>
      <c r="L291" s="184" t="n">
        <f aca="false">MAX(1,Workload!D12*2)</f>
        <v>1</v>
      </c>
      <c r="M291" s="36" t="s">
        <v>3478</v>
      </c>
      <c r="N291" s="213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585</v>
      </c>
      <c r="P291" s="212" t="s">
        <v>2774</v>
      </c>
      <c r="Q291" s="182" t="n">
        <f aca="false">Workload!D12</f>
        <v>0</v>
      </c>
      <c r="R291" s="36" t="s">
        <v>585</v>
      </c>
      <c r="S291" s="35" t="str">
        <f aca="false">IF(ISNUMBER($AF291),INDEX(IDX_SrcStat,$AF291),"—")</f>
        <v>—</v>
      </c>
      <c r="T291" s="35" t="str">
        <f aca="false">IF(ISNUMBER($AF291),INDEX(IDX_SrcGrade,$AF291),"—")</f>
        <v>—</v>
      </c>
      <c r="U291" s="35" t="s">
        <v>2775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5" t="str">
        <f aca="false">IF(OR($H291="—",$H291=""),"—",MATCH($H291,IDX_SrcID,0))</f>
        <v>—</v>
      </c>
    </row>
    <row r="292" customFormat="false" ht="15" hidden="false" customHeight="true" outlineLevel="0" collapsed="false">
      <c r="A292" s="36" t="s">
        <v>3480</v>
      </c>
      <c r="B292" s="212" t="s">
        <v>2769</v>
      </c>
      <c r="C292" s="36" t="s">
        <v>3420</v>
      </c>
      <c r="D292" s="36" t="s">
        <v>2681</v>
      </c>
      <c r="E292" s="19" t="s">
        <v>3477</v>
      </c>
      <c r="F292" s="36" t="s">
        <v>78</v>
      </c>
      <c r="G292" s="212" t="s">
        <v>2771</v>
      </c>
      <c r="H292" s="36" t="s">
        <v>585</v>
      </c>
      <c r="I292" s="6" t="s">
        <v>585</v>
      </c>
      <c r="J292" s="36" t="s">
        <v>585</v>
      </c>
      <c r="K292" s="214" t="n">
        <v>0</v>
      </c>
      <c r="L292" s="184" t="n">
        <f aca="false">MAX(1,Workload!E12*2)</f>
        <v>1</v>
      </c>
      <c r="M292" s="36" t="s">
        <v>3478</v>
      </c>
      <c r="N292" s="213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585</v>
      </c>
      <c r="P292" s="212" t="s">
        <v>2774</v>
      </c>
      <c r="Q292" s="182" t="n">
        <f aca="false">Workload!E12</f>
        <v>0</v>
      </c>
      <c r="R292" s="36" t="s">
        <v>585</v>
      </c>
      <c r="S292" s="35" t="str">
        <f aca="false">IF(ISNUMBER($AF292),INDEX(IDX_SrcStat,$AF292),"—")</f>
        <v>—</v>
      </c>
      <c r="T292" s="35" t="str">
        <f aca="false">IF(ISNUMBER($AF292),INDEX(IDX_SrcGrade,$AF292),"—")</f>
        <v>—</v>
      </c>
      <c r="U292" s="35" t="s">
        <v>2775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5" t="str">
        <f aca="false">IF(OR($H292="—",$H292=""),"—",MATCH($H292,IDX_SrcID,0))</f>
        <v>—</v>
      </c>
    </row>
    <row r="293" customFormat="false" ht="15" hidden="false" customHeight="true" outlineLevel="0" collapsed="false">
      <c r="A293" s="36" t="s">
        <v>3481</v>
      </c>
      <c r="B293" s="212" t="s">
        <v>2769</v>
      </c>
      <c r="C293" s="36" t="s">
        <v>3420</v>
      </c>
      <c r="D293" s="36" t="s">
        <v>3016</v>
      </c>
      <c r="E293" s="19" t="s">
        <v>3477</v>
      </c>
      <c r="F293" s="36" t="s">
        <v>78</v>
      </c>
      <c r="G293" s="212" t="s">
        <v>2771</v>
      </c>
      <c r="H293" s="36" t="s">
        <v>585</v>
      </c>
      <c r="I293" s="6" t="s">
        <v>585</v>
      </c>
      <c r="J293" s="36" t="s">
        <v>585</v>
      </c>
      <c r="K293" s="214" t="n">
        <v>0</v>
      </c>
      <c r="L293" s="184" t="n">
        <f aca="false">MAX(1,Workload!F12*2)</f>
        <v>6</v>
      </c>
      <c r="M293" s="36" t="s">
        <v>3478</v>
      </c>
      <c r="N293" s="213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585</v>
      </c>
      <c r="P293" s="212" t="s">
        <v>2774</v>
      </c>
      <c r="Q293" s="182" t="n">
        <f aca="false">Workload!F12</f>
        <v>3</v>
      </c>
      <c r="R293" s="36" t="s">
        <v>585</v>
      </c>
      <c r="S293" s="35" t="str">
        <f aca="false">IF(ISNUMBER($AF293),INDEX(IDX_SrcStat,$AF293),"—")</f>
        <v>—</v>
      </c>
      <c r="T293" s="35" t="str">
        <f aca="false">IF(ISNUMBER($AF293),INDEX(IDX_SrcGrade,$AF293),"—")</f>
        <v>—</v>
      </c>
      <c r="U293" s="35" t="s">
        <v>2775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5" t="str">
        <f aca="false">IF(OR($H293="—",$H293=""),"—",MATCH($H293,IDX_SrcID,0))</f>
        <v>—</v>
      </c>
    </row>
    <row r="294" customFormat="false" ht="15" hidden="false" customHeight="true" outlineLevel="0" collapsed="false">
      <c r="A294" s="36" t="s">
        <v>3482</v>
      </c>
      <c r="B294" s="212" t="s">
        <v>2769</v>
      </c>
      <c r="C294" s="36" t="s">
        <v>3420</v>
      </c>
      <c r="D294" s="36" t="s">
        <v>3021</v>
      </c>
      <c r="E294" s="19" t="s">
        <v>3477</v>
      </c>
      <c r="F294" s="36" t="s">
        <v>78</v>
      </c>
      <c r="G294" s="212" t="s">
        <v>2771</v>
      </c>
      <c r="H294" s="36" t="s">
        <v>585</v>
      </c>
      <c r="I294" s="6" t="s">
        <v>585</v>
      </c>
      <c r="J294" s="36" t="s">
        <v>585</v>
      </c>
      <c r="K294" s="214" t="n">
        <v>0</v>
      </c>
      <c r="L294" s="184" t="n">
        <f aca="false">MAX(1,Workload!G12*2)</f>
        <v>1</v>
      </c>
      <c r="M294" s="36" t="s">
        <v>3478</v>
      </c>
      <c r="N294" s="213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585</v>
      </c>
      <c r="P294" s="212" t="s">
        <v>1114</v>
      </c>
      <c r="Q294" s="182" t="n">
        <f aca="false">Workload!G12</f>
        <v>0</v>
      </c>
      <c r="R294" s="36" t="s">
        <v>585</v>
      </c>
      <c r="S294" s="35" t="str">
        <f aca="false">IF(ISNUMBER($AF294),INDEX(IDX_SrcStat,$AF294),"—")</f>
        <v>—</v>
      </c>
      <c r="T294" s="35" t="str">
        <f aca="false">IF(ISNUMBER($AF294),INDEX(IDX_SrcGrade,$AF294),"—")</f>
        <v>—</v>
      </c>
      <c r="U294" s="35" t="s">
        <v>2775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5" t="str">
        <f aca="false">IF(OR($H294="—",$H294=""),"—",MATCH($H294,IDX_SrcID,0))</f>
        <v>—</v>
      </c>
    </row>
    <row r="295" customFormat="false" ht="15" hidden="false" customHeight="true" outlineLevel="0" collapsed="false">
      <c r="A295" s="36" t="s">
        <v>3483</v>
      </c>
      <c r="B295" s="212" t="s">
        <v>2769</v>
      </c>
      <c r="C295" s="36" t="s">
        <v>3420</v>
      </c>
      <c r="D295" s="36" t="s">
        <v>3024</v>
      </c>
      <c r="E295" s="6" t="s">
        <v>369</v>
      </c>
      <c r="F295" s="36" t="s">
        <v>70</v>
      </c>
      <c r="G295" s="212" t="s">
        <v>2771</v>
      </c>
      <c r="H295" s="36" t="s">
        <v>585</v>
      </c>
      <c r="I295" s="6" t="s">
        <v>585</v>
      </c>
      <c r="J295" s="36" t="s">
        <v>3484</v>
      </c>
      <c r="K295" s="212"/>
      <c r="L295" s="212"/>
      <c r="M295" s="36" t="s">
        <v>585</v>
      </c>
      <c r="N295" s="6" t="s">
        <v>3485</v>
      </c>
      <c r="O295" s="6" t="s">
        <v>585</v>
      </c>
      <c r="P295" s="212" t="s">
        <v>1114</v>
      </c>
      <c r="Q295" s="174" t="n">
        <f aca="false">Workload!C13</f>
        <v>1</v>
      </c>
      <c r="R295" s="36" t="s">
        <v>585</v>
      </c>
      <c r="S295" s="35" t="str">
        <f aca="false">IF(ISNUMBER($AF295),INDEX(IDX_SrcStat,$AF295),"—")</f>
        <v>—</v>
      </c>
      <c r="T295" s="35" t="str">
        <f aca="false">IF(ISNUMBER($AF295),INDEX(IDX_SrcGrade,$AF295),"—")</f>
        <v>—</v>
      </c>
      <c r="U295" s="35" t="s">
        <v>2775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5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6" t="s">
        <v>3486</v>
      </c>
      <c r="B296" s="212" t="s">
        <v>2769</v>
      </c>
      <c r="C296" s="36" t="s">
        <v>3420</v>
      </c>
      <c r="D296" s="36" t="s">
        <v>3273</v>
      </c>
      <c r="E296" s="19" t="s">
        <v>3487</v>
      </c>
      <c r="F296" s="36" t="s">
        <v>70</v>
      </c>
      <c r="G296" s="212" t="s">
        <v>2771</v>
      </c>
      <c r="H296" s="36" t="s">
        <v>585</v>
      </c>
      <c r="I296" s="6" t="s">
        <v>585</v>
      </c>
      <c r="J296" s="36" t="s">
        <v>3488</v>
      </c>
      <c r="K296" s="212"/>
      <c r="L296" s="212"/>
      <c r="M296" s="36" t="s">
        <v>585</v>
      </c>
      <c r="N296" s="19" t="s">
        <v>3489</v>
      </c>
      <c r="O296" s="6" t="s">
        <v>585</v>
      </c>
      <c r="P296" s="212" t="s">
        <v>2830</v>
      </c>
      <c r="Q296" s="174" t="n">
        <f aca="false">Workload!C14</f>
        <v>1</v>
      </c>
      <c r="R296" s="36" t="s">
        <v>585</v>
      </c>
      <c r="S296" s="35" t="str">
        <f aca="false">IF(ISNUMBER($AF296),INDEX(IDX_SrcStat,$AF296),"—")</f>
        <v>—</v>
      </c>
      <c r="T296" s="35" t="str">
        <f aca="false">IF(ISNUMBER($AF296),INDEX(IDX_SrcGrade,$AF296),"—")</f>
        <v>—</v>
      </c>
      <c r="U296" s="35" t="s">
        <v>2775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5" t="str">
        <f aca="false">IF(OR($H296="—",$H296=""),"—",MATCH($H296,IDX_SrcID,0))</f>
        <v>—</v>
      </c>
    </row>
    <row r="297" customFormat="false" ht="15" hidden="false" customHeight="true" outlineLevel="0" collapsed="false">
      <c r="A297" s="36" t="s">
        <v>3490</v>
      </c>
      <c r="B297" s="212" t="s">
        <v>2769</v>
      </c>
      <c r="C297" s="36" t="s">
        <v>3420</v>
      </c>
      <c r="D297" s="36" t="s">
        <v>2802</v>
      </c>
      <c r="E297" s="6" t="s">
        <v>369</v>
      </c>
      <c r="F297" s="36" t="s">
        <v>70</v>
      </c>
      <c r="G297" s="212" t="s">
        <v>2771</v>
      </c>
      <c r="H297" s="36" t="s">
        <v>585</v>
      </c>
      <c r="I297" s="6" t="s">
        <v>585</v>
      </c>
      <c r="J297" s="36" t="s">
        <v>3484</v>
      </c>
      <c r="K297" s="212"/>
      <c r="L297" s="212"/>
      <c r="M297" s="36" t="s">
        <v>585</v>
      </c>
      <c r="N297" s="6" t="s">
        <v>3485</v>
      </c>
      <c r="O297" s="6" t="s">
        <v>585</v>
      </c>
      <c r="P297" s="212" t="s">
        <v>1114</v>
      </c>
      <c r="Q297" s="174" t="n">
        <f aca="false">Workload!D13</f>
        <v>1</v>
      </c>
      <c r="R297" s="36" t="s">
        <v>585</v>
      </c>
      <c r="S297" s="35" t="str">
        <f aca="false">IF(ISNUMBER($AF297),INDEX(IDX_SrcStat,$AF297),"—")</f>
        <v>—</v>
      </c>
      <c r="T297" s="35" t="str">
        <f aca="false">IF(ISNUMBER($AF297),INDEX(IDX_SrcGrade,$AF297),"—")</f>
        <v>—</v>
      </c>
      <c r="U297" s="35" t="s">
        <v>2775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5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6" t="s">
        <v>3491</v>
      </c>
      <c r="B298" s="212" t="s">
        <v>2769</v>
      </c>
      <c r="C298" s="36" t="s">
        <v>3420</v>
      </c>
      <c r="D298" s="36" t="s">
        <v>2812</v>
      </c>
      <c r="E298" s="19" t="s">
        <v>3487</v>
      </c>
      <c r="F298" s="36" t="s">
        <v>70</v>
      </c>
      <c r="G298" s="212" t="s">
        <v>2771</v>
      </c>
      <c r="H298" s="36" t="s">
        <v>585</v>
      </c>
      <c r="I298" s="6" t="s">
        <v>585</v>
      </c>
      <c r="J298" s="36" t="s">
        <v>3488</v>
      </c>
      <c r="K298" s="212"/>
      <c r="L298" s="212"/>
      <c r="M298" s="36" t="s">
        <v>585</v>
      </c>
      <c r="N298" s="19" t="s">
        <v>3489</v>
      </c>
      <c r="O298" s="6" t="s">
        <v>585</v>
      </c>
      <c r="P298" s="212" t="s">
        <v>2830</v>
      </c>
      <c r="Q298" s="174" t="n">
        <f aca="false">Workload!D14</f>
        <v>1</v>
      </c>
      <c r="R298" s="36" t="s">
        <v>585</v>
      </c>
      <c r="S298" s="35" t="str">
        <f aca="false">IF(ISNUMBER($AF298),INDEX(IDX_SrcStat,$AF298),"—")</f>
        <v>—</v>
      </c>
      <c r="T298" s="35" t="str">
        <f aca="false">IF(ISNUMBER($AF298),INDEX(IDX_SrcGrade,$AF298),"—")</f>
        <v>—</v>
      </c>
      <c r="U298" s="35" t="s">
        <v>2775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5" t="str">
        <f aca="false">IF(OR($H298="—",$H298=""),"—",MATCH($H298,IDX_SrcID,0))</f>
        <v>—</v>
      </c>
    </row>
    <row r="299" customFormat="false" ht="15" hidden="false" customHeight="true" outlineLevel="0" collapsed="false">
      <c r="A299" s="36" t="s">
        <v>3492</v>
      </c>
      <c r="B299" s="212" t="s">
        <v>2769</v>
      </c>
      <c r="C299" s="36" t="s">
        <v>3420</v>
      </c>
      <c r="D299" s="36" t="s">
        <v>2683</v>
      </c>
      <c r="E299" s="6" t="s">
        <v>369</v>
      </c>
      <c r="F299" s="36" t="s">
        <v>70</v>
      </c>
      <c r="G299" s="212" t="s">
        <v>2771</v>
      </c>
      <c r="H299" s="36" t="s">
        <v>585</v>
      </c>
      <c r="I299" s="6" t="s">
        <v>585</v>
      </c>
      <c r="J299" s="36" t="s">
        <v>3484</v>
      </c>
      <c r="K299" s="212"/>
      <c r="L299" s="212"/>
      <c r="M299" s="36" t="s">
        <v>585</v>
      </c>
      <c r="N299" s="6" t="s">
        <v>3485</v>
      </c>
      <c r="O299" s="6" t="s">
        <v>585</v>
      </c>
      <c r="P299" s="212" t="s">
        <v>1114</v>
      </c>
      <c r="Q299" s="174" t="n">
        <f aca="false">Workload!E13</f>
        <v>1</v>
      </c>
      <c r="R299" s="36" t="s">
        <v>585</v>
      </c>
      <c r="S299" s="35" t="str">
        <f aca="false">IF(ISNUMBER($AF299),INDEX(IDX_SrcStat,$AF299),"—")</f>
        <v>—</v>
      </c>
      <c r="T299" s="35" t="str">
        <f aca="false">IF(ISNUMBER($AF299),INDEX(IDX_SrcGrade,$AF299),"—")</f>
        <v>—</v>
      </c>
      <c r="U299" s="35" t="s">
        <v>2775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5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6" t="s">
        <v>3493</v>
      </c>
      <c r="B300" s="212" t="s">
        <v>2769</v>
      </c>
      <c r="C300" s="36" t="s">
        <v>3420</v>
      </c>
      <c r="D300" s="36" t="s">
        <v>2810</v>
      </c>
      <c r="E300" s="19" t="s">
        <v>3487</v>
      </c>
      <c r="F300" s="36" t="s">
        <v>70</v>
      </c>
      <c r="G300" s="212" t="s">
        <v>2771</v>
      </c>
      <c r="H300" s="36" t="s">
        <v>585</v>
      </c>
      <c r="I300" s="6" t="s">
        <v>585</v>
      </c>
      <c r="J300" s="36" t="s">
        <v>3488</v>
      </c>
      <c r="K300" s="212"/>
      <c r="L300" s="212"/>
      <c r="M300" s="36" t="s">
        <v>585</v>
      </c>
      <c r="N300" s="19" t="s">
        <v>3489</v>
      </c>
      <c r="O300" s="6" t="s">
        <v>585</v>
      </c>
      <c r="P300" s="212" t="s">
        <v>2830</v>
      </c>
      <c r="Q300" s="174" t="n">
        <f aca="false">Workload!E14</f>
        <v>1</v>
      </c>
      <c r="R300" s="36" t="s">
        <v>585</v>
      </c>
      <c r="S300" s="35" t="str">
        <f aca="false">IF(ISNUMBER($AF300),INDEX(IDX_SrcStat,$AF300),"—")</f>
        <v>—</v>
      </c>
      <c r="T300" s="35" t="str">
        <f aca="false">IF(ISNUMBER($AF300),INDEX(IDX_SrcGrade,$AF300),"—")</f>
        <v>—</v>
      </c>
      <c r="U300" s="35" t="s">
        <v>2775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5" t="str">
        <f aca="false">IF(OR($H300="—",$H300=""),"—",MATCH($H300,IDX_SrcID,0))</f>
        <v>—</v>
      </c>
    </row>
    <row r="301" customFormat="false" ht="15" hidden="false" customHeight="true" outlineLevel="0" collapsed="false">
      <c r="A301" s="36" t="s">
        <v>3494</v>
      </c>
      <c r="B301" s="212" t="s">
        <v>2769</v>
      </c>
      <c r="C301" s="36" t="s">
        <v>3420</v>
      </c>
      <c r="D301" s="36" t="s">
        <v>2804</v>
      </c>
      <c r="E301" s="6" t="s">
        <v>369</v>
      </c>
      <c r="F301" s="36" t="s">
        <v>70</v>
      </c>
      <c r="G301" s="212" t="s">
        <v>2771</v>
      </c>
      <c r="H301" s="36" t="s">
        <v>585</v>
      </c>
      <c r="I301" s="6" t="s">
        <v>585</v>
      </c>
      <c r="J301" s="36" t="s">
        <v>3484</v>
      </c>
      <c r="K301" s="212"/>
      <c r="L301" s="212"/>
      <c r="M301" s="36" t="s">
        <v>585</v>
      </c>
      <c r="N301" s="6" t="s">
        <v>3485</v>
      </c>
      <c r="O301" s="6" t="s">
        <v>585</v>
      </c>
      <c r="P301" s="212" t="s">
        <v>1114</v>
      </c>
      <c r="Q301" s="174" t="n">
        <f aca="false">Workload!F13</f>
        <v>1</v>
      </c>
      <c r="R301" s="36" t="s">
        <v>585</v>
      </c>
      <c r="S301" s="35" t="str">
        <f aca="false">IF(ISNUMBER($AF301),INDEX(IDX_SrcStat,$AF301),"—")</f>
        <v>—</v>
      </c>
      <c r="T301" s="35" t="str">
        <f aca="false">IF(ISNUMBER($AF301),INDEX(IDX_SrcGrade,$AF301),"—")</f>
        <v>—</v>
      </c>
      <c r="U301" s="35" t="s">
        <v>2775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5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6" t="s">
        <v>3495</v>
      </c>
      <c r="B302" s="212" t="s">
        <v>2769</v>
      </c>
      <c r="C302" s="36" t="s">
        <v>3420</v>
      </c>
      <c r="D302" s="36" t="s">
        <v>2814</v>
      </c>
      <c r="E302" s="19" t="s">
        <v>3487</v>
      </c>
      <c r="F302" s="36" t="s">
        <v>70</v>
      </c>
      <c r="G302" s="212" t="s">
        <v>2771</v>
      </c>
      <c r="H302" s="36" t="s">
        <v>585</v>
      </c>
      <c r="I302" s="6" t="s">
        <v>585</v>
      </c>
      <c r="J302" s="36" t="s">
        <v>3488</v>
      </c>
      <c r="K302" s="212"/>
      <c r="L302" s="212"/>
      <c r="M302" s="36" t="s">
        <v>585</v>
      </c>
      <c r="N302" s="19" t="s">
        <v>3489</v>
      </c>
      <c r="O302" s="6" t="s">
        <v>585</v>
      </c>
      <c r="P302" s="212" t="s">
        <v>2830</v>
      </c>
      <c r="Q302" s="174" t="n">
        <f aca="false">Workload!F14</f>
        <v>1</v>
      </c>
      <c r="R302" s="36" t="s">
        <v>585</v>
      </c>
      <c r="S302" s="35" t="str">
        <f aca="false">IF(ISNUMBER($AF302),INDEX(IDX_SrcStat,$AF302),"—")</f>
        <v>—</v>
      </c>
      <c r="T302" s="35" t="str">
        <f aca="false">IF(ISNUMBER($AF302),INDEX(IDX_SrcGrade,$AF302),"—")</f>
        <v>—</v>
      </c>
      <c r="U302" s="35" t="s">
        <v>2775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5" t="str">
        <f aca="false">IF(OR($H302="—",$H302=""),"—",MATCH($H302,IDX_SrcID,0))</f>
        <v>—</v>
      </c>
    </row>
    <row r="303" customFormat="false" ht="15" hidden="false" customHeight="true" outlineLevel="0" collapsed="false">
      <c r="A303" s="36" t="s">
        <v>3496</v>
      </c>
      <c r="B303" s="212" t="s">
        <v>2769</v>
      </c>
      <c r="C303" s="36" t="s">
        <v>3420</v>
      </c>
      <c r="D303" s="36" t="s">
        <v>3035</v>
      </c>
      <c r="E303" s="6" t="s">
        <v>369</v>
      </c>
      <c r="F303" s="36" t="s">
        <v>70</v>
      </c>
      <c r="G303" s="212" t="s">
        <v>2771</v>
      </c>
      <c r="H303" s="36" t="s">
        <v>585</v>
      </c>
      <c r="I303" s="6" t="s">
        <v>585</v>
      </c>
      <c r="J303" s="36" t="s">
        <v>3484</v>
      </c>
      <c r="K303" s="212"/>
      <c r="L303" s="212"/>
      <c r="M303" s="36" t="s">
        <v>585</v>
      </c>
      <c r="N303" s="6" t="s">
        <v>3485</v>
      </c>
      <c r="O303" s="6" t="s">
        <v>585</v>
      </c>
      <c r="P303" s="212" t="s">
        <v>1114</v>
      </c>
      <c r="Q303" s="174" t="n">
        <f aca="false">Workload!G13</f>
        <v>1</v>
      </c>
      <c r="R303" s="36" t="s">
        <v>585</v>
      </c>
      <c r="S303" s="35" t="str">
        <f aca="false">IF(ISNUMBER($AF303),INDEX(IDX_SrcStat,$AF303),"—")</f>
        <v>—</v>
      </c>
      <c r="T303" s="35" t="str">
        <f aca="false">IF(ISNUMBER($AF303),INDEX(IDX_SrcGrade,$AF303),"—")</f>
        <v>—</v>
      </c>
      <c r="U303" s="35" t="s">
        <v>2775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5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6" t="s">
        <v>3497</v>
      </c>
      <c r="B304" s="212" t="s">
        <v>2769</v>
      </c>
      <c r="C304" s="36" t="s">
        <v>3420</v>
      </c>
      <c r="D304" s="36" t="s">
        <v>3498</v>
      </c>
      <c r="E304" s="19" t="s">
        <v>3487</v>
      </c>
      <c r="F304" s="36" t="s">
        <v>70</v>
      </c>
      <c r="G304" s="212" t="s">
        <v>2771</v>
      </c>
      <c r="H304" s="36" t="s">
        <v>585</v>
      </c>
      <c r="I304" s="6" t="s">
        <v>585</v>
      </c>
      <c r="J304" s="36" t="s">
        <v>3488</v>
      </c>
      <c r="K304" s="212"/>
      <c r="L304" s="212"/>
      <c r="M304" s="36" t="s">
        <v>585</v>
      </c>
      <c r="N304" s="19" t="s">
        <v>3489</v>
      </c>
      <c r="O304" s="6" t="s">
        <v>585</v>
      </c>
      <c r="P304" s="212" t="s">
        <v>2830</v>
      </c>
      <c r="Q304" s="174" t="n">
        <f aca="false">Workload!G14</f>
        <v>1</v>
      </c>
      <c r="R304" s="36" t="s">
        <v>585</v>
      </c>
      <c r="S304" s="35" t="str">
        <f aca="false">IF(ISNUMBER($AF304),INDEX(IDX_SrcStat,$AF304),"—")</f>
        <v>—</v>
      </c>
      <c r="T304" s="35" t="str">
        <f aca="false">IF(ISNUMBER($AF304),INDEX(IDX_SrcGrade,$AF304),"—")</f>
        <v>—</v>
      </c>
      <c r="U304" s="35" t="s">
        <v>2775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5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6" t="s">
        <v>3499</v>
      </c>
      <c r="B305" s="212" t="s">
        <v>3500</v>
      </c>
      <c r="C305" s="36" t="s">
        <v>3420</v>
      </c>
      <c r="D305" s="36" t="s">
        <v>3218</v>
      </c>
      <c r="E305" s="19" t="s">
        <v>3501</v>
      </c>
      <c r="F305" s="190" t="s">
        <v>78</v>
      </c>
      <c r="G305" s="212" t="s">
        <v>2771</v>
      </c>
      <c r="H305" s="36" t="s">
        <v>585</v>
      </c>
      <c r="I305" s="217" t="s">
        <v>585</v>
      </c>
      <c r="J305" s="36" t="s">
        <v>585</v>
      </c>
      <c r="K305" s="212"/>
      <c r="L305" s="212"/>
      <c r="M305" s="212" t="s">
        <v>2708</v>
      </c>
      <c r="N305" s="19" t="s">
        <v>3502</v>
      </c>
      <c r="O305" s="6" t="s">
        <v>585</v>
      </c>
      <c r="P305" s="212" t="s">
        <v>2774</v>
      </c>
      <c r="Q305" s="182" t="n">
        <f aca="false">Workload!C40</f>
        <v>1</v>
      </c>
      <c r="R305" s="36" t="s">
        <v>585</v>
      </c>
      <c r="S305" s="35" t="str">
        <f aca="false">IF(ISNUMBER($AF305),INDEX(IDX_SrcStat,$AF305),"—")</f>
        <v>—</v>
      </c>
      <c r="T305" s="35" t="str">
        <f aca="false">IF(ISNUMBER($AF305),INDEX(IDX_SrcGrade,$AF305),"—")</f>
        <v>—</v>
      </c>
      <c r="U305" s="35" t="s">
        <v>2775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5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6" t="s">
        <v>3503</v>
      </c>
      <c r="B306" s="212" t="s">
        <v>3500</v>
      </c>
      <c r="C306" s="36" t="s">
        <v>3420</v>
      </c>
      <c r="D306" s="36" t="s">
        <v>3223</v>
      </c>
      <c r="E306" s="19" t="s">
        <v>3501</v>
      </c>
      <c r="F306" s="212" t="s">
        <v>296</v>
      </c>
      <c r="G306" s="212" t="s">
        <v>2771</v>
      </c>
      <c r="H306" s="36" t="s">
        <v>3504</v>
      </c>
      <c r="I306" s="19" t="s">
        <v>2806</v>
      </c>
      <c r="J306" s="36" t="s">
        <v>585</v>
      </c>
      <c r="K306" s="212"/>
      <c r="L306" s="212"/>
      <c r="M306" s="36" t="s">
        <v>585</v>
      </c>
      <c r="N306" s="19" t="s">
        <v>3505</v>
      </c>
      <c r="O306" s="6" t="s">
        <v>585</v>
      </c>
      <c r="P306" s="212" t="s">
        <v>2774</v>
      </c>
      <c r="Q306" s="182" t="n">
        <f aca="false">Workload!E40</f>
        <v>4</v>
      </c>
      <c r="R306" s="184" t="n">
        <f aca="false">SRC_HAR_001</f>
        <v>4</v>
      </c>
      <c r="S306" s="35" t="str">
        <f aca="false">IF(ISNUMBER($AF306),INDEX(IDX_SrcStat,$AF306),"—")</f>
        <v>Active</v>
      </c>
      <c r="T306" s="35" t="n">
        <f aca="false">IF(ISNUMBER($AF306),INDEX(IDX_SrcGrade,$AF306),"—")</f>
        <v>2</v>
      </c>
      <c r="U306" s="35" t="s">
        <v>2808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5" t="n">
        <f aca="false">IF(OR($H306="—",$H306=""),"—",MATCH($H306,IDX_SrcID,0))</f>
        <v>557</v>
      </c>
    </row>
    <row r="307" customFormat="false" ht="29.25" hidden="false" customHeight="true" outlineLevel="0" collapsed="false">
      <c r="A307" s="36" t="s">
        <v>3506</v>
      </c>
      <c r="B307" s="212" t="s">
        <v>3500</v>
      </c>
      <c r="C307" s="36" t="s">
        <v>3420</v>
      </c>
      <c r="D307" s="36" t="s">
        <v>3225</v>
      </c>
      <c r="E307" s="19" t="s">
        <v>3501</v>
      </c>
      <c r="F307" s="212" t="s">
        <v>296</v>
      </c>
      <c r="G307" s="212" t="s">
        <v>2771</v>
      </c>
      <c r="H307" s="36" t="s">
        <v>3507</v>
      </c>
      <c r="I307" s="19" t="s">
        <v>2806</v>
      </c>
      <c r="J307" s="36" t="s">
        <v>585</v>
      </c>
      <c r="K307" s="212"/>
      <c r="L307" s="212"/>
      <c r="M307" s="36" t="s">
        <v>585</v>
      </c>
      <c r="N307" s="19" t="s">
        <v>3505</v>
      </c>
      <c r="O307" s="6" t="s">
        <v>585</v>
      </c>
      <c r="P307" s="212" t="s">
        <v>2774</v>
      </c>
      <c r="Q307" s="182" t="n">
        <f aca="false">Workload!F40</f>
        <v>15</v>
      </c>
      <c r="R307" s="184" t="n">
        <f aca="false">SRC_HAR_002</f>
        <v>15</v>
      </c>
      <c r="S307" s="35" t="str">
        <f aca="false">IF(ISNUMBER($AF307),INDEX(IDX_SrcStat,$AF307),"—")</f>
        <v>Active</v>
      </c>
      <c r="T307" s="35" t="n">
        <f aca="false">IF(ISNUMBER($AF307),INDEX(IDX_SrcGrade,$AF307),"—")</f>
        <v>2</v>
      </c>
      <c r="U307" s="35" t="s">
        <v>2808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5" t="n">
        <f aca="false">IF(OR($H307="—",$H307=""),"—",MATCH($H307,IDX_SrcID,0))</f>
        <v>558</v>
      </c>
    </row>
    <row r="308" customFormat="false" ht="43.5" hidden="false" customHeight="true" outlineLevel="0" collapsed="false">
      <c r="A308" s="36" t="s">
        <v>3508</v>
      </c>
      <c r="B308" s="212" t="s">
        <v>2769</v>
      </c>
      <c r="C308" s="36" t="s">
        <v>3509</v>
      </c>
      <c r="D308" s="36" t="s">
        <v>3421</v>
      </c>
      <c r="E308" s="6" t="s">
        <v>409</v>
      </c>
      <c r="F308" s="36" t="s">
        <v>82</v>
      </c>
      <c r="G308" s="212" t="s">
        <v>2771</v>
      </c>
      <c r="H308" s="36" t="s">
        <v>3510</v>
      </c>
      <c r="I308" s="19" t="s">
        <v>3511</v>
      </c>
      <c r="J308" s="36" t="s">
        <v>585</v>
      </c>
      <c r="K308" s="214" t="n">
        <v>0.15</v>
      </c>
      <c r="L308" s="214" t="n">
        <v>0.45</v>
      </c>
      <c r="M308" s="36" t="s">
        <v>3512</v>
      </c>
      <c r="N308" s="213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585</v>
      </c>
      <c r="P308" s="212" t="s">
        <v>1114</v>
      </c>
      <c r="Q308" s="176" t="n">
        <f aca="false">Calib!C5</f>
        <v>0.3</v>
      </c>
      <c r="R308" s="184" t="n">
        <f aca="false">SRC_PERF_041</f>
        <v>73700</v>
      </c>
      <c r="S308" s="35" t="str">
        <f aca="false">IF(ISNUMBER($AF308),INDEX(IDX_SrcStat,$AF308),"—")</f>
        <v>Active</v>
      </c>
      <c r="T308" s="35" t="n">
        <f aca="false">IF(ISNUMBER($AF308),INDEX(IDX_SrcGrade,$AF308),"—")</f>
        <v>1</v>
      </c>
      <c r="U308" s="35" t="s">
        <v>2775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5" t="n">
        <f aca="false">IF(OR($H308="—",$H308=""),"—",MATCH($H308,IDX_SrcID,0))</f>
        <v>323</v>
      </c>
    </row>
    <row r="309" customFormat="false" ht="15" hidden="false" customHeight="true" outlineLevel="0" collapsed="false">
      <c r="A309" s="36" t="s">
        <v>3513</v>
      </c>
      <c r="B309" s="212" t="s">
        <v>2769</v>
      </c>
      <c r="C309" s="36" t="s">
        <v>3509</v>
      </c>
      <c r="D309" s="36" t="s">
        <v>3514</v>
      </c>
      <c r="E309" s="19" t="s">
        <v>417</v>
      </c>
      <c r="F309" s="212" t="s">
        <v>3515</v>
      </c>
      <c r="G309" s="212" t="s">
        <v>3516</v>
      </c>
      <c r="H309" s="36" t="s">
        <v>585</v>
      </c>
      <c r="I309" s="6" t="s">
        <v>585</v>
      </c>
      <c r="J309" s="36" t="s">
        <v>585</v>
      </c>
      <c r="K309" s="212"/>
      <c r="L309" s="212"/>
      <c r="M309" s="36" t="s">
        <v>585</v>
      </c>
      <c r="N309" s="19" t="s">
        <v>3517</v>
      </c>
      <c r="O309" s="6" t="s">
        <v>585</v>
      </c>
      <c r="P309" s="36" t="s">
        <v>585</v>
      </c>
      <c r="Q309" s="184" t="s">
        <v>585</v>
      </c>
      <c r="R309" s="36" t="s">
        <v>585</v>
      </c>
      <c r="S309" s="35" t="str">
        <f aca="false">IF(ISNUMBER($AF309),INDEX(IDX_SrcStat,$AF309),"—")</f>
        <v>—</v>
      </c>
      <c r="T309" s="35" t="str">
        <f aca="false">IF(ISNUMBER($AF309),INDEX(IDX_SrcGrade,$AF309),"—")</f>
        <v>—</v>
      </c>
      <c r="U309" s="36" t="s">
        <v>585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5" t="str">
        <f aca="false">IF(OR($H309="—",$H309=""),"—",MATCH($H309,IDX_SrcID,0))</f>
        <v>—</v>
      </c>
    </row>
    <row r="310" customFormat="false" ht="15" hidden="false" customHeight="true" outlineLevel="0" collapsed="false">
      <c r="A310" s="36" t="s">
        <v>3518</v>
      </c>
      <c r="B310" s="212" t="s">
        <v>2769</v>
      </c>
      <c r="C310" s="36" t="s">
        <v>3509</v>
      </c>
      <c r="D310" s="36" t="s">
        <v>3024</v>
      </c>
      <c r="E310" s="6" t="s">
        <v>423</v>
      </c>
      <c r="F310" s="212" t="s">
        <v>296</v>
      </c>
      <c r="G310" s="212" t="s">
        <v>2771</v>
      </c>
      <c r="H310" s="36" t="s">
        <v>3519</v>
      </c>
      <c r="I310" s="19" t="s">
        <v>2806</v>
      </c>
      <c r="J310" s="36" t="s">
        <v>585</v>
      </c>
      <c r="K310" s="212"/>
      <c r="L310" s="212"/>
      <c r="M310" s="36" t="s">
        <v>585</v>
      </c>
      <c r="N310" s="19" t="s">
        <v>2904</v>
      </c>
      <c r="O310" s="6" t="s">
        <v>585</v>
      </c>
      <c r="P310" s="212" t="s">
        <v>2774</v>
      </c>
      <c r="Q310" s="182" t="n">
        <f aca="false">Calib!C13</f>
        <v>1</v>
      </c>
      <c r="R310" s="184" t="n">
        <f aca="false">SRC_PERF_009_MTP</f>
        <v>1</v>
      </c>
      <c r="S310" s="35" t="str">
        <f aca="false">IF(ISNUMBER($AF310),INDEX(IDX_SrcStat,$AF310),"—")</f>
        <v>Active</v>
      </c>
      <c r="T310" s="35" t="n">
        <f aca="false">IF(ISNUMBER($AF310),INDEX(IDX_SrcGrade,$AF310),"—")</f>
        <v>2</v>
      </c>
      <c r="U310" s="35" t="s">
        <v>2808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5" t="n">
        <f aca="false">IF(OR($H310="—",$H310=""),"—",MATCH($H310,IDX_SrcID,0))</f>
        <v>291</v>
      </c>
    </row>
    <row r="311" customFormat="false" ht="15" hidden="false" customHeight="true" outlineLevel="0" collapsed="false">
      <c r="A311" s="36" t="s">
        <v>3520</v>
      </c>
      <c r="B311" s="212" t="s">
        <v>2769</v>
      </c>
      <c r="C311" s="36" t="s">
        <v>3509</v>
      </c>
      <c r="D311" s="36" t="s">
        <v>3273</v>
      </c>
      <c r="E311" s="19" t="s">
        <v>424</v>
      </c>
      <c r="F311" s="212" t="s">
        <v>296</v>
      </c>
      <c r="G311" s="212" t="s">
        <v>2771</v>
      </c>
      <c r="H311" s="36" t="s">
        <v>3519</v>
      </c>
      <c r="I311" s="19" t="s">
        <v>2806</v>
      </c>
      <c r="J311" s="36" t="s">
        <v>585</v>
      </c>
      <c r="K311" s="212"/>
      <c r="L311" s="212"/>
      <c r="M311" s="36" t="s">
        <v>585</v>
      </c>
      <c r="N311" s="19" t="s">
        <v>2904</v>
      </c>
      <c r="O311" s="6" t="s">
        <v>585</v>
      </c>
      <c r="P311" s="212" t="s">
        <v>1114</v>
      </c>
      <c r="Q311" s="41" t="n">
        <f aca="false">Calib!C14</f>
        <v>72</v>
      </c>
      <c r="R311" s="184" t="n">
        <f aca="false">SRC_PERF_009_Spd</f>
        <v>72</v>
      </c>
      <c r="S311" s="35" t="str">
        <f aca="false">IF(ISNUMBER($AF311),INDEX(IDX_SrcStat,$AF311),"—")</f>
        <v>Active</v>
      </c>
      <c r="T311" s="35" t="n">
        <f aca="false">IF(ISNUMBER($AF311),INDEX(IDX_SrcGrade,$AF311),"—")</f>
        <v>2</v>
      </c>
      <c r="U311" s="35" t="s">
        <v>2808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5" t="n">
        <f aca="false">IF(OR($H311="—",$H311=""),"—",MATCH($H311,IDX_SrcID,0))</f>
        <v>291</v>
      </c>
    </row>
    <row r="312" customFormat="false" ht="15" hidden="false" customHeight="true" outlineLevel="0" collapsed="false">
      <c r="A312" s="36" t="s">
        <v>3521</v>
      </c>
      <c r="B312" s="212" t="s">
        <v>2769</v>
      </c>
      <c r="C312" s="36" t="s">
        <v>3509</v>
      </c>
      <c r="D312" s="36" t="s">
        <v>3277</v>
      </c>
      <c r="E312" s="6" t="s">
        <v>425</v>
      </c>
      <c r="F312" s="212" t="s">
        <v>296</v>
      </c>
      <c r="G312" s="212" t="s">
        <v>2771</v>
      </c>
      <c r="H312" s="36" t="s">
        <v>3519</v>
      </c>
      <c r="I312" s="19" t="s">
        <v>2806</v>
      </c>
      <c r="J312" s="36" t="s">
        <v>585</v>
      </c>
      <c r="K312" s="212"/>
      <c r="L312" s="212"/>
      <c r="M312" s="36" t="s">
        <v>585</v>
      </c>
      <c r="N312" s="19" t="s">
        <v>2904</v>
      </c>
      <c r="O312" s="6" t="s">
        <v>585</v>
      </c>
      <c r="P312" s="212" t="s">
        <v>1114</v>
      </c>
      <c r="Q312" s="41" t="n">
        <f aca="false">Calib!C15</f>
        <v>8192</v>
      </c>
      <c r="R312" s="184" t="n">
        <f aca="false">SRC_PERF_009_ISL</f>
        <v>8192</v>
      </c>
      <c r="S312" s="35" t="str">
        <f aca="false">IF(ISNUMBER($AF312),INDEX(IDX_SrcStat,$AF312),"—")</f>
        <v>Active</v>
      </c>
      <c r="T312" s="35" t="n">
        <f aca="false">IF(ISNUMBER($AF312),INDEX(IDX_SrcGrade,$AF312),"—")</f>
        <v>2</v>
      </c>
      <c r="U312" s="35" t="s">
        <v>2808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5" t="n">
        <f aca="false">IF(OR($H312="—",$H312=""),"—",MATCH($H312,IDX_SrcID,0))</f>
        <v>291</v>
      </c>
    </row>
    <row r="313" customFormat="false" ht="15" hidden="false" customHeight="true" outlineLevel="0" collapsed="false">
      <c r="A313" s="36" t="s">
        <v>3522</v>
      </c>
      <c r="B313" s="212" t="s">
        <v>2769</v>
      </c>
      <c r="C313" s="36" t="s">
        <v>3509</v>
      </c>
      <c r="D313" s="36" t="s">
        <v>3282</v>
      </c>
      <c r="E313" s="6" t="s">
        <v>426</v>
      </c>
      <c r="F313" s="212" t="s">
        <v>296</v>
      </c>
      <c r="G313" s="212" t="s">
        <v>2771</v>
      </c>
      <c r="H313" s="36" t="s">
        <v>3519</v>
      </c>
      <c r="I313" s="19" t="s">
        <v>2806</v>
      </c>
      <c r="J313" s="36" t="s">
        <v>585</v>
      </c>
      <c r="K313" s="212"/>
      <c r="L313" s="212"/>
      <c r="M313" s="36" t="s">
        <v>585</v>
      </c>
      <c r="N313" s="19" t="s">
        <v>2904</v>
      </c>
      <c r="O313" s="6" t="s">
        <v>585</v>
      </c>
      <c r="P313" s="212" t="s">
        <v>1114</v>
      </c>
      <c r="Q313" s="41" t="n">
        <f aca="false">Calib!C16</f>
        <v>1024</v>
      </c>
      <c r="R313" s="184" t="n">
        <f aca="false">SRC_PERF_009_OSL</f>
        <v>1024</v>
      </c>
      <c r="S313" s="35" t="str">
        <f aca="false">IF(ISNUMBER($AF313),INDEX(IDX_SrcStat,$AF313),"—")</f>
        <v>Active</v>
      </c>
      <c r="T313" s="35" t="n">
        <f aca="false">IF(ISNUMBER($AF313),INDEX(IDX_SrcGrade,$AF313),"—")</f>
        <v>2</v>
      </c>
      <c r="U313" s="35" t="s">
        <v>2808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5" t="n">
        <f aca="false">IF(OR($H313="—",$H313=""),"—",MATCH($H313,IDX_SrcID,0))</f>
        <v>291</v>
      </c>
    </row>
    <row r="314" customFormat="false" ht="15" hidden="false" customHeight="true" outlineLevel="0" collapsed="false">
      <c r="A314" s="36" t="s">
        <v>3523</v>
      </c>
      <c r="B314" s="212" t="s">
        <v>2769</v>
      </c>
      <c r="C314" s="36" t="s">
        <v>3509</v>
      </c>
      <c r="D314" s="36" t="s">
        <v>3304</v>
      </c>
      <c r="E314" s="19" t="s">
        <v>3524</v>
      </c>
      <c r="F314" s="212" t="s">
        <v>296</v>
      </c>
      <c r="G314" s="212" t="s">
        <v>2771</v>
      </c>
      <c r="H314" s="36" t="s">
        <v>3519</v>
      </c>
      <c r="I314" s="19" t="s">
        <v>3525</v>
      </c>
      <c r="J314" s="36" t="s">
        <v>585</v>
      </c>
      <c r="K314" s="212"/>
      <c r="L314" s="212"/>
      <c r="M314" s="36" t="s">
        <v>585</v>
      </c>
      <c r="N314" s="19" t="s">
        <v>2904</v>
      </c>
      <c r="O314" s="6" t="s">
        <v>3526</v>
      </c>
      <c r="P314" s="212" t="s">
        <v>1114</v>
      </c>
      <c r="Q314" s="41" t="n">
        <f aca="false">Calib!C17</f>
        <v>9342.1</v>
      </c>
      <c r="R314" s="184" t="n">
        <f aca="false">SRC_PERF_009</f>
        <v>9342.1</v>
      </c>
      <c r="S314" s="35" t="str">
        <f aca="false">IF(ISNUMBER($AF314),INDEX(IDX_SrcStat,$AF314),"—")</f>
        <v>Active</v>
      </c>
      <c r="T314" s="35" t="n">
        <f aca="false">IF(ISNUMBER($AF314),INDEX(IDX_SrcGrade,$AF314),"—")</f>
        <v>2</v>
      </c>
      <c r="U314" s="35" t="s">
        <v>2808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5" t="n">
        <f aca="false">IF(OR($H314="—",$H314=""),"—",MATCH($H314,IDX_SrcID,0))</f>
        <v>291</v>
      </c>
    </row>
    <row r="315" customFormat="false" ht="15" hidden="false" customHeight="true" outlineLevel="0" collapsed="false">
      <c r="A315" s="36" t="s">
        <v>3527</v>
      </c>
      <c r="B315" s="212" t="s">
        <v>2769</v>
      </c>
      <c r="C315" s="36" t="s">
        <v>3509</v>
      </c>
      <c r="D315" s="36" t="s">
        <v>2802</v>
      </c>
      <c r="E315" s="6" t="s">
        <v>423</v>
      </c>
      <c r="F315" s="212" t="s">
        <v>296</v>
      </c>
      <c r="G315" s="212" t="s">
        <v>2771</v>
      </c>
      <c r="H315" s="36" t="s">
        <v>3528</v>
      </c>
      <c r="I315" s="19" t="s">
        <v>2806</v>
      </c>
      <c r="J315" s="36" t="s">
        <v>585</v>
      </c>
      <c r="K315" s="212"/>
      <c r="L315" s="212"/>
      <c r="M315" s="36" t="s">
        <v>585</v>
      </c>
      <c r="N315" s="19" t="s">
        <v>2904</v>
      </c>
      <c r="O315" s="6" t="s">
        <v>585</v>
      </c>
      <c r="P315" s="212" t="s">
        <v>2774</v>
      </c>
      <c r="Q315" s="182" t="n">
        <f aca="false">Calib!D13</f>
        <v>1</v>
      </c>
      <c r="R315" s="184" t="n">
        <f aca="false">SRC_PERF_010_MTP</f>
        <v>1</v>
      </c>
      <c r="S315" s="35" t="str">
        <f aca="false">IF(ISNUMBER($AF315),INDEX(IDX_SrcStat,$AF315),"—")</f>
        <v>Active</v>
      </c>
      <c r="T315" s="35" t="n">
        <f aca="false">IF(ISNUMBER($AF315),INDEX(IDX_SrcGrade,$AF315),"—")</f>
        <v>2</v>
      </c>
      <c r="U315" s="35" t="s">
        <v>2808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5" t="n">
        <f aca="false">IF(OR($H315="—",$H315=""),"—",MATCH($H315,IDX_SrcID,0))</f>
        <v>292</v>
      </c>
    </row>
    <row r="316" customFormat="false" ht="15" hidden="false" customHeight="true" outlineLevel="0" collapsed="false">
      <c r="A316" s="36" t="s">
        <v>3529</v>
      </c>
      <c r="B316" s="212" t="s">
        <v>2769</v>
      </c>
      <c r="C316" s="36" t="s">
        <v>3509</v>
      </c>
      <c r="D316" s="36" t="s">
        <v>2812</v>
      </c>
      <c r="E316" s="19" t="s">
        <v>424</v>
      </c>
      <c r="F316" s="212" t="s">
        <v>296</v>
      </c>
      <c r="G316" s="212" t="s">
        <v>2771</v>
      </c>
      <c r="H316" s="36" t="s">
        <v>3528</v>
      </c>
      <c r="I316" s="19" t="s">
        <v>2806</v>
      </c>
      <c r="J316" s="36" t="s">
        <v>585</v>
      </c>
      <c r="K316" s="212"/>
      <c r="L316" s="212"/>
      <c r="M316" s="36" t="s">
        <v>585</v>
      </c>
      <c r="N316" s="19" t="s">
        <v>2904</v>
      </c>
      <c r="O316" s="6" t="s">
        <v>585</v>
      </c>
      <c r="P316" s="212" t="s">
        <v>1114</v>
      </c>
      <c r="Q316" s="41" t="n">
        <f aca="false">Calib!D14</f>
        <v>130</v>
      </c>
      <c r="R316" s="184" t="n">
        <f aca="false">SRC_PERF_010_Spd</f>
        <v>130</v>
      </c>
      <c r="S316" s="35" t="str">
        <f aca="false">IF(ISNUMBER($AF316),INDEX(IDX_SrcStat,$AF316),"—")</f>
        <v>Active</v>
      </c>
      <c r="T316" s="35" t="n">
        <f aca="false">IF(ISNUMBER($AF316),INDEX(IDX_SrcGrade,$AF316),"—")</f>
        <v>2</v>
      </c>
      <c r="U316" s="35" t="s">
        <v>2808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5" t="n">
        <f aca="false">IF(OR($H316="—",$H316=""),"—",MATCH($H316,IDX_SrcID,0))</f>
        <v>292</v>
      </c>
    </row>
    <row r="317" customFormat="false" ht="15" hidden="false" customHeight="true" outlineLevel="0" collapsed="false">
      <c r="A317" s="36" t="s">
        <v>3530</v>
      </c>
      <c r="B317" s="212" t="s">
        <v>2769</v>
      </c>
      <c r="C317" s="36" t="s">
        <v>3509</v>
      </c>
      <c r="D317" s="36" t="s">
        <v>3280</v>
      </c>
      <c r="E317" s="6" t="s">
        <v>425</v>
      </c>
      <c r="F317" s="212" t="s">
        <v>296</v>
      </c>
      <c r="G317" s="212" t="s">
        <v>2771</v>
      </c>
      <c r="H317" s="36" t="s">
        <v>3528</v>
      </c>
      <c r="I317" s="19" t="s">
        <v>2806</v>
      </c>
      <c r="J317" s="36" t="s">
        <v>585</v>
      </c>
      <c r="K317" s="212"/>
      <c r="L317" s="212"/>
      <c r="M317" s="36" t="s">
        <v>585</v>
      </c>
      <c r="N317" s="19" t="s">
        <v>2904</v>
      </c>
      <c r="O317" s="6" t="s">
        <v>585</v>
      </c>
      <c r="P317" s="212" t="s">
        <v>1114</v>
      </c>
      <c r="Q317" s="41" t="n">
        <f aca="false">Calib!D15</f>
        <v>8192</v>
      </c>
      <c r="R317" s="184" t="n">
        <f aca="false">SRC_PERF_010_ISL</f>
        <v>8192</v>
      </c>
      <c r="S317" s="35" t="str">
        <f aca="false">IF(ISNUMBER($AF317),INDEX(IDX_SrcStat,$AF317),"—")</f>
        <v>Active</v>
      </c>
      <c r="T317" s="35" t="n">
        <f aca="false">IF(ISNUMBER($AF317),INDEX(IDX_SrcGrade,$AF317),"—")</f>
        <v>2</v>
      </c>
      <c r="U317" s="35" t="s">
        <v>2808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5" t="n">
        <f aca="false">IF(OR($H317="—",$H317=""),"—",MATCH($H317,IDX_SrcID,0))</f>
        <v>292</v>
      </c>
    </row>
    <row r="318" customFormat="false" ht="15" hidden="false" customHeight="true" outlineLevel="0" collapsed="false">
      <c r="A318" s="36" t="s">
        <v>3531</v>
      </c>
      <c r="B318" s="212" t="s">
        <v>2769</v>
      </c>
      <c r="C318" s="36" t="s">
        <v>3509</v>
      </c>
      <c r="D318" s="36" t="s">
        <v>2818</v>
      </c>
      <c r="E318" s="6" t="s">
        <v>426</v>
      </c>
      <c r="F318" s="212" t="s">
        <v>296</v>
      </c>
      <c r="G318" s="212" t="s">
        <v>2771</v>
      </c>
      <c r="H318" s="36" t="s">
        <v>3528</v>
      </c>
      <c r="I318" s="19" t="s">
        <v>2806</v>
      </c>
      <c r="J318" s="36" t="s">
        <v>585</v>
      </c>
      <c r="K318" s="212"/>
      <c r="L318" s="212"/>
      <c r="M318" s="36" t="s">
        <v>585</v>
      </c>
      <c r="N318" s="19" t="s">
        <v>2904</v>
      </c>
      <c r="O318" s="6" t="s">
        <v>585</v>
      </c>
      <c r="P318" s="212" t="s">
        <v>1114</v>
      </c>
      <c r="Q318" s="41" t="n">
        <f aca="false">Calib!D16</f>
        <v>1024</v>
      </c>
      <c r="R318" s="184" t="n">
        <f aca="false">SRC_PERF_010_OSL</f>
        <v>1024</v>
      </c>
      <c r="S318" s="35" t="str">
        <f aca="false">IF(ISNUMBER($AF318),INDEX(IDX_SrcStat,$AF318),"—")</f>
        <v>Active</v>
      </c>
      <c r="T318" s="35" t="n">
        <f aca="false">IF(ISNUMBER($AF318),INDEX(IDX_SrcGrade,$AF318),"—")</f>
        <v>2</v>
      </c>
      <c r="U318" s="35" t="s">
        <v>2808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5" t="n">
        <f aca="false">IF(OR($H318="—",$H318=""),"—",MATCH($H318,IDX_SrcID,0))</f>
        <v>292</v>
      </c>
    </row>
    <row r="319" customFormat="false" ht="15" hidden="false" customHeight="true" outlineLevel="0" collapsed="false">
      <c r="A319" s="36" t="s">
        <v>3532</v>
      </c>
      <c r="B319" s="212" t="s">
        <v>2769</v>
      </c>
      <c r="C319" s="36" t="s">
        <v>3509</v>
      </c>
      <c r="D319" s="36" t="s">
        <v>2824</v>
      </c>
      <c r="E319" s="19" t="s">
        <v>3524</v>
      </c>
      <c r="F319" s="212" t="s">
        <v>296</v>
      </c>
      <c r="G319" s="212" t="s">
        <v>2771</v>
      </c>
      <c r="H319" s="36" t="s">
        <v>3528</v>
      </c>
      <c r="I319" s="19" t="s">
        <v>3533</v>
      </c>
      <c r="J319" s="36" t="s">
        <v>585</v>
      </c>
      <c r="K319" s="212"/>
      <c r="L319" s="212"/>
      <c r="M319" s="36" t="s">
        <v>585</v>
      </c>
      <c r="N319" s="19" t="s">
        <v>2904</v>
      </c>
      <c r="O319" s="6" t="s">
        <v>3534</v>
      </c>
      <c r="P319" s="212" t="s">
        <v>1114</v>
      </c>
      <c r="Q319" s="41" t="n">
        <f aca="false">Calib!D17</f>
        <v>3405.2</v>
      </c>
      <c r="R319" s="184" t="n">
        <f aca="false">SRC_PERF_010</f>
        <v>3405.2</v>
      </c>
      <c r="S319" s="35" t="str">
        <f aca="false">IF(ISNUMBER($AF319),INDEX(IDX_SrcStat,$AF319),"—")</f>
        <v>Active</v>
      </c>
      <c r="T319" s="35" t="n">
        <f aca="false">IF(ISNUMBER($AF319),INDEX(IDX_SrcGrade,$AF319),"—")</f>
        <v>2</v>
      </c>
      <c r="U319" s="35" t="s">
        <v>2808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5" t="n">
        <f aca="false">IF(OR($H319="—",$H319=""),"—",MATCH($H319,IDX_SrcID,0))</f>
        <v>292</v>
      </c>
    </row>
    <row r="320" customFormat="false" ht="15" hidden="false" customHeight="true" outlineLevel="0" collapsed="false">
      <c r="A320" s="36" t="s">
        <v>3535</v>
      </c>
      <c r="B320" s="212" t="s">
        <v>2769</v>
      </c>
      <c r="C320" s="36" t="s">
        <v>3509</v>
      </c>
      <c r="D320" s="36" t="s">
        <v>2683</v>
      </c>
      <c r="E320" s="6" t="s">
        <v>423</v>
      </c>
      <c r="F320" s="212" t="s">
        <v>296</v>
      </c>
      <c r="G320" s="212" t="s">
        <v>2771</v>
      </c>
      <c r="H320" s="36" t="s">
        <v>3536</v>
      </c>
      <c r="I320" s="19" t="s">
        <v>2806</v>
      </c>
      <c r="J320" s="36" t="s">
        <v>585</v>
      </c>
      <c r="K320" s="212"/>
      <c r="L320" s="212"/>
      <c r="M320" s="36" t="s">
        <v>585</v>
      </c>
      <c r="N320" s="19" t="s">
        <v>2904</v>
      </c>
      <c r="O320" s="6" t="s">
        <v>585</v>
      </c>
      <c r="P320" s="212" t="s">
        <v>2774</v>
      </c>
      <c r="Q320" s="182" t="n">
        <f aca="false">Calib!E13</f>
        <v>1</v>
      </c>
      <c r="R320" s="184" t="n">
        <f aca="false">SRC_PERF_004_MTP</f>
        <v>1</v>
      </c>
      <c r="S320" s="35" t="str">
        <f aca="false">IF(ISNUMBER($AF320),INDEX(IDX_SrcStat,$AF320),"—")</f>
        <v>Active</v>
      </c>
      <c r="T320" s="35" t="n">
        <f aca="false">IF(ISNUMBER($AF320),INDEX(IDX_SrcGrade,$AF320),"—")</f>
        <v>1</v>
      </c>
      <c r="U320" s="35" t="s">
        <v>2808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5" t="n">
        <f aca="false">IF(OR($H320="—",$H320=""),"—",MATCH($H320,IDX_SrcID,0))</f>
        <v>286</v>
      </c>
    </row>
    <row r="321" customFormat="false" ht="15" hidden="false" customHeight="true" outlineLevel="0" collapsed="false">
      <c r="A321" s="36" t="s">
        <v>3537</v>
      </c>
      <c r="B321" s="212" t="s">
        <v>2769</v>
      </c>
      <c r="C321" s="36" t="s">
        <v>3509</v>
      </c>
      <c r="D321" s="36" t="s">
        <v>2810</v>
      </c>
      <c r="E321" s="19" t="s">
        <v>424</v>
      </c>
      <c r="F321" s="212" t="s">
        <v>296</v>
      </c>
      <c r="G321" s="212" t="s">
        <v>2771</v>
      </c>
      <c r="H321" s="36" t="s">
        <v>3536</v>
      </c>
      <c r="I321" s="19" t="s">
        <v>2806</v>
      </c>
      <c r="J321" s="36" t="s">
        <v>585</v>
      </c>
      <c r="K321" s="212"/>
      <c r="L321" s="212"/>
      <c r="M321" s="36" t="s">
        <v>585</v>
      </c>
      <c r="N321" s="19" t="s">
        <v>2904</v>
      </c>
      <c r="O321" s="6" t="s">
        <v>585</v>
      </c>
      <c r="P321" s="212" t="s">
        <v>1114</v>
      </c>
      <c r="Q321" s="41" t="n">
        <f aca="false">Calib!E14</f>
        <v>50</v>
      </c>
      <c r="R321" s="184" t="n">
        <f aca="false">SRC_PERF_004_Spd</f>
        <v>50</v>
      </c>
      <c r="S321" s="35" t="str">
        <f aca="false">IF(ISNUMBER($AF321),INDEX(IDX_SrcStat,$AF321),"—")</f>
        <v>Active</v>
      </c>
      <c r="T321" s="35" t="n">
        <f aca="false">IF(ISNUMBER($AF321),INDEX(IDX_SrcGrade,$AF321),"—")</f>
        <v>1</v>
      </c>
      <c r="U321" s="35" t="s">
        <v>2808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5" t="n">
        <f aca="false">IF(OR($H321="—",$H321=""),"—",MATCH($H321,IDX_SrcID,0))</f>
        <v>286</v>
      </c>
    </row>
    <row r="322" customFormat="false" ht="15" hidden="false" customHeight="true" outlineLevel="0" collapsed="false">
      <c r="A322" s="36" t="s">
        <v>3538</v>
      </c>
      <c r="B322" s="212" t="s">
        <v>2769</v>
      </c>
      <c r="C322" s="36" t="s">
        <v>3509</v>
      </c>
      <c r="D322" s="36" t="s">
        <v>3328</v>
      </c>
      <c r="E322" s="6" t="s">
        <v>425</v>
      </c>
      <c r="F322" s="212" t="s">
        <v>296</v>
      </c>
      <c r="G322" s="212" t="s">
        <v>2771</v>
      </c>
      <c r="H322" s="36" t="s">
        <v>3536</v>
      </c>
      <c r="I322" s="19" t="s">
        <v>2806</v>
      </c>
      <c r="J322" s="36" t="s">
        <v>585</v>
      </c>
      <c r="K322" s="212"/>
      <c r="L322" s="212"/>
      <c r="M322" s="36" t="s">
        <v>585</v>
      </c>
      <c r="N322" s="19" t="s">
        <v>2904</v>
      </c>
      <c r="O322" s="6" t="s">
        <v>585</v>
      </c>
      <c r="P322" s="212" t="s">
        <v>1114</v>
      </c>
      <c r="Q322" s="41" t="n">
        <f aca="false">Calib!E15</f>
        <v>8192</v>
      </c>
      <c r="R322" s="184" t="n">
        <f aca="false">SRC_PERF_004_ISL</f>
        <v>8192</v>
      </c>
      <c r="S322" s="35" t="str">
        <f aca="false">IF(ISNUMBER($AF322),INDEX(IDX_SrcStat,$AF322),"—")</f>
        <v>Active</v>
      </c>
      <c r="T322" s="35" t="n">
        <f aca="false">IF(ISNUMBER($AF322),INDEX(IDX_SrcGrade,$AF322),"—")</f>
        <v>1</v>
      </c>
      <c r="U322" s="35" t="s">
        <v>2808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5" t="n">
        <f aca="false">IF(OR($H322="—",$H322=""),"—",MATCH($H322,IDX_SrcID,0))</f>
        <v>286</v>
      </c>
    </row>
    <row r="323" customFormat="false" ht="15" hidden="false" customHeight="true" outlineLevel="0" collapsed="false">
      <c r="A323" s="36" t="s">
        <v>3539</v>
      </c>
      <c r="B323" s="212" t="s">
        <v>2769</v>
      </c>
      <c r="C323" s="36" t="s">
        <v>3509</v>
      </c>
      <c r="D323" s="36" t="s">
        <v>2816</v>
      </c>
      <c r="E323" s="6" t="s">
        <v>426</v>
      </c>
      <c r="F323" s="212" t="s">
        <v>296</v>
      </c>
      <c r="G323" s="212" t="s">
        <v>2771</v>
      </c>
      <c r="H323" s="36" t="s">
        <v>3536</v>
      </c>
      <c r="I323" s="19" t="s">
        <v>2806</v>
      </c>
      <c r="J323" s="36" t="s">
        <v>585</v>
      </c>
      <c r="K323" s="212"/>
      <c r="L323" s="212"/>
      <c r="M323" s="36" t="s">
        <v>585</v>
      </c>
      <c r="N323" s="19" t="s">
        <v>2904</v>
      </c>
      <c r="O323" s="6" t="s">
        <v>585</v>
      </c>
      <c r="P323" s="212" t="s">
        <v>1114</v>
      </c>
      <c r="Q323" s="41" t="n">
        <f aca="false">Calib!E16</f>
        <v>1024</v>
      </c>
      <c r="R323" s="184" t="n">
        <f aca="false">SRC_PERF_004_OSL</f>
        <v>1024</v>
      </c>
      <c r="S323" s="35" t="str">
        <f aca="false">IF(ISNUMBER($AF323),INDEX(IDX_SrcStat,$AF323),"—")</f>
        <v>Active</v>
      </c>
      <c r="T323" s="35" t="n">
        <f aca="false">IF(ISNUMBER($AF323),INDEX(IDX_SrcGrade,$AF323),"—")</f>
        <v>1</v>
      </c>
      <c r="U323" s="35" t="s">
        <v>2808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5" t="n">
        <f aca="false">IF(OR($H323="—",$H323=""),"—",MATCH($H323,IDX_SrcID,0))</f>
        <v>286</v>
      </c>
    </row>
    <row r="324" customFormat="false" ht="15" hidden="false" customHeight="true" outlineLevel="0" collapsed="false">
      <c r="A324" s="36" t="s">
        <v>3540</v>
      </c>
      <c r="B324" s="212" t="s">
        <v>2769</v>
      </c>
      <c r="C324" s="36" t="s">
        <v>3509</v>
      </c>
      <c r="D324" s="36" t="s">
        <v>2822</v>
      </c>
      <c r="E324" s="19" t="s">
        <v>3524</v>
      </c>
      <c r="F324" s="212" t="s">
        <v>296</v>
      </c>
      <c r="G324" s="212" t="s">
        <v>2771</v>
      </c>
      <c r="H324" s="36" t="s">
        <v>3536</v>
      </c>
      <c r="I324" s="19" t="s">
        <v>2806</v>
      </c>
      <c r="J324" s="36" t="s">
        <v>585</v>
      </c>
      <c r="K324" s="212"/>
      <c r="L324" s="212"/>
      <c r="M324" s="36" t="s">
        <v>585</v>
      </c>
      <c r="N324" s="19" t="s">
        <v>2904</v>
      </c>
      <c r="O324" s="6" t="s">
        <v>585</v>
      </c>
      <c r="P324" s="212" t="s">
        <v>1114</v>
      </c>
      <c r="Q324" s="41" t="n">
        <f aca="false">Calib!E17</f>
        <v>11200</v>
      </c>
      <c r="R324" s="184" t="n">
        <f aca="false">SRC_PERF_004</f>
        <v>11200</v>
      </c>
      <c r="S324" s="35" t="str">
        <f aca="false">IF(ISNUMBER($AF324),INDEX(IDX_SrcStat,$AF324),"—")</f>
        <v>Active</v>
      </c>
      <c r="T324" s="35" t="n">
        <f aca="false">IF(ISNUMBER($AF324),INDEX(IDX_SrcGrade,$AF324),"—")</f>
        <v>1</v>
      </c>
      <c r="U324" s="35" t="s">
        <v>2808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5" t="n">
        <f aca="false">IF(OR($H324="—",$H324=""),"—",MATCH($H324,IDX_SrcID,0))</f>
        <v>286</v>
      </c>
    </row>
    <row r="325" customFormat="false" ht="15" hidden="false" customHeight="true" outlineLevel="0" collapsed="false">
      <c r="A325" s="36" t="s">
        <v>3541</v>
      </c>
      <c r="B325" s="212" t="s">
        <v>2769</v>
      </c>
      <c r="C325" s="36" t="s">
        <v>3509</v>
      </c>
      <c r="D325" s="36" t="s">
        <v>2804</v>
      </c>
      <c r="E325" s="6" t="s">
        <v>423</v>
      </c>
      <c r="F325" s="212" t="s">
        <v>296</v>
      </c>
      <c r="G325" s="212" t="s">
        <v>2771</v>
      </c>
      <c r="H325" s="36" t="s">
        <v>3542</v>
      </c>
      <c r="I325" s="19" t="s">
        <v>2806</v>
      </c>
      <c r="J325" s="36" t="s">
        <v>585</v>
      </c>
      <c r="K325" s="212"/>
      <c r="L325" s="212"/>
      <c r="M325" s="36" t="s">
        <v>585</v>
      </c>
      <c r="N325" s="19" t="s">
        <v>2904</v>
      </c>
      <c r="O325" s="6" t="s">
        <v>585</v>
      </c>
      <c r="P325" s="212" t="s">
        <v>2774</v>
      </c>
      <c r="Q325" s="182" t="n">
        <f aca="false">Calib!F13</f>
        <v>0</v>
      </c>
      <c r="R325" s="184" t="n">
        <f aca="false">SRC_PERF_001_MTP</f>
        <v>0</v>
      </c>
      <c r="S325" s="35" t="str">
        <f aca="false">IF(ISNUMBER($AF325),INDEX(IDX_SrcStat,$AF325),"—")</f>
        <v>Active</v>
      </c>
      <c r="T325" s="35" t="n">
        <f aca="false">IF(ISNUMBER($AF325),INDEX(IDX_SrcGrade,$AF325),"—")</f>
        <v>1</v>
      </c>
      <c r="U325" s="35" t="s">
        <v>2808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5" t="n">
        <f aca="false">IF(OR($H325="—",$H325=""),"—",MATCH($H325,IDX_SrcID,0))</f>
        <v>283</v>
      </c>
    </row>
    <row r="326" customFormat="false" ht="15" hidden="false" customHeight="true" outlineLevel="0" collapsed="false">
      <c r="A326" s="36" t="s">
        <v>3543</v>
      </c>
      <c r="B326" s="212" t="s">
        <v>2769</v>
      </c>
      <c r="C326" s="36" t="s">
        <v>3509</v>
      </c>
      <c r="D326" s="36" t="s">
        <v>2814</v>
      </c>
      <c r="E326" s="19" t="s">
        <v>424</v>
      </c>
      <c r="F326" s="212" t="s">
        <v>296</v>
      </c>
      <c r="G326" s="212" t="s">
        <v>2771</v>
      </c>
      <c r="H326" s="36" t="s">
        <v>3542</v>
      </c>
      <c r="I326" s="19" t="s">
        <v>2806</v>
      </c>
      <c r="J326" s="36" t="s">
        <v>585</v>
      </c>
      <c r="K326" s="212"/>
      <c r="L326" s="212"/>
      <c r="M326" s="36" t="s">
        <v>585</v>
      </c>
      <c r="N326" s="19" t="s">
        <v>2904</v>
      </c>
      <c r="O326" s="6" t="s">
        <v>585</v>
      </c>
      <c r="P326" s="212" t="s">
        <v>1114</v>
      </c>
      <c r="Q326" s="41" t="n">
        <f aca="false">Calib!F14</f>
        <v>27</v>
      </c>
      <c r="R326" s="184" t="n">
        <f aca="false">SRC_PERF_001_Spd</f>
        <v>27</v>
      </c>
      <c r="S326" s="35" t="str">
        <f aca="false">IF(ISNUMBER($AF326),INDEX(IDX_SrcStat,$AF326),"—")</f>
        <v>Active</v>
      </c>
      <c r="T326" s="35" t="n">
        <f aca="false">IF(ISNUMBER($AF326),INDEX(IDX_SrcGrade,$AF326),"—")</f>
        <v>1</v>
      </c>
      <c r="U326" s="35" t="s">
        <v>2808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5" t="n">
        <f aca="false">IF(OR($H326="—",$H326=""),"—",MATCH($H326,IDX_SrcID,0))</f>
        <v>283</v>
      </c>
    </row>
    <row r="327" customFormat="false" ht="15" hidden="false" customHeight="true" outlineLevel="0" collapsed="false">
      <c r="A327" s="36" t="s">
        <v>3544</v>
      </c>
      <c r="B327" s="212" t="s">
        <v>2769</v>
      </c>
      <c r="C327" s="36" t="s">
        <v>3509</v>
      </c>
      <c r="D327" s="36" t="s">
        <v>3545</v>
      </c>
      <c r="E327" s="6" t="s">
        <v>425</v>
      </c>
      <c r="F327" s="212" t="s">
        <v>296</v>
      </c>
      <c r="G327" s="212" t="s">
        <v>2771</v>
      </c>
      <c r="H327" s="36" t="s">
        <v>3542</v>
      </c>
      <c r="I327" s="19" t="s">
        <v>2806</v>
      </c>
      <c r="J327" s="36" t="s">
        <v>585</v>
      </c>
      <c r="K327" s="212"/>
      <c r="L327" s="212"/>
      <c r="M327" s="36" t="s">
        <v>585</v>
      </c>
      <c r="N327" s="19" t="s">
        <v>2904</v>
      </c>
      <c r="O327" s="6" t="s">
        <v>585</v>
      </c>
      <c r="P327" s="212" t="s">
        <v>1114</v>
      </c>
      <c r="Q327" s="41" t="n">
        <f aca="false">Calib!F15</f>
        <v>8192</v>
      </c>
      <c r="R327" s="184" t="n">
        <f aca="false">SRC_PERF_001_ISL</f>
        <v>8192</v>
      </c>
      <c r="S327" s="35" t="str">
        <f aca="false">IF(ISNUMBER($AF327),INDEX(IDX_SrcStat,$AF327),"—")</f>
        <v>Active</v>
      </c>
      <c r="T327" s="35" t="n">
        <f aca="false">IF(ISNUMBER($AF327),INDEX(IDX_SrcGrade,$AF327),"—")</f>
        <v>1</v>
      </c>
      <c r="U327" s="35" t="s">
        <v>2808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5" t="n">
        <f aca="false">IF(OR($H327="—",$H327=""),"—",MATCH($H327,IDX_SrcID,0))</f>
        <v>283</v>
      </c>
    </row>
    <row r="328" customFormat="false" ht="15" hidden="false" customHeight="true" outlineLevel="0" collapsed="false">
      <c r="A328" s="36" t="s">
        <v>3546</v>
      </c>
      <c r="B328" s="212" t="s">
        <v>2769</v>
      </c>
      <c r="C328" s="36" t="s">
        <v>3509</v>
      </c>
      <c r="D328" s="36" t="s">
        <v>2820</v>
      </c>
      <c r="E328" s="6" t="s">
        <v>426</v>
      </c>
      <c r="F328" s="212" t="s">
        <v>296</v>
      </c>
      <c r="G328" s="212" t="s">
        <v>2771</v>
      </c>
      <c r="H328" s="36" t="s">
        <v>3542</v>
      </c>
      <c r="I328" s="19" t="s">
        <v>2806</v>
      </c>
      <c r="J328" s="36" t="s">
        <v>585</v>
      </c>
      <c r="K328" s="212"/>
      <c r="L328" s="212"/>
      <c r="M328" s="36" t="s">
        <v>585</v>
      </c>
      <c r="N328" s="19" t="s">
        <v>2904</v>
      </c>
      <c r="O328" s="6" t="s">
        <v>585</v>
      </c>
      <c r="P328" s="212" t="s">
        <v>1114</v>
      </c>
      <c r="Q328" s="41" t="n">
        <f aca="false">Calib!F16</f>
        <v>1024</v>
      </c>
      <c r="R328" s="184" t="n">
        <f aca="false">SRC_PERF_001_OSL</f>
        <v>1024</v>
      </c>
      <c r="S328" s="35" t="str">
        <f aca="false">IF(ISNUMBER($AF328),INDEX(IDX_SrcStat,$AF328),"—")</f>
        <v>Active</v>
      </c>
      <c r="T328" s="35" t="n">
        <f aca="false">IF(ISNUMBER($AF328),INDEX(IDX_SrcGrade,$AF328),"—")</f>
        <v>1</v>
      </c>
      <c r="U328" s="35" t="s">
        <v>2808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5" t="n">
        <f aca="false">IF(OR($H328="—",$H328=""),"—",MATCH($H328,IDX_SrcID,0))</f>
        <v>283</v>
      </c>
    </row>
    <row r="329" customFormat="false" ht="15" hidden="false" customHeight="true" outlineLevel="0" collapsed="false">
      <c r="A329" s="36" t="s">
        <v>3547</v>
      </c>
      <c r="B329" s="212" t="s">
        <v>2769</v>
      </c>
      <c r="C329" s="36" t="s">
        <v>3509</v>
      </c>
      <c r="D329" s="36" t="s">
        <v>2826</v>
      </c>
      <c r="E329" s="19" t="s">
        <v>3524</v>
      </c>
      <c r="F329" s="212" t="s">
        <v>296</v>
      </c>
      <c r="G329" s="212" t="s">
        <v>2771</v>
      </c>
      <c r="H329" s="36" t="s">
        <v>3542</v>
      </c>
      <c r="I329" s="19" t="s">
        <v>2806</v>
      </c>
      <c r="J329" s="36" t="s">
        <v>585</v>
      </c>
      <c r="K329" s="212"/>
      <c r="L329" s="212"/>
      <c r="M329" s="36" t="s">
        <v>585</v>
      </c>
      <c r="N329" s="19" t="s">
        <v>2904</v>
      </c>
      <c r="O329" s="6" t="s">
        <v>585</v>
      </c>
      <c r="P329" s="212" t="s">
        <v>1114</v>
      </c>
      <c r="Q329" s="41" t="n">
        <f aca="false">Calib!F17</f>
        <v>6182</v>
      </c>
      <c r="R329" s="184" t="n">
        <f aca="false">SRC_PERF_001</f>
        <v>6182</v>
      </c>
      <c r="S329" s="35" t="str">
        <f aca="false">IF(ISNUMBER($AF329),INDEX(IDX_SrcStat,$AF329),"—")</f>
        <v>Active</v>
      </c>
      <c r="T329" s="35" t="n">
        <f aca="false">IF(ISNUMBER($AF329),INDEX(IDX_SrcGrade,$AF329),"—")</f>
        <v>1</v>
      </c>
      <c r="U329" s="35" t="s">
        <v>2808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5" t="n">
        <f aca="false">IF(OR($H329="—",$H329=""),"—",MATCH($H329,IDX_SrcID,0))</f>
        <v>283</v>
      </c>
    </row>
    <row r="330" customFormat="false" ht="15" hidden="false" customHeight="true" outlineLevel="0" collapsed="false">
      <c r="A330" s="36" t="s">
        <v>3548</v>
      </c>
      <c r="B330" s="212" t="s">
        <v>2769</v>
      </c>
      <c r="C330" s="36" t="s">
        <v>3509</v>
      </c>
      <c r="D330" s="36" t="s">
        <v>3035</v>
      </c>
      <c r="E330" s="6" t="s">
        <v>423</v>
      </c>
      <c r="F330" s="212" t="s">
        <v>296</v>
      </c>
      <c r="G330" s="212" t="s">
        <v>2771</v>
      </c>
      <c r="H330" s="36" t="s">
        <v>3549</v>
      </c>
      <c r="I330" s="19" t="s">
        <v>2806</v>
      </c>
      <c r="J330" s="36" t="s">
        <v>585</v>
      </c>
      <c r="K330" s="212"/>
      <c r="L330" s="212"/>
      <c r="M330" s="36" t="s">
        <v>585</v>
      </c>
      <c r="N330" s="19" t="s">
        <v>2904</v>
      </c>
      <c r="O330" s="6" t="s">
        <v>585</v>
      </c>
      <c r="P330" s="212" t="s">
        <v>2774</v>
      </c>
      <c r="Q330" s="182" t="n">
        <f aca="false">Calib!G13</f>
        <v>0</v>
      </c>
      <c r="R330" s="184" t="n">
        <f aca="false">SRC_PERF_002_MTP</f>
        <v>0</v>
      </c>
      <c r="S330" s="35" t="str">
        <f aca="false">IF(ISNUMBER($AF330),INDEX(IDX_SrcStat,$AF330),"—")</f>
        <v>Active</v>
      </c>
      <c r="T330" s="35" t="n">
        <f aca="false">IF(ISNUMBER($AF330),INDEX(IDX_SrcGrade,$AF330),"—")</f>
        <v>1</v>
      </c>
      <c r="U330" s="35" t="s">
        <v>2808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5" t="n">
        <f aca="false">IF(OR($H330="—",$H330=""),"—",MATCH($H330,IDX_SrcID,0))</f>
        <v>284</v>
      </c>
    </row>
    <row r="331" customFormat="false" ht="15" hidden="false" customHeight="true" outlineLevel="0" collapsed="false">
      <c r="A331" s="36" t="s">
        <v>3550</v>
      </c>
      <c r="B331" s="212" t="s">
        <v>2769</v>
      </c>
      <c r="C331" s="36" t="s">
        <v>3509</v>
      </c>
      <c r="D331" s="36" t="s">
        <v>3498</v>
      </c>
      <c r="E331" s="19" t="s">
        <v>424</v>
      </c>
      <c r="F331" s="212" t="s">
        <v>296</v>
      </c>
      <c r="G331" s="212" t="s">
        <v>2771</v>
      </c>
      <c r="H331" s="36" t="s">
        <v>3549</v>
      </c>
      <c r="I331" s="19" t="s">
        <v>2806</v>
      </c>
      <c r="J331" s="36" t="s">
        <v>585</v>
      </c>
      <c r="K331" s="212"/>
      <c r="L331" s="212"/>
      <c r="M331" s="36" t="s">
        <v>585</v>
      </c>
      <c r="N331" s="19" t="s">
        <v>2904</v>
      </c>
      <c r="O331" s="6" t="s">
        <v>585</v>
      </c>
      <c r="P331" s="212" t="s">
        <v>1114</v>
      </c>
      <c r="Q331" s="41" t="n">
        <f aca="false">Calib!G14</f>
        <v>27</v>
      </c>
      <c r="R331" s="184" t="n">
        <f aca="false">SRC_PERF_002_Spd</f>
        <v>27</v>
      </c>
      <c r="S331" s="35" t="str">
        <f aca="false">IF(ISNUMBER($AF331),INDEX(IDX_SrcStat,$AF331),"—")</f>
        <v>Active</v>
      </c>
      <c r="T331" s="35" t="n">
        <f aca="false">IF(ISNUMBER($AF331),INDEX(IDX_SrcGrade,$AF331),"—")</f>
        <v>1</v>
      </c>
      <c r="U331" s="35" t="s">
        <v>2808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5" t="n">
        <f aca="false">IF(OR($H331="—",$H331=""),"—",MATCH($H331,IDX_SrcID,0))</f>
        <v>284</v>
      </c>
    </row>
    <row r="332" customFormat="false" ht="15" hidden="false" customHeight="true" outlineLevel="0" collapsed="false">
      <c r="A332" s="36" t="s">
        <v>3551</v>
      </c>
      <c r="B332" s="212" t="s">
        <v>2769</v>
      </c>
      <c r="C332" s="36" t="s">
        <v>3509</v>
      </c>
      <c r="D332" s="36" t="s">
        <v>3552</v>
      </c>
      <c r="E332" s="6" t="s">
        <v>425</v>
      </c>
      <c r="F332" s="212" t="s">
        <v>296</v>
      </c>
      <c r="G332" s="212" t="s">
        <v>2771</v>
      </c>
      <c r="H332" s="36" t="s">
        <v>3549</v>
      </c>
      <c r="I332" s="19" t="s">
        <v>2806</v>
      </c>
      <c r="J332" s="36" t="s">
        <v>585</v>
      </c>
      <c r="K332" s="212"/>
      <c r="L332" s="212"/>
      <c r="M332" s="36" t="s">
        <v>585</v>
      </c>
      <c r="N332" s="19" t="s">
        <v>2904</v>
      </c>
      <c r="O332" s="6" t="s">
        <v>585</v>
      </c>
      <c r="P332" s="212" t="s">
        <v>1114</v>
      </c>
      <c r="Q332" s="41" t="n">
        <f aca="false">Calib!G15</f>
        <v>8192</v>
      </c>
      <c r="R332" s="184" t="n">
        <f aca="false">SRC_PERF_002_ISL</f>
        <v>8192</v>
      </c>
      <c r="S332" s="35" t="str">
        <f aca="false">IF(ISNUMBER($AF332),INDEX(IDX_SrcStat,$AF332),"—")</f>
        <v>Active</v>
      </c>
      <c r="T332" s="35" t="n">
        <f aca="false">IF(ISNUMBER($AF332),INDEX(IDX_SrcGrade,$AF332),"—")</f>
        <v>1</v>
      </c>
      <c r="U332" s="35" t="s">
        <v>2808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5" t="n">
        <f aca="false">IF(OR($H332="—",$H332=""),"—",MATCH($H332,IDX_SrcID,0))</f>
        <v>284</v>
      </c>
    </row>
    <row r="333" customFormat="false" ht="15" hidden="false" customHeight="true" outlineLevel="0" collapsed="false">
      <c r="A333" s="36" t="s">
        <v>3553</v>
      </c>
      <c r="B333" s="212" t="s">
        <v>2769</v>
      </c>
      <c r="C333" s="36" t="s">
        <v>3509</v>
      </c>
      <c r="D333" s="36" t="s">
        <v>3554</v>
      </c>
      <c r="E333" s="6" t="s">
        <v>426</v>
      </c>
      <c r="F333" s="212" t="s">
        <v>296</v>
      </c>
      <c r="G333" s="212" t="s">
        <v>2771</v>
      </c>
      <c r="H333" s="36" t="s">
        <v>3549</v>
      </c>
      <c r="I333" s="19" t="s">
        <v>2806</v>
      </c>
      <c r="J333" s="36" t="s">
        <v>585</v>
      </c>
      <c r="K333" s="212"/>
      <c r="L333" s="212"/>
      <c r="M333" s="36" t="s">
        <v>585</v>
      </c>
      <c r="N333" s="19" t="s">
        <v>2904</v>
      </c>
      <c r="O333" s="6" t="s">
        <v>585</v>
      </c>
      <c r="P333" s="212" t="s">
        <v>1114</v>
      </c>
      <c r="Q333" s="41" t="n">
        <f aca="false">Calib!G16</f>
        <v>1024</v>
      </c>
      <c r="R333" s="184" t="n">
        <f aca="false">SRC_PERF_002_OSL</f>
        <v>1024</v>
      </c>
      <c r="S333" s="35" t="str">
        <f aca="false">IF(ISNUMBER($AF333),INDEX(IDX_SrcStat,$AF333),"—")</f>
        <v>Active</v>
      </c>
      <c r="T333" s="35" t="n">
        <f aca="false">IF(ISNUMBER($AF333),INDEX(IDX_SrcGrade,$AF333),"—")</f>
        <v>1</v>
      </c>
      <c r="U333" s="35" t="s">
        <v>2808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5" t="n">
        <f aca="false">IF(OR($H333="—",$H333=""),"—",MATCH($H333,IDX_SrcID,0))</f>
        <v>284</v>
      </c>
    </row>
    <row r="334" customFormat="false" ht="15" hidden="false" customHeight="true" outlineLevel="0" collapsed="false">
      <c r="A334" s="36" t="s">
        <v>3555</v>
      </c>
      <c r="B334" s="212" t="s">
        <v>2769</v>
      </c>
      <c r="C334" s="36" t="s">
        <v>3509</v>
      </c>
      <c r="D334" s="36" t="s">
        <v>3556</v>
      </c>
      <c r="E334" s="19" t="s">
        <v>3524</v>
      </c>
      <c r="F334" s="212" t="s">
        <v>296</v>
      </c>
      <c r="G334" s="212" t="s">
        <v>2771</v>
      </c>
      <c r="H334" s="36" t="s">
        <v>3549</v>
      </c>
      <c r="I334" s="19" t="s">
        <v>2806</v>
      </c>
      <c r="J334" s="36" t="s">
        <v>585</v>
      </c>
      <c r="K334" s="212"/>
      <c r="L334" s="212"/>
      <c r="M334" s="36" t="s">
        <v>585</v>
      </c>
      <c r="N334" s="19" t="s">
        <v>2904</v>
      </c>
      <c r="O334" s="6" t="s">
        <v>585</v>
      </c>
      <c r="P334" s="212" t="s">
        <v>1114</v>
      </c>
      <c r="Q334" s="41" t="n">
        <f aca="false">Calib!G17</f>
        <v>2189</v>
      </c>
      <c r="R334" s="184" t="n">
        <f aca="false">SRC_PERF_002</f>
        <v>2189</v>
      </c>
      <c r="S334" s="35" t="str">
        <f aca="false">IF(ISNUMBER($AF334),INDEX(IDX_SrcStat,$AF334),"—")</f>
        <v>Active</v>
      </c>
      <c r="T334" s="35" t="n">
        <f aca="false">IF(ISNUMBER($AF334),INDEX(IDX_SrcGrade,$AF334),"—")</f>
        <v>1</v>
      </c>
      <c r="U334" s="35" t="s">
        <v>2808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5" t="n">
        <f aca="false">IF(OR($H334="—",$H334=""),"—",MATCH($H334,IDX_SrcID,0))</f>
        <v>284</v>
      </c>
    </row>
    <row r="335" customFormat="false" ht="15" hidden="false" customHeight="true" outlineLevel="0" collapsed="false">
      <c r="A335" s="36" t="s">
        <v>3557</v>
      </c>
      <c r="B335" s="212" t="s">
        <v>2769</v>
      </c>
      <c r="C335" s="36" t="s">
        <v>3509</v>
      </c>
      <c r="D335" s="36" t="s">
        <v>3558</v>
      </c>
      <c r="E335" s="6" t="s">
        <v>423</v>
      </c>
      <c r="F335" s="212" t="s">
        <v>296</v>
      </c>
      <c r="G335" s="212" t="s">
        <v>2771</v>
      </c>
      <c r="H335" s="36" t="s">
        <v>3559</v>
      </c>
      <c r="I335" s="19" t="s">
        <v>2806</v>
      </c>
      <c r="J335" s="36" t="s">
        <v>585</v>
      </c>
      <c r="K335" s="212"/>
      <c r="L335" s="212"/>
      <c r="M335" s="36" t="s">
        <v>585</v>
      </c>
      <c r="N335" s="19" t="s">
        <v>2904</v>
      </c>
      <c r="O335" s="6" t="s">
        <v>585</v>
      </c>
      <c r="P335" s="212" t="s">
        <v>2774</v>
      </c>
      <c r="Q335" s="182" t="n">
        <f aca="false">Calib!H13</f>
        <v>1</v>
      </c>
      <c r="R335" s="184" t="n">
        <f aca="false">SRC_PERF_014_MTP</f>
        <v>1</v>
      </c>
      <c r="S335" s="35" t="str">
        <f aca="false">IF(ISNUMBER($AF335),INDEX(IDX_SrcStat,$AF335),"—")</f>
        <v>Active</v>
      </c>
      <c r="T335" s="35" t="n">
        <f aca="false">IF(ISNUMBER($AF335),INDEX(IDX_SrcGrade,$AF335),"—")</f>
        <v>1</v>
      </c>
      <c r="U335" s="35" t="s">
        <v>2808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5" t="n">
        <f aca="false">IF(OR($H335="—",$H335=""),"—",MATCH($H335,IDX_SrcID,0))</f>
        <v>296</v>
      </c>
    </row>
    <row r="336" customFormat="false" ht="15" hidden="false" customHeight="true" outlineLevel="0" collapsed="false">
      <c r="A336" s="36" t="s">
        <v>3560</v>
      </c>
      <c r="B336" s="212" t="s">
        <v>2769</v>
      </c>
      <c r="C336" s="36" t="s">
        <v>3509</v>
      </c>
      <c r="D336" s="36" t="s">
        <v>3561</v>
      </c>
      <c r="E336" s="19" t="s">
        <v>424</v>
      </c>
      <c r="F336" s="212" t="s">
        <v>296</v>
      </c>
      <c r="G336" s="212" t="s">
        <v>2771</v>
      </c>
      <c r="H336" s="36" t="s">
        <v>3559</v>
      </c>
      <c r="I336" s="19" t="s">
        <v>2806</v>
      </c>
      <c r="J336" s="36" t="s">
        <v>585</v>
      </c>
      <c r="K336" s="212"/>
      <c r="L336" s="212"/>
      <c r="M336" s="36" t="s">
        <v>585</v>
      </c>
      <c r="N336" s="19" t="s">
        <v>2904</v>
      </c>
      <c r="O336" s="6" t="s">
        <v>585</v>
      </c>
      <c r="P336" s="212" t="s">
        <v>1114</v>
      </c>
      <c r="Q336" s="41" t="n">
        <f aca="false">Calib!H14</f>
        <v>110</v>
      </c>
      <c r="R336" s="184" t="n">
        <f aca="false">SRC_PERF_014_Spd</f>
        <v>110</v>
      </c>
      <c r="S336" s="35" t="str">
        <f aca="false">IF(ISNUMBER($AF336),INDEX(IDX_SrcStat,$AF336),"—")</f>
        <v>Active</v>
      </c>
      <c r="T336" s="35" t="n">
        <f aca="false">IF(ISNUMBER($AF336),INDEX(IDX_SrcGrade,$AF336),"—")</f>
        <v>1</v>
      </c>
      <c r="U336" s="35" t="s">
        <v>2808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5" t="n">
        <f aca="false">IF(OR($H336="—",$H336=""),"—",MATCH($H336,IDX_SrcID,0))</f>
        <v>296</v>
      </c>
    </row>
    <row r="337" customFormat="false" ht="15" hidden="false" customHeight="true" outlineLevel="0" collapsed="false">
      <c r="A337" s="36" t="s">
        <v>3562</v>
      </c>
      <c r="B337" s="212" t="s">
        <v>2769</v>
      </c>
      <c r="C337" s="36" t="s">
        <v>3509</v>
      </c>
      <c r="D337" s="36" t="s">
        <v>3563</v>
      </c>
      <c r="E337" s="6" t="s">
        <v>425</v>
      </c>
      <c r="F337" s="212" t="s">
        <v>296</v>
      </c>
      <c r="G337" s="212" t="s">
        <v>2771</v>
      </c>
      <c r="H337" s="36" t="s">
        <v>3559</v>
      </c>
      <c r="I337" s="19" t="s">
        <v>2806</v>
      </c>
      <c r="J337" s="36" t="s">
        <v>585</v>
      </c>
      <c r="K337" s="212"/>
      <c r="L337" s="212"/>
      <c r="M337" s="36" t="s">
        <v>585</v>
      </c>
      <c r="N337" s="19" t="s">
        <v>2904</v>
      </c>
      <c r="O337" s="6" t="s">
        <v>585</v>
      </c>
      <c r="P337" s="212" t="s">
        <v>1114</v>
      </c>
      <c r="Q337" s="41" t="n">
        <f aca="false">Calib!H15</f>
        <v>8192</v>
      </c>
      <c r="R337" s="184" t="n">
        <f aca="false">SRC_PERF_014_ISL</f>
        <v>8192</v>
      </c>
      <c r="S337" s="35" t="str">
        <f aca="false">IF(ISNUMBER($AF337),INDEX(IDX_SrcStat,$AF337),"—")</f>
        <v>Active</v>
      </c>
      <c r="T337" s="35" t="n">
        <f aca="false">IF(ISNUMBER($AF337),INDEX(IDX_SrcGrade,$AF337),"—")</f>
        <v>1</v>
      </c>
      <c r="U337" s="35" t="s">
        <v>2808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5" t="n">
        <f aca="false">IF(OR($H337="—",$H337=""),"—",MATCH($H337,IDX_SrcID,0))</f>
        <v>296</v>
      </c>
    </row>
    <row r="338" customFormat="false" ht="15" hidden="false" customHeight="true" outlineLevel="0" collapsed="false">
      <c r="A338" s="36" t="s">
        <v>3564</v>
      </c>
      <c r="B338" s="212" t="s">
        <v>2769</v>
      </c>
      <c r="C338" s="36" t="s">
        <v>3509</v>
      </c>
      <c r="D338" s="36" t="s">
        <v>3565</v>
      </c>
      <c r="E338" s="6" t="s">
        <v>426</v>
      </c>
      <c r="F338" s="212" t="s">
        <v>296</v>
      </c>
      <c r="G338" s="212" t="s">
        <v>2771</v>
      </c>
      <c r="H338" s="36" t="s">
        <v>3559</v>
      </c>
      <c r="I338" s="19" t="s">
        <v>2806</v>
      </c>
      <c r="J338" s="36" t="s">
        <v>585</v>
      </c>
      <c r="K338" s="212"/>
      <c r="L338" s="212"/>
      <c r="M338" s="36" t="s">
        <v>585</v>
      </c>
      <c r="N338" s="19" t="s">
        <v>2904</v>
      </c>
      <c r="O338" s="6" t="s">
        <v>585</v>
      </c>
      <c r="P338" s="212" t="s">
        <v>1114</v>
      </c>
      <c r="Q338" s="41" t="n">
        <f aca="false">Calib!H16</f>
        <v>1024</v>
      </c>
      <c r="R338" s="184" t="n">
        <f aca="false">SRC_PERF_014_OSL</f>
        <v>1024</v>
      </c>
      <c r="S338" s="35" t="str">
        <f aca="false">IF(ISNUMBER($AF338),INDEX(IDX_SrcStat,$AF338),"—")</f>
        <v>Active</v>
      </c>
      <c r="T338" s="35" t="n">
        <f aca="false">IF(ISNUMBER($AF338),INDEX(IDX_SrcGrade,$AF338),"—")</f>
        <v>1</v>
      </c>
      <c r="U338" s="35" t="s">
        <v>2808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5" t="n">
        <f aca="false">IF(OR($H338="—",$H338=""),"—",MATCH($H338,IDX_SrcID,0))</f>
        <v>296</v>
      </c>
    </row>
    <row r="339" customFormat="false" ht="15" hidden="false" customHeight="true" outlineLevel="0" collapsed="false">
      <c r="A339" s="36" t="s">
        <v>3566</v>
      </c>
      <c r="B339" s="212" t="s">
        <v>2769</v>
      </c>
      <c r="C339" s="36" t="s">
        <v>3509</v>
      </c>
      <c r="D339" s="36" t="s">
        <v>3567</v>
      </c>
      <c r="E339" s="19" t="s">
        <v>3524</v>
      </c>
      <c r="F339" s="212" t="s">
        <v>296</v>
      </c>
      <c r="G339" s="212" t="s">
        <v>2771</v>
      </c>
      <c r="H339" s="36" t="s">
        <v>3559</v>
      </c>
      <c r="I339" s="19" t="s">
        <v>2806</v>
      </c>
      <c r="J339" s="36" t="s">
        <v>585</v>
      </c>
      <c r="K339" s="212"/>
      <c r="L339" s="212"/>
      <c r="M339" s="36" t="s">
        <v>585</v>
      </c>
      <c r="N339" s="19" t="s">
        <v>2904</v>
      </c>
      <c r="O339" s="6" t="s">
        <v>585</v>
      </c>
      <c r="P339" s="212" t="s">
        <v>1114</v>
      </c>
      <c r="Q339" s="41" t="n">
        <f aca="false">Calib!H17</f>
        <v>3795.5</v>
      </c>
      <c r="R339" s="184" t="n">
        <f aca="false">SRC_PERF_014</f>
        <v>3795.5</v>
      </c>
      <c r="S339" s="35" t="str">
        <f aca="false">IF(ISNUMBER($AF339),INDEX(IDX_SrcStat,$AF339),"—")</f>
        <v>Active</v>
      </c>
      <c r="T339" s="35" t="n">
        <f aca="false">IF(ISNUMBER($AF339),INDEX(IDX_SrcGrade,$AF339),"—")</f>
        <v>1</v>
      </c>
      <c r="U339" s="35" t="s">
        <v>2808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5" t="n">
        <f aca="false">IF(OR($H339="—",$H339=""),"—",MATCH($H339,IDX_SrcID,0))</f>
        <v>296</v>
      </c>
    </row>
    <row r="340" customFormat="false" ht="15" hidden="false" customHeight="true" outlineLevel="0" collapsed="false">
      <c r="A340" s="36" t="s">
        <v>3568</v>
      </c>
      <c r="B340" s="212" t="s">
        <v>2769</v>
      </c>
      <c r="C340" s="36" t="s">
        <v>3509</v>
      </c>
      <c r="D340" s="36" t="s">
        <v>3569</v>
      </c>
      <c r="E340" s="6" t="s">
        <v>423</v>
      </c>
      <c r="F340" s="212" t="s">
        <v>296</v>
      </c>
      <c r="G340" s="212" t="s">
        <v>2771</v>
      </c>
      <c r="H340" s="36" t="s">
        <v>3570</v>
      </c>
      <c r="I340" s="19" t="s">
        <v>2806</v>
      </c>
      <c r="J340" s="36" t="s">
        <v>585</v>
      </c>
      <c r="K340" s="212"/>
      <c r="L340" s="212"/>
      <c r="M340" s="36" t="s">
        <v>585</v>
      </c>
      <c r="N340" s="19" t="s">
        <v>2904</v>
      </c>
      <c r="O340" s="6" t="s">
        <v>585</v>
      </c>
      <c r="P340" s="212" t="s">
        <v>2774</v>
      </c>
      <c r="Q340" s="182" t="n">
        <f aca="false">Calib!I13</f>
        <v>1</v>
      </c>
      <c r="R340" s="184" t="n">
        <f aca="false">SRC_PERF_015_MTP</f>
        <v>1</v>
      </c>
      <c r="S340" s="35" t="str">
        <f aca="false">IF(ISNUMBER($AF340),INDEX(IDX_SrcStat,$AF340),"—")</f>
        <v>Active</v>
      </c>
      <c r="T340" s="35" t="n">
        <f aca="false">IF(ISNUMBER($AF340),INDEX(IDX_SrcGrade,$AF340),"—")</f>
        <v>1</v>
      </c>
      <c r="U340" s="35" t="s">
        <v>2808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5" t="n">
        <f aca="false">IF(OR($H340="—",$H340=""),"—",MATCH($H340,IDX_SrcID,0))</f>
        <v>297</v>
      </c>
    </row>
    <row r="341" customFormat="false" ht="15" hidden="false" customHeight="true" outlineLevel="0" collapsed="false">
      <c r="A341" s="36" t="s">
        <v>3571</v>
      </c>
      <c r="B341" s="212" t="s">
        <v>2769</v>
      </c>
      <c r="C341" s="36" t="s">
        <v>3509</v>
      </c>
      <c r="D341" s="36" t="s">
        <v>3572</v>
      </c>
      <c r="E341" s="19" t="s">
        <v>424</v>
      </c>
      <c r="F341" s="212" t="s">
        <v>296</v>
      </c>
      <c r="G341" s="212" t="s">
        <v>2771</v>
      </c>
      <c r="H341" s="36" t="s">
        <v>3570</v>
      </c>
      <c r="I341" s="19" t="s">
        <v>2806</v>
      </c>
      <c r="J341" s="36" t="s">
        <v>585</v>
      </c>
      <c r="K341" s="212"/>
      <c r="L341" s="212"/>
      <c r="M341" s="36" t="s">
        <v>585</v>
      </c>
      <c r="N341" s="19" t="s">
        <v>2904</v>
      </c>
      <c r="O341" s="6" t="s">
        <v>585</v>
      </c>
      <c r="P341" s="212" t="s">
        <v>1114</v>
      </c>
      <c r="Q341" s="41" t="n">
        <f aca="false">Calib!I14</f>
        <v>110</v>
      </c>
      <c r="R341" s="184" t="n">
        <f aca="false">SRC_PERF_015_Spd</f>
        <v>110</v>
      </c>
      <c r="S341" s="35" t="str">
        <f aca="false">IF(ISNUMBER($AF341),INDEX(IDX_SrcStat,$AF341),"—")</f>
        <v>Active</v>
      </c>
      <c r="T341" s="35" t="n">
        <f aca="false">IF(ISNUMBER($AF341),INDEX(IDX_SrcGrade,$AF341),"—")</f>
        <v>1</v>
      </c>
      <c r="U341" s="35" t="s">
        <v>2808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5" t="n">
        <f aca="false">IF(OR($H341="—",$H341=""),"—",MATCH($H341,IDX_SrcID,0))</f>
        <v>297</v>
      </c>
    </row>
    <row r="342" customFormat="false" ht="15" hidden="false" customHeight="true" outlineLevel="0" collapsed="false">
      <c r="A342" s="36" t="s">
        <v>3573</v>
      </c>
      <c r="B342" s="212" t="s">
        <v>2769</v>
      </c>
      <c r="C342" s="36" t="s">
        <v>3509</v>
      </c>
      <c r="D342" s="36" t="s">
        <v>3574</v>
      </c>
      <c r="E342" s="6" t="s">
        <v>425</v>
      </c>
      <c r="F342" s="212" t="s">
        <v>296</v>
      </c>
      <c r="G342" s="212" t="s">
        <v>2771</v>
      </c>
      <c r="H342" s="36" t="s">
        <v>3570</v>
      </c>
      <c r="I342" s="19" t="s">
        <v>2806</v>
      </c>
      <c r="J342" s="36" t="s">
        <v>585</v>
      </c>
      <c r="K342" s="212"/>
      <c r="L342" s="212"/>
      <c r="M342" s="36" t="s">
        <v>585</v>
      </c>
      <c r="N342" s="19" t="s">
        <v>2904</v>
      </c>
      <c r="O342" s="6" t="s">
        <v>585</v>
      </c>
      <c r="P342" s="212" t="s">
        <v>1114</v>
      </c>
      <c r="Q342" s="41" t="n">
        <f aca="false">Calib!I15</f>
        <v>8192</v>
      </c>
      <c r="R342" s="184" t="n">
        <f aca="false">SRC_PERF_015_ISL</f>
        <v>8192</v>
      </c>
      <c r="S342" s="35" t="str">
        <f aca="false">IF(ISNUMBER($AF342),INDEX(IDX_SrcStat,$AF342),"—")</f>
        <v>Active</v>
      </c>
      <c r="T342" s="35" t="n">
        <f aca="false">IF(ISNUMBER($AF342),INDEX(IDX_SrcGrade,$AF342),"—")</f>
        <v>1</v>
      </c>
      <c r="U342" s="35" t="s">
        <v>2808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5" t="n">
        <f aca="false">IF(OR($H342="—",$H342=""),"—",MATCH($H342,IDX_SrcID,0))</f>
        <v>297</v>
      </c>
    </row>
    <row r="343" customFormat="false" ht="15" hidden="false" customHeight="true" outlineLevel="0" collapsed="false">
      <c r="A343" s="36" t="s">
        <v>3575</v>
      </c>
      <c r="B343" s="212" t="s">
        <v>2769</v>
      </c>
      <c r="C343" s="36" t="s">
        <v>3509</v>
      </c>
      <c r="D343" s="36" t="s">
        <v>3576</v>
      </c>
      <c r="E343" s="6" t="s">
        <v>426</v>
      </c>
      <c r="F343" s="212" t="s">
        <v>296</v>
      </c>
      <c r="G343" s="212" t="s">
        <v>2771</v>
      </c>
      <c r="H343" s="36" t="s">
        <v>3570</v>
      </c>
      <c r="I343" s="19" t="s">
        <v>2806</v>
      </c>
      <c r="J343" s="36" t="s">
        <v>585</v>
      </c>
      <c r="K343" s="212"/>
      <c r="L343" s="212"/>
      <c r="M343" s="36" t="s">
        <v>585</v>
      </c>
      <c r="N343" s="19" t="s">
        <v>2904</v>
      </c>
      <c r="O343" s="6" t="s">
        <v>585</v>
      </c>
      <c r="P343" s="212" t="s">
        <v>1114</v>
      </c>
      <c r="Q343" s="41" t="n">
        <f aca="false">Calib!I16</f>
        <v>1024</v>
      </c>
      <c r="R343" s="184" t="n">
        <f aca="false">SRC_PERF_015_OSL</f>
        <v>1024</v>
      </c>
      <c r="S343" s="35" t="str">
        <f aca="false">IF(ISNUMBER($AF343),INDEX(IDX_SrcStat,$AF343),"—")</f>
        <v>Active</v>
      </c>
      <c r="T343" s="35" t="n">
        <f aca="false">IF(ISNUMBER($AF343),INDEX(IDX_SrcGrade,$AF343),"—")</f>
        <v>1</v>
      </c>
      <c r="U343" s="35" t="s">
        <v>2808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5" t="n">
        <f aca="false">IF(OR($H343="—",$H343=""),"—",MATCH($H343,IDX_SrcID,0))</f>
        <v>297</v>
      </c>
    </row>
    <row r="344" customFormat="false" ht="15" hidden="false" customHeight="true" outlineLevel="0" collapsed="false">
      <c r="A344" s="36" t="s">
        <v>3577</v>
      </c>
      <c r="B344" s="212" t="s">
        <v>2769</v>
      </c>
      <c r="C344" s="36" t="s">
        <v>3509</v>
      </c>
      <c r="D344" s="36" t="s">
        <v>3578</v>
      </c>
      <c r="E344" s="19" t="s">
        <v>3524</v>
      </c>
      <c r="F344" s="212" t="s">
        <v>296</v>
      </c>
      <c r="G344" s="212" t="s">
        <v>2771</v>
      </c>
      <c r="H344" s="36" t="s">
        <v>3570</v>
      </c>
      <c r="I344" s="19" t="s">
        <v>2806</v>
      </c>
      <c r="J344" s="36" t="s">
        <v>585</v>
      </c>
      <c r="K344" s="212"/>
      <c r="L344" s="212"/>
      <c r="M344" s="36" t="s">
        <v>585</v>
      </c>
      <c r="N344" s="19" t="s">
        <v>2904</v>
      </c>
      <c r="O344" s="6" t="s">
        <v>585</v>
      </c>
      <c r="P344" s="212" t="s">
        <v>1114</v>
      </c>
      <c r="Q344" s="41" t="n">
        <f aca="false">Calib!I17</f>
        <v>6522.4</v>
      </c>
      <c r="R344" s="184" t="n">
        <f aca="false">SRC_PERF_015</f>
        <v>6522.4</v>
      </c>
      <c r="S344" s="35" t="str">
        <f aca="false">IF(ISNUMBER($AF344),INDEX(IDX_SrcStat,$AF344),"—")</f>
        <v>Active</v>
      </c>
      <c r="T344" s="35" t="n">
        <f aca="false">IF(ISNUMBER($AF344),INDEX(IDX_SrcGrade,$AF344),"—")</f>
        <v>1</v>
      </c>
      <c r="U344" s="35" t="s">
        <v>2808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5" t="n">
        <f aca="false">IF(OR($H344="—",$H344=""),"—",MATCH($H344,IDX_SrcID,0))</f>
        <v>297</v>
      </c>
    </row>
    <row r="345" customFormat="false" ht="100.5" hidden="false" customHeight="true" outlineLevel="0" collapsed="false">
      <c r="A345" s="36" t="s">
        <v>3579</v>
      </c>
      <c r="B345" s="212" t="s">
        <v>2769</v>
      </c>
      <c r="C345" s="36" t="s">
        <v>3509</v>
      </c>
      <c r="D345" s="36" t="s">
        <v>3580</v>
      </c>
      <c r="E345" s="6" t="s">
        <v>483</v>
      </c>
      <c r="F345" s="36" t="s">
        <v>82</v>
      </c>
      <c r="G345" s="212" t="s">
        <v>2771</v>
      </c>
      <c r="H345" s="36" t="s">
        <v>3581</v>
      </c>
      <c r="I345" s="19" t="s">
        <v>3582</v>
      </c>
      <c r="J345" s="36" t="s">
        <v>585</v>
      </c>
      <c r="K345" s="214" t="n">
        <v>0.5</v>
      </c>
      <c r="L345" s="214" t="n">
        <v>2.5</v>
      </c>
      <c r="M345" s="36" t="s">
        <v>3583</v>
      </c>
      <c r="N345" s="213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585</v>
      </c>
      <c r="P345" s="212" t="s">
        <v>1114</v>
      </c>
      <c r="Q345" s="174" t="n">
        <f aca="false">Calib!C67</f>
        <v>1.5</v>
      </c>
      <c r="R345" s="184" t="n">
        <f aca="false">SRC_PERF_042</f>
        <v>14800</v>
      </c>
      <c r="S345" s="35" t="str">
        <f aca="false">IF(ISNUMBER($AF345),INDEX(IDX_SrcStat,$AF345),"—")</f>
        <v>Active</v>
      </c>
      <c r="T345" s="35" t="n">
        <f aca="false">IF(ISNUMBER($AF345),INDEX(IDX_SrcGrade,$AF345),"—")</f>
        <v>1</v>
      </c>
      <c r="U345" s="35" t="s">
        <v>2775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5" t="n">
        <f aca="false">IF(OR($H345="—",$H345=""),"—",MATCH($H345,IDX_SrcID,0))</f>
        <v>324</v>
      </c>
    </row>
    <row r="346" customFormat="false" ht="29.25" hidden="false" customHeight="true" outlineLevel="0" collapsed="false">
      <c r="A346" s="36" t="s">
        <v>3584</v>
      </c>
      <c r="B346" s="212" t="s">
        <v>2769</v>
      </c>
      <c r="C346" s="36" t="s">
        <v>3509</v>
      </c>
      <c r="D346" s="36" t="s">
        <v>3585</v>
      </c>
      <c r="E346" s="6" t="s">
        <v>483</v>
      </c>
      <c r="F346" s="36" t="s">
        <v>82</v>
      </c>
      <c r="G346" s="212" t="s">
        <v>2771</v>
      </c>
      <c r="H346" s="36" t="s">
        <v>3519</v>
      </c>
      <c r="I346" s="19" t="s">
        <v>3586</v>
      </c>
      <c r="J346" s="36" t="s">
        <v>585</v>
      </c>
      <c r="K346" s="214" t="n">
        <v>0.5</v>
      </c>
      <c r="L346" s="214" t="n">
        <v>1.5</v>
      </c>
      <c r="M346" s="36" t="s">
        <v>3587</v>
      </c>
      <c r="N346" s="19" t="s">
        <v>3588</v>
      </c>
      <c r="O346" s="6" t="s">
        <v>585</v>
      </c>
      <c r="P346" s="212" t="s">
        <v>1114</v>
      </c>
      <c r="Q346" s="174" t="n">
        <f aca="false">Calib!D67</f>
        <v>1</v>
      </c>
      <c r="R346" s="184" t="n">
        <f aca="false">SRC_PERF_009</f>
        <v>9342.1</v>
      </c>
      <c r="S346" s="35" t="str">
        <f aca="false">IF(ISNUMBER($AF346),INDEX(IDX_SrcStat,$AF346),"—")</f>
        <v>Active</v>
      </c>
      <c r="T346" s="35" t="n">
        <f aca="false">IF(ISNUMBER($AF346),INDEX(IDX_SrcGrade,$AF346),"—")</f>
        <v>2</v>
      </c>
      <c r="U346" s="35" t="s">
        <v>2775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5" t="n">
        <f aca="false">IF(OR($H346="—",$H346=""),"—",MATCH($H346,IDX_SrcID,0))</f>
        <v>291</v>
      </c>
    </row>
    <row r="347" customFormat="false" ht="29.25" hidden="false" customHeight="true" outlineLevel="0" collapsed="false">
      <c r="A347" s="36" t="s">
        <v>3589</v>
      </c>
      <c r="B347" s="212" t="s">
        <v>2769</v>
      </c>
      <c r="C347" s="36" t="s">
        <v>3509</v>
      </c>
      <c r="D347" s="36" t="s">
        <v>3590</v>
      </c>
      <c r="E347" s="6" t="s">
        <v>483</v>
      </c>
      <c r="F347" s="36" t="s">
        <v>82</v>
      </c>
      <c r="G347" s="212" t="s">
        <v>2771</v>
      </c>
      <c r="H347" s="36" t="s">
        <v>3519</v>
      </c>
      <c r="I347" s="19" t="s">
        <v>3586</v>
      </c>
      <c r="J347" s="36" t="s">
        <v>585</v>
      </c>
      <c r="K347" s="214" t="n">
        <v>0.5</v>
      </c>
      <c r="L347" s="214" t="n">
        <v>1.5</v>
      </c>
      <c r="M347" s="36" t="s">
        <v>3587</v>
      </c>
      <c r="N347" s="19" t="s">
        <v>3588</v>
      </c>
      <c r="O347" s="6" t="s">
        <v>585</v>
      </c>
      <c r="P347" s="212" t="s">
        <v>1114</v>
      </c>
      <c r="Q347" s="174" t="n">
        <f aca="false">Calib!E67</f>
        <v>1</v>
      </c>
      <c r="R347" s="184" t="n">
        <f aca="false">SRC_PERF_009</f>
        <v>9342.1</v>
      </c>
      <c r="S347" s="35" t="str">
        <f aca="false">IF(ISNUMBER($AF347),INDEX(IDX_SrcStat,$AF347),"—")</f>
        <v>Active</v>
      </c>
      <c r="T347" s="35" t="n">
        <f aca="false">IF(ISNUMBER($AF347),INDEX(IDX_SrcGrade,$AF347),"—")</f>
        <v>2</v>
      </c>
      <c r="U347" s="35" t="s">
        <v>2775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5" t="n">
        <f aca="false">IF(OR($H347="—",$H347=""),"—",MATCH($H347,IDX_SrcID,0))</f>
        <v>291</v>
      </c>
    </row>
    <row r="348" customFormat="false" ht="29.25" hidden="false" customHeight="true" outlineLevel="0" collapsed="false">
      <c r="A348" s="36" t="s">
        <v>3591</v>
      </c>
      <c r="B348" s="212" t="s">
        <v>2769</v>
      </c>
      <c r="C348" s="36" t="s">
        <v>3509</v>
      </c>
      <c r="D348" s="36" t="s">
        <v>3592</v>
      </c>
      <c r="E348" s="6" t="s">
        <v>483</v>
      </c>
      <c r="F348" s="36" t="s">
        <v>82</v>
      </c>
      <c r="G348" s="212" t="s">
        <v>2771</v>
      </c>
      <c r="H348" s="36" t="s">
        <v>3519</v>
      </c>
      <c r="I348" s="19" t="s">
        <v>3586</v>
      </c>
      <c r="J348" s="36" t="s">
        <v>585</v>
      </c>
      <c r="K348" s="214" t="n">
        <v>0.5</v>
      </c>
      <c r="L348" s="214" t="n">
        <v>1.5</v>
      </c>
      <c r="M348" s="36" t="s">
        <v>3587</v>
      </c>
      <c r="N348" s="19" t="s">
        <v>3593</v>
      </c>
      <c r="O348" s="6" t="s">
        <v>585</v>
      </c>
      <c r="P348" s="212" t="s">
        <v>1114</v>
      </c>
      <c r="Q348" s="174" t="n">
        <f aca="false">Calib!F67</f>
        <v>1</v>
      </c>
      <c r="R348" s="184" t="n">
        <f aca="false">SRC_PERF_009</f>
        <v>9342.1</v>
      </c>
      <c r="S348" s="35" t="str">
        <f aca="false">IF(ISNUMBER($AF348),INDEX(IDX_SrcStat,$AF348),"—")</f>
        <v>Active</v>
      </c>
      <c r="T348" s="35" t="n">
        <f aca="false">IF(ISNUMBER($AF348),INDEX(IDX_SrcGrade,$AF348),"—")</f>
        <v>2</v>
      </c>
      <c r="U348" s="35" t="s">
        <v>2775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5" t="n">
        <f aca="false">IF(OR($H348="—",$H348=""),"—",MATCH($H348,IDX_SrcID,0))</f>
        <v>291</v>
      </c>
    </row>
    <row r="349" customFormat="false" ht="29.25" hidden="false" customHeight="true" outlineLevel="0" collapsed="false">
      <c r="A349" s="36" t="s">
        <v>3594</v>
      </c>
      <c r="B349" s="212" t="s">
        <v>2769</v>
      </c>
      <c r="C349" s="36" t="s">
        <v>3509</v>
      </c>
      <c r="D349" s="36" t="s">
        <v>3595</v>
      </c>
      <c r="E349" s="6" t="s">
        <v>483</v>
      </c>
      <c r="F349" s="36" t="s">
        <v>82</v>
      </c>
      <c r="G349" s="212" t="s">
        <v>2771</v>
      </c>
      <c r="H349" s="36" t="s">
        <v>3519</v>
      </c>
      <c r="I349" s="19" t="s">
        <v>3586</v>
      </c>
      <c r="J349" s="36" t="s">
        <v>585</v>
      </c>
      <c r="K349" s="214" t="n">
        <v>0.5</v>
      </c>
      <c r="L349" s="214" t="n">
        <v>1.5</v>
      </c>
      <c r="M349" s="36" t="s">
        <v>3587</v>
      </c>
      <c r="N349" s="19" t="s">
        <v>3588</v>
      </c>
      <c r="O349" s="6" t="s">
        <v>585</v>
      </c>
      <c r="P349" s="212" t="s">
        <v>1114</v>
      </c>
      <c r="Q349" s="174" t="n">
        <f aca="false">Calib!G67</f>
        <v>1</v>
      </c>
      <c r="R349" s="184" t="n">
        <f aca="false">SRC_PERF_009</f>
        <v>9342.1</v>
      </c>
      <c r="S349" s="35" t="str">
        <f aca="false">IF(ISNUMBER($AF349),INDEX(IDX_SrcStat,$AF349),"—")</f>
        <v>Active</v>
      </c>
      <c r="T349" s="35" t="n">
        <f aca="false">IF(ISNUMBER($AF349),INDEX(IDX_SrcGrade,$AF349),"—")</f>
        <v>2</v>
      </c>
      <c r="U349" s="35" t="s">
        <v>2775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5" t="n">
        <f aca="false">IF(OR($H349="—",$H349=""),"—",MATCH($H349,IDX_SrcID,0))</f>
        <v>291</v>
      </c>
    </row>
    <row r="350" customFormat="false" ht="29.25" hidden="false" customHeight="true" outlineLevel="0" collapsed="false">
      <c r="A350" s="36" t="s">
        <v>3596</v>
      </c>
      <c r="B350" s="212" t="s">
        <v>2769</v>
      </c>
      <c r="C350" s="36" t="s">
        <v>3509</v>
      </c>
      <c r="D350" s="36" t="s">
        <v>3597</v>
      </c>
      <c r="E350" s="19" t="s">
        <v>485</v>
      </c>
      <c r="F350" s="36" t="s">
        <v>78</v>
      </c>
      <c r="G350" s="212" t="s">
        <v>2771</v>
      </c>
      <c r="H350" s="36" t="s">
        <v>585</v>
      </c>
      <c r="I350" s="6" t="s">
        <v>585</v>
      </c>
      <c r="J350" s="36" t="s">
        <v>585</v>
      </c>
      <c r="K350" s="214" t="n">
        <v>1</v>
      </c>
      <c r="L350" s="214" t="n">
        <v>3</v>
      </c>
      <c r="M350" s="36" t="s">
        <v>3598</v>
      </c>
      <c r="N350" s="213" t="str">
        <f aca="false">Calib!$J$68</f>
        <v>Hopper EP 跨節點走 IB [Assumed 1.5，區間 1–3]</v>
      </c>
      <c r="O350" s="6" t="s">
        <v>585</v>
      </c>
      <c r="P350" s="212" t="s">
        <v>1114</v>
      </c>
      <c r="Q350" s="174" t="n">
        <f aca="false">Calib!C68</f>
        <v>1.5</v>
      </c>
      <c r="R350" s="36" t="s">
        <v>585</v>
      </c>
      <c r="S350" s="35" t="str">
        <f aca="false">IF(ISNUMBER($AF350),INDEX(IDX_SrcStat,$AF350),"—")</f>
        <v>—</v>
      </c>
      <c r="T350" s="35" t="str">
        <f aca="false">IF(ISNUMBER($AF350),INDEX(IDX_SrcGrade,$AF350),"—")</f>
        <v>—</v>
      </c>
      <c r="U350" s="35" t="s">
        <v>2775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5" t="str">
        <f aca="false">IF(OR($H350="—",$H350=""),"—",MATCH($H350,IDX_SrcID,0))</f>
        <v>—</v>
      </c>
    </row>
    <row r="351" customFormat="false" ht="15" hidden="false" customHeight="true" outlineLevel="0" collapsed="false">
      <c r="A351" s="36" t="s">
        <v>3599</v>
      </c>
      <c r="B351" s="212" t="s">
        <v>2769</v>
      </c>
      <c r="C351" s="36" t="s">
        <v>3509</v>
      </c>
      <c r="D351" s="36" t="s">
        <v>3600</v>
      </c>
      <c r="E351" s="19" t="s">
        <v>485</v>
      </c>
      <c r="F351" s="36" t="s">
        <v>78</v>
      </c>
      <c r="G351" s="212" t="s">
        <v>2771</v>
      </c>
      <c r="H351" s="36" t="s">
        <v>585</v>
      </c>
      <c r="I351" s="6" t="s">
        <v>585</v>
      </c>
      <c r="J351" s="36" t="s">
        <v>585</v>
      </c>
      <c r="K351" s="214" t="n">
        <v>1</v>
      </c>
      <c r="L351" s="214" t="n">
        <v>1.5</v>
      </c>
      <c r="M351" s="36" t="s">
        <v>3601</v>
      </c>
      <c r="N351" s="19" t="s">
        <v>3602</v>
      </c>
      <c r="O351" s="6" t="s">
        <v>585</v>
      </c>
      <c r="P351" s="212" t="s">
        <v>1114</v>
      </c>
      <c r="Q351" s="174" t="n">
        <f aca="false">Calib!D68</f>
        <v>1</v>
      </c>
      <c r="R351" s="36" t="s">
        <v>585</v>
      </c>
      <c r="S351" s="35" t="str">
        <f aca="false">IF(ISNUMBER($AF351),INDEX(IDX_SrcStat,$AF351),"—")</f>
        <v>—</v>
      </c>
      <c r="T351" s="35" t="str">
        <f aca="false">IF(ISNUMBER($AF351),INDEX(IDX_SrcGrade,$AF351),"—")</f>
        <v>—</v>
      </c>
      <c r="U351" s="35" t="s">
        <v>2775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5" t="str">
        <f aca="false">IF(OR($H351="—",$H351=""),"—",MATCH($H351,IDX_SrcID,0))</f>
        <v>—</v>
      </c>
    </row>
    <row r="352" customFormat="false" ht="15" hidden="false" customHeight="true" outlineLevel="0" collapsed="false">
      <c r="A352" s="36" t="s">
        <v>3603</v>
      </c>
      <c r="B352" s="212" t="s">
        <v>2769</v>
      </c>
      <c r="C352" s="36" t="s">
        <v>3509</v>
      </c>
      <c r="D352" s="36" t="s">
        <v>3604</v>
      </c>
      <c r="E352" s="19" t="s">
        <v>485</v>
      </c>
      <c r="F352" s="36" t="s">
        <v>78</v>
      </c>
      <c r="G352" s="212" t="s">
        <v>2771</v>
      </c>
      <c r="H352" s="36" t="s">
        <v>585</v>
      </c>
      <c r="I352" s="6" t="s">
        <v>585</v>
      </c>
      <c r="J352" s="36" t="s">
        <v>585</v>
      </c>
      <c r="K352" s="214" t="n">
        <v>1</v>
      </c>
      <c r="L352" s="214" t="n">
        <v>1.5</v>
      </c>
      <c r="M352" s="36" t="s">
        <v>3601</v>
      </c>
      <c r="N352" s="19" t="s">
        <v>3602</v>
      </c>
      <c r="O352" s="6" t="s">
        <v>585</v>
      </c>
      <c r="P352" s="212" t="s">
        <v>1114</v>
      </c>
      <c r="Q352" s="174" t="n">
        <f aca="false">Calib!E68</f>
        <v>1</v>
      </c>
      <c r="R352" s="36" t="s">
        <v>585</v>
      </c>
      <c r="S352" s="35" t="str">
        <f aca="false">IF(ISNUMBER($AF352),INDEX(IDX_SrcStat,$AF352),"—")</f>
        <v>—</v>
      </c>
      <c r="T352" s="35" t="str">
        <f aca="false">IF(ISNUMBER($AF352),INDEX(IDX_SrcGrade,$AF352),"—")</f>
        <v>—</v>
      </c>
      <c r="U352" s="35" t="s">
        <v>2775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5" t="str">
        <f aca="false">IF(OR($H352="—",$H352=""),"—",MATCH($H352,IDX_SrcID,0))</f>
        <v>—</v>
      </c>
    </row>
    <row r="353" customFormat="false" ht="15" hidden="false" customHeight="true" outlineLevel="0" collapsed="false">
      <c r="A353" s="36" t="s">
        <v>3605</v>
      </c>
      <c r="B353" s="212" t="s">
        <v>2769</v>
      </c>
      <c r="C353" s="36" t="s">
        <v>3509</v>
      </c>
      <c r="D353" s="36" t="s">
        <v>3606</v>
      </c>
      <c r="E353" s="19" t="s">
        <v>485</v>
      </c>
      <c r="F353" s="36" t="s">
        <v>78</v>
      </c>
      <c r="G353" s="212" t="s">
        <v>2771</v>
      </c>
      <c r="H353" s="36" t="s">
        <v>585</v>
      </c>
      <c r="I353" s="6" t="s">
        <v>585</v>
      </c>
      <c r="J353" s="36" t="s">
        <v>585</v>
      </c>
      <c r="K353" s="214" t="n">
        <v>1</v>
      </c>
      <c r="L353" s="214" t="n">
        <v>1.5</v>
      </c>
      <c r="M353" s="36" t="s">
        <v>3601</v>
      </c>
      <c r="N353" s="19" t="s">
        <v>3602</v>
      </c>
      <c r="O353" s="6" t="s">
        <v>585</v>
      </c>
      <c r="P353" s="212" t="s">
        <v>1114</v>
      </c>
      <c r="Q353" s="174" t="n">
        <f aca="false">Calib!F68</f>
        <v>1</v>
      </c>
      <c r="R353" s="36" t="s">
        <v>585</v>
      </c>
      <c r="S353" s="35" t="str">
        <f aca="false">IF(ISNUMBER($AF353),INDEX(IDX_SrcStat,$AF353),"—")</f>
        <v>—</v>
      </c>
      <c r="T353" s="35" t="str">
        <f aca="false">IF(ISNUMBER($AF353),INDEX(IDX_SrcGrade,$AF353),"—")</f>
        <v>—</v>
      </c>
      <c r="U353" s="35" t="s">
        <v>2775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5" t="str">
        <f aca="false">IF(OR($H353="—",$H353=""),"—",MATCH($H353,IDX_SrcID,0))</f>
        <v>—</v>
      </c>
    </row>
    <row r="354" customFormat="false" ht="15" hidden="false" customHeight="true" outlineLevel="0" collapsed="false">
      <c r="A354" s="36" t="s">
        <v>3607</v>
      </c>
      <c r="B354" s="212" t="s">
        <v>2769</v>
      </c>
      <c r="C354" s="36" t="s">
        <v>3509</v>
      </c>
      <c r="D354" s="36" t="s">
        <v>3608</v>
      </c>
      <c r="E354" s="19" t="s">
        <v>485</v>
      </c>
      <c r="F354" s="36" t="s">
        <v>78</v>
      </c>
      <c r="G354" s="212" t="s">
        <v>2771</v>
      </c>
      <c r="H354" s="36" t="s">
        <v>585</v>
      </c>
      <c r="I354" s="6" t="s">
        <v>585</v>
      </c>
      <c r="J354" s="36" t="s">
        <v>585</v>
      </c>
      <c r="K354" s="214" t="n">
        <v>1</v>
      </c>
      <c r="L354" s="214" t="n">
        <v>1.5</v>
      </c>
      <c r="M354" s="36" t="s">
        <v>3601</v>
      </c>
      <c r="N354" s="19" t="s">
        <v>3602</v>
      </c>
      <c r="O354" s="6" t="s">
        <v>585</v>
      </c>
      <c r="P354" s="212" t="s">
        <v>1114</v>
      </c>
      <c r="Q354" s="174" t="n">
        <f aca="false">Calib!G68</f>
        <v>1</v>
      </c>
      <c r="R354" s="36" t="s">
        <v>585</v>
      </c>
      <c r="S354" s="35" t="str">
        <f aca="false">IF(ISNUMBER($AF354),INDEX(IDX_SrcStat,$AF354),"—")</f>
        <v>—</v>
      </c>
      <c r="T354" s="35" t="str">
        <f aca="false">IF(ISNUMBER($AF354),INDEX(IDX_SrcGrade,$AF354),"—")</f>
        <v>—</v>
      </c>
      <c r="U354" s="35" t="s">
        <v>2775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5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6" t="s">
        <v>3609</v>
      </c>
      <c r="B355" s="212" t="s">
        <v>2769</v>
      </c>
      <c r="C355" s="36" t="s">
        <v>3509</v>
      </c>
      <c r="D355" s="36" t="s">
        <v>3610</v>
      </c>
      <c r="E355" s="6" t="s">
        <v>487</v>
      </c>
      <c r="F355" s="36" t="s">
        <v>3057</v>
      </c>
      <c r="G355" s="212" t="s">
        <v>2771</v>
      </c>
      <c r="H355" s="36" t="s">
        <v>585</v>
      </c>
      <c r="I355" s="19" t="s">
        <v>3611</v>
      </c>
      <c r="J355" s="36" t="s">
        <v>585</v>
      </c>
      <c r="K355" s="214"/>
      <c r="L355" s="214"/>
      <c r="M355" s="36" t="s">
        <v>585</v>
      </c>
      <c r="N355" s="218" t="s">
        <v>3612</v>
      </c>
      <c r="O355" s="6" t="s">
        <v>3613</v>
      </c>
      <c r="P355" s="212" t="s">
        <v>2830</v>
      </c>
      <c r="Q355" s="174" t="n">
        <f aca="false">Calib!C69</f>
        <v>0.499747347145023</v>
      </c>
      <c r="R355" s="36" t="s">
        <v>585</v>
      </c>
      <c r="S355" s="35" t="str">
        <f aca="false">IF(ISNUMBER($AF355),INDEX(IDX_SrcStat,$AF355),"—")</f>
        <v>—</v>
      </c>
      <c r="T355" s="35" t="str">
        <f aca="false">IF(ISNUMBER($AF355),INDEX(IDX_SrcGrade,$AF355),"—")</f>
        <v>—</v>
      </c>
      <c r="U355" s="35" t="s">
        <v>2808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5" t="str">
        <f aca="false">IF(OR($H355="—",$H355=""),"—",MATCH($H355,IDX_SrcID,0))</f>
        <v>—</v>
      </c>
    </row>
    <row r="356" customFormat="false" ht="15" hidden="false" customHeight="true" outlineLevel="0" collapsed="false">
      <c r="A356" s="36" t="s">
        <v>3614</v>
      </c>
      <c r="B356" s="212" t="s">
        <v>2769</v>
      </c>
      <c r="C356" s="36" t="s">
        <v>3509</v>
      </c>
      <c r="D356" s="36" t="s">
        <v>3615</v>
      </c>
      <c r="E356" s="6" t="s">
        <v>487</v>
      </c>
      <c r="F356" s="36" t="s">
        <v>78</v>
      </c>
      <c r="G356" s="212" t="s">
        <v>2771</v>
      </c>
      <c r="H356" s="36" t="s">
        <v>585</v>
      </c>
      <c r="I356" s="6" t="s">
        <v>585</v>
      </c>
      <c r="J356" s="36" t="s">
        <v>585</v>
      </c>
      <c r="K356" s="214" t="n">
        <v>0.5</v>
      </c>
      <c r="L356" s="214" t="n">
        <v>1.5</v>
      </c>
      <c r="M356" s="36" t="s">
        <v>3616</v>
      </c>
      <c r="N356" s="6" t="s">
        <v>3617</v>
      </c>
      <c r="O356" s="6" t="s">
        <v>585</v>
      </c>
      <c r="P356" s="212" t="s">
        <v>2830</v>
      </c>
      <c r="Q356" s="174" t="n">
        <f aca="false">Calib!D69</f>
        <v>1</v>
      </c>
      <c r="R356" s="36" t="s">
        <v>585</v>
      </c>
      <c r="S356" s="35" t="str">
        <f aca="false">IF(ISNUMBER($AF356),INDEX(IDX_SrcStat,$AF356),"—")</f>
        <v>—</v>
      </c>
      <c r="T356" s="35" t="str">
        <f aca="false">IF(ISNUMBER($AF356),INDEX(IDX_SrcGrade,$AF356),"—")</f>
        <v>—</v>
      </c>
      <c r="U356" s="35" t="s">
        <v>2775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5" t="str">
        <f aca="false">IF(OR($H356="—",$H356=""),"—",MATCH($H356,IDX_SrcID,0))</f>
        <v>—</v>
      </c>
    </row>
    <row r="357" customFormat="false" ht="15" hidden="false" customHeight="true" outlineLevel="0" collapsed="false">
      <c r="A357" s="36" t="s">
        <v>3618</v>
      </c>
      <c r="B357" s="212" t="s">
        <v>2769</v>
      </c>
      <c r="C357" s="36" t="s">
        <v>3509</v>
      </c>
      <c r="D357" s="36" t="s">
        <v>3619</v>
      </c>
      <c r="E357" s="6" t="s">
        <v>487</v>
      </c>
      <c r="F357" s="36" t="s">
        <v>78</v>
      </c>
      <c r="G357" s="212" t="s">
        <v>2771</v>
      </c>
      <c r="H357" s="36" t="s">
        <v>585</v>
      </c>
      <c r="I357" s="6" t="s">
        <v>585</v>
      </c>
      <c r="J357" s="36" t="s">
        <v>585</v>
      </c>
      <c r="K357" s="214" t="n">
        <v>0.5</v>
      </c>
      <c r="L357" s="214" t="n">
        <v>1.5</v>
      </c>
      <c r="M357" s="36" t="s">
        <v>3616</v>
      </c>
      <c r="N357" s="6" t="s">
        <v>3617</v>
      </c>
      <c r="O357" s="6" t="s">
        <v>585</v>
      </c>
      <c r="P357" s="212" t="s">
        <v>2830</v>
      </c>
      <c r="Q357" s="174" t="n">
        <f aca="false">Calib!E69</f>
        <v>1</v>
      </c>
      <c r="R357" s="36" t="s">
        <v>585</v>
      </c>
      <c r="S357" s="35" t="str">
        <f aca="false">IF(ISNUMBER($AF357),INDEX(IDX_SrcStat,$AF357),"—")</f>
        <v>—</v>
      </c>
      <c r="T357" s="35" t="str">
        <f aca="false">IF(ISNUMBER($AF357),INDEX(IDX_SrcGrade,$AF357),"—")</f>
        <v>—</v>
      </c>
      <c r="U357" s="35" t="s">
        <v>2775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5" t="str">
        <f aca="false">IF(OR($H357="—",$H357=""),"—",MATCH($H357,IDX_SrcID,0))</f>
        <v>—</v>
      </c>
    </row>
    <row r="358" customFormat="false" ht="15" hidden="false" customHeight="true" outlineLevel="0" collapsed="false">
      <c r="A358" s="36" t="s">
        <v>3620</v>
      </c>
      <c r="B358" s="212" t="s">
        <v>2769</v>
      </c>
      <c r="C358" s="36" t="s">
        <v>3509</v>
      </c>
      <c r="D358" s="36" t="s">
        <v>3621</v>
      </c>
      <c r="E358" s="6" t="s">
        <v>487</v>
      </c>
      <c r="F358" s="36" t="s">
        <v>78</v>
      </c>
      <c r="G358" s="212" t="s">
        <v>2771</v>
      </c>
      <c r="H358" s="36" t="s">
        <v>585</v>
      </c>
      <c r="I358" s="6" t="s">
        <v>585</v>
      </c>
      <c r="J358" s="36" t="s">
        <v>585</v>
      </c>
      <c r="K358" s="214" t="n">
        <v>0.5</v>
      </c>
      <c r="L358" s="214" t="n">
        <v>1.5</v>
      </c>
      <c r="M358" s="36" t="s">
        <v>3616</v>
      </c>
      <c r="N358" s="6" t="s">
        <v>3622</v>
      </c>
      <c r="O358" s="6" t="s">
        <v>585</v>
      </c>
      <c r="P358" s="212" t="s">
        <v>1114</v>
      </c>
      <c r="Q358" s="174" t="n">
        <f aca="false">Calib!F69</f>
        <v>1</v>
      </c>
      <c r="R358" s="36" t="s">
        <v>585</v>
      </c>
      <c r="S358" s="35" t="str">
        <f aca="false">IF(ISNUMBER($AF358),INDEX(IDX_SrcStat,$AF358),"—")</f>
        <v>—</v>
      </c>
      <c r="T358" s="35" t="str">
        <f aca="false">IF(ISNUMBER($AF358),INDEX(IDX_SrcGrade,$AF358),"—")</f>
        <v>—</v>
      </c>
      <c r="U358" s="35" t="s">
        <v>2775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5" t="str">
        <f aca="false">IF(OR($H358="—",$H358=""),"—",MATCH($H358,IDX_SrcID,0))</f>
        <v>—</v>
      </c>
    </row>
    <row r="359" customFormat="false" ht="15" hidden="false" customHeight="true" outlineLevel="0" collapsed="false">
      <c r="A359" s="36" t="s">
        <v>3623</v>
      </c>
      <c r="B359" s="212" t="s">
        <v>2769</v>
      </c>
      <c r="C359" s="36" t="s">
        <v>3509</v>
      </c>
      <c r="D359" s="36" t="s">
        <v>3624</v>
      </c>
      <c r="E359" s="6" t="s">
        <v>487</v>
      </c>
      <c r="F359" s="36" t="s">
        <v>78</v>
      </c>
      <c r="G359" s="212" t="s">
        <v>2771</v>
      </c>
      <c r="H359" s="36" t="s">
        <v>585</v>
      </c>
      <c r="I359" s="6" t="s">
        <v>585</v>
      </c>
      <c r="J359" s="36" t="s">
        <v>585</v>
      </c>
      <c r="K359" s="214" t="n">
        <v>0.5</v>
      </c>
      <c r="L359" s="214" t="n">
        <v>1.5</v>
      </c>
      <c r="M359" s="36" t="s">
        <v>3616</v>
      </c>
      <c r="N359" s="6" t="s">
        <v>3617</v>
      </c>
      <c r="O359" s="6" t="s">
        <v>585</v>
      </c>
      <c r="P359" s="212" t="s">
        <v>2830</v>
      </c>
      <c r="Q359" s="174" t="n">
        <f aca="false">Calib!G69</f>
        <v>1</v>
      </c>
      <c r="R359" s="36" t="s">
        <v>585</v>
      </c>
      <c r="S359" s="35" t="str">
        <f aca="false">IF(ISNUMBER($AF359),INDEX(IDX_SrcStat,$AF359),"—")</f>
        <v>—</v>
      </c>
      <c r="T359" s="35" t="str">
        <f aca="false">IF(ISNUMBER($AF359),INDEX(IDX_SrcGrade,$AF359),"—")</f>
        <v>—</v>
      </c>
      <c r="U359" s="35" t="s">
        <v>2775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5" t="str">
        <f aca="false">IF(OR($H359="—",$H359=""),"—",MATCH($H359,IDX_SrcID,0))</f>
        <v>—</v>
      </c>
    </row>
    <row r="360" customFormat="false" ht="15" hidden="false" customHeight="true" outlineLevel="0" collapsed="false">
      <c r="A360" s="36" t="s">
        <v>3625</v>
      </c>
      <c r="B360" s="212" t="s">
        <v>2769</v>
      </c>
      <c r="C360" s="36" t="s">
        <v>3509</v>
      </c>
      <c r="D360" s="36" t="s">
        <v>3626</v>
      </c>
      <c r="E360" s="6" t="s">
        <v>513</v>
      </c>
      <c r="F360" s="212" t="s">
        <v>346</v>
      </c>
      <c r="G360" s="212" t="s">
        <v>3516</v>
      </c>
      <c r="H360" s="36" t="s">
        <v>585</v>
      </c>
      <c r="I360" s="6" t="s">
        <v>585</v>
      </c>
      <c r="J360" s="36" t="s">
        <v>585</v>
      </c>
      <c r="K360" s="212"/>
      <c r="L360" s="212"/>
      <c r="M360" s="36" t="s">
        <v>585</v>
      </c>
      <c r="N360" s="6" t="s">
        <v>3627</v>
      </c>
      <c r="O360" s="6" t="s">
        <v>585</v>
      </c>
      <c r="P360" s="36" t="s">
        <v>585</v>
      </c>
      <c r="Q360" s="184" t="s">
        <v>585</v>
      </c>
      <c r="R360" s="36" t="s">
        <v>585</v>
      </c>
      <c r="S360" s="35" t="str">
        <f aca="false">IF(ISNUMBER($AF360),INDEX(IDX_SrcStat,$AF360),"—")</f>
        <v>—</v>
      </c>
      <c r="T360" s="35" t="str">
        <f aca="false">IF(ISNUMBER($AF360),INDEX(IDX_SrcGrade,$AF360),"—")</f>
        <v>—</v>
      </c>
      <c r="U360" s="36" t="s">
        <v>585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5" t="str">
        <f aca="false">IF(OR($H360="—",$H360=""),"—",MATCH($H360,IDX_SrcID,0))</f>
        <v>—</v>
      </c>
    </row>
    <row r="361" customFormat="false" ht="15" hidden="false" customHeight="true" outlineLevel="0" collapsed="false">
      <c r="A361" s="36" t="s">
        <v>3628</v>
      </c>
      <c r="B361" s="212" t="s">
        <v>2769</v>
      </c>
      <c r="C361" s="36" t="s">
        <v>3509</v>
      </c>
      <c r="D361" s="36" t="s">
        <v>3629</v>
      </c>
      <c r="E361" s="19" t="s">
        <v>233</v>
      </c>
      <c r="F361" s="212" t="s">
        <v>296</v>
      </c>
      <c r="G361" s="212" t="s">
        <v>2771</v>
      </c>
      <c r="H361" s="36" t="s">
        <v>3630</v>
      </c>
      <c r="I361" s="19" t="s">
        <v>2806</v>
      </c>
      <c r="J361" s="36" t="s">
        <v>585</v>
      </c>
      <c r="K361" s="212"/>
      <c r="L361" s="212"/>
      <c r="M361" s="36" t="s">
        <v>585</v>
      </c>
      <c r="N361" s="19" t="s">
        <v>2904</v>
      </c>
      <c r="O361" s="6" t="s">
        <v>585</v>
      </c>
      <c r="P361" s="212" t="s">
        <v>2774</v>
      </c>
      <c r="Q361" s="41" t="n">
        <f aca="false">Calib!C100</f>
        <v>671</v>
      </c>
      <c r="R361" s="184" t="n">
        <f aca="false">SRC_MOD_020</f>
        <v>671</v>
      </c>
      <c r="S361" s="35" t="str">
        <f aca="false">IF(ISNUMBER($AF361),INDEX(IDX_SrcStat,$AF361),"—")</f>
        <v>Active</v>
      </c>
      <c r="T361" s="35" t="n">
        <f aca="false">IF(ISNUMBER($AF361),INDEX(IDX_SrcGrade,$AF361),"—")</f>
        <v>3</v>
      </c>
      <c r="U361" s="35" t="s">
        <v>2808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5" t="n">
        <f aca="false">IF(OR($H361="—",$H361=""),"—",MATCH($H361,IDX_SrcID,0))</f>
        <v>197</v>
      </c>
    </row>
    <row r="362" customFormat="false" ht="15" hidden="false" customHeight="true" outlineLevel="0" collapsed="false">
      <c r="A362" s="36" t="s">
        <v>3631</v>
      </c>
      <c r="B362" s="212" t="s">
        <v>2769</v>
      </c>
      <c r="C362" s="36" t="s">
        <v>3509</v>
      </c>
      <c r="D362" s="36" t="s">
        <v>3632</v>
      </c>
      <c r="E362" s="19" t="s">
        <v>237</v>
      </c>
      <c r="F362" s="212" t="s">
        <v>296</v>
      </c>
      <c r="G362" s="212" t="s">
        <v>2771</v>
      </c>
      <c r="H362" s="36" t="s">
        <v>3633</v>
      </c>
      <c r="I362" s="19" t="s">
        <v>2806</v>
      </c>
      <c r="J362" s="36" t="s">
        <v>585</v>
      </c>
      <c r="K362" s="212"/>
      <c r="L362" s="212"/>
      <c r="M362" s="36" t="s">
        <v>585</v>
      </c>
      <c r="N362" s="19" t="s">
        <v>2904</v>
      </c>
      <c r="O362" s="6" t="s">
        <v>585</v>
      </c>
      <c r="P362" s="212" t="s">
        <v>2774</v>
      </c>
      <c r="Q362" s="41" t="n">
        <f aca="false">Calib!C101</f>
        <v>37</v>
      </c>
      <c r="R362" s="184" t="n">
        <f aca="false">SRC_MOD_021</f>
        <v>37</v>
      </c>
      <c r="S362" s="35" t="str">
        <f aca="false">IF(ISNUMBER($AF362),INDEX(IDX_SrcStat,$AF362),"—")</f>
        <v>Active</v>
      </c>
      <c r="T362" s="35" t="n">
        <f aca="false">IF(ISNUMBER($AF362),INDEX(IDX_SrcGrade,$AF362),"—")</f>
        <v>3</v>
      </c>
      <c r="U362" s="35" t="s">
        <v>2808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5" t="n">
        <f aca="false">IF(OR($H362="—",$H362=""),"—",MATCH($H362,IDX_SrcID,0))</f>
        <v>198</v>
      </c>
    </row>
    <row r="363" customFormat="false" ht="15" hidden="false" customHeight="true" outlineLevel="0" collapsed="false">
      <c r="A363" s="36" t="s">
        <v>3634</v>
      </c>
      <c r="B363" s="212" t="s">
        <v>2769</v>
      </c>
      <c r="C363" s="36" t="s">
        <v>3509</v>
      </c>
      <c r="D363" s="36" t="s">
        <v>3635</v>
      </c>
      <c r="E363" s="19" t="s">
        <v>239</v>
      </c>
      <c r="F363" s="212" t="s">
        <v>296</v>
      </c>
      <c r="G363" s="212" t="s">
        <v>2771</v>
      </c>
      <c r="H363" s="36" t="s">
        <v>3636</v>
      </c>
      <c r="I363" s="19" t="s">
        <v>2806</v>
      </c>
      <c r="J363" s="36" t="s">
        <v>585</v>
      </c>
      <c r="K363" s="212"/>
      <c r="L363" s="212"/>
      <c r="M363" s="36" t="s">
        <v>585</v>
      </c>
      <c r="N363" s="19" t="s">
        <v>2904</v>
      </c>
      <c r="O363" s="6" t="s">
        <v>585</v>
      </c>
      <c r="P363" s="212" t="s">
        <v>2774</v>
      </c>
      <c r="Q363" s="41" t="n">
        <f aca="false">Calib!C102</f>
        <v>61</v>
      </c>
      <c r="R363" s="184" t="n">
        <f aca="false">SRC_MOD_022</f>
        <v>61</v>
      </c>
      <c r="S363" s="35" t="str">
        <f aca="false">IF(ISNUMBER($AF363),INDEX(IDX_SrcStat,$AF363),"—")</f>
        <v>Active</v>
      </c>
      <c r="T363" s="35" t="n">
        <f aca="false">IF(ISNUMBER($AF363),INDEX(IDX_SrcGrade,$AF363),"—")</f>
        <v>3</v>
      </c>
      <c r="U363" s="35" t="s">
        <v>2808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5" t="n">
        <f aca="false">IF(OR($H363="—",$H363=""),"—",MATCH($H363,IDX_SrcID,0))</f>
        <v>199</v>
      </c>
    </row>
    <row r="364" customFormat="false" ht="15" hidden="false" customHeight="true" outlineLevel="0" collapsed="false">
      <c r="A364" s="36" t="s">
        <v>3637</v>
      </c>
      <c r="B364" s="212" t="s">
        <v>2769</v>
      </c>
      <c r="C364" s="36" t="s">
        <v>3509</v>
      </c>
      <c r="D364" s="36" t="s">
        <v>3638</v>
      </c>
      <c r="E364" s="6" t="s">
        <v>242</v>
      </c>
      <c r="F364" s="212" t="s">
        <v>296</v>
      </c>
      <c r="G364" s="212" t="s">
        <v>2771</v>
      </c>
      <c r="H364" s="36" t="s">
        <v>3639</v>
      </c>
      <c r="I364" s="19" t="s">
        <v>2806</v>
      </c>
      <c r="J364" s="36" t="s">
        <v>585</v>
      </c>
      <c r="K364" s="212"/>
      <c r="L364" s="212"/>
      <c r="M364" s="36" t="s">
        <v>585</v>
      </c>
      <c r="N364" s="19" t="s">
        <v>2904</v>
      </c>
      <c r="O364" s="6" t="s">
        <v>585</v>
      </c>
      <c r="P364" s="212" t="s">
        <v>2774</v>
      </c>
      <c r="Q364" s="41" t="n">
        <f aca="false">Calib!C103</f>
        <v>7168</v>
      </c>
      <c r="R364" s="184" t="n">
        <f aca="false">SRC_MOD_023</f>
        <v>7168</v>
      </c>
      <c r="S364" s="35" t="str">
        <f aca="false">IF(ISNUMBER($AF364),INDEX(IDX_SrcStat,$AF364),"—")</f>
        <v>Active</v>
      </c>
      <c r="T364" s="35" t="n">
        <f aca="false">IF(ISNUMBER($AF364),INDEX(IDX_SrcGrade,$AF364),"—")</f>
        <v>3</v>
      </c>
      <c r="U364" s="35" t="s">
        <v>2808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5" t="n">
        <f aca="false">IF(OR($H364="—",$H364=""),"—",MATCH($H364,IDX_SrcID,0))</f>
        <v>200</v>
      </c>
    </row>
    <row r="365" customFormat="false" ht="15" hidden="false" customHeight="true" outlineLevel="0" collapsed="false">
      <c r="A365" s="36" t="s">
        <v>3640</v>
      </c>
      <c r="B365" s="212" t="s">
        <v>2769</v>
      </c>
      <c r="C365" s="36" t="s">
        <v>3509</v>
      </c>
      <c r="D365" s="36" t="s">
        <v>3641</v>
      </c>
      <c r="E365" s="6" t="s">
        <v>248</v>
      </c>
      <c r="F365" s="212" t="s">
        <v>296</v>
      </c>
      <c r="G365" s="212" t="s">
        <v>2771</v>
      </c>
      <c r="H365" s="36" t="s">
        <v>3642</v>
      </c>
      <c r="I365" s="19" t="s">
        <v>2806</v>
      </c>
      <c r="J365" s="36" t="s">
        <v>585</v>
      </c>
      <c r="K365" s="212"/>
      <c r="L365" s="212"/>
      <c r="M365" s="36" t="s">
        <v>585</v>
      </c>
      <c r="N365" s="19" t="s">
        <v>2904</v>
      </c>
      <c r="O365" s="6" t="s">
        <v>585</v>
      </c>
      <c r="P365" s="212" t="s">
        <v>2774</v>
      </c>
      <c r="Q365" s="41" t="n">
        <f aca="false">Calib!C104</f>
        <v>256</v>
      </c>
      <c r="R365" s="184" t="n">
        <f aca="false">SRC_MOD_024</f>
        <v>256</v>
      </c>
      <c r="S365" s="35" t="str">
        <f aca="false">IF(ISNUMBER($AF365),INDEX(IDX_SrcStat,$AF365),"—")</f>
        <v>Active</v>
      </c>
      <c r="T365" s="35" t="n">
        <f aca="false">IF(ISNUMBER($AF365),INDEX(IDX_SrcGrade,$AF365),"—")</f>
        <v>3</v>
      </c>
      <c r="U365" s="35" t="s">
        <v>2808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5" t="n">
        <f aca="false">IF(OR($H365="—",$H365=""),"—",MATCH($H365,IDX_SrcID,0))</f>
        <v>201</v>
      </c>
    </row>
    <row r="366" customFormat="false" ht="15" hidden="false" customHeight="true" outlineLevel="0" collapsed="false">
      <c r="A366" s="36" t="s">
        <v>3643</v>
      </c>
      <c r="B366" s="212" t="s">
        <v>2769</v>
      </c>
      <c r="C366" s="36" t="s">
        <v>3509</v>
      </c>
      <c r="D366" s="36" t="s">
        <v>3644</v>
      </c>
      <c r="E366" s="19" t="s">
        <v>3645</v>
      </c>
      <c r="F366" s="212" t="s">
        <v>296</v>
      </c>
      <c r="G366" s="212" t="s">
        <v>2771</v>
      </c>
      <c r="H366" s="36" t="s">
        <v>3646</v>
      </c>
      <c r="I366" s="19" t="s">
        <v>2806</v>
      </c>
      <c r="J366" s="36" t="s">
        <v>585</v>
      </c>
      <c r="K366" s="212"/>
      <c r="L366" s="212"/>
      <c r="M366" s="36" t="s">
        <v>585</v>
      </c>
      <c r="N366" s="19" t="s">
        <v>2904</v>
      </c>
      <c r="O366" s="6" t="s">
        <v>585</v>
      </c>
      <c r="P366" s="212" t="s">
        <v>2774</v>
      </c>
      <c r="Q366" s="41" t="n">
        <f aca="false">Calib!C105</f>
        <v>8</v>
      </c>
      <c r="R366" s="184" t="n">
        <f aca="false">SRC_MOD_025</f>
        <v>8</v>
      </c>
      <c r="S366" s="35" t="str">
        <f aca="false">IF(ISNUMBER($AF366),INDEX(IDX_SrcStat,$AF366),"—")</f>
        <v>Active</v>
      </c>
      <c r="T366" s="35" t="n">
        <f aca="false">IF(ISNUMBER($AF366),INDEX(IDX_SrcGrade,$AF366),"—")</f>
        <v>3</v>
      </c>
      <c r="U366" s="35" t="s">
        <v>2808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5" t="n">
        <f aca="false">IF(OR($H366="—",$H366=""),"—",MATCH($H366,IDX_SrcID,0))</f>
        <v>202</v>
      </c>
    </row>
    <row r="367" customFormat="false" ht="15" hidden="false" customHeight="true" outlineLevel="0" collapsed="false">
      <c r="A367" s="36" t="s">
        <v>3647</v>
      </c>
      <c r="B367" s="212" t="s">
        <v>2769</v>
      </c>
      <c r="C367" s="36" t="s">
        <v>3509</v>
      </c>
      <c r="D367" s="36" t="s">
        <v>3648</v>
      </c>
      <c r="E367" s="6" t="s">
        <v>250</v>
      </c>
      <c r="F367" s="212" t="s">
        <v>296</v>
      </c>
      <c r="G367" s="212" t="s">
        <v>2771</v>
      </c>
      <c r="H367" s="36" t="s">
        <v>3649</v>
      </c>
      <c r="I367" s="19" t="s">
        <v>2806</v>
      </c>
      <c r="J367" s="36" t="s">
        <v>585</v>
      </c>
      <c r="K367" s="212"/>
      <c r="L367" s="212"/>
      <c r="M367" s="36" t="s">
        <v>585</v>
      </c>
      <c r="N367" s="19" t="s">
        <v>2904</v>
      </c>
      <c r="O367" s="6" t="s">
        <v>585</v>
      </c>
      <c r="P367" s="212" t="s">
        <v>2774</v>
      </c>
      <c r="Q367" s="41" t="n">
        <f aca="false">Calib!C106</f>
        <v>1</v>
      </c>
      <c r="R367" s="184" t="n">
        <f aca="false">SRC_MOD_026</f>
        <v>1</v>
      </c>
      <c r="S367" s="35" t="str">
        <f aca="false">IF(ISNUMBER($AF367),INDEX(IDX_SrcStat,$AF367),"—")</f>
        <v>Active</v>
      </c>
      <c r="T367" s="35" t="n">
        <f aca="false">IF(ISNUMBER($AF367),INDEX(IDX_SrcGrade,$AF367),"—")</f>
        <v>3</v>
      </c>
      <c r="U367" s="35" t="s">
        <v>2808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5" t="n">
        <f aca="false">IF(OR($H367="—",$H367=""),"—",MATCH($H367,IDX_SrcID,0))</f>
        <v>203</v>
      </c>
    </row>
    <row r="368" customFormat="false" ht="15" hidden="false" customHeight="true" outlineLevel="0" collapsed="false">
      <c r="A368" s="36" t="s">
        <v>3650</v>
      </c>
      <c r="B368" s="212" t="s">
        <v>2769</v>
      </c>
      <c r="C368" s="36" t="s">
        <v>3509</v>
      </c>
      <c r="D368" s="36" t="s">
        <v>3651</v>
      </c>
      <c r="E368" s="6" t="s">
        <v>251</v>
      </c>
      <c r="F368" s="212" t="s">
        <v>296</v>
      </c>
      <c r="G368" s="212" t="s">
        <v>2771</v>
      </c>
      <c r="H368" s="36" t="s">
        <v>3652</v>
      </c>
      <c r="I368" s="19" t="s">
        <v>2806</v>
      </c>
      <c r="J368" s="36" t="s">
        <v>585</v>
      </c>
      <c r="K368" s="212"/>
      <c r="L368" s="212"/>
      <c r="M368" s="36" t="s">
        <v>585</v>
      </c>
      <c r="N368" s="19" t="s">
        <v>2904</v>
      </c>
      <c r="O368" s="6" t="s">
        <v>585</v>
      </c>
      <c r="P368" s="212" t="s">
        <v>2774</v>
      </c>
      <c r="Q368" s="41" t="n">
        <f aca="false">Calib!C107</f>
        <v>129280</v>
      </c>
      <c r="R368" s="184" t="n">
        <f aca="false">SRC_MOD_027</f>
        <v>129280</v>
      </c>
      <c r="S368" s="35" t="str">
        <f aca="false">IF(ISNUMBER($AF368),INDEX(IDX_SrcStat,$AF368),"—")</f>
        <v>Active</v>
      </c>
      <c r="T368" s="35" t="n">
        <f aca="false">IF(ISNUMBER($AF368),INDEX(IDX_SrcGrade,$AF368),"—")</f>
        <v>3</v>
      </c>
      <c r="U368" s="35" t="s">
        <v>2808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5" t="n">
        <f aca="false">IF(OR($H368="—",$H368=""),"—",MATCH($H368,IDX_SrcID,0))</f>
        <v>204</v>
      </c>
    </row>
    <row r="369" customFormat="false" ht="29.25" hidden="false" customHeight="true" outlineLevel="0" collapsed="false">
      <c r="A369" s="36" t="s">
        <v>3653</v>
      </c>
      <c r="B369" s="212" t="s">
        <v>2769</v>
      </c>
      <c r="C369" s="36" t="s">
        <v>3509</v>
      </c>
      <c r="D369" s="36" t="s">
        <v>3654</v>
      </c>
      <c r="E369" s="6" t="s">
        <v>524</v>
      </c>
      <c r="F369" s="212" t="s">
        <v>296</v>
      </c>
      <c r="G369" s="212" t="s">
        <v>2771</v>
      </c>
      <c r="H369" s="36" t="s">
        <v>3655</v>
      </c>
      <c r="I369" s="19" t="s">
        <v>3105</v>
      </c>
      <c r="J369" s="36" t="s">
        <v>585</v>
      </c>
      <c r="K369" s="212"/>
      <c r="L369" s="212"/>
      <c r="M369" s="36" t="s">
        <v>585</v>
      </c>
      <c r="N369" s="19" t="s">
        <v>2904</v>
      </c>
      <c r="O369" s="6" t="s">
        <v>585</v>
      </c>
      <c r="P369" s="212" t="s">
        <v>2774</v>
      </c>
      <c r="Q369" s="41" t="n">
        <f aca="false">Calib!C108</f>
        <v>35136</v>
      </c>
      <c r="R369" s="184" t="n">
        <f aca="false">SRC_MOD_028</f>
        <v>576</v>
      </c>
      <c r="S369" s="35" t="str">
        <f aca="false">IF(ISNUMBER($AF369),INDEX(IDX_SrcStat,$AF369),"—")</f>
        <v>Active</v>
      </c>
      <c r="T369" s="35" t="n">
        <f aca="false">IF(ISNUMBER($AF369),INDEX(IDX_SrcGrade,$AF369),"—")</f>
        <v>3</v>
      </c>
      <c r="U369" s="35" t="s">
        <v>2808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5" t="n">
        <f aca="false">IF(OR($H369="—",$H369=""),"—",MATCH($H369,IDX_SrcID,0))</f>
        <v>205</v>
      </c>
    </row>
    <row r="370" customFormat="false" ht="43.5" hidden="false" customHeight="true" outlineLevel="0" collapsed="false">
      <c r="A370" s="36" t="s">
        <v>3656</v>
      </c>
      <c r="B370" s="212" t="s">
        <v>2769</v>
      </c>
      <c r="C370" s="36" t="s">
        <v>3509</v>
      </c>
      <c r="D370" s="36" t="s">
        <v>3657</v>
      </c>
      <c r="E370" s="19" t="s">
        <v>3658</v>
      </c>
      <c r="F370" s="212" t="s">
        <v>296</v>
      </c>
      <c r="G370" s="212" t="s">
        <v>2771</v>
      </c>
      <c r="H370" s="36" t="s">
        <v>3659</v>
      </c>
      <c r="I370" s="19" t="s">
        <v>3105</v>
      </c>
      <c r="J370" s="36" t="s">
        <v>585</v>
      </c>
      <c r="K370" s="212"/>
      <c r="L370" s="212"/>
      <c r="M370" s="36" t="s">
        <v>585</v>
      </c>
      <c r="N370" s="19" t="s">
        <v>2904</v>
      </c>
      <c r="O370" s="6" t="s">
        <v>585</v>
      </c>
      <c r="P370" s="212" t="s">
        <v>2774</v>
      </c>
      <c r="Q370" s="41" t="n">
        <f aca="false">Calib!C109</f>
        <v>4997120</v>
      </c>
      <c r="R370" s="184" t="n">
        <f aca="false">SRC_MOD_049</f>
        <v>128</v>
      </c>
      <c r="S370" s="35" t="str">
        <f aca="false">IF(ISNUMBER($AF370),INDEX(IDX_SrcStat,$AF370),"—")</f>
        <v>Active</v>
      </c>
      <c r="T370" s="35" t="n">
        <f aca="false">IF(ISNUMBER($AF370),INDEX(IDX_SrcGrade,$AF370),"—")</f>
        <v>3</v>
      </c>
      <c r="U370" s="35" t="s">
        <v>2808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5" t="n">
        <f aca="false">IF(OR($H370="—",$H370=""),"—",MATCH($H370,IDX_SrcID,0))</f>
        <v>226</v>
      </c>
    </row>
    <row r="371" customFormat="false" ht="29.25" hidden="false" customHeight="true" outlineLevel="0" collapsed="false">
      <c r="A371" s="36" t="s">
        <v>3660</v>
      </c>
      <c r="B371" s="212" t="s">
        <v>2769</v>
      </c>
      <c r="C371" s="36" t="s">
        <v>3509</v>
      </c>
      <c r="D371" s="36" t="s">
        <v>3661</v>
      </c>
      <c r="E371" s="19" t="s">
        <v>3662</v>
      </c>
      <c r="F371" s="212" t="s">
        <v>296</v>
      </c>
      <c r="G371" s="212" t="s">
        <v>2771</v>
      </c>
      <c r="H371" s="36" t="s">
        <v>3663</v>
      </c>
      <c r="I371" s="19" t="s">
        <v>2806</v>
      </c>
      <c r="J371" s="36" t="s">
        <v>585</v>
      </c>
      <c r="K371" s="212"/>
      <c r="L371" s="212"/>
      <c r="M371" s="36" t="s">
        <v>585</v>
      </c>
      <c r="N371" s="19" t="s">
        <v>2904</v>
      </c>
      <c r="O371" s="6" t="s">
        <v>585</v>
      </c>
      <c r="P371" s="212" t="s">
        <v>2774</v>
      </c>
      <c r="Q371" s="41" t="n">
        <f aca="false">Calib!C110</f>
        <v>800</v>
      </c>
      <c r="R371" s="184" t="n">
        <f aca="false">SRC_PERF_029</f>
        <v>800</v>
      </c>
      <c r="S371" s="35" t="str">
        <f aca="false">IF(ISNUMBER($AF371),INDEX(IDX_SrcStat,$AF371),"—")</f>
        <v>Active</v>
      </c>
      <c r="T371" s="35" t="n">
        <f aca="false">IF(ISNUMBER($AF371),INDEX(IDX_SrcGrade,$AF371),"—")</f>
        <v>1</v>
      </c>
      <c r="U371" s="35" t="s">
        <v>2808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5" t="n">
        <f aca="false">IF(OR($H371="—",$H371=""),"—",MATCH($H371,IDX_SrcID,0))</f>
        <v>311</v>
      </c>
    </row>
    <row r="372" customFormat="false" ht="15" hidden="false" customHeight="true" outlineLevel="0" collapsed="false">
      <c r="A372" s="36" t="s">
        <v>3664</v>
      </c>
      <c r="B372" s="212" t="s">
        <v>2769</v>
      </c>
      <c r="C372" s="36" t="s">
        <v>3509</v>
      </c>
      <c r="D372" s="36" t="s">
        <v>3665</v>
      </c>
      <c r="E372" s="19" t="s">
        <v>3666</v>
      </c>
      <c r="F372" s="212" t="s">
        <v>296</v>
      </c>
      <c r="G372" s="212" t="s">
        <v>2771</v>
      </c>
      <c r="H372" s="36" t="s">
        <v>3667</v>
      </c>
      <c r="I372" s="19" t="s">
        <v>2806</v>
      </c>
      <c r="J372" s="36" t="s">
        <v>585</v>
      </c>
      <c r="K372" s="212"/>
      <c r="L372" s="212"/>
      <c r="M372" s="36" t="s">
        <v>585</v>
      </c>
      <c r="N372" s="19" t="s">
        <v>2904</v>
      </c>
      <c r="O372" s="6" t="s">
        <v>585</v>
      </c>
      <c r="P372" s="212" t="s">
        <v>2774</v>
      </c>
      <c r="Q372" s="41" t="n">
        <f aca="false">Calib!C111</f>
        <v>3880</v>
      </c>
      <c r="R372" s="184" t="n">
        <f aca="false">SRC_PERF_030</f>
        <v>3880</v>
      </c>
      <c r="S372" s="35" t="str">
        <f aca="false">IF(ISNUMBER($AF372),INDEX(IDX_SrcStat,$AF372),"—")</f>
        <v>Active</v>
      </c>
      <c r="T372" s="35" t="n">
        <f aca="false">IF(ISNUMBER($AF372),INDEX(IDX_SrcGrade,$AF372),"—")</f>
        <v>1</v>
      </c>
      <c r="U372" s="35" t="s">
        <v>2808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5" t="n">
        <f aca="false">IF(OR($H372="—",$H372=""),"—",MATCH($H372,IDX_SrcID,0))</f>
        <v>312</v>
      </c>
    </row>
    <row r="373" customFormat="false" ht="15" hidden="false" customHeight="true" outlineLevel="0" collapsed="false">
      <c r="A373" s="36" t="s">
        <v>3668</v>
      </c>
      <c r="B373" s="212" t="s">
        <v>2769</v>
      </c>
      <c r="C373" s="36" t="s">
        <v>3509</v>
      </c>
      <c r="D373" s="36" t="s">
        <v>3669</v>
      </c>
      <c r="E373" s="19" t="s">
        <v>417</v>
      </c>
      <c r="F373" s="212" t="s">
        <v>3515</v>
      </c>
      <c r="G373" s="212" t="s">
        <v>3516</v>
      </c>
      <c r="H373" s="36" t="s">
        <v>585</v>
      </c>
      <c r="I373" s="6" t="s">
        <v>585</v>
      </c>
      <c r="J373" s="36" t="s">
        <v>585</v>
      </c>
      <c r="K373" s="212"/>
      <c r="L373" s="212"/>
      <c r="M373" s="36" t="s">
        <v>585</v>
      </c>
      <c r="N373" s="6" t="s">
        <v>3670</v>
      </c>
      <c r="O373" s="6" t="s">
        <v>585</v>
      </c>
      <c r="P373" s="36" t="s">
        <v>585</v>
      </c>
      <c r="Q373" s="184" t="s">
        <v>585</v>
      </c>
      <c r="R373" s="36" t="s">
        <v>585</v>
      </c>
      <c r="S373" s="35" t="str">
        <f aca="false">IF(ISNUMBER($AF373),INDEX(IDX_SrcStat,$AF373),"—")</f>
        <v>—</v>
      </c>
      <c r="T373" s="35" t="str">
        <f aca="false">IF(ISNUMBER($AF373),INDEX(IDX_SrcGrade,$AF373),"—")</f>
        <v>—</v>
      </c>
      <c r="U373" s="36" t="s">
        <v>585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5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6" t="s">
        <v>3671</v>
      </c>
      <c r="B374" s="212" t="s">
        <v>2769</v>
      </c>
      <c r="C374" s="36" t="s">
        <v>3509</v>
      </c>
      <c r="D374" s="36" t="s">
        <v>3672</v>
      </c>
      <c r="E374" s="19" t="s">
        <v>3673</v>
      </c>
      <c r="F374" s="212" t="s">
        <v>296</v>
      </c>
      <c r="G374" s="212" t="s">
        <v>2771</v>
      </c>
      <c r="H374" s="36" t="s">
        <v>3674</v>
      </c>
      <c r="I374" s="19" t="s">
        <v>3105</v>
      </c>
      <c r="J374" s="36" t="s">
        <v>585</v>
      </c>
      <c r="K374" s="212"/>
      <c r="L374" s="212"/>
      <c r="M374" s="36" t="s">
        <v>585</v>
      </c>
      <c r="N374" s="19" t="s">
        <v>2904</v>
      </c>
      <c r="O374" s="6" t="s">
        <v>585</v>
      </c>
      <c r="P374" s="212" t="s">
        <v>2774</v>
      </c>
      <c r="Q374" s="177" t="n">
        <f aca="false">Calib!C118</f>
        <v>66.6666666666667</v>
      </c>
      <c r="R374" s="184" t="n">
        <f aca="false">SRC_PERF_031</f>
        <v>15</v>
      </c>
      <c r="S374" s="35" t="str">
        <f aca="false">IF(ISNUMBER($AF374),INDEX(IDX_SrcStat,$AF374),"—")</f>
        <v>Active</v>
      </c>
      <c r="T374" s="35" t="n">
        <f aca="false">IF(ISNUMBER($AF374),INDEX(IDX_SrcGrade,$AF374),"—")</f>
        <v>1</v>
      </c>
      <c r="U374" s="35" t="s">
        <v>2808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5" t="n">
        <f aca="false">IF(OR($H374="—",$H374=""),"—",MATCH($H374,IDX_SrcID,0))</f>
        <v>313</v>
      </c>
    </row>
    <row r="375" customFormat="false" ht="29.25" hidden="false" customHeight="true" outlineLevel="0" collapsed="false">
      <c r="A375" s="36" t="s">
        <v>3675</v>
      </c>
      <c r="B375" s="212" t="s">
        <v>2769</v>
      </c>
      <c r="C375" s="36" t="s">
        <v>3509</v>
      </c>
      <c r="D375" s="36" t="s">
        <v>3676</v>
      </c>
      <c r="E375" s="19" t="s">
        <v>3673</v>
      </c>
      <c r="F375" s="212" t="s">
        <v>296</v>
      </c>
      <c r="G375" s="212" t="s">
        <v>2771</v>
      </c>
      <c r="H375" s="36" t="s">
        <v>3674</v>
      </c>
      <c r="I375" s="19" t="s">
        <v>3105</v>
      </c>
      <c r="J375" s="36" t="s">
        <v>585</v>
      </c>
      <c r="K375" s="212"/>
      <c r="L375" s="212"/>
      <c r="M375" s="36" t="s">
        <v>585</v>
      </c>
      <c r="N375" s="19" t="s">
        <v>2904</v>
      </c>
      <c r="O375" s="6" t="s">
        <v>585</v>
      </c>
      <c r="P375" s="212" t="s">
        <v>2774</v>
      </c>
      <c r="Q375" s="177" t="n">
        <f aca="false">Calib!D118</f>
        <v>66.6666666666667</v>
      </c>
      <c r="R375" s="184" t="n">
        <f aca="false">SRC_PERF_031</f>
        <v>15</v>
      </c>
      <c r="S375" s="35" t="str">
        <f aca="false">IF(ISNUMBER($AF375),INDEX(IDX_SrcStat,$AF375),"—")</f>
        <v>Active</v>
      </c>
      <c r="T375" s="35" t="n">
        <f aca="false">IF(ISNUMBER($AF375),INDEX(IDX_SrcGrade,$AF375),"—")</f>
        <v>1</v>
      </c>
      <c r="U375" s="35" t="s">
        <v>2808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5" t="n">
        <f aca="false">IF(OR($H375="—",$H375=""),"—",MATCH($H375,IDX_SrcID,0))</f>
        <v>313</v>
      </c>
    </row>
    <row r="376" customFormat="false" ht="29.25" hidden="false" customHeight="true" outlineLevel="0" collapsed="false">
      <c r="A376" s="36" t="s">
        <v>3677</v>
      </c>
      <c r="B376" s="212" t="s">
        <v>2769</v>
      </c>
      <c r="C376" s="36" t="s">
        <v>3509</v>
      </c>
      <c r="D376" s="36" t="s">
        <v>3678</v>
      </c>
      <c r="E376" s="19" t="s">
        <v>3673</v>
      </c>
      <c r="F376" s="212" t="s">
        <v>296</v>
      </c>
      <c r="G376" s="212" t="s">
        <v>2771</v>
      </c>
      <c r="H376" s="36" t="s">
        <v>3674</v>
      </c>
      <c r="I376" s="19" t="s">
        <v>3105</v>
      </c>
      <c r="J376" s="36" t="s">
        <v>585</v>
      </c>
      <c r="K376" s="212"/>
      <c r="L376" s="212"/>
      <c r="M376" s="36" t="s">
        <v>585</v>
      </c>
      <c r="N376" s="19" t="s">
        <v>2904</v>
      </c>
      <c r="O376" s="6" t="s">
        <v>585</v>
      </c>
      <c r="P376" s="212" t="s">
        <v>2774</v>
      </c>
      <c r="Q376" s="177" t="n">
        <f aca="false">Calib!E118</f>
        <v>66.6666666666667</v>
      </c>
      <c r="R376" s="184" t="n">
        <f aca="false">SRC_PERF_031</f>
        <v>15</v>
      </c>
      <c r="S376" s="35" t="str">
        <f aca="false">IF(ISNUMBER($AF376),INDEX(IDX_SrcStat,$AF376),"—")</f>
        <v>Active</v>
      </c>
      <c r="T376" s="35" t="n">
        <f aca="false">IF(ISNUMBER($AF376),INDEX(IDX_SrcGrade,$AF376),"—")</f>
        <v>1</v>
      </c>
      <c r="U376" s="35" t="s">
        <v>2808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5" t="n">
        <f aca="false">IF(OR($H376="—",$H376=""),"—",MATCH($H376,IDX_SrcID,0))</f>
        <v>313</v>
      </c>
    </row>
    <row r="377" customFormat="false" ht="29.25" hidden="false" customHeight="true" outlineLevel="0" collapsed="false">
      <c r="A377" s="36" t="s">
        <v>3679</v>
      </c>
      <c r="B377" s="212" t="s">
        <v>2769</v>
      </c>
      <c r="C377" s="36" t="s">
        <v>3509</v>
      </c>
      <c r="D377" s="36" t="s">
        <v>3680</v>
      </c>
      <c r="E377" s="19" t="s">
        <v>3673</v>
      </c>
      <c r="F377" s="212" t="s">
        <v>296</v>
      </c>
      <c r="G377" s="212" t="s">
        <v>2771</v>
      </c>
      <c r="H377" s="36" t="s">
        <v>3681</v>
      </c>
      <c r="I377" s="19" t="s">
        <v>3105</v>
      </c>
      <c r="J377" s="36" t="s">
        <v>585</v>
      </c>
      <c r="K377" s="212"/>
      <c r="L377" s="212"/>
      <c r="M377" s="36" t="s">
        <v>585</v>
      </c>
      <c r="N377" s="19" t="s">
        <v>2904</v>
      </c>
      <c r="O377" s="6" t="s">
        <v>585</v>
      </c>
      <c r="P377" s="212" t="s">
        <v>2774</v>
      </c>
      <c r="Q377" s="177" t="n">
        <f aca="false">Calib!F118</f>
        <v>12.5</v>
      </c>
      <c r="R377" s="184" t="n">
        <f aca="false">SRC_PERF_032</f>
        <v>80</v>
      </c>
      <c r="S377" s="35" t="str">
        <f aca="false">IF(ISNUMBER($AF377),INDEX(IDX_SrcStat,$AF377),"—")</f>
        <v>Active</v>
      </c>
      <c r="T377" s="35" t="n">
        <f aca="false">IF(ISNUMBER($AF377),INDEX(IDX_SrcGrade,$AF377),"—")</f>
        <v>1</v>
      </c>
      <c r="U377" s="35" t="s">
        <v>2808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5" t="n">
        <f aca="false">IF(OR($H377="—",$H377=""),"—",MATCH($H377,IDX_SrcID,0))</f>
        <v>314</v>
      </c>
    </row>
    <row r="378" customFormat="false" ht="43.5" hidden="false" customHeight="true" outlineLevel="0" collapsed="false">
      <c r="A378" s="36" t="s">
        <v>3682</v>
      </c>
      <c r="B378" s="212" t="s">
        <v>2769</v>
      </c>
      <c r="C378" s="36" t="s">
        <v>3509</v>
      </c>
      <c r="D378" s="36" t="s">
        <v>3683</v>
      </c>
      <c r="E378" s="19" t="s">
        <v>3684</v>
      </c>
      <c r="F378" s="212" t="s">
        <v>2956</v>
      </c>
      <c r="G378" s="212" t="s">
        <v>2771</v>
      </c>
      <c r="H378" s="36" t="s">
        <v>3359</v>
      </c>
      <c r="I378" s="19" t="s">
        <v>3685</v>
      </c>
      <c r="J378" s="36" t="s">
        <v>585</v>
      </c>
      <c r="K378" s="212"/>
      <c r="L378" s="212"/>
      <c r="M378" s="36" t="s">
        <v>585</v>
      </c>
      <c r="N378" s="19" t="s">
        <v>3686</v>
      </c>
      <c r="O378" s="6" t="s">
        <v>585</v>
      </c>
      <c r="P378" s="212" t="s">
        <v>2774</v>
      </c>
      <c r="Q378" s="182" t="n">
        <f aca="false">Calib!C119</f>
        <v>1</v>
      </c>
      <c r="R378" s="184" t="n">
        <f aca="false">SRC_PERF_035</f>
        <v>3</v>
      </c>
      <c r="S378" s="35" t="str">
        <f aca="false">IF(ISNUMBER($AF378),INDEX(IDX_SrcStat,$AF378),"—")</f>
        <v>Active</v>
      </c>
      <c r="T378" s="35" t="n">
        <f aca="false">IF(ISNUMBER($AF378),INDEX(IDX_SrcGrade,$AF378),"—")</f>
        <v>1</v>
      </c>
      <c r="U378" s="35" t="s">
        <v>2775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5" t="n">
        <f aca="false">IF(OR($H378="—",$H378=""),"—",MATCH($H378,IDX_SrcID,0))</f>
        <v>317</v>
      </c>
    </row>
    <row r="379" customFormat="false" ht="43.5" hidden="false" customHeight="true" outlineLevel="0" collapsed="false">
      <c r="A379" s="36" t="s">
        <v>3687</v>
      </c>
      <c r="B379" s="212" t="s">
        <v>2769</v>
      </c>
      <c r="C379" s="36" t="s">
        <v>3509</v>
      </c>
      <c r="D379" s="36" t="s">
        <v>3688</v>
      </c>
      <c r="E379" s="19" t="s">
        <v>3684</v>
      </c>
      <c r="F379" s="212" t="s">
        <v>2956</v>
      </c>
      <c r="G379" s="212" t="s">
        <v>2771</v>
      </c>
      <c r="H379" s="36" t="s">
        <v>3359</v>
      </c>
      <c r="I379" s="19" t="s">
        <v>3685</v>
      </c>
      <c r="J379" s="36" t="s">
        <v>585</v>
      </c>
      <c r="K379" s="212"/>
      <c r="L379" s="212"/>
      <c r="M379" s="36" t="s">
        <v>585</v>
      </c>
      <c r="N379" s="19" t="s">
        <v>3686</v>
      </c>
      <c r="O379" s="6" t="s">
        <v>585</v>
      </c>
      <c r="P379" s="212" t="s">
        <v>2774</v>
      </c>
      <c r="Q379" s="182" t="n">
        <f aca="false">Calib!D119</f>
        <v>1</v>
      </c>
      <c r="R379" s="184" t="n">
        <f aca="false">SRC_PERF_035</f>
        <v>3</v>
      </c>
      <c r="S379" s="35" t="str">
        <f aca="false">IF(ISNUMBER($AF379),INDEX(IDX_SrcStat,$AF379),"—")</f>
        <v>Active</v>
      </c>
      <c r="T379" s="35" t="n">
        <f aca="false">IF(ISNUMBER($AF379),INDEX(IDX_SrcGrade,$AF379),"—")</f>
        <v>1</v>
      </c>
      <c r="U379" s="35" t="s">
        <v>2775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5" t="n">
        <f aca="false">IF(OR($H379="—",$H379=""),"—",MATCH($H379,IDX_SrcID,0))</f>
        <v>317</v>
      </c>
    </row>
    <row r="380" customFormat="false" ht="43.5" hidden="false" customHeight="true" outlineLevel="0" collapsed="false">
      <c r="A380" s="36" t="s">
        <v>3689</v>
      </c>
      <c r="B380" s="212" t="s">
        <v>2769</v>
      </c>
      <c r="C380" s="36" t="s">
        <v>3509</v>
      </c>
      <c r="D380" s="36" t="s">
        <v>3690</v>
      </c>
      <c r="E380" s="19" t="s">
        <v>3684</v>
      </c>
      <c r="F380" s="212" t="s">
        <v>2956</v>
      </c>
      <c r="G380" s="212" t="s">
        <v>2771</v>
      </c>
      <c r="H380" s="36" t="s">
        <v>3359</v>
      </c>
      <c r="I380" s="19" t="s">
        <v>3685</v>
      </c>
      <c r="J380" s="36" t="s">
        <v>585</v>
      </c>
      <c r="K380" s="212"/>
      <c r="L380" s="212"/>
      <c r="M380" s="36" t="s">
        <v>585</v>
      </c>
      <c r="N380" s="19" t="s">
        <v>3686</v>
      </c>
      <c r="O380" s="6" t="s">
        <v>585</v>
      </c>
      <c r="P380" s="212" t="s">
        <v>2774</v>
      </c>
      <c r="Q380" s="182" t="n">
        <f aca="false">Calib!E119</f>
        <v>1</v>
      </c>
      <c r="R380" s="184" t="n">
        <f aca="false">SRC_PERF_035</f>
        <v>3</v>
      </c>
      <c r="S380" s="35" t="str">
        <f aca="false">IF(ISNUMBER($AF380),INDEX(IDX_SrcStat,$AF380),"—")</f>
        <v>Active</v>
      </c>
      <c r="T380" s="35" t="n">
        <f aca="false">IF(ISNUMBER($AF380),INDEX(IDX_SrcGrade,$AF380),"—")</f>
        <v>1</v>
      </c>
      <c r="U380" s="35" t="s">
        <v>2775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5" t="n">
        <f aca="false">IF(OR($H380="—",$H380=""),"—",MATCH($H380,IDX_SrcID,0))</f>
        <v>317</v>
      </c>
    </row>
    <row r="381" customFormat="false" ht="43.5" hidden="false" customHeight="true" outlineLevel="0" collapsed="false">
      <c r="A381" s="36" t="s">
        <v>3691</v>
      </c>
      <c r="B381" s="212" t="s">
        <v>2769</v>
      </c>
      <c r="C381" s="36" t="s">
        <v>3509</v>
      </c>
      <c r="D381" s="36" t="s">
        <v>3692</v>
      </c>
      <c r="E381" s="19" t="s">
        <v>3684</v>
      </c>
      <c r="F381" s="212" t="s">
        <v>2956</v>
      </c>
      <c r="G381" s="212" t="s">
        <v>2771</v>
      </c>
      <c r="H381" s="36" t="s">
        <v>3359</v>
      </c>
      <c r="I381" s="19" t="s">
        <v>3693</v>
      </c>
      <c r="J381" s="36" t="s">
        <v>585</v>
      </c>
      <c r="K381" s="212"/>
      <c r="L381" s="212"/>
      <c r="M381" s="36" t="s">
        <v>585</v>
      </c>
      <c r="N381" s="19" t="s">
        <v>3694</v>
      </c>
      <c r="O381" s="6" t="s">
        <v>585</v>
      </c>
      <c r="P381" s="212" t="s">
        <v>2774</v>
      </c>
      <c r="Q381" s="182" t="n">
        <f aca="false">Calib!F119</f>
        <v>0</v>
      </c>
      <c r="R381" s="184" t="n">
        <f aca="false">SRC_PERF_035</f>
        <v>3</v>
      </c>
      <c r="S381" s="35" t="str">
        <f aca="false">IF(ISNUMBER($AF381),INDEX(IDX_SrcStat,$AF381),"—")</f>
        <v>Active</v>
      </c>
      <c r="T381" s="35" t="n">
        <f aca="false">IF(ISNUMBER($AF381),INDEX(IDX_SrcGrade,$AF381),"—")</f>
        <v>1</v>
      </c>
      <c r="U381" s="35" t="s">
        <v>2775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5" t="n">
        <f aca="false">IF(OR($H381="—",$H381=""),"—",MATCH($H381,IDX_SrcID,0))</f>
        <v>317</v>
      </c>
    </row>
    <row r="382" customFormat="false" ht="29.25" hidden="false" customHeight="true" outlineLevel="0" collapsed="false">
      <c r="A382" s="36" t="s">
        <v>3695</v>
      </c>
      <c r="B382" s="212" t="s">
        <v>2769</v>
      </c>
      <c r="C382" s="36" t="s">
        <v>3509</v>
      </c>
      <c r="D382" s="36" t="s">
        <v>3696</v>
      </c>
      <c r="E382" s="6" t="s">
        <v>536</v>
      </c>
      <c r="F382" s="212" t="s">
        <v>296</v>
      </c>
      <c r="G382" s="212" t="s">
        <v>2771</v>
      </c>
      <c r="H382" s="36" t="s">
        <v>3697</v>
      </c>
      <c r="I382" s="19" t="s">
        <v>3105</v>
      </c>
      <c r="J382" s="36" t="s">
        <v>585</v>
      </c>
      <c r="K382" s="212"/>
      <c r="L382" s="212"/>
      <c r="M382" s="36" t="s">
        <v>585</v>
      </c>
      <c r="N382" s="19" t="s">
        <v>2904</v>
      </c>
      <c r="O382" s="6" t="s">
        <v>585</v>
      </c>
      <c r="P382" s="212" t="s">
        <v>2774</v>
      </c>
      <c r="Q382" s="41" t="n">
        <f aca="false">Calib!C120</f>
        <v>3520.91666666667</v>
      </c>
      <c r="R382" s="184" t="n">
        <f aca="false">SRC_PERF_028</f>
        <v>253506</v>
      </c>
      <c r="S382" s="35" t="str">
        <f aca="false">IF(ISNUMBER($AF382),INDEX(IDX_SrcStat,$AF382),"—")</f>
        <v>Active</v>
      </c>
      <c r="T382" s="35" t="n">
        <f aca="false">IF(ISNUMBER($AF382),INDEX(IDX_SrcGrade,$AF382),"—")</f>
        <v>1</v>
      </c>
      <c r="U382" s="35" t="s">
        <v>2808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5" t="n">
        <f aca="false">IF(OR($H382="—",$H382=""),"—",MATCH($H382,IDX_SrcID,0))</f>
        <v>310</v>
      </c>
    </row>
    <row r="383" customFormat="false" ht="29.25" hidden="false" customHeight="true" outlineLevel="0" collapsed="false">
      <c r="A383" s="36" t="s">
        <v>3698</v>
      </c>
      <c r="B383" s="212" t="s">
        <v>2769</v>
      </c>
      <c r="C383" s="36" t="s">
        <v>3509</v>
      </c>
      <c r="D383" s="36" t="s">
        <v>3699</v>
      </c>
      <c r="E383" s="6" t="s">
        <v>536</v>
      </c>
      <c r="F383" s="212" t="s">
        <v>296</v>
      </c>
      <c r="G383" s="212" t="s">
        <v>2771</v>
      </c>
      <c r="H383" s="36" t="s">
        <v>3700</v>
      </c>
      <c r="I383" s="19" t="s">
        <v>3105</v>
      </c>
      <c r="J383" s="36" t="s">
        <v>585</v>
      </c>
      <c r="K383" s="212"/>
      <c r="L383" s="212"/>
      <c r="M383" s="36" t="s">
        <v>585</v>
      </c>
      <c r="N383" s="19" t="s">
        <v>2904</v>
      </c>
      <c r="O383" s="6" t="s">
        <v>585</v>
      </c>
      <c r="P383" s="212" t="s">
        <v>2774</v>
      </c>
      <c r="Q383" s="41" t="n">
        <f aca="false">Calib!D120</f>
        <v>3337.75</v>
      </c>
      <c r="R383" s="184" t="n">
        <f aca="false">SRC_PERF_025</f>
        <v>240318</v>
      </c>
      <c r="S383" s="35" t="str">
        <f aca="false">IF(ISNUMBER($AF383),INDEX(IDX_SrcStat,$AF383),"—")</f>
        <v>Active</v>
      </c>
      <c r="T383" s="35" t="n">
        <f aca="false">IF(ISNUMBER($AF383),INDEX(IDX_SrcGrade,$AF383),"—")</f>
        <v>2</v>
      </c>
      <c r="U383" s="35" t="s">
        <v>2808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5" t="n">
        <f aca="false">IF(OR($H383="—",$H383=""),"—",MATCH($H383,IDX_SrcID,0))</f>
        <v>307</v>
      </c>
    </row>
    <row r="384" customFormat="false" ht="29.25" hidden="false" customHeight="true" outlineLevel="0" collapsed="false">
      <c r="A384" s="36" t="s">
        <v>3701</v>
      </c>
      <c r="B384" s="212" t="s">
        <v>2769</v>
      </c>
      <c r="C384" s="36" t="s">
        <v>3509</v>
      </c>
      <c r="D384" s="36" t="s">
        <v>3702</v>
      </c>
      <c r="E384" s="6" t="s">
        <v>536</v>
      </c>
      <c r="F384" s="212" t="s">
        <v>296</v>
      </c>
      <c r="G384" s="212" t="s">
        <v>2771</v>
      </c>
      <c r="H384" s="36" t="s">
        <v>3703</v>
      </c>
      <c r="I384" s="19" t="s">
        <v>3105</v>
      </c>
      <c r="J384" s="36" t="s">
        <v>585</v>
      </c>
      <c r="K384" s="212"/>
      <c r="L384" s="212"/>
      <c r="M384" s="36" t="s">
        <v>585</v>
      </c>
      <c r="N384" s="19" t="s">
        <v>2904</v>
      </c>
      <c r="O384" s="6" t="s">
        <v>585</v>
      </c>
      <c r="P384" s="212" t="s">
        <v>2774</v>
      </c>
      <c r="Q384" s="41" t="n">
        <f aca="false">Calib!E120</f>
        <v>9065.97222222222</v>
      </c>
      <c r="R384" s="184" t="n">
        <f aca="false">SRC_PERF_027</f>
        <v>652750</v>
      </c>
      <c r="S384" s="35" t="str">
        <f aca="false">IF(ISNUMBER($AF384),INDEX(IDX_SrcStat,$AF384),"—")</f>
        <v>Active</v>
      </c>
      <c r="T384" s="35" t="n">
        <f aca="false">IF(ISNUMBER($AF384),INDEX(IDX_SrcGrade,$AF384),"—")</f>
        <v>1</v>
      </c>
      <c r="U384" s="35" t="s">
        <v>2808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5" t="n">
        <f aca="false">IF(OR($H384="—",$H384=""),"—",MATCH($H384,IDX_SrcID,0))</f>
        <v>309</v>
      </c>
    </row>
    <row r="385" customFormat="false" ht="29.25" hidden="false" customHeight="true" outlineLevel="0" collapsed="false">
      <c r="A385" s="36" t="s">
        <v>3704</v>
      </c>
      <c r="B385" s="212" t="s">
        <v>2769</v>
      </c>
      <c r="C385" s="36" t="s">
        <v>3509</v>
      </c>
      <c r="D385" s="36" t="s">
        <v>3705</v>
      </c>
      <c r="E385" s="6" t="s">
        <v>536</v>
      </c>
      <c r="F385" s="212" t="s">
        <v>296</v>
      </c>
      <c r="G385" s="212" t="s">
        <v>2771</v>
      </c>
      <c r="H385" s="36" t="s">
        <v>3706</v>
      </c>
      <c r="I385" s="19" t="s">
        <v>2806</v>
      </c>
      <c r="J385" s="36" t="s">
        <v>585</v>
      </c>
      <c r="K385" s="212"/>
      <c r="L385" s="212"/>
      <c r="M385" s="36" t="s">
        <v>585</v>
      </c>
      <c r="N385" s="19" t="s">
        <v>2904</v>
      </c>
      <c r="O385" s="6" t="s">
        <v>585</v>
      </c>
      <c r="P385" s="212" t="s">
        <v>2774</v>
      </c>
      <c r="Q385" s="41" t="n">
        <f aca="false">Calib!F120</f>
        <v>8064</v>
      </c>
      <c r="R385" s="184" t="n">
        <f aca="false">SRC_PERF_026</f>
        <v>8064</v>
      </c>
      <c r="S385" s="35" t="str">
        <f aca="false">IF(ISNUMBER($AF385),INDEX(IDX_SrcStat,$AF385),"—")</f>
        <v>Active</v>
      </c>
      <c r="T385" s="35" t="n">
        <f aca="false">IF(ISNUMBER($AF385),INDEX(IDX_SrcGrade,$AF385),"—")</f>
        <v>2</v>
      </c>
      <c r="U385" s="35" t="s">
        <v>2808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5" t="n">
        <f aca="false">IF(OR($H385="—",$H385=""),"—",MATCH($H385,IDX_SrcID,0))</f>
        <v>308</v>
      </c>
    </row>
    <row r="386" customFormat="false" ht="29.25" hidden="false" customHeight="true" outlineLevel="0" collapsed="false">
      <c r="A386" s="36" t="s">
        <v>3707</v>
      </c>
      <c r="B386" s="212" t="s">
        <v>2769</v>
      </c>
      <c r="C386" s="36" t="s">
        <v>3708</v>
      </c>
      <c r="D386" s="36" t="s">
        <v>3421</v>
      </c>
      <c r="E386" s="6" t="s">
        <v>2396</v>
      </c>
      <c r="F386" s="36" t="s">
        <v>78</v>
      </c>
      <c r="G386" s="212" t="s">
        <v>2771</v>
      </c>
      <c r="H386" s="36" t="s">
        <v>585</v>
      </c>
      <c r="I386" s="6" t="s">
        <v>585</v>
      </c>
      <c r="J386" s="36" t="s">
        <v>585</v>
      </c>
      <c r="K386" s="214" t="n">
        <v>0.4</v>
      </c>
      <c r="L386" s="214" t="n">
        <v>0.8</v>
      </c>
      <c r="M386" s="36" t="s">
        <v>3709</v>
      </c>
      <c r="N386" s="213" t="str">
        <f aca="false">Energy!$F$5</f>
        <v>Assumed：pJ/FLOP＝GPU 功率 × 此比例 ÷ 峰值（滿載上限口徑），區間 0.4–0.8</v>
      </c>
      <c r="O386" s="6" t="s">
        <v>585</v>
      </c>
      <c r="P386" s="212" t="s">
        <v>2774</v>
      </c>
      <c r="Q386" s="176" t="n">
        <f aca="false">Energy!C5</f>
        <v>0.6</v>
      </c>
      <c r="R386" s="36" t="s">
        <v>585</v>
      </c>
      <c r="S386" s="35" t="str">
        <f aca="false">IF(ISNUMBER($AF386),INDEX(IDX_SrcStat,$AF386),"—")</f>
        <v>—</v>
      </c>
      <c r="T386" s="35" t="str">
        <f aca="false">IF(ISNUMBER($AF386),INDEX(IDX_SrcGrade,$AF386),"—")</f>
        <v>—</v>
      </c>
      <c r="U386" s="35" t="s">
        <v>2775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5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6" t="s">
        <v>3710</v>
      </c>
      <c r="B387" s="212" t="s">
        <v>2769</v>
      </c>
      <c r="C387" s="36" t="s">
        <v>3708</v>
      </c>
      <c r="D387" s="36" t="s">
        <v>2928</v>
      </c>
      <c r="E387" s="6" t="s">
        <v>2398</v>
      </c>
      <c r="F387" s="36" t="s">
        <v>82</v>
      </c>
      <c r="G387" s="212" t="s">
        <v>2771</v>
      </c>
      <c r="H387" s="36" t="s">
        <v>3711</v>
      </c>
      <c r="I387" s="19" t="s">
        <v>3712</v>
      </c>
      <c r="J387" s="36" t="s">
        <v>585</v>
      </c>
      <c r="K387" s="214" t="n">
        <v>5</v>
      </c>
      <c r="L387" s="214" t="n">
        <v>20</v>
      </c>
      <c r="M387" s="36" t="s">
        <v>3713</v>
      </c>
      <c r="N387" s="213" t="str">
        <f aca="false">Energy!$F$6</f>
        <v>Analogy：SerDes＋交換約 1–2 pJ/bit；區間 5–20</v>
      </c>
      <c r="O387" s="6" t="s">
        <v>585</v>
      </c>
      <c r="P387" s="212" t="s">
        <v>2774</v>
      </c>
      <c r="Q387" s="182" t="n">
        <f aca="false">Energy!C6</f>
        <v>10</v>
      </c>
      <c r="R387" s="184" t="n">
        <f aca="false">SRC_HW_035_Lo</f>
        <v>1</v>
      </c>
      <c r="S387" s="35" t="str">
        <f aca="false">IF(ISNUMBER($AF387),INDEX(IDX_SrcStat,$AF387),"—")</f>
        <v>Active</v>
      </c>
      <c r="T387" s="35" t="n">
        <f aca="false">IF(ISNUMBER($AF387),INDEX(IDX_SrcGrade,$AF387),"—")</f>
        <v>3</v>
      </c>
      <c r="U387" s="35" t="s">
        <v>2775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5" t="n">
        <f aca="false">IF(OR($H387="—",$H387=""),"—",MATCH($H387,IDX_SrcID,0))</f>
        <v>35</v>
      </c>
    </row>
    <row r="388" customFormat="false" ht="29.25" hidden="false" customHeight="true" outlineLevel="0" collapsed="false">
      <c r="A388" s="36" t="s">
        <v>3714</v>
      </c>
      <c r="B388" s="212" t="s">
        <v>2769</v>
      </c>
      <c r="C388" s="36" t="s">
        <v>3708</v>
      </c>
      <c r="D388" s="36" t="s">
        <v>3252</v>
      </c>
      <c r="E388" s="6" t="s">
        <v>2401</v>
      </c>
      <c r="F388" s="36" t="s">
        <v>78</v>
      </c>
      <c r="G388" s="212" t="s">
        <v>2771</v>
      </c>
      <c r="H388" s="36" t="s">
        <v>585</v>
      </c>
      <c r="I388" s="6" t="s">
        <v>585</v>
      </c>
      <c r="J388" s="36" t="s">
        <v>585</v>
      </c>
      <c r="K388" s="214" t="n">
        <v>20</v>
      </c>
      <c r="L388" s="214" t="n">
        <v>80</v>
      </c>
      <c r="M388" s="36" t="s">
        <v>3715</v>
      </c>
      <c r="N388" s="213" t="str">
        <f aca="false">Energy!$F$7</f>
        <v>Analogy：含光模組與網卡；區間 20–80</v>
      </c>
      <c r="O388" s="6" t="s">
        <v>3160</v>
      </c>
      <c r="P388" s="212" t="s">
        <v>2774</v>
      </c>
      <c r="Q388" s="182" t="n">
        <f aca="false">Energy!C7</f>
        <v>40</v>
      </c>
      <c r="R388" s="36" t="s">
        <v>585</v>
      </c>
      <c r="S388" s="35" t="str">
        <f aca="false">IF(ISNUMBER($AF388),INDEX(IDX_SrcStat,$AF388),"—")</f>
        <v>—</v>
      </c>
      <c r="T388" s="35" t="str">
        <f aca="false">IF(ISNUMBER($AF388),INDEX(IDX_SrcGrade,$AF388),"—")</f>
        <v>—</v>
      </c>
      <c r="U388" s="35" t="s">
        <v>2775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5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6" t="s">
        <v>3716</v>
      </c>
      <c r="B389" s="212" t="s">
        <v>2769</v>
      </c>
      <c r="C389" s="36" t="s">
        <v>3717</v>
      </c>
      <c r="D389" s="36" t="s">
        <v>3421</v>
      </c>
      <c r="E389" s="6" t="s">
        <v>2415</v>
      </c>
      <c r="F389" s="36" t="s">
        <v>78</v>
      </c>
      <c r="G389" s="212" t="s">
        <v>63</v>
      </c>
      <c r="H389" s="36" t="s">
        <v>585</v>
      </c>
      <c r="I389" s="6" t="s">
        <v>585</v>
      </c>
      <c r="J389" s="36" t="s">
        <v>585</v>
      </c>
      <c r="K389" s="174" t="n">
        <f aca="false">NonNV!B5</f>
        <v>0.5</v>
      </c>
      <c r="L389" s="174" t="n">
        <f aca="false">NonNV!D5</f>
        <v>1</v>
      </c>
      <c r="M389" s="36" t="s">
        <v>585</v>
      </c>
      <c r="N389" s="213" t="str">
        <f aca="false">NonNV!$L$5</f>
        <v>MI355X 在 V4-Pro 上 26 天內吞吐提升 110 倍（S20 所屬部落格），軟體成熟度為主要不確定</v>
      </c>
      <c r="O389" s="6" t="s">
        <v>585</v>
      </c>
      <c r="P389" s="212" t="s">
        <v>2774</v>
      </c>
      <c r="Q389" s="174" t="n">
        <f aca="false">NonNV!C5</f>
        <v>0.7</v>
      </c>
      <c r="R389" s="36" t="s">
        <v>585</v>
      </c>
      <c r="S389" s="35" t="str">
        <f aca="false">IF(ISNUMBER($AF389),INDEX(IDX_SrcStat,$AF389),"—")</f>
        <v>—</v>
      </c>
      <c r="T389" s="35" t="str">
        <f aca="false">IF(ISNUMBER($AF389),INDEX(IDX_SrcGrade,$AF389),"—")</f>
        <v>—</v>
      </c>
      <c r="U389" s="35" t="s">
        <v>2775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5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6" t="s">
        <v>3718</v>
      </c>
      <c r="B390" s="212" t="s">
        <v>2769</v>
      </c>
      <c r="C390" s="36" t="s">
        <v>3717</v>
      </c>
      <c r="D390" s="36" t="s">
        <v>3429</v>
      </c>
      <c r="E390" s="6" t="s">
        <v>2415</v>
      </c>
      <c r="F390" s="36" t="s">
        <v>78</v>
      </c>
      <c r="G390" s="212" t="s">
        <v>63</v>
      </c>
      <c r="H390" s="36" t="s">
        <v>585</v>
      </c>
      <c r="I390" s="6" t="s">
        <v>585</v>
      </c>
      <c r="J390" s="36" t="s">
        <v>585</v>
      </c>
      <c r="K390" s="174" t="n">
        <f aca="false">NonNV!E5</f>
        <v>0.8</v>
      </c>
      <c r="L390" s="174" t="n">
        <f aca="false">NonNV!G5</f>
        <v>1</v>
      </c>
      <c r="M390" s="36" t="s">
        <v>585</v>
      </c>
      <c r="N390" s="213" t="str">
        <f aca="false">NonNV!$L$5</f>
        <v>MI355X 在 V4-Pro 上 26 天內吞吐提升 110 倍（S20 所屬部落格），軟體成熟度為主要不確定</v>
      </c>
      <c r="O390" s="6" t="s">
        <v>585</v>
      </c>
      <c r="P390" s="212" t="s">
        <v>2774</v>
      </c>
      <c r="Q390" s="174" t="n">
        <f aca="false">NonNV!F5</f>
        <v>0.9</v>
      </c>
      <c r="R390" s="36" t="s">
        <v>585</v>
      </c>
      <c r="S390" s="35" t="str">
        <f aca="false">IF(ISNUMBER($AF390),INDEX(IDX_SrcStat,$AF390),"—")</f>
        <v>—</v>
      </c>
      <c r="T390" s="35" t="str">
        <f aca="false">IF(ISNUMBER($AF390),INDEX(IDX_SrcGrade,$AF390),"—")</f>
        <v>—</v>
      </c>
      <c r="U390" s="35" t="s">
        <v>2775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5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6" t="s">
        <v>3719</v>
      </c>
      <c r="B391" s="212" t="s">
        <v>2769</v>
      </c>
      <c r="C391" s="36" t="s">
        <v>3717</v>
      </c>
      <c r="D391" s="36" t="s">
        <v>3720</v>
      </c>
      <c r="E391" s="6" t="s">
        <v>2415</v>
      </c>
      <c r="F391" s="36" t="s">
        <v>78</v>
      </c>
      <c r="G391" s="212" t="s">
        <v>1113</v>
      </c>
      <c r="H391" s="36" t="s">
        <v>585</v>
      </c>
      <c r="I391" s="6" t="s">
        <v>585</v>
      </c>
      <c r="J391" s="36" t="s">
        <v>585</v>
      </c>
      <c r="K391" s="212"/>
      <c r="L391" s="212"/>
      <c r="M391" s="36" t="s">
        <v>585</v>
      </c>
      <c r="N391" s="213" t="str">
        <f aca="false">NonNV!$L$5</f>
        <v>MI355X 在 V4-Pro 上 26 天內吞吐提升 110 倍（S20 所屬部落格），軟體成熟度為主要不確定</v>
      </c>
      <c r="O391" s="6" t="s">
        <v>585</v>
      </c>
      <c r="P391" s="212" t="s">
        <v>2774</v>
      </c>
      <c r="Q391" s="174" t="n">
        <f aca="false">NonNV!B5</f>
        <v>0.5</v>
      </c>
      <c r="R391" s="36" t="s">
        <v>585</v>
      </c>
      <c r="S391" s="35" t="str">
        <f aca="false">IF(ISNUMBER($AF391),INDEX(IDX_SrcStat,$AF391),"—")</f>
        <v>—</v>
      </c>
      <c r="T391" s="35" t="str">
        <f aca="false">IF(ISNUMBER($AF391),INDEX(IDX_SrcGrade,$AF391),"—")</f>
        <v>—</v>
      </c>
      <c r="U391" s="35" t="s">
        <v>2775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5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6" t="s">
        <v>3721</v>
      </c>
      <c r="B392" s="212" t="s">
        <v>2769</v>
      </c>
      <c r="C392" s="36" t="s">
        <v>3717</v>
      </c>
      <c r="D392" s="36" t="s">
        <v>3426</v>
      </c>
      <c r="E392" s="6" t="s">
        <v>2415</v>
      </c>
      <c r="F392" s="36" t="s">
        <v>78</v>
      </c>
      <c r="G392" s="212" t="s">
        <v>1114</v>
      </c>
      <c r="H392" s="36" t="s">
        <v>585</v>
      </c>
      <c r="I392" s="6" t="s">
        <v>585</v>
      </c>
      <c r="J392" s="36" t="s">
        <v>585</v>
      </c>
      <c r="K392" s="212"/>
      <c r="L392" s="212"/>
      <c r="M392" s="36" t="s">
        <v>585</v>
      </c>
      <c r="N392" s="213" t="str">
        <f aca="false">NonNV!$L$5</f>
        <v>MI355X 在 V4-Pro 上 26 天內吞吐提升 110 倍（S20 所屬部落格），軟體成熟度為主要不確定</v>
      </c>
      <c r="O392" s="6" t="s">
        <v>585</v>
      </c>
      <c r="P392" s="212" t="s">
        <v>2774</v>
      </c>
      <c r="Q392" s="174" t="n">
        <f aca="false">NonNV!D5</f>
        <v>1</v>
      </c>
      <c r="R392" s="36" t="s">
        <v>585</v>
      </c>
      <c r="S392" s="35" t="str">
        <f aca="false">IF(ISNUMBER($AF392),INDEX(IDX_SrcStat,$AF392),"—")</f>
        <v>—</v>
      </c>
      <c r="T392" s="35" t="str">
        <f aca="false">IF(ISNUMBER($AF392),INDEX(IDX_SrcGrade,$AF392),"—")</f>
        <v>—</v>
      </c>
      <c r="U392" s="35" t="s">
        <v>2775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5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6" t="s">
        <v>3722</v>
      </c>
      <c r="B393" s="212" t="s">
        <v>2769</v>
      </c>
      <c r="C393" s="36" t="s">
        <v>3717</v>
      </c>
      <c r="D393" s="36" t="s">
        <v>2661</v>
      </c>
      <c r="E393" s="6" t="s">
        <v>2415</v>
      </c>
      <c r="F393" s="36" t="s">
        <v>78</v>
      </c>
      <c r="G393" s="212" t="s">
        <v>1113</v>
      </c>
      <c r="H393" s="36" t="s">
        <v>585</v>
      </c>
      <c r="I393" s="6" t="s">
        <v>585</v>
      </c>
      <c r="J393" s="36" t="s">
        <v>585</v>
      </c>
      <c r="K393" s="212"/>
      <c r="L393" s="212"/>
      <c r="M393" s="36" t="s">
        <v>585</v>
      </c>
      <c r="N393" s="213" t="str">
        <f aca="false">NonNV!$L$5</f>
        <v>MI355X 在 V4-Pro 上 26 天內吞吐提升 110 倍（S20 所屬部落格），軟體成熟度為主要不確定</v>
      </c>
      <c r="O393" s="6" t="s">
        <v>585</v>
      </c>
      <c r="P393" s="212" t="s">
        <v>2774</v>
      </c>
      <c r="Q393" s="174" t="n">
        <f aca="false">NonNV!E5</f>
        <v>0.8</v>
      </c>
      <c r="R393" s="36" t="s">
        <v>585</v>
      </c>
      <c r="S393" s="35" t="str">
        <f aca="false">IF(ISNUMBER($AF393),INDEX(IDX_SrcStat,$AF393),"—")</f>
        <v>—</v>
      </c>
      <c r="T393" s="35" t="str">
        <f aca="false">IF(ISNUMBER($AF393),INDEX(IDX_SrcGrade,$AF393),"—")</f>
        <v>—</v>
      </c>
      <c r="U393" s="35" t="s">
        <v>2775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5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6" t="s">
        <v>3723</v>
      </c>
      <c r="B394" s="212" t="s">
        <v>2769</v>
      </c>
      <c r="C394" s="36" t="s">
        <v>3717</v>
      </c>
      <c r="D394" s="36" t="s">
        <v>3431</v>
      </c>
      <c r="E394" s="6" t="s">
        <v>2415</v>
      </c>
      <c r="F394" s="36" t="s">
        <v>78</v>
      </c>
      <c r="G394" s="212" t="s">
        <v>1114</v>
      </c>
      <c r="H394" s="36" t="s">
        <v>585</v>
      </c>
      <c r="I394" s="6" t="s">
        <v>585</v>
      </c>
      <c r="J394" s="36" t="s">
        <v>585</v>
      </c>
      <c r="K394" s="212"/>
      <c r="L394" s="212"/>
      <c r="M394" s="36" t="s">
        <v>585</v>
      </c>
      <c r="N394" s="213" t="str">
        <f aca="false">NonNV!$L$5</f>
        <v>MI355X 在 V4-Pro 上 26 天內吞吐提升 110 倍（S20 所屬部落格），軟體成熟度為主要不確定</v>
      </c>
      <c r="O394" s="6" t="s">
        <v>585</v>
      </c>
      <c r="P394" s="212" t="s">
        <v>2774</v>
      </c>
      <c r="Q394" s="174" t="n">
        <f aca="false">NonNV!G5</f>
        <v>1</v>
      </c>
      <c r="R394" s="36" t="s">
        <v>585</v>
      </c>
      <c r="S394" s="35" t="str">
        <f aca="false">IF(ISNUMBER($AF394),INDEX(IDX_SrcStat,$AF394),"—")</f>
        <v>—</v>
      </c>
      <c r="T394" s="35" t="str">
        <f aca="false">IF(ISNUMBER($AF394),INDEX(IDX_SrcGrade,$AF394),"—")</f>
        <v>—</v>
      </c>
      <c r="U394" s="35" t="s">
        <v>2775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5" t="str">
        <f aca="false">IF(OR($H394="—",$H394=""),"—",MATCH($H394,IDX_SrcID,0))</f>
        <v>—</v>
      </c>
    </row>
    <row r="395" customFormat="false" ht="15" hidden="false" customHeight="true" outlineLevel="0" collapsed="false">
      <c r="A395" s="36" t="s">
        <v>3724</v>
      </c>
      <c r="B395" s="212" t="s">
        <v>2769</v>
      </c>
      <c r="C395" s="36" t="s">
        <v>3717</v>
      </c>
      <c r="D395" s="36" t="s">
        <v>2928</v>
      </c>
      <c r="E395" s="6" t="s">
        <v>2417</v>
      </c>
      <c r="F395" s="36" t="s">
        <v>78</v>
      </c>
      <c r="G395" s="212" t="s">
        <v>63</v>
      </c>
      <c r="H395" s="36" t="s">
        <v>585</v>
      </c>
      <c r="I395" s="6" t="s">
        <v>585</v>
      </c>
      <c r="J395" s="36" t="s">
        <v>585</v>
      </c>
      <c r="K395" s="174" t="n">
        <f aca="false">NonNV!B6</f>
        <v>0.6</v>
      </c>
      <c r="L395" s="174" t="n">
        <f aca="false">NonNV!D6</f>
        <v>1.1</v>
      </c>
      <c r="M395" s="36" t="s">
        <v>585</v>
      </c>
      <c r="N395" s="213" t="str">
        <f aca="false">NonNV!$L$6</f>
        <v>自用為主，無公開同口徑實測</v>
      </c>
      <c r="O395" s="6" t="s">
        <v>585</v>
      </c>
      <c r="P395" s="212" t="s">
        <v>2774</v>
      </c>
      <c r="Q395" s="174" t="n">
        <f aca="false">NonNV!C6</f>
        <v>0.8</v>
      </c>
      <c r="R395" s="36" t="s">
        <v>585</v>
      </c>
      <c r="S395" s="35" t="str">
        <f aca="false">IF(ISNUMBER($AF395),INDEX(IDX_SrcStat,$AF395),"—")</f>
        <v>—</v>
      </c>
      <c r="T395" s="35" t="str">
        <f aca="false">IF(ISNUMBER($AF395),INDEX(IDX_SrcGrade,$AF395),"—")</f>
        <v>—</v>
      </c>
      <c r="U395" s="35" t="s">
        <v>2775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5" t="str">
        <f aca="false">IF(OR($H395="—",$H395=""),"—",MATCH($H395,IDX_SrcID,0))</f>
        <v>—</v>
      </c>
    </row>
    <row r="396" customFormat="false" ht="15" hidden="false" customHeight="true" outlineLevel="0" collapsed="false">
      <c r="A396" s="36" t="s">
        <v>3725</v>
      </c>
      <c r="B396" s="212" t="s">
        <v>2769</v>
      </c>
      <c r="C396" s="36" t="s">
        <v>3717</v>
      </c>
      <c r="D396" s="36" t="s">
        <v>2936</v>
      </c>
      <c r="E396" s="6" t="s">
        <v>2417</v>
      </c>
      <c r="F396" s="36" t="s">
        <v>78</v>
      </c>
      <c r="G396" s="212" t="s">
        <v>63</v>
      </c>
      <c r="H396" s="36" t="s">
        <v>585</v>
      </c>
      <c r="I396" s="6" t="s">
        <v>585</v>
      </c>
      <c r="J396" s="36" t="s">
        <v>585</v>
      </c>
      <c r="K396" s="174" t="n">
        <f aca="false">NonNV!E6</f>
        <v>0.7</v>
      </c>
      <c r="L396" s="174" t="n">
        <f aca="false">NonNV!G6</f>
        <v>1</v>
      </c>
      <c r="M396" s="36" t="s">
        <v>585</v>
      </c>
      <c r="N396" s="213" t="str">
        <f aca="false">NonNV!$L$6</f>
        <v>自用為主，無公開同口徑實測</v>
      </c>
      <c r="O396" s="6" t="s">
        <v>585</v>
      </c>
      <c r="P396" s="212" t="s">
        <v>2774</v>
      </c>
      <c r="Q396" s="174" t="n">
        <f aca="false">NonNV!F6</f>
        <v>0.8</v>
      </c>
      <c r="R396" s="36" t="s">
        <v>585</v>
      </c>
      <c r="S396" s="35" t="str">
        <f aca="false">IF(ISNUMBER($AF396),INDEX(IDX_SrcStat,$AF396),"—")</f>
        <v>—</v>
      </c>
      <c r="T396" s="35" t="str">
        <f aca="false">IF(ISNUMBER($AF396),INDEX(IDX_SrcGrade,$AF396),"—")</f>
        <v>—</v>
      </c>
      <c r="U396" s="35" t="s">
        <v>2775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5" t="str">
        <f aca="false">IF(OR($H396="—",$H396=""),"—",MATCH($H396,IDX_SrcID,0))</f>
        <v>—</v>
      </c>
    </row>
    <row r="397" customFormat="false" ht="15" hidden="false" customHeight="true" outlineLevel="0" collapsed="false">
      <c r="A397" s="36" t="s">
        <v>3726</v>
      </c>
      <c r="B397" s="212" t="s">
        <v>2769</v>
      </c>
      <c r="C397" s="36" t="s">
        <v>3717</v>
      </c>
      <c r="D397" s="36" t="s">
        <v>3727</v>
      </c>
      <c r="E397" s="6" t="s">
        <v>2417</v>
      </c>
      <c r="F397" s="36" t="s">
        <v>78</v>
      </c>
      <c r="G397" s="212" t="s">
        <v>1113</v>
      </c>
      <c r="H397" s="36" t="s">
        <v>585</v>
      </c>
      <c r="I397" s="6" t="s">
        <v>585</v>
      </c>
      <c r="J397" s="36" t="s">
        <v>585</v>
      </c>
      <c r="K397" s="212"/>
      <c r="L397" s="212"/>
      <c r="M397" s="36" t="s">
        <v>585</v>
      </c>
      <c r="N397" s="213" t="str">
        <f aca="false">NonNV!$L$6</f>
        <v>自用為主，無公開同口徑實測</v>
      </c>
      <c r="O397" s="6" t="s">
        <v>585</v>
      </c>
      <c r="P397" s="212" t="s">
        <v>2774</v>
      </c>
      <c r="Q397" s="174" t="n">
        <f aca="false">NonNV!B6</f>
        <v>0.6</v>
      </c>
      <c r="R397" s="36" t="s">
        <v>585</v>
      </c>
      <c r="S397" s="35" t="str">
        <f aca="false">IF(ISNUMBER($AF397),INDEX(IDX_SrcStat,$AF397),"—")</f>
        <v>—</v>
      </c>
      <c r="T397" s="35" t="str">
        <f aca="false">IF(ISNUMBER($AF397),INDEX(IDX_SrcGrade,$AF397),"—")</f>
        <v>—</v>
      </c>
      <c r="U397" s="35" t="s">
        <v>2775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5" t="str">
        <f aca="false">IF(OR($H397="—",$H397=""),"—",MATCH($H397,IDX_SrcID,0))</f>
        <v>—</v>
      </c>
    </row>
    <row r="398" customFormat="false" ht="15" hidden="false" customHeight="true" outlineLevel="0" collapsed="false">
      <c r="A398" s="36" t="s">
        <v>3728</v>
      </c>
      <c r="B398" s="212" t="s">
        <v>2769</v>
      </c>
      <c r="C398" s="36" t="s">
        <v>3717</v>
      </c>
      <c r="D398" s="36" t="s">
        <v>2932</v>
      </c>
      <c r="E398" s="6" t="s">
        <v>2417</v>
      </c>
      <c r="F398" s="36" t="s">
        <v>78</v>
      </c>
      <c r="G398" s="212" t="s">
        <v>1114</v>
      </c>
      <c r="H398" s="36" t="s">
        <v>585</v>
      </c>
      <c r="I398" s="6" t="s">
        <v>585</v>
      </c>
      <c r="J398" s="36" t="s">
        <v>585</v>
      </c>
      <c r="K398" s="212"/>
      <c r="L398" s="212"/>
      <c r="M398" s="36" t="s">
        <v>585</v>
      </c>
      <c r="N398" s="213" t="str">
        <f aca="false">NonNV!$L$6</f>
        <v>自用為主，無公開同口徑實測</v>
      </c>
      <c r="O398" s="6" t="s">
        <v>585</v>
      </c>
      <c r="P398" s="212" t="s">
        <v>2774</v>
      </c>
      <c r="Q398" s="174" t="n">
        <f aca="false">NonNV!D6</f>
        <v>1.1</v>
      </c>
      <c r="R398" s="36" t="s">
        <v>585</v>
      </c>
      <c r="S398" s="35" t="str">
        <f aca="false">IF(ISNUMBER($AF398),INDEX(IDX_SrcStat,$AF398),"—")</f>
        <v>—</v>
      </c>
      <c r="T398" s="35" t="str">
        <f aca="false">IF(ISNUMBER($AF398),INDEX(IDX_SrcGrade,$AF398),"—")</f>
        <v>—</v>
      </c>
      <c r="U398" s="35" t="s">
        <v>2775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5" t="str">
        <f aca="false">IF(OR($H398="—",$H398=""),"—",MATCH($H398,IDX_SrcID,0))</f>
        <v>—</v>
      </c>
    </row>
    <row r="399" customFormat="false" ht="15" hidden="false" customHeight="true" outlineLevel="0" collapsed="false">
      <c r="A399" s="36" t="s">
        <v>3729</v>
      </c>
      <c r="B399" s="212" t="s">
        <v>2769</v>
      </c>
      <c r="C399" s="36" t="s">
        <v>3717</v>
      </c>
      <c r="D399" s="36" t="s">
        <v>2663</v>
      </c>
      <c r="E399" s="6" t="s">
        <v>2417</v>
      </c>
      <c r="F399" s="36" t="s">
        <v>78</v>
      </c>
      <c r="G399" s="212" t="s">
        <v>1113</v>
      </c>
      <c r="H399" s="36" t="s">
        <v>585</v>
      </c>
      <c r="I399" s="6" t="s">
        <v>585</v>
      </c>
      <c r="J399" s="36" t="s">
        <v>585</v>
      </c>
      <c r="K399" s="212"/>
      <c r="L399" s="212"/>
      <c r="M399" s="36" t="s">
        <v>585</v>
      </c>
      <c r="N399" s="213" t="str">
        <f aca="false">NonNV!$L$6</f>
        <v>自用為主，無公開同口徑實測</v>
      </c>
      <c r="O399" s="6" t="s">
        <v>585</v>
      </c>
      <c r="P399" s="212" t="s">
        <v>2774</v>
      </c>
      <c r="Q399" s="174" t="n">
        <f aca="false">NonNV!E6</f>
        <v>0.7</v>
      </c>
      <c r="R399" s="36" t="s">
        <v>585</v>
      </c>
      <c r="S399" s="35" t="str">
        <f aca="false">IF(ISNUMBER($AF399),INDEX(IDX_SrcStat,$AF399),"—")</f>
        <v>—</v>
      </c>
      <c r="T399" s="35" t="str">
        <f aca="false">IF(ISNUMBER($AF399),INDEX(IDX_SrcGrade,$AF399),"—")</f>
        <v>—</v>
      </c>
      <c r="U399" s="35" t="s">
        <v>2775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5" t="str">
        <f aca="false">IF(OR($H399="—",$H399=""),"—",MATCH($H399,IDX_SrcID,0))</f>
        <v>—</v>
      </c>
    </row>
    <row r="400" customFormat="false" ht="15" hidden="false" customHeight="true" outlineLevel="0" collapsed="false">
      <c r="A400" s="36" t="s">
        <v>3730</v>
      </c>
      <c r="B400" s="212" t="s">
        <v>2769</v>
      </c>
      <c r="C400" s="36" t="s">
        <v>3717</v>
      </c>
      <c r="D400" s="36" t="s">
        <v>2938</v>
      </c>
      <c r="E400" s="6" t="s">
        <v>2417</v>
      </c>
      <c r="F400" s="36" t="s">
        <v>78</v>
      </c>
      <c r="G400" s="212" t="s">
        <v>1114</v>
      </c>
      <c r="H400" s="36" t="s">
        <v>585</v>
      </c>
      <c r="I400" s="6" t="s">
        <v>585</v>
      </c>
      <c r="J400" s="36" t="s">
        <v>585</v>
      </c>
      <c r="K400" s="212"/>
      <c r="L400" s="212"/>
      <c r="M400" s="36" t="s">
        <v>585</v>
      </c>
      <c r="N400" s="213" t="str">
        <f aca="false">NonNV!$L$6</f>
        <v>自用為主，無公開同口徑實測</v>
      </c>
      <c r="O400" s="6" t="s">
        <v>585</v>
      </c>
      <c r="P400" s="212" t="s">
        <v>2774</v>
      </c>
      <c r="Q400" s="174" t="n">
        <f aca="false">NonNV!G6</f>
        <v>1</v>
      </c>
      <c r="R400" s="36" t="s">
        <v>585</v>
      </c>
      <c r="S400" s="35" t="str">
        <f aca="false">IF(ISNUMBER($AF400),INDEX(IDX_SrcStat,$AF400),"—")</f>
        <v>—</v>
      </c>
      <c r="T400" s="35" t="str">
        <f aca="false">IF(ISNUMBER($AF400),INDEX(IDX_SrcGrade,$AF400),"—")</f>
        <v>—</v>
      </c>
      <c r="U400" s="35" t="s">
        <v>2775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5" t="str">
        <f aca="false">IF(OR($H400="—",$H400=""),"—",MATCH($H400,IDX_SrcID,0))</f>
        <v>—</v>
      </c>
    </row>
    <row r="401" customFormat="false" ht="15" hidden="false" customHeight="true" outlineLevel="0" collapsed="false">
      <c r="A401" s="36" t="s">
        <v>3731</v>
      </c>
      <c r="B401" s="212" t="s">
        <v>2769</v>
      </c>
      <c r="C401" s="36" t="s">
        <v>3717</v>
      </c>
      <c r="D401" s="36" t="s">
        <v>3252</v>
      </c>
      <c r="E401" s="6" t="s">
        <v>2419</v>
      </c>
      <c r="F401" s="36" t="s">
        <v>78</v>
      </c>
      <c r="G401" s="212" t="s">
        <v>63</v>
      </c>
      <c r="H401" s="36" t="s">
        <v>585</v>
      </c>
      <c r="I401" s="6" t="s">
        <v>585</v>
      </c>
      <c r="J401" s="36" t="s">
        <v>585</v>
      </c>
      <c r="K401" s="174" t="n">
        <f aca="false">NonNV!B7</f>
        <v>0.3</v>
      </c>
      <c r="L401" s="174" t="n">
        <f aca="false">NonNV!D7</f>
        <v>0.8</v>
      </c>
      <c r="M401" s="36" t="s">
        <v>585</v>
      </c>
      <c r="N401" s="213" t="str">
        <f aca="false">NonNV!$L$7</f>
        <v>OpenAI v0.5 以 2GW Trainium 合約為輸入</v>
      </c>
      <c r="O401" s="6" t="s">
        <v>585</v>
      </c>
      <c r="P401" s="212" t="s">
        <v>2774</v>
      </c>
      <c r="Q401" s="174" t="n">
        <f aca="false">NonNV!C7</f>
        <v>0.5</v>
      </c>
      <c r="R401" s="36" t="s">
        <v>585</v>
      </c>
      <c r="S401" s="35" t="str">
        <f aca="false">IF(ISNUMBER($AF401),INDEX(IDX_SrcStat,$AF401),"—")</f>
        <v>—</v>
      </c>
      <c r="T401" s="35" t="str">
        <f aca="false">IF(ISNUMBER($AF401),INDEX(IDX_SrcGrade,$AF401),"—")</f>
        <v>—</v>
      </c>
      <c r="U401" s="35" t="s">
        <v>2775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5" t="str">
        <f aca="false">IF(OR($H401="—",$H401=""),"—",MATCH($H401,IDX_SrcID,0))</f>
        <v>—</v>
      </c>
    </row>
    <row r="402" customFormat="false" ht="15" hidden="false" customHeight="true" outlineLevel="0" collapsed="false">
      <c r="A402" s="36" t="s">
        <v>3732</v>
      </c>
      <c r="B402" s="212" t="s">
        <v>2769</v>
      </c>
      <c r="C402" s="36" t="s">
        <v>3717</v>
      </c>
      <c r="D402" s="36" t="s">
        <v>3445</v>
      </c>
      <c r="E402" s="6" t="s">
        <v>2419</v>
      </c>
      <c r="F402" s="36" t="s">
        <v>78</v>
      </c>
      <c r="G402" s="212" t="s">
        <v>63</v>
      </c>
      <c r="H402" s="36" t="s">
        <v>585</v>
      </c>
      <c r="I402" s="6" t="s">
        <v>585</v>
      </c>
      <c r="J402" s="36" t="s">
        <v>585</v>
      </c>
      <c r="K402" s="174" t="n">
        <f aca="false">NonNV!E7</f>
        <v>0.6</v>
      </c>
      <c r="L402" s="174" t="n">
        <f aca="false">NonNV!G7</f>
        <v>0.9</v>
      </c>
      <c r="M402" s="36" t="s">
        <v>585</v>
      </c>
      <c r="N402" s="213" t="str">
        <f aca="false">NonNV!$L$7</f>
        <v>OpenAI v0.5 以 2GW Trainium 合約為輸入</v>
      </c>
      <c r="O402" s="6" t="s">
        <v>585</v>
      </c>
      <c r="P402" s="212" t="s">
        <v>2774</v>
      </c>
      <c r="Q402" s="174" t="n">
        <f aca="false">NonNV!F7</f>
        <v>0.7</v>
      </c>
      <c r="R402" s="36" t="s">
        <v>585</v>
      </c>
      <c r="S402" s="35" t="str">
        <f aca="false">IF(ISNUMBER($AF402),INDEX(IDX_SrcStat,$AF402),"—")</f>
        <v>—</v>
      </c>
      <c r="T402" s="35" t="str">
        <f aca="false">IF(ISNUMBER($AF402),INDEX(IDX_SrcGrade,$AF402),"—")</f>
        <v>—</v>
      </c>
      <c r="U402" s="35" t="s">
        <v>2775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5" t="str">
        <f aca="false">IF(OR($H402="—",$H402=""),"—",MATCH($H402,IDX_SrcID,0))</f>
        <v>—</v>
      </c>
    </row>
    <row r="403" customFormat="false" ht="15" hidden="false" customHeight="true" outlineLevel="0" collapsed="false">
      <c r="A403" s="36" t="s">
        <v>3733</v>
      </c>
      <c r="B403" s="212" t="s">
        <v>2769</v>
      </c>
      <c r="C403" s="36" t="s">
        <v>3717</v>
      </c>
      <c r="D403" s="36" t="s">
        <v>3734</v>
      </c>
      <c r="E403" s="6" t="s">
        <v>2419</v>
      </c>
      <c r="F403" s="36" t="s">
        <v>78</v>
      </c>
      <c r="G403" s="212" t="s">
        <v>1113</v>
      </c>
      <c r="H403" s="36" t="s">
        <v>585</v>
      </c>
      <c r="I403" s="6" t="s">
        <v>585</v>
      </c>
      <c r="J403" s="36" t="s">
        <v>585</v>
      </c>
      <c r="K403" s="212"/>
      <c r="L403" s="212"/>
      <c r="M403" s="36" t="s">
        <v>585</v>
      </c>
      <c r="N403" s="213" t="str">
        <f aca="false">NonNV!$L$7</f>
        <v>OpenAI v0.5 以 2GW Trainium 合約為輸入</v>
      </c>
      <c r="O403" s="6" t="s">
        <v>585</v>
      </c>
      <c r="P403" s="212" t="s">
        <v>2774</v>
      </c>
      <c r="Q403" s="174" t="n">
        <f aca="false">NonNV!B7</f>
        <v>0.3</v>
      </c>
      <c r="R403" s="36" t="s">
        <v>585</v>
      </c>
      <c r="S403" s="35" t="str">
        <f aca="false">IF(ISNUMBER($AF403),INDEX(IDX_SrcStat,$AF403),"—")</f>
        <v>—</v>
      </c>
      <c r="T403" s="35" t="str">
        <f aca="false">IF(ISNUMBER($AF403),INDEX(IDX_SrcGrade,$AF403),"—")</f>
        <v>—</v>
      </c>
      <c r="U403" s="35" t="s">
        <v>2775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5" t="str">
        <f aca="false">IF(OR($H403="—",$H403=""),"—",MATCH($H403,IDX_SrcID,0))</f>
        <v>—</v>
      </c>
    </row>
    <row r="404" customFormat="false" ht="15" hidden="false" customHeight="true" outlineLevel="0" collapsed="false">
      <c r="A404" s="36" t="s">
        <v>3735</v>
      </c>
      <c r="B404" s="212" t="s">
        <v>2769</v>
      </c>
      <c r="C404" s="36" t="s">
        <v>3717</v>
      </c>
      <c r="D404" s="36" t="s">
        <v>3255</v>
      </c>
      <c r="E404" s="6" t="s">
        <v>2419</v>
      </c>
      <c r="F404" s="36" t="s">
        <v>78</v>
      </c>
      <c r="G404" s="212" t="s">
        <v>1114</v>
      </c>
      <c r="H404" s="36" t="s">
        <v>585</v>
      </c>
      <c r="I404" s="6" t="s">
        <v>585</v>
      </c>
      <c r="J404" s="36" t="s">
        <v>585</v>
      </c>
      <c r="K404" s="212"/>
      <c r="L404" s="212"/>
      <c r="M404" s="36" t="s">
        <v>585</v>
      </c>
      <c r="N404" s="213" t="str">
        <f aca="false">NonNV!$L$7</f>
        <v>OpenAI v0.5 以 2GW Trainium 合約為輸入</v>
      </c>
      <c r="O404" s="6" t="s">
        <v>585</v>
      </c>
      <c r="P404" s="212" t="s">
        <v>2774</v>
      </c>
      <c r="Q404" s="174" t="n">
        <f aca="false">NonNV!D7</f>
        <v>0.8</v>
      </c>
      <c r="R404" s="36" t="s">
        <v>585</v>
      </c>
      <c r="S404" s="35" t="str">
        <f aca="false">IF(ISNUMBER($AF404),INDEX(IDX_SrcStat,$AF404),"—")</f>
        <v>—</v>
      </c>
      <c r="T404" s="35" t="str">
        <f aca="false">IF(ISNUMBER($AF404),INDEX(IDX_SrcGrade,$AF404),"—")</f>
        <v>—</v>
      </c>
      <c r="U404" s="35" t="s">
        <v>2775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5" t="str">
        <f aca="false">IF(OR($H404="—",$H404=""),"—",MATCH($H404,IDX_SrcID,0))</f>
        <v>—</v>
      </c>
    </row>
    <row r="405" customFormat="false" ht="15" hidden="false" customHeight="true" outlineLevel="0" collapsed="false">
      <c r="A405" s="36" t="s">
        <v>3736</v>
      </c>
      <c r="B405" s="212" t="s">
        <v>2769</v>
      </c>
      <c r="C405" s="36" t="s">
        <v>3717</v>
      </c>
      <c r="D405" s="36" t="s">
        <v>2666</v>
      </c>
      <c r="E405" s="6" t="s">
        <v>2419</v>
      </c>
      <c r="F405" s="36" t="s">
        <v>78</v>
      </c>
      <c r="G405" s="212" t="s">
        <v>1113</v>
      </c>
      <c r="H405" s="36" t="s">
        <v>585</v>
      </c>
      <c r="I405" s="6" t="s">
        <v>585</v>
      </c>
      <c r="J405" s="36" t="s">
        <v>585</v>
      </c>
      <c r="K405" s="212"/>
      <c r="L405" s="212"/>
      <c r="M405" s="36" t="s">
        <v>585</v>
      </c>
      <c r="N405" s="213" t="str">
        <f aca="false">NonNV!$L$7</f>
        <v>OpenAI v0.5 以 2GW Trainium 合約為輸入</v>
      </c>
      <c r="O405" s="6" t="s">
        <v>585</v>
      </c>
      <c r="P405" s="212" t="s">
        <v>2774</v>
      </c>
      <c r="Q405" s="174" t="n">
        <f aca="false">NonNV!E7</f>
        <v>0.6</v>
      </c>
      <c r="R405" s="36" t="s">
        <v>585</v>
      </c>
      <c r="S405" s="35" t="str">
        <f aca="false">IF(ISNUMBER($AF405),INDEX(IDX_SrcStat,$AF405),"—")</f>
        <v>—</v>
      </c>
      <c r="T405" s="35" t="str">
        <f aca="false">IF(ISNUMBER($AF405),INDEX(IDX_SrcGrade,$AF405),"—")</f>
        <v>—</v>
      </c>
      <c r="U405" s="35" t="s">
        <v>2775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5" t="str">
        <f aca="false">IF(OR($H405="—",$H405=""),"—",MATCH($H405,IDX_SrcID,0))</f>
        <v>—</v>
      </c>
    </row>
    <row r="406" customFormat="false" ht="15" hidden="false" customHeight="true" outlineLevel="0" collapsed="false">
      <c r="A406" s="36" t="s">
        <v>3737</v>
      </c>
      <c r="B406" s="212" t="s">
        <v>2769</v>
      </c>
      <c r="C406" s="36" t="s">
        <v>3717</v>
      </c>
      <c r="D406" s="36" t="s">
        <v>3447</v>
      </c>
      <c r="E406" s="6" t="s">
        <v>2419</v>
      </c>
      <c r="F406" s="36" t="s">
        <v>78</v>
      </c>
      <c r="G406" s="212" t="s">
        <v>1114</v>
      </c>
      <c r="H406" s="36" t="s">
        <v>585</v>
      </c>
      <c r="I406" s="6" t="s">
        <v>585</v>
      </c>
      <c r="J406" s="36" t="s">
        <v>585</v>
      </c>
      <c r="K406" s="212"/>
      <c r="L406" s="212"/>
      <c r="M406" s="36" t="s">
        <v>585</v>
      </c>
      <c r="N406" s="213" t="str">
        <f aca="false">NonNV!$L$7</f>
        <v>OpenAI v0.5 以 2GW Trainium 合約為輸入</v>
      </c>
      <c r="O406" s="6" t="s">
        <v>585</v>
      </c>
      <c r="P406" s="212" t="s">
        <v>2774</v>
      </c>
      <c r="Q406" s="174" t="n">
        <f aca="false">NonNV!G7</f>
        <v>0.9</v>
      </c>
      <c r="R406" s="36" t="s">
        <v>585</v>
      </c>
      <c r="S406" s="35" t="str">
        <f aca="false">IF(ISNUMBER($AF406),INDEX(IDX_SrcStat,$AF406),"—")</f>
        <v>—</v>
      </c>
      <c r="T406" s="35" t="str">
        <f aca="false">IF(ISNUMBER($AF406),INDEX(IDX_SrcGrade,$AF406),"—")</f>
        <v>—</v>
      </c>
      <c r="U406" s="35" t="s">
        <v>2775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5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6" t="s">
        <v>3738</v>
      </c>
      <c r="B407" s="212" t="s">
        <v>2769</v>
      </c>
      <c r="C407" s="36" t="s">
        <v>3717</v>
      </c>
      <c r="D407" s="36" t="s">
        <v>2941</v>
      </c>
      <c r="E407" s="6" t="s">
        <v>2421</v>
      </c>
      <c r="F407" s="36" t="s">
        <v>78</v>
      </c>
      <c r="G407" s="212" t="s">
        <v>63</v>
      </c>
      <c r="H407" s="36" t="s">
        <v>585</v>
      </c>
      <c r="I407" s="6" t="s">
        <v>585</v>
      </c>
      <c r="J407" s="36" t="s">
        <v>585</v>
      </c>
      <c r="K407" s="174" t="n">
        <f aca="false">NonNV!B8</f>
        <v>0.2</v>
      </c>
      <c r="L407" s="174" t="n">
        <f aca="false">NonNV!D8</f>
        <v>0.8</v>
      </c>
      <c r="M407" s="36" t="s">
        <v>585</v>
      </c>
      <c r="N407" s="213" t="str">
        <f aca="false">NonNV!$L$8</f>
        <v>高互動性利基；每 GW 吞吐低、單用戶速度高</v>
      </c>
      <c r="O407" s="6" t="s">
        <v>585</v>
      </c>
      <c r="P407" s="212" t="s">
        <v>2774</v>
      </c>
      <c r="Q407" s="174" t="n">
        <f aca="false">NonNV!C8</f>
        <v>0.4</v>
      </c>
      <c r="R407" s="36" t="s">
        <v>585</v>
      </c>
      <c r="S407" s="35" t="str">
        <f aca="false">IF(ISNUMBER($AF407),INDEX(IDX_SrcStat,$AF407),"—")</f>
        <v>—</v>
      </c>
      <c r="T407" s="35" t="str">
        <f aca="false">IF(ISNUMBER($AF407),INDEX(IDX_SrcGrade,$AF407),"—")</f>
        <v>—</v>
      </c>
      <c r="U407" s="35" t="s">
        <v>2775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5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6" t="s">
        <v>3739</v>
      </c>
      <c r="B408" s="212" t="s">
        <v>2769</v>
      </c>
      <c r="C408" s="36" t="s">
        <v>3717</v>
      </c>
      <c r="D408" s="36" t="s">
        <v>2949</v>
      </c>
      <c r="E408" s="6" t="s">
        <v>2421</v>
      </c>
      <c r="F408" s="36" t="s">
        <v>78</v>
      </c>
      <c r="G408" s="212" t="s">
        <v>63</v>
      </c>
      <c r="H408" s="36" t="s">
        <v>585</v>
      </c>
      <c r="I408" s="6" t="s">
        <v>585</v>
      </c>
      <c r="J408" s="36" t="s">
        <v>585</v>
      </c>
      <c r="K408" s="174" t="n">
        <f aca="false">NonNV!E8</f>
        <v>0.8</v>
      </c>
      <c r="L408" s="174" t="n">
        <f aca="false">NonNV!G8</f>
        <v>1.2</v>
      </c>
      <c r="M408" s="36" t="s">
        <v>585</v>
      </c>
      <c r="N408" s="213" t="str">
        <f aca="false">NonNV!$L$8</f>
        <v>高互動性利基；每 GW 吞吐低、單用戶速度高</v>
      </c>
      <c r="O408" s="6" t="s">
        <v>585</v>
      </c>
      <c r="P408" s="212" t="s">
        <v>2774</v>
      </c>
      <c r="Q408" s="174" t="n">
        <f aca="false">NonNV!F8</f>
        <v>1</v>
      </c>
      <c r="R408" s="36" t="s">
        <v>585</v>
      </c>
      <c r="S408" s="35" t="str">
        <f aca="false">IF(ISNUMBER($AF408),INDEX(IDX_SrcStat,$AF408),"—")</f>
        <v>—</v>
      </c>
      <c r="T408" s="35" t="str">
        <f aca="false">IF(ISNUMBER($AF408),INDEX(IDX_SrcGrade,$AF408),"—")</f>
        <v>—</v>
      </c>
      <c r="U408" s="35" t="s">
        <v>2775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5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6" t="s">
        <v>3740</v>
      </c>
      <c r="B409" s="212" t="s">
        <v>2769</v>
      </c>
      <c r="C409" s="36" t="s">
        <v>3717</v>
      </c>
      <c r="D409" s="36" t="s">
        <v>3741</v>
      </c>
      <c r="E409" s="6" t="s">
        <v>2421</v>
      </c>
      <c r="F409" s="36" t="s">
        <v>78</v>
      </c>
      <c r="G409" s="212" t="s">
        <v>1113</v>
      </c>
      <c r="H409" s="36" t="s">
        <v>585</v>
      </c>
      <c r="I409" s="6" t="s">
        <v>585</v>
      </c>
      <c r="J409" s="36" t="s">
        <v>585</v>
      </c>
      <c r="K409" s="212"/>
      <c r="L409" s="212"/>
      <c r="M409" s="36" t="s">
        <v>585</v>
      </c>
      <c r="N409" s="213" t="str">
        <f aca="false">NonNV!$L$8</f>
        <v>高互動性利基；每 GW 吞吐低、單用戶速度高</v>
      </c>
      <c r="O409" s="6" t="s">
        <v>585</v>
      </c>
      <c r="P409" s="212" t="s">
        <v>2774</v>
      </c>
      <c r="Q409" s="174" t="n">
        <f aca="false">NonNV!B8</f>
        <v>0.2</v>
      </c>
      <c r="R409" s="36" t="s">
        <v>585</v>
      </c>
      <c r="S409" s="35" t="str">
        <f aca="false">IF(ISNUMBER($AF409),INDEX(IDX_SrcStat,$AF409),"—")</f>
        <v>—</v>
      </c>
      <c r="T409" s="35" t="str">
        <f aca="false">IF(ISNUMBER($AF409),INDEX(IDX_SrcGrade,$AF409),"—")</f>
        <v>—</v>
      </c>
      <c r="U409" s="35" t="s">
        <v>2775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5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6" t="s">
        <v>3742</v>
      </c>
      <c r="B410" s="212" t="s">
        <v>2769</v>
      </c>
      <c r="C410" s="36" t="s">
        <v>3717</v>
      </c>
      <c r="D410" s="36" t="s">
        <v>2944</v>
      </c>
      <c r="E410" s="6" t="s">
        <v>2421</v>
      </c>
      <c r="F410" s="36" t="s">
        <v>78</v>
      </c>
      <c r="G410" s="212" t="s">
        <v>1114</v>
      </c>
      <c r="H410" s="36" t="s">
        <v>585</v>
      </c>
      <c r="I410" s="6" t="s">
        <v>585</v>
      </c>
      <c r="J410" s="36" t="s">
        <v>585</v>
      </c>
      <c r="K410" s="212"/>
      <c r="L410" s="212"/>
      <c r="M410" s="36" t="s">
        <v>585</v>
      </c>
      <c r="N410" s="213" t="str">
        <f aca="false">NonNV!$L$8</f>
        <v>高互動性利基；每 GW 吞吐低、單用戶速度高</v>
      </c>
      <c r="O410" s="6" t="s">
        <v>585</v>
      </c>
      <c r="P410" s="212" t="s">
        <v>2774</v>
      </c>
      <c r="Q410" s="174" t="n">
        <f aca="false">NonNV!D8</f>
        <v>0.8</v>
      </c>
      <c r="R410" s="36" t="s">
        <v>585</v>
      </c>
      <c r="S410" s="35" t="str">
        <f aca="false">IF(ISNUMBER($AF410),INDEX(IDX_SrcStat,$AF410),"—")</f>
        <v>—</v>
      </c>
      <c r="T410" s="35" t="str">
        <f aca="false">IF(ISNUMBER($AF410),INDEX(IDX_SrcGrade,$AF410),"—")</f>
        <v>—</v>
      </c>
      <c r="U410" s="35" t="s">
        <v>2775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5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6" t="s">
        <v>3743</v>
      </c>
      <c r="B411" s="212" t="s">
        <v>2769</v>
      </c>
      <c r="C411" s="36" t="s">
        <v>3717</v>
      </c>
      <c r="D411" s="36" t="s">
        <v>2669</v>
      </c>
      <c r="E411" s="6" t="s">
        <v>2421</v>
      </c>
      <c r="F411" s="36" t="s">
        <v>78</v>
      </c>
      <c r="G411" s="212" t="s">
        <v>1113</v>
      </c>
      <c r="H411" s="36" t="s">
        <v>585</v>
      </c>
      <c r="I411" s="6" t="s">
        <v>585</v>
      </c>
      <c r="J411" s="36" t="s">
        <v>585</v>
      </c>
      <c r="K411" s="212"/>
      <c r="L411" s="212"/>
      <c r="M411" s="36" t="s">
        <v>585</v>
      </c>
      <c r="N411" s="213" t="str">
        <f aca="false">NonNV!$L$8</f>
        <v>高互動性利基；每 GW 吞吐低、單用戶速度高</v>
      </c>
      <c r="O411" s="6" t="s">
        <v>585</v>
      </c>
      <c r="P411" s="212" t="s">
        <v>2774</v>
      </c>
      <c r="Q411" s="174" t="n">
        <f aca="false">NonNV!E8</f>
        <v>0.8</v>
      </c>
      <c r="R411" s="36" t="s">
        <v>585</v>
      </c>
      <c r="S411" s="35" t="str">
        <f aca="false">IF(ISNUMBER($AF411),INDEX(IDX_SrcStat,$AF411),"—")</f>
        <v>—</v>
      </c>
      <c r="T411" s="35" t="str">
        <f aca="false">IF(ISNUMBER($AF411),INDEX(IDX_SrcGrade,$AF411),"—")</f>
        <v>—</v>
      </c>
      <c r="U411" s="35" t="s">
        <v>2775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5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6" t="s">
        <v>3744</v>
      </c>
      <c r="B412" s="212" t="s">
        <v>2769</v>
      </c>
      <c r="C412" s="36" t="s">
        <v>3717</v>
      </c>
      <c r="D412" s="36" t="s">
        <v>2952</v>
      </c>
      <c r="E412" s="6" t="s">
        <v>2421</v>
      </c>
      <c r="F412" s="36" t="s">
        <v>78</v>
      </c>
      <c r="G412" s="212" t="s">
        <v>1114</v>
      </c>
      <c r="H412" s="36" t="s">
        <v>585</v>
      </c>
      <c r="I412" s="6" t="s">
        <v>585</v>
      </c>
      <c r="J412" s="36" t="s">
        <v>585</v>
      </c>
      <c r="K412" s="212"/>
      <c r="L412" s="212"/>
      <c r="M412" s="36" t="s">
        <v>585</v>
      </c>
      <c r="N412" s="213" t="str">
        <f aca="false">NonNV!$L$8</f>
        <v>高互動性利基；每 GW 吞吐低、單用戶速度高</v>
      </c>
      <c r="O412" s="6" t="s">
        <v>585</v>
      </c>
      <c r="P412" s="212" t="s">
        <v>2774</v>
      </c>
      <c r="Q412" s="174" t="n">
        <f aca="false">NonNV!G8</f>
        <v>1.2</v>
      </c>
      <c r="R412" s="36" t="s">
        <v>585</v>
      </c>
      <c r="S412" s="35" t="str">
        <f aca="false">IF(ISNUMBER($AF412),INDEX(IDX_SrcStat,$AF412),"—")</f>
        <v>—</v>
      </c>
      <c r="T412" s="35" t="str">
        <f aca="false">IF(ISNUMBER($AF412),INDEX(IDX_SrcGrade,$AF412),"—")</f>
        <v>—</v>
      </c>
      <c r="U412" s="35" t="s">
        <v>2775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5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6" t="s">
        <v>3745</v>
      </c>
      <c r="B413" s="212" t="s">
        <v>2769</v>
      </c>
      <c r="C413" s="36" t="s">
        <v>3717</v>
      </c>
      <c r="D413" s="36" t="s">
        <v>2955</v>
      </c>
      <c r="E413" s="6" t="s">
        <v>2423</v>
      </c>
      <c r="F413" s="36" t="s">
        <v>78</v>
      </c>
      <c r="G413" s="212" t="s">
        <v>63</v>
      </c>
      <c r="H413" s="36" t="s">
        <v>585</v>
      </c>
      <c r="I413" s="6" t="s">
        <v>585</v>
      </c>
      <c r="J413" s="36" t="s">
        <v>585</v>
      </c>
      <c r="K413" s="174" t="n">
        <f aca="false">NonNV!B9</f>
        <v>0.4</v>
      </c>
      <c r="L413" s="174" t="n">
        <f aca="false">NonNV!D9</f>
        <v>0.9</v>
      </c>
      <c r="M413" s="36" t="s">
        <v>585</v>
      </c>
      <c r="N413" s="213" t="str">
        <f aca="false">NonNV!$L$9</f>
        <v>無公開規格；沿用 v0.5「自研／其他 0.6（0.4–1.0）」</v>
      </c>
      <c r="O413" s="6" t="s">
        <v>585</v>
      </c>
      <c r="P413" s="212" t="s">
        <v>2774</v>
      </c>
      <c r="Q413" s="174" t="n">
        <f aca="false">NonNV!C9</f>
        <v>0.6</v>
      </c>
      <c r="R413" s="36" t="s">
        <v>585</v>
      </c>
      <c r="S413" s="35" t="str">
        <f aca="false">IF(ISNUMBER($AF413),INDEX(IDX_SrcStat,$AF413),"—")</f>
        <v>—</v>
      </c>
      <c r="T413" s="35" t="str">
        <f aca="false">IF(ISNUMBER($AF413),INDEX(IDX_SrcGrade,$AF413),"—")</f>
        <v>—</v>
      </c>
      <c r="U413" s="35" t="s">
        <v>2775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5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6" t="s">
        <v>3746</v>
      </c>
      <c r="B414" s="212" t="s">
        <v>2769</v>
      </c>
      <c r="C414" s="36" t="s">
        <v>3717</v>
      </c>
      <c r="D414" s="36" t="s">
        <v>2786</v>
      </c>
      <c r="E414" s="6" t="s">
        <v>2423</v>
      </c>
      <c r="F414" s="36" t="s">
        <v>78</v>
      </c>
      <c r="G414" s="212" t="s">
        <v>63</v>
      </c>
      <c r="H414" s="36" t="s">
        <v>585</v>
      </c>
      <c r="I414" s="6" t="s">
        <v>585</v>
      </c>
      <c r="J414" s="36" t="s">
        <v>585</v>
      </c>
      <c r="K414" s="174" t="n">
        <f aca="false">NonNV!E9</f>
        <v>0.7</v>
      </c>
      <c r="L414" s="174" t="n">
        <f aca="false">NonNV!G9</f>
        <v>1</v>
      </c>
      <c r="M414" s="36" t="s">
        <v>585</v>
      </c>
      <c r="N414" s="213" t="str">
        <f aca="false">NonNV!$L$9</f>
        <v>無公開規格；沿用 v0.5「自研／其他 0.6（0.4–1.0）」</v>
      </c>
      <c r="O414" s="6" t="s">
        <v>585</v>
      </c>
      <c r="P414" s="212" t="s">
        <v>2774</v>
      </c>
      <c r="Q414" s="174" t="n">
        <f aca="false">NonNV!F9</f>
        <v>0.8</v>
      </c>
      <c r="R414" s="36" t="s">
        <v>585</v>
      </c>
      <c r="S414" s="35" t="str">
        <f aca="false">IF(ISNUMBER($AF414),INDEX(IDX_SrcStat,$AF414),"—")</f>
        <v>—</v>
      </c>
      <c r="T414" s="35" t="str">
        <f aca="false">IF(ISNUMBER($AF414),INDEX(IDX_SrcGrade,$AF414),"—")</f>
        <v>—</v>
      </c>
      <c r="U414" s="35" t="s">
        <v>2775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5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6" t="s">
        <v>3747</v>
      </c>
      <c r="B415" s="212" t="s">
        <v>2769</v>
      </c>
      <c r="C415" s="36" t="s">
        <v>3717</v>
      </c>
      <c r="D415" s="36" t="s">
        <v>3748</v>
      </c>
      <c r="E415" s="6" t="s">
        <v>2423</v>
      </c>
      <c r="F415" s="36" t="s">
        <v>78</v>
      </c>
      <c r="G415" s="212" t="s">
        <v>1113</v>
      </c>
      <c r="H415" s="36" t="s">
        <v>585</v>
      </c>
      <c r="I415" s="6" t="s">
        <v>585</v>
      </c>
      <c r="J415" s="36" t="s">
        <v>585</v>
      </c>
      <c r="K415" s="212"/>
      <c r="L415" s="212"/>
      <c r="M415" s="36" t="s">
        <v>585</v>
      </c>
      <c r="N415" s="213" t="str">
        <f aca="false">NonNV!$L$9</f>
        <v>無公開規格；沿用 v0.5「自研／其他 0.6（0.4–1.0）」</v>
      </c>
      <c r="O415" s="6" t="s">
        <v>585</v>
      </c>
      <c r="P415" s="212" t="s">
        <v>2774</v>
      </c>
      <c r="Q415" s="174" t="n">
        <f aca="false">NonNV!B9</f>
        <v>0.4</v>
      </c>
      <c r="R415" s="36" t="s">
        <v>585</v>
      </c>
      <c r="S415" s="35" t="str">
        <f aca="false">IF(ISNUMBER($AF415),INDEX(IDX_SrcStat,$AF415),"—")</f>
        <v>—</v>
      </c>
      <c r="T415" s="35" t="str">
        <f aca="false">IF(ISNUMBER($AF415),INDEX(IDX_SrcGrade,$AF415),"—")</f>
        <v>—</v>
      </c>
      <c r="U415" s="35" t="s">
        <v>2775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5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6" t="s">
        <v>3749</v>
      </c>
      <c r="B416" s="212" t="s">
        <v>2769</v>
      </c>
      <c r="C416" s="36" t="s">
        <v>3717</v>
      </c>
      <c r="D416" s="36" t="s">
        <v>2784</v>
      </c>
      <c r="E416" s="6" t="s">
        <v>2423</v>
      </c>
      <c r="F416" s="36" t="s">
        <v>78</v>
      </c>
      <c r="G416" s="212" t="s">
        <v>1114</v>
      </c>
      <c r="H416" s="36" t="s">
        <v>585</v>
      </c>
      <c r="I416" s="6" t="s">
        <v>585</v>
      </c>
      <c r="J416" s="36" t="s">
        <v>585</v>
      </c>
      <c r="K416" s="212"/>
      <c r="L416" s="212"/>
      <c r="M416" s="36" t="s">
        <v>585</v>
      </c>
      <c r="N416" s="213" t="str">
        <f aca="false">NonNV!$L$9</f>
        <v>無公開規格；沿用 v0.5「自研／其他 0.6（0.4–1.0）」</v>
      </c>
      <c r="O416" s="6" t="s">
        <v>585</v>
      </c>
      <c r="P416" s="212" t="s">
        <v>2774</v>
      </c>
      <c r="Q416" s="174" t="n">
        <f aca="false">NonNV!D9</f>
        <v>0.9</v>
      </c>
      <c r="R416" s="36" t="s">
        <v>585</v>
      </c>
      <c r="S416" s="35" t="str">
        <f aca="false">IF(ISNUMBER($AF416),INDEX(IDX_SrcStat,$AF416),"—")</f>
        <v>—</v>
      </c>
      <c r="T416" s="35" t="str">
        <f aca="false">IF(ISNUMBER($AF416),INDEX(IDX_SrcGrade,$AF416),"—")</f>
        <v>—</v>
      </c>
      <c r="U416" s="35" t="s">
        <v>2775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5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6" t="s">
        <v>3750</v>
      </c>
      <c r="B417" s="212" t="s">
        <v>2769</v>
      </c>
      <c r="C417" s="36" t="s">
        <v>3717</v>
      </c>
      <c r="D417" s="36" t="s">
        <v>2672</v>
      </c>
      <c r="E417" s="6" t="s">
        <v>2423</v>
      </c>
      <c r="F417" s="36" t="s">
        <v>78</v>
      </c>
      <c r="G417" s="212" t="s">
        <v>1113</v>
      </c>
      <c r="H417" s="36" t="s">
        <v>585</v>
      </c>
      <c r="I417" s="6" t="s">
        <v>585</v>
      </c>
      <c r="J417" s="36" t="s">
        <v>585</v>
      </c>
      <c r="K417" s="212"/>
      <c r="L417" s="212"/>
      <c r="M417" s="36" t="s">
        <v>585</v>
      </c>
      <c r="N417" s="213" t="str">
        <f aca="false">NonNV!$L$9</f>
        <v>無公開規格；沿用 v0.5「自研／其他 0.6（0.4–1.0）」</v>
      </c>
      <c r="O417" s="6" t="s">
        <v>585</v>
      </c>
      <c r="P417" s="212" t="s">
        <v>2774</v>
      </c>
      <c r="Q417" s="174" t="n">
        <f aca="false">NonNV!E9</f>
        <v>0.7</v>
      </c>
      <c r="R417" s="36" t="s">
        <v>585</v>
      </c>
      <c r="S417" s="35" t="str">
        <f aca="false">IF(ISNUMBER($AF417),INDEX(IDX_SrcStat,$AF417),"—")</f>
        <v>—</v>
      </c>
      <c r="T417" s="35" t="str">
        <f aca="false">IF(ISNUMBER($AF417),INDEX(IDX_SrcGrade,$AF417),"—")</f>
        <v>—</v>
      </c>
      <c r="U417" s="35" t="s">
        <v>2775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5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6" t="s">
        <v>3751</v>
      </c>
      <c r="B418" s="212" t="s">
        <v>2769</v>
      </c>
      <c r="C418" s="36" t="s">
        <v>3717</v>
      </c>
      <c r="D418" s="36" t="s">
        <v>2970</v>
      </c>
      <c r="E418" s="6" t="s">
        <v>2423</v>
      </c>
      <c r="F418" s="36" t="s">
        <v>78</v>
      </c>
      <c r="G418" s="212" t="s">
        <v>1114</v>
      </c>
      <c r="H418" s="36" t="s">
        <v>585</v>
      </c>
      <c r="I418" s="6" t="s">
        <v>585</v>
      </c>
      <c r="J418" s="36" t="s">
        <v>585</v>
      </c>
      <c r="K418" s="212"/>
      <c r="L418" s="212"/>
      <c r="M418" s="36" t="s">
        <v>585</v>
      </c>
      <c r="N418" s="213" t="str">
        <f aca="false">NonNV!$L$9</f>
        <v>無公開規格；沿用 v0.5「自研／其他 0.6（0.4–1.0）」</v>
      </c>
      <c r="O418" s="6" t="s">
        <v>585</v>
      </c>
      <c r="P418" s="212" t="s">
        <v>2774</v>
      </c>
      <c r="Q418" s="174" t="n">
        <f aca="false">NonNV!G9</f>
        <v>1</v>
      </c>
      <c r="R418" s="36" t="s">
        <v>585</v>
      </c>
      <c r="S418" s="35" t="str">
        <f aca="false">IF(ISNUMBER($AF418),INDEX(IDX_SrcStat,$AF418),"—")</f>
        <v>—</v>
      </c>
      <c r="T418" s="35" t="str">
        <f aca="false">IF(ISNUMBER($AF418),INDEX(IDX_SrcGrade,$AF418),"—")</f>
        <v>—</v>
      </c>
      <c r="U418" s="35" t="s">
        <v>2775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5" t="str">
        <f aca="false">IF(OR($H418="—",$H418=""),"—",MATCH($H418,IDX_SrcID,0))</f>
        <v>—</v>
      </c>
    </row>
    <row r="419" customFormat="false" ht="15" hidden="false" customHeight="true" outlineLevel="0" collapsed="false">
      <c r="A419" s="36" t="s">
        <v>3752</v>
      </c>
      <c r="B419" s="212" t="s">
        <v>2769</v>
      </c>
      <c r="C419" s="36" t="s">
        <v>3753</v>
      </c>
      <c r="D419" s="36" t="s">
        <v>3754</v>
      </c>
      <c r="E419" s="19" t="s">
        <v>417</v>
      </c>
      <c r="F419" s="212" t="s">
        <v>3515</v>
      </c>
      <c r="G419" s="212" t="s">
        <v>3516</v>
      </c>
      <c r="H419" s="36" t="s">
        <v>585</v>
      </c>
      <c r="I419" s="6" t="s">
        <v>585</v>
      </c>
      <c r="J419" s="36" t="s">
        <v>585</v>
      </c>
      <c r="K419" s="212"/>
      <c r="L419" s="212"/>
      <c r="M419" s="36" t="s">
        <v>585</v>
      </c>
      <c r="N419" s="19" t="s">
        <v>3755</v>
      </c>
      <c r="O419" s="6" t="s">
        <v>585</v>
      </c>
      <c r="P419" s="36" t="s">
        <v>585</v>
      </c>
      <c r="Q419" s="184" t="s">
        <v>585</v>
      </c>
      <c r="R419" s="36" t="s">
        <v>585</v>
      </c>
      <c r="S419" s="35" t="str">
        <f aca="false">IF(ISNUMBER($AF419),INDEX(IDX_SrcStat,$AF419),"—")</f>
        <v>—</v>
      </c>
      <c r="T419" s="35" t="str">
        <f aca="false">IF(ISNUMBER($AF419),INDEX(IDX_SrcGrade,$AF419),"—")</f>
        <v>—</v>
      </c>
      <c r="U419" s="36" t="s">
        <v>585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5" t="str">
        <f aca="false">IF(OR($H419="—",$H419=""),"—",MATCH($H419,IDX_SrcID,0))</f>
        <v>—</v>
      </c>
    </row>
    <row r="420" customFormat="false" ht="15" hidden="false" customHeight="true" outlineLevel="0" collapsed="false">
      <c r="A420" s="36" t="s">
        <v>3756</v>
      </c>
      <c r="B420" s="212" t="s">
        <v>2769</v>
      </c>
      <c r="C420" s="36" t="s">
        <v>3753</v>
      </c>
      <c r="D420" s="36" t="s">
        <v>3757</v>
      </c>
      <c r="E420" s="19" t="s">
        <v>688</v>
      </c>
      <c r="F420" s="212" t="s">
        <v>3515</v>
      </c>
      <c r="G420" s="212" t="s">
        <v>3516</v>
      </c>
      <c r="H420" s="36" t="s">
        <v>585</v>
      </c>
      <c r="I420" s="6" t="s">
        <v>585</v>
      </c>
      <c r="J420" s="36" t="s">
        <v>585</v>
      </c>
      <c r="K420" s="212"/>
      <c r="L420" s="212"/>
      <c r="M420" s="36" t="s">
        <v>585</v>
      </c>
      <c r="N420" s="19" t="s">
        <v>3755</v>
      </c>
      <c r="O420" s="6" t="s">
        <v>585</v>
      </c>
      <c r="P420" s="36" t="s">
        <v>585</v>
      </c>
      <c r="Q420" s="184" t="s">
        <v>585</v>
      </c>
      <c r="R420" s="36" t="s">
        <v>585</v>
      </c>
      <c r="S420" s="35" t="str">
        <f aca="false">IF(ISNUMBER($AF420),INDEX(IDX_SrcStat,$AF420),"—")</f>
        <v>—</v>
      </c>
      <c r="T420" s="35" t="str">
        <f aca="false">IF(ISNUMBER($AF420),INDEX(IDX_SrcGrade,$AF420),"—")</f>
        <v>—</v>
      </c>
      <c r="U420" s="36" t="s">
        <v>585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5" t="str">
        <f aca="false">IF(OR($H420="—",$H420=""),"—",MATCH($H420,IDX_SrcID,0))</f>
        <v>—</v>
      </c>
    </row>
    <row r="421" customFormat="false" ht="15" hidden="false" customHeight="true" outlineLevel="0" collapsed="false">
      <c r="A421" s="36" t="s">
        <v>3758</v>
      </c>
      <c r="B421" s="212" t="s">
        <v>2769</v>
      </c>
      <c r="C421" s="36" t="s">
        <v>2512</v>
      </c>
      <c r="D421" s="36" t="s">
        <v>3759</v>
      </c>
      <c r="E421" s="19" t="s">
        <v>417</v>
      </c>
      <c r="F421" s="212" t="s">
        <v>3515</v>
      </c>
      <c r="G421" s="212" t="s">
        <v>3516</v>
      </c>
      <c r="H421" s="36" t="s">
        <v>585</v>
      </c>
      <c r="I421" s="6" t="s">
        <v>585</v>
      </c>
      <c r="J421" s="36" t="s">
        <v>585</v>
      </c>
      <c r="K421" s="212"/>
      <c r="L421" s="212"/>
      <c r="M421" s="36" t="s">
        <v>585</v>
      </c>
      <c r="N421" s="19" t="s">
        <v>3755</v>
      </c>
      <c r="O421" s="6" t="s">
        <v>585</v>
      </c>
      <c r="P421" s="36" t="s">
        <v>585</v>
      </c>
      <c r="Q421" s="184" t="s">
        <v>585</v>
      </c>
      <c r="R421" s="36" t="s">
        <v>585</v>
      </c>
      <c r="S421" s="35" t="str">
        <f aca="false">IF(ISNUMBER($AF421),INDEX(IDX_SrcStat,$AF421),"—")</f>
        <v>—</v>
      </c>
      <c r="T421" s="35" t="str">
        <f aca="false">IF(ISNUMBER($AF421),INDEX(IDX_SrcGrade,$AF421),"—")</f>
        <v>—</v>
      </c>
      <c r="U421" s="36" t="s">
        <v>585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5" t="str">
        <f aca="false">IF(OR($H421="—",$H421=""),"—",MATCH($H421,IDX_SrcID,0))</f>
        <v>—</v>
      </c>
    </row>
    <row r="422" customFormat="false" ht="15" hidden="false" customHeight="true" outlineLevel="0" collapsed="false">
      <c r="A422" s="36" t="s">
        <v>3760</v>
      </c>
      <c r="B422" s="212" t="s">
        <v>2769</v>
      </c>
      <c r="C422" s="36" t="s">
        <v>2512</v>
      </c>
      <c r="D422" s="36" t="s">
        <v>3761</v>
      </c>
      <c r="E422" s="19" t="s">
        <v>688</v>
      </c>
      <c r="F422" s="212" t="s">
        <v>3515</v>
      </c>
      <c r="G422" s="212" t="s">
        <v>3516</v>
      </c>
      <c r="H422" s="36" t="s">
        <v>585</v>
      </c>
      <c r="I422" s="6" t="s">
        <v>585</v>
      </c>
      <c r="J422" s="36" t="s">
        <v>585</v>
      </c>
      <c r="K422" s="212"/>
      <c r="L422" s="212"/>
      <c r="M422" s="36" t="s">
        <v>585</v>
      </c>
      <c r="N422" s="19" t="s">
        <v>3755</v>
      </c>
      <c r="O422" s="6" t="s">
        <v>585</v>
      </c>
      <c r="P422" s="36" t="s">
        <v>585</v>
      </c>
      <c r="Q422" s="184" t="s">
        <v>585</v>
      </c>
      <c r="R422" s="36" t="s">
        <v>585</v>
      </c>
      <c r="S422" s="35" t="str">
        <f aca="false">IF(ISNUMBER($AF422),INDEX(IDX_SrcStat,$AF422),"—")</f>
        <v>—</v>
      </c>
      <c r="T422" s="35" t="str">
        <f aca="false">IF(ISNUMBER($AF422),INDEX(IDX_SrcGrade,$AF422),"—")</f>
        <v>—</v>
      </c>
      <c r="U422" s="36" t="s">
        <v>585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5" t="str">
        <f aca="false">IF(OR($H422="—",$H422=""),"—",MATCH($H422,IDX_SrcID,0))</f>
        <v>—</v>
      </c>
    </row>
    <row r="423" customFormat="false" ht="15" hidden="false" customHeight="true" outlineLevel="0" collapsed="false">
      <c r="A423" s="36" t="s">
        <v>3762</v>
      </c>
      <c r="B423" s="212" t="s">
        <v>2769</v>
      </c>
      <c r="C423" s="36" t="s">
        <v>2512</v>
      </c>
      <c r="D423" s="36" t="s">
        <v>3763</v>
      </c>
      <c r="E423" s="19" t="s">
        <v>440</v>
      </c>
      <c r="F423" s="212" t="s">
        <v>346</v>
      </c>
      <c r="G423" s="212" t="s">
        <v>3516</v>
      </c>
      <c r="H423" s="36" t="s">
        <v>585</v>
      </c>
      <c r="I423" s="6" t="s">
        <v>585</v>
      </c>
      <c r="J423" s="36" t="s">
        <v>585</v>
      </c>
      <c r="K423" s="212"/>
      <c r="L423" s="212"/>
      <c r="M423" s="36" t="s">
        <v>585</v>
      </c>
      <c r="N423" s="19" t="s">
        <v>3764</v>
      </c>
      <c r="O423" s="6" t="s">
        <v>585</v>
      </c>
      <c r="P423" s="212" t="s">
        <v>2774</v>
      </c>
      <c r="Q423" s="38" t="n">
        <f aca="false">Sens_Perf!M14</f>
        <v>50</v>
      </c>
      <c r="R423" s="36" t="s">
        <v>585</v>
      </c>
      <c r="S423" s="35" t="str">
        <f aca="false">IF(ISNUMBER($AF423),INDEX(IDX_SrcStat,$AF423),"—")</f>
        <v>—</v>
      </c>
      <c r="T423" s="35" t="str">
        <f aca="false">IF(ISNUMBER($AF423),INDEX(IDX_SrcGrade,$AF423),"—")</f>
        <v>—</v>
      </c>
      <c r="U423" s="35" t="s">
        <v>2775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5" t="str">
        <f aca="false">IF(OR($H423="—",$H423=""),"—",MATCH($H423,IDX_SrcID,0))</f>
        <v>—</v>
      </c>
    </row>
    <row r="424" customFormat="false" ht="15" hidden="false" customHeight="true" outlineLevel="0" collapsed="false">
      <c r="A424" s="36" t="s">
        <v>3765</v>
      </c>
      <c r="B424" s="212" t="s">
        <v>2769</v>
      </c>
      <c r="C424" s="36" t="s">
        <v>2512</v>
      </c>
      <c r="D424" s="36" t="s">
        <v>3766</v>
      </c>
      <c r="E424" s="6" t="s">
        <v>335</v>
      </c>
      <c r="F424" s="212" t="s">
        <v>346</v>
      </c>
      <c r="G424" s="212" t="s">
        <v>3516</v>
      </c>
      <c r="H424" s="36" t="s">
        <v>585</v>
      </c>
      <c r="I424" s="6" t="s">
        <v>585</v>
      </c>
      <c r="J424" s="36" t="s">
        <v>585</v>
      </c>
      <c r="K424" s="212"/>
      <c r="L424" s="212"/>
      <c r="M424" s="36" t="s">
        <v>585</v>
      </c>
      <c r="N424" s="19" t="s">
        <v>3764</v>
      </c>
      <c r="O424" s="6" t="s">
        <v>585</v>
      </c>
      <c r="P424" s="36" t="s">
        <v>585</v>
      </c>
      <c r="Q424" s="184" t="s">
        <v>585</v>
      </c>
      <c r="R424" s="36" t="s">
        <v>585</v>
      </c>
      <c r="S424" s="35" t="str">
        <f aca="false">IF(ISNUMBER($AF424),INDEX(IDX_SrcStat,$AF424),"—")</f>
        <v>—</v>
      </c>
      <c r="T424" s="35" t="str">
        <f aca="false">IF(ISNUMBER($AF424),INDEX(IDX_SrcGrade,$AF424),"—")</f>
        <v>—</v>
      </c>
      <c r="U424" s="36" t="s">
        <v>585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5" t="str">
        <f aca="false">IF(OR($H424="—",$H424=""),"—",MATCH($H424,IDX_SrcID,0))</f>
        <v>—</v>
      </c>
    </row>
    <row r="425" customFormat="false" ht="15" hidden="false" customHeight="true" outlineLevel="0" collapsed="false">
      <c r="A425" s="36" t="s">
        <v>3767</v>
      </c>
      <c r="B425" s="212" t="s">
        <v>2769</v>
      </c>
      <c r="C425" s="36" t="s">
        <v>2512</v>
      </c>
      <c r="D425" s="36" t="s">
        <v>3768</v>
      </c>
      <c r="E425" s="19" t="s">
        <v>3769</v>
      </c>
      <c r="F425" s="212" t="s">
        <v>346</v>
      </c>
      <c r="G425" s="212" t="s">
        <v>3516</v>
      </c>
      <c r="H425" s="36" t="s">
        <v>585</v>
      </c>
      <c r="I425" s="6" t="s">
        <v>585</v>
      </c>
      <c r="J425" s="36" t="s">
        <v>585</v>
      </c>
      <c r="K425" s="212"/>
      <c r="L425" s="212"/>
      <c r="M425" s="36" t="s">
        <v>585</v>
      </c>
      <c r="N425" s="19" t="s">
        <v>3764</v>
      </c>
      <c r="O425" s="6" t="s">
        <v>585</v>
      </c>
      <c r="P425" s="36" t="s">
        <v>585</v>
      </c>
      <c r="Q425" s="184" t="s">
        <v>585</v>
      </c>
      <c r="R425" s="36" t="s">
        <v>585</v>
      </c>
      <c r="S425" s="35" t="str">
        <f aca="false">IF(ISNUMBER($AF425),INDEX(IDX_SrcStat,$AF425),"—")</f>
        <v>—</v>
      </c>
      <c r="T425" s="35" t="str">
        <f aca="false">IF(ISNUMBER($AF425),INDEX(IDX_SrcGrade,$AF425),"—")</f>
        <v>—</v>
      </c>
      <c r="U425" s="36" t="s">
        <v>585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5" t="str">
        <f aca="false">IF(OR($H425="—",$H425=""),"—",MATCH($H425,IDX_SrcID,0))</f>
        <v>—</v>
      </c>
    </row>
    <row r="426" customFormat="false" ht="15" hidden="false" customHeight="true" outlineLevel="0" collapsed="false">
      <c r="A426" s="36" t="s">
        <v>3770</v>
      </c>
      <c r="B426" s="212" t="s">
        <v>2769</v>
      </c>
      <c r="C426" s="36" t="s">
        <v>2512</v>
      </c>
      <c r="D426" s="36" t="s">
        <v>3771</v>
      </c>
      <c r="E426" s="19" t="s">
        <v>717</v>
      </c>
      <c r="F426" s="212" t="s">
        <v>346</v>
      </c>
      <c r="G426" s="212" t="s">
        <v>3516</v>
      </c>
      <c r="H426" s="36" t="s">
        <v>585</v>
      </c>
      <c r="I426" s="6" t="s">
        <v>585</v>
      </c>
      <c r="J426" s="36" t="s">
        <v>585</v>
      </c>
      <c r="K426" s="212"/>
      <c r="L426" s="212"/>
      <c r="M426" s="36" t="s">
        <v>585</v>
      </c>
      <c r="N426" s="19" t="s">
        <v>3764</v>
      </c>
      <c r="O426" s="6" t="s">
        <v>585</v>
      </c>
      <c r="P426" s="36" t="s">
        <v>585</v>
      </c>
      <c r="Q426" s="184" t="s">
        <v>585</v>
      </c>
      <c r="R426" s="36" t="s">
        <v>585</v>
      </c>
      <c r="S426" s="35" t="str">
        <f aca="false">IF(ISNUMBER($AF426),INDEX(IDX_SrcStat,$AF426),"—")</f>
        <v>—</v>
      </c>
      <c r="T426" s="35" t="str">
        <f aca="false">IF(ISNUMBER($AF426),INDEX(IDX_SrcGrade,$AF426),"—")</f>
        <v>—</v>
      </c>
      <c r="U426" s="36" t="s">
        <v>585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5" t="str">
        <f aca="false">IF(OR($H426="—",$H426=""),"—",MATCH($H426,IDX_SrcID,0))</f>
        <v>—</v>
      </c>
    </row>
    <row r="427" customFormat="false" ht="15" hidden="false" customHeight="true" outlineLevel="0" collapsed="false">
      <c r="A427" s="36" t="s">
        <v>3772</v>
      </c>
      <c r="B427" s="212" t="s">
        <v>2769</v>
      </c>
      <c r="C427" s="36" t="s">
        <v>2512</v>
      </c>
      <c r="D427" s="36" t="s">
        <v>3773</v>
      </c>
      <c r="E427" s="19" t="s">
        <v>331</v>
      </c>
      <c r="F427" s="212" t="s">
        <v>346</v>
      </c>
      <c r="G427" s="212" t="s">
        <v>3516</v>
      </c>
      <c r="H427" s="36" t="s">
        <v>585</v>
      </c>
      <c r="I427" s="6" t="s">
        <v>585</v>
      </c>
      <c r="J427" s="36" t="s">
        <v>585</v>
      </c>
      <c r="K427" s="212"/>
      <c r="L427" s="212"/>
      <c r="M427" s="36" t="s">
        <v>585</v>
      </c>
      <c r="N427" s="19" t="s">
        <v>3764</v>
      </c>
      <c r="O427" s="6" t="s">
        <v>585</v>
      </c>
      <c r="P427" s="36" t="s">
        <v>585</v>
      </c>
      <c r="Q427" s="184" t="s">
        <v>585</v>
      </c>
      <c r="R427" s="36" t="s">
        <v>585</v>
      </c>
      <c r="S427" s="35" t="str">
        <f aca="false">IF(ISNUMBER($AF427),INDEX(IDX_SrcStat,$AF427),"—")</f>
        <v>—</v>
      </c>
      <c r="T427" s="35" t="str">
        <f aca="false">IF(ISNUMBER($AF427),INDEX(IDX_SrcGrade,$AF427),"—")</f>
        <v>—</v>
      </c>
      <c r="U427" s="36" t="s">
        <v>585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5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6" t="s">
        <v>3774</v>
      </c>
      <c r="B428" s="212" t="s">
        <v>2769</v>
      </c>
      <c r="C428" s="36" t="s">
        <v>2512</v>
      </c>
      <c r="D428" s="36" t="s">
        <v>3775</v>
      </c>
      <c r="E428" s="6" t="s">
        <v>720</v>
      </c>
      <c r="F428" s="212" t="s">
        <v>346</v>
      </c>
      <c r="G428" s="212" t="s">
        <v>3516</v>
      </c>
      <c r="H428" s="36" t="s">
        <v>585</v>
      </c>
      <c r="I428" s="6" t="s">
        <v>585</v>
      </c>
      <c r="J428" s="36" t="s">
        <v>585</v>
      </c>
      <c r="K428" s="212"/>
      <c r="L428" s="212"/>
      <c r="M428" s="36" t="s">
        <v>585</v>
      </c>
      <c r="N428" s="19" t="s">
        <v>3764</v>
      </c>
      <c r="O428" s="6" t="s">
        <v>585</v>
      </c>
      <c r="P428" s="36" t="s">
        <v>585</v>
      </c>
      <c r="Q428" s="184" t="s">
        <v>585</v>
      </c>
      <c r="R428" s="36" t="s">
        <v>585</v>
      </c>
      <c r="S428" s="35" t="str">
        <f aca="false">IF(ISNUMBER($AF428),INDEX(IDX_SrcStat,$AF428),"—")</f>
        <v>—</v>
      </c>
      <c r="T428" s="35" t="str">
        <f aca="false">IF(ISNUMBER($AF428),INDEX(IDX_SrcGrade,$AF428),"—")</f>
        <v>—</v>
      </c>
      <c r="U428" s="36" t="s">
        <v>585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5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6" t="s">
        <v>3776</v>
      </c>
      <c r="B429" s="212" t="s">
        <v>2769</v>
      </c>
      <c r="C429" s="36" t="s">
        <v>2512</v>
      </c>
      <c r="D429" s="36" t="s">
        <v>3777</v>
      </c>
      <c r="E429" s="19" t="s">
        <v>3778</v>
      </c>
      <c r="F429" s="212" t="s">
        <v>346</v>
      </c>
      <c r="G429" s="212" t="s">
        <v>3516</v>
      </c>
      <c r="H429" s="36" t="s">
        <v>585</v>
      </c>
      <c r="I429" s="6" t="s">
        <v>585</v>
      </c>
      <c r="J429" s="36" t="s">
        <v>585</v>
      </c>
      <c r="K429" s="212"/>
      <c r="L429" s="212"/>
      <c r="M429" s="36" t="s">
        <v>585</v>
      </c>
      <c r="N429" s="19" t="s">
        <v>3764</v>
      </c>
      <c r="O429" s="6" t="s">
        <v>585</v>
      </c>
      <c r="P429" s="36" t="s">
        <v>585</v>
      </c>
      <c r="Q429" s="184" t="s">
        <v>585</v>
      </c>
      <c r="R429" s="36" t="s">
        <v>585</v>
      </c>
      <c r="S429" s="35" t="str">
        <f aca="false">IF(ISNUMBER($AF429),INDEX(IDX_SrcStat,$AF429),"—")</f>
        <v>—</v>
      </c>
      <c r="T429" s="35" t="str">
        <f aca="false">IF(ISNUMBER($AF429),INDEX(IDX_SrcGrade,$AF429),"—")</f>
        <v>—</v>
      </c>
      <c r="U429" s="36" t="s">
        <v>585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5" t="str">
        <f aca="false">IF(OR($H429="—",$H429=""),"—",MATCH($H429,IDX_SrcID,0))</f>
        <v>—</v>
      </c>
    </row>
    <row r="430" customFormat="false" ht="15" hidden="false" customHeight="true" outlineLevel="0" collapsed="false">
      <c r="A430" s="36" t="s">
        <v>3779</v>
      </c>
      <c r="B430" s="212" t="s">
        <v>2769</v>
      </c>
      <c r="C430" s="36" t="s">
        <v>3780</v>
      </c>
      <c r="D430" s="36" t="s">
        <v>3754</v>
      </c>
      <c r="E430" s="19" t="s">
        <v>417</v>
      </c>
      <c r="F430" s="212" t="s">
        <v>3515</v>
      </c>
      <c r="G430" s="212" t="s">
        <v>3516</v>
      </c>
      <c r="H430" s="36" t="s">
        <v>585</v>
      </c>
      <c r="I430" s="6" t="s">
        <v>585</v>
      </c>
      <c r="J430" s="36" t="s">
        <v>585</v>
      </c>
      <c r="K430" s="212"/>
      <c r="L430" s="212"/>
      <c r="M430" s="36" t="s">
        <v>585</v>
      </c>
      <c r="N430" s="19" t="s">
        <v>3755</v>
      </c>
      <c r="O430" s="6" t="s">
        <v>585</v>
      </c>
      <c r="P430" s="36" t="s">
        <v>585</v>
      </c>
      <c r="Q430" s="184" t="s">
        <v>585</v>
      </c>
      <c r="R430" s="36" t="s">
        <v>585</v>
      </c>
      <c r="S430" s="35" t="str">
        <f aca="false">IF(ISNUMBER($AF430),INDEX(IDX_SrcStat,$AF430),"—")</f>
        <v>—</v>
      </c>
      <c r="T430" s="35" t="str">
        <f aca="false">IF(ISNUMBER($AF430),INDEX(IDX_SrcGrade,$AF430),"—")</f>
        <v>—</v>
      </c>
      <c r="U430" s="36" t="s">
        <v>585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5" t="str">
        <f aca="false">IF(OR($H430="—",$H430=""),"—",MATCH($H430,IDX_SrcID,0))</f>
        <v>—</v>
      </c>
    </row>
    <row r="431" customFormat="false" ht="15" hidden="false" customHeight="true" outlineLevel="0" collapsed="false">
      <c r="A431" s="36" t="s">
        <v>3781</v>
      </c>
      <c r="B431" s="212" t="s">
        <v>3782</v>
      </c>
      <c r="C431" s="36" t="s">
        <v>3783</v>
      </c>
      <c r="D431" s="36" t="s">
        <v>3071</v>
      </c>
      <c r="E431" s="19" t="s">
        <v>3784</v>
      </c>
      <c r="F431" s="212" t="s">
        <v>296</v>
      </c>
      <c r="G431" s="212" t="s">
        <v>2771</v>
      </c>
      <c r="H431" s="36" t="s">
        <v>3785</v>
      </c>
      <c r="I431" s="19" t="s">
        <v>2806</v>
      </c>
      <c r="J431" s="36" t="s">
        <v>585</v>
      </c>
      <c r="K431" s="212"/>
      <c r="L431" s="212"/>
      <c r="M431" s="36" t="s">
        <v>585</v>
      </c>
      <c r="N431" s="19" t="s">
        <v>2904</v>
      </c>
      <c r="O431" s="6" t="s">
        <v>585</v>
      </c>
      <c r="P431" s="212" t="s">
        <v>1114</v>
      </c>
      <c r="Q431" s="177" t="n">
        <f aca="false">Train_In!C25</f>
        <v>32</v>
      </c>
      <c r="R431" s="184" t="n">
        <f aca="false">SRC_MOD_029</f>
        <v>32</v>
      </c>
      <c r="S431" s="35" t="str">
        <f aca="false">IF(ISNUMBER($AF431),INDEX(IDX_SrcStat,$AF431),"—")</f>
        <v>Active</v>
      </c>
      <c r="T431" s="35" t="n">
        <f aca="false">IF(ISNUMBER($AF431),INDEX(IDX_SrcGrade,$AF431),"—")</f>
        <v>1</v>
      </c>
      <c r="U431" s="35" t="s">
        <v>2808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5" t="n">
        <f aca="false">IF(OR($H431="—",$H431=""),"—",MATCH($H431,IDX_SrcID,0))</f>
        <v>206</v>
      </c>
    </row>
    <row r="432" customFormat="false" ht="15" hidden="false" customHeight="true" outlineLevel="0" collapsed="false">
      <c r="A432" s="36" t="s">
        <v>3786</v>
      </c>
      <c r="B432" s="212" t="s">
        <v>3782</v>
      </c>
      <c r="C432" s="36" t="s">
        <v>3783</v>
      </c>
      <c r="D432" s="36" t="s">
        <v>3074</v>
      </c>
      <c r="E432" s="19" t="s">
        <v>3784</v>
      </c>
      <c r="F432" s="212" t="s">
        <v>296</v>
      </c>
      <c r="G432" s="212" t="s">
        <v>2771</v>
      </c>
      <c r="H432" s="36" t="s">
        <v>3787</v>
      </c>
      <c r="I432" s="19" t="s">
        <v>2806</v>
      </c>
      <c r="J432" s="36" t="s">
        <v>585</v>
      </c>
      <c r="K432" s="212"/>
      <c r="L432" s="212"/>
      <c r="M432" s="36" t="s">
        <v>585</v>
      </c>
      <c r="N432" s="19" t="s">
        <v>2904</v>
      </c>
      <c r="O432" s="6" t="s">
        <v>585</v>
      </c>
      <c r="P432" s="212" t="s">
        <v>1114</v>
      </c>
      <c r="Q432" s="177" t="n">
        <f aca="false">Train_In!D25</f>
        <v>33</v>
      </c>
      <c r="R432" s="184" t="n">
        <f aca="false">SRC_MOD_030</f>
        <v>33</v>
      </c>
      <c r="S432" s="35" t="str">
        <f aca="false">IF(ISNUMBER($AF432),INDEX(IDX_SrcStat,$AF432),"—")</f>
        <v>Active</v>
      </c>
      <c r="T432" s="35" t="n">
        <f aca="false">IF(ISNUMBER($AF432),INDEX(IDX_SrcGrade,$AF432),"—")</f>
        <v>1</v>
      </c>
      <c r="U432" s="35" t="s">
        <v>2808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5" t="n">
        <f aca="false">IF(OR($H432="—",$H432=""),"—",MATCH($H432,IDX_SrcID,0))</f>
        <v>207</v>
      </c>
    </row>
    <row r="433" customFormat="false" ht="15" hidden="false" customHeight="true" outlineLevel="0" collapsed="false">
      <c r="A433" s="36" t="s">
        <v>3788</v>
      </c>
      <c r="B433" s="212" t="s">
        <v>3782</v>
      </c>
      <c r="C433" s="36" t="s">
        <v>3783</v>
      </c>
      <c r="D433" s="36" t="s">
        <v>3087</v>
      </c>
      <c r="E433" s="19" t="s">
        <v>3789</v>
      </c>
      <c r="F433" s="212" t="s">
        <v>296</v>
      </c>
      <c r="G433" s="212" t="s">
        <v>2771</v>
      </c>
      <c r="H433" s="36" t="s">
        <v>3790</v>
      </c>
      <c r="I433" s="19" t="s">
        <v>2806</v>
      </c>
      <c r="J433" s="36" t="s">
        <v>585</v>
      </c>
      <c r="K433" s="212"/>
      <c r="L433" s="212"/>
      <c r="M433" s="36" t="s">
        <v>585</v>
      </c>
      <c r="N433" s="19" t="s">
        <v>2904</v>
      </c>
      <c r="O433" s="6" t="s">
        <v>585</v>
      </c>
      <c r="P433" s="212" t="s">
        <v>2830</v>
      </c>
      <c r="Q433" s="41" t="n">
        <f aca="false">Train_In!C26</f>
        <v>4096</v>
      </c>
      <c r="R433" s="184" t="n">
        <f aca="false">SRC_MOD_031</f>
        <v>4096</v>
      </c>
      <c r="S433" s="35" t="str">
        <f aca="false">IF(ISNUMBER($AF433),INDEX(IDX_SrcStat,$AF433),"—")</f>
        <v>Active</v>
      </c>
      <c r="T433" s="35" t="n">
        <f aca="false">IF(ISNUMBER($AF433),INDEX(IDX_SrcGrade,$AF433),"—")</f>
        <v>1</v>
      </c>
      <c r="U433" s="35" t="s">
        <v>2808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5" t="n">
        <f aca="false">IF(OR($H433="—",$H433=""),"—",MATCH($H433,IDX_SrcID,0))</f>
        <v>208</v>
      </c>
    </row>
    <row r="434" customFormat="false" ht="15" hidden="false" customHeight="true" outlineLevel="0" collapsed="false">
      <c r="A434" s="36" t="s">
        <v>3791</v>
      </c>
      <c r="B434" s="212" t="s">
        <v>3782</v>
      </c>
      <c r="C434" s="36" t="s">
        <v>3783</v>
      </c>
      <c r="D434" s="36" t="s">
        <v>3090</v>
      </c>
      <c r="E434" s="19" t="s">
        <v>3789</v>
      </c>
      <c r="F434" s="212" t="s">
        <v>296</v>
      </c>
      <c r="G434" s="212" t="s">
        <v>2771</v>
      </c>
      <c r="H434" s="36" t="s">
        <v>3790</v>
      </c>
      <c r="I434" s="19" t="s">
        <v>2806</v>
      </c>
      <c r="J434" s="36" t="s">
        <v>585</v>
      </c>
      <c r="K434" s="212"/>
      <c r="L434" s="212"/>
      <c r="M434" s="36" t="s">
        <v>585</v>
      </c>
      <c r="N434" s="19" t="s">
        <v>2904</v>
      </c>
      <c r="O434" s="6" t="s">
        <v>585</v>
      </c>
      <c r="P434" s="212" t="s">
        <v>2830</v>
      </c>
      <c r="Q434" s="41" t="n">
        <f aca="false">Train_In!D26</f>
        <v>4096</v>
      </c>
      <c r="R434" s="184" t="n">
        <f aca="false">SRC_MOD_031</f>
        <v>4096</v>
      </c>
      <c r="S434" s="35" t="str">
        <f aca="false">IF(ISNUMBER($AF434),INDEX(IDX_SrcStat,$AF434),"—")</f>
        <v>Active</v>
      </c>
      <c r="T434" s="35" t="n">
        <f aca="false">IF(ISNUMBER($AF434),INDEX(IDX_SrcGrade,$AF434),"—")</f>
        <v>1</v>
      </c>
      <c r="U434" s="35" t="s">
        <v>2808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5" t="n">
        <f aca="false">IF(OR($H434="—",$H434=""),"—",MATCH($H434,IDX_SrcID,0))</f>
        <v>208</v>
      </c>
    </row>
    <row r="435" customFormat="false" ht="15" hidden="false" customHeight="true" outlineLevel="0" collapsed="false">
      <c r="A435" s="36" t="s">
        <v>3792</v>
      </c>
      <c r="B435" s="212" t="s">
        <v>3782</v>
      </c>
      <c r="C435" s="36" t="s">
        <v>3783</v>
      </c>
      <c r="D435" s="36" t="s">
        <v>3232</v>
      </c>
      <c r="E435" s="6" t="s">
        <v>943</v>
      </c>
      <c r="F435" s="212" t="s">
        <v>296</v>
      </c>
      <c r="G435" s="212" t="s">
        <v>2771</v>
      </c>
      <c r="H435" s="36" t="s">
        <v>3793</v>
      </c>
      <c r="I435" s="19" t="s">
        <v>2806</v>
      </c>
      <c r="J435" s="36" t="s">
        <v>585</v>
      </c>
      <c r="K435" s="212"/>
      <c r="L435" s="212"/>
      <c r="M435" s="36" t="s">
        <v>585</v>
      </c>
      <c r="N435" s="19" t="s">
        <v>2904</v>
      </c>
      <c r="O435" s="6" t="s">
        <v>585</v>
      </c>
      <c r="P435" s="212" t="s">
        <v>2774</v>
      </c>
      <c r="Q435" s="177" t="n">
        <f aca="false">Train_In!C41</f>
        <v>14.8</v>
      </c>
      <c r="R435" s="184" t="n">
        <f aca="false">SRC_MOD_039</f>
        <v>14.8</v>
      </c>
      <c r="S435" s="35" t="str">
        <f aca="false">IF(ISNUMBER($AF435),INDEX(IDX_SrcStat,$AF435),"—")</f>
        <v>Active</v>
      </c>
      <c r="T435" s="35" t="n">
        <f aca="false">IF(ISNUMBER($AF435),INDEX(IDX_SrcGrade,$AF435),"—")</f>
        <v>3</v>
      </c>
      <c r="U435" s="35" t="s">
        <v>2808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5" t="n">
        <f aca="false">IF(OR($H435="—",$H435=""),"—",MATCH($H435,IDX_SrcID,0))</f>
        <v>216</v>
      </c>
    </row>
    <row r="436" customFormat="false" ht="29.25" hidden="false" customHeight="true" outlineLevel="0" collapsed="false">
      <c r="A436" s="36" t="s">
        <v>3794</v>
      </c>
      <c r="B436" s="212" t="s">
        <v>3782</v>
      </c>
      <c r="C436" s="36" t="s">
        <v>3783</v>
      </c>
      <c r="D436" s="36" t="s">
        <v>3795</v>
      </c>
      <c r="E436" s="6" t="s">
        <v>945</v>
      </c>
      <c r="F436" s="212" t="s">
        <v>296</v>
      </c>
      <c r="G436" s="212" t="s">
        <v>2771</v>
      </c>
      <c r="H436" s="36" t="s">
        <v>3796</v>
      </c>
      <c r="I436" s="19" t="s">
        <v>2806</v>
      </c>
      <c r="J436" s="36" t="s">
        <v>585</v>
      </c>
      <c r="K436" s="212"/>
      <c r="L436" s="212"/>
      <c r="M436" s="36" t="s">
        <v>585</v>
      </c>
      <c r="N436" s="19" t="s">
        <v>2904</v>
      </c>
      <c r="O436" s="6" t="s">
        <v>585</v>
      </c>
      <c r="P436" s="212" t="s">
        <v>2774</v>
      </c>
      <c r="Q436" s="38" t="n">
        <f aca="false">Train_In!C42</f>
        <v>2.664</v>
      </c>
      <c r="R436" s="184" t="n">
        <f aca="false">SRC_MOD_040</f>
        <v>2.664</v>
      </c>
      <c r="S436" s="35" t="str">
        <f aca="false">IF(ISNUMBER($AF436),INDEX(IDX_SrcStat,$AF436),"—")</f>
        <v>Active</v>
      </c>
      <c r="T436" s="35" t="n">
        <f aca="false">IF(ISNUMBER($AF436),INDEX(IDX_SrcGrade,$AF436),"—")</f>
        <v>3</v>
      </c>
      <c r="U436" s="35" t="s">
        <v>2808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5" t="n">
        <f aca="false">IF(OR($H436="—",$H436=""),"—",MATCH($H436,IDX_SrcID,0))</f>
        <v>217</v>
      </c>
    </row>
    <row r="437" customFormat="false" ht="15" hidden="false" customHeight="true" outlineLevel="0" collapsed="false">
      <c r="A437" s="36" t="s">
        <v>3797</v>
      </c>
      <c r="B437" s="212" t="s">
        <v>3782</v>
      </c>
      <c r="C437" s="36" t="s">
        <v>3783</v>
      </c>
      <c r="D437" s="36" t="s">
        <v>3798</v>
      </c>
      <c r="E437" s="6" t="s">
        <v>948</v>
      </c>
      <c r="F437" s="212" t="s">
        <v>296</v>
      </c>
      <c r="G437" s="212" t="s">
        <v>2771</v>
      </c>
      <c r="H437" s="36" t="s">
        <v>3799</v>
      </c>
      <c r="I437" s="19" t="s">
        <v>2806</v>
      </c>
      <c r="J437" s="36" t="s">
        <v>585</v>
      </c>
      <c r="K437" s="212"/>
      <c r="L437" s="212"/>
      <c r="M437" s="36" t="s">
        <v>585</v>
      </c>
      <c r="N437" s="19" t="s">
        <v>2904</v>
      </c>
      <c r="O437" s="6" t="s">
        <v>585</v>
      </c>
      <c r="P437" s="212" t="s">
        <v>2774</v>
      </c>
      <c r="Q437" s="41" t="n">
        <f aca="false">Train_In!C43</f>
        <v>4096</v>
      </c>
      <c r="R437" s="184" t="n">
        <f aca="false">SRC_MOD_042</f>
        <v>4096</v>
      </c>
      <c r="S437" s="35" t="str">
        <f aca="false">IF(ISNUMBER($AF437),INDEX(IDX_SrcStat,$AF437),"—")</f>
        <v>Active</v>
      </c>
      <c r="T437" s="35" t="n">
        <f aca="false">IF(ISNUMBER($AF437),INDEX(IDX_SrcGrade,$AF437),"—")</f>
        <v>3</v>
      </c>
      <c r="U437" s="35" t="s">
        <v>2808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5" t="n">
        <f aca="false">IF(OR($H437="—",$H437=""),"—",MATCH($H437,IDX_SrcID,0))</f>
        <v>219</v>
      </c>
    </row>
    <row r="438" customFormat="false" ht="15" hidden="false" customHeight="true" outlineLevel="0" collapsed="false">
      <c r="A438" s="36" t="s">
        <v>3800</v>
      </c>
      <c r="B438" s="212" t="s">
        <v>3782</v>
      </c>
      <c r="C438" s="36" t="s">
        <v>3783</v>
      </c>
      <c r="D438" s="36" t="s">
        <v>3801</v>
      </c>
      <c r="E438" s="6" t="s">
        <v>952</v>
      </c>
      <c r="F438" s="212" t="s">
        <v>296</v>
      </c>
      <c r="G438" s="212" t="s">
        <v>2771</v>
      </c>
      <c r="H438" s="36" t="s">
        <v>2251</v>
      </c>
      <c r="I438" s="19" t="s">
        <v>2806</v>
      </c>
      <c r="J438" s="36" t="s">
        <v>585</v>
      </c>
      <c r="K438" s="212"/>
      <c r="L438" s="212"/>
      <c r="M438" s="36" t="s">
        <v>585</v>
      </c>
      <c r="N438" s="19" t="s">
        <v>2904</v>
      </c>
      <c r="O438" s="6" t="s">
        <v>585</v>
      </c>
      <c r="P438" s="212" t="s">
        <v>2774</v>
      </c>
      <c r="Q438" s="181" t="n">
        <f aca="false">Train_In!C45</f>
        <v>1</v>
      </c>
      <c r="R438" s="184" t="n">
        <f aca="false">SRC_MOD_036</f>
        <v>1</v>
      </c>
      <c r="S438" s="35" t="str">
        <f aca="false">IF(ISNUMBER($AF438),INDEX(IDX_SrcStat,$AF438),"—")</f>
        <v>Active</v>
      </c>
      <c r="T438" s="35" t="n">
        <f aca="false">IF(ISNUMBER($AF438),INDEX(IDX_SrcGrade,$AF438),"—")</f>
        <v>1</v>
      </c>
      <c r="U438" s="35" t="s">
        <v>2808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5" t="n">
        <f aca="false">IF(OR($H438="—",$H438=""),"—",MATCH($H438,IDX_SrcID,0))</f>
        <v>213</v>
      </c>
    </row>
    <row r="439" customFormat="false" ht="29.25" hidden="false" customHeight="true" outlineLevel="0" collapsed="false">
      <c r="A439" s="36" t="s">
        <v>3802</v>
      </c>
      <c r="B439" s="212" t="s">
        <v>3782</v>
      </c>
      <c r="C439" s="36" t="s">
        <v>24</v>
      </c>
      <c r="D439" s="36" t="s">
        <v>3803</v>
      </c>
      <c r="E439" s="6" t="s">
        <v>632</v>
      </c>
      <c r="F439" s="212" t="s">
        <v>296</v>
      </c>
      <c r="G439" s="212" t="s">
        <v>2771</v>
      </c>
      <c r="H439" s="36" t="s">
        <v>3804</v>
      </c>
      <c r="I439" s="19" t="s">
        <v>3805</v>
      </c>
      <c r="J439" s="36" t="s">
        <v>585</v>
      </c>
      <c r="K439" s="212"/>
      <c r="L439" s="212"/>
      <c r="M439" s="36" t="s">
        <v>585</v>
      </c>
      <c r="N439" s="6" t="s">
        <v>3806</v>
      </c>
      <c r="O439" s="6" t="s">
        <v>585</v>
      </c>
      <c r="P439" s="212" t="s">
        <v>2774</v>
      </c>
      <c r="Q439" s="182" t="n">
        <f aca="false">Tech_Registry!J14</f>
        <v>4</v>
      </c>
      <c r="R439" s="184" t="n">
        <f aca="false">SRC_MOD_043</f>
        <v>1</v>
      </c>
      <c r="S439" s="35" t="str">
        <f aca="false">IF(ISNUMBER($AF439),INDEX(IDX_SrcStat,$AF439),"—")</f>
        <v>Active</v>
      </c>
      <c r="T439" s="35" t="n">
        <f aca="false">IF(ISNUMBER($AF439),INDEX(IDX_SrcGrade,$AF439),"—")</f>
        <v>1</v>
      </c>
      <c r="U439" s="35" t="s">
        <v>2808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5" t="n">
        <f aca="false">IF(OR($H439="—",$H439=""),"—",MATCH($H439,IDX_SrcID,0))</f>
        <v>220</v>
      </c>
    </row>
    <row r="440" customFormat="false" ht="43.5" hidden="false" customHeight="true" outlineLevel="0" collapsed="false">
      <c r="A440" s="36" t="s">
        <v>3807</v>
      </c>
      <c r="B440" s="212" t="s">
        <v>2769</v>
      </c>
      <c r="C440" s="36" t="s">
        <v>3247</v>
      </c>
      <c r="D440" s="36" t="s">
        <v>3167</v>
      </c>
      <c r="E440" s="19" t="s">
        <v>3808</v>
      </c>
      <c r="F440" s="36" t="s">
        <v>78</v>
      </c>
      <c r="G440" s="212" t="s">
        <v>2771</v>
      </c>
      <c r="H440" s="36" t="s">
        <v>585</v>
      </c>
      <c r="I440" s="6" t="s">
        <v>585</v>
      </c>
      <c r="J440" s="36" t="s">
        <v>585</v>
      </c>
      <c r="K440" s="212"/>
      <c r="L440" s="212"/>
      <c r="M440" s="212" t="s">
        <v>2708</v>
      </c>
      <c r="N440" s="19" t="s">
        <v>3809</v>
      </c>
      <c r="O440" s="6" t="s">
        <v>585</v>
      </c>
      <c r="P440" s="212" t="s">
        <v>2774</v>
      </c>
      <c r="Q440" s="41" t="n">
        <f aca="false">Arch!C32</f>
        <v>128000</v>
      </c>
      <c r="R440" s="36" t="s">
        <v>585</v>
      </c>
      <c r="S440" s="35" t="str">
        <f aca="false">IF(ISNUMBER($AF440),INDEX(IDX_SrcStat,$AF440),"—")</f>
        <v>—</v>
      </c>
      <c r="T440" s="35" t="str">
        <f aca="false">IF(ISNUMBER($AF440),INDEX(IDX_SrcGrade,$AF440),"—")</f>
        <v>—</v>
      </c>
      <c r="U440" s="35" t="s">
        <v>2775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5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6" t="s">
        <v>3810</v>
      </c>
      <c r="B441" s="212" t="s">
        <v>3811</v>
      </c>
      <c r="C441" s="36" t="s">
        <v>3812</v>
      </c>
      <c r="D441" s="36" t="s">
        <v>3813</v>
      </c>
      <c r="E441" s="19" t="s">
        <v>3814</v>
      </c>
      <c r="F441" s="212" t="s">
        <v>346</v>
      </c>
      <c r="G441" s="212" t="s">
        <v>3516</v>
      </c>
      <c r="H441" s="36" t="s">
        <v>585</v>
      </c>
      <c r="I441" s="6" t="s">
        <v>585</v>
      </c>
      <c r="J441" s="36" t="s">
        <v>585</v>
      </c>
      <c r="K441" s="212"/>
      <c r="L441" s="212"/>
      <c r="M441" s="36" t="s">
        <v>585</v>
      </c>
      <c r="N441" s="6" t="s">
        <v>3815</v>
      </c>
      <c r="O441" s="6" t="s">
        <v>585</v>
      </c>
      <c r="P441" s="36" t="s">
        <v>585</v>
      </c>
      <c r="Q441" s="184" t="s">
        <v>585</v>
      </c>
      <c r="R441" s="36" t="s">
        <v>585</v>
      </c>
      <c r="S441" s="35" t="str">
        <f aca="false">IF(ISNUMBER($AF441),INDEX(IDX_SrcStat,$AF441),"—")</f>
        <v>—</v>
      </c>
      <c r="T441" s="35" t="str">
        <f aca="false">IF(ISNUMBER($AF441),INDEX(IDX_SrcGrade,$AF441),"—")</f>
        <v>—</v>
      </c>
      <c r="U441" s="36" t="s">
        <v>585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5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6" t="s">
        <v>3816</v>
      </c>
      <c r="B442" s="212" t="s">
        <v>3811</v>
      </c>
      <c r="C442" s="36" t="s">
        <v>3812</v>
      </c>
      <c r="D442" s="36" t="s">
        <v>3817</v>
      </c>
      <c r="E442" s="19" t="s">
        <v>3818</v>
      </c>
      <c r="F442" s="212" t="s">
        <v>346</v>
      </c>
      <c r="G442" s="212" t="s">
        <v>3516</v>
      </c>
      <c r="H442" s="36" t="s">
        <v>585</v>
      </c>
      <c r="I442" s="6" t="s">
        <v>585</v>
      </c>
      <c r="J442" s="36" t="s">
        <v>585</v>
      </c>
      <c r="K442" s="212"/>
      <c r="L442" s="212"/>
      <c r="M442" s="36" t="s">
        <v>585</v>
      </c>
      <c r="N442" s="6" t="s">
        <v>3819</v>
      </c>
      <c r="O442" s="6" t="s">
        <v>585</v>
      </c>
      <c r="P442" s="36" t="s">
        <v>585</v>
      </c>
      <c r="Q442" s="184" t="s">
        <v>585</v>
      </c>
      <c r="R442" s="36" t="s">
        <v>585</v>
      </c>
      <c r="S442" s="35" t="str">
        <f aca="false">IF(ISNUMBER($AF442),INDEX(IDX_SrcStat,$AF442),"—")</f>
        <v>—</v>
      </c>
      <c r="T442" s="35" t="str">
        <f aca="false">IF(ISNUMBER($AF442),INDEX(IDX_SrcGrade,$AF442),"—")</f>
        <v>—</v>
      </c>
      <c r="U442" s="36" t="s">
        <v>585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5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6" t="s">
        <v>3820</v>
      </c>
      <c r="B443" s="212" t="s">
        <v>3811</v>
      </c>
      <c r="C443" s="36" t="s">
        <v>3821</v>
      </c>
      <c r="D443" s="36" t="s">
        <v>3822</v>
      </c>
      <c r="E443" s="6" t="s">
        <v>3823</v>
      </c>
      <c r="F443" s="212" t="s">
        <v>346</v>
      </c>
      <c r="G443" s="212" t="s">
        <v>2771</v>
      </c>
      <c r="H443" s="36" t="s">
        <v>585</v>
      </c>
      <c r="I443" s="6" t="s">
        <v>585</v>
      </c>
      <c r="J443" s="36" t="s">
        <v>585</v>
      </c>
      <c r="K443" s="212"/>
      <c r="L443" s="212"/>
      <c r="M443" s="36" t="s">
        <v>585</v>
      </c>
      <c r="N443" s="6" t="s">
        <v>3824</v>
      </c>
      <c r="O443" s="6" t="s">
        <v>585</v>
      </c>
      <c r="P443" s="212" t="s">
        <v>2774</v>
      </c>
      <c r="Q443" s="174" t="n">
        <f aca="false">Sens_Rev!B18</f>
        <v>0.5</v>
      </c>
      <c r="R443" s="36" t="s">
        <v>585</v>
      </c>
      <c r="S443" s="35" t="str">
        <f aca="false">IF(ISNUMBER($AF443),INDEX(IDX_SrcStat,$AF443),"—")</f>
        <v>—</v>
      </c>
      <c r="T443" s="35" t="str">
        <f aca="false">IF(ISNUMBER($AF443),INDEX(IDX_SrcGrade,$AF443),"—")</f>
        <v>—</v>
      </c>
      <c r="U443" s="35" t="s">
        <v>2775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5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6" t="s">
        <v>3825</v>
      </c>
      <c r="B444" s="212" t="s">
        <v>3811</v>
      </c>
      <c r="C444" s="36" t="s">
        <v>24</v>
      </c>
      <c r="D444" s="36" t="s">
        <v>3826</v>
      </c>
      <c r="E444" s="19" t="s">
        <v>3827</v>
      </c>
      <c r="F444" s="36" t="s">
        <v>70</v>
      </c>
      <c r="G444" s="212" t="s">
        <v>2771</v>
      </c>
      <c r="H444" s="36" t="s">
        <v>585</v>
      </c>
      <c r="I444" s="6" t="s">
        <v>585</v>
      </c>
      <c r="J444" s="36" t="s">
        <v>3803</v>
      </c>
      <c r="K444" s="212"/>
      <c r="L444" s="212"/>
      <c r="M444" s="36" t="s">
        <v>585</v>
      </c>
      <c r="N444" s="6" t="s">
        <v>3828</v>
      </c>
      <c r="O444" s="6" t="s">
        <v>585</v>
      </c>
      <c r="P444" s="212" t="s">
        <v>2774</v>
      </c>
      <c r="Q444" s="182" t="n">
        <f aca="false">Tech_Registry!J17</f>
        <v>2</v>
      </c>
      <c r="R444" s="36" t="s">
        <v>585</v>
      </c>
      <c r="S444" s="35" t="str">
        <f aca="false">IF(ISNUMBER($AF444),INDEX(IDX_SrcStat,$AF444),"—")</f>
        <v>—</v>
      </c>
      <c r="T444" s="35" t="str">
        <f aca="false">IF(ISNUMBER($AF444),INDEX(IDX_SrcGrade,$AF444),"—")</f>
        <v>—</v>
      </c>
      <c r="U444" s="35" t="s">
        <v>2775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5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6" t="s">
        <v>3829</v>
      </c>
      <c r="B445" s="212" t="s">
        <v>3830</v>
      </c>
      <c r="C445" s="36" t="s">
        <v>3831</v>
      </c>
      <c r="D445" s="36" t="s">
        <v>3006</v>
      </c>
      <c r="E445" s="19" t="s">
        <v>3832</v>
      </c>
      <c r="F445" s="36" t="s">
        <v>78</v>
      </c>
      <c r="G445" s="212" t="s">
        <v>63</v>
      </c>
      <c r="H445" s="36" t="s">
        <v>585</v>
      </c>
      <c r="I445" s="6" t="s">
        <v>585</v>
      </c>
      <c r="J445" s="36" t="s">
        <v>585</v>
      </c>
      <c r="K445" s="176" t="n">
        <f aca="false">Cap_In!D12</f>
        <v>0.1</v>
      </c>
      <c r="L445" s="176" t="n">
        <f aca="false">Cap_In!E12</f>
        <v>0.3</v>
      </c>
      <c r="M445" s="36" t="s">
        <v>585</v>
      </c>
      <c r="N445" s="19" t="s">
        <v>3833</v>
      </c>
      <c r="O445" s="6" t="s">
        <v>585</v>
      </c>
      <c r="P445" s="212" t="s">
        <v>2830</v>
      </c>
      <c r="Q445" s="176" t="n">
        <f aca="false">Cap_In!C12</f>
        <v>0.2</v>
      </c>
      <c r="R445" s="36" t="s">
        <v>585</v>
      </c>
      <c r="S445" s="35" t="str">
        <f aca="false">IF(ISNUMBER($AF445),INDEX(IDX_SrcStat,$AF445),"—")</f>
        <v>—</v>
      </c>
      <c r="T445" s="35" t="str">
        <f aca="false">IF(ISNUMBER($AF445),INDEX(IDX_SrcGrade,$AF445),"—")</f>
        <v>—</v>
      </c>
      <c r="U445" s="35" t="s">
        <v>2775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5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6" t="s">
        <v>3834</v>
      </c>
      <c r="B446" s="212" t="s">
        <v>3830</v>
      </c>
      <c r="C446" s="36" t="s">
        <v>3831</v>
      </c>
      <c r="D446" s="36" t="s">
        <v>3835</v>
      </c>
      <c r="E446" s="19" t="s">
        <v>3832</v>
      </c>
      <c r="F446" s="36" t="s">
        <v>78</v>
      </c>
      <c r="G446" s="212" t="s">
        <v>3836</v>
      </c>
      <c r="H446" s="36" t="s">
        <v>585</v>
      </c>
      <c r="I446" s="6" t="s">
        <v>585</v>
      </c>
      <c r="J446" s="36" t="s">
        <v>585</v>
      </c>
      <c r="K446" s="212"/>
      <c r="L446" s="212"/>
      <c r="M446" s="36" t="s">
        <v>3837</v>
      </c>
      <c r="N446" s="19" t="s">
        <v>3833</v>
      </c>
      <c r="O446" s="6" t="s">
        <v>585</v>
      </c>
      <c r="P446" s="212" t="s">
        <v>2830</v>
      </c>
      <c r="Q446" s="184" t="s">
        <v>585</v>
      </c>
      <c r="R446" s="36" t="s">
        <v>585</v>
      </c>
      <c r="S446" s="35" t="str">
        <f aca="false">IF(ISNUMBER($AF446),INDEX(IDX_SrcStat,$AF446),"—")</f>
        <v>—</v>
      </c>
      <c r="T446" s="35" t="str">
        <f aca="false">IF(ISNUMBER($AF446),INDEX(IDX_SrcGrade,$AF446),"—")</f>
        <v>—</v>
      </c>
      <c r="U446" s="36" t="s">
        <v>585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5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6" t="s">
        <v>3838</v>
      </c>
      <c r="B447" s="212" t="s">
        <v>3830</v>
      </c>
      <c r="C447" s="36" t="s">
        <v>3831</v>
      </c>
      <c r="D447" s="36" t="s">
        <v>3024</v>
      </c>
      <c r="E447" s="19" t="s">
        <v>3839</v>
      </c>
      <c r="F447" s="36" t="s">
        <v>78</v>
      </c>
      <c r="G447" s="212" t="s">
        <v>63</v>
      </c>
      <c r="H447" s="36" t="s">
        <v>585</v>
      </c>
      <c r="I447" s="6" t="s">
        <v>585</v>
      </c>
      <c r="J447" s="36" t="s">
        <v>585</v>
      </c>
      <c r="K447" s="176" t="n">
        <f aca="false">Cap_In!D13</f>
        <v>0.3</v>
      </c>
      <c r="L447" s="176" t="n">
        <f aca="false">Cap_In!E13</f>
        <v>0.75</v>
      </c>
      <c r="M447" s="36" t="s">
        <v>585</v>
      </c>
      <c r="N447" s="19" t="s">
        <v>3840</v>
      </c>
      <c r="O447" s="6" t="s">
        <v>585</v>
      </c>
      <c r="P447" s="212" t="s">
        <v>2830</v>
      </c>
      <c r="Q447" s="176" t="n">
        <f aca="false">Cap_In!C13</f>
        <v>0.55</v>
      </c>
      <c r="R447" s="36" t="s">
        <v>585</v>
      </c>
      <c r="S447" s="35" t="str">
        <f aca="false">IF(ISNUMBER($AF447),INDEX(IDX_SrcStat,$AF447),"—")</f>
        <v>—</v>
      </c>
      <c r="T447" s="35" t="str">
        <f aca="false">IF(ISNUMBER($AF447),INDEX(IDX_SrcGrade,$AF447),"—")</f>
        <v>—</v>
      </c>
      <c r="U447" s="35" t="s">
        <v>2775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5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6" t="s">
        <v>3841</v>
      </c>
      <c r="B448" s="212" t="s">
        <v>3830</v>
      </c>
      <c r="C448" s="36" t="s">
        <v>3831</v>
      </c>
      <c r="D448" s="36" t="s">
        <v>3842</v>
      </c>
      <c r="E448" s="19" t="s">
        <v>3839</v>
      </c>
      <c r="F448" s="36" t="s">
        <v>78</v>
      </c>
      <c r="G448" s="212" t="s">
        <v>3836</v>
      </c>
      <c r="H448" s="36" t="s">
        <v>585</v>
      </c>
      <c r="I448" s="6" t="s">
        <v>585</v>
      </c>
      <c r="J448" s="36" t="s">
        <v>585</v>
      </c>
      <c r="K448" s="212"/>
      <c r="L448" s="212"/>
      <c r="M448" s="36" t="s">
        <v>3843</v>
      </c>
      <c r="N448" s="19" t="s">
        <v>3840</v>
      </c>
      <c r="O448" s="6" t="s">
        <v>585</v>
      </c>
      <c r="P448" s="212" t="s">
        <v>2830</v>
      </c>
      <c r="Q448" s="184" t="s">
        <v>585</v>
      </c>
      <c r="R448" s="36" t="s">
        <v>585</v>
      </c>
      <c r="S448" s="35" t="str">
        <f aca="false">IF(ISNUMBER($AF448),INDEX(IDX_SrcStat,$AF448),"—")</f>
        <v>—</v>
      </c>
      <c r="T448" s="35" t="str">
        <f aca="false">IF(ISNUMBER($AF448),INDEX(IDX_SrcGrade,$AF448),"—")</f>
        <v>—</v>
      </c>
      <c r="U448" s="36" t="s">
        <v>585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5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6" t="s">
        <v>3844</v>
      </c>
      <c r="B449" s="212" t="s">
        <v>3830</v>
      </c>
      <c r="C449" s="36" t="s">
        <v>3831</v>
      </c>
      <c r="D449" s="36" t="s">
        <v>3273</v>
      </c>
      <c r="E449" s="19" t="s">
        <v>3845</v>
      </c>
      <c r="F449" s="36" t="s">
        <v>70</v>
      </c>
      <c r="G449" s="212" t="s">
        <v>63</v>
      </c>
      <c r="H449" s="36" t="s">
        <v>585</v>
      </c>
      <c r="I449" s="6" t="s">
        <v>585</v>
      </c>
      <c r="J449" s="36" t="s">
        <v>3846</v>
      </c>
      <c r="K449" s="174" t="n">
        <f aca="false">Cap_In!D14</f>
        <v>0</v>
      </c>
      <c r="L449" s="174" t="n">
        <f aca="false">Cap_In!E14</f>
        <v>0.5</v>
      </c>
      <c r="M449" s="36" t="s">
        <v>585</v>
      </c>
      <c r="N449" s="6" t="s">
        <v>3847</v>
      </c>
      <c r="O449" s="6" t="s">
        <v>585</v>
      </c>
      <c r="P449" s="212" t="s">
        <v>2774</v>
      </c>
      <c r="Q449" s="174" t="n">
        <f aca="false">Cap_In!C14</f>
        <v>0</v>
      </c>
      <c r="R449" s="36" t="s">
        <v>585</v>
      </c>
      <c r="S449" s="35" t="str">
        <f aca="false">IF(ISNUMBER($AF449),INDEX(IDX_SrcStat,$AF449),"—")</f>
        <v>—</v>
      </c>
      <c r="T449" s="35" t="str">
        <f aca="false">IF(ISNUMBER($AF449),INDEX(IDX_SrcGrade,$AF449),"—")</f>
        <v>—</v>
      </c>
      <c r="U449" s="35" t="s">
        <v>2775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5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6" t="s">
        <v>3848</v>
      </c>
      <c r="B450" s="212" t="s">
        <v>3830</v>
      </c>
      <c r="C450" s="36" t="s">
        <v>3831</v>
      </c>
      <c r="D450" s="36" t="s">
        <v>3849</v>
      </c>
      <c r="E450" s="19" t="s">
        <v>3845</v>
      </c>
      <c r="F450" s="36" t="s">
        <v>70</v>
      </c>
      <c r="G450" s="212" t="s">
        <v>3836</v>
      </c>
      <c r="H450" s="36" t="s">
        <v>585</v>
      </c>
      <c r="I450" s="6" t="s">
        <v>585</v>
      </c>
      <c r="J450" s="36" t="s">
        <v>3846</v>
      </c>
      <c r="K450" s="212"/>
      <c r="L450" s="212"/>
      <c r="M450" s="36" t="s">
        <v>3850</v>
      </c>
      <c r="N450" s="6" t="s">
        <v>3847</v>
      </c>
      <c r="O450" s="6" t="s">
        <v>585</v>
      </c>
      <c r="P450" s="212" t="s">
        <v>2774</v>
      </c>
      <c r="Q450" s="184" t="s">
        <v>585</v>
      </c>
      <c r="R450" s="36" t="s">
        <v>585</v>
      </c>
      <c r="S450" s="35" t="str">
        <f aca="false">IF(ISNUMBER($AF450),INDEX(IDX_SrcStat,$AF450),"—")</f>
        <v>—</v>
      </c>
      <c r="T450" s="35" t="str">
        <f aca="false">IF(ISNUMBER($AF450),INDEX(IDX_SrcGrade,$AF450),"—")</f>
        <v>—</v>
      </c>
      <c r="U450" s="36" t="s">
        <v>585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5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6" t="s">
        <v>3851</v>
      </c>
      <c r="B451" s="212" t="s">
        <v>3830</v>
      </c>
      <c r="C451" s="36" t="s">
        <v>3831</v>
      </c>
      <c r="D451" s="36" t="s">
        <v>3277</v>
      </c>
      <c r="E451" s="19" t="s">
        <v>3852</v>
      </c>
      <c r="F451" s="212" t="s">
        <v>346</v>
      </c>
      <c r="G451" s="212" t="s">
        <v>63</v>
      </c>
      <c r="H451" s="36" t="s">
        <v>585</v>
      </c>
      <c r="I451" s="6" t="s">
        <v>585</v>
      </c>
      <c r="J451" s="36" t="s">
        <v>585</v>
      </c>
      <c r="K451" s="174" t="n">
        <f aca="false">Cap_In!D15</f>
        <v>0.5</v>
      </c>
      <c r="L451" s="174" t="n">
        <f aca="false">Cap_In!E15</f>
        <v>7</v>
      </c>
      <c r="M451" s="36" t="s">
        <v>585</v>
      </c>
      <c r="N451" s="19" t="s">
        <v>3853</v>
      </c>
      <c r="O451" s="6" t="s">
        <v>585</v>
      </c>
      <c r="P451" s="212" t="s">
        <v>2774</v>
      </c>
      <c r="Q451" s="174" t="n">
        <f aca="false">Cap_In!C15</f>
        <v>1</v>
      </c>
      <c r="R451" s="36" t="s">
        <v>585</v>
      </c>
      <c r="S451" s="35" t="str">
        <f aca="false">IF(ISNUMBER($AF451),INDEX(IDX_SrcStat,$AF451),"—")</f>
        <v>—</v>
      </c>
      <c r="T451" s="35" t="str">
        <f aca="false">IF(ISNUMBER($AF451),INDEX(IDX_SrcGrade,$AF451),"—")</f>
        <v>—</v>
      </c>
      <c r="U451" s="35" t="s">
        <v>2775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5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6" t="s">
        <v>3854</v>
      </c>
      <c r="B452" s="212" t="s">
        <v>3830</v>
      </c>
      <c r="C452" s="36" t="s">
        <v>3831</v>
      </c>
      <c r="D452" s="36" t="s">
        <v>3855</v>
      </c>
      <c r="E452" s="19" t="s">
        <v>3852</v>
      </c>
      <c r="F452" s="212" t="s">
        <v>346</v>
      </c>
      <c r="G452" s="212" t="s">
        <v>3836</v>
      </c>
      <c r="H452" s="36" t="s">
        <v>585</v>
      </c>
      <c r="I452" s="6" t="s">
        <v>585</v>
      </c>
      <c r="J452" s="36" t="s">
        <v>585</v>
      </c>
      <c r="K452" s="212"/>
      <c r="L452" s="212"/>
      <c r="M452" s="36" t="s">
        <v>3856</v>
      </c>
      <c r="N452" s="19" t="s">
        <v>3853</v>
      </c>
      <c r="O452" s="6" t="s">
        <v>585</v>
      </c>
      <c r="P452" s="212" t="s">
        <v>2774</v>
      </c>
      <c r="Q452" s="184" t="s">
        <v>585</v>
      </c>
      <c r="R452" s="36" t="s">
        <v>585</v>
      </c>
      <c r="S452" s="35" t="str">
        <f aca="false">IF(ISNUMBER($AF452),INDEX(IDX_SrcStat,$AF452),"—")</f>
        <v>—</v>
      </c>
      <c r="T452" s="35" t="str">
        <f aca="false">IF(ISNUMBER($AF452),INDEX(IDX_SrcGrade,$AF452),"—")</f>
        <v>—</v>
      </c>
      <c r="U452" s="36" t="s">
        <v>585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5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6" t="s">
        <v>3857</v>
      </c>
      <c r="B453" s="212" t="s">
        <v>3830</v>
      </c>
      <c r="C453" s="36" t="s">
        <v>3831</v>
      </c>
      <c r="D453" s="36" t="s">
        <v>3858</v>
      </c>
      <c r="E453" s="19" t="s">
        <v>3859</v>
      </c>
      <c r="F453" s="36" t="s">
        <v>70</v>
      </c>
      <c r="G453" s="212" t="s">
        <v>3516</v>
      </c>
      <c r="H453" s="36" t="s">
        <v>585</v>
      </c>
      <c r="I453" s="6" t="s">
        <v>585</v>
      </c>
      <c r="J453" s="36" t="s">
        <v>3860</v>
      </c>
      <c r="K453" s="212"/>
      <c r="L453" s="212"/>
      <c r="M453" s="36" t="s">
        <v>585</v>
      </c>
      <c r="N453" s="6" t="s">
        <v>3861</v>
      </c>
      <c r="O453" s="6" t="s">
        <v>585</v>
      </c>
      <c r="P453" s="212" t="s">
        <v>2774</v>
      </c>
      <c r="Q453" s="184" t="s">
        <v>585</v>
      </c>
      <c r="R453" s="36" t="s">
        <v>585</v>
      </c>
      <c r="S453" s="35" t="str">
        <f aca="false">IF(ISNUMBER($AF453),INDEX(IDX_SrcStat,$AF453),"—")</f>
        <v>—</v>
      </c>
      <c r="T453" s="35" t="str">
        <f aca="false">IF(ISNUMBER($AF453),INDEX(IDX_SrcGrade,$AF453),"—")</f>
        <v>—</v>
      </c>
      <c r="U453" s="36" t="s">
        <v>585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5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6" t="s">
        <v>3862</v>
      </c>
      <c r="B454" s="212" t="s">
        <v>3830</v>
      </c>
      <c r="C454" s="36" t="s">
        <v>3831</v>
      </c>
      <c r="D454" s="36" t="s">
        <v>3863</v>
      </c>
      <c r="E454" s="19" t="s">
        <v>1131</v>
      </c>
      <c r="F454" s="36" t="s">
        <v>78</v>
      </c>
      <c r="G454" s="212" t="s">
        <v>3516</v>
      </c>
      <c r="H454" s="36" t="s">
        <v>585</v>
      </c>
      <c r="I454" s="6" t="s">
        <v>585</v>
      </c>
      <c r="J454" s="36" t="s">
        <v>3864</v>
      </c>
      <c r="K454" s="212"/>
      <c r="L454" s="212"/>
      <c r="M454" s="212" t="s">
        <v>3865</v>
      </c>
      <c r="N454" s="6" t="s">
        <v>3866</v>
      </c>
      <c r="O454" s="6" t="s">
        <v>585</v>
      </c>
      <c r="P454" s="212" t="s">
        <v>2774</v>
      </c>
      <c r="Q454" s="184" t="s">
        <v>585</v>
      </c>
      <c r="R454" s="36" t="s">
        <v>585</v>
      </c>
      <c r="S454" s="35" t="str">
        <f aca="false">IF(ISNUMBER($AF454),INDEX(IDX_SrcStat,$AF454),"—")</f>
        <v>—</v>
      </c>
      <c r="T454" s="35" t="str">
        <f aca="false">IF(ISNUMBER($AF454),INDEX(IDX_SrcGrade,$AF454),"—")</f>
        <v>—</v>
      </c>
      <c r="U454" s="36" t="s">
        <v>585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5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6" t="s">
        <v>3867</v>
      </c>
      <c r="B455" s="212" t="s">
        <v>3830</v>
      </c>
      <c r="C455" s="36" t="s">
        <v>3831</v>
      </c>
      <c r="D455" s="36" t="s">
        <v>3868</v>
      </c>
      <c r="E455" s="19" t="s">
        <v>1134</v>
      </c>
      <c r="F455" s="36" t="s">
        <v>78</v>
      </c>
      <c r="G455" s="212" t="s">
        <v>1113</v>
      </c>
      <c r="H455" s="36" t="s">
        <v>585</v>
      </c>
      <c r="I455" s="6" t="s">
        <v>585</v>
      </c>
      <c r="J455" s="36" t="s">
        <v>3864</v>
      </c>
      <c r="K455" s="212"/>
      <c r="L455" s="212"/>
      <c r="M455" s="36" t="s">
        <v>585</v>
      </c>
      <c r="N455" s="6" t="s">
        <v>3866</v>
      </c>
      <c r="O455" s="6" t="s">
        <v>585</v>
      </c>
      <c r="P455" s="212" t="s">
        <v>2774</v>
      </c>
      <c r="Q455" s="184" t="s">
        <v>585</v>
      </c>
      <c r="R455" s="36" t="s">
        <v>585</v>
      </c>
      <c r="S455" s="35" t="str">
        <f aca="false">IF(ISNUMBER($AF455),INDEX(IDX_SrcStat,$AF455),"—")</f>
        <v>—</v>
      </c>
      <c r="T455" s="35" t="str">
        <f aca="false">IF(ISNUMBER($AF455),INDEX(IDX_SrcGrade,$AF455),"—")</f>
        <v>—</v>
      </c>
      <c r="U455" s="36" t="s">
        <v>585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5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6" t="s">
        <v>3869</v>
      </c>
      <c r="B456" s="212" t="s">
        <v>3830</v>
      </c>
      <c r="C456" s="36" t="s">
        <v>3831</v>
      </c>
      <c r="D456" s="36" t="s">
        <v>3870</v>
      </c>
      <c r="E456" s="19" t="s">
        <v>1135</v>
      </c>
      <c r="F456" s="36" t="s">
        <v>78</v>
      </c>
      <c r="G456" s="212" t="s">
        <v>1114</v>
      </c>
      <c r="H456" s="36" t="s">
        <v>585</v>
      </c>
      <c r="I456" s="6" t="s">
        <v>585</v>
      </c>
      <c r="J456" s="36" t="s">
        <v>3864</v>
      </c>
      <c r="K456" s="212"/>
      <c r="L456" s="212"/>
      <c r="M456" s="36" t="s">
        <v>585</v>
      </c>
      <c r="N456" s="6" t="s">
        <v>3866</v>
      </c>
      <c r="O456" s="6" t="s">
        <v>585</v>
      </c>
      <c r="P456" s="212" t="s">
        <v>2774</v>
      </c>
      <c r="Q456" s="184" t="s">
        <v>585</v>
      </c>
      <c r="R456" s="36" t="s">
        <v>585</v>
      </c>
      <c r="S456" s="35" t="str">
        <f aca="false">IF(ISNUMBER($AF456),INDEX(IDX_SrcStat,$AF456),"—")</f>
        <v>—</v>
      </c>
      <c r="T456" s="35" t="str">
        <f aca="false">IF(ISNUMBER($AF456),INDEX(IDX_SrcGrade,$AF456),"—")</f>
        <v>—</v>
      </c>
      <c r="U456" s="36" t="s">
        <v>585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5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6" t="s">
        <v>3871</v>
      </c>
      <c r="B457" s="212" t="s">
        <v>3830</v>
      </c>
      <c r="C457" s="36" t="s">
        <v>3831</v>
      </c>
      <c r="D457" s="36" t="s">
        <v>3118</v>
      </c>
      <c r="E457" s="19" t="s">
        <v>1137</v>
      </c>
      <c r="F457" s="212" t="s">
        <v>2956</v>
      </c>
      <c r="G457" s="212" t="s">
        <v>63</v>
      </c>
      <c r="H457" s="36" t="s">
        <v>2357</v>
      </c>
      <c r="I457" s="19" t="s">
        <v>3872</v>
      </c>
      <c r="J457" s="36" t="s">
        <v>3873</v>
      </c>
      <c r="K457" s="176" t="n">
        <f aca="false">Cap_In!D28</f>
        <v>0.3</v>
      </c>
      <c r="L457" s="176" t="n">
        <f aca="false">Cap_In!E28</f>
        <v>0.6</v>
      </c>
      <c r="M457" s="36" t="s">
        <v>585</v>
      </c>
      <c r="N457" s="19" t="s">
        <v>3874</v>
      </c>
      <c r="O457" s="6" t="s">
        <v>3875</v>
      </c>
      <c r="P457" s="212" t="s">
        <v>1114</v>
      </c>
      <c r="Q457" s="176" t="n">
        <f aca="false">Cap_In!C28</f>
        <v>0.41</v>
      </c>
      <c r="R457" s="184" t="n">
        <f aca="false">SRC_DEM_004</f>
        <v>8.4</v>
      </c>
      <c r="S457" s="35" t="str">
        <f aca="false">IF(ISNUMBER($AF457),INDEX(IDX_SrcStat,$AF457),"—")</f>
        <v>Active</v>
      </c>
      <c r="T457" s="35" t="n">
        <f aca="false">IF(ISNUMBER($AF457),INDEX(IDX_SrcGrade,$AF457),"—")</f>
        <v>2</v>
      </c>
      <c r="U457" s="35" t="s">
        <v>2775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5" t="n">
        <f aca="false">IF(OR($H457="—",$H457=""),"—",MATCH($H457,IDX_SrcID,0))</f>
        <v>625</v>
      </c>
    </row>
    <row r="458" customFormat="false" ht="15" hidden="false" customHeight="true" outlineLevel="0" collapsed="false">
      <c r="A458" s="36" t="s">
        <v>3876</v>
      </c>
      <c r="B458" s="212" t="s">
        <v>3830</v>
      </c>
      <c r="C458" s="36" t="s">
        <v>3831</v>
      </c>
      <c r="D458" s="36" t="s">
        <v>3877</v>
      </c>
      <c r="E458" s="19" t="s">
        <v>1137</v>
      </c>
      <c r="F458" s="36" t="s">
        <v>78</v>
      </c>
      <c r="G458" s="212" t="s">
        <v>3836</v>
      </c>
      <c r="H458" s="36" t="s">
        <v>585</v>
      </c>
      <c r="I458" s="6" t="s">
        <v>585</v>
      </c>
      <c r="J458" s="36" t="s">
        <v>3873</v>
      </c>
      <c r="K458" s="212"/>
      <c r="L458" s="212"/>
      <c r="M458" s="36" t="s">
        <v>3878</v>
      </c>
      <c r="N458" s="6" t="s">
        <v>3879</v>
      </c>
      <c r="O458" s="6" t="s">
        <v>585</v>
      </c>
      <c r="P458" s="212" t="s">
        <v>1114</v>
      </c>
      <c r="Q458" s="184" t="s">
        <v>585</v>
      </c>
      <c r="R458" s="36" t="s">
        <v>585</v>
      </c>
      <c r="S458" s="35" t="str">
        <f aca="false">IF(ISNUMBER($AF458),INDEX(IDX_SrcStat,$AF458),"—")</f>
        <v>—</v>
      </c>
      <c r="T458" s="35" t="str">
        <f aca="false">IF(ISNUMBER($AF458),INDEX(IDX_SrcGrade,$AF458),"—")</f>
        <v>—</v>
      </c>
      <c r="U458" s="36" t="s">
        <v>585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5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6" t="s">
        <v>3880</v>
      </c>
      <c r="B459" s="212" t="s">
        <v>3830</v>
      </c>
      <c r="C459" s="36" t="s">
        <v>3831</v>
      </c>
      <c r="D459" s="36" t="s">
        <v>3128</v>
      </c>
      <c r="E459" s="19" t="s">
        <v>1140</v>
      </c>
      <c r="F459" s="212" t="s">
        <v>2956</v>
      </c>
      <c r="G459" s="212" t="s">
        <v>63</v>
      </c>
      <c r="H459" s="36" t="s">
        <v>2366</v>
      </c>
      <c r="I459" s="19" t="s">
        <v>3881</v>
      </c>
      <c r="J459" s="36" t="s">
        <v>3873</v>
      </c>
      <c r="K459" s="176" t="n">
        <f aca="false">Cap_In!D29</f>
        <v>0.35</v>
      </c>
      <c r="L459" s="176" t="n">
        <f aca="false">Cap_In!E29</f>
        <v>0.6</v>
      </c>
      <c r="M459" s="36" t="s">
        <v>585</v>
      </c>
      <c r="N459" s="19" t="s">
        <v>3882</v>
      </c>
      <c r="O459" s="6" t="s">
        <v>3883</v>
      </c>
      <c r="P459" s="212" t="s">
        <v>1114</v>
      </c>
      <c r="Q459" s="176" t="n">
        <f aca="false">Cap_In!C29</f>
        <v>0.46</v>
      </c>
      <c r="R459" s="184" t="n">
        <f aca="false">SRC_DEM_005</f>
        <v>3.9</v>
      </c>
      <c r="S459" s="35" t="str">
        <f aca="false">IF(ISNUMBER($AF459),INDEX(IDX_SrcStat,$AF459),"—")</f>
        <v>Active</v>
      </c>
      <c r="T459" s="35" t="n">
        <f aca="false">IF(ISNUMBER($AF459),INDEX(IDX_SrcGrade,$AF459),"—")</f>
        <v>2</v>
      </c>
      <c r="U459" s="35" t="s">
        <v>2775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5" t="n">
        <f aca="false">IF(OR($H459="—",$H459=""),"—",MATCH($H459,IDX_SrcID,0))</f>
        <v>626</v>
      </c>
    </row>
    <row r="460" customFormat="false" ht="15" hidden="false" customHeight="true" outlineLevel="0" collapsed="false">
      <c r="A460" s="36" t="s">
        <v>3884</v>
      </c>
      <c r="B460" s="212" t="s">
        <v>3830</v>
      </c>
      <c r="C460" s="36" t="s">
        <v>3831</v>
      </c>
      <c r="D460" s="36" t="s">
        <v>3885</v>
      </c>
      <c r="E460" s="19" t="s">
        <v>1140</v>
      </c>
      <c r="F460" s="36" t="s">
        <v>78</v>
      </c>
      <c r="G460" s="212" t="s">
        <v>3836</v>
      </c>
      <c r="H460" s="36" t="s">
        <v>585</v>
      </c>
      <c r="I460" s="6" t="s">
        <v>585</v>
      </c>
      <c r="J460" s="36" t="s">
        <v>3873</v>
      </c>
      <c r="K460" s="212"/>
      <c r="L460" s="212"/>
      <c r="M460" s="36" t="s">
        <v>3886</v>
      </c>
      <c r="N460" s="6" t="s">
        <v>3887</v>
      </c>
      <c r="O460" s="6" t="s">
        <v>585</v>
      </c>
      <c r="P460" s="212" t="s">
        <v>1114</v>
      </c>
      <c r="Q460" s="184" t="s">
        <v>585</v>
      </c>
      <c r="R460" s="36" t="s">
        <v>585</v>
      </c>
      <c r="S460" s="35" t="str">
        <f aca="false">IF(ISNUMBER($AF460),INDEX(IDX_SrcStat,$AF460),"—")</f>
        <v>—</v>
      </c>
      <c r="T460" s="35" t="str">
        <f aca="false">IF(ISNUMBER($AF460),INDEX(IDX_SrcGrade,$AF460),"—")</f>
        <v>—</v>
      </c>
      <c r="U460" s="36" t="s">
        <v>585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5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6" t="s">
        <v>3888</v>
      </c>
      <c r="B461" s="212" t="s">
        <v>3830</v>
      </c>
      <c r="C461" s="36" t="s">
        <v>3831</v>
      </c>
      <c r="D461" s="36" t="s">
        <v>3889</v>
      </c>
      <c r="E461" s="19" t="s">
        <v>3890</v>
      </c>
      <c r="F461" s="36" t="s">
        <v>78</v>
      </c>
      <c r="G461" s="212" t="s">
        <v>3516</v>
      </c>
      <c r="H461" s="36" t="s">
        <v>585</v>
      </c>
      <c r="I461" s="6" t="s">
        <v>585</v>
      </c>
      <c r="J461" s="36" t="s">
        <v>3873</v>
      </c>
      <c r="K461" s="212"/>
      <c r="L461" s="212"/>
      <c r="M461" s="212" t="s">
        <v>3891</v>
      </c>
      <c r="N461" s="6" t="s">
        <v>3892</v>
      </c>
      <c r="O461" s="6" t="s">
        <v>585</v>
      </c>
      <c r="P461" s="212" t="s">
        <v>2774</v>
      </c>
      <c r="Q461" s="184" t="s">
        <v>585</v>
      </c>
      <c r="R461" s="36" t="s">
        <v>585</v>
      </c>
      <c r="S461" s="35" t="str">
        <f aca="false">IF(ISNUMBER($AF461),INDEX(IDX_SrcStat,$AF461),"—")</f>
        <v>—</v>
      </c>
      <c r="T461" s="35" t="str">
        <f aca="false">IF(ISNUMBER($AF461),INDEX(IDX_SrcGrade,$AF461),"—")</f>
        <v>—</v>
      </c>
      <c r="U461" s="36" t="s">
        <v>585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5" t="str">
        <f aca="false">IF(OR($H461="—",$H461=""),"—",MATCH($H461,IDX_SrcID,0))</f>
        <v>—</v>
      </c>
    </row>
    <row r="462" customFormat="false" ht="15" hidden="false" customHeight="true" outlineLevel="0" collapsed="false">
      <c r="A462" s="36" t="s">
        <v>3893</v>
      </c>
      <c r="B462" s="212" t="s">
        <v>3830</v>
      </c>
      <c r="C462" s="36" t="s">
        <v>3831</v>
      </c>
      <c r="D462" s="36" t="s">
        <v>3894</v>
      </c>
      <c r="E462" s="19" t="s">
        <v>3895</v>
      </c>
      <c r="F462" s="36" t="s">
        <v>78</v>
      </c>
      <c r="G462" s="212" t="s">
        <v>3516</v>
      </c>
      <c r="H462" s="36" t="s">
        <v>585</v>
      </c>
      <c r="I462" s="6" t="s">
        <v>585</v>
      </c>
      <c r="J462" s="36" t="s">
        <v>3873</v>
      </c>
      <c r="K462" s="212"/>
      <c r="L462" s="212"/>
      <c r="M462" s="36" t="s">
        <v>3896</v>
      </c>
      <c r="N462" s="6" t="s">
        <v>3897</v>
      </c>
      <c r="O462" s="6" t="s">
        <v>585</v>
      </c>
      <c r="P462" s="212" t="s">
        <v>2774</v>
      </c>
      <c r="Q462" s="184" t="s">
        <v>585</v>
      </c>
      <c r="R462" s="36" t="s">
        <v>585</v>
      </c>
      <c r="S462" s="35" t="str">
        <f aca="false">IF(ISNUMBER($AF462),INDEX(IDX_SrcStat,$AF462),"—")</f>
        <v>—</v>
      </c>
      <c r="T462" s="35" t="str">
        <f aca="false">IF(ISNUMBER($AF462),INDEX(IDX_SrcGrade,$AF462),"—")</f>
        <v>—</v>
      </c>
      <c r="U462" s="36" t="s">
        <v>585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5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6" t="s">
        <v>3898</v>
      </c>
      <c r="B463" s="212" t="s">
        <v>3830</v>
      </c>
      <c r="C463" s="36" t="s">
        <v>3831</v>
      </c>
      <c r="D463" s="36" t="s">
        <v>3899</v>
      </c>
      <c r="E463" s="19" t="s">
        <v>3900</v>
      </c>
      <c r="F463" s="36" t="s">
        <v>78</v>
      </c>
      <c r="G463" s="212" t="s">
        <v>63</v>
      </c>
      <c r="H463" s="36" t="s">
        <v>585</v>
      </c>
      <c r="I463" s="6" t="s">
        <v>585</v>
      </c>
      <c r="J463" s="36" t="s">
        <v>3901</v>
      </c>
      <c r="K463" s="182" t="n">
        <f aca="false">Cap_In!D36</f>
        <v>1</v>
      </c>
      <c r="L463" s="182" t="n">
        <f aca="false">Cap_In!E36</f>
        <v>3</v>
      </c>
      <c r="M463" s="36" t="s">
        <v>585</v>
      </c>
      <c r="N463" s="6" t="s">
        <v>3902</v>
      </c>
      <c r="O463" s="6" t="s">
        <v>585</v>
      </c>
      <c r="P463" s="212" t="s">
        <v>1114</v>
      </c>
      <c r="Q463" s="182" t="n">
        <f aca="false">Cap_In!C36</f>
        <v>2</v>
      </c>
      <c r="R463" s="36" t="s">
        <v>585</v>
      </c>
      <c r="S463" s="35" t="str">
        <f aca="false">IF(ISNUMBER($AF463),INDEX(IDX_SrcStat,$AF463),"—")</f>
        <v>—</v>
      </c>
      <c r="T463" s="35" t="str">
        <f aca="false">IF(ISNUMBER($AF463),INDEX(IDX_SrcGrade,$AF463),"—")</f>
        <v>—</v>
      </c>
      <c r="U463" s="35" t="s">
        <v>2775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5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6" t="s">
        <v>3903</v>
      </c>
      <c r="B464" s="212" t="s">
        <v>3830</v>
      </c>
      <c r="C464" s="36" t="s">
        <v>3831</v>
      </c>
      <c r="D464" s="36" t="s">
        <v>3904</v>
      </c>
      <c r="E464" s="19" t="s">
        <v>3900</v>
      </c>
      <c r="F464" s="36" t="s">
        <v>78</v>
      </c>
      <c r="G464" s="212" t="s">
        <v>3836</v>
      </c>
      <c r="H464" s="36" t="s">
        <v>585</v>
      </c>
      <c r="I464" s="6" t="s">
        <v>585</v>
      </c>
      <c r="J464" s="36" t="s">
        <v>3901</v>
      </c>
      <c r="K464" s="212"/>
      <c r="L464" s="212"/>
      <c r="M464" s="36" t="s">
        <v>3905</v>
      </c>
      <c r="N464" s="6" t="s">
        <v>3906</v>
      </c>
      <c r="O464" s="6" t="s">
        <v>585</v>
      </c>
      <c r="P464" s="212" t="s">
        <v>2774</v>
      </c>
      <c r="Q464" s="184" t="s">
        <v>585</v>
      </c>
      <c r="R464" s="36" t="s">
        <v>585</v>
      </c>
      <c r="S464" s="35" t="str">
        <f aca="false">IF(ISNUMBER($AF464),INDEX(IDX_SrcStat,$AF464),"—")</f>
        <v>—</v>
      </c>
      <c r="T464" s="35" t="str">
        <f aca="false">IF(ISNUMBER($AF464),INDEX(IDX_SrcGrade,$AF464),"—")</f>
        <v>—</v>
      </c>
      <c r="U464" s="36" t="s">
        <v>585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5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6" t="s">
        <v>3907</v>
      </c>
      <c r="B465" s="212" t="s">
        <v>3830</v>
      </c>
      <c r="C465" s="36" t="s">
        <v>3831</v>
      </c>
      <c r="D465" s="36" t="s">
        <v>3908</v>
      </c>
      <c r="E465" s="19" t="s">
        <v>1149</v>
      </c>
      <c r="F465" s="36" t="s">
        <v>78</v>
      </c>
      <c r="G465" s="212" t="s">
        <v>63</v>
      </c>
      <c r="H465" s="36" t="s">
        <v>585</v>
      </c>
      <c r="I465" s="6" t="s">
        <v>585</v>
      </c>
      <c r="J465" s="36" t="s">
        <v>3901</v>
      </c>
      <c r="K465" s="219" t="n">
        <f aca="false">Cap_In!D37</f>
        <v>0.0833333333333333</v>
      </c>
      <c r="L465" s="219" t="n">
        <f aca="false">Cap_In!E37</f>
        <v>1</v>
      </c>
      <c r="M465" s="36" t="s">
        <v>585</v>
      </c>
      <c r="N465" s="6" t="s">
        <v>3909</v>
      </c>
      <c r="O465" s="6" t="s">
        <v>3910</v>
      </c>
      <c r="P465" s="212" t="s">
        <v>1113</v>
      </c>
      <c r="Q465" s="219" t="n">
        <f aca="false">Cap_In!C37</f>
        <v>0.0833333333333333</v>
      </c>
      <c r="R465" s="36" t="s">
        <v>585</v>
      </c>
      <c r="S465" s="35" t="str">
        <f aca="false">IF(ISNUMBER($AF465),INDEX(IDX_SrcStat,$AF465),"—")</f>
        <v>—</v>
      </c>
      <c r="T465" s="35" t="str">
        <f aca="false">IF(ISNUMBER($AF465),INDEX(IDX_SrcGrade,$AF465),"—")</f>
        <v>—</v>
      </c>
      <c r="U465" s="35" t="s">
        <v>2775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5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6" t="s">
        <v>3911</v>
      </c>
      <c r="B466" s="212" t="s">
        <v>3830</v>
      </c>
      <c r="C466" s="36" t="s">
        <v>3831</v>
      </c>
      <c r="D466" s="36" t="s">
        <v>3912</v>
      </c>
      <c r="E466" s="19" t="s">
        <v>1149</v>
      </c>
      <c r="F466" s="36" t="s">
        <v>78</v>
      </c>
      <c r="G466" s="212" t="s">
        <v>3836</v>
      </c>
      <c r="H466" s="36" t="s">
        <v>585</v>
      </c>
      <c r="I466" s="6" t="s">
        <v>585</v>
      </c>
      <c r="J466" s="36" t="s">
        <v>3901</v>
      </c>
      <c r="K466" s="212"/>
      <c r="L466" s="212"/>
      <c r="M466" s="36" t="s">
        <v>3913</v>
      </c>
      <c r="N466" s="6" t="s">
        <v>3914</v>
      </c>
      <c r="O466" s="6" t="s">
        <v>585</v>
      </c>
      <c r="P466" s="212" t="s">
        <v>1113</v>
      </c>
      <c r="Q466" s="184" t="s">
        <v>585</v>
      </c>
      <c r="R466" s="36" t="s">
        <v>585</v>
      </c>
      <c r="S466" s="35" t="str">
        <f aca="false">IF(ISNUMBER($AF466),INDEX(IDX_SrcStat,$AF466),"—")</f>
        <v>—</v>
      </c>
      <c r="T466" s="35" t="str">
        <f aca="false">IF(ISNUMBER($AF466),INDEX(IDX_SrcGrade,$AF466),"—")</f>
        <v>—</v>
      </c>
      <c r="U466" s="36" t="s">
        <v>585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5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6" t="s">
        <v>3915</v>
      </c>
      <c r="B467" s="212" t="s">
        <v>3830</v>
      </c>
      <c r="C467" s="36" t="s">
        <v>3831</v>
      </c>
      <c r="D467" s="36" t="s">
        <v>3916</v>
      </c>
      <c r="E467" s="19" t="s">
        <v>1151</v>
      </c>
      <c r="F467" s="36" t="s">
        <v>78</v>
      </c>
      <c r="G467" s="212" t="s">
        <v>63</v>
      </c>
      <c r="H467" s="36" t="s">
        <v>585</v>
      </c>
      <c r="I467" s="6" t="s">
        <v>585</v>
      </c>
      <c r="J467" s="36" t="s">
        <v>3901</v>
      </c>
      <c r="K467" s="182" t="n">
        <f aca="false">Cap_In!D38</f>
        <v>1</v>
      </c>
      <c r="L467" s="182" t="n">
        <f aca="false">Cap_In!E38</f>
        <v>20</v>
      </c>
      <c r="M467" s="36" t="s">
        <v>585</v>
      </c>
      <c r="N467" s="6" t="s">
        <v>3917</v>
      </c>
      <c r="O467" s="6" t="s">
        <v>585</v>
      </c>
      <c r="P467" s="212" t="s">
        <v>1113</v>
      </c>
      <c r="Q467" s="182" t="n">
        <f aca="false">Cap_In!C38</f>
        <v>5</v>
      </c>
      <c r="R467" s="36" t="s">
        <v>585</v>
      </c>
      <c r="S467" s="35" t="str">
        <f aca="false">IF(ISNUMBER($AF467),INDEX(IDX_SrcStat,$AF467),"—")</f>
        <v>—</v>
      </c>
      <c r="T467" s="35" t="str">
        <f aca="false">IF(ISNUMBER($AF467),INDEX(IDX_SrcGrade,$AF467),"—")</f>
        <v>—</v>
      </c>
      <c r="U467" s="35" t="s">
        <v>2775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5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6" t="s">
        <v>3918</v>
      </c>
      <c r="B468" s="212" t="s">
        <v>3830</v>
      </c>
      <c r="C468" s="36" t="s">
        <v>3831</v>
      </c>
      <c r="D468" s="36" t="s">
        <v>3919</v>
      </c>
      <c r="E468" s="19" t="s">
        <v>1151</v>
      </c>
      <c r="F468" s="36" t="s">
        <v>78</v>
      </c>
      <c r="G468" s="212" t="s">
        <v>3836</v>
      </c>
      <c r="H468" s="36" t="s">
        <v>585</v>
      </c>
      <c r="I468" s="6" t="s">
        <v>585</v>
      </c>
      <c r="J468" s="36" t="s">
        <v>3901</v>
      </c>
      <c r="K468" s="212"/>
      <c r="L468" s="212"/>
      <c r="M468" s="36" t="s">
        <v>3920</v>
      </c>
      <c r="N468" s="6" t="s">
        <v>3921</v>
      </c>
      <c r="O468" s="6" t="s">
        <v>585</v>
      </c>
      <c r="P468" s="212" t="s">
        <v>1113</v>
      </c>
      <c r="Q468" s="184" t="s">
        <v>585</v>
      </c>
      <c r="R468" s="36" t="s">
        <v>585</v>
      </c>
      <c r="S468" s="35" t="str">
        <f aca="false">IF(ISNUMBER($AF468),INDEX(IDX_SrcStat,$AF468),"—")</f>
        <v>—</v>
      </c>
      <c r="T468" s="35" t="str">
        <f aca="false">IF(ISNUMBER($AF468),INDEX(IDX_SrcGrade,$AF468),"—")</f>
        <v>—</v>
      </c>
      <c r="U468" s="36" t="s">
        <v>585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5" t="str">
        <f aca="false">IF(OR($H468="—",$H468=""),"—",MATCH($H468,IDX_SrcID,0))</f>
        <v>—</v>
      </c>
    </row>
    <row r="469" customFormat="false" ht="15" hidden="false" customHeight="true" outlineLevel="0" collapsed="false">
      <c r="A469" s="36" t="s">
        <v>3922</v>
      </c>
      <c r="B469" s="212" t="s">
        <v>3830</v>
      </c>
      <c r="C469" s="36" t="s">
        <v>3831</v>
      </c>
      <c r="D469" s="36" t="s">
        <v>3205</v>
      </c>
      <c r="E469" s="6" t="s">
        <v>1154</v>
      </c>
      <c r="F469" s="36" t="s">
        <v>78</v>
      </c>
      <c r="G469" s="212" t="s">
        <v>63</v>
      </c>
      <c r="H469" s="36" t="s">
        <v>585</v>
      </c>
      <c r="I469" s="6" t="s">
        <v>585</v>
      </c>
      <c r="J469" s="36" t="s">
        <v>585</v>
      </c>
      <c r="K469" s="174" t="n">
        <f aca="false">Cap_In!D39</f>
        <v>5</v>
      </c>
      <c r="L469" s="174" t="n">
        <f aca="false">Cap_In!E39</f>
        <v>20</v>
      </c>
      <c r="M469" s="36" t="s">
        <v>585</v>
      </c>
      <c r="N469" s="6" t="s">
        <v>3923</v>
      </c>
      <c r="O469" s="6" t="s">
        <v>585</v>
      </c>
      <c r="P469" s="212" t="s">
        <v>1113</v>
      </c>
      <c r="Q469" s="174" t="n">
        <f aca="false">Cap_In!C39</f>
        <v>10</v>
      </c>
      <c r="R469" s="36" t="s">
        <v>585</v>
      </c>
      <c r="S469" s="35" t="str">
        <f aca="false">IF(ISNUMBER($AF469),INDEX(IDX_SrcStat,$AF469),"—")</f>
        <v>—</v>
      </c>
      <c r="T469" s="35" t="str">
        <f aca="false">IF(ISNUMBER($AF469),INDEX(IDX_SrcGrade,$AF469),"—")</f>
        <v>—</v>
      </c>
      <c r="U469" s="35" t="s">
        <v>2775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5" t="str">
        <f aca="false">IF(OR($H469="—",$H469=""),"—",MATCH($H469,IDX_SrcID,0))</f>
        <v>—</v>
      </c>
    </row>
    <row r="470" customFormat="false" ht="15" hidden="false" customHeight="true" outlineLevel="0" collapsed="false">
      <c r="A470" s="36" t="s">
        <v>3924</v>
      </c>
      <c r="B470" s="212" t="s">
        <v>3830</v>
      </c>
      <c r="C470" s="36" t="s">
        <v>3831</v>
      </c>
      <c r="D470" s="36" t="s">
        <v>3925</v>
      </c>
      <c r="E470" s="6" t="s">
        <v>1154</v>
      </c>
      <c r="F470" s="36" t="s">
        <v>78</v>
      </c>
      <c r="G470" s="212" t="s">
        <v>3836</v>
      </c>
      <c r="H470" s="36" t="s">
        <v>585</v>
      </c>
      <c r="I470" s="6" t="s">
        <v>585</v>
      </c>
      <c r="J470" s="36" t="s">
        <v>585</v>
      </c>
      <c r="K470" s="212"/>
      <c r="L470" s="212"/>
      <c r="M470" s="36" t="s">
        <v>3926</v>
      </c>
      <c r="N470" s="6" t="s">
        <v>3927</v>
      </c>
      <c r="O470" s="6" t="s">
        <v>585</v>
      </c>
      <c r="P470" s="212" t="s">
        <v>1113</v>
      </c>
      <c r="Q470" s="184" t="s">
        <v>585</v>
      </c>
      <c r="R470" s="36" t="s">
        <v>585</v>
      </c>
      <c r="S470" s="35" t="str">
        <f aca="false">IF(ISNUMBER($AF470),INDEX(IDX_SrcStat,$AF470),"—")</f>
        <v>—</v>
      </c>
      <c r="T470" s="35" t="str">
        <f aca="false">IF(ISNUMBER($AF470),INDEX(IDX_SrcGrade,$AF470),"—")</f>
        <v>—</v>
      </c>
      <c r="U470" s="36" t="s">
        <v>585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5" t="str">
        <f aca="false">IF(OR($H470="—",$H470=""),"—",MATCH($H470,IDX_SrcID,0))</f>
        <v>—</v>
      </c>
    </row>
    <row r="471" customFormat="false" ht="15" hidden="false" customHeight="true" outlineLevel="0" collapsed="false">
      <c r="A471" s="36" t="s">
        <v>3928</v>
      </c>
      <c r="B471" s="212" t="s">
        <v>3830</v>
      </c>
      <c r="C471" s="36" t="s">
        <v>3831</v>
      </c>
      <c r="D471" s="36" t="s">
        <v>3218</v>
      </c>
      <c r="E471" s="6" t="s">
        <v>1157</v>
      </c>
      <c r="F471" s="36" t="s">
        <v>78</v>
      </c>
      <c r="G471" s="212" t="s">
        <v>63</v>
      </c>
      <c r="H471" s="36" t="s">
        <v>585</v>
      </c>
      <c r="I471" s="6" t="s">
        <v>585</v>
      </c>
      <c r="J471" s="36" t="s">
        <v>585</v>
      </c>
      <c r="K471" s="182" t="n">
        <f aca="false">Cap_In!D40</f>
        <v>3</v>
      </c>
      <c r="L471" s="182" t="n">
        <f aca="false">Cap_In!E40</f>
        <v>6</v>
      </c>
      <c r="M471" s="36" t="s">
        <v>585</v>
      </c>
      <c r="N471" s="6" t="s">
        <v>3929</v>
      </c>
      <c r="O471" s="6" t="s">
        <v>585</v>
      </c>
      <c r="P471" s="212" t="s">
        <v>1113</v>
      </c>
      <c r="Q471" s="182" t="n">
        <f aca="false">Cap_In!C40</f>
        <v>4</v>
      </c>
      <c r="R471" s="36" t="s">
        <v>585</v>
      </c>
      <c r="S471" s="35" t="str">
        <f aca="false">IF(ISNUMBER($AF471),INDEX(IDX_SrcStat,$AF471),"—")</f>
        <v>—</v>
      </c>
      <c r="T471" s="35" t="str">
        <f aca="false">IF(ISNUMBER($AF471),INDEX(IDX_SrcGrade,$AF471),"—")</f>
        <v>—</v>
      </c>
      <c r="U471" s="35" t="s">
        <v>2775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5" t="str">
        <f aca="false">IF(OR($H471="—",$H471=""),"—",MATCH($H471,IDX_SrcID,0))</f>
        <v>—</v>
      </c>
    </row>
    <row r="472" customFormat="false" ht="15" hidden="false" customHeight="true" outlineLevel="0" collapsed="false">
      <c r="A472" s="36" t="s">
        <v>3930</v>
      </c>
      <c r="B472" s="212" t="s">
        <v>3830</v>
      </c>
      <c r="C472" s="36" t="s">
        <v>3831</v>
      </c>
      <c r="D472" s="36" t="s">
        <v>3931</v>
      </c>
      <c r="E472" s="6" t="s">
        <v>1157</v>
      </c>
      <c r="F472" s="36" t="s">
        <v>78</v>
      </c>
      <c r="G472" s="212" t="s">
        <v>3836</v>
      </c>
      <c r="H472" s="36" t="s">
        <v>585</v>
      </c>
      <c r="I472" s="6" t="s">
        <v>585</v>
      </c>
      <c r="J472" s="36" t="s">
        <v>585</v>
      </c>
      <c r="K472" s="212"/>
      <c r="L472" s="212"/>
      <c r="M472" s="36" t="s">
        <v>3932</v>
      </c>
      <c r="N472" s="6" t="s">
        <v>1157</v>
      </c>
      <c r="O472" s="6" t="s">
        <v>585</v>
      </c>
      <c r="P472" s="212" t="s">
        <v>1113</v>
      </c>
      <c r="Q472" s="184" t="s">
        <v>585</v>
      </c>
      <c r="R472" s="36" t="s">
        <v>585</v>
      </c>
      <c r="S472" s="35" t="str">
        <f aca="false">IF(ISNUMBER($AF472),INDEX(IDX_SrcStat,$AF472),"—")</f>
        <v>—</v>
      </c>
      <c r="T472" s="35" t="str">
        <f aca="false">IF(ISNUMBER($AF472),INDEX(IDX_SrcGrade,$AF472),"—")</f>
        <v>—</v>
      </c>
      <c r="U472" s="36" t="s">
        <v>585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5" t="str">
        <f aca="false">IF(OR($H472="—",$H472=""),"—",MATCH($H472,IDX_SrcID,0))</f>
        <v>—</v>
      </c>
    </row>
    <row r="473" customFormat="false" ht="15" hidden="false" customHeight="true" outlineLevel="0" collapsed="false">
      <c r="A473" s="36" t="s">
        <v>3933</v>
      </c>
      <c r="B473" s="212" t="s">
        <v>3830</v>
      </c>
      <c r="C473" s="36" t="s">
        <v>3831</v>
      </c>
      <c r="D473" s="36" t="s">
        <v>3232</v>
      </c>
      <c r="E473" s="6" t="s">
        <v>1158</v>
      </c>
      <c r="F473" s="36" t="s">
        <v>78</v>
      </c>
      <c r="G473" s="212" t="s">
        <v>63</v>
      </c>
      <c r="H473" s="36" t="s">
        <v>585</v>
      </c>
      <c r="I473" s="6" t="s">
        <v>585</v>
      </c>
      <c r="J473" s="36" t="s">
        <v>585</v>
      </c>
      <c r="K473" s="174" t="n">
        <f aca="false">Cap_In!D41</f>
        <v>0.05</v>
      </c>
      <c r="L473" s="174" t="n">
        <f aca="false">Cap_In!E41</f>
        <v>0.3</v>
      </c>
      <c r="M473" s="36" t="s">
        <v>585</v>
      </c>
      <c r="N473" s="19" t="s">
        <v>3934</v>
      </c>
      <c r="O473" s="6" t="s">
        <v>585</v>
      </c>
      <c r="P473" s="212" t="s">
        <v>2774</v>
      </c>
      <c r="Q473" s="174" t="n">
        <f aca="false">Cap_In!C41</f>
        <v>0.1</v>
      </c>
      <c r="R473" s="36" t="s">
        <v>585</v>
      </c>
      <c r="S473" s="35" t="str">
        <f aca="false">IF(ISNUMBER($AF473),INDEX(IDX_SrcStat,$AF473),"—")</f>
        <v>—</v>
      </c>
      <c r="T473" s="35" t="str">
        <f aca="false">IF(ISNUMBER($AF473),INDEX(IDX_SrcGrade,$AF473),"—")</f>
        <v>—</v>
      </c>
      <c r="U473" s="35" t="s">
        <v>2775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5" t="str">
        <f aca="false">IF(OR($H473="—",$H473=""),"—",MATCH($H473,IDX_SrcID,0))</f>
        <v>—</v>
      </c>
    </row>
    <row r="474" customFormat="false" ht="15" hidden="false" customHeight="true" outlineLevel="0" collapsed="false">
      <c r="A474" s="36" t="s">
        <v>3935</v>
      </c>
      <c r="B474" s="212" t="s">
        <v>3830</v>
      </c>
      <c r="C474" s="36" t="s">
        <v>3831</v>
      </c>
      <c r="D474" s="36" t="s">
        <v>3936</v>
      </c>
      <c r="E474" s="6" t="s">
        <v>1158</v>
      </c>
      <c r="F474" s="36" t="s">
        <v>78</v>
      </c>
      <c r="G474" s="212" t="s">
        <v>3836</v>
      </c>
      <c r="H474" s="36" t="s">
        <v>585</v>
      </c>
      <c r="I474" s="6" t="s">
        <v>585</v>
      </c>
      <c r="J474" s="36" t="s">
        <v>585</v>
      </c>
      <c r="K474" s="212"/>
      <c r="L474" s="212"/>
      <c r="M474" s="36" t="s">
        <v>3937</v>
      </c>
      <c r="N474" s="19" t="s">
        <v>3934</v>
      </c>
      <c r="O474" s="6" t="s">
        <v>585</v>
      </c>
      <c r="P474" s="212" t="s">
        <v>2774</v>
      </c>
      <c r="Q474" s="184" t="s">
        <v>585</v>
      </c>
      <c r="R474" s="36" t="s">
        <v>585</v>
      </c>
      <c r="S474" s="35" t="str">
        <f aca="false">IF(ISNUMBER($AF474),INDEX(IDX_SrcStat,$AF474),"—")</f>
        <v>—</v>
      </c>
      <c r="T474" s="35" t="str">
        <f aca="false">IF(ISNUMBER($AF474),INDEX(IDX_SrcGrade,$AF474),"—")</f>
        <v>—</v>
      </c>
      <c r="U474" s="36" t="s">
        <v>585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5" t="str">
        <f aca="false">IF(OR($H474="—",$H474=""),"—",MATCH($H474,IDX_SrcID,0))</f>
        <v>—</v>
      </c>
    </row>
    <row r="475" customFormat="false" ht="15" hidden="false" customHeight="true" outlineLevel="0" collapsed="false">
      <c r="A475" s="36" t="s">
        <v>3938</v>
      </c>
      <c r="B475" s="212" t="s">
        <v>3830</v>
      </c>
      <c r="C475" s="36" t="s">
        <v>3831</v>
      </c>
      <c r="D475" s="36" t="s">
        <v>3795</v>
      </c>
      <c r="E475" s="6" t="s">
        <v>1160</v>
      </c>
      <c r="F475" s="36" t="s">
        <v>78</v>
      </c>
      <c r="G475" s="212" t="s">
        <v>63</v>
      </c>
      <c r="H475" s="36" t="s">
        <v>585</v>
      </c>
      <c r="I475" s="6" t="s">
        <v>585</v>
      </c>
      <c r="J475" s="36" t="s">
        <v>585</v>
      </c>
      <c r="K475" s="182" t="n">
        <f aca="false">Cap_In!D42</f>
        <v>3</v>
      </c>
      <c r="L475" s="182" t="n">
        <f aca="false">Cap_In!E42</f>
        <v>6</v>
      </c>
      <c r="M475" s="36" t="s">
        <v>585</v>
      </c>
      <c r="N475" s="6" t="s">
        <v>1160</v>
      </c>
      <c r="O475" s="6" t="s">
        <v>585</v>
      </c>
      <c r="P475" s="212" t="s">
        <v>2774</v>
      </c>
      <c r="Q475" s="182" t="n">
        <f aca="false">Cap_In!C42</f>
        <v>5</v>
      </c>
      <c r="R475" s="36" t="s">
        <v>585</v>
      </c>
      <c r="S475" s="35" t="str">
        <f aca="false">IF(ISNUMBER($AF475),INDEX(IDX_SrcStat,$AF475),"—")</f>
        <v>—</v>
      </c>
      <c r="T475" s="35" t="str">
        <f aca="false">IF(ISNUMBER($AF475),INDEX(IDX_SrcGrade,$AF475),"—")</f>
        <v>—</v>
      </c>
      <c r="U475" s="35" t="s">
        <v>2775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5" t="str">
        <f aca="false">IF(OR($H475="—",$H475=""),"—",MATCH($H475,IDX_SrcID,0))</f>
        <v>—</v>
      </c>
    </row>
    <row r="476" customFormat="false" ht="15" hidden="false" customHeight="true" outlineLevel="0" collapsed="false">
      <c r="A476" s="36" t="s">
        <v>3939</v>
      </c>
      <c r="B476" s="212" t="s">
        <v>3830</v>
      </c>
      <c r="C476" s="36" t="s">
        <v>3831</v>
      </c>
      <c r="D476" s="36" t="s">
        <v>3940</v>
      </c>
      <c r="E476" s="6" t="s">
        <v>1160</v>
      </c>
      <c r="F476" s="36" t="s">
        <v>78</v>
      </c>
      <c r="G476" s="212" t="s">
        <v>3836</v>
      </c>
      <c r="H476" s="36" t="s">
        <v>585</v>
      </c>
      <c r="I476" s="6" t="s">
        <v>585</v>
      </c>
      <c r="J476" s="36" t="s">
        <v>585</v>
      </c>
      <c r="K476" s="212"/>
      <c r="L476" s="212"/>
      <c r="M476" s="36" t="s">
        <v>3941</v>
      </c>
      <c r="N476" s="6" t="s">
        <v>1160</v>
      </c>
      <c r="O476" s="6" t="s">
        <v>585</v>
      </c>
      <c r="P476" s="212" t="s">
        <v>2774</v>
      </c>
      <c r="Q476" s="184" t="s">
        <v>585</v>
      </c>
      <c r="R476" s="36" t="s">
        <v>585</v>
      </c>
      <c r="S476" s="35" t="str">
        <f aca="false">IF(ISNUMBER($AF476),INDEX(IDX_SrcStat,$AF476),"—")</f>
        <v>—</v>
      </c>
      <c r="T476" s="35" t="str">
        <f aca="false">IF(ISNUMBER($AF476),INDEX(IDX_SrcGrade,$AF476),"—")</f>
        <v>—</v>
      </c>
      <c r="U476" s="36" t="s">
        <v>585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5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6" t="s">
        <v>3942</v>
      </c>
      <c r="B477" s="212" t="s">
        <v>3830</v>
      </c>
      <c r="C477" s="36" t="s">
        <v>3831</v>
      </c>
      <c r="D477" s="36" t="s">
        <v>3943</v>
      </c>
      <c r="E477" s="6" t="s">
        <v>1174</v>
      </c>
      <c r="F477" s="212" t="s">
        <v>3944</v>
      </c>
      <c r="G477" s="212" t="s">
        <v>3516</v>
      </c>
      <c r="H477" s="36" t="s">
        <v>3945</v>
      </c>
      <c r="I477" s="19" t="s">
        <v>3946</v>
      </c>
      <c r="J477" s="36" t="s">
        <v>3860</v>
      </c>
      <c r="K477" s="212"/>
      <c r="L477" s="212"/>
      <c r="M477" s="212" t="s">
        <v>2708</v>
      </c>
      <c r="N477" s="19" t="s">
        <v>3947</v>
      </c>
      <c r="O477" s="6" t="s">
        <v>585</v>
      </c>
      <c r="P477" s="212" t="s">
        <v>2774</v>
      </c>
      <c r="Q477" s="184" t="s">
        <v>585</v>
      </c>
      <c r="R477" s="184" t="n">
        <f aca="false">SRC_PRC_027</f>
        <v>0.5</v>
      </c>
      <c r="S477" s="35" t="str">
        <f aca="false">IF(ISNUMBER($AF477),INDEX(IDX_SrcStat,$AF477),"—")</f>
        <v>Active</v>
      </c>
      <c r="T477" s="35" t="n">
        <f aca="false">IF(ISNUMBER($AF477),INDEX(IDX_SrcGrade,$AF477),"—")</f>
        <v>1</v>
      </c>
      <c r="U477" s="36" t="s">
        <v>585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5" t="n">
        <f aca="false">IF(OR($H477="—",$H477=""),"—",MATCH($H477,IDX_SrcID,0))</f>
        <v>418</v>
      </c>
    </row>
    <row r="478" customFormat="false" ht="29.25" hidden="false" customHeight="true" outlineLevel="0" collapsed="false">
      <c r="A478" s="36" t="s">
        <v>3948</v>
      </c>
      <c r="B478" s="212" t="s">
        <v>3830</v>
      </c>
      <c r="C478" s="36" t="s">
        <v>3831</v>
      </c>
      <c r="D478" s="36" t="s">
        <v>3949</v>
      </c>
      <c r="E478" s="6" t="s">
        <v>1174</v>
      </c>
      <c r="F478" s="36" t="s">
        <v>3057</v>
      </c>
      <c r="G478" s="212" t="s">
        <v>3516</v>
      </c>
      <c r="H478" s="36" t="s">
        <v>585</v>
      </c>
      <c r="I478" s="6" t="s">
        <v>585</v>
      </c>
      <c r="J478" s="36" t="s">
        <v>3950</v>
      </c>
      <c r="K478" s="212"/>
      <c r="L478" s="212"/>
      <c r="M478" s="212" t="s">
        <v>2708</v>
      </c>
      <c r="N478" s="19" t="s">
        <v>3951</v>
      </c>
      <c r="O478" s="6" t="s">
        <v>585</v>
      </c>
      <c r="P478" s="212" t="s">
        <v>2774</v>
      </c>
      <c r="Q478" s="184" t="s">
        <v>585</v>
      </c>
      <c r="R478" s="36" t="s">
        <v>585</v>
      </c>
      <c r="S478" s="35" t="str">
        <f aca="false">IF(ISNUMBER($AF478),INDEX(IDX_SrcStat,$AF478),"—")</f>
        <v>—</v>
      </c>
      <c r="T478" s="35" t="str">
        <f aca="false">IF(ISNUMBER($AF478),INDEX(IDX_SrcGrade,$AF478),"—")</f>
        <v>—</v>
      </c>
      <c r="U478" s="36" t="s">
        <v>585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5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6" t="s">
        <v>3952</v>
      </c>
      <c r="B479" s="212" t="s">
        <v>3830</v>
      </c>
      <c r="C479" s="36" t="s">
        <v>3831</v>
      </c>
      <c r="D479" s="36" t="s">
        <v>3953</v>
      </c>
      <c r="E479" s="6" t="s">
        <v>1189</v>
      </c>
      <c r="F479" s="36" t="s">
        <v>78</v>
      </c>
      <c r="G479" s="212" t="s">
        <v>2771</v>
      </c>
      <c r="H479" s="36" t="s">
        <v>585</v>
      </c>
      <c r="I479" s="6" t="s">
        <v>585</v>
      </c>
      <c r="J479" s="36" t="s">
        <v>585</v>
      </c>
      <c r="K479" s="214" t="n">
        <v>0.125</v>
      </c>
      <c r="L479" s="214" t="n">
        <v>0.5</v>
      </c>
      <c r="M479" s="36" t="s">
        <v>3954</v>
      </c>
      <c r="N479" s="6" t="s">
        <v>3955</v>
      </c>
      <c r="O479" s="6" t="s">
        <v>3956</v>
      </c>
      <c r="P479" s="212" t="s">
        <v>2774</v>
      </c>
      <c r="Q479" s="38" t="n">
        <f aca="false">Cap_In!F50</f>
        <v>0.5</v>
      </c>
      <c r="R479" s="36" t="s">
        <v>585</v>
      </c>
      <c r="S479" s="35" t="str">
        <f aca="false">IF(ISNUMBER($AF479),INDEX(IDX_SrcStat,$AF479),"—")</f>
        <v>—</v>
      </c>
      <c r="T479" s="35" t="str">
        <f aca="false">IF(ISNUMBER($AF479),INDEX(IDX_SrcGrade,$AF479),"—")</f>
        <v>—</v>
      </c>
      <c r="U479" s="35" t="s">
        <v>2775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5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6" t="s">
        <v>3957</v>
      </c>
      <c r="B480" s="212" t="s">
        <v>3830</v>
      </c>
      <c r="C480" s="36" t="s">
        <v>3831</v>
      </c>
      <c r="D480" s="36" t="s">
        <v>3958</v>
      </c>
      <c r="E480" s="6" t="s">
        <v>1192</v>
      </c>
      <c r="F480" s="36" t="s">
        <v>78</v>
      </c>
      <c r="G480" s="212" t="s">
        <v>2771</v>
      </c>
      <c r="H480" s="36" t="s">
        <v>585</v>
      </c>
      <c r="I480" s="6" t="s">
        <v>585</v>
      </c>
      <c r="J480" s="36" t="s">
        <v>585</v>
      </c>
      <c r="K480" s="214" t="n">
        <v>0.1</v>
      </c>
      <c r="L480" s="214" t="n">
        <v>0.4</v>
      </c>
      <c r="M480" s="36" t="s">
        <v>3959</v>
      </c>
      <c r="N480" s="6" t="s">
        <v>3960</v>
      </c>
      <c r="O480" s="6" t="s">
        <v>3956</v>
      </c>
      <c r="P480" s="212" t="s">
        <v>2774</v>
      </c>
      <c r="Q480" s="38" t="n">
        <f aca="false">Cap_In!F51</f>
        <v>0.2</v>
      </c>
      <c r="R480" s="36" t="s">
        <v>585</v>
      </c>
      <c r="S480" s="35" t="str">
        <f aca="false">IF(ISNUMBER($AF480),INDEX(IDX_SrcStat,$AF480),"—")</f>
        <v>—</v>
      </c>
      <c r="T480" s="35" t="str">
        <f aca="false">IF(ISNUMBER($AF480),INDEX(IDX_SrcGrade,$AF480),"—")</f>
        <v>—</v>
      </c>
      <c r="U480" s="35" t="s">
        <v>2775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5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6" t="s">
        <v>3961</v>
      </c>
      <c r="B481" s="212" t="s">
        <v>3830</v>
      </c>
      <c r="C481" s="36" t="s">
        <v>3831</v>
      </c>
      <c r="D481" s="36" t="s">
        <v>3962</v>
      </c>
      <c r="E481" s="6" t="s">
        <v>1201</v>
      </c>
      <c r="F481" s="36" t="s">
        <v>82</v>
      </c>
      <c r="G481" s="212" t="s">
        <v>2771</v>
      </c>
      <c r="H481" s="36" t="s">
        <v>3963</v>
      </c>
      <c r="I481" s="19" t="s">
        <v>3964</v>
      </c>
      <c r="J481" s="36" t="s">
        <v>585</v>
      </c>
      <c r="K481" s="214" t="n">
        <v>33</v>
      </c>
      <c r="L481" s="214" t="n">
        <v>39</v>
      </c>
      <c r="M481" s="36" t="s">
        <v>3965</v>
      </c>
      <c r="N481" s="19" t="s">
        <v>3966</v>
      </c>
      <c r="O481" s="6" t="s">
        <v>3967</v>
      </c>
      <c r="P481" s="212" t="s">
        <v>2774</v>
      </c>
      <c r="Q481" s="182" t="n">
        <f aca="false">Cap_In!I53</f>
        <v>36</v>
      </c>
      <c r="R481" s="184" t="n">
        <f aca="false">SRC_CAP_007</f>
        <v>36</v>
      </c>
      <c r="S481" s="35" t="str">
        <f aca="false">IF(ISNUMBER($AF481),INDEX(IDX_SrcStat,$AF481),"—")</f>
        <v>Active</v>
      </c>
      <c r="T481" s="35" t="n">
        <f aca="false">IF(ISNUMBER($AF481),INDEX(IDX_SrcGrade,$AF481),"—")</f>
        <v>2</v>
      </c>
      <c r="U481" s="35" t="s">
        <v>2775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5" t="n">
        <f aca="false">IF(OR($H481="—",$H481=""),"—",MATCH($H481,IDX_SrcID,0))</f>
        <v>492</v>
      </c>
    </row>
    <row r="482" customFormat="false" ht="57.75" hidden="false" customHeight="true" outlineLevel="0" collapsed="false">
      <c r="A482" s="36" t="s">
        <v>3968</v>
      </c>
      <c r="B482" s="212" t="s">
        <v>3830</v>
      </c>
      <c r="C482" s="36" t="s">
        <v>3831</v>
      </c>
      <c r="D482" s="36" t="s">
        <v>3969</v>
      </c>
      <c r="E482" s="6" t="s">
        <v>1209</v>
      </c>
      <c r="F482" s="36" t="s">
        <v>82</v>
      </c>
      <c r="G482" s="212" t="s">
        <v>2771</v>
      </c>
      <c r="H482" s="36" t="s">
        <v>3970</v>
      </c>
      <c r="I482" s="19" t="s">
        <v>3971</v>
      </c>
      <c r="J482" s="36" t="s">
        <v>585</v>
      </c>
      <c r="K482" s="214" t="n">
        <v>37</v>
      </c>
      <c r="L482" s="214" t="n">
        <v>43</v>
      </c>
      <c r="M482" s="36" t="s">
        <v>3972</v>
      </c>
      <c r="N482" s="19" t="s">
        <v>3973</v>
      </c>
      <c r="O482" s="6" t="s">
        <v>3974</v>
      </c>
      <c r="P482" s="212" t="s">
        <v>2774</v>
      </c>
      <c r="Q482" s="182" t="n">
        <f aca="false">Cap_In!I56</f>
        <v>40</v>
      </c>
      <c r="R482" s="184" t="n">
        <f aca="false">SRC_CAP_006</f>
        <v>40</v>
      </c>
      <c r="S482" s="35" t="str">
        <f aca="false">IF(ISNUMBER($AF482),INDEX(IDX_SrcStat,$AF482),"—")</f>
        <v>Active</v>
      </c>
      <c r="T482" s="35" t="n">
        <f aca="false">IF(ISNUMBER($AF482),INDEX(IDX_SrcGrade,$AF482),"—")</f>
        <v>2</v>
      </c>
      <c r="U482" s="35" t="s">
        <v>2775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5" t="n">
        <f aca="false">IF(OR($H482="—",$H482=""),"—",MATCH($H482,IDX_SrcID,0))</f>
        <v>491</v>
      </c>
    </row>
    <row r="483" customFormat="false" ht="43.5" hidden="false" customHeight="true" outlineLevel="0" collapsed="false">
      <c r="A483" s="36" t="s">
        <v>3975</v>
      </c>
      <c r="B483" s="212" t="s">
        <v>3830</v>
      </c>
      <c r="C483" s="36" t="s">
        <v>3976</v>
      </c>
      <c r="D483" s="36" t="s">
        <v>3421</v>
      </c>
      <c r="E483" s="19" t="s">
        <v>3977</v>
      </c>
      <c r="F483" s="36" t="s">
        <v>70</v>
      </c>
      <c r="G483" s="212" t="s">
        <v>2771</v>
      </c>
      <c r="H483" s="36" t="s">
        <v>585</v>
      </c>
      <c r="I483" s="6" t="s">
        <v>585</v>
      </c>
      <c r="J483" s="36" t="s">
        <v>3488</v>
      </c>
      <c r="K483" s="212"/>
      <c r="L483" s="212"/>
      <c r="M483" s="212" t="s">
        <v>2708</v>
      </c>
      <c r="N483" s="6" t="s">
        <v>3978</v>
      </c>
      <c r="O483" s="6" t="s">
        <v>585</v>
      </c>
      <c r="P483" s="212" t="s">
        <v>2774</v>
      </c>
      <c r="Q483" s="182" t="n">
        <f aca="false">Har_In!C5</f>
        <v>2</v>
      </c>
      <c r="R483" s="36" t="s">
        <v>585</v>
      </c>
      <c r="S483" s="35" t="str">
        <f aca="false">IF(ISNUMBER($AF483),INDEX(IDX_SrcStat,$AF483),"—")</f>
        <v>—</v>
      </c>
      <c r="T483" s="35" t="str">
        <f aca="false">IF(ISNUMBER($AF483),INDEX(IDX_SrcGrade,$AF483),"—")</f>
        <v>—</v>
      </c>
      <c r="U483" s="35" t="s">
        <v>2775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5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6" t="s">
        <v>3979</v>
      </c>
      <c r="B484" s="212" t="s">
        <v>3830</v>
      </c>
      <c r="C484" s="36" t="s">
        <v>3976</v>
      </c>
      <c r="D484" s="36" t="s">
        <v>2941</v>
      </c>
      <c r="E484" s="19" t="s">
        <v>3980</v>
      </c>
      <c r="F484" s="36" t="s">
        <v>70</v>
      </c>
      <c r="G484" s="212" t="s">
        <v>2771</v>
      </c>
      <c r="H484" s="36" t="s">
        <v>585</v>
      </c>
      <c r="I484" s="6" t="s">
        <v>585</v>
      </c>
      <c r="J484" s="36" t="s">
        <v>3981</v>
      </c>
      <c r="K484" s="214" t="n">
        <v>0</v>
      </c>
      <c r="L484" s="214" t="n">
        <v>0.8</v>
      </c>
      <c r="M484" s="36" t="s">
        <v>3982</v>
      </c>
      <c r="N484" s="6" t="s">
        <v>3983</v>
      </c>
      <c r="O484" s="6" t="s">
        <v>585</v>
      </c>
      <c r="P484" s="212" t="s">
        <v>2774</v>
      </c>
      <c r="Q484" s="176" t="n">
        <f aca="false">Har_In!C8</f>
        <v>0.5</v>
      </c>
      <c r="R484" s="36" t="s">
        <v>585</v>
      </c>
      <c r="S484" s="35" t="str">
        <f aca="false">IF(ISNUMBER($AF484),INDEX(IDX_SrcStat,$AF484),"—")</f>
        <v>—</v>
      </c>
      <c r="T484" s="35" t="str">
        <f aca="false">IF(ISNUMBER($AF484),INDEX(IDX_SrcGrade,$AF484),"—")</f>
        <v>—</v>
      </c>
      <c r="U484" s="35" t="s">
        <v>2775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5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6" t="s">
        <v>3984</v>
      </c>
      <c r="B485" s="212" t="s">
        <v>3830</v>
      </c>
      <c r="C485" s="36" t="s">
        <v>3976</v>
      </c>
      <c r="D485" s="36" t="s">
        <v>3985</v>
      </c>
      <c r="E485" s="19" t="s">
        <v>1471</v>
      </c>
      <c r="F485" s="36" t="s">
        <v>78</v>
      </c>
      <c r="G485" s="212" t="s">
        <v>3516</v>
      </c>
      <c r="H485" s="36" t="s">
        <v>585</v>
      </c>
      <c r="I485" s="6" t="s">
        <v>585</v>
      </c>
      <c r="J485" s="36" t="s">
        <v>585</v>
      </c>
      <c r="K485" s="212"/>
      <c r="L485" s="212"/>
      <c r="M485" s="36" t="s">
        <v>3986</v>
      </c>
      <c r="N485" s="19" t="s">
        <v>3987</v>
      </c>
      <c r="O485" s="6" t="s">
        <v>585</v>
      </c>
      <c r="P485" s="212" t="s">
        <v>2774</v>
      </c>
      <c r="Q485" s="184" t="s">
        <v>585</v>
      </c>
      <c r="R485" s="36" t="s">
        <v>585</v>
      </c>
      <c r="S485" s="35" t="str">
        <f aca="false">IF(ISNUMBER($AF485),INDEX(IDX_SrcStat,$AF485),"—")</f>
        <v>—</v>
      </c>
      <c r="T485" s="35" t="str">
        <f aca="false">IF(ISNUMBER($AF485),INDEX(IDX_SrcGrade,$AF485),"—")</f>
        <v>—</v>
      </c>
      <c r="U485" s="36" t="s">
        <v>585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5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6" t="s">
        <v>3988</v>
      </c>
      <c r="B486" s="212" t="s">
        <v>3830</v>
      </c>
      <c r="C486" s="36" t="s">
        <v>3976</v>
      </c>
      <c r="D486" s="36" t="s">
        <v>3989</v>
      </c>
      <c r="E486" s="19" t="s">
        <v>3990</v>
      </c>
      <c r="F486" s="36" t="s">
        <v>78</v>
      </c>
      <c r="G486" s="212" t="s">
        <v>3516</v>
      </c>
      <c r="H486" s="36" t="s">
        <v>585</v>
      </c>
      <c r="I486" s="6" t="s">
        <v>585</v>
      </c>
      <c r="J486" s="36" t="s">
        <v>585</v>
      </c>
      <c r="K486" s="212"/>
      <c r="L486" s="212"/>
      <c r="M486" s="36" t="s">
        <v>3991</v>
      </c>
      <c r="N486" s="19" t="s">
        <v>3992</v>
      </c>
      <c r="O486" s="6" t="s">
        <v>3993</v>
      </c>
      <c r="P486" s="212" t="s">
        <v>2774</v>
      </c>
      <c r="Q486" s="184" t="s">
        <v>585</v>
      </c>
      <c r="R486" s="36" t="s">
        <v>585</v>
      </c>
      <c r="S486" s="35" t="str">
        <f aca="false">IF(ISNUMBER($AF486),INDEX(IDX_SrcStat,$AF486),"—")</f>
        <v>—</v>
      </c>
      <c r="T486" s="35" t="str">
        <f aca="false">IF(ISNUMBER($AF486),INDEX(IDX_SrcGrade,$AF486),"—")</f>
        <v>—</v>
      </c>
      <c r="U486" s="36" t="s">
        <v>585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5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6" t="s">
        <v>3994</v>
      </c>
      <c r="B487" s="212" t="s">
        <v>3830</v>
      </c>
      <c r="C487" s="36" t="s">
        <v>3976</v>
      </c>
      <c r="D487" s="36" t="s">
        <v>3995</v>
      </c>
      <c r="E487" s="19" t="s">
        <v>1476</v>
      </c>
      <c r="F487" s="36" t="s">
        <v>78</v>
      </c>
      <c r="G487" s="212" t="s">
        <v>3516</v>
      </c>
      <c r="H487" s="36" t="s">
        <v>585</v>
      </c>
      <c r="I487" s="6" t="s">
        <v>585</v>
      </c>
      <c r="J487" s="36" t="s">
        <v>585</v>
      </c>
      <c r="K487" s="212"/>
      <c r="L487" s="212"/>
      <c r="M487" s="36" t="s">
        <v>3996</v>
      </c>
      <c r="N487" s="19" t="s">
        <v>3997</v>
      </c>
      <c r="O487" s="6" t="s">
        <v>585</v>
      </c>
      <c r="P487" s="212" t="s">
        <v>2774</v>
      </c>
      <c r="Q487" s="184" t="s">
        <v>585</v>
      </c>
      <c r="R487" s="36" t="s">
        <v>585</v>
      </c>
      <c r="S487" s="35" t="str">
        <f aca="false">IF(ISNUMBER($AF487),INDEX(IDX_SrcStat,$AF487),"—")</f>
        <v>—</v>
      </c>
      <c r="T487" s="35" t="str">
        <f aca="false">IF(ISNUMBER($AF487),INDEX(IDX_SrcGrade,$AF487),"—")</f>
        <v>—</v>
      </c>
      <c r="U487" s="36" t="s">
        <v>585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5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6" t="s">
        <v>3998</v>
      </c>
      <c r="B488" s="212" t="s">
        <v>3830</v>
      </c>
      <c r="C488" s="36" t="s">
        <v>3976</v>
      </c>
      <c r="D488" s="36" t="s">
        <v>3999</v>
      </c>
      <c r="E488" s="19" t="s">
        <v>4000</v>
      </c>
      <c r="F488" s="36" t="s">
        <v>78</v>
      </c>
      <c r="G488" s="212" t="s">
        <v>3516</v>
      </c>
      <c r="H488" s="36" t="s">
        <v>585</v>
      </c>
      <c r="I488" s="6" t="s">
        <v>585</v>
      </c>
      <c r="J488" s="36" t="s">
        <v>585</v>
      </c>
      <c r="K488" s="212"/>
      <c r="L488" s="212"/>
      <c r="M488" s="36" t="s">
        <v>4001</v>
      </c>
      <c r="N488" s="19" t="s">
        <v>4002</v>
      </c>
      <c r="O488" s="6" t="s">
        <v>585</v>
      </c>
      <c r="P488" s="212" t="s">
        <v>2774</v>
      </c>
      <c r="Q488" s="184" t="s">
        <v>585</v>
      </c>
      <c r="R488" s="36" t="s">
        <v>585</v>
      </c>
      <c r="S488" s="35" t="str">
        <f aca="false">IF(ISNUMBER($AF488),INDEX(IDX_SrcStat,$AF488),"—")</f>
        <v>—</v>
      </c>
      <c r="T488" s="35" t="str">
        <f aca="false">IF(ISNUMBER($AF488),INDEX(IDX_SrcGrade,$AF488),"—")</f>
        <v>—</v>
      </c>
      <c r="U488" s="36" t="s">
        <v>585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5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6" t="s">
        <v>4003</v>
      </c>
      <c r="B489" s="212" t="s">
        <v>3830</v>
      </c>
      <c r="C489" s="36" t="s">
        <v>3976</v>
      </c>
      <c r="D489" s="36" t="s">
        <v>4004</v>
      </c>
      <c r="E489" s="19" t="s">
        <v>1480</v>
      </c>
      <c r="F489" s="36" t="s">
        <v>78</v>
      </c>
      <c r="G489" s="212" t="s">
        <v>3516</v>
      </c>
      <c r="H489" s="36" t="s">
        <v>585</v>
      </c>
      <c r="I489" s="6" t="s">
        <v>585</v>
      </c>
      <c r="J489" s="36" t="s">
        <v>585</v>
      </c>
      <c r="K489" s="212"/>
      <c r="L489" s="212"/>
      <c r="M489" s="36" t="s">
        <v>4005</v>
      </c>
      <c r="N489" s="19" t="s">
        <v>4006</v>
      </c>
      <c r="O489" s="6" t="s">
        <v>585</v>
      </c>
      <c r="P489" s="212" t="s">
        <v>2774</v>
      </c>
      <c r="Q489" s="184" t="s">
        <v>585</v>
      </c>
      <c r="R489" s="36" t="s">
        <v>585</v>
      </c>
      <c r="S489" s="35" t="str">
        <f aca="false">IF(ISNUMBER($AF489),INDEX(IDX_SrcStat,$AF489),"—")</f>
        <v>—</v>
      </c>
      <c r="T489" s="35" t="str">
        <f aca="false">IF(ISNUMBER($AF489),INDEX(IDX_SrcGrade,$AF489),"—")</f>
        <v>—</v>
      </c>
      <c r="U489" s="36" t="s">
        <v>585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5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6" t="s">
        <v>4007</v>
      </c>
      <c r="B490" s="212" t="s">
        <v>3830</v>
      </c>
      <c r="C490" s="36" t="s">
        <v>3976</v>
      </c>
      <c r="D490" s="36" t="s">
        <v>4008</v>
      </c>
      <c r="E490" s="19" t="s">
        <v>1483</v>
      </c>
      <c r="F490" s="36" t="s">
        <v>78</v>
      </c>
      <c r="G490" s="212" t="s">
        <v>3516</v>
      </c>
      <c r="H490" s="36" t="s">
        <v>585</v>
      </c>
      <c r="I490" s="6" t="s">
        <v>585</v>
      </c>
      <c r="J490" s="36" t="s">
        <v>585</v>
      </c>
      <c r="K490" s="212"/>
      <c r="L490" s="212"/>
      <c r="M490" s="36" t="s">
        <v>4009</v>
      </c>
      <c r="N490" s="19" t="s">
        <v>4010</v>
      </c>
      <c r="O490" s="6" t="s">
        <v>585</v>
      </c>
      <c r="P490" s="212" t="s">
        <v>2774</v>
      </c>
      <c r="Q490" s="184" t="s">
        <v>585</v>
      </c>
      <c r="R490" s="36" t="s">
        <v>585</v>
      </c>
      <c r="S490" s="35" t="str">
        <f aca="false">IF(ISNUMBER($AF490),INDEX(IDX_SrcStat,$AF490),"—")</f>
        <v>—</v>
      </c>
      <c r="T490" s="35" t="str">
        <f aca="false">IF(ISNUMBER($AF490),INDEX(IDX_SrcGrade,$AF490),"—")</f>
        <v>—</v>
      </c>
      <c r="U490" s="36" t="s">
        <v>585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5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6" t="s">
        <v>4011</v>
      </c>
      <c r="B491" s="212" t="s">
        <v>3830</v>
      </c>
      <c r="C491" s="36" t="s">
        <v>3976</v>
      </c>
      <c r="D491" s="36" t="s">
        <v>4012</v>
      </c>
      <c r="E491" s="19" t="s">
        <v>1487</v>
      </c>
      <c r="F491" s="36" t="s">
        <v>78</v>
      </c>
      <c r="G491" s="212" t="s">
        <v>3516</v>
      </c>
      <c r="H491" s="36" t="s">
        <v>585</v>
      </c>
      <c r="I491" s="6" t="s">
        <v>585</v>
      </c>
      <c r="J491" s="36" t="s">
        <v>585</v>
      </c>
      <c r="K491" s="212"/>
      <c r="L491" s="212"/>
      <c r="M491" s="36" t="s">
        <v>4013</v>
      </c>
      <c r="N491" s="19" t="s">
        <v>4014</v>
      </c>
      <c r="O491" s="6" t="s">
        <v>585</v>
      </c>
      <c r="P491" s="212" t="s">
        <v>2774</v>
      </c>
      <c r="Q491" s="184" t="s">
        <v>585</v>
      </c>
      <c r="R491" s="36" t="s">
        <v>585</v>
      </c>
      <c r="S491" s="35" t="str">
        <f aca="false">IF(ISNUMBER($AF491),INDEX(IDX_SrcStat,$AF491),"—")</f>
        <v>—</v>
      </c>
      <c r="T491" s="35" t="str">
        <f aca="false">IF(ISNUMBER($AF491),INDEX(IDX_SrcGrade,$AF491),"—")</f>
        <v>—</v>
      </c>
      <c r="U491" s="36" t="s">
        <v>585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5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6" t="s">
        <v>4015</v>
      </c>
      <c r="B492" s="212" t="s">
        <v>3830</v>
      </c>
      <c r="C492" s="36" t="s">
        <v>3976</v>
      </c>
      <c r="D492" s="36" t="s">
        <v>4016</v>
      </c>
      <c r="E492" s="19" t="s">
        <v>1485</v>
      </c>
      <c r="F492" s="36" t="s">
        <v>82</v>
      </c>
      <c r="G492" s="212" t="s">
        <v>3516</v>
      </c>
      <c r="H492" s="36" t="s">
        <v>4017</v>
      </c>
      <c r="I492" s="19" t="s">
        <v>4018</v>
      </c>
      <c r="J492" s="36" t="s">
        <v>585</v>
      </c>
      <c r="K492" s="212"/>
      <c r="L492" s="212"/>
      <c r="M492" s="36" t="s">
        <v>4019</v>
      </c>
      <c r="N492" s="19" t="s">
        <v>4020</v>
      </c>
      <c r="O492" s="6" t="s">
        <v>585</v>
      </c>
      <c r="P492" s="212" t="s">
        <v>2774</v>
      </c>
      <c r="Q492" s="184" t="s">
        <v>585</v>
      </c>
      <c r="R492" s="184" t="n">
        <f aca="false">SRC_HAR_003</f>
        <v>0.627</v>
      </c>
      <c r="S492" s="35" t="str">
        <f aca="false">IF(ISNUMBER($AF492),INDEX(IDX_SrcStat,$AF492),"—")</f>
        <v>Active</v>
      </c>
      <c r="T492" s="35" t="n">
        <f aca="false">IF(ISNUMBER($AF492),INDEX(IDX_SrcGrade,$AF492),"—")</f>
        <v>2</v>
      </c>
      <c r="U492" s="36" t="s">
        <v>585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5" t="n">
        <f aca="false">IF(OR($H492="—",$H492=""),"—",MATCH($H492,IDX_SrcID,0))</f>
        <v>559</v>
      </c>
    </row>
    <row r="493" customFormat="false" ht="43.5" hidden="false" customHeight="true" outlineLevel="0" collapsed="false">
      <c r="A493" s="36" t="s">
        <v>4021</v>
      </c>
      <c r="B493" s="212" t="s">
        <v>3830</v>
      </c>
      <c r="C493" s="36" t="s">
        <v>3976</v>
      </c>
      <c r="D493" s="36" t="s">
        <v>4022</v>
      </c>
      <c r="E493" s="19" t="s">
        <v>4023</v>
      </c>
      <c r="F493" s="36" t="s">
        <v>78</v>
      </c>
      <c r="G493" s="212" t="s">
        <v>3516</v>
      </c>
      <c r="H493" s="36" t="s">
        <v>585</v>
      </c>
      <c r="I493" s="6" t="s">
        <v>585</v>
      </c>
      <c r="J493" s="36" t="s">
        <v>585</v>
      </c>
      <c r="K493" s="212"/>
      <c r="L493" s="212"/>
      <c r="M493" s="212" t="s">
        <v>2708</v>
      </c>
      <c r="N493" s="19" t="s">
        <v>4024</v>
      </c>
      <c r="O493" s="6" t="s">
        <v>4025</v>
      </c>
      <c r="P493" s="212" t="s">
        <v>2774</v>
      </c>
      <c r="Q493" s="184" t="s">
        <v>585</v>
      </c>
      <c r="R493" s="36" t="s">
        <v>585</v>
      </c>
      <c r="S493" s="35" t="str">
        <f aca="false">IF(ISNUMBER($AF493),INDEX(IDX_SrcStat,$AF493),"—")</f>
        <v>—</v>
      </c>
      <c r="T493" s="35" t="str">
        <f aca="false">IF(ISNUMBER($AF493),INDEX(IDX_SrcGrade,$AF493),"—")</f>
        <v>—</v>
      </c>
      <c r="U493" s="36" t="s">
        <v>585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5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6" t="s">
        <v>4026</v>
      </c>
      <c r="B494" s="212" t="s">
        <v>3830</v>
      </c>
      <c r="C494" s="36" t="s">
        <v>3976</v>
      </c>
      <c r="D494" s="36" t="s">
        <v>4027</v>
      </c>
      <c r="E494" s="19" t="s">
        <v>1471</v>
      </c>
      <c r="F494" s="36" t="s">
        <v>78</v>
      </c>
      <c r="G494" s="212" t="s">
        <v>3516</v>
      </c>
      <c r="H494" s="36" t="s">
        <v>585</v>
      </c>
      <c r="I494" s="6" t="s">
        <v>585</v>
      </c>
      <c r="J494" s="36" t="s">
        <v>585</v>
      </c>
      <c r="K494" s="212"/>
      <c r="L494" s="212"/>
      <c r="M494" s="36" t="s">
        <v>4028</v>
      </c>
      <c r="N494" s="19" t="s">
        <v>4029</v>
      </c>
      <c r="O494" s="6" t="s">
        <v>585</v>
      </c>
      <c r="P494" s="212" t="s">
        <v>2774</v>
      </c>
      <c r="Q494" s="184" t="s">
        <v>585</v>
      </c>
      <c r="R494" s="36" t="s">
        <v>585</v>
      </c>
      <c r="S494" s="35" t="str">
        <f aca="false">IF(ISNUMBER($AF494),INDEX(IDX_SrcStat,$AF494),"—")</f>
        <v>—</v>
      </c>
      <c r="T494" s="35" t="str">
        <f aca="false">IF(ISNUMBER($AF494),INDEX(IDX_SrcGrade,$AF494),"—")</f>
        <v>—</v>
      </c>
      <c r="U494" s="36" t="s">
        <v>585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5" t="str">
        <f aca="false">IF(OR($H494="—",$H494=""),"—",MATCH($H494,IDX_SrcID,0))</f>
        <v>—</v>
      </c>
    </row>
    <row r="495" customFormat="false" ht="15" hidden="false" customHeight="true" outlineLevel="0" collapsed="false">
      <c r="A495" s="36" t="s">
        <v>4030</v>
      </c>
      <c r="B495" s="212" t="s">
        <v>3830</v>
      </c>
      <c r="C495" s="36" t="s">
        <v>3976</v>
      </c>
      <c r="D495" s="36" t="s">
        <v>4031</v>
      </c>
      <c r="E495" s="19" t="s">
        <v>3990</v>
      </c>
      <c r="F495" s="36" t="s">
        <v>78</v>
      </c>
      <c r="G495" s="212" t="s">
        <v>3516</v>
      </c>
      <c r="H495" s="36" t="s">
        <v>585</v>
      </c>
      <c r="I495" s="6" t="s">
        <v>585</v>
      </c>
      <c r="J495" s="36" t="s">
        <v>585</v>
      </c>
      <c r="K495" s="212"/>
      <c r="L495" s="212"/>
      <c r="M495" s="36" t="s">
        <v>3991</v>
      </c>
      <c r="N495" s="19" t="s">
        <v>4032</v>
      </c>
      <c r="O495" s="6" t="s">
        <v>585</v>
      </c>
      <c r="P495" s="212" t="s">
        <v>2774</v>
      </c>
      <c r="Q495" s="184" t="s">
        <v>585</v>
      </c>
      <c r="R495" s="36" t="s">
        <v>585</v>
      </c>
      <c r="S495" s="35" t="str">
        <f aca="false">IF(ISNUMBER($AF495),INDEX(IDX_SrcStat,$AF495),"—")</f>
        <v>—</v>
      </c>
      <c r="T495" s="35" t="str">
        <f aca="false">IF(ISNUMBER($AF495),INDEX(IDX_SrcGrade,$AF495),"—")</f>
        <v>—</v>
      </c>
      <c r="U495" s="36" t="s">
        <v>585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5" t="str">
        <f aca="false">IF(OR($H495="—",$H495=""),"—",MATCH($H495,IDX_SrcID,0))</f>
        <v>—</v>
      </c>
    </row>
    <row r="496" customFormat="false" ht="15" hidden="false" customHeight="true" outlineLevel="0" collapsed="false">
      <c r="A496" s="36" t="s">
        <v>4033</v>
      </c>
      <c r="B496" s="212" t="s">
        <v>3830</v>
      </c>
      <c r="C496" s="36" t="s">
        <v>3976</v>
      </c>
      <c r="D496" s="36" t="s">
        <v>4034</v>
      </c>
      <c r="E496" s="19" t="s">
        <v>1476</v>
      </c>
      <c r="F496" s="36" t="s">
        <v>78</v>
      </c>
      <c r="G496" s="212" t="s">
        <v>3516</v>
      </c>
      <c r="H496" s="36" t="s">
        <v>585</v>
      </c>
      <c r="I496" s="6" t="s">
        <v>585</v>
      </c>
      <c r="J496" s="36" t="s">
        <v>585</v>
      </c>
      <c r="K496" s="212"/>
      <c r="L496" s="212"/>
      <c r="M496" s="36" t="s">
        <v>4035</v>
      </c>
      <c r="N496" s="19" t="s">
        <v>4036</v>
      </c>
      <c r="O496" s="6" t="s">
        <v>585</v>
      </c>
      <c r="P496" s="212" t="s">
        <v>2774</v>
      </c>
      <c r="Q496" s="184" t="s">
        <v>585</v>
      </c>
      <c r="R496" s="36" t="s">
        <v>585</v>
      </c>
      <c r="S496" s="35" t="str">
        <f aca="false">IF(ISNUMBER($AF496),INDEX(IDX_SrcStat,$AF496),"—")</f>
        <v>—</v>
      </c>
      <c r="T496" s="35" t="str">
        <f aca="false">IF(ISNUMBER($AF496),INDEX(IDX_SrcGrade,$AF496),"—")</f>
        <v>—</v>
      </c>
      <c r="U496" s="36" t="s">
        <v>585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5" t="str">
        <f aca="false">IF(OR($H496="—",$H496=""),"—",MATCH($H496,IDX_SrcID,0))</f>
        <v>—</v>
      </c>
    </row>
    <row r="497" customFormat="false" ht="15" hidden="false" customHeight="true" outlineLevel="0" collapsed="false">
      <c r="A497" s="36" t="s">
        <v>4037</v>
      </c>
      <c r="B497" s="212" t="s">
        <v>3830</v>
      </c>
      <c r="C497" s="36" t="s">
        <v>3976</v>
      </c>
      <c r="D497" s="36" t="s">
        <v>4038</v>
      </c>
      <c r="E497" s="19" t="s">
        <v>4000</v>
      </c>
      <c r="F497" s="36" t="s">
        <v>78</v>
      </c>
      <c r="G497" s="212" t="s">
        <v>3516</v>
      </c>
      <c r="H497" s="36" t="s">
        <v>585</v>
      </c>
      <c r="I497" s="6" t="s">
        <v>585</v>
      </c>
      <c r="J497" s="36" t="s">
        <v>585</v>
      </c>
      <c r="K497" s="212"/>
      <c r="L497" s="212"/>
      <c r="M497" s="36" t="s">
        <v>4039</v>
      </c>
      <c r="N497" s="19" t="s">
        <v>4040</v>
      </c>
      <c r="O497" s="6" t="s">
        <v>585</v>
      </c>
      <c r="P497" s="212" t="s">
        <v>2774</v>
      </c>
      <c r="Q497" s="184" t="s">
        <v>585</v>
      </c>
      <c r="R497" s="36" t="s">
        <v>585</v>
      </c>
      <c r="S497" s="35" t="str">
        <f aca="false">IF(ISNUMBER($AF497),INDEX(IDX_SrcStat,$AF497),"—")</f>
        <v>—</v>
      </c>
      <c r="T497" s="35" t="str">
        <f aca="false">IF(ISNUMBER($AF497),INDEX(IDX_SrcGrade,$AF497),"—")</f>
        <v>—</v>
      </c>
      <c r="U497" s="36" t="s">
        <v>585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5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6" t="s">
        <v>4041</v>
      </c>
      <c r="B498" s="212" t="s">
        <v>3830</v>
      </c>
      <c r="C498" s="36" t="s">
        <v>3976</v>
      </c>
      <c r="D498" s="36" t="s">
        <v>4042</v>
      </c>
      <c r="E498" s="19" t="s">
        <v>1480</v>
      </c>
      <c r="F498" s="36" t="s">
        <v>78</v>
      </c>
      <c r="G498" s="212" t="s">
        <v>3516</v>
      </c>
      <c r="H498" s="36" t="s">
        <v>585</v>
      </c>
      <c r="I498" s="6" t="s">
        <v>585</v>
      </c>
      <c r="J498" s="36" t="s">
        <v>585</v>
      </c>
      <c r="K498" s="212"/>
      <c r="L498" s="212"/>
      <c r="M498" s="36" t="s">
        <v>4005</v>
      </c>
      <c r="N498" s="19" t="s">
        <v>4043</v>
      </c>
      <c r="O498" s="6" t="s">
        <v>585</v>
      </c>
      <c r="P498" s="212" t="s">
        <v>2774</v>
      </c>
      <c r="Q498" s="184" t="s">
        <v>585</v>
      </c>
      <c r="R498" s="36" t="s">
        <v>585</v>
      </c>
      <c r="S498" s="35" t="str">
        <f aca="false">IF(ISNUMBER($AF498),INDEX(IDX_SrcStat,$AF498),"—")</f>
        <v>—</v>
      </c>
      <c r="T498" s="35" t="str">
        <f aca="false">IF(ISNUMBER($AF498),INDEX(IDX_SrcGrade,$AF498),"—")</f>
        <v>—</v>
      </c>
      <c r="U498" s="36" t="s">
        <v>585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5" t="str">
        <f aca="false">IF(OR($H498="—",$H498=""),"—",MATCH($H498,IDX_SrcID,0))</f>
        <v>—</v>
      </c>
    </row>
    <row r="499" customFormat="false" ht="15" hidden="false" customHeight="true" outlineLevel="0" collapsed="false">
      <c r="A499" s="36" t="s">
        <v>4044</v>
      </c>
      <c r="B499" s="212" t="s">
        <v>3830</v>
      </c>
      <c r="C499" s="36" t="s">
        <v>3976</v>
      </c>
      <c r="D499" s="36" t="s">
        <v>4045</v>
      </c>
      <c r="E499" s="19" t="s">
        <v>1485</v>
      </c>
      <c r="F499" s="36" t="s">
        <v>78</v>
      </c>
      <c r="G499" s="212" t="s">
        <v>3516</v>
      </c>
      <c r="H499" s="36" t="s">
        <v>585</v>
      </c>
      <c r="I499" s="6" t="s">
        <v>585</v>
      </c>
      <c r="J499" s="36" t="s">
        <v>585</v>
      </c>
      <c r="K499" s="212"/>
      <c r="L499" s="212"/>
      <c r="M499" s="36" t="s">
        <v>4046</v>
      </c>
      <c r="N499" s="19" t="s">
        <v>4047</v>
      </c>
      <c r="O499" s="6" t="s">
        <v>585</v>
      </c>
      <c r="P499" s="212" t="s">
        <v>2774</v>
      </c>
      <c r="Q499" s="184" t="s">
        <v>585</v>
      </c>
      <c r="R499" s="36" t="s">
        <v>585</v>
      </c>
      <c r="S499" s="35" t="str">
        <f aca="false">IF(ISNUMBER($AF499),INDEX(IDX_SrcStat,$AF499),"—")</f>
        <v>—</v>
      </c>
      <c r="T499" s="35" t="str">
        <f aca="false">IF(ISNUMBER($AF499),INDEX(IDX_SrcGrade,$AF499),"—")</f>
        <v>—</v>
      </c>
      <c r="U499" s="36" t="s">
        <v>585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5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6" t="s">
        <v>4048</v>
      </c>
      <c r="B500" s="212" t="s">
        <v>3830</v>
      </c>
      <c r="C500" s="36" t="s">
        <v>3976</v>
      </c>
      <c r="D500" s="36" t="s">
        <v>4049</v>
      </c>
      <c r="E500" s="19" t="s">
        <v>1487</v>
      </c>
      <c r="F500" s="36" t="s">
        <v>78</v>
      </c>
      <c r="G500" s="212" t="s">
        <v>3516</v>
      </c>
      <c r="H500" s="36" t="s">
        <v>585</v>
      </c>
      <c r="I500" s="6" t="s">
        <v>585</v>
      </c>
      <c r="J500" s="36" t="s">
        <v>585</v>
      </c>
      <c r="K500" s="212"/>
      <c r="L500" s="212"/>
      <c r="M500" s="36" t="s">
        <v>4050</v>
      </c>
      <c r="N500" s="19" t="s">
        <v>4051</v>
      </c>
      <c r="O500" s="6" t="s">
        <v>585</v>
      </c>
      <c r="P500" s="212" t="s">
        <v>2774</v>
      </c>
      <c r="Q500" s="184" t="s">
        <v>585</v>
      </c>
      <c r="R500" s="36" t="s">
        <v>585</v>
      </c>
      <c r="S500" s="35" t="str">
        <f aca="false">IF(ISNUMBER($AF500),INDEX(IDX_SrcStat,$AF500),"—")</f>
        <v>—</v>
      </c>
      <c r="T500" s="35" t="str">
        <f aca="false">IF(ISNUMBER($AF500),INDEX(IDX_SrcGrade,$AF500),"—")</f>
        <v>—</v>
      </c>
      <c r="U500" s="36" t="s">
        <v>585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5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6" t="s">
        <v>4052</v>
      </c>
      <c r="B501" s="212" t="s">
        <v>3830</v>
      </c>
      <c r="C501" s="36" t="s">
        <v>3976</v>
      </c>
      <c r="D501" s="36" t="s">
        <v>4053</v>
      </c>
      <c r="E501" s="19" t="s">
        <v>4023</v>
      </c>
      <c r="F501" s="36" t="s">
        <v>78</v>
      </c>
      <c r="G501" s="212" t="s">
        <v>3516</v>
      </c>
      <c r="H501" s="36" t="s">
        <v>585</v>
      </c>
      <c r="I501" s="6" t="s">
        <v>585</v>
      </c>
      <c r="J501" s="36" t="s">
        <v>585</v>
      </c>
      <c r="K501" s="212"/>
      <c r="L501" s="212"/>
      <c r="M501" s="212" t="s">
        <v>2708</v>
      </c>
      <c r="N501" s="19" t="s">
        <v>4054</v>
      </c>
      <c r="O501" s="6" t="s">
        <v>585</v>
      </c>
      <c r="P501" s="212" t="s">
        <v>2774</v>
      </c>
      <c r="Q501" s="184" t="s">
        <v>585</v>
      </c>
      <c r="R501" s="36" t="s">
        <v>585</v>
      </c>
      <c r="S501" s="35" t="str">
        <f aca="false">IF(ISNUMBER($AF501),INDEX(IDX_SrcStat,$AF501),"—")</f>
        <v>—</v>
      </c>
      <c r="T501" s="35" t="str">
        <f aca="false">IF(ISNUMBER($AF501),INDEX(IDX_SrcGrade,$AF501),"—")</f>
        <v>—</v>
      </c>
      <c r="U501" s="36" t="s">
        <v>585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5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6" t="s">
        <v>4055</v>
      </c>
      <c r="B502" s="212" t="s">
        <v>3830</v>
      </c>
      <c r="C502" s="36" t="s">
        <v>3976</v>
      </c>
      <c r="D502" s="36" t="s">
        <v>4056</v>
      </c>
      <c r="E502" s="19" t="s">
        <v>1483</v>
      </c>
      <c r="F502" s="36" t="s">
        <v>82</v>
      </c>
      <c r="G502" s="212" t="s">
        <v>3516</v>
      </c>
      <c r="H502" s="36" t="s">
        <v>3507</v>
      </c>
      <c r="I502" s="19" t="s">
        <v>4057</v>
      </c>
      <c r="J502" s="36" t="s">
        <v>585</v>
      </c>
      <c r="K502" s="212"/>
      <c r="L502" s="212"/>
      <c r="M502" s="36" t="s">
        <v>4058</v>
      </c>
      <c r="N502" s="19" t="s">
        <v>4059</v>
      </c>
      <c r="O502" s="6" t="s">
        <v>585</v>
      </c>
      <c r="P502" s="212" t="s">
        <v>2774</v>
      </c>
      <c r="Q502" s="184" t="s">
        <v>585</v>
      </c>
      <c r="R502" s="184" t="n">
        <f aca="false">SRC_HAR_002</f>
        <v>15</v>
      </c>
      <c r="S502" s="35" t="str">
        <f aca="false">IF(ISNUMBER($AF502),INDEX(IDX_SrcStat,$AF502),"—")</f>
        <v>Active</v>
      </c>
      <c r="T502" s="35" t="n">
        <f aca="false">IF(ISNUMBER($AF502),INDEX(IDX_SrcGrade,$AF502),"—")</f>
        <v>2</v>
      </c>
      <c r="U502" s="36" t="s">
        <v>585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5" t="n">
        <f aca="false">IF(OR($H502="—",$H502=""),"—",MATCH($H502,IDX_SrcID,0))</f>
        <v>558</v>
      </c>
    </row>
    <row r="503" customFormat="false" ht="57.75" hidden="false" customHeight="true" outlineLevel="0" collapsed="false">
      <c r="A503" s="36" t="s">
        <v>4060</v>
      </c>
      <c r="B503" s="212" t="s">
        <v>3830</v>
      </c>
      <c r="C503" s="36" t="s">
        <v>3976</v>
      </c>
      <c r="D503" s="36" t="s">
        <v>4061</v>
      </c>
      <c r="E503" s="6" t="s">
        <v>1497</v>
      </c>
      <c r="F503" s="36" t="s">
        <v>82</v>
      </c>
      <c r="G503" s="212" t="s">
        <v>3516</v>
      </c>
      <c r="H503" s="36" t="s">
        <v>4062</v>
      </c>
      <c r="I503" s="19" t="s">
        <v>4063</v>
      </c>
      <c r="J503" s="36" t="s">
        <v>585</v>
      </c>
      <c r="K503" s="212"/>
      <c r="L503" s="212"/>
      <c r="M503" s="212" t="s">
        <v>4064</v>
      </c>
      <c r="N503" s="19" t="s">
        <v>4065</v>
      </c>
      <c r="O503" s="6" t="s">
        <v>585</v>
      </c>
      <c r="P503" s="212" t="s">
        <v>2830</v>
      </c>
      <c r="Q503" s="184" t="s">
        <v>585</v>
      </c>
      <c r="R503" s="184" t="n">
        <f aca="false">SRC_CAP_020</f>
        <v>11.3</v>
      </c>
      <c r="S503" s="35" t="str">
        <f aca="false">IF(ISNUMBER($AF503),INDEX(IDX_SrcStat,$AF503),"—")</f>
        <v>Active</v>
      </c>
      <c r="T503" s="35" t="n">
        <f aca="false">IF(ISNUMBER($AF503),INDEX(IDX_SrcGrade,$AF503),"—")</f>
        <v>2</v>
      </c>
      <c r="U503" s="36" t="s">
        <v>585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5" t="n">
        <f aca="false">IF(OR($H503="—",$H503=""),"—",MATCH($H503,IDX_SrcID,0))</f>
        <v>505</v>
      </c>
    </row>
    <row r="504" customFormat="false" ht="15" hidden="false" customHeight="true" outlineLevel="0" collapsed="false">
      <c r="A504" s="36" t="s">
        <v>4066</v>
      </c>
      <c r="B504" s="212" t="s">
        <v>3830</v>
      </c>
      <c r="C504" s="36" t="s">
        <v>3976</v>
      </c>
      <c r="D504" s="36" t="s">
        <v>4067</v>
      </c>
      <c r="E504" s="6" t="s">
        <v>1499</v>
      </c>
      <c r="F504" s="36" t="s">
        <v>82</v>
      </c>
      <c r="G504" s="212" t="s">
        <v>1113</v>
      </c>
      <c r="H504" s="36" t="s">
        <v>4062</v>
      </c>
      <c r="I504" s="19" t="s">
        <v>2794</v>
      </c>
      <c r="J504" s="36" t="s">
        <v>585</v>
      </c>
      <c r="K504" s="212"/>
      <c r="L504" s="212"/>
      <c r="M504" s="36" t="s">
        <v>585</v>
      </c>
      <c r="N504" s="19" t="s">
        <v>4068</v>
      </c>
      <c r="O504" s="6" t="s">
        <v>585</v>
      </c>
      <c r="P504" s="212" t="s">
        <v>2774</v>
      </c>
      <c r="Q504" s="184" t="s">
        <v>585</v>
      </c>
      <c r="R504" s="184" t="n">
        <f aca="false">SRC_CAP_020</f>
        <v>11.3</v>
      </c>
      <c r="S504" s="35" t="str">
        <f aca="false">IF(ISNUMBER($AF504),INDEX(IDX_SrcStat,$AF504),"—")</f>
        <v>Active</v>
      </c>
      <c r="T504" s="35" t="n">
        <f aca="false">IF(ISNUMBER($AF504),INDEX(IDX_SrcGrade,$AF504),"—")</f>
        <v>2</v>
      </c>
      <c r="U504" s="36" t="s">
        <v>585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5" t="n">
        <f aca="false">IF(OR($H504="—",$H504=""),"—",MATCH($H504,IDX_SrcID,0))</f>
        <v>505</v>
      </c>
    </row>
    <row r="505" customFormat="false" ht="43.5" hidden="false" customHeight="true" outlineLevel="0" collapsed="false">
      <c r="A505" s="36" t="s">
        <v>4069</v>
      </c>
      <c r="B505" s="212" t="s">
        <v>3830</v>
      </c>
      <c r="C505" s="36" t="s">
        <v>3976</v>
      </c>
      <c r="D505" s="36" t="s">
        <v>4070</v>
      </c>
      <c r="E505" s="6" t="s">
        <v>1500</v>
      </c>
      <c r="F505" s="36" t="s">
        <v>82</v>
      </c>
      <c r="G505" s="212" t="s">
        <v>1114</v>
      </c>
      <c r="H505" s="36" t="s">
        <v>4071</v>
      </c>
      <c r="I505" s="19" t="s">
        <v>4072</v>
      </c>
      <c r="J505" s="36" t="s">
        <v>585</v>
      </c>
      <c r="K505" s="212"/>
      <c r="L505" s="212"/>
      <c r="M505" s="36" t="s">
        <v>585</v>
      </c>
      <c r="N505" s="19" t="s">
        <v>4073</v>
      </c>
      <c r="O505" s="6" t="s">
        <v>585</v>
      </c>
      <c r="P505" s="212" t="s">
        <v>2774</v>
      </c>
      <c r="Q505" s="184" t="s">
        <v>585</v>
      </c>
      <c r="R505" s="184" t="n">
        <f aca="false">SRC_CAP_021</f>
        <v>17.4</v>
      </c>
      <c r="S505" s="35" t="str">
        <f aca="false">IF(ISNUMBER($AF505),INDEX(IDX_SrcStat,$AF505),"—")</f>
        <v>Active</v>
      </c>
      <c r="T505" s="35" t="n">
        <f aca="false">IF(ISNUMBER($AF505),INDEX(IDX_SrcGrade,$AF505),"—")</f>
        <v>2</v>
      </c>
      <c r="U505" s="36" t="s">
        <v>585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5" t="n">
        <f aca="false">IF(OR($H505="—",$H505=""),"—",MATCH($H505,IDX_SrcID,0))</f>
        <v>506</v>
      </c>
    </row>
    <row r="506" customFormat="false" ht="43.5" hidden="false" customHeight="true" outlineLevel="0" collapsed="false">
      <c r="A506" s="36" t="s">
        <v>4074</v>
      </c>
      <c r="B506" s="212" t="s">
        <v>3830</v>
      </c>
      <c r="C506" s="36" t="s">
        <v>3976</v>
      </c>
      <c r="D506" s="36" t="s">
        <v>4075</v>
      </c>
      <c r="E506" s="19" t="s">
        <v>4076</v>
      </c>
      <c r="F506" s="36" t="s">
        <v>82</v>
      </c>
      <c r="G506" s="212" t="s">
        <v>63</v>
      </c>
      <c r="H506" s="36" t="s">
        <v>4077</v>
      </c>
      <c r="I506" s="19" t="s">
        <v>4078</v>
      </c>
      <c r="J506" s="36" t="s">
        <v>585</v>
      </c>
      <c r="K506" s="174" t="n">
        <f aca="false">Har_In!D51</f>
        <v>0.65</v>
      </c>
      <c r="L506" s="174" t="n">
        <f aca="false">Har_In!E51</f>
        <v>1</v>
      </c>
      <c r="M506" s="36" t="s">
        <v>585</v>
      </c>
      <c r="N506" s="6" t="s">
        <v>4079</v>
      </c>
      <c r="O506" s="6" t="s">
        <v>4080</v>
      </c>
      <c r="P506" s="212" t="s">
        <v>2830</v>
      </c>
      <c r="Q506" s="174" t="n">
        <f aca="false">Har_In!C51</f>
        <v>0.75</v>
      </c>
      <c r="R506" s="184" t="n">
        <f aca="false">SRC_CAP_012</f>
        <v>3.5667</v>
      </c>
      <c r="S506" s="35" t="str">
        <f aca="false">IF(ISNUMBER($AF506),INDEX(IDX_SrcStat,$AF506),"—")</f>
        <v>Active</v>
      </c>
      <c r="T506" s="35" t="n">
        <f aca="false">IF(ISNUMBER($AF506),INDEX(IDX_SrcGrade,$AF506),"—")</f>
        <v>2</v>
      </c>
      <c r="U506" s="35" t="s">
        <v>2775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5" t="n">
        <f aca="false">IF(OR($H506="—",$H506=""),"—",MATCH($H506,IDX_SrcID,0))</f>
        <v>497</v>
      </c>
    </row>
    <row r="507" customFormat="false" ht="43.5" hidden="false" customHeight="true" outlineLevel="0" collapsed="false">
      <c r="A507" s="36" t="s">
        <v>4081</v>
      </c>
      <c r="B507" s="212" t="s">
        <v>3830</v>
      </c>
      <c r="C507" s="36" t="s">
        <v>3976</v>
      </c>
      <c r="D507" s="36" t="s">
        <v>4082</v>
      </c>
      <c r="E507" s="19" t="s">
        <v>4076</v>
      </c>
      <c r="F507" s="36" t="s">
        <v>82</v>
      </c>
      <c r="G507" s="212" t="s">
        <v>3836</v>
      </c>
      <c r="H507" s="36" t="s">
        <v>4077</v>
      </c>
      <c r="I507" s="19" t="s">
        <v>4078</v>
      </c>
      <c r="J507" s="36" t="s">
        <v>585</v>
      </c>
      <c r="K507" s="212"/>
      <c r="L507" s="212"/>
      <c r="M507" s="36" t="s">
        <v>4083</v>
      </c>
      <c r="N507" s="6" t="s">
        <v>4084</v>
      </c>
      <c r="O507" s="6" t="s">
        <v>585</v>
      </c>
      <c r="P507" s="212" t="s">
        <v>2774</v>
      </c>
      <c r="Q507" s="184" t="s">
        <v>585</v>
      </c>
      <c r="R507" s="184" t="n">
        <f aca="false">SRC_CAP_012</f>
        <v>3.5667</v>
      </c>
      <c r="S507" s="35" t="str">
        <f aca="false">IF(ISNUMBER($AF507),INDEX(IDX_SrcStat,$AF507),"—")</f>
        <v>Active</v>
      </c>
      <c r="T507" s="35" t="n">
        <f aca="false">IF(ISNUMBER($AF507),INDEX(IDX_SrcGrade,$AF507),"—")</f>
        <v>2</v>
      </c>
      <c r="U507" s="36" t="s">
        <v>585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5" t="n">
        <f aca="false">IF(OR($H507="—",$H507=""),"—",MATCH($H507,IDX_SrcID,0))</f>
        <v>497</v>
      </c>
    </row>
    <row r="508" customFormat="false" ht="29.25" hidden="false" customHeight="true" outlineLevel="0" collapsed="false">
      <c r="A508" s="36" t="s">
        <v>4085</v>
      </c>
      <c r="B508" s="212" t="s">
        <v>3830</v>
      </c>
      <c r="C508" s="36" t="s">
        <v>3976</v>
      </c>
      <c r="D508" s="36" t="s">
        <v>4086</v>
      </c>
      <c r="E508" s="19" t="s">
        <v>1505</v>
      </c>
      <c r="F508" s="36" t="s">
        <v>78</v>
      </c>
      <c r="G508" s="212" t="s">
        <v>3516</v>
      </c>
      <c r="H508" s="36" t="s">
        <v>585</v>
      </c>
      <c r="I508" s="6" t="s">
        <v>585</v>
      </c>
      <c r="J508" s="36" t="s">
        <v>585</v>
      </c>
      <c r="K508" s="212"/>
      <c r="L508" s="212"/>
      <c r="M508" s="212" t="s">
        <v>4087</v>
      </c>
      <c r="N508" s="6" t="s">
        <v>4088</v>
      </c>
      <c r="O508" s="6" t="s">
        <v>585</v>
      </c>
      <c r="P508" s="212" t="s">
        <v>2830</v>
      </c>
      <c r="Q508" s="184" t="s">
        <v>585</v>
      </c>
      <c r="R508" s="36" t="s">
        <v>585</v>
      </c>
      <c r="S508" s="35" t="str">
        <f aca="false">IF(ISNUMBER($AF508),INDEX(IDX_SrcStat,$AF508),"—")</f>
        <v>—</v>
      </c>
      <c r="T508" s="35" t="str">
        <f aca="false">IF(ISNUMBER($AF508),INDEX(IDX_SrcGrade,$AF508),"—")</f>
        <v>—</v>
      </c>
      <c r="U508" s="36" t="s">
        <v>585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5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6" t="s">
        <v>4089</v>
      </c>
      <c r="B509" s="212" t="s">
        <v>3830</v>
      </c>
      <c r="C509" s="36" t="s">
        <v>3976</v>
      </c>
      <c r="D509" s="36" t="s">
        <v>4090</v>
      </c>
      <c r="E509" s="19" t="s">
        <v>1471</v>
      </c>
      <c r="F509" s="212" t="s">
        <v>346</v>
      </c>
      <c r="G509" s="212" t="s">
        <v>3516</v>
      </c>
      <c r="H509" s="36" t="s">
        <v>585</v>
      </c>
      <c r="I509" s="6" t="s">
        <v>585</v>
      </c>
      <c r="J509" s="36" t="s">
        <v>585</v>
      </c>
      <c r="K509" s="212"/>
      <c r="L509" s="212"/>
      <c r="M509" s="212" t="s">
        <v>2708</v>
      </c>
      <c r="N509" s="6" t="s">
        <v>4091</v>
      </c>
      <c r="O509" s="6" t="s">
        <v>585</v>
      </c>
      <c r="P509" s="212" t="s">
        <v>2774</v>
      </c>
      <c r="Q509" s="184" t="s">
        <v>585</v>
      </c>
      <c r="R509" s="36" t="s">
        <v>585</v>
      </c>
      <c r="S509" s="35" t="str">
        <f aca="false">IF(ISNUMBER($AF509),INDEX(IDX_SrcStat,$AF509),"—")</f>
        <v>—</v>
      </c>
      <c r="T509" s="35" t="str">
        <f aca="false">IF(ISNUMBER($AF509),INDEX(IDX_SrcGrade,$AF509),"—")</f>
        <v>—</v>
      </c>
      <c r="U509" s="36" t="s">
        <v>585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5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6" t="s">
        <v>4092</v>
      </c>
      <c r="B510" s="212" t="s">
        <v>3830</v>
      </c>
      <c r="C510" s="36" t="s">
        <v>24</v>
      </c>
      <c r="D510" s="36" t="s">
        <v>4093</v>
      </c>
      <c r="E510" s="6" t="s">
        <v>583</v>
      </c>
      <c r="F510" s="36" t="s">
        <v>78</v>
      </c>
      <c r="G510" s="212" t="s">
        <v>3516</v>
      </c>
      <c r="H510" s="36" t="s">
        <v>585</v>
      </c>
      <c r="I510" s="6" t="s">
        <v>585</v>
      </c>
      <c r="J510" s="36" t="s">
        <v>585</v>
      </c>
      <c r="K510" s="212"/>
      <c r="L510" s="212"/>
      <c r="M510" s="212" t="s">
        <v>2708</v>
      </c>
      <c r="N510" s="6" t="s">
        <v>4094</v>
      </c>
      <c r="O510" s="6" t="s">
        <v>585</v>
      </c>
      <c r="P510" s="212" t="s">
        <v>2774</v>
      </c>
      <c r="Q510" s="184" t="s">
        <v>585</v>
      </c>
      <c r="R510" s="36" t="s">
        <v>585</v>
      </c>
      <c r="S510" s="35" t="str">
        <f aca="false">IF(ISNUMBER($AF510),INDEX(IDX_SrcStat,$AF510),"—")</f>
        <v>—</v>
      </c>
      <c r="T510" s="35" t="str">
        <f aca="false">IF(ISNUMBER($AF510),INDEX(IDX_SrcGrade,$AF510),"—")</f>
        <v>—</v>
      </c>
      <c r="U510" s="36" t="s">
        <v>585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5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6" t="s">
        <v>4095</v>
      </c>
      <c r="B511" s="212" t="s">
        <v>3830</v>
      </c>
      <c r="C511" s="36" t="s">
        <v>24</v>
      </c>
      <c r="D511" s="36" t="s">
        <v>4096</v>
      </c>
      <c r="E511" s="6" t="s">
        <v>605</v>
      </c>
      <c r="F511" s="36" t="s">
        <v>78</v>
      </c>
      <c r="G511" s="212" t="s">
        <v>3516</v>
      </c>
      <c r="H511" s="36" t="s">
        <v>585</v>
      </c>
      <c r="I511" s="6" t="s">
        <v>585</v>
      </c>
      <c r="J511" s="36" t="s">
        <v>585</v>
      </c>
      <c r="K511" s="212"/>
      <c r="L511" s="212"/>
      <c r="M511" s="36" t="s">
        <v>4097</v>
      </c>
      <c r="N511" s="6" t="s">
        <v>4098</v>
      </c>
      <c r="O511" s="6" t="s">
        <v>585</v>
      </c>
      <c r="P511" s="212" t="s">
        <v>2774</v>
      </c>
      <c r="Q511" s="184" t="s">
        <v>585</v>
      </c>
      <c r="R511" s="36" t="s">
        <v>585</v>
      </c>
      <c r="S511" s="35" t="str">
        <f aca="false">IF(ISNUMBER($AF511),INDEX(IDX_SrcStat,$AF511),"—")</f>
        <v>—</v>
      </c>
      <c r="T511" s="35" t="str">
        <f aca="false">IF(ISNUMBER($AF511),INDEX(IDX_SrcGrade,$AF511),"—")</f>
        <v>—</v>
      </c>
      <c r="U511" s="36" t="s">
        <v>585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5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6" t="s">
        <v>4099</v>
      </c>
      <c r="B512" s="212" t="s">
        <v>3830</v>
      </c>
      <c r="C512" s="36" t="s">
        <v>24</v>
      </c>
      <c r="D512" s="36" t="s">
        <v>4100</v>
      </c>
      <c r="E512" s="6" t="s">
        <v>612</v>
      </c>
      <c r="F512" s="36" t="s">
        <v>82</v>
      </c>
      <c r="G512" s="212" t="s">
        <v>3516</v>
      </c>
      <c r="H512" s="36" t="s">
        <v>3236</v>
      </c>
      <c r="I512" s="19" t="s">
        <v>4101</v>
      </c>
      <c r="J512" s="36" t="s">
        <v>585</v>
      </c>
      <c r="K512" s="212"/>
      <c r="L512" s="212"/>
      <c r="M512" s="36" t="s">
        <v>4097</v>
      </c>
      <c r="N512" s="6" t="s">
        <v>4102</v>
      </c>
      <c r="O512" s="6" t="s">
        <v>4103</v>
      </c>
      <c r="P512" s="212" t="s">
        <v>2774</v>
      </c>
      <c r="Q512" s="184" t="s">
        <v>585</v>
      </c>
      <c r="R512" s="184" t="n">
        <f aca="false">SRC_HW_037</f>
        <v>2520</v>
      </c>
      <c r="S512" s="35" t="str">
        <f aca="false">IF(ISNUMBER($AF512),INDEX(IDX_SrcStat,$AF512),"—")</f>
        <v>Active</v>
      </c>
      <c r="T512" s="35" t="n">
        <f aca="false">IF(ISNUMBER($AF512),INDEX(IDX_SrcGrade,$AF512),"—")</f>
        <v>2</v>
      </c>
      <c r="U512" s="36" t="s">
        <v>585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5" t="n">
        <f aca="false">IF(OR($H512="—",$H512=""),"—",MATCH($H512,IDX_SrcID,0))</f>
        <v>37</v>
      </c>
    </row>
    <row r="513" customFormat="false" ht="29.25" hidden="false" customHeight="true" outlineLevel="0" collapsed="false">
      <c r="A513" s="36" t="s">
        <v>4104</v>
      </c>
      <c r="B513" s="212" t="s">
        <v>3830</v>
      </c>
      <c r="C513" s="36" t="s">
        <v>24</v>
      </c>
      <c r="D513" s="36" t="s">
        <v>4105</v>
      </c>
      <c r="E513" s="6" t="s">
        <v>619</v>
      </c>
      <c r="F513" s="36" t="s">
        <v>78</v>
      </c>
      <c r="G513" s="212" t="s">
        <v>3516</v>
      </c>
      <c r="H513" s="36" t="s">
        <v>585</v>
      </c>
      <c r="I513" s="6" t="s">
        <v>585</v>
      </c>
      <c r="J513" s="36" t="s">
        <v>585</v>
      </c>
      <c r="K513" s="212"/>
      <c r="L513" s="212"/>
      <c r="M513" s="36" t="s">
        <v>4097</v>
      </c>
      <c r="N513" s="6" t="s">
        <v>4106</v>
      </c>
      <c r="O513" s="6" t="s">
        <v>585</v>
      </c>
      <c r="P513" s="212" t="s">
        <v>2774</v>
      </c>
      <c r="Q513" s="184" t="s">
        <v>585</v>
      </c>
      <c r="R513" s="36" t="s">
        <v>585</v>
      </c>
      <c r="S513" s="35" t="str">
        <f aca="false">IF(ISNUMBER($AF513),INDEX(IDX_SrcStat,$AF513),"—")</f>
        <v>—</v>
      </c>
      <c r="T513" s="35" t="str">
        <f aca="false">IF(ISNUMBER($AF513),INDEX(IDX_SrcGrade,$AF513),"—")</f>
        <v>—</v>
      </c>
      <c r="U513" s="36" t="s">
        <v>585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5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6" t="s">
        <v>4107</v>
      </c>
      <c r="B514" s="212" t="s">
        <v>3830</v>
      </c>
      <c r="C514" s="36" t="s">
        <v>24</v>
      </c>
      <c r="D514" s="36" t="s">
        <v>4108</v>
      </c>
      <c r="E514" s="6" t="s">
        <v>626</v>
      </c>
      <c r="F514" s="36" t="s">
        <v>78</v>
      </c>
      <c r="G514" s="212" t="s">
        <v>3516</v>
      </c>
      <c r="H514" s="36" t="s">
        <v>585</v>
      </c>
      <c r="I514" s="6" t="s">
        <v>585</v>
      </c>
      <c r="J514" s="36" t="s">
        <v>585</v>
      </c>
      <c r="K514" s="212"/>
      <c r="L514" s="212"/>
      <c r="M514" s="36" t="s">
        <v>4097</v>
      </c>
      <c r="N514" s="6" t="s">
        <v>4109</v>
      </c>
      <c r="O514" s="6" t="s">
        <v>585</v>
      </c>
      <c r="P514" s="212" t="s">
        <v>2774</v>
      </c>
      <c r="Q514" s="184" t="s">
        <v>585</v>
      </c>
      <c r="R514" s="36" t="s">
        <v>585</v>
      </c>
      <c r="S514" s="35" t="str">
        <f aca="false">IF(ISNUMBER($AF514),INDEX(IDX_SrcStat,$AF514),"—")</f>
        <v>—</v>
      </c>
      <c r="T514" s="35" t="str">
        <f aca="false">IF(ISNUMBER($AF514),INDEX(IDX_SrcGrade,$AF514),"—")</f>
        <v>—</v>
      </c>
      <c r="U514" s="36" t="s">
        <v>585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5" t="str">
        <f aca="false">IF(OR($H514="—",$H514=""),"—",MATCH($H514,IDX_SrcID,0))</f>
        <v>—</v>
      </c>
    </row>
    <row r="515" customFormat="false" ht="72" hidden="false" customHeight="true" outlineLevel="0" collapsed="false">
      <c r="A515" s="36" t="s">
        <v>4110</v>
      </c>
      <c r="B515" s="212" t="s">
        <v>3830</v>
      </c>
      <c r="C515" s="36" t="s">
        <v>24</v>
      </c>
      <c r="D515" s="36" t="s">
        <v>4111</v>
      </c>
      <c r="E515" s="6" t="s">
        <v>632</v>
      </c>
      <c r="F515" s="36" t="s">
        <v>82</v>
      </c>
      <c r="G515" s="212" t="s">
        <v>3516</v>
      </c>
      <c r="H515" s="36" t="s">
        <v>4112</v>
      </c>
      <c r="I515" s="19" t="s">
        <v>4113</v>
      </c>
      <c r="J515" s="36" t="s">
        <v>585</v>
      </c>
      <c r="K515" s="212"/>
      <c r="L515" s="212"/>
      <c r="M515" s="36" t="s">
        <v>4097</v>
      </c>
      <c r="N515" s="6" t="s">
        <v>4114</v>
      </c>
      <c r="O515" s="6" t="s">
        <v>4115</v>
      </c>
      <c r="P515" s="212" t="s">
        <v>2774</v>
      </c>
      <c r="Q515" s="184" t="s">
        <v>585</v>
      </c>
      <c r="R515" s="184" t="n">
        <f aca="false">SRC_MOD_046</f>
        <v>1.5</v>
      </c>
      <c r="S515" s="35" t="str">
        <f aca="false">IF(ISNUMBER($AF515),INDEX(IDX_SrcStat,$AF515),"—")</f>
        <v>Active</v>
      </c>
      <c r="T515" s="35" t="n">
        <f aca="false">IF(ISNUMBER($AF515),INDEX(IDX_SrcGrade,$AF515),"—")</f>
        <v>2</v>
      </c>
      <c r="U515" s="36" t="s">
        <v>585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5" t="n">
        <f aca="false">IF(OR($H515="—",$H515=""),"—",MATCH($H515,IDX_SrcID,0))</f>
        <v>223</v>
      </c>
    </row>
    <row r="516" customFormat="false" ht="29.25" hidden="false" customHeight="true" outlineLevel="0" collapsed="false">
      <c r="A516" s="36" t="s">
        <v>4116</v>
      </c>
      <c r="B516" s="212" t="s">
        <v>3830</v>
      </c>
      <c r="C516" s="36" t="s">
        <v>24</v>
      </c>
      <c r="D516" s="36" t="s">
        <v>4117</v>
      </c>
      <c r="E516" s="6" t="s">
        <v>638</v>
      </c>
      <c r="F516" s="36" t="s">
        <v>78</v>
      </c>
      <c r="G516" s="212" t="s">
        <v>3516</v>
      </c>
      <c r="H516" s="36" t="s">
        <v>585</v>
      </c>
      <c r="I516" s="6" t="s">
        <v>585</v>
      </c>
      <c r="J516" s="36" t="s">
        <v>585</v>
      </c>
      <c r="K516" s="212"/>
      <c r="L516" s="212"/>
      <c r="M516" s="36" t="s">
        <v>4097</v>
      </c>
      <c r="N516" s="6" t="s">
        <v>4118</v>
      </c>
      <c r="O516" s="6" t="s">
        <v>585</v>
      </c>
      <c r="P516" s="212" t="s">
        <v>2774</v>
      </c>
      <c r="Q516" s="184" t="s">
        <v>585</v>
      </c>
      <c r="R516" s="36" t="s">
        <v>585</v>
      </c>
      <c r="S516" s="35" t="str">
        <f aca="false">IF(ISNUMBER($AF516),INDEX(IDX_SrcStat,$AF516),"—")</f>
        <v>—</v>
      </c>
      <c r="T516" s="35" t="str">
        <f aca="false">IF(ISNUMBER($AF516),INDEX(IDX_SrcGrade,$AF516),"—")</f>
        <v>—</v>
      </c>
      <c r="U516" s="36" t="s">
        <v>585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5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6" t="s">
        <v>4119</v>
      </c>
      <c r="B517" s="212" t="s">
        <v>3830</v>
      </c>
      <c r="C517" s="36" t="s">
        <v>24</v>
      </c>
      <c r="D517" s="36" t="s">
        <v>4120</v>
      </c>
      <c r="E517" s="6" t="s">
        <v>643</v>
      </c>
      <c r="F517" s="36" t="s">
        <v>78</v>
      </c>
      <c r="G517" s="212" t="s">
        <v>3516</v>
      </c>
      <c r="H517" s="36" t="s">
        <v>585</v>
      </c>
      <c r="I517" s="6" t="s">
        <v>585</v>
      </c>
      <c r="J517" s="36" t="s">
        <v>585</v>
      </c>
      <c r="K517" s="212"/>
      <c r="L517" s="212"/>
      <c r="M517" s="212" t="s">
        <v>2708</v>
      </c>
      <c r="N517" s="6" t="s">
        <v>4121</v>
      </c>
      <c r="O517" s="6" t="s">
        <v>585</v>
      </c>
      <c r="P517" s="212" t="s">
        <v>2774</v>
      </c>
      <c r="Q517" s="184" t="s">
        <v>585</v>
      </c>
      <c r="R517" s="36" t="s">
        <v>585</v>
      </c>
      <c r="S517" s="35" t="str">
        <f aca="false">IF(ISNUMBER($AF517),INDEX(IDX_SrcStat,$AF517),"—")</f>
        <v>—</v>
      </c>
      <c r="T517" s="35" t="str">
        <f aca="false">IF(ISNUMBER($AF517),INDEX(IDX_SrcGrade,$AF517),"—")</f>
        <v>—</v>
      </c>
      <c r="U517" s="36" t="s">
        <v>585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5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6" t="s">
        <v>4122</v>
      </c>
      <c r="B518" s="212" t="s">
        <v>3830</v>
      </c>
      <c r="C518" s="36" t="s">
        <v>24</v>
      </c>
      <c r="D518" s="36" t="s">
        <v>4123</v>
      </c>
      <c r="E518" s="6" t="s">
        <v>583</v>
      </c>
      <c r="F518" s="212" t="s">
        <v>3515</v>
      </c>
      <c r="G518" s="212" t="s">
        <v>3516</v>
      </c>
      <c r="H518" s="36" t="s">
        <v>585</v>
      </c>
      <c r="I518" s="6" t="s">
        <v>585</v>
      </c>
      <c r="J518" s="36" t="s">
        <v>585</v>
      </c>
      <c r="K518" s="212"/>
      <c r="L518" s="212"/>
      <c r="M518" s="36" t="s">
        <v>585</v>
      </c>
      <c r="N518" s="19" t="s">
        <v>4124</v>
      </c>
      <c r="O518" s="6" t="s">
        <v>585</v>
      </c>
      <c r="P518" s="212" t="s">
        <v>2774</v>
      </c>
      <c r="Q518" s="184" t="s">
        <v>585</v>
      </c>
      <c r="R518" s="36" t="s">
        <v>585</v>
      </c>
      <c r="S518" s="35" t="str">
        <f aca="false">IF(ISNUMBER($AF518),INDEX(IDX_SrcStat,$AF518),"—")</f>
        <v>—</v>
      </c>
      <c r="T518" s="35" t="str">
        <f aca="false">IF(ISNUMBER($AF518),INDEX(IDX_SrcGrade,$AF518),"—")</f>
        <v>—</v>
      </c>
      <c r="U518" s="36" t="s">
        <v>585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5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6" t="s">
        <v>4125</v>
      </c>
      <c r="B519" s="212" t="s">
        <v>3830</v>
      </c>
      <c r="C519" s="36" t="s">
        <v>24</v>
      </c>
      <c r="D519" s="36" t="s">
        <v>4126</v>
      </c>
      <c r="E519" s="6" t="s">
        <v>583</v>
      </c>
      <c r="F519" s="212" t="s">
        <v>3944</v>
      </c>
      <c r="G519" s="212" t="s">
        <v>3516</v>
      </c>
      <c r="H519" s="36" t="s">
        <v>585</v>
      </c>
      <c r="I519" s="19" t="s">
        <v>4127</v>
      </c>
      <c r="J519" s="36" t="s">
        <v>4128</v>
      </c>
      <c r="K519" s="212"/>
      <c r="L519" s="212"/>
      <c r="M519" s="212" t="s">
        <v>2708</v>
      </c>
      <c r="N519" s="19" t="s">
        <v>4129</v>
      </c>
      <c r="O519" s="6" t="s">
        <v>585</v>
      </c>
      <c r="P519" s="212" t="s">
        <v>2774</v>
      </c>
      <c r="Q519" s="184" t="s">
        <v>585</v>
      </c>
      <c r="R519" s="36" t="s">
        <v>585</v>
      </c>
      <c r="S519" s="35" t="str">
        <f aca="false">IF(ISNUMBER($AF519),INDEX(IDX_SrcStat,$AF519),"—")</f>
        <v>—</v>
      </c>
      <c r="T519" s="35" t="str">
        <f aca="false">IF(ISNUMBER($AF519),INDEX(IDX_SrcGrade,$AF519),"—")</f>
        <v>—</v>
      </c>
      <c r="U519" s="36" t="s">
        <v>585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5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6" t="s">
        <v>4130</v>
      </c>
      <c r="B520" s="212" t="s">
        <v>3830</v>
      </c>
      <c r="C520" s="36" t="s">
        <v>24</v>
      </c>
      <c r="D520" s="36" t="s">
        <v>4131</v>
      </c>
      <c r="E520" s="6" t="s">
        <v>638</v>
      </c>
      <c r="F520" s="212" t="s">
        <v>3944</v>
      </c>
      <c r="G520" s="212" t="s">
        <v>3516</v>
      </c>
      <c r="H520" s="36" t="s">
        <v>585</v>
      </c>
      <c r="I520" s="19" t="s">
        <v>4127</v>
      </c>
      <c r="J520" s="36" t="s">
        <v>4128</v>
      </c>
      <c r="K520" s="212"/>
      <c r="L520" s="212"/>
      <c r="M520" s="212" t="s">
        <v>2708</v>
      </c>
      <c r="N520" s="19" t="s">
        <v>4132</v>
      </c>
      <c r="O520" s="6" t="s">
        <v>585</v>
      </c>
      <c r="P520" s="212" t="s">
        <v>2774</v>
      </c>
      <c r="Q520" s="184" t="s">
        <v>585</v>
      </c>
      <c r="R520" s="36" t="s">
        <v>585</v>
      </c>
      <c r="S520" s="35" t="str">
        <f aca="false">IF(ISNUMBER($AF520),INDEX(IDX_SrcStat,$AF520),"—")</f>
        <v>—</v>
      </c>
      <c r="T520" s="35" t="str">
        <f aca="false">IF(ISNUMBER($AF520),INDEX(IDX_SrcGrade,$AF520),"—")</f>
        <v>—</v>
      </c>
      <c r="U520" s="36" t="s">
        <v>585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5" t="str">
        <f aca="false">IF(OR($H520="—",$H520=""),"—",MATCH($H520,IDX_SrcID,0))</f>
        <v>—</v>
      </c>
    </row>
    <row r="521" customFormat="false" ht="15" hidden="false" customHeight="true" outlineLevel="0" collapsed="false">
      <c r="A521" s="36" t="s">
        <v>4133</v>
      </c>
      <c r="B521" s="212" t="s">
        <v>3830</v>
      </c>
      <c r="C521" s="36" t="s">
        <v>24</v>
      </c>
      <c r="D521" s="36" t="s">
        <v>4134</v>
      </c>
      <c r="E521" s="6" t="s">
        <v>583</v>
      </c>
      <c r="F521" s="36" t="s">
        <v>78</v>
      </c>
      <c r="G521" s="212" t="s">
        <v>3516</v>
      </c>
      <c r="H521" s="36" t="s">
        <v>585</v>
      </c>
      <c r="I521" s="6" t="s">
        <v>585</v>
      </c>
      <c r="J521" s="36" t="s">
        <v>585</v>
      </c>
      <c r="K521" s="212"/>
      <c r="L521" s="212"/>
      <c r="M521" s="36" t="s">
        <v>4135</v>
      </c>
      <c r="N521" s="19" t="s">
        <v>4136</v>
      </c>
      <c r="O521" s="6" t="s">
        <v>585</v>
      </c>
      <c r="P521" s="212" t="s">
        <v>2774</v>
      </c>
      <c r="Q521" s="184" t="s">
        <v>585</v>
      </c>
      <c r="R521" s="36" t="s">
        <v>585</v>
      </c>
      <c r="S521" s="35" t="str">
        <f aca="false">IF(ISNUMBER($AF521),INDEX(IDX_SrcStat,$AF521),"—")</f>
        <v>—</v>
      </c>
      <c r="T521" s="35" t="str">
        <f aca="false">IF(ISNUMBER($AF521),INDEX(IDX_SrcGrade,$AF521),"—")</f>
        <v>—</v>
      </c>
      <c r="U521" s="36" t="s">
        <v>585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5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6" t="s">
        <v>4137</v>
      </c>
      <c r="B522" s="212" t="s">
        <v>3830</v>
      </c>
      <c r="C522" s="36" t="s">
        <v>24</v>
      </c>
      <c r="D522" s="36" t="s">
        <v>4138</v>
      </c>
      <c r="E522" s="6" t="s">
        <v>583</v>
      </c>
      <c r="F522" s="36" t="s">
        <v>70</v>
      </c>
      <c r="G522" s="212" t="s">
        <v>3516</v>
      </c>
      <c r="H522" s="36" t="s">
        <v>585</v>
      </c>
      <c r="I522" s="6" t="s">
        <v>585</v>
      </c>
      <c r="J522" s="36" t="s">
        <v>3803</v>
      </c>
      <c r="K522" s="212"/>
      <c r="L522" s="212"/>
      <c r="M522" s="212" t="s">
        <v>2708</v>
      </c>
      <c r="N522" s="19" t="s">
        <v>4139</v>
      </c>
      <c r="O522" s="6" t="s">
        <v>585</v>
      </c>
      <c r="P522" s="212" t="s">
        <v>2774</v>
      </c>
      <c r="Q522" s="184" t="s">
        <v>585</v>
      </c>
      <c r="R522" s="36" t="s">
        <v>585</v>
      </c>
      <c r="S522" s="35" t="str">
        <f aca="false">IF(ISNUMBER($AF522),INDEX(IDX_SrcStat,$AF522),"—")</f>
        <v>—</v>
      </c>
      <c r="T522" s="35" t="str">
        <f aca="false">IF(ISNUMBER($AF522),INDEX(IDX_SrcGrade,$AF522),"—")</f>
        <v>—</v>
      </c>
      <c r="U522" s="36" t="s">
        <v>585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5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6" t="s">
        <v>4140</v>
      </c>
      <c r="B523" s="212" t="s">
        <v>3830</v>
      </c>
      <c r="C523" s="36" t="s">
        <v>3783</v>
      </c>
      <c r="D523" s="36" t="s">
        <v>2928</v>
      </c>
      <c r="E523" s="19" t="s">
        <v>4141</v>
      </c>
      <c r="F523" s="36" t="s">
        <v>82</v>
      </c>
      <c r="G523" s="212" t="s">
        <v>2771</v>
      </c>
      <c r="H523" s="36" t="s">
        <v>4142</v>
      </c>
      <c r="I523" s="19" t="s">
        <v>4143</v>
      </c>
      <c r="J523" s="36" t="s">
        <v>585</v>
      </c>
      <c r="K523" s="214" t="n">
        <v>0.18</v>
      </c>
      <c r="L523" s="214" t="n">
        <v>0.35</v>
      </c>
      <c r="M523" s="36" t="s">
        <v>4144</v>
      </c>
      <c r="N523" s="19" t="s">
        <v>4145</v>
      </c>
      <c r="O523" s="6" t="s">
        <v>585</v>
      </c>
      <c r="P523" s="212" t="s">
        <v>1114</v>
      </c>
      <c r="Q523" s="176" t="n">
        <f aca="false">Train_In!C6</f>
        <v>0.25</v>
      </c>
      <c r="R523" s="184" t="n">
        <f aca="false">SRC_PERF_036_Lo</f>
        <v>0.38</v>
      </c>
      <c r="S523" s="35" t="str">
        <f aca="false">IF(ISNUMBER($AF523),INDEX(IDX_SrcStat,$AF523),"—")</f>
        <v>Active</v>
      </c>
      <c r="T523" s="35" t="n">
        <f aca="false">IF(ISNUMBER($AF523),INDEX(IDX_SrcGrade,$AF523),"—")</f>
        <v>1</v>
      </c>
      <c r="U523" s="35" t="s">
        <v>2775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5" t="n">
        <f aca="false">IF(OR($H523="—",$H523=""),"—",MATCH($H523,IDX_SrcID,0))</f>
        <v>318</v>
      </c>
    </row>
    <row r="524" customFormat="false" ht="57.75" hidden="false" customHeight="true" outlineLevel="0" collapsed="false">
      <c r="A524" s="36" t="s">
        <v>4146</v>
      </c>
      <c r="B524" s="212" t="s">
        <v>3830</v>
      </c>
      <c r="C524" s="36" t="s">
        <v>3783</v>
      </c>
      <c r="D524" s="36" t="s">
        <v>3252</v>
      </c>
      <c r="E524" s="6" t="s">
        <v>889</v>
      </c>
      <c r="F524" s="36" t="s">
        <v>82</v>
      </c>
      <c r="G524" s="212" t="s">
        <v>2771</v>
      </c>
      <c r="H524" s="36" t="s">
        <v>4147</v>
      </c>
      <c r="I524" s="19" t="s">
        <v>4148</v>
      </c>
      <c r="J524" s="36" t="s">
        <v>585</v>
      </c>
      <c r="K524" s="214" t="n">
        <v>0.8</v>
      </c>
      <c r="L524" s="214" t="n">
        <v>0.95</v>
      </c>
      <c r="M524" s="36" t="s">
        <v>4149</v>
      </c>
      <c r="N524" s="6" t="s">
        <v>4150</v>
      </c>
      <c r="O524" s="6" t="s">
        <v>585</v>
      </c>
      <c r="P524" s="212" t="s">
        <v>1114</v>
      </c>
      <c r="Q524" s="176" t="n">
        <f aca="false">Train_In!C7</f>
        <v>0.9</v>
      </c>
      <c r="R524" s="184" t="n">
        <f aca="false">SRC_PERF_037</f>
        <v>0.9</v>
      </c>
      <c r="S524" s="35" t="str">
        <f aca="false">IF(ISNUMBER($AF524),INDEX(IDX_SrcStat,$AF524),"—")</f>
        <v>Active</v>
      </c>
      <c r="T524" s="35" t="n">
        <f aca="false">IF(ISNUMBER($AF524),INDEX(IDX_SrcGrade,$AF524),"—")</f>
        <v>1</v>
      </c>
      <c r="U524" s="35" t="s">
        <v>2775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5" t="n">
        <f aca="false">IF(OR($H524="—",$H524=""),"—",MATCH($H524,IDX_SrcID,0))</f>
        <v>319</v>
      </c>
    </row>
    <row r="525" customFormat="false" ht="29.25" hidden="false" customHeight="true" outlineLevel="0" collapsed="false">
      <c r="A525" s="36" t="s">
        <v>4151</v>
      </c>
      <c r="B525" s="212" t="s">
        <v>3830</v>
      </c>
      <c r="C525" s="36" t="s">
        <v>3783</v>
      </c>
      <c r="D525" s="36" t="s">
        <v>2941</v>
      </c>
      <c r="E525" s="6" t="s">
        <v>891</v>
      </c>
      <c r="F525" s="36" t="s">
        <v>78</v>
      </c>
      <c r="G525" s="212" t="s">
        <v>2771</v>
      </c>
      <c r="H525" s="36" t="s">
        <v>585</v>
      </c>
      <c r="I525" s="6" t="s">
        <v>585</v>
      </c>
      <c r="J525" s="36" t="s">
        <v>585</v>
      </c>
      <c r="K525" s="214" t="n">
        <v>0.6</v>
      </c>
      <c r="L525" s="214" t="n">
        <v>1</v>
      </c>
      <c r="M525" s="36" t="s">
        <v>4152</v>
      </c>
      <c r="N525" s="6" t="s">
        <v>4153</v>
      </c>
      <c r="O525" s="6" t="s">
        <v>585</v>
      </c>
      <c r="P525" s="212" t="s">
        <v>1113</v>
      </c>
      <c r="Q525" s="174" t="n">
        <f aca="false">Train_In!C8</f>
        <v>0.8</v>
      </c>
      <c r="R525" s="36" t="s">
        <v>585</v>
      </c>
      <c r="S525" s="35" t="str">
        <f aca="false">IF(ISNUMBER($AF525),INDEX(IDX_SrcStat,$AF525),"—")</f>
        <v>—</v>
      </c>
      <c r="T525" s="35" t="str">
        <f aca="false">IF(ISNUMBER($AF525),INDEX(IDX_SrcGrade,$AF525),"—")</f>
        <v>—</v>
      </c>
      <c r="U525" s="35" t="s">
        <v>2775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5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6" t="s">
        <v>4154</v>
      </c>
      <c r="B526" s="212" t="s">
        <v>3830</v>
      </c>
      <c r="C526" s="36" t="s">
        <v>3783</v>
      </c>
      <c r="D526" s="36" t="s">
        <v>2955</v>
      </c>
      <c r="E526" s="6" t="s">
        <v>893</v>
      </c>
      <c r="F526" s="36" t="s">
        <v>78</v>
      </c>
      <c r="G526" s="212" t="s">
        <v>2771</v>
      </c>
      <c r="H526" s="36" t="s">
        <v>585</v>
      </c>
      <c r="I526" s="6" t="s">
        <v>585</v>
      </c>
      <c r="J526" s="36" t="s">
        <v>585</v>
      </c>
      <c r="K526" s="214" t="n">
        <v>0.4</v>
      </c>
      <c r="L526" s="214" t="n">
        <v>0.9</v>
      </c>
      <c r="M526" s="36" t="s">
        <v>4155</v>
      </c>
      <c r="N526" s="6" t="s">
        <v>4156</v>
      </c>
      <c r="O526" s="6" t="s">
        <v>585</v>
      </c>
      <c r="P526" s="212" t="s">
        <v>2830</v>
      </c>
      <c r="Q526" s="174" t="n">
        <f aca="false">Train_In!C9</f>
        <v>0.6</v>
      </c>
      <c r="R526" s="36" t="s">
        <v>585</v>
      </c>
      <c r="S526" s="35" t="str">
        <f aca="false">IF(ISNUMBER($AF526),INDEX(IDX_SrcStat,$AF526),"—")</f>
        <v>—</v>
      </c>
      <c r="T526" s="35" t="str">
        <f aca="false">IF(ISNUMBER($AF526),INDEX(IDX_SrcGrade,$AF526),"—")</f>
        <v>—</v>
      </c>
      <c r="U526" s="35" t="s">
        <v>2775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5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6" t="s">
        <v>4157</v>
      </c>
      <c r="B527" s="212" t="s">
        <v>3830</v>
      </c>
      <c r="C527" s="36" t="s">
        <v>3783</v>
      </c>
      <c r="D527" s="36" t="s">
        <v>2975</v>
      </c>
      <c r="E527" s="19" t="s">
        <v>4158</v>
      </c>
      <c r="F527" s="36" t="s">
        <v>78</v>
      </c>
      <c r="G527" s="212" t="s">
        <v>2771</v>
      </c>
      <c r="H527" s="36" t="s">
        <v>585</v>
      </c>
      <c r="I527" s="6" t="s">
        <v>585</v>
      </c>
      <c r="J527" s="36" t="s">
        <v>585</v>
      </c>
      <c r="K527" s="214" t="n">
        <v>0</v>
      </c>
      <c r="L527" s="214" t="n">
        <v>1</v>
      </c>
      <c r="M527" s="36" t="s">
        <v>4159</v>
      </c>
      <c r="N527" s="6" t="s">
        <v>4160</v>
      </c>
      <c r="O527" s="6" t="s">
        <v>585</v>
      </c>
      <c r="P527" s="212" t="s">
        <v>2774</v>
      </c>
      <c r="Q527" s="182" t="n">
        <f aca="false">Train_In!C10</f>
        <v>0</v>
      </c>
      <c r="R527" s="36" t="s">
        <v>585</v>
      </c>
      <c r="S527" s="35" t="str">
        <f aca="false">IF(ISNUMBER($AF527),INDEX(IDX_SrcStat,$AF527),"—")</f>
        <v>—</v>
      </c>
      <c r="T527" s="35" t="str">
        <f aca="false">IF(ISNUMBER($AF527),INDEX(IDX_SrcGrade,$AF527),"—")</f>
        <v>—</v>
      </c>
      <c r="U527" s="35" t="s">
        <v>2775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5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6" t="s">
        <v>4161</v>
      </c>
      <c r="B528" s="212" t="s">
        <v>3830</v>
      </c>
      <c r="C528" s="36" t="s">
        <v>3783</v>
      </c>
      <c r="D528" s="36" t="s">
        <v>2986</v>
      </c>
      <c r="E528" s="6" t="s">
        <v>897</v>
      </c>
      <c r="F528" s="36" t="s">
        <v>82</v>
      </c>
      <c r="G528" s="212" t="s">
        <v>2771</v>
      </c>
      <c r="H528" s="36" t="s">
        <v>4112</v>
      </c>
      <c r="I528" s="19" t="s">
        <v>4162</v>
      </c>
      <c r="J528" s="36" t="s">
        <v>585</v>
      </c>
      <c r="K528" s="176" t="n">
        <f aca="false">Sens_Train!S64</f>
        <v>0.6</v>
      </c>
      <c r="L528" s="176" t="n">
        <f aca="false">Sens_Train!U64</f>
        <v>0.95</v>
      </c>
      <c r="M528" s="36" t="s">
        <v>585</v>
      </c>
      <c r="N528" s="6" t="s">
        <v>4163</v>
      </c>
      <c r="O528" s="6" t="s">
        <v>585</v>
      </c>
      <c r="P528" s="212" t="s">
        <v>2830</v>
      </c>
      <c r="Q528" s="176" t="n">
        <f aca="false">Train_In!C11</f>
        <v>0.85</v>
      </c>
      <c r="R528" s="184" t="n">
        <f aca="false">SRC_MOD_046</f>
        <v>1.5</v>
      </c>
      <c r="S528" s="35" t="str">
        <f aca="false">IF(ISNUMBER($AF528),INDEX(IDX_SrcStat,$AF528),"—")</f>
        <v>Active</v>
      </c>
      <c r="T528" s="35" t="n">
        <f aca="false">IF(ISNUMBER($AF528),INDEX(IDX_SrcGrade,$AF528),"—")</f>
        <v>2</v>
      </c>
      <c r="U528" s="35" t="s">
        <v>2775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5" t="n">
        <f aca="false">IF(OR($H528="—",$H528=""),"—",MATCH($H528,IDX_SrcID,0))</f>
        <v>223</v>
      </c>
    </row>
    <row r="529" customFormat="false" ht="29.25" hidden="false" customHeight="true" outlineLevel="0" collapsed="false">
      <c r="A529" s="36" t="s">
        <v>4164</v>
      </c>
      <c r="B529" s="212" t="s">
        <v>3830</v>
      </c>
      <c r="C529" s="36" t="s">
        <v>3783</v>
      </c>
      <c r="D529" s="36" t="s">
        <v>3006</v>
      </c>
      <c r="E529" s="6" t="s">
        <v>899</v>
      </c>
      <c r="F529" s="36" t="s">
        <v>78</v>
      </c>
      <c r="G529" s="212" t="s">
        <v>2771</v>
      </c>
      <c r="H529" s="36" t="s">
        <v>585</v>
      </c>
      <c r="I529" s="6" t="s">
        <v>585</v>
      </c>
      <c r="J529" s="36" t="s">
        <v>585</v>
      </c>
      <c r="K529" s="214" t="n">
        <v>8</v>
      </c>
      <c r="L529" s="214" t="n">
        <v>64</v>
      </c>
      <c r="M529" s="36" t="s">
        <v>4165</v>
      </c>
      <c r="N529" s="6" t="s">
        <v>4166</v>
      </c>
      <c r="O529" s="6" t="s">
        <v>3910</v>
      </c>
      <c r="P529" s="212" t="s">
        <v>1113</v>
      </c>
      <c r="Q529" s="182" t="n">
        <f aca="false">Train_In!C12</f>
        <v>16</v>
      </c>
      <c r="R529" s="36" t="s">
        <v>585</v>
      </c>
      <c r="S529" s="35" t="str">
        <f aca="false">IF(ISNUMBER($AF529),INDEX(IDX_SrcStat,$AF529),"—")</f>
        <v>—</v>
      </c>
      <c r="T529" s="35" t="str">
        <f aca="false">IF(ISNUMBER($AF529),INDEX(IDX_SrcGrade,$AF529),"—")</f>
        <v>—</v>
      </c>
      <c r="U529" s="35" t="s">
        <v>2775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5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6" t="s">
        <v>4167</v>
      </c>
      <c r="B530" s="212" t="s">
        <v>3830</v>
      </c>
      <c r="C530" s="36" t="s">
        <v>3783</v>
      </c>
      <c r="D530" s="36" t="s">
        <v>3024</v>
      </c>
      <c r="E530" s="19" t="s">
        <v>4168</v>
      </c>
      <c r="F530" s="36" t="s">
        <v>82</v>
      </c>
      <c r="G530" s="212" t="s">
        <v>2771</v>
      </c>
      <c r="H530" s="36" t="s">
        <v>2261</v>
      </c>
      <c r="I530" s="19" t="s">
        <v>4169</v>
      </c>
      <c r="J530" s="36" t="s">
        <v>4170</v>
      </c>
      <c r="K530" s="181" t="n">
        <f aca="false">Sens_Train!AC119</f>
        <v>4.4</v>
      </c>
      <c r="L530" s="181" t="n">
        <f aca="false">Sens_Train!AE119</f>
        <v>10.4</v>
      </c>
      <c r="M530" s="36" t="s">
        <v>585</v>
      </c>
      <c r="N530" s="6" t="s">
        <v>4171</v>
      </c>
      <c r="O530" s="6" t="s">
        <v>585</v>
      </c>
      <c r="P530" s="212" t="s">
        <v>1114</v>
      </c>
      <c r="Q530" s="181" t="n">
        <f aca="false">Train_In!C13</f>
        <v>8</v>
      </c>
      <c r="R530" s="184" t="n">
        <f aca="false">SRC_DEM_001</f>
        <v>0.096</v>
      </c>
      <c r="S530" s="35" t="str">
        <f aca="false">IF(ISNUMBER($AF530),INDEX(IDX_SrcStat,$AF530),"—")</f>
        <v>Active</v>
      </c>
      <c r="T530" s="35" t="n">
        <f aca="false">IF(ISNUMBER($AF530),INDEX(IDX_SrcGrade,$AF530),"—")</f>
        <v>1</v>
      </c>
      <c r="U530" s="35" t="s">
        <v>2775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5" t="n">
        <f aca="false">IF(OR($H530="—",$H530=""),"—",MATCH($H530,IDX_SrcID,0))</f>
        <v>622</v>
      </c>
    </row>
    <row r="531" customFormat="false" ht="29.25" hidden="false" customHeight="true" outlineLevel="0" collapsed="false">
      <c r="A531" s="36" t="s">
        <v>4172</v>
      </c>
      <c r="B531" s="212" t="s">
        <v>3830</v>
      </c>
      <c r="C531" s="36" t="s">
        <v>3783</v>
      </c>
      <c r="D531" s="36" t="s">
        <v>3277</v>
      </c>
      <c r="E531" s="19" t="s">
        <v>4173</v>
      </c>
      <c r="F531" s="36" t="s">
        <v>78</v>
      </c>
      <c r="G531" s="212" t="s">
        <v>2771</v>
      </c>
      <c r="H531" s="36" t="s">
        <v>585</v>
      </c>
      <c r="I531" s="6" t="s">
        <v>585</v>
      </c>
      <c r="J531" s="36" t="s">
        <v>585</v>
      </c>
      <c r="K531" s="214" t="n">
        <v>2</v>
      </c>
      <c r="L531" s="214" t="n">
        <v>3</v>
      </c>
      <c r="M531" s="36" t="s">
        <v>4174</v>
      </c>
      <c r="N531" s="19" t="s">
        <v>4175</v>
      </c>
      <c r="O531" s="6" t="s">
        <v>585</v>
      </c>
      <c r="P531" s="212" t="s">
        <v>2774</v>
      </c>
      <c r="Q531" s="182" t="n">
        <f aca="false">Train_In!C15</f>
        <v>3</v>
      </c>
      <c r="R531" s="36" t="s">
        <v>585</v>
      </c>
      <c r="S531" s="35" t="str">
        <f aca="false">IF(ISNUMBER($AF531),INDEX(IDX_SrcStat,$AF531),"—")</f>
        <v>—</v>
      </c>
      <c r="T531" s="35" t="str">
        <f aca="false">IF(ISNUMBER($AF531),INDEX(IDX_SrcGrade,$AF531),"—")</f>
        <v>—</v>
      </c>
      <c r="U531" s="35" t="s">
        <v>2775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5" t="str">
        <f aca="false">IF(OR($H531="—",$H531=""),"—",MATCH($H531,IDX_SrcID,0))</f>
        <v>—</v>
      </c>
    </row>
    <row r="532" customFormat="false" ht="15" hidden="false" customHeight="true" outlineLevel="0" collapsed="false">
      <c r="A532" s="36" t="s">
        <v>4176</v>
      </c>
      <c r="B532" s="212" t="s">
        <v>3830</v>
      </c>
      <c r="C532" s="36" t="s">
        <v>3783</v>
      </c>
      <c r="D532" s="36" t="s">
        <v>3282</v>
      </c>
      <c r="E532" s="19" t="s">
        <v>908</v>
      </c>
      <c r="F532" s="36" t="s">
        <v>70</v>
      </c>
      <c r="G532" s="212" t="s">
        <v>2771</v>
      </c>
      <c r="H532" s="36" t="s">
        <v>585</v>
      </c>
      <c r="I532" s="6" t="s">
        <v>585</v>
      </c>
      <c r="J532" s="36" t="s">
        <v>4177</v>
      </c>
      <c r="K532" s="212"/>
      <c r="L532" s="212"/>
      <c r="M532" s="212" t="s">
        <v>2708</v>
      </c>
      <c r="N532" s="6" t="s">
        <v>4178</v>
      </c>
      <c r="O532" s="6" t="s">
        <v>585</v>
      </c>
      <c r="P532" s="212" t="s">
        <v>2774</v>
      </c>
      <c r="Q532" s="182" t="n">
        <f aca="false">Train_In!C16</f>
        <v>4</v>
      </c>
      <c r="R532" s="36" t="s">
        <v>585</v>
      </c>
      <c r="S532" s="35" t="str">
        <f aca="false">IF(ISNUMBER($AF532),INDEX(IDX_SrcStat,$AF532),"—")</f>
        <v>—</v>
      </c>
      <c r="T532" s="35" t="str">
        <f aca="false">IF(ISNUMBER($AF532),INDEX(IDX_SrcGrade,$AF532),"—")</f>
        <v>—</v>
      </c>
      <c r="U532" s="35" t="s">
        <v>2775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5" t="str">
        <f aca="false">IF(OR($H532="—",$H532=""),"—",MATCH($H532,IDX_SrcID,0))</f>
        <v>—</v>
      </c>
    </row>
    <row r="533" customFormat="false" ht="15" hidden="false" customHeight="true" outlineLevel="0" collapsed="false">
      <c r="A533" s="36" t="s">
        <v>4179</v>
      </c>
      <c r="B533" s="212" t="s">
        <v>3830</v>
      </c>
      <c r="C533" s="36" t="s">
        <v>3783</v>
      </c>
      <c r="D533" s="36" t="s">
        <v>3304</v>
      </c>
      <c r="E533" s="19" t="s">
        <v>911</v>
      </c>
      <c r="F533" s="36" t="s">
        <v>70</v>
      </c>
      <c r="G533" s="212" t="s">
        <v>2771</v>
      </c>
      <c r="H533" s="36" t="s">
        <v>585</v>
      </c>
      <c r="I533" s="6" t="s">
        <v>585</v>
      </c>
      <c r="J533" s="36" t="s">
        <v>4177</v>
      </c>
      <c r="K533" s="212"/>
      <c r="L533" s="212"/>
      <c r="M533" s="212" t="s">
        <v>2708</v>
      </c>
      <c r="N533" s="6" t="s">
        <v>4180</v>
      </c>
      <c r="O533" s="6" t="s">
        <v>585</v>
      </c>
      <c r="P533" s="212" t="s">
        <v>2774</v>
      </c>
      <c r="Q533" s="182" t="n">
        <f aca="false">Train_In!C17</f>
        <v>3</v>
      </c>
      <c r="R533" s="36" t="s">
        <v>585</v>
      </c>
      <c r="S533" s="35" t="str">
        <f aca="false">IF(ISNUMBER($AF533),INDEX(IDX_SrcStat,$AF533),"—")</f>
        <v>—</v>
      </c>
      <c r="T533" s="35" t="str">
        <f aca="false">IF(ISNUMBER($AF533),INDEX(IDX_SrcGrade,$AF533),"—")</f>
        <v>—</v>
      </c>
      <c r="U533" s="35" t="s">
        <v>2775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5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6" t="s">
        <v>4181</v>
      </c>
      <c r="B534" s="212" t="s">
        <v>3830</v>
      </c>
      <c r="C534" s="36" t="s">
        <v>3783</v>
      </c>
      <c r="D534" s="36" t="s">
        <v>4182</v>
      </c>
      <c r="E534" s="19" t="s">
        <v>4183</v>
      </c>
      <c r="F534" s="36" t="s">
        <v>78</v>
      </c>
      <c r="G534" s="212" t="s">
        <v>3516</v>
      </c>
      <c r="H534" s="36" t="s">
        <v>585</v>
      </c>
      <c r="I534" s="6" t="s">
        <v>585</v>
      </c>
      <c r="J534" s="36" t="s">
        <v>585</v>
      </c>
      <c r="K534" s="212"/>
      <c r="L534" s="212"/>
      <c r="M534" s="212" t="s">
        <v>4184</v>
      </c>
      <c r="N534" s="19" t="s">
        <v>4185</v>
      </c>
      <c r="O534" s="6" t="s">
        <v>585</v>
      </c>
      <c r="P534" s="212" t="s">
        <v>1114</v>
      </c>
      <c r="Q534" s="184" t="s">
        <v>585</v>
      </c>
      <c r="R534" s="36" t="s">
        <v>585</v>
      </c>
      <c r="S534" s="35" t="str">
        <f aca="false">IF(ISNUMBER($AF534),INDEX(IDX_SrcStat,$AF534),"—")</f>
        <v>—</v>
      </c>
      <c r="T534" s="35" t="str">
        <f aca="false">IF(ISNUMBER($AF534),INDEX(IDX_SrcGrade,$AF534),"—")</f>
        <v>—</v>
      </c>
      <c r="U534" s="36" t="s">
        <v>585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5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6" t="s">
        <v>4186</v>
      </c>
      <c r="B535" s="212" t="s">
        <v>3830</v>
      </c>
      <c r="C535" s="36" t="s">
        <v>3783</v>
      </c>
      <c r="D535" s="36" t="s">
        <v>2915</v>
      </c>
      <c r="E535" s="19" t="s">
        <v>3784</v>
      </c>
      <c r="F535" s="36" t="s">
        <v>78</v>
      </c>
      <c r="G535" s="212" t="s">
        <v>2771</v>
      </c>
      <c r="H535" s="36" t="s">
        <v>585</v>
      </c>
      <c r="I535" s="6" t="s">
        <v>585</v>
      </c>
      <c r="J535" s="36" t="s">
        <v>4187</v>
      </c>
      <c r="K535" s="214" t="n">
        <v>30</v>
      </c>
      <c r="L535" s="214" t="n">
        <v>100</v>
      </c>
      <c r="M535" s="36" t="s">
        <v>4188</v>
      </c>
      <c r="N535" s="6" t="s">
        <v>4189</v>
      </c>
      <c r="O535" s="6" t="s">
        <v>585</v>
      </c>
      <c r="P535" s="212" t="s">
        <v>1114</v>
      </c>
      <c r="Q535" s="177" t="n">
        <f aca="false">Train_In!E25</f>
        <v>60</v>
      </c>
      <c r="R535" s="36" t="s">
        <v>585</v>
      </c>
      <c r="S535" s="35" t="str">
        <f aca="false">IF(ISNUMBER($AF535),INDEX(IDX_SrcStat,$AF535),"—")</f>
        <v>—</v>
      </c>
      <c r="T535" s="35" t="str">
        <f aca="false">IF(ISNUMBER($AF535),INDEX(IDX_SrcGrade,$AF535),"—")</f>
        <v>—</v>
      </c>
      <c r="U535" s="35" t="s">
        <v>2775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5" t="str">
        <f aca="false">IF(OR($H535="—",$H535=""),"—",MATCH($H535,IDX_SrcID,0))</f>
        <v>—</v>
      </c>
    </row>
    <row r="536" customFormat="false" ht="15" hidden="false" customHeight="true" outlineLevel="0" collapsed="false">
      <c r="A536" s="36" t="s">
        <v>4190</v>
      </c>
      <c r="B536" s="212" t="s">
        <v>3830</v>
      </c>
      <c r="C536" s="36" t="s">
        <v>3783</v>
      </c>
      <c r="D536" s="36" t="s">
        <v>2919</v>
      </c>
      <c r="E536" s="19" t="s">
        <v>3789</v>
      </c>
      <c r="F536" s="36" t="s">
        <v>78</v>
      </c>
      <c r="G536" s="212" t="s">
        <v>2771</v>
      </c>
      <c r="H536" s="36" t="s">
        <v>3790</v>
      </c>
      <c r="I536" s="6" t="s">
        <v>585</v>
      </c>
      <c r="J536" s="36" t="s">
        <v>585</v>
      </c>
      <c r="K536" s="214" t="n">
        <v>4096</v>
      </c>
      <c r="L536" s="214" t="n">
        <v>16384</v>
      </c>
      <c r="M536" s="36" t="s">
        <v>4191</v>
      </c>
      <c r="N536" s="6" t="s">
        <v>4192</v>
      </c>
      <c r="O536" s="6" t="s">
        <v>585</v>
      </c>
      <c r="P536" s="212" t="s">
        <v>2830</v>
      </c>
      <c r="Q536" s="41" t="n">
        <f aca="false">Train_In!E26</f>
        <v>8192</v>
      </c>
      <c r="R536" s="184" t="n">
        <f aca="false">SRC_MOD_031</f>
        <v>4096</v>
      </c>
      <c r="S536" s="35" t="str">
        <f aca="false">IF(ISNUMBER($AF536),INDEX(IDX_SrcStat,$AF536),"—")</f>
        <v>Active</v>
      </c>
      <c r="T536" s="35" t="n">
        <f aca="false">IF(ISNUMBER($AF536),INDEX(IDX_SrcGrade,$AF536),"—")</f>
        <v>1</v>
      </c>
      <c r="U536" s="35" t="s">
        <v>2775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5" t="n">
        <f aca="false">IF(OR($H536="—",$H536=""),"—",MATCH($H536,IDX_SrcID,0))</f>
        <v>208</v>
      </c>
    </row>
    <row r="537" customFormat="false" ht="15" hidden="false" customHeight="true" outlineLevel="0" collapsed="false">
      <c r="A537" s="36" t="s">
        <v>4193</v>
      </c>
      <c r="B537" s="212" t="s">
        <v>3830</v>
      </c>
      <c r="C537" s="36" t="s">
        <v>3783</v>
      </c>
      <c r="D537" s="36" t="s">
        <v>4194</v>
      </c>
      <c r="E537" s="19" t="s">
        <v>4195</v>
      </c>
      <c r="F537" s="36" t="s">
        <v>78</v>
      </c>
      <c r="G537" s="212" t="s">
        <v>3516</v>
      </c>
      <c r="H537" s="36" t="s">
        <v>585</v>
      </c>
      <c r="I537" s="6" t="s">
        <v>585</v>
      </c>
      <c r="J537" s="36" t="s">
        <v>585</v>
      </c>
      <c r="K537" s="212"/>
      <c r="L537" s="212"/>
      <c r="M537" s="36" t="s">
        <v>4196</v>
      </c>
      <c r="N537" s="19" t="s">
        <v>4197</v>
      </c>
      <c r="O537" s="6" t="s">
        <v>585</v>
      </c>
      <c r="P537" s="212" t="s">
        <v>1113</v>
      </c>
      <c r="Q537" s="184" t="s">
        <v>585</v>
      </c>
      <c r="R537" s="36" t="s">
        <v>585</v>
      </c>
      <c r="S537" s="35" t="str">
        <f aca="false">IF(ISNUMBER($AF537),INDEX(IDX_SrcStat,$AF537),"—")</f>
        <v>—</v>
      </c>
      <c r="T537" s="35" t="str">
        <f aca="false">IF(ISNUMBER($AF537),INDEX(IDX_SrcGrade,$AF537),"—")</f>
        <v>—</v>
      </c>
      <c r="U537" s="36" t="s">
        <v>585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5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6" t="s">
        <v>4198</v>
      </c>
      <c r="B538" s="212" t="s">
        <v>3830</v>
      </c>
      <c r="C538" s="36" t="s">
        <v>3783</v>
      </c>
      <c r="D538" s="36" t="s">
        <v>4199</v>
      </c>
      <c r="E538" s="19" t="s">
        <v>924</v>
      </c>
      <c r="F538" s="36" t="s">
        <v>78</v>
      </c>
      <c r="G538" s="212" t="s">
        <v>3516</v>
      </c>
      <c r="H538" s="36" t="s">
        <v>585</v>
      </c>
      <c r="I538" s="6" t="s">
        <v>585</v>
      </c>
      <c r="J538" s="36" t="s">
        <v>585</v>
      </c>
      <c r="K538" s="212"/>
      <c r="L538" s="212"/>
      <c r="M538" s="212" t="s">
        <v>2708</v>
      </c>
      <c r="N538" s="19" t="s">
        <v>4200</v>
      </c>
      <c r="O538" s="6" t="s">
        <v>585</v>
      </c>
      <c r="P538" s="212" t="s">
        <v>1113</v>
      </c>
      <c r="Q538" s="184" t="s">
        <v>585</v>
      </c>
      <c r="R538" s="36" t="s">
        <v>585</v>
      </c>
      <c r="S538" s="35" t="str">
        <f aca="false">IF(ISNUMBER($AF538),INDEX(IDX_SrcStat,$AF538),"—")</f>
        <v>—</v>
      </c>
      <c r="T538" s="35" t="str">
        <f aca="false">IF(ISNUMBER($AF538),INDEX(IDX_SrcGrade,$AF538),"—")</f>
        <v>—</v>
      </c>
      <c r="U538" s="36" t="s">
        <v>585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5" t="str">
        <f aca="false">IF(OR($H538="—",$H538=""),"—",MATCH($H538,IDX_SrcID,0))</f>
        <v>—</v>
      </c>
    </row>
    <row r="539" customFormat="false" ht="15" hidden="false" customHeight="true" outlineLevel="0" collapsed="false">
      <c r="A539" s="36" t="s">
        <v>4201</v>
      </c>
      <c r="B539" s="212" t="s">
        <v>3830</v>
      </c>
      <c r="C539" s="36" t="s">
        <v>3783</v>
      </c>
      <c r="D539" s="36" t="s">
        <v>4202</v>
      </c>
      <c r="E539" s="6" t="s">
        <v>925</v>
      </c>
      <c r="F539" s="36" t="s">
        <v>78</v>
      </c>
      <c r="G539" s="212" t="s">
        <v>3516</v>
      </c>
      <c r="H539" s="36" t="s">
        <v>585</v>
      </c>
      <c r="I539" s="6" t="s">
        <v>585</v>
      </c>
      <c r="J539" s="36" t="s">
        <v>585</v>
      </c>
      <c r="K539" s="212"/>
      <c r="L539" s="212"/>
      <c r="M539" s="36" t="s">
        <v>4203</v>
      </c>
      <c r="N539" s="6" t="s">
        <v>925</v>
      </c>
      <c r="O539" s="6" t="s">
        <v>585</v>
      </c>
      <c r="P539" s="212" t="s">
        <v>1113</v>
      </c>
      <c r="Q539" s="184" t="s">
        <v>585</v>
      </c>
      <c r="R539" s="36" t="s">
        <v>585</v>
      </c>
      <c r="S539" s="35" t="str">
        <f aca="false">IF(ISNUMBER($AF539),INDEX(IDX_SrcStat,$AF539),"—")</f>
        <v>—</v>
      </c>
      <c r="T539" s="35" t="str">
        <f aca="false">IF(ISNUMBER($AF539),INDEX(IDX_SrcGrade,$AF539),"—")</f>
        <v>—</v>
      </c>
      <c r="U539" s="36" t="s">
        <v>585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5" t="str">
        <f aca="false">IF(OR($H539="—",$H539=""),"—",MATCH($H539,IDX_SrcID,0))</f>
        <v>—</v>
      </c>
    </row>
    <row r="540" customFormat="false" ht="15" hidden="false" customHeight="true" outlineLevel="0" collapsed="false">
      <c r="A540" s="36" t="s">
        <v>4204</v>
      </c>
      <c r="B540" s="212" t="s">
        <v>3830</v>
      </c>
      <c r="C540" s="36" t="s">
        <v>3783</v>
      </c>
      <c r="D540" s="36" t="s">
        <v>4205</v>
      </c>
      <c r="E540" s="6" t="s">
        <v>927</v>
      </c>
      <c r="F540" s="36" t="s">
        <v>78</v>
      </c>
      <c r="G540" s="212" t="s">
        <v>3516</v>
      </c>
      <c r="H540" s="36" t="s">
        <v>585</v>
      </c>
      <c r="I540" s="6" t="s">
        <v>585</v>
      </c>
      <c r="J540" s="36" t="s">
        <v>585</v>
      </c>
      <c r="K540" s="212"/>
      <c r="L540" s="212"/>
      <c r="M540" s="212" t="s">
        <v>2708</v>
      </c>
      <c r="N540" s="6" t="s">
        <v>4206</v>
      </c>
      <c r="O540" s="6" t="s">
        <v>585</v>
      </c>
      <c r="P540" s="212" t="s">
        <v>1113</v>
      </c>
      <c r="Q540" s="184" t="s">
        <v>585</v>
      </c>
      <c r="R540" s="36" t="s">
        <v>585</v>
      </c>
      <c r="S540" s="35" t="str">
        <f aca="false">IF(ISNUMBER($AF540),INDEX(IDX_SrcStat,$AF540),"—")</f>
        <v>—</v>
      </c>
      <c r="T540" s="35" t="str">
        <f aca="false">IF(ISNUMBER($AF540),INDEX(IDX_SrcGrade,$AF540),"—")</f>
        <v>—</v>
      </c>
      <c r="U540" s="36" t="s">
        <v>585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5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6" t="s">
        <v>4207</v>
      </c>
      <c r="B541" s="212" t="s">
        <v>3830</v>
      </c>
      <c r="C541" s="36" t="s">
        <v>3783</v>
      </c>
      <c r="D541" s="36" t="s">
        <v>3889</v>
      </c>
      <c r="E541" s="19" t="s">
        <v>4208</v>
      </c>
      <c r="F541" s="36" t="s">
        <v>78</v>
      </c>
      <c r="G541" s="212" t="s">
        <v>3516</v>
      </c>
      <c r="H541" s="36" t="s">
        <v>585</v>
      </c>
      <c r="I541" s="6" t="s">
        <v>585</v>
      </c>
      <c r="J541" s="36" t="s">
        <v>585</v>
      </c>
      <c r="K541" s="212"/>
      <c r="L541" s="212"/>
      <c r="M541" s="36" t="s">
        <v>4209</v>
      </c>
      <c r="N541" s="19" t="s">
        <v>4210</v>
      </c>
      <c r="O541" s="6" t="s">
        <v>585</v>
      </c>
      <c r="P541" s="212" t="s">
        <v>1113</v>
      </c>
      <c r="Q541" s="184" t="s">
        <v>585</v>
      </c>
      <c r="R541" s="36" t="s">
        <v>585</v>
      </c>
      <c r="S541" s="35" t="str">
        <f aca="false">IF(ISNUMBER($AF541),INDEX(IDX_SrcStat,$AF541),"—")</f>
        <v>—</v>
      </c>
      <c r="T541" s="35" t="str">
        <f aca="false">IF(ISNUMBER($AF541),INDEX(IDX_SrcGrade,$AF541),"—")</f>
        <v>—</v>
      </c>
      <c r="U541" s="36" t="s">
        <v>585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5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6" t="s">
        <v>4211</v>
      </c>
      <c r="B542" s="212" t="s">
        <v>3830</v>
      </c>
      <c r="C542" s="36" t="s">
        <v>3783</v>
      </c>
      <c r="D542" s="36" t="s">
        <v>3894</v>
      </c>
      <c r="E542" s="6" t="s">
        <v>930</v>
      </c>
      <c r="F542" s="36" t="s">
        <v>78</v>
      </c>
      <c r="G542" s="212" t="s">
        <v>3516</v>
      </c>
      <c r="H542" s="36" t="s">
        <v>585</v>
      </c>
      <c r="I542" s="6" t="s">
        <v>585</v>
      </c>
      <c r="J542" s="36" t="s">
        <v>585</v>
      </c>
      <c r="K542" s="212"/>
      <c r="L542" s="212"/>
      <c r="M542" s="212" t="s">
        <v>4212</v>
      </c>
      <c r="N542" s="6" t="s">
        <v>930</v>
      </c>
      <c r="O542" s="6" t="s">
        <v>585</v>
      </c>
      <c r="P542" s="212" t="s">
        <v>2830</v>
      </c>
      <c r="Q542" s="184" t="s">
        <v>585</v>
      </c>
      <c r="R542" s="36" t="s">
        <v>585</v>
      </c>
      <c r="S542" s="35" t="str">
        <f aca="false">IF(ISNUMBER($AF542),INDEX(IDX_SrcStat,$AF542),"—")</f>
        <v>—</v>
      </c>
      <c r="T542" s="35" t="str">
        <f aca="false">IF(ISNUMBER($AF542),INDEX(IDX_SrcGrade,$AF542),"—")</f>
        <v>—</v>
      </c>
      <c r="U542" s="36" t="s">
        <v>585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5" t="str">
        <f aca="false">IF(OR($H542="—",$H542=""),"—",MATCH($H542,IDX_SrcID,0))</f>
        <v>—</v>
      </c>
    </row>
    <row r="543" customFormat="false" ht="15" hidden="false" customHeight="true" outlineLevel="0" collapsed="false">
      <c r="A543" s="36" t="s">
        <v>4213</v>
      </c>
      <c r="B543" s="212" t="s">
        <v>3830</v>
      </c>
      <c r="C543" s="36" t="s">
        <v>3783</v>
      </c>
      <c r="D543" s="36" t="s">
        <v>4214</v>
      </c>
      <c r="E543" s="6" t="s">
        <v>931</v>
      </c>
      <c r="F543" s="36" t="s">
        <v>78</v>
      </c>
      <c r="G543" s="212" t="s">
        <v>3516</v>
      </c>
      <c r="H543" s="36" t="s">
        <v>585</v>
      </c>
      <c r="I543" s="6" t="s">
        <v>585</v>
      </c>
      <c r="J543" s="36" t="s">
        <v>585</v>
      </c>
      <c r="K543" s="212"/>
      <c r="L543" s="212"/>
      <c r="M543" s="212" t="s">
        <v>4212</v>
      </c>
      <c r="N543" s="6" t="s">
        <v>931</v>
      </c>
      <c r="O543" s="6" t="s">
        <v>585</v>
      </c>
      <c r="P543" s="212" t="s">
        <v>2830</v>
      </c>
      <c r="Q543" s="184" t="s">
        <v>585</v>
      </c>
      <c r="R543" s="36" t="s">
        <v>585</v>
      </c>
      <c r="S543" s="35" t="str">
        <f aca="false">IF(ISNUMBER($AF543),INDEX(IDX_SrcStat,$AF543),"—")</f>
        <v>—</v>
      </c>
      <c r="T543" s="35" t="str">
        <f aca="false">IF(ISNUMBER($AF543),INDEX(IDX_SrcGrade,$AF543),"—")</f>
        <v>—</v>
      </c>
      <c r="U543" s="36" t="s">
        <v>585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5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6" t="s">
        <v>4215</v>
      </c>
      <c r="B544" s="212" t="s">
        <v>3830</v>
      </c>
      <c r="C544" s="36" t="s">
        <v>3783</v>
      </c>
      <c r="D544" s="36" t="s">
        <v>4216</v>
      </c>
      <c r="E544" s="6" t="s">
        <v>933</v>
      </c>
      <c r="F544" s="36" t="s">
        <v>78</v>
      </c>
      <c r="G544" s="212" t="s">
        <v>3516</v>
      </c>
      <c r="H544" s="36" t="s">
        <v>585</v>
      </c>
      <c r="I544" s="6" t="s">
        <v>585</v>
      </c>
      <c r="J544" s="36" t="s">
        <v>4217</v>
      </c>
      <c r="K544" s="212"/>
      <c r="L544" s="212"/>
      <c r="M544" s="36" t="s">
        <v>4218</v>
      </c>
      <c r="N544" s="6" t="s">
        <v>4219</v>
      </c>
      <c r="O544" s="6" t="s">
        <v>585</v>
      </c>
      <c r="P544" s="212" t="s">
        <v>1114</v>
      </c>
      <c r="Q544" s="184" t="s">
        <v>585</v>
      </c>
      <c r="R544" s="36" t="s">
        <v>585</v>
      </c>
      <c r="S544" s="35" t="str">
        <f aca="false">IF(ISNUMBER($AF544),INDEX(IDX_SrcStat,$AF544),"—")</f>
        <v>—</v>
      </c>
      <c r="T544" s="35" t="str">
        <f aca="false">IF(ISNUMBER($AF544),INDEX(IDX_SrcGrade,$AF544),"—")</f>
        <v>—</v>
      </c>
      <c r="U544" s="36" t="s">
        <v>585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5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6" t="s">
        <v>4220</v>
      </c>
      <c r="B545" s="212" t="s">
        <v>3830</v>
      </c>
      <c r="C545" s="36" t="s">
        <v>3783</v>
      </c>
      <c r="D545" s="36" t="s">
        <v>4221</v>
      </c>
      <c r="E545" s="6" t="s">
        <v>935</v>
      </c>
      <c r="F545" s="36" t="s">
        <v>78</v>
      </c>
      <c r="G545" s="212" t="s">
        <v>3516</v>
      </c>
      <c r="H545" s="36" t="s">
        <v>585</v>
      </c>
      <c r="I545" s="6" t="s">
        <v>585</v>
      </c>
      <c r="J545" s="36" t="s">
        <v>585</v>
      </c>
      <c r="K545" s="212"/>
      <c r="L545" s="212"/>
      <c r="M545" s="36" t="s">
        <v>4222</v>
      </c>
      <c r="N545" s="6" t="s">
        <v>4223</v>
      </c>
      <c r="O545" s="6" t="s">
        <v>585</v>
      </c>
      <c r="P545" s="212" t="s">
        <v>1113</v>
      </c>
      <c r="Q545" s="184" t="s">
        <v>585</v>
      </c>
      <c r="R545" s="36" t="s">
        <v>585</v>
      </c>
      <c r="S545" s="35" t="str">
        <f aca="false">IF(ISNUMBER($AF545),INDEX(IDX_SrcStat,$AF545),"—")</f>
        <v>—</v>
      </c>
      <c r="T545" s="35" t="str">
        <f aca="false">IF(ISNUMBER($AF545),INDEX(IDX_SrcGrade,$AF545),"—")</f>
        <v>—</v>
      </c>
      <c r="U545" s="36" t="s">
        <v>585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5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6" t="s">
        <v>4224</v>
      </c>
      <c r="B546" s="212" t="s">
        <v>3830</v>
      </c>
      <c r="C546" s="36" t="s">
        <v>3783</v>
      </c>
      <c r="D546" s="36" t="s">
        <v>4225</v>
      </c>
      <c r="E546" s="19" t="s">
        <v>4226</v>
      </c>
      <c r="F546" s="36" t="s">
        <v>78</v>
      </c>
      <c r="G546" s="212" t="s">
        <v>3516</v>
      </c>
      <c r="H546" s="36" t="s">
        <v>585</v>
      </c>
      <c r="I546" s="6" t="s">
        <v>585</v>
      </c>
      <c r="J546" s="36" t="s">
        <v>585</v>
      </c>
      <c r="K546" s="212"/>
      <c r="L546" s="212"/>
      <c r="M546" s="212" t="s">
        <v>2708</v>
      </c>
      <c r="N546" s="19" t="s">
        <v>4227</v>
      </c>
      <c r="O546" s="6" t="s">
        <v>4228</v>
      </c>
      <c r="P546" s="212" t="s">
        <v>2774</v>
      </c>
      <c r="Q546" s="184" t="s">
        <v>585</v>
      </c>
      <c r="R546" s="36" t="s">
        <v>585</v>
      </c>
      <c r="S546" s="35" t="str">
        <f aca="false">IF(ISNUMBER($AF546),INDEX(IDX_SrcStat,$AF546),"—")</f>
        <v>—</v>
      </c>
      <c r="T546" s="35" t="str">
        <f aca="false">IF(ISNUMBER($AF546),INDEX(IDX_SrcGrade,$AF546),"—")</f>
        <v>—</v>
      </c>
      <c r="U546" s="36" t="s">
        <v>585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5" t="str">
        <f aca="false">IF(OR($H546="—",$H546=""),"—",MATCH($H546,IDX_SrcID,0))</f>
        <v>—</v>
      </c>
    </row>
    <row r="547" customFormat="false" ht="15" hidden="false" customHeight="true" outlineLevel="0" collapsed="false">
      <c r="A547" s="36" t="s">
        <v>4229</v>
      </c>
      <c r="B547" s="212" t="s">
        <v>3830</v>
      </c>
      <c r="C547" s="36" t="s">
        <v>3783</v>
      </c>
      <c r="D547" s="36" t="s">
        <v>4230</v>
      </c>
      <c r="E547" s="19" t="s">
        <v>4231</v>
      </c>
      <c r="F547" s="36" t="s">
        <v>78</v>
      </c>
      <c r="G547" s="212" t="s">
        <v>3516</v>
      </c>
      <c r="H547" s="36" t="s">
        <v>585</v>
      </c>
      <c r="I547" s="6" t="s">
        <v>585</v>
      </c>
      <c r="J547" s="36" t="s">
        <v>585</v>
      </c>
      <c r="K547" s="212"/>
      <c r="L547" s="212"/>
      <c r="M547" s="36" t="s">
        <v>4232</v>
      </c>
      <c r="N547" s="19" t="s">
        <v>4231</v>
      </c>
      <c r="O547" s="6" t="s">
        <v>585</v>
      </c>
      <c r="P547" s="212" t="s">
        <v>1113</v>
      </c>
      <c r="Q547" s="184" t="s">
        <v>585</v>
      </c>
      <c r="R547" s="36" t="s">
        <v>585</v>
      </c>
      <c r="S547" s="35" t="str">
        <f aca="false">IF(ISNUMBER($AF547),INDEX(IDX_SrcStat,$AF547),"—")</f>
        <v>—</v>
      </c>
      <c r="T547" s="35" t="str">
        <f aca="false">IF(ISNUMBER($AF547),INDEX(IDX_SrcGrade,$AF547),"—")</f>
        <v>—</v>
      </c>
      <c r="U547" s="36" t="s">
        <v>585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5" t="str">
        <f aca="false">IF(OR($H547="—",$H547=""),"—",MATCH($H547,IDX_SrcID,0))</f>
        <v>—</v>
      </c>
    </row>
    <row r="548" customFormat="false" ht="15" hidden="false" customHeight="true" outlineLevel="0" collapsed="false">
      <c r="A548" s="36" t="s">
        <v>4233</v>
      </c>
      <c r="B548" s="212" t="s">
        <v>3830</v>
      </c>
      <c r="C548" s="36" t="s">
        <v>3783</v>
      </c>
      <c r="D548" s="36" t="s">
        <v>4234</v>
      </c>
      <c r="E548" s="19" t="s">
        <v>4235</v>
      </c>
      <c r="F548" s="36" t="s">
        <v>78</v>
      </c>
      <c r="G548" s="212" t="s">
        <v>3516</v>
      </c>
      <c r="H548" s="36" t="s">
        <v>585</v>
      </c>
      <c r="I548" s="6" t="s">
        <v>585</v>
      </c>
      <c r="J548" s="36" t="s">
        <v>585</v>
      </c>
      <c r="K548" s="212"/>
      <c r="L548" s="212"/>
      <c r="M548" s="212" t="s">
        <v>4212</v>
      </c>
      <c r="N548" s="19" t="s">
        <v>4235</v>
      </c>
      <c r="O548" s="6" t="s">
        <v>585</v>
      </c>
      <c r="P548" s="212" t="s">
        <v>1113</v>
      </c>
      <c r="Q548" s="184" t="s">
        <v>585</v>
      </c>
      <c r="R548" s="36" t="s">
        <v>585</v>
      </c>
      <c r="S548" s="35" t="str">
        <f aca="false">IF(ISNUMBER($AF548),INDEX(IDX_SrcStat,$AF548),"—")</f>
        <v>—</v>
      </c>
      <c r="T548" s="35" t="str">
        <f aca="false">IF(ISNUMBER($AF548),INDEX(IDX_SrcGrade,$AF548),"—")</f>
        <v>—</v>
      </c>
      <c r="U548" s="36" t="s">
        <v>585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5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6" t="s">
        <v>4236</v>
      </c>
      <c r="B549" s="212" t="s">
        <v>3830</v>
      </c>
      <c r="C549" s="36" t="s">
        <v>3783</v>
      </c>
      <c r="D549" s="36" t="s">
        <v>4237</v>
      </c>
      <c r="E549" s="6" t="s">
        <v>950</v>
      </c>
      <c r="F549" s="36" t="s">
        <v>3057</v>
      </c>
      <c r="G549" s="212" t="s">
        <v>2771</v>
      </c>
      <c r="H549" s="36" t="s">
        <v>2245</v>
      </c>
      <c r="I549" s="19" t="s">
        <v>4238</v>
      </c>
      <c r="J549" s="36" t="s">
        <v>585</v>
      </c>
      <c r="K549" s="212"/>
      <c r="L549" s="212"/>
      <c r="M549" s="36" t="s">
        <v>585</v>
      </c>
      <c r="N549" s="19" t="s">
        <v>4239</v>
      </c>
      <c r="O549" s="6" t="s">
        <v>585</v>
      </c>
      <c r="P549" s="212" t="s">
        <v>2774</v>
      </c>
      <c r="Q549" s="178" t="n">
        <f aca="false">Train_In!C44</f>
        <v>0.0551801801801802</v>
      </c>
      <c r="R549" s="184" t="n">
        <f aca="false">SRC_MOD_034</f>
        <v>0.147</v>
      </c>
      <c r="S549" s="35" t="str">
        <f aca="false">IF(ISNUMBER($AF549),INDEX(IDX_SrcStat,$AF549),"—")</f>
        <v>Active</v>
      </c>
      <c r="T549" s="35" t="n">
        <f aca="false">IF(ISNUMBER($AF549),INDEX(IDX_SrcGrade,$AF549),"—")</f>
        <v>2</v>
      </c>
      <c r="U549" s="35" t="s">
        <v>2808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5" t="n">
        <f aca="false">IF(OR($H549="—",$H549=""),"—",MATCH($H549,IDX_SrcID,0))</f>
        <v>211</v>
      </c>
    </row>
    <row r="550" customFormat="false" ht="29.25" hidden="false" customHeight="true" outlineLevel="0" collapsed="false">
      <c r="A550" s="36" t="s">
        <v>4240</v>
      </c>
      <c r="B550" s="212" t="s">
        <v>3830</v>
      </c>
      <c r="C550" s="36" t="s">
        <v>3783</v>
      </c>
      <c r="D550" s="36" t="s">
        <v>4241</v>
      </c>
      <c r="E550" s="19" t="s">
        <v>956</v>
      </c>
      <c r="F550" s="36" t="s">
        <v>82</v>
      </c>
      <c r="G550" s="212" t="s">
        <v>63</v>
      </c>
      <c r="H550" s="36" t="s">
        <v>4242</v>
      </c>
      <c r="I550" s="19" t="s">
        <v>4243</v>
      </c>
      <c r="J550" s="36" t="s">
        <v>4187</v>
      </c>
      <c r="K550" s="220" t="n">
        <f aca="false">Train_In!C46</f>
        <v>2E+026</v>
      </c>
      <c r="L550" s="220" t="n">
        <f aca="false">Train_In!C48</f>
        <v>2E+027</v>
      </c>
      <c r="M550" s="36" t="s">
        <v>585</v>
      </c>
      <c r="N550" s="6" t="s">
        <v>4244</v>
      </c>
      <c r="O550" s="6" t="s">
        <v>585</v>
      </c>
      <c r="P550" s="212" t="s">
        <v>2774</v>
      </c>
      <c r="Q550" s="220" t="n">
        <f aca="false">Train_In!C47</f>
        <v>5E+026</v>
      </c>
      <c r="R550" s="184" t="n">
        <f aca="false">SRC_MOD_033</f>
        <v>4.6E+026</v>
      </c>
      <c r="S550" s="35" t="str">
        <f aca="false">IF(ISNUMBER($AF550),INDEX(IDX_SrcStat,$AF550),"—")</f>
        <v>Active</v>
      </c>
      <c r="T550" s="35" t="n">
        <f aca="false">IF(ISNUMBER($AF550),INDEX(IDX_SrcGrade,$AF550),"—")</f>
        <v>1</v>
      </c>
      <c r="U550" s="35" t="s">
        <v>2775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5" t="n">
        <f aca="false">IF(OR($H550="—",$H550=""),"—",MATCH($H550,IDX_SrcID,0))</f>
        <v>210</v>
      </c>
    </row>
    <row r="551" customFormat="false" ht="15" hidden="false" customHeight="true" outlineLevel="0" collapsed="false">
      <c r="A551" s="36" t="s">
        <v>4245</v>
      </c>
      <c r="B551" s="212" t="s">
        <v>3830</v>
      </c>
      <c r="C551" s="36" t="s">
        <v>3783</v>
      </c>
      <c r="D551" s="36" t="s">
        <v>4246</v>
      </c>
      <c r="E551" s="19" t="s">
        <v>954</v>
      </c>
      <c r="F551" s="36" t="s">
        <v>82</v>
      </c>
      <c r="G551" s="212" t="s">
        <v>1113</v>
      </c>
      <c r="H551" s="36" t="s">
        <v>4242</v>
      </c>
      <c r="I551" s="19" t="s">
        <v>2794</v>
      </c>
      <c r="J551" s="36" t="s">
        <v>4187</v>
      </c>
      <c r="K551" s="212"/>
      <c r="L551" s="212"/>
      <c r="M551" s="36" t="s">
        <v>585</v>
      </c>
      <c r="N551" s="19" t="s">
        <v>4247</v>
      </c>
      <c r="O551" s="6" t="s">
        <v>585</v>
      </c>
      <c r="P551" s="212" t="s">
        <v>2774</v>
      </c>
      <c r="Q551" s="220" t="n">
        <f aca="false">Train_In!C46</f>
        <v>2E+026</v>
      </c>
      <c r="R551" s="184" t="n">
        <f aca="false">SRC_MOD_033</f>
        <v>4.6E+026</v>
      </c>
      <c r="S551" s="35" t="str">
        <f aca="false">IF(ISNUMBER($AF551),INDEX(IDX_SrcStat,$AF551),"—")</f>
        <v>Active</v>
      </c>
      <c r="T551" s="35" t="n">
        <f aca="false">IF(ISNUMBER($AF551),INDEX(IDX_SrcGrade,$AF551),"—")</f>
        <v>1</v>
      </c>
      <c r="U551" s="35" t="s">
        <v>2775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5" t="n">
        <f aca="false">IF(OR($H551="—",$H551=""),"—",MATCH($H551,IDX_SrcID,0))</f>
        <v>210</v>
      </c>
    </row>
    <row r="552" customFormat="false" ht="15" hidden="false" customHeight="true" outlineLevel="0" collapsed="false">
      <c r="A552" s="36" t="s">
        <v>4248</v>
      </c>
      <c r="B552" s="212" t="s">
        <v>3830</v>
      </c>
      <c r="C552" s="36" t="s">
        <v>3783</v>
      </c>
      <c r="D552" s="36" t="s">
        <v>4249</v>
      </c>
      <c r="E552" s="19" t="s">
        <v>957</v>
      </c>
      <c r="F552" s="36" t="s">
        <v>82</v>
      </c>
      <c r="G552" s="212" t="s">
        <v>1114</v>
      </c>
      <c r="H552" s="36" t="s">
        <v>4242</v>
      </c>
      <c r="I552" s="19" t="s">
        <v>2794</v>
      </c>
      <c r="J552" s="36" t="s">
        <v>4187</v>
      </c>
      <c r="K552" s="212"/>
      <c r="L552" s="212"/>
      <c r="M552" s="36" t="s">
        <v>585</v>
      </c>
      <c r="N552" s="19" t="s">
        <v>4250</v>
      </c>
      <c r="O552" s="6" t="s">
        <v>585</v>
      </c>
      <c r="P552" s="212" t="s">
        <v>2774</v>
      </c>
      <c r="Q552" s="220" t="n">
        <f aca="false">Train_In!C48</f>
        <v>2E+027</v>
      </c>
      <c r="R552" s="184" t="n">
        <f aca="false">SRC_MOD_033</f>
        <v>4.6E+026</v>
      </c>
      <c r="S552" s="35" t="str">
        <f aca="false">IF(ISNUMBER($AF552),INDEX(IDX_SrcStat,$AF552),"—")</f>
        <v>Active</v>
      </c>
      <c r="T552" s="35" t="n">
        <f aca="false">IF(ISNUMBER($AF552),INDEX(IDX_SrcGrade,$AF552),"—")</f>
        <v>1</v>
      </c>
      <c r="U552" s="35" t="s">
        <v>2775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5" t="n">
        <f aca="false">IF(OR($H552="—",$H552=""),"—",MATCH($H552,IDX_SrcID,0))</f>
        <v>210</v>
      </c>
    </row>
    <row r="553" customFormat="false" ht="15" hidden="false" customHeight="true" outlineLevel="0" collapsed="false">
      <c r="A553" s="36" t="s">
        <v>4251</v>
      </c>
      <c r="B553" s="212" t="s">
        <v>3830</v>
      </c>
      <c r="C553" s="36" t="s">
        <v>3812</v>
      </c>
      <c r="D553" s="36" t="s">
        <v>3759</v>
      </c>
      <c r="E553" s="19" t="s">
        <v>417</v>
      </c>
      <c r="F553" s="212" t="s">
        <v>3515</v>
      </c>
      <c r="G553" s="212" t="s">
        <v>3516</v>
      </c>
      <c r="H553" s="36" t="s">
        <v>585</v>
      </c>
      <c r="I553" s="6" t="s">
        <v>585</v>
      </c>
      <c r="J553" s="36" t="s">
        <v>585</v>
      </c>
      <c r="K553" s="212"/>
      <c r="L553" s="212"/>
      <c r="M553" s="36" t="s">
        <v>585</v>
      </c>
      <c r="N553" s="19" t="s">
        <v>417</v>
      </c>
      <c r="O553" s="6" t="s">
        <v>585</v>
      </c>
      <c r="P553" s="212" t="s">
        <v>2774</v>
      </c>
      <c r="Q553" s="184" t="s">
        <v>585</v>
      </c>
      <c r="R553" s="36" t="s">
        <v>585</v>
      </c>
      <c r="S553" s="35" t="str">
        <f aca="false">IF(ISNUMBER($AF553),INDEX(IDX_SrcStat,$AF553),"—")</f>
        <v>—</v>
      </c>
      <c r="T553" s="35" t="str">
        <f aca="false">IF(ISNUMBER($AF553),INDEX(IDX_SrcGrade,$AF553),"—")</f>
        <v>—</v>
      </c>
      <c r="U553" s="36" t="s">
        <v>585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5" t="str">
        <f aca="false">IF(OR($H553="—",$H553=""),"—",MATCH($H553,IDX_SrcID,0))</f>
        <v>—</v>
      </c>
    </row>
    <row r="554" customFormat="false" ht="15" hidden="false" customHeight="true" outlineLevel="0" collapsed="false">
      <c r="A554" s="36" t="s">
        <v>4252</v>
      </c>
      <c r="B554" s="212" t="s">
        <v>3830</v>
      </c>
      <c r="C554" s="36" t="s">
        <v>3812</v>
      </c>
      <c r="D554" s="36" t="s">
        <v>3761</v>
      </c>
      <c r="E554" s="19" t="s">
        <v>688</v>
      </c>
      <c r="F554" s="212" t="s">
        <v>3515</v>
      </c>
      <c r="G554" s="212" t="s">
        <v>3516</v>
      </c>
      <c r="H554" s="36" t="s">
        <v>585</v>
      </c>
      <c r="I554" s="6" t="s">
        <v>585</v>
      </c>
      <c r="J554" s="36" t="s">
        <v>585</v>
      </c>
      <c r="K554" s="212"/>
      <c r="L554" s="212"/>
      <c r="M554" s="36" t="s">
        <v>585</v>
      </c>
      <c r="N554" s="19" t="s">
        <v>688</v>
      </c>
      <c r="O554" s="6" t="s">
        <v>585</v>
      </c>
      <c r="P554" s="212" t="s">
        <v>2774</v>
      </c>
      <c r="Q554" s="184" t="s">
        <v>585</v>
      </c>
      <c r="R554" s="36" t="s">
        <v>585</v>
      </c>
      <c r="S554" s="35" t="str">
        <f aca="false">IF(ISNUMBER($AF554),INDEX(IDX_SrcStat,$AF554),"—")</f>
        <v>—</v>
      </c>
      <c r="T554" s="35" t="str">
        <f aca="false">IF(ISNUMBER($AF554),INDEX(IDX_SrcGrade,$AF554),"—")</f>
        <v>—</v>
      </c>
      <c r="U554" s="36" t="s">
        <v>585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5" t="str">
        <f aca="false">IF(OR($H554="—",$H554=""),"—",MATCH($H554,IDX_SrcID,0))</f>
        <v>—</v>
      </c>
    </row>
    <row r="555" customFormat="false" ht="15" hidden="false" customHeight="true" outlineLevel="0" collapsed="false">
      <c r="A555" s="36" t="s">
        <v>4253</v>
      </c>
      <c r="B555" s="212" t="s">
        <v>3830</v>
      </c>
      <c r="C555" s="36" t="s">
        <v>3812</v>
      </c>
      <c r="D555" s="36" t="s">
        <v>4254</v>
      </c>
      <c r="E555" s="19" t="s">
        <v>4255</v>
      </c>
      <c r="F555" s="212" t="s">
        <v>346</v>
      </c>
      <c r="G555" s="212" t="s">
        <v>3516</v>
      </c>
      <c r="H555" s="36" t="s">
        <v>585</v>
      </c>
      <c r="I555" s="6" t="s">
        <v>585</v>
      </c>
      <c r="J555" s="36" t="s">
        <v>585</v>
      </c>
      <c r="K555" s="212"/>
      <c r="L555" s="212"/>
      <c r="M555" s="36" t="s">
        <v>585</v>
      </c>
      <c r="N555" s="6" t="s">
        <v>4256</v>
      </c>
      <c r="O555" s="6" t="s">
        <v>585</v>
      </c>
      <c r="P555" s="212" t="s">
        <v>2774</v>
      </c>
      <c r="Q555" s="184" t="s">
        <v>585</v>
      </c>
      <c r="R555" s="36" t="s">
        <v>585</v>
      </c>
      <c r="S555" s="35" t="str">
        <f aca="false">IF(ISNUMBER($AF555),INDEX(IDX_SrcStat,$AF555),"—")</f>
        <v>—</v>
      </c>
      <c r="T555" s="35" t="str">
        <f aca="false">IF(ISNUMBER($AF555),INDEX(IDX_SrcGrade,$AF555),"—")</f>
        <v>—</v>
      </c>
      <c r="U555" s="36" t="s">
        <v>585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5" t="str">
        <f aca="false">IF(OR($H555="—",$H555=""),"—",MATCH($H555,IDX_SrcID,0))</f>
        <v>—</v>
      </c>
    </row>
    <row r="556" customFormat="false" ht="15" hidden="false" customHeight="true" outlineLevel="0" collapsed="false">
      <c r="A556" s="36" t="s">
        <v>4257</v>
      </c>
      <c r="B556" s="212" t="s">
        <v>3830</v>
      </c>
      <c r="C556" s="36" t="s">
        <v>3812</v>
      </c>
      <c r="D556" s="36" t="s">
        <v>4258</v>
      </c>
      <c r="E556" s="6" t="s">
        <v>975</v>
      </c>
      <c r="F556" s="212" t="s">
        <v>346</v>
      </c>
      <c r="G556" s="212" t="s">
        <v>3516</v>
      </c>
      <c r="H556" s="36" t="s">
        <v>585</v>
      </c>
      <c r="I556" s="6" t="s">
        <v>585</v>
      </c>
      <c r="J556" s="36" t="s">
        <v>585</v>
      </c>
      <c r="K556" s="212"/>
      <c r="L556" s="212"/>
      <c r="M556" s="36" t="s">
        <v>585</v>
      </c>
      <c r="N556" s="6" t="s">
        <v>4259</v>
      </c>
      <c r="O556" s="6" t="s">
        <v>585</v>
      </c>
      <c r="P556" s="212" t="s">
        <v>2774</v>
      </c>
      <c r="Q556" s="184" t="s">
        <v>585</v>
      </c>
      <c r="R556" s="36" t="s">
        <v>585</v>
      </c>
      <c r="S556" s="35" t="str">
        <f aca="false">IF(ISNUMBER($AF556),INDEX(IDX_SrcStat,$AF556),"—")</f>
        <v>—</v>
      </c>
      <c r="T556" s="35" t="str">
        <f aca="false">IF(ISNUMBER($AF556),INDEX(IDX_SrcGrade,$AF556),"—")</f>
        <v>—</v>
      </c>
      <c r="U556" s="36" t="s">
        <v>585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5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6" t="s">
        <v>4260</v>
      </c>
      <c r="B557" s="212" t="s">
        <v>3830</v>
      </c>
      <c r="C557" s="36" t="s">
        <v>3812</v>
      </c>
      <c r="D557" s="36" t="s">
        <v>4261</v>
      </c>
      <c r="E557" s="19" t="s">
        <v>4262</v>
      </c>
      <c r="F557" s="212" t="s">
        <v>346</v>
      </c>
      <c r="G557" s="212" t="s">
        <v>3516</v>
      </c>
      <c r="H557" s="36" t="s">
        <v>585</v>
      </c>
      <c r="I557" s="6" t="s">
        <v>585</v>
      </c>
      <c r="J557" s="36" t="s">
        <v>585</v>
      </c>
      <c r="K557" s="212"/>
      <c r="L557" s="212"/>
      <c r="M557" s="36" t="s">
        <v>585</v>
      </c>
      <c r="N557" s="6" t="s">
        <v>4263</v>
      </c>
      <c r="O557" s="6" t="s">
        <v>585</v>
      </c>
      <c r="P557" s="212" t="s">
        <v>2774</v>
      </c>
      <c r="Q557" s="184" t="s">
        <v>585</v>
      </c>
      <c r="R557" s="36" t="s">
        <v>585</v>
      </c>
      <c r="S557" s="35" t="str">
        <f aca="false">IF(ISNUMBER($AF557),INDEX(IDX_SrcStat,$AF557),"—")</f>
        <v>—</v>
      </c>
      <c r="T557" s="35" t="str">
        <f aca="false">IF(ISNUMBER($AF557),INDEX(IDX_SrcGrade,$AF557),"—")</f>
        <v>—</v>
      </c>
      <c r="U557" s="36" t="s">
        <v>585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5" t="str">
        <f aca="false">IF(OR($H557="—",$H557=""),"—",MATCH($H557,IDX_SrcID,0))</f>
        <v>—</v>
      </c>
    </row>
    <row r="558" customFormat="false" ht="15" hidden="false" customHeight="true" outlineLevel="0" collapsed="false">
      <c r="A558" s="36" t="s">
        <v>4264</v>
      </c>
      <c r="B558" s="212" t="s">
        <v>3830</v>
      </c>
      <c r="C558" s="36" t="s">
        <v>3812</v>
      </c>
      <c r="D558" s="36" t="s">
        <v>4265</v>
      </c>
      <c r="E558" s="6" t="s">
        <v>1008</v>
      </c>
      <c r="F558" s="212" t="s">
        <v>346</v>
      </c>
      <c r="G558" s="212" t="s">
        <v>3516</v>
      </c>
      <c r="H558" s="36" t="s">
        <v>585</v>
      </c>
      <c r="I558" s="6" t="s">
        <v>585</v>
      </c>
      <c r="J558" s="36" t="s">
        <v>585</v>
      </c>
      <c r="K558" s="212"/>
      <c r="L558" s="212"/>
      <c r="M558" s="36" t="s">
        <v>585</v>
      </c>
      <c r="N558" s="6" t="s">
        <v>4266</v>
      </c>
      <c r="O558" s="6" t="s">
        <v>585</v>
      </c>
      <c r="P558" s="212" t="s">
        <v>2774</v>
      </c>
      <c r="Q558" s="184" t="s">
        <v>585</v>
      </c>
      <c r="R558" s="36" t="s">
        <v>585</v>
      </c>
      <c r="S558" s="35" t="str">
        <f aca="false">IF(ISNUMBER($AF558),INDEX(IDX_SrcStat,$AF558),"—")</f>
        <v>—</v>
      </c>
      <c r="T558" s="35" t="str">
        <f aca="false">IF(ISNUMBER($AF558),INDEX(IDX_SrcGrade,$AF558),"—")</f>
        <v>—</v>
      </c>
      <c r="U558" s="36" t="s">
        <v>585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5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6" t="s">
        <v>4267</v>
      </c>
      <c r="B559" s="212" t="s">
        <v>3830</v>
      </c>
      <c r="C559" s="36" t="s">
        <v>3812</v>
      </c>
      <c r="D559" s="36" t="s">
        <v>4268</v>
      </c>
      <c r="E559" s="19" t="s">
        <v>1062</v>
      </c>
      <c r="F559" s="212" t="s">
        <v>346</v>
      </c>
      <c r="G559" s="212" t="s">
        <v>3516</v>
      </c>
      <c r="H559" s="36" t="s">
        <v>585</v>
      </c>
      <c r="I559" s="6" t="s">
        <v>585</v>
      </c>
      <c r="J559" s="36" t="s">
        <v>585</v>
      </c>
      <c r="K559" s="212"/>
      <c r="L559" s="212"/>
      <c r="M559" s="36" t="s">
        <v>585</v>
      </c>
      <c r="N559" s="6" t="s">
        <v>4269</v>
      </c>
      <c r="O559" s="6" t="s">
        <v>585</v>
      </c>
      <c r="P559" s="212" t="s">
        <v>2774</v>
      </c>
      <c r="Q559" s="184" t="s">
        <v>585</v>
      </c>
      <c r="R559" s="36" t="s">
        <v>585</v>
      </c>
      <c r="S559" s="35" t="str">
        <f aca="false">IF(ISNUMBER($AF559),INDEX(IDX_SrcStat,$AF559),"—")</f>
        <v>—</v>
      </c>
      <c r="T559" s="35" t="str">
        <f aca="false">IF(ISNUMBER($AF559),INDEX(IDX_SrcGrade,$AF559),"—")</f>
        <v>—</v>
      </c>
      <c r="U559" s="36" t="s">
        <v>585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5" t="str">
        <f aca="false">IF(OR($H559="—",$H559=""),"—",MATCH($H559,IDX_SrcID,0))</f>
        <v>—</v>
      </c>
    </row>
    <row r="560" customFormat="false" ht="15" hidden="false" customHeight="true" outlineLevel="0" collapsed="false">
      <c r="A560" s="36" t="s">
        <v>4270</v>
      </c>
      <c r="B560" s="212" t="s">
        <v>3830</v>
      </c>
      <c r="C560" s="36" t="s">
        <v>4271</v>
      </c>
      <c r="D560" s="36" t="s">
        <v>4272</v>
      </c>
      <c r="E560" s="19" t="s">
        <v>417</v>
      </c>
      <c r="F560" s="212" t="s">
        <v>3515</v>
      </c>
      <c r="G560" s="212" t="s">
        <v>3516</v>
      </c>
      <c r="H560" s="36" t="s">
        <v>585</v>
      </c>
      <c r="I560" s="6" t="s">
        <v>585</v>
      </c>
      <c r="J560" s="36" t="s">
        <v>585</v>
      </c>
      <c r="K560" s="212"/>
      <c r="L560" s="212"/>
      <c r="M560" s="36" t="s">
        <v>585</v>
      </c>
      <c r="N560" s="19" t="s">
        <v>417</v>
      </c>
      <c r="O560" s="6" t="s">
        <v>585</v>
      </c>
      <c r="P560" s="212" t="s">
        <v>2774</v>
      </c>
      <c r="Q560" s="184" t="s">
        <v>585</v>
      </c>
      <c r="R560" s="36" t="s">
        <v>585</v>
      </c>
      <c r="S560" s="35" t="str">
        <f aca="false">IF(ISNUMBER($AF560),INDEX(IDX_SrcStat,$AF560),"—")</f>
        <v>—</v>
      </c>
      <c r="T560" s="35" t="str">
        <f aca="false">IF(ISNUMBER($AF560),INDEX(IDX_SrcGrade,$AF560),"—")</f>
        <v>—</v>
      </c>
      <c r="U560" s="36" t="s">
        <v>585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5" t="str">
        <f aca="false">IF(OR($H560="—",$H560=""),"—",MATCH($H560,IDX_SrcID,0))</f>
        <v>—</v>
      </c>
    </row>
    <row r="561" customFormat="false" ht="15" hidden="false" customHeight="true" outlineLevel="0" collapsed="false">
      <c r="A561" s="36" t="s">
        <v>4273</v>
      </c>
      <c r="B561" s="212" t="s">
        <v>3830</v>
      </c>
      <c r="C561" s="36" t="s">
        <v>4271</v>
      </c>
      <c r="D561" s="36" t="s">
        <v>4274</v>
      </c>
      <c r="E561" s="19" t="s">
        <v>688</v>
      </c>
      <c r="F561" s="212" t="s">
        <v>3515</v>
      </c>
      <c r="G561" s="212" t="s">
        <v>3516</v>
      </c>
      <c r="H561" s="36" t="s">
        <v>585</v>
      </c>
      <c r="I561" s="6" t="s">
        <v>585</v>
      </c>
      <c r="J561" s="36" t="s">
        <v>585</v>
      </c>
      <c r="K561" s="212"/>
      <c r="L561" s="212"/>
      <c r="M561" s="36" t="s">
        <v>585</v>
      </c>
      <c r="N561" s="19" t="s">
        <v>688</v>
      </c>
      <c r="O561" s="6" t="s">
        <v>585</v>
      </c>
      <c r="P561" s="212" t="s">
        <v>2774</v>
      </c>
      <c r="Q561" s="184" t="s">
        <v>585</v>
      </c>
      <c r="R561" s="36" t="s">
        <v>585</v>
      </c>
      <c r="S561" s="35" t="str">
        <f aca="false">IF(ISNUMBER($AF561),INDEX(IDX_SrcStat,$AF561),"—")</f>
        <v>—</v>
      </c>
      <c r="T561" s="35" t="str">
        <f aca="false">IF(ISNUMBER($AF561),INDEX(IDX_SrcGrade,$AF561),"—")</f>
        <v>—</v>
      </c>
      <c r="U561" s="36" t="s">
        <v>585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5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6" t="s">
        <v>4275</v>
      </c>
      <c r="B562" s="212" t="s">
        <v>3830</v>
      </c>
      <c r="C562" s="36" t="s">
        <v>4271</v>
      </c>
      <c r="D562" s="36" t="s">
        <v>4276</v>
      </c>
      <c r="E562" s="19" t="s">
        <v>4277</v>
      </c>
      <c r="F562" s="212" t="s">
        <v>346</v>
      </c>
      <c r="G562" s="212" t="s">
        <v>3516</v>
      </c>
      <c r="H562" s="36" t="s">
        <v>585</v>
      </c>
      <c r="I562" s="6" t="s">
        <v>585</v>
      </c>
      <c r="J562" s="36" t="s">
        <v>4278</v>
      </c>
      <c r="K562" s="212"/>
      <c r="L562" s="212"/>
      <c r="M562" s="36" t="s">
        <v>585</v>
      </c>
      <c r="N562" s="6" t="s">
        <v>4279</v>
      </c>
      <c r="O562" s="6" t="s">
        <v>585</v>
      </c>
      <c r="P562" s="212" t="s">
        <v>2774</v>
      </c>
      <c r="Q562" s="184" t="s">
        <v>585</v>
      </c>
      <c r="R562" s="36" t="s">
        <v>585</v>
      </c>
      <c r="S562" s="35" t="str">
        <f aca="false">IF(ISNUMBER($AF562),INDEX(IDX_SrcStat,$AF562),"—")</f>
        <v>—</v>
      </c>
      <c r="T562" s="35" t="str">
        <f aca="false">IF(ISNUMBER($AF562),INDEX(IDX_SrcGrade,$AF562),"—")</f>
        <v>—</v>
      </c>
      <c r="U562" s="36" t="s">
        <v>585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5" t="str">
        <f aca="false">IF(OR($H562="—",$H562=""),"—",MATCH($H562,IDX_SrcID,0))</f>
        <v>—</v>
      </c>
    </row>
    <row r="563" customFormat="false" ht="15" hidden="false" customHeight="true" outlineLevel="0" collapsed="false">
      <c r="A563" s="36" t="s">
        <v>4280</v>
      </c>
      <c r="B563" s="212" t="s">
        <v>3830</v>
      </c>
      <c r="C563" s="36" t="s">
        <v>2564</v>
      </c>
      <c r="D563" s="36" t="s">
        <v>3754</v>
      </c>
      <c r="E563" s="19" t="s">
        <v>417</v>
      </c>
      <c r="F563" s="212" t="s">
        <v>3515</v>
      </c>
      <c r="G563" s="212" t="s">
        <v>3516</v>
      </c>
      <c r="H563" s="36" t="s">
        <v>585</v>
      </c>
      <c r="I563" s="6" t="s">
        <v>585</v>
      </c>
      <c r="J563" s="36" t="s">
        <v>585</v>
      </c>
      <c r="K563" s="212"/>
      <c r="L563" s="212"/>
      <c r="M563" s="36" t="s">
        <v>585</v>
      </c>
      <c r="N563" s="19" t="s">
        <v>417</v>
      </c>
      <c r="O563" s="6" t="s">
        <v>585</v>
      </c>
      <c r="P563" s="212" t="s">
        <v>2774</v>
      </c>
      <c r="Q563" s="184" t="s">
        <v>585</v>
      </c>
      <c r="R563" s="36" t="s">
        <v>585</v>
      </c>
      <c r="S563" s="35" t="str">
        <f aca="false">IF(ISNUMBER($AF563),INDEX(IDX_SrcStat,$AF563),"—")</f>
        <v>—</v>
      </c>
      <c r="T563" s="35" t="str">
        <f aca="false">IF(ISNUMBER($AF563),INDEX(IDX_SrcGrade,$AF563),"—")</f>
        <v>—</v>
      </c>
      <c r="U563" s="36" t="s">
        <v>585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5" t="str">
        <f aca="false">IF(OR($H563="—",$H563=""),"—",MATCH($H563,IDX_SrcID,0))</f>
        <v>—</v>
      </c>
    </row>
    <row r="564" customFormat="false" ht="15" hidden="false" customHeight="true" outlineLevel="0" collapsed="false">
      <c r="A564" s="36" t="s">
        <v>4281</v>
      </c>
      <c r="B564" s="212" t="s">
        <v>3830</v>
      </c>
      <c r="C564" s="36" t="s">
        <v>2564</v>
      </c>
      <c r="D564" s="36" t="s">
        <v>3757</v>
      </c>
      <c r="E564" s="19" t="s">
        <v>688</v>
      </c>
      <c r="F564" s="212" t="s">
        <v>3515</v>
      </c>
      <c r="G564" s="212" t="s">
        <v>3516</v>
      </c>
      <c r="H564" s="36" t="s">
        <v>585</v>
      </c>
      <c r="I564" s="6" t="s">
        <v>585</v>
      </c>
      <c r="J564" s="36" t="s">
        <v>585</v>
      </c>
      <c r="K564" s="212"/>
      <c r="L564" s="212"/>
      <c r="M564" s="36" t="s">
        <v>585</v>
      </c>
      <c r="N564" s="19" t="s">
        <v>688</v>
      </c>
      <c r="O564" s="6" t="s">
        <v>585</v>
      </c>
      <c r="P564" s="212" t="s">
        <v>2774</v>
      </c>
      <c r="Q564" s="184" t="s">
        <v>585</v>
      </c>
      <c r="R564" s="36" t="s">
        <v>585</v>
      </c>
      <c r="S564" s="35" t="str">
        <f aca="false">IF(ISNUMBER($AF564),INDEX(IDX_SrcStat,$AF564),"—")</f>
        <v>—</v>
      </c>
      <c r="T564" s="35" t="str">
        <f aca="false">IF(ISNUMBER($AF564),INDEX(IDX_SrcGrade,$AF564),"—")</f>
        <v>—</v>
      </c>
      <c r="U564" s="36" t="s">
        <v>585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5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6" t="s">
        <v>4282</v>
      </c>
      <c r="B565" s="212" t="s">
        <v>3830</v>
      </c>
      <c r="C565" s="36" t="s">
        <v>3821</v>
      </c>
      <c r="D565" s="36" t="s">
        <v>4283</v>
      </c>
      <c r="E565" s="19" t="s">
        <v>4284</v>
      </c>
      <c r="F565" s="212" t="s">
        <v>346</v>
      </c>
      <c r="G565" s="212" t="s">
        <v>3516</v>
      </c>
      <c r="H565" s="36" t="s">
        <v>585</v>
      </c>
      <c r="I565" s="6" t="s">
        <v>585</v>
      </c>
      <c r="J565" s="36" t="s">
        <v>585</v>
      </c>
      <c r="K565" s="212"/>
      <c r="L565" s="212"/>
      <c r="M565" s="36" t="s">
        <v>585</v>
      </c>
      <c r="N565" s="6" t="s">
        <v>4285</v>
      </c>
      <c r="O565" s="6" t="s">
        <v>585</v>
      </c>
      <c r="P565" s="212" t="s">
        <v>2774</v>
      </c>
      <c r="Q565" s="184" t="s">
        <v>585</v>
      </c>
      <c r="R565" s="36" t="s">
        <v>585</v>
      </c>
      <c r="S565" s="35" t="str">
        <f aca="false">IF(ISNUMBER($AF565),INDEX(IDX_SrcStat,$AF565),"—")</f>
        <v>—</v>
      </c>
      <c r="T565" s="35" t="str">
        <f aca="false">IF(ISNUMBER($AF565),INDEX(IDX_SrcGrade,$AF565),"—")</f>
        <v>—</v>
      </c>
      <c r="U565" s="36" t="s">
        <v>585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5" t="str">
        <f aca="false">IF(OR($H565="—",$H565=""),"—",MATCH($H565,IDX_SrcID,0))</f>
        <v>—</v>
      </c>
    </row>
    <row r="566" customFormat="false" ht="15" hidden="false" customHeight="true" outlineLevel="0" collapsed="false">
      <c r="A566" s="36" t="s">
        <v>4286</v>
      </c>
      <c r="B566" s="212" t="s">
        <v>3830</v>
      </c>
      <c r="C566" s="36" t="s">
        <v>3821</v>
      </c>
      <c r="D566" s="36" t="s">
        <v>4287</v>
      </c>
      <c r="E566" s="19" t="s">
        <v>4288</v>
      </c>
      <c r="F566" s="212" t="s">
        <v>346</v>
      </c>
      <c r="G566" s="212" t="s">
        <v>3516</v>
      </c>
      <c r="H566" s="36" t="s">
        <v>585</v>
      </c>
      <c r="I566" s="6" t="s">
        <v>585</v>
      </c>
      <c r="J566" s="36" t="s">
        <v>585</v>
      </c>
      <c r="K566" s="212"/>
      <c r="L566" s="212"/>
      <c r="M566" s="36" t="s">
        <v>585</v>
      </c>
      <c r="N566" s="6" t="s">
        <v>4289</v>
      </c>
      <c r="O566" s="6" t="s">
        <v>585</v>
      </c>
      <c r="P566" s="212" t="s">
        <v>2774</v>
      </c>
      <c r="Q566" s="184" t="s">
        <v>585</v>
      </c>
      <c r="R566" s="36" t="s">
        <v>585</v>
      </c>
      <c r="S566" s="35" t="str">
        <f aca="false">IF(ISNUMBER($AF566),INDEX(IDX_SrcStat,$AF566),"—")</f>
        <v>—</v>
      </c>
      <c r="T566" s="35" t="str">
        <f aca="false">IF(ISNUMBER($AF566),INDEX(IDX_SrcGrade,$AF566),"—")</f>
        <v>—</v>
      </c>
      <c r="U566" s="36" t="s">
        <v>585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5" t="str">
        <f aca="false">IF(OR($H566="—",$H566=""),"—",MATCH($H566,IDX_SrcID,0))</f>
        <v>—</v>
      </c>
    </row>
    <row r="567" customFormat="false" ht="15" hidden="false" customHeight="true" outlineLevel="0" collapsed="false">
      <c r="A567" s="36" t="s">
        <v>4290</v>
      </c>
      <c r="B567" s="212" t="s">
        <v>3830</v>
      </c>
      <c r="C567" s="36" t="s">
        <v>3821</v>
      </c>
      <c r="D567" s="36" t="s">
        <v>4291</v>
      </c>
      <c r="E567" s="19" t="s">
        <v>4292</v>
      </c>
      <c r="F567" s="212" t="s">
        <v>346</v>
      </c>
      <c r="G567" s="212" t="s">
        <v>3516</v>
      </c>
      <c r="H567" s="36" t="s">
        <v>585</v>
      </c>
      <c r="I567" s="6" t="s">
        <v>585</v>
      </c>
      <c r="J567" s="36" t="s">
        <v>585</v>
      </c>
      <c r="K567" s="212"/>
      <c r="L567" s="212"/>
      <c r="M567" s="36" t="s">
        <v>585</v>
      </c>
      <c r="N567" s="6" t="s">
        <v>4293</v>
      </c>
      <c r="O567" s="6" t="s">
        <v>585</v>
      </c>
      <c r="P567" s="212" t="s">
        <v>2774</v>
      </c>
      <c r="Q567" s="184" t="s">
        <v>585</v>
      </c>
      <c r="R567" s="36" t="s">
        <v>585</v>
      </c>
      <c r="S567" s="35" t="str">
        <f aca="false">IF(ISNUMBER($AF567),INDEX(IDX_SrcStat,$AF567),"—")</f>
        <v>—</v>
      </c>
      <c r="T567" s="35" t="str">
        <f aca="false">IF(ISNUMBER($AF567),INDEX(IDX_SrcGrade,$AF567),"—")</f>
        <v>—</v>
      </c>
      <c r="U567" s="36" t="s">
        <v>585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5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6" t="s">
        <v>4294</v>
      </c>
      <c r="B568" s="212" t="s">
        <v>3830</v>
      </c>
      <c r="C568" s="36" t="s">
        <v>3821</v>
      </c>
      <c r="D568" s="36" t="s">
        <v>4295</v>
      </c>
      <c r="E568" s="19" t="s">
        <v>4296</v>
      </c>
      <c r="F568" s="212" t="s">
        <v>346</v>
      </c>
      <c r="G568" s="212" t="s">
        <v>3516</v>
      </c>
      <c r="H568" s="36" t="s">
        <v>585</v>
      </c>
      <c r="I568" s="6" t="s">
        <v>585</v>
      </c>
      <c r="J568" s="36" t="s">
        <v>585</v>
      </c>
      <c r="K568" s="212"/>
      <c r="L568" s="212"/>
      <c r="M568" s="36" t="s">
        <v>585</v>
      </c>
      <c r="N568" s="6" t="s">
        <v>4297</v>
      </c>
      <c r="O568" s="6" t="s">
        <v>585</v>
      </c>
      <c r="P568" s="212" t="s">
        <v>2774</v>
      </c>
      <c r="Q568" s="184" t="s">
        <v>585</v>
      </c>
      <c r="R568" s="36" t="s">
        <v>585</v>
      </c>
      <c r="S568" s="35" t="str">
        <f aca="false">IF(ISNUMBER($AF568),INDEX(IDX_SrcStat,$AF568),"—")</f>
        <v>—</v>
      </c>
      <c r="T568" s="35" t="str">
        <f aca="false">IF(ISNUMBER($AF568),INDEX(IDX_SrcGrade,$AF568),"—")</f>
        <v>—</v>
      </c>
      <c r="U568" s="36" t="s">
        <v>585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5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6" t="s">
        <v>4298</v>
      </c>
      <c r="B569" s="212" t="s">
        <v>3830</v>
      </c>
      <c r="C569" s="36" t="s">
        <v>3821</v>
      </c>
      <c r="D569" s="36" t="s">
        <v>4299</v>
      </c>
      <c r="E569" s="19" t="s">
        <v>4300</v>
      </c>
      <c r="F569" s="212" t="s">
        <v>346</v>
      </c>
      <c r="G569" s="212" t="s">
        <v>3516</v>
      </c>
      <c r="H569" s="36" t="s">
        <v>585</v>
      </c>
      <c r="I569" s="6" t="s">
        <v>585</v>
      </c>
      <c r="J569" s="36" t="s">
        <v>585</v>
      </c>
      <c r="K569" s="212"/>
      <c r="L569" s="212"/>
      <c r="M569" s="36" t="s">
        <v>585</v>
      </c>
      <c r="N569" s="6" t="s">
        <v>4301</v>
      </c>
      <c r="O569" s="6" t="s">
        <v>585</v>
      </c>
      <c r="P569" s="212" t="s">
        <v>2774</v>
      </c>
      <c r="Q569" s="184" t="s">
        <v>585</v>
      </c>
      <c r="R569" s="36" t="s">
        <v>585</v>
      </c>
      <c r="S569" s="35" t="str">
        <f aca="false">IF(ISNUMBER($AF569),INDEX(IDX_SrcStat,$AF569),"—")</f>
        <v>—</v>
      </c>
      <c r="T569" s="35" t="str">
        <f aca="false">IF(ISNUMBER($AF569),INDEX(IDX_SrcGrade,$AF569),"—")</f>
        <v>—</v>
      </c>
      <c r="U569" s="36" t="s">
        <v>585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5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6" t="s">
        <v>4302</v>
      </c>
      <c r="B570" s="212" t="s">
        <v>3830</v>
      </c>
      <c r="C570" s="36" t="s">
        <v>3821</v>
      </c>
      <c r="D570" s="36" t="s">
        <v>4303</v>
      </c>
      <c r="E570" s="6" t="s">
        <v>1450</v>
      </c>
      <c r="F570" s="212" t="s">
        <v>346</v>
      </c>
      <c r="G570" s="212" t="s">
        <v>3516</v>
      </c>
      <c r="H570" s="36" t="s">
        <v>585</v>
      </c>
      <c r="I570" s="6" t="s">
        <v>585</v>
      </c>
      <c r="J570" s="36" t="s">
        <v>585</v>
      </c>
      <c r="K570" s="212"/>
      <c r="L570" s="212"/>
      <c r="M570" s="36" t="s">
        <v>585</v>
      </c>
      <c r="N570" s="6" t="s">
        <v>4304</v>
      </c>
      <c r="O570" s="6" t="s">
        <v>585</v>
      </c>
      <c r="P570" s="212" t="s">
        <v>2774</v>
      </c>
      <c r="Q570" s="182" t="n">
        <f aca="false">Sens_Rev!B17</f>
        <v>7</v>
      </c>
      <c r="R570" s="36" t="s">
        <v>585</v>
      </c>
      <c r="S570" s="35" t="str">
        <f aca="false">IF(ISNUMBER($AF570),INDEX(IDX_SrcStat,$AF570),"—")</f>
        <v>—</v>
      </c>
      <c r="T570" s="35" t="str">
        <f aca="false">IF(ISNUMBER($AF570),INDEX(IDX_SrcGrade,$AF570),"—")</f>
        <v>—</v>
      </c>
      <c r="U570" s="35" t="s">
        <v>2775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5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6" t="s">
        <v>4305</v>
      </c>
      <c r="B571" s="212" t="s">
        <v>3830</v>
      </c>
      <c r="C571" s="36" t="s">
        <v>3821</v>
      </c>
      <c r="D571" s="36" t="s">
        <v>4306</v>
      </c>
      <c r="E571" s="19" t="s">
        <v>4307</v>
      </c>
      <c r="F571" s="212" t="s">
        <v>346</v>
      </c>
      <c r="G571" s="212" t="s">
        <v>3516</v>
      </c>
      <c r="H571" s="36" t="s">
        <v>585</v>
      </c>
      <c r="I571" s="6" t="s">
        <v>585</v>
      </c>
      <c r="J571" s="36" t="s">
        <v>585</v>
      </c>
      <c r="K571" s="212"/>
      <c r="L571" s="212"/>
      <c r="M571" s="36" t="s">
        <v>585</v>
      </c>
      <c r="N571" s="6" t="s">
        <v>4308</v>
      </c>
      <c r="O571" s="6" t="s">
        <v>585</v>
      </c>
      <c r="P571" s="212" t="s">
        <v>2774</v>
      </c>
      <c r="Q571" s="184" t="s">
        <v>585</v>
      </c>
      <c r="R571" s="36" t="s">
        <v>585</v>
      </c>
      <c r="S571" s="35" t="str">
        <f aca="false">IF(ISNUMBER($AF571),INDEX(IDX_SrcStat,$AF571),"—")</f>
        <v>—</v>
      </c>
      <c r="T571" s="35" t="str">
        <f aca="false">IF(ISNUMBER($AF571),INDEX(IDX_SrcGrade,$AF571),"—")</f>
        <v>—</v>
      </c>
      <c r="U571" s="36" t="s">
        <v>585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5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6" t="s">
        <v>4309</v>
      </c>
      <c r="B572" s="212" t="s">
        <v>3830</v>
      </c>
      <c r="C572" s="36" t="s">
        <v>4310</v>
      </c>
      <c r="D572" s="36" t="s">
        <v>4311</v>
      </c>
      <c r="E572" s="19" t="s">
        <v>76</v>
      </c>
      <c r="F572" s="212" t="s">
        <v>346</v>
      </c>
      <c r="G572" s="212" t="s">
        <v>3516</v>
      </c>
      <c r="H572" s="36" t="s">
        <v>585</v>
      </c>
      <c r="I572" s="6" t="s">
        <v>585</v>
      </c>
      <c r="J572" s="36" t="s">
        <v>585</v>
      </c>
      <c r="K572" s="212"/>
      <c r="L572" s="212"/>
      <c r="M572" s="36" t="s">
        <v>585</v>
      </c>
      <c r="N572" s="19" t="s">
        <v>4312</v>
      </c>
      <c r="O572" s="6" t="s">
        <v>585</v>
      </c>
      <c r="P572" s="36" t="s">
        <v>585</v>
      </c>
      <c r="Q572" s="184" t="s">
        <v>585</v>
      </c>
      <c r="R572" s="36" t="s">
        <v>585</v>
      </c>
      <c r="S572" s="35" t="str">
        <f aca="false">IF(ISNUMBER($AF572),INDEX(IDX_SrcStat,$AF572),"—")</f>
        <v>—</v>
      </c>
      <c r="T572" s="35" t="str">
        <f aca="false">IF(ISNUMBER($AF572),INDEX(IDX_SrcGrade,$AF572),"—")</f>
        <v>—</v>
      </c>
      <c r="U572" s="36" t="s">
        <v>585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5" t="str">
        <f aca="false">IF(OR($H572="—",$H572=""),"—",MATCH($H572,IDX_SrcID,0))</f>
        <v>—</v>
      </c>
    </row>
    <row r="573" customFormat="false" ht="15" hidden="false" customHeight="true" outlineLevel="0" collapsed="false">
      <c r="A573" s="36" t="s">
        <v>4313</v>
      </c>
      <c r="B573" s="212" t="s">
        <v>3830</v>
      </c>
      <c r="C573" s="36" t="s">
        <v>4310</v>
      </c>
      <c r="D573" s="36" t="s">
        <v>4314</v>
      </c>
      <c r="E573" s="6" t="s">
        <v>860</v>
      </c>
      <c r="F573" s="212" t="s">
        <v>346</v>
      </c>
      <c r="G573" s="212" t="s">
        <v>3516</v>
      </c>
      <c r="H573" s="36" t="s">
        <v>585</v>
      </c>
      <c r="I573" s="6" t="s">
        <v>585</v>
      </c>
      <c r="J573" s="36" t="s">
        <v>585</v>
      </c>
      <c r="K573" s="212"/>
      <c r="L573" s="212"/>
      <c r="M573" s="36" t="s">
        <v>585</v>
      </c>
      <c r="N573" s="6" t="s">
        <v>4315</v>
      </c>
      <c r="O573" s="6" t="s">
        <v>585</v>
      </c>
      <c r="P573" s="212" t="s">
        <v>2774</v>
      </c>
      <c r="Q573" s="182" t="n">
        <f aca="false">Sensitivity!N37</f>
        <v>7</v>
      </c>
      <c r="R573" s="36" t="s">
        <v>585</v>
      </c>
      <c r="S573" s="35" t="str">
        <f aca="false">IF(ISNUMBER($AF573),INDEX(IDX_SrcStat,$AF573),"—")</f>
        <v>—</v>
      </c>
      <c r="T573" s="35" t="str">
        <f aca="false">IF(ISNUMBER($AF573),INDEX(IDX_SrcGrade,$AF573),"—")</f>
        <v>—</v>
      </c>
      <c r="U573" s="35" t="s">
        <v>2775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5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6" t="s">
        <v>4316</v>
      </c>
      <c r="B574" s="212" t="s">
        <v>4317</v>
      </c>
      <c r="C574" s="36" t="s">
        <v>3247</v>
      </c>
      <c r="D574" s="36" t="s">
        <v>4318</v>
      </c>
      <c r="E574" s="19" t="s">
        <v>4319</v>
      </c>
      <c r="F574" s="36" t="s">
        <v>78</v>
      </c>
      <c r="G574" s="212" t="s">
        <v>3516</v>
      </c>
      <c r="H574" s="36" t="s">
        <v>585</v>
      </c>
      <c r="I574" s="6" t="s">
        <v>585</v>
      </c>
      <c r="J574" s="36" t="s">
        <v>585</v>
      </c>
      <c r="K574" s="212" t="n">
        <v>4</v>
      </c>
      <c r="L574" s="212" t="n">
        <v>130</v>
      </c>
      <c r="M574" s="36" t="s">
        <v>4320</v>
      </c>
      <c r="N574" s="6" t="s">
        <v>4321</v>
      </c>
      <c r="O574" s="6" t="s">
        <v>585</v>
      </c>
      <c r="P574" s="36" t="s">
        <v>585</v>
      </c>
      <c r="Q574" s="184" t="s">
        <v>585</v>
      </c>
      <c r="R574" s="36" t="s">
        <v>585</v>
      </c>
      <c r="S574" s="35" t="str">
        <f aca="false">IF(ISNUMBER($AF574),INDEX(IDX_SrcStat,$AF574),"—")</f>
        <v>—</v>
      </c>
      <c r="T574" s="35" t="str">
        <f aca="false">IF(ISNUMBER($AF574),INDEX(IDX_SrcGrade,$AF574),"—")</f>
        <v>—</v>
      </c>
      <c r="U574" s="36" t="s">
        <v>585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5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6" t="s">
        <v>4322</v>
      </c>
      <c r="B575" s="212" t="s">
        <v>4317</v>
      </c>
      <c r="C575" s="36" t="s">
        <v>3247</v>
      </c>
      <c r="D575" s="36" t="s">
        <v>2895</v>
      </c>
      <c r="E575" s="6" t="s">
        <v>287</v>
      </c>
      <c r="F575" s="36" t="s">
        <v>82</v>
      </c>
      <c r="G575" s="212" t="s">
        <v>2771</v>
      </c>
      <c r="H575" s="36" t="s">
        <v>3655</v>
      </c>
      <c r="I575" s="19" t="s">
        <v>4323</v>
      </c>
      <c r="J575" s="36" t="s">
        <v>585</v>
      </c>
      <c r="K575" s="212"/>
      <c r="L575" s="212"/>
      <c r="M575" s="212" t="s">
        <v>2708</v>
      </c>
      <c r="N575" s="6" t="s">
        <v>4324</v>
      </c>
      <c r="O575" s="6" t="s">
        <v>585</v>
      </c>
      <c r="P575" s="212" t="s">
        <v>1113</v>
      </c>
      <c r="Q575" s="41" t="n">
        <f aca="false">Arch!E35</f>
        <v>576</v>
      </c>
      <c r="R575" s="184" t="n">
        <f aca="false">SRC_MOD_028</f>
        <v>576</v>
      </c>
      <c r="S575" s="35" t="str">
        <f aca="false">IF(ISNUMBER($AF575),INDEX(IDX_SrcStat,$AF575),"—")</f>
        <v>Active</v>
      </c>
      <c r="T575" s="35" t="n">
        <f aca="false">IF(ISNUMBER($AF575),INDEX(IDX_SrcGrade,$AF575),"—")</f>
        <v>3</v>
      </c>
      <c r="U575" s="35" t="s">
        <v>2775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5" t="n">
        <f aca="false">IF(OR($H575="—",$H575=""),"—",MATCH($H575,IDX_SrcID,0))</f>
        <v>205</v>
      </c>
    </row>
    <row r="576" customFormat="false" ht="29.25" hidden="false" customHeight="true" outlineLevel="0" collapsed="false">
      <c r="A576" s="36" t="s">
        <v>4325</v>
      </c>
      <c r="B576" s="212" t="s">
        <v>4317</v>
      </c>
      <c r="C576" s="36" t="s">
        <v>3247</v>
      </c>
      <c r="D576" s="36" t="s">
        <v>4326</v>
      </c>
      <c r="E576" s="6" t="s">
        <v>290</v>
      </c>
      <c r="F576" s="36" t="s">
        <v>78</v>
      </c>
      <c r="G576" s="212" t="s">
        <v>2771</v>
      </c>
      <c r="H576" s="36" t="s">
        <v>585</v>
      </c>
      <c r="I576" s="6" t="s">
        <v>585</v>
      </c>
      <c r="J576" s="36" t="s">
        <v>585</v>
      </c>
      <c r="K576" s="214" t="n">
        <v>0.15</v>
      </c>
      <c r="L576" s="214" t="n">
        <v>0.5</v>
      </c>
      <c r="M576" s="36" t="s">
        <v>4327</v>
      </c>
      <c r="N576" s="6" t="s">
        <v>4328</v>
      </c>
      <c r="O576" s="6" t="s">
        <v>585</v>
      </c>
      <c r="P576" s="212" t="s">
        <v>2774</v>
      </c>
      <c r="Q576" s="176" t="n">
        <f aca="false">Arch!E36</f>
        <v>0.26</v>
      </c>
      <c r="R576" s="36" t="s">
        <v>585</v>
      </c>
      <c r="S576" s="35" t="str">
        <f aca="false">IF(ISNUMBER($AF576),INDEX(IDX_SrcStat,$AF576),"—")</f>
        <v>—</v>
      </c>
      <c r="T576" s="35" t="str">
        <f aca="false">IF(ISNUMBER($AF576),INDEX(IDX_SrcGrade,$AF576),"—")</f>
        <v>—</v>
      </c>
      <c r="U576" s="35" t="s">
        <v>2775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5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6" t="s">
        <v>4329</v>
      </c>
      <c r="B577" s="212" t="s">
        <v>4317</v>
      </c>
      <c r="C577" s="36" t="s">
        <v>3247</v>
      </c>
      <c r="D577" s="36" t="s">
        <v>4330</v>
      </c>
      <c r="E577" s="6" t="s">
        <v>292</v>
      </c>
      <c r="F577" s="36" t="s">
        <v>78</v>
      </c>
      <c r="G577" s="212" t="s">
        <v>2771</v>
      </c>
      <c r="H577" s="36" t="s">
        <v>585</v>
      </c>
      <c r="I577" s="6" t="s">
        <v>585</v>
      </c>
      <c r="J577" s="36" t="s">
        <v>585</v>
      </c>
      <c r="K577" s="212"/>
      <c r="L577" s="212"/>
      <c r="M577" s="212" t="s">
        <v>2708</v>
      </c>
      <c r="N577" s="6" t="s">
        <v>4331</v>
      </c>
      <c r="O577" s="6" t="s">
        <v>585</v>
      </c>
      <c r="P577" s="212" t="s">
        <v>2774</v>
      </c>
      <c r="Q577" s="41" t="n">
        <f aca="false">Arch!E37</f>
        <v>8</v>
      </c>
      <c r="R577" s="36" t="s">
        <v>585</v>
      </c>
      <c r="S577" s="35" t="str">
        <f aca="false">IF(ISNUMBER($AF577),INDEX(IDX_SrcStat,$AF577),"—")</f>
        <v>—</v>
      </c>
      <c r="T577" s="35" t="str">
        <f aca="false">IF(ISNUMBER($AF577),INDEX(IDX_SrcGrade,$AF577),"—")</f>
        <v>—</v>
      </c>
      <c r="U577" s="35" t="s">
        <v>2775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5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6" t="s">
        <v>4332</v>
      </c>
      <c r="B578" s="212" t="s">
        <v>4317</v>
      </c>
      <c r="C578" s="36" t="s">
        <v>3247</v>
      </c>
      <c r="D578" s="36" t="s">
        <v>3916</v>
      </c>
      <c r="E578" s="6" t="s">
        <v>295</v>
      </c>
      <c r="F578" s="212" t="s">
        <v>296</v>
      </c>
      <c r="G578" s="212" t="s">
        <v>2771</v>
      </c>
      <c r="H578" s="36" t="s">
        <v>3148</v>
      </c>
      <c r="I578" s="19" t="s">
        <v>2806</v>
      </c>
      <c r="J578" s="36" t="s">
        <v>585</v>
      </c>
      <c r="K578" s="212"/>
      <c r="L578" s="212"/>
      <c r="M578" s="36" t="s">
        <v>585</v>
      </c>
      <c r="N578" s="6" t="s">
        <v>4333</v>
      </c>
      <c r="O578" s="6" t="s">
        <v>585</v>
      </c>
      <c r="P578" s="212" t="s">
        <v>1113</v>
      </c>
      <c r="Q578" s="41" t="n">
        <f aca="false">Arch!C38</f>
        <v>1</v>
      </c>
      <c r="R578" s="184" t="n">
        <f aca="false">SRC_HW_055</f>
        <v>1</v>
      </c>
      <c r="S578" s="35" t="str">
        <f aca="false">IF(ISNUMBER($AF578),INDEX(IDX_SrcStat,$AF578),"—")</f>
        <v>Active</v>
      </c>
      <c r="T578" s="35" t="n">
        <f aca="false">IF(ISNUMBER($AF578),INDEX(IDX_SrcGrade,$AF578),"—")</f>
        <v>3</v>
      </c>
      <c r="U578" s="35" t="s">
        <v>2808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5" t="n">
        <f aca="false">IF(OR($H578="—",$H578=""),"—",MATCH($H578,IDX_SrcID,0))</f>
        <v>55</v>
      </c>
    </row>
    <row r="579" customFormat="false" ht="26.25" hidden="false" customHeight="true" outlineLevel="0" collapsed="false">
      <c r="A579" s="36" t="s">
        <v>4334</v>
      </c>
      <c r="B579" s="212" t="s">
        <v>4335</v>
      </c>
      <c r="C579" s="36" t="s">
        <v>4336</v>
      </c>
      <c r="D579" s="36" t="s">
        <v>3421</v>
      </c>
      <c r="E579" s="19" t="s">
        <v>1704</v>
      </c>
      <c r="F579" s="36" t="s">
        <v>70</v>
      </c>
      <c r="G579" s="212" t="s">
        <v>2771</v>
      </c>
      <c r="H579" s="36" t="s">
        <v>585</v>
      </c>
      <c r="I579" s="6" t="s">
        <v>585</v>
      </c>
      <c r="J579" s="36" t="s">
        <v>4337</v>
      </c>
      <c r="K579" s="212"/>
      <c r="L579" s="212"/>
      <c r="M579" s="212" t="s">
        <v>2708</v>
      </c>
      <c r="N579" s="6" t="s">
        <v>4338</v>
      </c>
      <c r="O579" s="6" t="s">
        <v>585</v>
      </c>
      <c r="P579" s="212" t="s">
        <v>2774</v>
      </c>
      <c r="Q579" s="184" t="str">
        <f aca="false">Alloc_In!C5</f>
        <v>OpenAI</v>
      </c>
      <c r="R579" s="36" t="s">
        <v>585</v>
      </c>
      <c r="S579" s="35" t="str">
        <f aca="false">IF(ISNUMBER($AF579),INDEX(IDX_SrcStat,$AF579),"—")</f>
        <v>—</v>
      </c>
      <c r="T579" s="35" t="str">
        <f aca="false">IF(ISNUMBER($AF579),INDEX(IDX_SrcGrade,$AF579),"—")</f>
        <v>—</v>
      </c>
      <c r="U579" s="35" t="s">
        <v>2775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5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6" t="s">
        <v>4339</v>
      </c>
      <c r="B580" s="212" t="s">
        <v>4335</v>
      </c>
      <c r="C580" s="36" t="s">
        <v>4336</v>
      </c>
      <c r="D580" s="36" t="s">
        <v>2928</v>
      </c>
      <c r="E580" s="19" t="s">
        <v>4340</v>
      </c>
      <c r="F580" s="36" t="s">
        <v>78</v>
      </c>
      <c r="G580" s="212" t="s">
        <v>63</v>
      </c>
      <c r="H580" s="36" t="s">
        <v>585</v>
      </c>
      <c r="I580" s="6" t="s">
        <v>585</v>
      </c>
      <c r="J580" s="36" t="s">
        <v>585</v>
      </c>
      <c r="K580" s="181" t="n">
        <f aca="false">Alloc_In!D6</f>
        <v>1</v>
      </c>
      <c r="L580" s="181" t="n">
        <f aca="false">Alloc_In!E6</f>
        <v>2</v>
      </c>
      <c r="M580" s="36" t="s">
        <v>585</v>
      </c>
      <c r="N580" s="6" t="s">
        <v>4341</v>
      </c>
      <c r="O580" s="6" t="s">
        <v>585</v>
      </c>
      <c r="P580" s="212" t="s">
        <v>1114</v>
      </c>
      <c r="Q580" s="181" t="n">
        <f aca="false">Alloc_In!C6</f>
        <v>1</v>
      </c>
      <c r="R580" s="36" t="s">
        <v>585</v>
      </c>
      <c r="S580" s="35" t="str">
        <f aca="false">IF(ISNUMBER($AF580),INDEX(IDX_SrcStat,$AF580),"—")</f>
        <v>—</v>
      </c>
      <c r="T580" s="35" t="str">
        <f aca="false">IF(ISNUMBER($AF580),INDEX(IDX_SrcGrade,$AF580),"—")</f>
        <v>—</v>
      </c>
      <c r="U580" s="35" t="s">
        <v>2775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5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6" t="s">
        <v>4342</v>
      </c>
      <c r="B581" s="212" t="s">
        <v>4335</v>
      </c>
      <c r="C581" s="36" t="s">
        <v>4336</v>
      </c>
      <c r="D581" s="36" t="s">
        <v>4343</v>
      </c>
      <c r="E581" s="19" t="s">
        <v>4340</v>
      </c>
      <c r="F581" s="36" t="s">
        <v>78</v>
      </c>
      <c r="G581" s="212" t="s">
        <v>3836</v>
      </c>
      <c r="H581" s="36" t="s">
        <v>585</v>
      </c>
      <c r="I581" s="6" t="s">
        <v>585</v>
      </c>
      <c r="J581" s="36" t="s">
        <v>585</v>
      </c>
      <c r="K581" s="212"/>
      <c r="L581" s="212"/>
      <c r="M581" s="36" t="s">
        <v>4344</v>
      </c>
      <c r="N581" s="6" t="s">
        <v>4341</v>
      </c>
      <c r="O581" s="6" t="s">
        <v>585</v>
      </c>
      <c r="P581" s="36" t="s">
        <v>585</v>
      </c>
      <c r="Q581" s="184" t="s">
        <v>585</v>
      </c>
      <c r="R581" s="36" t="s">
        <v>585</v>
      </c>
      <c r="S581" s="35" t="str">
        <f aca="false">IF(ISNUMBER($AF581),INDEX(IDX_SrcStat,$AF581),"—")</f>
        <v>—</v>
      </c>
      <c r="T581" s="35" t="str">
        <f aca="false">IF(ISNUMBER($AF581),INDEX(IDX_SrcGrade,$AF581),"—")</f>
        <v>—</v>
      </c>
      <c r="U581" s="36" t="s">
        <v>585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5" t="str">
        <f aca="false">IF(OR($H581="—",$H581=""),"—",MATCH($H581,IDX_SrcID,0))</f>
        <v>—</v>
      </c>
    </row>
    <row r="582" customFormat="false" ht="15" hidden="false" customHeight="true" outlineLevel="0" collapsed="false">
      <c r="A582" s="36" t="s">
        <v>4345</v>
      </c>
      <c r="B582" s="212" t="s">
        <v>4335</v>
      </c>
      <c r="C582" s="36" t="s">
        <v>4336</v>
      </c>
      <c r="D582" s="36" t="s">
        <v>3252</v>
      </c>
      <c r="E582" s="19" t="s">
        <v>4346</v>
      </c>
      <c r="F582" s="36" t="s">
        <v>78</v>
      </c>
      <c r="G582" s="212" t="s">
        <v>63</v>
      </c>
      <c r="H582" s="36" t="s">
        <v>585</v>
      </c>
      <c r="I582" s="6" t="s">
        <v>585</v>
      </c>
      <c r="J582" s="36" t="s">
        <v>585</v>
      </c>
      <c r="K582" s="181" t="n">
        <f aca="false">Alloc_In!D7</f>
        <v>0</v>
      </c>
      <c r="L582" s="181" t="n">
        <f aca="false">Alloc_In!E7</f>
        <v>6</v>
      </c>
      <c r="M582" s="36" t="s">
        <v>4347</v>
      </c>
      <c r="N582" s="6" t="s">
        <v>4348</v>
      </c>
      <c r="O582" s="6" t="s">
        <v>585</v>
      </c>
      <c r="P582" s="212" t="s">
        <v>1114</v>
      </c>
      <c r="Q582" s="181" t="n">
        <f aca="false">Alloc_In!C7</f>
        <v>2</v>
      </c>
      <c r="R582" s="36" t="s">
        <v>585</v>
      </c>
      <c r="S582" s="35" t="str">
        <f aca="false">IF(ISNUMBER($AF582),INDEX(IDX_SrcStat,$AF582),"—")</f>
        <v>—</v>
      </c>
      <c r="T582" s="35" t="str">
        <f aca="false">IF(ISNUMBER($AF582),INDEX(IDX_SrcGrade,$AF582),"—")</f>
        <v>—</v>
      </c>
      <c r="U582" s="35" t="s">
        <v>2775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5" t="str">
        <f aca="false">IF(OR($H582="—",$H582=""),"—",MATCH($H582,IDX_SrcID,0))</f>
        <v>—</v>
      </c>
    </row>
    <row r="583" customFormat="false" ht="15" hidden="false" customHeight="true" outlineLevel="0" collapsed="false">
      <c r="A583" s="36" t="s">
        <v>4349</v>
      </c>
      <c r="B583" s="212" t="s">
        <v>4335</v>
      </c>
      <c r="C583" s="36" t="s">
        <v>4336</v>
      </c>
      <c r="D583" s="36" t="s">
        <v>4350</v>
      </c>
      <c r="E583" s="19" t="s">
        <v>4346</v>
      </c>
      <c r="F583" s="36" t="s">
        <v>78</v>
      </c>
      <c r="G583" s="212" t="s">
        <v>3836</v>
      </c>
      <c r="H583" s="36" t="s">
        <v>585</v>
      </c>
      <c r="I583" s="6" t="s">
        <v>585</v>
      </c>
      <c r="J583" s="36" t="s">
        <v>585</v>
      </c>
      <c r="K583" s="212"/>
      <c r="L583" s="212"/>
      <c r="M583" s="36" t="s">
        <v>4351</v>
      </c>
      <c r="N583" s="6" t="s">
        <v>4352</v>
      </c>
      <c r="O583" s="6" t="s">
        <v>585</v>
      </c>
      <c r="P583" s="36" t="s">
        <v>585</v>
      </c>
      <c r="Q583" s="184" t="s">
        <v>585</v>
      </c>
      <c r="R583" s="36" t="s">
        <v>585</v>
      </c>
      <c r="S583" s="35" t="str">
        <f aca="false">IF(ISNUMBER($AF583),INDEX(IDX_SrcStat,$AF583),"—")</f>
        <v>—</v>
      </c>
      <c r="T583" s="35" t="str">
        <f aca="false">IF(ISNUMBER($AF583),INDEX(IDX_SrcGrade,$AF583),"—")</f>
        <v>—</v>
      </c>
      <c r="U583" s="36" t="s">
        <v>585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5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6" t="s">
        <v>4353</v>
      </c>
      <c r="B584" s="212" t="s">
        <v>4335</v>
      </c>
      <c r="C584" s="36" t="s">
        <v>4336</v>
      </c>
      <c r="D584" s="36" t="s">
        <v>2941</v>
      </c>
      <c r="E584" s="19" t="s">
        <v>4354</v>
      </c>
      <c r="F584" s="36" t="s">
        <v>78</v>
      </c>
      <c r="G584" s="212" t="s">
        <v>63</v>
      </c>
      <c r="H584" s="36" t="s">
        <v>585</v>
      </c>
      <c r="I584" s="6" t="s">
        <v>585</v>
      </c>
      <c r="J584" s="36" t="s">
        <v>585</v>
      </c>
      <c r="K584" s="181" t="n">
        <f aca="false">Alloc_In!D8</f>
        <v>0.5</v>
      </c>
      <c r="L584" s="181" t="n">
        <f aca="false">Alloc_In!E8</f>
        <v>7</v>
      </c>
      <c r="M584" s="36" t="s">
        <v>585</v>
      </c>
      <c r="N584" s="6" t="s">
        <v>4355</v>
      </c>
      <c r="O584" s="6" t="s">
        <v>585</v>
      </c>
      <c r="P584" s="212" t="s">
        <v>1114</v>
      </c>
      <c r="Q584" s="181" t="n">
        <f aca="false">Alloc_In!C8</f>
        <v>1</v>
      </c>
      <c r="R584" s="36" t="s">
        <v>585</v>
      </c>
      <c r="S584" s="35" t="str">
        <f aca="false">IF(ISNUMBER($AF584),INDEX(IDX_SrcStat,$AF584),"—")</f>
        <v>—</v>
      </c>
      <c r="T584" s="35" t="str">
        <f aca="false">IF(ISNUMBER($AF584),INDEX(IDX_SrcGrade,$AF584),"—")</f>
        <v>—</v>
      </c>
      <c r="U584" s="35" t="s">
        <v>2775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5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6" t="s">
        <v>4356</v>
      </c>
      <c r="B585" s="212" t="s">
        <v>4335</v>
      </c>
      <c r="C585" s="36" t="s">
        <v>4336</v>
      </c>
      <c r="D585" s="36" t="s">
        <v>4357</v>
      </c>
      <c r="E585" s="19" t="s">
        <v>4354</v>
      </c>
      <c r="F585" s="36" t="s">
        <v>78</v>
      </c>
      <c r="G585" s="212" t="s">
        <v>3836</v>
      </c>
      <c r="H585" s="36" t="s">
        <v>585</v>
      </c>
      <c r="I585" s="6" t="s">
        <v>585</v>
      </c>
      <c r="J585" s="36" t="s">
        <v>585</v>
      </c>
      <c r="K585" s="212"/>
      <c r="L585" s="212"/>
      <c r="M585" s="36" t="s">
        <v>4358</v>
      </c>
      <c r="N585" s="6" t="s">
        <v>4355</v>
      </c>
      <c r="O585" s="6" t="s">
        <v>585</v>
      </c>
      <c r="P585" s="36" t="s">
        <v>585</v>
      </c>
      <c r="Q585" s="184" t="s">
        <v>585</v>
      </c>
      <c r="R585" s="36" t="s">
        <v>585</v>
      </c>
      <c r="S585" s="35" t="str">
        <f aca="false">IF(ISNUMBER($AF585),INDEX(IDX_SrcStat,$AF585),"—")</f>
        <v>—</v>
      </c>
      <c r="T585" s="35" t="str">
        <f aca="false">IF(ISNUMBER($AF585),INDEX(IDX_SrcGrade,$AF585),"—")</f>
        <v>—</v>
      </c>
      <c r="U585" s="36" t="s">
        <v>585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5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6" t="s">
        <v>4359</v>
      </c>
      <c r="B586" s="212" t="s">
        <v>4335</v>
      </c>
      <c r="C586" s="36" t="s">
        <v>4336</v>
      </c>
      <c r="D586" s="36" t="s">
        <v>3024</v>
      </c>
      <c r="E586" s="19" t="s">
        <v>4360</v>
      </c>
      <c r="F586" s="36" t="s">
        <v>78</v>
      </c>
      <c r="G586" s="212" t="s">
        <v>63</v>
      </c>
      <c r="H586" s="36" t="s">
        <v>585</v>
      </c>
      <c r="I586" s="6" t="s">
        <v>585</v>
      </c>
      <c r="J586" s="36" t="s">
        <v>585</v>
      </c>
      <c r="K586" s="176" t="n">
        <f aca="false">Alloc_In!D13</f>
        <v>0</v>
      </c>
      <c r="L586" s="176" t="n">
        <f aca="false">Alloc_In!E13</f>
        <v>1</v>
      </c>
      <c r="M586" s="36" t="s">
        <v>585</v>
      </c>
      <c r="N586" s="6" t="s">
        <v>4361</v>
      </c>
      <c r="O586" s="6" t="s">
        <v>585</v>
      </c>
      <c r="P586" s="212" t="s">
        <v>2774</v>
      </c>
      <c r="Q586" s="176" t="n">
        <f aca="false">Alloc_In!C13</f>
        <v>0</v>
      </c>
      <c r="R586" s="36" t="s">
        <v>585</v>
      </c>
      <c r="S586" s="35" t="str">
        <f aca="false">IF(ISNUMBER($AF586),INDEX(IDX_SrcStat,$AF586),"—")</f>
        <v>—</v>
      </c>
      <c r="T586" s="35" t="str">
        <f aca="false">IF(ISNUMBER($AF586),INDEX(IDX_SrcGrade,$AF586),"—")</f>
        <v>—</v>
      </c>
      <c r="U586" s="35" t="s">
        <v>2775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5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6" t="s">
        <v>4362</v>
      </c>
      <c r="B587" s="212" t="s">
        <v>4335</v>
      </c>
      <c r="C587" s="36" t="s">
        <v>4336</v>
      </c>
      <c r="D587" s="36" t="s">
        <v>3842</v>
      </c>
      <c r="E587" s="19" t="s">
        <v>4360</v>
      </c>
      <c r="F587" s="36" t="s">
        <v>78</v>
      </c>
      <c r="G587" s="212" t="s">
        <v>3836</v>
      </c>
      <c r="H587" s="36" t="s">
        <v>585</v>
      </c>
      <c r="I587" s="6" t="s">
        <v>585</v>
      </c>
      <c r="J587" s="36" t="s">
        <v>585</v>
      </c>
      <c r="K587" s="212"/>
      <c r="L587" s="212"/>
      <c r="M587" s="36" t="s">
        <v>3843</v>
      </c>
      <c r="N587" s="6" t="s">
        <v>4361</v>
      </c>
      <c r="O587" s="6" t="s">
        <v>585</v>
      </c>
      <c r="P587" s="36" t="s">
        <v>585</v>
      </c>
      <c r="Q587" s="184" t="s">
        <v>585</v>
      </c>
      <c r="R587" s="36" t="s">
        <v>585</v>
      </c>
      <c r="S587" s="35" t="str">
        <f aca="false">IF(ISNUMBER($AF587),INDEX(IDX_SrcStat,$AF587),"—")</f>
        <v>—</v>
      </c>
      <c r="T587" s="35" t="str">
        <f aca="false">IF(ISNUMBER($AF587),INDEX(IDX_SrcGrade,$AF587),"—")</f>
        <v>—</v>
      </c>
      <c r="U587" s="36" t="s">
        <v>585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5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6" t="s">
        <v>4363</v>
      </c>
      <c r="B588" s="212" t="s">
        <v>4335</v>
      </c>
      <c r="C588" s="36" t="s">
        <v>4336</v>
      </c>
      <c r="D588" s="36" t="s">
        <v>3273</v>
      </c>
      <c r="E588" s="6" t="s">
        <v>1722</v>
      </c>
      <c r="F588" s="36" t="s">
        <v>78</v>
      </c>
      <c r="G588" s="212" t="s">
        <v>63</v>
      </c>
      <c r="H588" s="36" t="s">
        <v>4364</v>
      </c>
      <c r="I588" s="19" t="s">
        <v>4365</v>
      </c>
      <c r="J588" s="36" t="s">
        <v>585</v>
      </c>
      <c r="K588" s="181" t="n">
        <f aca="false">Alloc_In!D14</f>
        <v>0.6</v>
      </c>
      <c r="L588" s="181" t="n">
        <f aca="false">Alloc_In!E14</f>
        <v>0.9</v>
      </c>
      <c r="M588" s="36" t="s">
        <v>585</v>
      </c>
      <c r="N588" s="6" t="s">
        <v>4366</v>
      </c>
      <c r="O588" s="6" t="s">
        <v>585</v>
      </c>
      <c r="P588" s="212" t="s">
        <v>2830</v>
      </c>
      <c r="Q588" s="181" t="n">
        <f aca="false">Alloc_In!C14</f>
        <v>0.75</v>
      </c>
      <c r="R588" s="184" t="n">
        <f aca="false">SRC_DEM_010</f>
        <v>6</v>
      </c>
      <c r="S588" s="35" t="str">
        <f aca="false">IF(ISNUMBER($AF588),INDEX(IDX_SrcStat,$AF588),"—")</f>
        <v>Active</v>
      </c>
      <c r="T588" s="35" t="n">
        <f aca="false">IF(ISNUMBER($AF588),INDEX(IDX_SrcGrade,$AF588),"—")</f>
        <v>2</v>
      </c>
      <c r="U588" s="35" t="s">
        <v>2775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5" t="n">
        <f aca="false">IF(OR($H588="—",$H588=""),"—",MATCH($H588,IDX_SrcID,0))</f>
        <v>631</v>
      </c>
    </row>
    <row r="589" customFormat="false" ht="26.25" hidden="false" customHeight="true" outlineLevel="0" collapsed="false">
      <c r="A589" s="36" t="s">
        <v>4367</v>
      </c>
      <c r="B589" s="212" t="s">
        <v>4335</v>
      </c>
      <c r="C589" s="36" t="s">
        <v>4336</v>
      </c>
      <c r="D589" s="36" t="s">
        <v>3849</v>
      </c>
      <c r="E589" s="6" t="s">
        <v>1722</v>
      </c>
      <c r="F589" s="36" t="s">
        <v>78</v>
      </c>
      <c r="G589" s="212" t="s">
        <v>3836</v>
      </c>
      <c r="H589" s="36" t="s">
        <v>585</v>
      </c>
      <c r="I589" s="6" t="s">
        <v>585</v>
      </c>
      <c r="J589" s="36" t="s">
        <v>585</v>
      </c>
      <c r="K589" s="212"/>
      <c r="L589" s="212"/>
      <c r="M589" s="36" t="s">
        <v>3850</v>
      </c>
      <c r="N589" s="6" t="s">
        <v>4368</v>
      </c>
      <c r="O589" s="6" t="s">
        <v>585</v>
      </c>
      <c r="P589" s="36" t="s">
        <v>585</v>
      </c>
      <c r="Q589" s="184" t="s">
        <v>585</v>
      </c>
      <c r="R589" s="36" t="s">
        <v>585</v>
      </c>
      <c r="S589" s="35" t="str">
        <f aca="false">IF(ISNUMBER($AF589),INDEX(IDX_SrcStat,$AF589),"—")</f>
        <v>—</v>
      </c>
      <c r="T589" s="35" t="str">
        <f aca="false">IF(ISNUMBER($AF589),INDEX(IDX_SrcGrade,$AF589),"—")</f>
        <v>—</v>
      </c>
      <c r="U589" s="36" t="s">
        <v>585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5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6" t="s">
        <v>4369</v>
      </c>
      <c r="B590" s="212" t="s">
        <v>4335</v>
      </c>
      <c r="C590" s="36" t="s">
        <v>4336</v>
      </c>
      <c r="D590" s="36" t="s">
        <v>3277</v>
      </c>
      <c r="E590" s="19" t="s">
        <v>4370</v>
      </c>
      <c r="F590" s="36" t="s">
        <v>78</v>
      </c>
      <c r="G590" s="212" t="s">
        <v>63</v>
      </c>
      <c r="H590" s="36" t="s">
        <v>4371</v>
      </c>
      <c r="I590" s="19" t="s">
        <v>4372</v>
      </c>
      <c r="J590" s="36" t="s">
        <v>585</v>
      </c>
      <c r="K590" s="41" t="n">
        <f aca="false">Alloc_In!D15</f>
        <v>1000</v>
      </c>
      <c r="L590" s="41" t="n">
        <f aca="false">Alloc_In!E15</f>
        <v>6000</v>
      </c>
      <c r="M590" s="36" t="s">
        <v>585</v>
      </c>
      <c r="N590" s="6" t="s">
        <v>4373</v>
      </c>
      <c r="O590" s="6" t="s">
        <v>585</v>
      </c>
      <c r="P590" s="212" t="s">
        <v>1114</v>
      </c>
      <c r="Q590" s="41" t="n">
        <f aca="false">Alloc_In!C15</f>
        <v>2000</v>
      </c>
      <c r="R590" s="184" t="n">
        <f aca="false">SRC_DEM_012</f>
        <v>2.5</v>
      </c>
      <c r="S590" s="35" t="str">
        <f aca="false">IF(ISNUMBER($AF590),INDEX(IDX_SrcStat,$AF590),"—")</f>
        <v>Active</v>
      </c>
      <c r="T590" s="35" t="n">
        <f aca="false">IF(ISNUMBER($AF590),INDEX(IDX_SrcGrade,$AF590),"—")</f>
        <v>2</v>
      </c>
      <c r="U590" s="35" t="s">
        <v>2775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5" t="n">
        <f aca="false">IF(OR($H590="—",$H590=""),"—",MATCH($H590,IDX_SrcID,0))</f>
        <v>633</v>
      </c>
    </row>
    <row r="591" customFormat="false" ht="77.25" hidden="false" customHeight="true" outlineLevel="0" collapsed="false">
      <c r="A591" s="36" t="s">
        <v>4374</v>
      </c>
      <c r="B591" s="212" t="s">
        <v>4335</v>
      </c>
      <c r="C591" s="36" t="s">
        <v>4336</v>
      </c>
      <c r="D591" s="36" t="s">
        <v>3855</v>
      </c>
      <c r="E591" s="19" t="s">
        <v>4370</v>
      </c>
      <c r="F591" s="36" t="s">
        <v>78</v>
      </c>
      <c r="G591" s="212" t="s">
        <v>3836</v>
      </c>
      <c r="H591" s="36" t="s">
        <v>585</v>
      </c>
      <c r="I591" s="6" t="s">
        <v>585</v>
      </c>
      <c r="J591" s="36" t="s">
        <v>585</v>
      </c>
      <c r="K591" s="212"/>
      <c r="L591" s="212"/>
      <c r="M591" s="36" t="s">
        <v>3856</v>
      </c>
      <c r="N591" s="6" t="s">
        <v>4375</v>
      </c>
      <c r="O591" s="6" t="s">
        <v>585</v>
      </c>
      <c r="P591" s="36" t="s">
        <v>585</v>
      </c>
      <c r="Q591" s="184" t="s">
        <v>585</v>
      </c>
      <c r="R591" s="36" t="s">
        <v>585</v>
      </c>
      <c r="S591" s="35" t="str">
        <f aca="false">IF(ISNUMBER($AF591),INDEX(IDX_SrcStat,$AF591),"—")</f>
        <v>—</v>
      </c>
      <c r="T591" s="35" t="str">
        <f aca="false">IF(ISNUMBER($AF591),INDEX(IDX_SrcGrade,$AF591),"—")</f>
        <v>—</v>
      </c>
      <c r="U591" s="36" t="s">
        <v>585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5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6" t="s">
        <v>4376</v>
      </c>
      <c r="B592" s="212" t="s">
        <v>4335</v>
      </c>
      <c r="C592" s="36" t="s">
        <v>4336</v>
      </c>
      <c r="D592" s="36" t="s">
        <v>3282</v>
      </c>
      <c r="E592" s="6" t="s">
        <v>1726</v>
      </c>
      <c r="F592" s="36" t="s">
        <v>78</v>
      </c>
      <c r="G592" s="212" t="s">
        <v>63</v>
      </c>
      <c r="H592" s="36" t="s">
        <v>2366</v>
      </c>
      <c r="I592" s="19" t="s">
        <v>4377</v>
      </c>
      <c r="J592" s="36" t="s">
        <v>585</v>
      </c>
      <c r="K592" s="176" t="n">
        <f aca="false">Alloc_In!D16</f>
        <v>0.4</v>
      </c>
      <c r="L592" s="176" t="n">
        <f aca="false">Alloc_In!E16</f>
        <v>0.8</v>
      </c>
      <c r="M592" s="36" t="s">
        <v>585</v>
      </c>
      <c r="N592" s="19" t="s">
        <v>4378</v>
      </c>
      <c r="O592" s="6" t="s">
        <v>585</v>
      </c>
      <c r="P592" s="212" t="s">
        <v>1113</v>
      </c>
      <c r="Q592" s="176" t="n">
        <f aca="false">Alloc_In!C16</f>
        <v>0.6</v>
      </c>
      <c r="R592" s="184" t="n">
        <f aca="false">SRC_DEM_005</f>
        <v>3.9</v>
      </c>
      <c r="S592" s="35" t="str">
        <f aca="false">IF(ISNUMBER($AF592),INDEX(IDX_SrcStat,$AF592),"—")</f>
        <v>Active</v>
      </c>
      <c r="T592" s="35" t="n">
        <f aca="false">IF(ISNUMBER($AF592),INDEX(IDX_SrcGrade,$AF592),"—")</f>
        <v>2</v>
      </c>
      <c r="U592" s="35" t="s">
        <v>2775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5" t="n">
        <f aca="false">IF(OR($H592="—",$H592=""),"—",MATCH($H592,IDX_SrcID,0))</f>
        <v>626</v>
      </c>
    </row>
    <row r="593" customFormat="false" ht="26.25" hidden="false" customHeight="true" outlineLevel="0" collapsed="false">
      <c r="A593" s="36" t="s">
        <v>4379</v>
      </c>
      <c r="B593" s="212" t="s">
        <v>4335</v>
      </c>
      <c r="C593" s="36" t="s">
        <v>4336</v>
      </c>
      <c r="D593" s="36" t="s">
        <v>4380</v>
      </c>
      <c r="E593" s="6" t="s">
        <v>1726</v>
      </c>
      <c r="F593" s="36" t="s">
        <v>78</v>
      </c>
      <c r="G593" s="212" t="s">
        <v>3836</v>
      </c>
      <c r="H593" s="36" t="s">
        <v>585</v>
      </c>
      <c r="I593" s="6" t="s">
        <v>585</v>
      </c>
      <c r="J593" s="36" t="s">
        <v>585</v>
      </c>
      <c r="K593" s="212"/>
      <c r="L593" s="212"/>
      <c r="M593" s="36" t="s">
        <v>4381</v>
      </c>
      <c r="N593" s="19" t="s">
        <v>4382</v>
      </c>
      <c r="O593" s="6" t="s">
        <v>585</v>
      </c>
      <c r="P593" s="36" t="s">
        <v>585</v>
      </c>
      <c r="Q593" s="184" t="s">
        <v>585</v>
      </c>
      <c r="R593" s="36" t="s">
        <v>585</v>
      </c>
      <c r="S593" s="35" t="str">
        <f aca="false">IF(ISNUMBER($AF593),INDEX(IDX_SrcStat,$AF593),"—")</f>
        <v>—</v>
      </c>
      <c r="T593" s="35" t="str">
        <f aca="false">IF(ISNUMBER($AF593),INDEX(IDX_SrcGrade,$AF593),"—")</f>
        <v>—</v>
      </c>
      <c r="U593" s="36" t="s">
        <v>585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5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6" t="s">
        <v>4383</v>
      </c>
      <c r="B594" s="212" t="s">
        <v>4335</v>
      </c>
      <c r="C594" s="36" t="s">
        <v>4336</v>
      </c>
      <c r="D594" s="36" t="s">
        <v>4384</v>
      </c>
      <c r="E594" s="19" t="s">
        <v>4385</v>
      </c>
      <c r="F594" s="36" t="s">
        <v>78</v>
      </c>
      <c r="G594" s="212" t="s">
        <v>3516</v>
      </c>
      <c r="H594" s="36" t="s">
        <v>585</v>
      </c>
      <c r="I594" s="6" t="s">
        <v>585</v>
      </c>
      <c r="J594" s="36" t="s">
        <v>585</v>
      </c>
      <c r="K594" s="212"/>
      <c r="L594" s="212"/>
      <c r="M594" s="212" t="s">
        <v>4386</v>
      </c>
      <c r="N594" s="6" t="s">
        <v>4387</v>
      </c>
      <c r="O594" s="6" t="s">
        <v>585</v>
      </c>
      <c r="P594" s="36" t="s">
        <v>585</v>
      </c>
      <c r="Q594" s="184" t="s">
        <v>585</v>
      </c>
      <c r="R594" s="36" t="s">
        <v>585</v>
      </c>
      <c r="S594" s="35" t="str">
        <f aca="false">IF(ISNUMBER($AF594),INDEX(IDX_SrcStat,$AF594),"—")</f>
        <v>—</v>
      </c>
      <c r="T594" s="35" t="str">
        <f aca="false">IF(ISNUMBER($AF594),INDEX(IDX_SrcGrade,$AF594),"—")</f>
        <v>—</v>
      </c>
      <c r="U594" s="36" t="s">
        <v>585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5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6" t="s">
        <v>4388</v>
      </c>
      <c r="B595" s="212" t="s">
        <v>4335</v>
      </c>
      <c r="C595" s="36" t="s">
        <v>4336</v>
      </c>
      <c r="D595" s="36" t="s">
        <v>4389</v>
      </c>
      <c r="E595" s="19" t="s">
        <v>4385</v>
      </c>
      <c r="F595" s="36" t="s">
        <v>78</v>
      </c>
      <c r="G595" s="212" t="s">
        <v>3836</v>
      </c>
      <c r="H595" s="36" t="s">
        <v>585</v>
      </c>
      <c r="I595" s="6" t="s">
        <v>585</v>
      </c>
      <c r="J595" s="36" t="s">
        <v>585</v>
      </c>
      <c r="K595" s="212"/>
      <c r="L595" s="212"/>
      <c r="M595" s="36" t="s">
        <v>4390</v>
      </c>
      <c r="N595" s="6" t="s">
        <v>4391</v>
      </c>
      <c r="O595" s="6" t="s">
        <v>585</v>
      </c>
      <c r="P595" s="36" t="s">
        <v>585</v>
      </c>
      <c r="Q595" s="184" t="s">
        <v>585</v>
      </c>
      <c r="R595" s="36" t="s">
        <v>585</v>
      </c>
      <c r="S595" s="35" t="str">
        <f aca="false">IF(ISNUMBER($AF595),INDEX(IDX_SrcStat,$AF595),"—")</f>
        <v>—</v>
      </c>
      <c r="T595" s="35" t="str">
        <f aca="false">IF(ISNUMBER($AF595),INDEX(IDX_SrcGrade,$AF595),"—")</f>
        <v>—</v>
      </c>
      <c r="U595" s="36" t="s">
        <v>585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5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6" t="s">
        <v>4392</v>
      </c>
      <c r="B596" s="212" t="s">
        <v>4393</v>
      </c>
      <c r="C596" s="36" t="s">
        <v>3358</v>
      </c>
      <c r="D596" s="36" t="s">
        <v>3118</v>
      </c>
      <c r="E596" s="19" t="s">
        <v>4394</v>
      </c>
      <c r="F596" s="212" t="s">
        <v>346</v>
      </c>
      <c r="G596" s="212" t="s">
        <v>2771</v>
      </c>
      <c r="H596" s="36" t="s">
        <v>585</v>
      </c>
      <c r="I596" s="6" t="s">
        <v>585</v>
      </c>
      <c r="J596" s="36" t="s">
        <v>2730</v>
      </c>
      <c r="K596" s="214" t="n">
        <v>0.7</v>
      </c>
      <c r="L596" s="214" t="n">
        <v>1</v>
      </c>
      <c r="M596" s="212" t="s">
        <v>4395</v>
      </c>
      <c r="N596" s="6" t="s">
        <v>4396</v>
      </c>
      <c r="O596" s="6" t="s">
        <v>585</v>
      </c>
      <c r="P596" s="212" t="s">
        <v>1114</v>
      </c>
      <c r="Q596" s="174" t="n">
        <f aca="false">Serving!C28</f>
        <v>0.85</v>
      </c>
      <c r="R596" s="36" t="s">
        <v>585</v>
      </c>
      <c r="S596" s="35" t="str">
        <f aca="false">IF(ISNUMBER($AF596),INDEX(IDX_SrcStat,$AF596),"—")</f>
        <v>—</v>
      </c>
      <c r="T596" s="35" t="str">
        <f aca="false">IF(ISNUMBER($AF596),INDEX(IDX_SrcGrade,$AF596),"—")</f>
        <v>—</v>
      </c>
      <c r="U596" s="35" t="s">
        <v>2775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5" t="str">
        <f aca="false">IF(OR($H596="—",$H596=""),"—",MATCH($H596,IDX_SrcID,0))</f>
        <v>—</v>
      </c>
    </row>
    <row r="597" customFormat="false" ht="51.75" hidden="false" customHeight="true" outlineLevel="0" collapsed="false">
      <c r="A597" s="36" t="s">
        <v>4397</v>
      </c>
      <c r="B597" s="212" t="s">
        <v>4398</v>
      </c>
      <c r="C597" s="36" t="s">
        <v>3831</v>
      </c>
      <c r="D597" s="36" t="s">
        <v>4399</v>
      </c>
      <c r="E597" s="19" t="s">
        <v>4400</v>
      </c>
      <c r="F597" s="212" t="s">
        <v>346</v>
      </c>
      <c r="G597" s="212" t="s">
        <v>2771</v>
      </c>
      <c r="H597" s="36" t="s">
        <v>585</v>
      </c>
      <c r="I597" s="6" t="s">
        <v>585</v>
      </c>
      <c r="J597" s="36" t="s">
        <v>2734</v>
      </c>
      <c r="K597" s="214" t="n">
        <v>0.3</v>
      </c>
      <c r="L597" s="214" t="n">
        <v>1</v>
      </c>
      <c r="M597" s="212" t="s">
        <v>4401</v>
      </c>
      <c r="N597" s="6" t="s">
        <v>4402</v>
      </c>
      <c r="O597" s="6" t="s">
        <v>585</v>
      </c>
      <c r="P597" s="212" t="s">
        <v>1114</v>
      </c>
      <c r="Q597" s="174" t="n">
        <f aca="false">Cap_In!C63</f>
        <v>1</v>
      </c>
      <c r="R597" s="36" t="s">
        <v>585</v>
      </c>
      <c r="S597" s="35" t="str">
        <f aca="false">IF(ISNUMBER($AF597),INDEX(IDX_SrcStat,$AF597),"—")</f>
        <v>—</v>
      </c>
      <c r="T597" s="35" t="str">
        <f aca="false">IF(ISNUMBER($AF597),INDEX(IDX_SrcGrade,$AF597),"—")</f>
        <v>—</v>
      </c>
      <c r="U597" s="35" t="s">
        <v>2775</v>
      </c>
      <c r="V597" s="185" t="n">
        <f aca="false">IF(AND($F597="原始數據",$U597&lt;&gt;"連結 SRC"),1,0)</f>
        <v>0</v>
      </c>
      <c r="W597" s="185" t="n">
        <f aca="false">IF(AND($F597="Analogy",OR($H597="—",$H597="")),1,0)</f>
        <v>0</v>
      </c>
      <c r="X597" s="185" t="n">
        <f aca="false">IF(AND(OR($F597="Analogy",$F597="Assumed"),$G597&lt;&gt;"低",$G597&lt;&gt;"高",NOT(ISNUMBER($K597)),NOT(ISNUMBER($L597)),OR($M597="—",$M597="")),1,0)</f>
        <v>0</v>
      </c>
      <c r="Y597" s="185" t="n">
        <f aca="false">IF(AND(OR($F597="Analogy",$F597="Assumed",$F597="Derived（待改公式）",$F597="Derived（公式）"),OR($N597="—",$N597="",$N597=0)),1,0)</f>
        <v>0</v>
      </c>
      <c r="Z597" s="185" t="n">
        <f aca="false">IF(AND($F597="Decision",OR($J597="—",$J597="")),1,0)</f>
        <v>0</v>
      </c>
      <c r="AA597" s="182" t="n">
        <f aca="false">IF(OR($J597="—",$J597=""),0,IF(COUNTIF(Decisions!$A$5:$A$300,$J597)=0,1,0))</f>
        <v>0</v>
      </c>
      <c r="AB597" s="185" t="n">
        <f aca="false">IF(AND($F597="原始數據",$S597&lt;&gt;"Active"),1,0)</f>
        <v>0</v>
      </c>
      <c r="AC597" s="185" t="n">
        <f aca="false">IF(AND(ISNUMBER($K597),ISNUMBER($L597),ISNUMBER($Q597)),IF(OR($Q597&lt;MIN($K597,$L597),$Q597&gt;MAX($K597,$L597)),1,0),0)</f>
        <v>0</v>
      </c>
      <c r="AD597" s="185" t="n">
        <f aca="false">IF(AND(ISNUMBER($T597),$P597="高"),IF($T597=3,1,0),0)</f>
        <v>0</v>
      </c>
      <c r="AE597" s="185" t="n">
        <f aca="false">IF($S597="不存在",1,0)</f>
        <v>0</v>
      </c>
      <c r="AF597" s="35" t="str">
        <f aca="false">IF(OR($H597="—",$H597=""),"—",MATCH($H597,IDX_SrcID,0))</f>
        <v>—</v>
      </c>
    </row>
    <row r="598" customFormat="false" ht="26.25" hidden="false" customHeight="true" outlineLevel="0" collapsed="false">
      <c r="A598" s="36" t="s">
        <v>4403</v>
      </c>
      <c r="B598" s="212" t="s">
        <v>4398</v>
      </c>
      <c r="C598" s="36" t="s">
        <v>3831</v>
      </c>
      <c r="D598" s="36" t="s">
        <v>4404</v>
      </c>
      <c r="E598" s="19" t="s">
        <v>4405</v>
      </c>
      <c r="F598" s="212" t="s">
        <v>346</v>
      </c>
      <c r="G598" s="212" t="s">
        <v>2771</v>
      </c>
      <c r="H598" s="36" t="s">
        <v>585</v>
      </c>
      <c r="I598" s="6" t="s">
        <v>585</v>
      </c>
      <c r="J598" s="36" t="s">
        <v>2734</v>
      </c>
      <c r="K598" s="214" t="n">
        <v>0.3</v>
      </c>
      <c r="L598" s="214" t="n">
        <v>1</v>
      </c>
      <c r="M598" s="212" t="s">
        <v>4401</v>
      </c>
      <c r="N598" s="6" t="s">
        <v>4406</v>
      </c>
      <c r="O598" s="6" t="s">
        <v>585</v>
      </c>
      <c r="P598" s="212" t="s">
        <v>1114</v>
      </c>
      <c r="Q598" s="174" t="n">
        <f aca="false">Cap_In!C64</f>
        <v>1</v>
      </c>
      <c r="R598" s="36" t="s">
        <v>585</v>
      </c>
      <c r="S598" s="35" t="str">
        <f aca="false">IF(ISNUMBER($AF598),INDEX(IDX_SrcStat,$AF598),"—")</f>
        <v>—</v>
      </c>
      <c r="T598" s="35" t="str">
        <f aca="false">IF(ISNUMBER($AF598),INDEX(IDX_SrcGrade,$AF598),"—")</f>
        <v>—</v>
      </c>
      <c r="U598" s="35" t="s">
        <v>2775</v>
      </c>
      <c r="V598" s="185" t="n">
        <f aca="false">IF(AND($F598="原始數據",$U598&lt;&gt;"連結 SRC"),1,0)</f>
        <v>0</v>
      </c>
      <c r="W598" s="185" t="n">
        <f aca="false">IF(AND($F598="Analogy",OR($H598="—",$H598="")),1,0)</f>
        <v>0</v>
      </c>
      <c r="X598" s="185" t="n">
        <f aca="false">IF(AND(OR($F598="Analogy",$F598="Assumed"),$G598&lt;&gt;"低",$G598&lt;&gt;"高",NOT(ISNUMBER($K598)),NOT(ISNUMBER($L598)),OR($M598="—",$M598="")),1,0)</f>
        <v>0</v>
      </c>
      <c r="Y598" s="185" t="n">
        <f aca="false">IF(AND(OR($F598="Analogy",$F598="Assumed",$F598="Derived（待改公式）",$F598="Derived（公式）"),OR($N598="—",$N598="",$N598=0)),1,0)</f>
        <v>0</v>
      </c>
      <c r="Z598" s="185" t="n">
        <f aca="false">IF(AND($F598="Decision",OR($J598="—",$J598="")),1,0)</f>
        <v>0</v>
      </c>
      <c r="AA598" s="182" t="n">
        <f aca="false">IF(OR($J598="—",$J598=""),0,IF(COUNTIF(Decisions!$A$5:$A$300,$J598)=0,1,0))</f>
        <v>0</v>
      </c>
      <c r="AB598" s="185" t="n">
        <f aca="false">IF(AND($F598="原始數據",$S598&lt;&gt;"Active"),1,0)</f>
        <v>0</v>
      </c>
      <c r="AC598" s="185" t="n">
        <f aca="false">IF(AND(ISNUMBER($K598),ISNUMBER($L598),ISNUMBER($Q598)),IF(OR($Q598&lt;MIN($K598,$L598),$Q598&gt;MAX($K598,$L598)),1,0),0)</f>
        <v>0</v>
      </c>
      <c r="AD598" s="185" t="n">
        <f aca="false">IF(AND(ISNUMBER($T598),$P598="高"),IF($T598=3,1,0),0)</f>
        <v>0</v>
      </c>
      <c r="AE598" s="185" t="n">
        <f aca="false">IF($S598="不存在",1,0)</f>
        <v>0</v>
      </c>
      <c r="AF598" s="35" t="str">
        <f aca="false">IF(OR($H598="—",$H598=""),"—",MATCH($H598,IDX_SrcID,0))</f>
        <v>—</v>
      </c>
    </row>
    <row r="599" customFormat="false" ht="177" hidden="false" customHeight="true" outlineLevel="0" collapsed="false">
      <c r="A599" s="36" t="s">
        <v>4407</v>
      </c>
      <c r="B599" s="212" t="s">
        <v>4408</v>
      </c>
      <c r="C599" s="36" t="s">
        <v>3509</v>
      </c>
      <c r="D599" s="36" t="s">
        <v>4409</v>
      </c>
      <c r="E599" s="19" t="s">
        <v>4410</v>
      </c>
      <c r="F599" s="36" t="s">
        <v>256</v>
      </c>
      <c r="G599" s="212" t="s">
        <v>2771</v>
      </c>
      <c r="H599" s="36" t="s">
        <v>4411</v>
      </c>
      <c r="I599" s="19" t="s">
        <v>4412</v>
      </c>
      <c r="J599" s="36" t="s">
        <v>4413</v>
      </c>
      <c r="K599" s="214" t="n">
        <v>0.7</v>
      </c>
      <c r="L599" s="214" t="n">
        <v>1</v>
      </c>
      <c r="M599" s="212" t="s">
        <v>4414</v>
      </c>
      <c r="N599" s="6" t="s">
        <v>4415</v>
      </c>
      <c r="O599" s="6" t="s">
        <v>585</v>
      </c>
      <c r="P599" s="212" t="s">
        <v>2830</v>
      </c>
      <c r="Q599" s="174" t="n">
        <f aca="false">Calib!F156</f>
        <v>0.75</v>
      </c>
      <c r="R599" s="184" t="n">
        <f aca="false">SRC_PERF_056</f>
        <v>1183326.9</v>
      </c>
      <c r="S599" s="35" t="str">
        <f aca="false">IF(ISNUMBER($AF599),INDEX(IDX_SrcStat,$AF599),"—")</f>
        <v>Active</v>
      </c>
      <c r="T599" s="35" t="n">
        <f aca="false">IF(ISNUMBER($AF599),INDEX(IDX_SrcGrade,$AF599),"—")</f>
        <v>1</v>
      </c>
      <c r="U599" s="35" t="s">
        <v>2775</v>
      </c>
      <c r="V599" s="185" t="n">
        <f aca="false">IF(AND($F599="原始數據",$U599&lt;&gt;"連結 SRC"),1,0)</f>
        <v>0</v>
      </c>
      <c r="W599" s="185" t="n">
        <f aca="false">IF(AND($F599="Analogy",OR($H599="—",$H599="")),1,0)</f>
        <v>0</v>
      </c>
      <c r="X599" s="185" t="n">
        <f aca="false">IF(AND(OR($F599="Analogy",$F599="Assumed"),$G599&lt;&gt;"低",$G599&lt;&gt;"高",NOT(ISNUMBER($K599)),NOT(ISNUMBER($L599)),OR($M599="—",$M599="")),1,0)</f>
        <v>0</v>
      </c>
      <c r="Y599" s="185" t="n">
        <f aca="false">IF(AND(OR($F599="Analogy",$F599="Assumed",$F599="Derived（待改公式）",$F599="Derived（公式）"),OR($N599="—",$N599="",$N599=0)),1,0)</f>
        <v>0</v>
      </c>
      <c r="Z599" s="185" t="n">
        <f aca="false">IF(AND($F599="Decision",OR($J599="—",$J599="")),1,0)</f>
        <v>0</v>
      </c>
      <c r="AA599" s="182" t="n">
        <f aca="false">IF(OR($J599="—",$J599=""),0,IF(COUNTIF(Decisions!$A$5:$A$300,$J599)=0,1,0))</f>
        <v>0</v>
      </c>
      <c r="AB599" s="185" t="n">
        <f aca="false">IF(AND($F599="原始數據",$S599&lt;&gt;"Active"),1,0)</f>
        <v>0</v>
      </c>
      <c r="AC599" s="185" t="n">
        <f aca="false">IF(AND(ISNUMBER($K599),ISNUMBER($L599),ISNUMBER($Q599)),IF(OR($Q599&lt;MIN($K599,$L599),$Q599&gt;MAX($K599,$L599)),1,0),0)</f>
        <v>0</v>
      </c>
      <c r="AD599" s="185" t="n">
        <f aca="false">IF(AND(ISNUMBER($T599),$P599="高"),IF($T599=3,1,0),0)</f>
        <v>0</v>
      </c>
      <c r="AE599" s="185" t="n">
        <f aca="false">IF($S599="不存在",1,0)</f>
        <v>0</v>
      </c>
      <c r="AF599" s="35" t="n">
        <f aca="false">IF(OR($H599="—",$H599=""),"—",MATCH($H599,IDX_SrcID,0))</f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0" t="s">
        <v>4416</v>
      </c>
    </row>
    <row r="2" customFormat="false" ht="15" hidden="false" customHeight="true" outlineLevel="0" collapsed="false">
      <c r="A2" s="37" t="s">
        <v>4417</v>
      </c>
    </row>
    <row r="4" customFormat="false" ht="29.25" hidden="false" customHeight="true" outlineLevel="0" collapsed="false">
      <c r="A4" s="211" t="s">
        <v>2747</v>
      </c>
      <c r="B4" s="211" t="s">
        <v>2743</v>
      </c>
      <c r="C4" s="211" t="s">
        <v>334</v>
      </c>
      <c r="D4" s="211" t="s">
        <v>4418</v>
      </c>
      <c r="E4" s="211" t="s">
        <v>4419</v>
      </c>
      <c r="F4" s="77" t="s">
        <v>4420</v>
      </c>
      <c r="G4" s="211" t="s">
        <v>572</v>
      </c>
      <c r="H4" s="211" t="s">
        <v>4421</v>
      </c>
      <c r="I4" s="211" t="s">
        <v>4422</v>
      </c>
      <c r="J4" s="211" t="s">
        <v>4423</v>
      </c>
    </row>
    <row r="5" customFormat="false" ht="29.25" hidden="false" customHeight="true" outlineLevel="0" collapsed="false">
      <c r="A5" s="36" t="s">
        <v>2772</v>
      </c>
      <c r="B5" s="36" t="s">
        <v>4424</v>
      </c>
      <c r="C5" s="19" t="s">
        <v>6</v>
      </c>
      <c r="D5" s="6" t="s">
        <v>4425</v>
      </c>
      <c r="E5" s="36" t="s">
        <v>4426</v>
      </c>
      <c r="F5" s="6" t="s">
        <v>585</v>
      </c>
      <c r="G5" s="212" t="s">
        <v>4427</v>
      </c>
      <c r="H5" s="6" t="s">
        <v>4428</v>
      </c>
      <c r="I5" s="212" t="s">
        <v>4429</v>
      </c>
      <c r="J5" s="212" t="s">
        <v>616</v>
      </c>
    </row>
    <row r="6" customFormat="false" ht="29.25" hidden="false" customHeight="true" outlineLevel="0" collapsed="false">
      <c r="A6" s="36" t="s">
        <v>4430</v>
      </c>
      <c r="B6" s="36" t="s">
        <v>4424</v>
      </c>
      <c r="C6" s="19" t="s">
        <v>142</v>
      </c>
      <c r="D6" s="6" t="s">
        <v>4431</v>
      </c>
      <c r="E6" s="36" t="s">
        <v>4426</v>
      </c>
      <c r="F6" s="6" t="s">
        <v>585</v>
      </c>
      <c r="G6" s="212" t="s">
        <v>4427</v>
      </c>
      <c r="H6" s="6" t="s">
        <v>585</v>
      </c>
      <c r="I6" s="212" t="s">
        <v>4429</v>
      </c>
      <c r="J6" s="212" t="s">
        <v>616</v>
      </c>
    </row>
    <row r="7" customFormat="false" ht="29.25" hidden="false" customHeight="true" outlineLevel="0" collapsed="false">
      <c r="A7" s="36" t="s">
        <v>2777</v>
      </c>
      <c r="B7" s="36" t="s">
        <v>4424</v>
      </c>
      <c r="C7" s="6" t="s">
        <v>4432</v>
      </c>
      <c r="D7" s="19" t="s">
        <v>4433</v>
      </c>
      <c r="E7" s="36" t="s">
        <v>4426</v>
      </c>
      <c r="F7" s="6" t="s">
        <v>585</v>
      </c>
      <c r="G7" s="212" t="s">
        <v>4427</v>
      </c>
      <c r="H7" s="6" t="s">
        <v>4434</v>
      </c>
      <c r="I7" s="212" t="s">
        <v>4429</v>
      </c>
      <c r="J7" s="212" t="s">
        <v>616</v>
      </c>
    </row>
    <row r="8" customFormat="false" ht="29.25" hidden="false" customHeight="true" outlineLevel="0" collapsed="false">
      <c r="A8" s="36" t="s">
        <v>2903</v>
      </c>
      <c r="B8" s="36" t="s">
        <v>4424</v>
      </c>
      <c r="C8" s="19" t="s">
        <v>4435</v>
      </c>
      <c r="D8" s="19" t="s">
        <v>4436</v>
      </c>
      <c r="E8" s="36" t="s">
        <v>4426</v>
      </c>
      <c r="F8" s="6" t="s">
        <v>585</v>
      </c>
      <c r="G8" s="212" t="s">
        <v>4427</v>
      </c>
      <c r="H8" s="6" t="s">
        <v>4437</v>
      </c>
      <c r="I8" s="212" t="s">
        <v>4429</v>
      </c>
      <c r="J8" s="212" t="s">
        <v>616</v>
      </c>
    </row>
    <row r="9" customFormat="false" ht="15" hidden="false" customHeight="true" outlineLevel="0" collapsed="false">
      <c r="A9" s="36" t="s">
        <v>3426</v>
      </c>
      <c r="B9" s="36" t="s">
        <v>4424</v>
      </c>
      <c r="C9" s="19" t="s">
        <v>228</v>
      </c>
      <c r="D9" s="19" t="s">
        <v>4438</v>
      </c>
      <c r="E9" s="36" t="s">
        <v>4426</v>
      </c>
      <c r="F9" s="6" t="s">
        <v>585</v>
      </c>
      <c r="G9" s="212" t="s">
        <v>4427</v>
      </c>
      <c r="H9" s="6" t="s">
        <v>585</v>
      </c>
      <c r="I9" s="212" t="s">
        <v>4429</v>
      </c>
      <c r="J9" s="212" t="s">
        <v>616</v>
      </c>
    </row>
    <row r="10" customFormat="false" ht="15" hidden="false" customHeight="true" outlineLevel="0" collapsed="false">
      <c r="A10" s="36" t="s">
        <v>2932</v>
      </c>
      <c r="B10" s="36" t="s">
        <v>4424</v>
      </c>
      <c r="C10" s="19" t="s">
        <v>4439</v>
      </c>
      <c r="D10" s="6" t="s">
        <v>4440</v>
      </c>
      <c r="E10" s="36" t="s">
        <v>4426</v>
      </c>
      <c r="F10" s="6" t="s">
        <v>585</v>
      </c>
      <c r="G10" s="212" t="s">
        <v>4427</v>
      </c>
      <c r="H10" s="6" t="s">
        <v>585</v>
      </c>
      <c r="I10" s="212" t="s">
        <v>4429</v>
      </c>
      <c r="J10" s="212" t="s">
        <v>616</v>
      </c>
    </row>
    <row r="11" customFormat="false" ht="15" hidden="false" customHeight="true" outlineLevel="0" collapsed="false">
      <c r="A11" s="36" t="s">
        <v>3255</v>
      </c>
      <c r="B11" s="36" t="s">
        <v>4424</v>
      </c>
      <c r="C11" s="19" t="s">
        <v>4441</v>
      </c>
      <c r="D11" s="6" t="s">
        <v>4442</v>
      </c>
      <c r="E11" s="36" t="s">
        <v>4426</v>
      </c>
      <c r="F11" s="6" t="s">
        <v>585</v>
      </c>
      <c r="G11" s="212" t="s">
        <v>4427</v>
      </c>
      <c r="H11" s="6" t="s">
        <v>585</v>
      </c>
      <c r="I11" s="212" t="s">
        <v>4429</v>
      </c>
      <c r="J11" s="212" t="s">
        <v>616</v>
      </c>
    </row>
    <row r="12" customFormat="false" ht="26.25" hidden="false" customHeight="true" outlineLevel="0" collapsed="false">
      <c r="A12" s="36" t="s">
        <v>2944</v>
      </c>
      <c r="B12" s="36" t="s">
        <v>4424</v>
      </c>
      <c r="C12" s="19" t="s">
        <v>4443</v>
      </c>
      <c r="D12" s="6" t="s">
        <v>4444</v>
      </c>
      <c r="E12" s="36" t="s">
        <v>4426</v>
      </c>
      <c r="F12" s="6" t="s">
        <v>585</v>
      </c>
      <c r="G12" s="212" t="s">
        <v>4427</v>
      </c>
      <c r="H12" s="6" t="s">
        <v>585</v>
      </c>
      <c r="I12" s="212" t="s">
        <v>4429</v>
      </c>
      <c r="J12" s="212" t="s">
        <v>616</v>
      </c>
    </row>
    <row r="13" customFormat="false" ht="15" hidden="false" customHeight="true" outlineLevel="0" collapsed="false">
      <c r="A13" s="36" t="s">
        <v>2784</v>
      </c>
      <c r="B13" s="36" t="s">
        <v>4424</v>
      </c>
      <c r="C13" s="19" t="s">
        <v>4445</v>
      </c>
      <c r="D13" s="19" t="s">
        <v>4446</v>
      </c>
      <c r="E13" s="36" t="s">
        <v>4426</v>
      </c>
      <c r="F13" s="6" t="s">
        <v>585</v>
      </c>
      <c r="G13" s="212" t="s">
        <v>4427</v>
      </c>
      <c r="H13" s="6" t="s">
        <v>585</v>
      </c>
      <c r="I13" s="212" t="s">
        <v>4429</v>
      </c>
      <c r="J13" s="212" t="s">
        <v>616</v>
      </c>
    </row>
    <row r="14" customFormat="false" ht="15" hidden="false" customHeight="true" outlineLevel="0" collapsed="false">
      <c r="A14" s="36" t="s">
        <v>2789</v>
      </c>
      <c r="B14" s="36" t="s">
        <v>4424</v>
      </c>
      <c r="C14" s="6" t="s">
        <v>868</v>
      </c>
      <c r="D14" s="19" t="s">
        <v>4447</v>
      </c>
      <c r="E14" s="36" t="s">
        <v>4426</v>
      </c>
      <c r="F14" s="6" t="s">
        <v>585</v>
      </c>
      <c r="G14" s="212" t="s">
        <v>4427</v>
      </c>
      <c r="H14" s="6" t="s">
        <v>4448</v>
      </c>
      <c r="I14" s="212" t="s">
        <v>4429</v>
      </c>
      <c r="J14" s="212" t="s">
        <v>616</v>
      </c>
    </row>
    <row r="15" customFormat="false" ht="29.25" hidden="false" customHeight="true" outlineLevel="0" collapsed="false">
      <c r="A15" s="36" t="s">
        <v>2796</v>
      </c>
      <c r="B15" s="36" t="s">
        <v>4424</v>
      </c>
      <c r="C15" s="19" t="s">
        <v>4449</v>
      </c>
      <c r="D15" s="6" t="s">
        <v>4450</v>
      </c>
      <c r="E15" s="36" t="s">
        <v>4426</v>
      </c>
      <c r="F15" s="6" t="s">
        <v>585</v>
      </c>
      <c r="G15" s="212" t="s">
        <v>4427</v>
      </c>
      <c r="H15" s="6" t="s">
        <v>585</v>
      </c>
      <c r="I15" s="212" t="s">
        <v>4429</v>
      </c>
      <c r="J15" s="212" t="s">
        <v>616</v>
      </c>
    </row>
    <row r="16" customFormat="false" ht="15" hidden="false" customHeight="true" outlineLevel="0" collapsed="false">
      <c r="A16" s="36" t="s">
        <v>3341</v>
      </c>
      <c r="B16" s="36" t="s">
        <v>4451</v>
      </c>
      <c r="C16" s="6" t="s">
        <v>4452</v>
      </c>
      <c r="D16" s="19" t="s">
        <v>4453</v>
      </c>
      <c r="E16" s="36" t="s">
        <v>4426</v>
      </c>
      <c r="F16" s="6" t="s">
        <v>585</v>
      </c>
      <c r="G16" s="212" t="s">
        <v>4427</v>
      </c>
      <c r="H16" s="6" t="s">
        <v>4454</v>
      </c>
      <c r="I16" s="212" t="s">
        <v>4429</v>
      </c>
      <c r="J16" s="212" t="s">
        <v>616</v>
      </c>
    </row>
    <row r="17" customFormat="false" ht="15" hidden="false" customHeight="true" outlineLevel="0" collapsed="false">
      <c r="A17" s="36" t="s">
        <v>3389</v>
      </c>
      <c r="B17" s="36" t="s">
        <v>4451</v>
      </c>
      <c r="C17" s="6" t="s">
        <v>4455</v>
      </c>
      <c r="D17" s="19" t="s">
        <v>4456</v>
      </c>
      <c r="E17" s="36" t="s">
        <v>4426</v>
      </c>
      <c r="F17" s="6" t="s">
        <v>585</v>
      </c>
      <c r="G17" s="212" t="s">
        <v>4427</v>
      </c>
      <c r="H17" s="6" t="s">
        <v>4457</v>
      </c>
      <c r="I17" s="212" t="s">
        <v>4429</v>
      </c>
      <c r="J17" s="212" t="s">
        <v>616</v>
      </c>
    </row>
    <row r="18" customFormat="false" ht="29.25" hidden="false" customHeight="true" outlineLevel="0" collapsed="false">
      <c r="A18" s="36" t="s">
        <v>3393</v>
      </c>
      <c r="B18" s="36" t="s">
        <v>4451</v>
      </c>
      <c r="C18" s="6" t="s">
        <v>4458</v>
      </c>
      <c r="D18" s="19" t="s">
        <v>4459</v>
      </c>
      <c r="E18" s="36" t="s">
        <v>4426</v>
      </c>
      <c r="F18" s="6" t="s">
        <v>585</v>
      </c>
      <c r="G18" s="212" t="s">
        <v>4427</v>
      </c>
      <c r="H18" s="6" t="s">
        <v>4460</v>
      </c>
      <c r="I18" s="212" t="s">
        <v>4429</v>
      </c>
      <c r="J18" s="212" t="s">
        <v>616</v>
      </c>
    </row>
    <row r="19" customFormat="false" ht="15" hidden="false" customHeight="true" outlineLevel="0" collapsed="false">
      <c r="A19" s="36" t="s">
        <v>4461</v>
      </c>
      <c r="B19" s="36" t="s">
        <v>4451</v>
      </c>
      <c r="C19" s="6" t="s">
        <v>4462</v>
      </c>
      <c r="D19" s="19" t="s">
        <v>4463</v>
      </c>
      <c r="E19" s="36" t="s">
        <v>4426</v>
      </c>
      <c r="F19" s="6" t="s">
        <v>585</v>
      </c>
      <c r="G19" s="212" t="s">
        <v>4427</v>
      </c>
      <c r="H19" s="6" t="s">
        <v>585</v>
      </c>
      <c r="I19" s="212" t="s">
        <v>4429</v>
      </c>
      <c r="J19" s="212" t="s">
        <v>616</v>
      </c>
    </row>
    <row r="20" customFormat="false" ht="15" hidden="false" customHeight="true" outlineLevel="0" collapsed="false">
      <c r="A20" s="36" t="s">
        <v>4464</v>
      </c>
      <c r="B20" s="36" t="s">
        <v>4451</v>
      </c>
      <c r="C20" s="19" t="s">
        <v>4465</v>
      </c>
      <c r="D20" s="19" t="s">
        <v>4466</v>
      </c>
      <c r="E20" s="36" t="s">
        <v>4426</v>
      </c>
      <c r="F20" s="6" t="s">
        <v>585</v>
      </c>
      <c r="G20" s="212" t="s">
        <v>4427</v>
      </c>
      <c r="H20" s="6" t="s">
        <v>585</v>
      </c>
      <c r="I20" s="212" t="s">
        <v>4429</v>
      </c>
      <c r="J20" s="212" t="s">
        <v>616</v>
      </c>
    </row>
    <row r="21" customFormat="false" ht="15" hidden="false" customHeight="true" outlineLevel="0" collapsed="false">
      <c r="A21" s="36" t="s">
        <v>4467</v>
      </c>
      <c r="B21" s="36" t="s">
        <v>4451</v>
      </c>
      <c r="C21" s="19" t="s">
        <v>4468</v>
      </c>
      <c r="D21" s="6" t="s">
        <v>4469</v>
      </c>
      <c r="E21" s="36" t="s">
        <v>4426</v>
      </c>
      <c r="F21" s="6" t="s">
        <v>585</v>
      </c>
      <c r="G21" s="212" t="s">
        <v>4470</v>
      </c>
      <c r="H21" s="6" t="s">
        <v>4471</v>
      </c>
      <c r="I21" s="212" t="s">
        <v>4429</v>
      </c>
      <c r="J21" s="212" t="s">
        <v>616</v>
      </c>
    </row>
    <row r="22" customFormat="false" ht="29.25" hidden="false" customHeight="true" outlineLevel="0" collapsed="false">
      <c r="A22" s="36" t="s">
        <v>4472</v>
      </c>
      <c r="B22" s="36" t="s">
        <v>4451</v>
      </c>
      <c r="C22" s="19" t="s">
        <v>4473</v>
      </c>
      <c r="D22" s="6" t="s">
        <v>4474</v>
      </c>
      <c r="E22" s="36" t="s">
        <v>4426</v>
      </c>
      <c r="F22" s="19" t="s">
        <v>4475</v>
      </c>
      <c r="G22" s="212" t="s">
        <v>4470</v>
      </c>
      <c r="H22" s="6" t="s">
        <v>4476</v>
      </c>
      <c r="I22" s="212" t="s">
        <v>4429</v>
      </c>
      <c r="J22" s="212" t="s">
        <v>616</v>
      </c>
    </row>
    <row r="23" customFormat="false" ht="29.25" hidden="false" customHeight="true" outlineLevel="0" collapsed="false">
      <c r="A23" s="36" t="s">
        <v>4477</v>
      </c>
      <c r="B23" s="212" t="s">
        <v>4478</v>
      </c>
      <c r="C23" s="19" t="s">
        <v>48</v>
      </c>
      <c r="D23" s="6" t="s">
        <v>4479</v>
      </c>
      <c r="E23" s="36" t="s">
        <v>4480</v>
      </c>
      <c r="F23" s="6" t="s">
        <v>585</v>
      </c>
      <c r="G23" s="212" t="s">
        <v>4427</v>
      </c>
      <c r="H23" s="6" t="s">
        <v>585</v>
      </c>
      <c r="I23" s="212" t="s">
        <v>4429</v>
      </c>
      <c r="J23" s="212" t="s">
        <v>616</v>
      </c>
    </row>
    <row r="24" customFormat="false" ht="15" hidden="false" customHeight="true" outlineLevel="0" collapsed="false">
      <c r="A24" s="36" t="s">
        <v>4481</v>
      </c>
      <c r="B24" s="36" t="s">
        <v>4451</v>
      </c>
      <c r="C24" s="19" t="s">
        <v>4482</v>
      </c>
      <c r="D24" s="6" t="s">
        <v>4483</v>
      </c>
      <c r="E24" s="36" t="s">
        <v>4426</v>
      </c>
      <c r="F24" s="6" t="s">
        <v>585</v>
      </c>
      <c r="G24" s="212" t="s">
        <v>4427</v>
      </c>
      <c r="H24" s="6" t="s">
        <v>585</v>
      </c>
      <c r="I24" s="212" t="s">
        <v>4429</v>
      </c>
      <c r="J24" s="212" t="s">
        <v>616</v>
      </c>
    </row>
    <row r="25" customFormat="false" ht="29.25" hidden="false" customHeight="true" outlineLevel="0" collapsed="false">
      <c r="A25" s="36" t="s">
        <v>4187</v>
      </c>
      <c r="B25" s="36" t="s">
        <v>4451</v>
      </c>
      <c r="C25" s="6" t="s">
        <v>4484</v>
      </c>
      <c r="D25" s="19" t="s">
        <v>4485</v>
      </c>
      <c r="E25" s="36" t="s">
        <v>4426</v>
      </c>
      <c r="F25" s="6" t="s">
        <v>585</v>
      </c>
      <c r="G25" s="212" t="s">
        <v>4427</v>
      </c>
      <c r="H25" s="6" t="s">
        <v>585</v>
      </c>
      <c r="I25" s="212" t="s">
        <v>4429</v>
      </c>
      <c r="J25" s="212" t="s">
        <v>616</v>
      </c>
    </row>
    <row r="26" customFormat="false" ht="43.5" hidden="false" customHeight="true" outlineLevel="0" collapsed="false">
      <c r="A26" s="36" t="s">
        <v>4217</v>
      </c>
      <c r="B26" s="36" t="s">
        <v>4451</v>
      </c>
      <c r="C26" s="6" t="s">
        <v>4486</v>
      </c>
      <c r="D26" s="19" t="s">
        <v>4487</v>
      </c>
      <c r="E26" s="36" t="s">
        <v>1199</v>
      </c>
      <c r="F26" s="6" t="s">
        <v>585</v>
      </c>
      <c r="G26" s="212" t="s">
        <v>4427</v>
      </c>
      <c r="H26" s="6" t="s">
        <v>585</v>
      </c>
      <c r="I26" s="212" t="s">
        <v>4429</v>
      </c>
      <c r="J26" s="212" t="s">
        <v>616</v>
      </c>
    </row>
    <row r="27" customFormat="false" ht="15" hidden="false" customHeight="true" outlineLevel="0" collapsed="false">
      <c r="A27" s="36" t="s">
        <v>4170</v>
      </c>
      <c r="B27" s="36" t="s">
        <v>4451</v>
      </c>
      <c r="C27" s="19" t="s">
        <v>1062</v>
      </c>
      <c r="D27" s="19" t="s">
        <v>4488</v>
      </c>
      <c r="E27" s="36" t="s">
        <v>4426</v>
      </c>
      <c r="F27" s="6" t="s">
        <v>585</v>
      </c>
      <c r="G27" s="212" t="s">
        <v>4427</v>
      </c>
      <c r="H27" s="6" t="s">
        <v>585</v>
      </c>
      <c r="I27" s="212" t="s">
        <v>4429</v>
      </c>
      <c r="J27" s="212" t="s">
        <v>616</v>
      </c>
    </row>
    <row r="28" customFormat="false" ht="15" hidden="false" customHeight="true" outlineLevel="0" collapsed="false">
      <c r="A28" s="36" t="s">
        <v>4489</v>
      </c>
      <c r="B28" s="36" t="s">
        <v>4451</v>
      </c>
      <c r="C28" s="19" t="s">
        <v>4490</v>
      </c>
      <c r="D28" s="6" t="s">
        <v>4491</v>
      </c>
      <c r="E28" s="36" t="s">
        <v>4426</v>
      </c>
      <c r="F28" s="6" t="s">
        <v>585</v>
      </c>
      <c r="G28" s="212" t="s">
        <v>4427</v>
      </c>
      <c r="H28" s="6" t="s">
        <v>585</v>
      </c>
      <c r="I28" s="212" t="s">
        <v>4429</v>
      </c>
      <c r="J28" s="212" t="s">
        <v>616</v>
      </c>
    </row>
    <row r="29" customFormat="false" ht="15" hidden="false" customHeight="true" outlineLevel="0" collapsed="false">
      <c r="A29" s="36" t="s">
        <v>4278</v>
      </c>
      <c r="B29" s="36" t="s">
        <v>4451</v>
      </c>
      <c r="C29" s="6" t="s">
        <v>4492</v>
      </c>
      <c r="D29" s="6" t="s">
        <v>4493</v>
      </c>
      <c r="E29" s="36" t="s">
        <v>4426</v>
      </c>
      <c r="F29" s="6" t="s">
        <v>585</v>
      </c>
      <c r="G29" s="212" t="s">
        <v>4427</v>
      </c>
      <c r="H29" s="6" t="s">
        <v>585</v>
      </c>
      <c r="I29" s="212" t="s">
        <v>4429</v>
      </c>
      <c r="J29" s="212" t="s">
        <v>616</v>
      </c>
    </row>
    <row r="30" customFormat="false" ht="15" hidden="false" customHeight="true" outlineLevel="0" collapsed="false">
      <c r="A30" s="36" t="s">
        <v>4177</v>
      </c>
      <c r="B30" s="36" t="s">
        <v>4451</v>
      </c>
      <c r="C30" s="19" t="s">
        <v>4494</v>
      </c>
      <c r="D30" s="6" t="s">
        <v>4495</v>
      </c>
      <c r="E30" s="36" t="s">
        <v>4480</v>
      </c>
      <c r="F30" s="6" t="s">
        <v>585</v>
      </c>
      <c r="G30" s="212" t="s">
        <v>4427</v>
      </c>
      <c r="H30" s="6" t="s">
        <v>4496</v>
      </c>
      <c r="I30" s="212" t="s">
        <v>4429</v>
      </c>
      <c r="J30" s="212" t="s">
        <v>616</v>
      </c>
    </row>
    <row r="31" customFormat="false" ht="15" hidden="false" customHeight="true" outlineLevel="0" collapsed="false">
      <c r="A31" s="36" t="s">
        <v>3803</v>
      </c>
      <c r="B31" s="36" t="s">
        <v>4451</v>
      </c>
      <c r="C31" s="19" t="s">
        <v>4497</v>
      </c>
      <c r="D31" s="19" t="s">
        <v>4498</v>
      </c>
      <c r="E31" s="36" t="s">
        <v>4426</v>
      </c>
      <c r="F31" s="6" t="s">
        <v>585</v>
      </c>
      <c r="G31" s="212" t="s">
        <v>4427</v>
      </c>
      <c r="H31" s="6" t="s">
        <v>585</v>
      </c>
      <c r="I31" s="212" t="s">
        <v>4429</v>
      </c>
      <c r="J31" s="212" t="s">
        <v>616</v>
      </c>
    </row>
    <row r="32" customFormat="false" ht="43.5" hidden="false" customHeight="true" outlineLevel="0" collapsed="false">
      <c r="A32" s="36" t="s">
        <v>4499</v>
      </c>
      <c r="B32" s="212" t="s">
        <v>4478</v>
      </c>
      <c r="C32" s="19" t="s">
        <v>4500</v>
      </c>
      <c r="D32" s="6" t="s">
        <v>4501</v>
      </c>
      <c r="E32" s="36" t="s">
        <v>4502</v>
      </c>
      <c r="F32" s="6" t="s">
        <v>585</v>
      </c>
      <c r="G32" s="212" t="s">
        <v>4427</v>
      </c>
      <c r="H32" s="6" t="s">
        <v>585</v>
      </c>
      <c r="I32" s="212" t="s">
        <v>4429</v>
      </c>
      <c r="J32" s="212" t="s">
        <v>616</v>
      </c>
    </row>
    <row r="33" customFormat="false" ht="43.5" hidden="false" customHeight="true" outlineLevel="0" collapsed="false">
      <c r="A33" s="36" t="s">
        <v>4503</v>
      </c>
      <c r="B33" s="212" t="s">
        <v>4478</v>
      </c>
      <c r="C33" s="6" t="s">
        <v>4504</v>
      </c>
      <c r="D33" s="19" t="s">
        <v>4505</v>
      </c>
      <c r="E33" s="36" t="s">
        <v>4426</v>
      </c>
      <c r="F33" s="6" t="s">
        <v>585</v>
      </c>
      <c r="G33" s="212" t="s">
        <v>4427</v>
      </c>
      <c r="H33" s="6" t="s">
        <v>585</v>
      </c>
      <c r="I33" s="212" t="s">
        <v>4429</v>
      </c>
      <c r="J33" s="212" t="s">
        <v>616</v>
      </c>
    </row>
    <row r="34" customFormat="false" ht="43.5" hidden="false" customHeight="true" outlineLevel="0" collapsed="false">
      <c r="A34" s="36" t="s">
        <v>4506</v>
      </c>
      <c r="B34" s="212" t="s">
        <v>4478</v>
      </c>
      <c r="C34" s="6" t="s">
        <v>4507</v>
      </c>
      <c r="D34" s="19" t="s">
        <v>4508</v>
      </c>
      <c r="E34" s="36" t="s">
        <v>1199</v>
      </c>
      <c r="F34" s="6" t="s">
        <v>585</v>
      </c>
      <c r="G34" s="212" t="s">
        <v>4427</v>
      </c>
      <c r="H34" s="6" t="s">
        <v>585</v>
      </c>
      <c r="I34" s="212" t="s">
        <v>4429</v>
      </c>
      <c r="J34" s="212" t="s">
        <v>616</v>
      </c>
    </row>
    <row r="35" customFormat="false" ht="43.5" hidden="false" customHeight="true" outlineLevel="0" collapsed="false">
      <c r="A35" s="36" t="s">
        <v>4509</v>
      </c>
      <c r="B35" s="212" t="s">
        <v>4478</v>
      </c>
      <c r="C35" s="19" t="s">
        <v>4510</v>
      </c>
      <c r="D35" s="6" t="s">
        <v>4511</v>
      </c>
      <c r="E35" s="36" t="s">
        <v>1199</v>
      </c>
      <c r="F35" s="6" t="s">
        <v>585</v>
      </c>
      <c r="G35" s="212" t="s">
        <v>4427</v>
      </c>
      <c r="H35" s="6" t="s">
        <v>585</v>
      </c>
      <c r="I35" s="212" t="s">
        <v>4429</v>
      </c>
      <c r="J35" s="212" t="s">
        <v>616</v>
      </c>
    </row>
    <row r="36" customFormat="false" ht="15" hidden="false" customHeight="true" outlineLevel="0" collapsed="false">
      <c r="A36" s="36" t="s">
        <v>4512</v>
      </c>
      <c r="B36" s="212" t="s">
        <v>4478</v>
      </c>
      <c r="C36" s="19" t="s">
        <v>4513</v>
      </c>
      <c r="D36" s="19" t="s">
        <v>4514</v>
      </c>
      <c r="E36" s="36" t="s">
        <v>4426</v>
      </c>
      <c r="F36" s="6" t="s">
        <v>585</v>
      </c>
      <c r="G36" s="212" t="s">
        <v>4427</v>
      </c>
      <c r="H36" s="6" t="s">
        <v>585</v>
      </c>
      <c r="I36" s="212" t="s">
        <v>4429</v>
      </c>
      <c r="J36" s="212" t="s">
        <v>616</v>
      </c>
    </row>
    <row r="37" customFormat="false" ht="15" hidden="false" customHeight="true" outlineLevel="0" collapsed="false">
      <c r="A37" s="36" t="s">
        <v>4515</v>
      </c>
      <c r="B37" s="36" t="s">
        <v>680</v>
      </c>
      <c r="C37" s="19" t="s">
        <v>4516</v>
      </c>
      <c r="D37" s="6" t="s">
        <v>4517</v>
      </c>
      <c r="E37" s="36" t="s">
        <v>1199</v>
      </c>
      <c r="F37" s="19" t="s">
        <v>4518</v>
      </c>
      <c r="G37" s="212" t="s">
        <v>4427</v>
      </c>
      <c r="H37" s="6" t="s">
        <v>585</v>
      </c>
      <c r="I37" s="212" t="s">
        <v>4429</v>
      </c>
      <c r="J37" s="212" t="s">
        <v>616</v>
      </c>
    </row>
    <row r="38" customFormat="false" ht="29.25" hidden="false" customHeight="true" outlineLevel="0" collapsed="false">
      <c r="A38" s="36" t="s">
        <v>4519</v>
      </c>
      <c r="B38" s="36" t="s">
        <v>680</v>
      </c>
      <c r="C38" s="19" t="s">
        <v>4520</v>
      </c>
      <c r="D38" s="6" t="s">
        <v>4521</v>
      </c>
      <c r="E38" s="36" t="s">
        <v>4426</v>
      </c>
      <c r="F38" s="19" t="s">
        <v>4522</v>
      </c>
      <c r="G38" s="212" t="s">
        <v>4427</v>
      </c>
      <c r="H38" s="6" t="s">
        <v>585</v>
      </c>
      <c r="I38" s="212" t="s">
        <v>4429</v>
      </c>
      <c r="J38" s="212" t="s">
        <v>616</v>
      </c>
    </row>
    <row r="39" customFormat="false" ht="29.25" hidden="false" customHeight="true" outlineLevel="0" collapsed="false">
      <c r="A39" s="36" t="s">
        <v>4523</v>
      </c>
      <c r="B39" s="36" t="s">
        <v>680</v>
      </c>
      <c r="C39" s="19" t="s">
        <v>4524</v>
      </c>
      <c r="D39" s="6" t="s">
        <v>4525</v>
      </c>
      <c r="E39" s="36" t="s">
        <v>4426</v>
      </c>
      <c r="F39" s="6" t="s">
        <v>585</v>
      </c>
      <c r="G39" s="212" t="s">
        <v>4427</v>
      </c>
      <c r="H39" s="6" t="s">
        <v>585</v>
      </c>
      <c r="I39" s="212" t="s">
        <v>4429</v>
      </c>
      <c r="J39" s="212" t="s">
        <v>616</v>
      </c>
    </row>
    <row r="40" customFormat="false" ht="43.5" hidden="false" customHeight="true" outlineLevel="0" collapsed="false">
      <c r="A40" s="36" t="s">
        <v>3846</v>
      </c>
      <c r="B40" s="36" t="s">
        <v>680</v>
      </c>
      <c r="C40" s="19" t="s">
        <v>4526</v>
      </c>
      <c r="D40" s="6" t="s">
        <v>4527</v>
      </c>
      <c r="E40" s="36" t="s">
        <v>4426</v>
      </c>
      <c r="F40" s="19" t="s">
        <v>4528</v>
      </c>
      <c r="G40" s="212" t="s">
        <v>4427</v>
      </c>
      <c r="H40" s="6" t="s">
        <v>585</v>
      </c>
      <c r="I40" s="212" t="s">
        <v>4429</v>
      </c>
      <c r="J40" s="212" t="s">
        <v>616</v>
      </c>
    </row>
    <row r="41" customFormat="false" ht="15" hidden="false" customHeight="true" outlineLevel="0" collapsed="false">
      <c r="A41" s="36" t="s">
        <v>3864</v>
      </c>
      <c r="B41" s="36" t="s">
        <v>680</v>
      </c>
      <c r="C41" s="19" t="s">
        <v>4529</v>
      </c>
      <c r="D41" s="6" t="s">
        <v>4530</v>
      </c>
      <c r="E41" s="36" t="s">
        <v>4426</v>
      </c>
      <c r="F41" s="6" t="s">
        <v>585</v>
      </c>
      <c r="G41" s="212" t="s">
        <v>4427</v>
      </c>
      <c r="H41" s="6" t="s">
        <v>585</v>
      </c>
      <c r="I41" s="212" t="s">
        <v>4429</v>
      </c>
      <c r="J41" s="212" t="s">
        <v>616</v>
      </c>
    </row>
    <row r="42" customFormat="false" ht="43.5" hidden="false" customHeight="true" outlineLevel="0" collapsed="false">
      <c r="A42" s="36" t="s">
        <v>4531</v>
      </c>
      <c r="B42" s="36" t="s">
        <v>680</v>
      </c>
      <c r="C42" s="19" t="s">
        <v>4532</v>
      </c>
      <c r="D42" s="19" t="s">
        <v>4533</v>
      </c>
      <c r="E42" s="36" t="s">
        <v>1199</v>
      </c>
      <c r="F42" s="6" t="s">
        <v>585</v>
      </c>
      <c r="G42" s="212" t="s">
        <v>4427</v>
      </c>
      <c r="H42" s="6" t="s">
        <v>4534</v>
      </c>
      <c r="I42" s="212" t="s">
        <v>4429</v>
      </c>
      <c r="J42" s="212" t="s">
        <v>616</v>
      </c>
    </row>
    <row r="43" customFormat="false" ht="29.25" hidden="false" customHeight="true" outlineLevel="0" collapsed="false">
      <c r="A43" s="36" t="s">
        <v>3873</v>
      </c>
      <c r="B43" s="36" t="s">
        <v>680</v>
      </c>
      <c r="C43" s="6" t="s">
        <v>4535</v>
      </c>
      <c r="D43" s="19" t="s">
        <v>4536</v>
      </c>
      <c r="E43" s="36" t="s">
        <v>4426</v>
      </c>
      <c r="F43" s="6" t="s">
        <v>585</v>
      </c>
      <c r="G43" s="212" t="s">
        <v>4427</v>
      </c>
      <c r="H43" s="6" t="s">
        <v>585</v>
      </c>
      <c r="I43" s="212" t="s">
        <v>4429</v>
      </c>
      <c r="J43" s="212" t="s">
        <v>616</v>
      </c>
    </row>
    <row r="44" customFormat="false" ht="15" hidden="false" customHeight="true" outlineLevel="0" collapsed="false">
      <c r="A44" s="36" t="s">
        <v>4537</v>
      </c>
      <c r="B44" s="36" t="s">
        <v>680</v>
      </c>
      <c r="C44" s="19" t="s">
        <v>4538</v>
      </c>
      <c r="D44" s="19" t="s">
        <v>4539</v>
      </c>
      <c r="E44" s="36" t="s">
        <v>4426</v>
      </c>
      <c r="F44" s="6" t="s">
        <v>585</v>
      </c>
      <c r="G44" s="212" t="s">
        <v>4427</v>
      </c>
      <c r="H44" s="6" t="s">
        <v>585</v>
      </c>
      <c r="I44" s="212" t="s">
        <v>4429</v>
      </c>
      <c r="J44" s="212" t="s">
        <v>616</v>
      </c>
    </row>
    <row r="45" customFormat="false" ht="29.25" hidden="false" customHeight="true" outlineLevel="0" collapsed="false">
      <c r="A45" s="36" t="s">
        <v>4540</v>
      </c>
      <c r="B45" s="36" t="s">
        <v>680</v>
      </c>
      <c r="C45" s="19" t="s">
        <v>4541</v>
      </c>
      <c r="D45" s="19" t="s">
        <v>4542</v>
      </c>
      <c r="E45" s="36" t="s">
        <v>4426</v>
      </c>
      <c r="F45" s="6" t="s">
        <v>585</v>
      </c>
      <c r="G45" s="212" t="s">
        <v>4427</v>
      </c>
      <c r="H45" s="6" t="s">
        <v>585</v>
      </c>
      <c r="I45" s="212" t="s">
        <v>4429</v>
      </c>
      <c r="J45" s="212" t="s">
        <v>616</v>
      </c>
    </row>
    <row r="46" customFormat="false" ht="26.25" hidden="false" customHeight="true" outlineLevel="0" collapsed="false">
      <c r="A46" s="36" t="s">
        <v>3901</v>
      </c>
      <c r="B46" s="36" t="s">
        <v>680</v>
      </c>
      <c r="C46" s="19" t="s">
        <v>4543</v>
      </c>
      <c r="D46" s="19" t="s">
        <v>4544</v>
      </c>
      <c r="E46" s="36" t="s">
        <v>4426</v>
      </c>
      <c r="F46" s="6" t="s">
        <v>585</v>
      </c>
      <c r="G46" s="212" t="s">
        <v>4427</v>
      </c>
      <c r="H46" s="6" t="s">
        <v>585</v>
      </c>
      <c r="I46" s="212" t="s">
        <v>4429</v>
      </c>
      <c r="J46" s="212" t="s">
        <v>616</v>
      </c>
    </row>
    <row r="47" customFormat="false" ht="29.25" hidden="false" customHeight="true" outlineLevel="0" collapsed="false">
      <c r="A47" s="36" t="s">
        <v>3383</v>
      </c>
      <c r="B47" s="36" t="s">
        <v>680</v>
      </c>
      <c r="C47" s="19" t="s">
        <v>4545</v>
      </c>
      <c r="D47" s="19" t="s">
        <v>4546</v>
      </c>
      <c r="E47" s="36" t="s">
        <v>4547</v>
      </c>
      <c r="F47" s="19" t="s">
        <v>4548</v>
      </c>
      <c r="G47" s="212" t="s">
        <v>4470</v>
      </c>
      <c r="H47" s="6" t="s">
        <v>4549</v>
      </c>
      <c r="I47" s="212" t="s">
        <v>4429</v>
      </c>
      <c r="J47" s="212" t="s">
        <v>616</v>
      </c>
    </row>
    <row r="48" customFormat="false" ht="15" hidden="false" customHeight="true" outlineLevel="0" collapsed="false">
      <c r="A48" s="36" t="s">
        <v>3860</v>
      </c>
      <c r="B48" s="36" t="s">
        <v>680</v>
      </c>
      <c r="C48" s="19" t="s">
        <v>4550</v>
      </c>
      <c r="D48" s="19" t="s">
        <v>4551</v>
      </c>
      <c r="E48" s="36" t="s">
        <v>4426</v>
      </c>
      <c r="F48" s="6" t="s">
        <v>585</v>
      </c>
      <c r="G48" s="212" t="s">
        <v>4427</v>
      </c>
      <c r="H48" s="6" t="s">
        <v>585</v>
      </c>
      <c r="I48" s="212" t="s">
        <v>4429</v>
      </c>
      <c r="J48" s="212" t="s">
        <v>616</v>
      </c>
    </row>
    <row r="49" customFormat="false" ht="15" hidden="false" customHeight="true" outlineLevel="0" collapsed="false">
      <c r="A49" s="36" t="s">
        <v>3950</v>
      </c>
      <c r="B49" s="36" t="s">
        <v>680</v>
      </c>
      <c r="C49" s="19" t="s">
        <v>4552</v>
      </c>
      <c r="D49" s="19" t="s">
        <v>4553</v>
      </c>
      <c r="E49" s="36" t="s">
        <v>4426</v>
      </c>
      <c r="F49" s="19" t="s">
        <v>4554</v>
      </c>
      <c r="G49" s="212" t="s">
        <v>4427</v>
      </c>
      <c r="H49" s="6" t="s">
        <v>585</v>
      </c>
      <c r="I49" s="212" t="s">
        <v>4429</v>
      </c>
      <c r="J49" s="212" t="s">
        <v>616</v>
      </c>
    </row>
    <row r="50" customFormat="false" ht="15" hidden="false" customHeight="true" outlineLevel="0" collapsed="false">
      <c r="A50" s="36" t="s">
        <v>4555</v>
      </c>
      <c r="B50" s="36" t="s">
        <v>680</v>
      </c>
      <c r="C50" s="19" t="s">
        <v>4556</v>
      </c>
      <c r="D50" s="19" t="s">
        <v>4557</v>
      </c>
      <c r="E50" s="36" t="s">
        <v>4426</v>
      </c>
      <c r="F50" s="6" t="s">
        <v>585</v>
      </c>
      <c r="G50" s="212" t="s">
        <v>4427</v>
      </c>
      <c r="H50" s="6" t="s">
        <v>585</v>
      </c>
      <c r="I50" s="212" t="s">
        <v>4429</v>
      </c>
      <c r="J50" s="212" t="s">
        <v>616</v>
      </c>
    </row>
    <row r="51" customFormat="false" ht="43.5" hidden="false" customHeight="true" outlineLevel="0" collapsed="false">
      <c r="A51" s="36" t="s">
        <v>3484</v>
      </c>
      <c r="B51" s="36" t="s">
        <v>4558</v>
      </c>
      <c r="C51" s="6" t="s">
        <v>4559</v>
      </c>
      <c r="D51" s="19" t="s">
        <v>4560</v>
      </c>
      <c r="E51" s="36" t="s">
        <v>1199</v>
      </c>
      <c r="F51" s="19" t="s">
        <v>4561</v>
      </c>
      <c r="G51" s="212" t="s">
        <v>4427</v>
      </c>
      <c r="H51" s="6" t="s">
        <v>4562</v>
      </c>
      <c r="I51" s="212" t="s">
        <v>4429</v>
      </c>
      <c r="J51" s="212" t="s">
        <v>616</v>
      </c>
    </row>
    <row r="52" customFormat="false" ht="29.25" hidden="false" customHeight="true" outlineLevel="0" collapsed="false">
      <c r="A52" s="36" t="s">
        <v>4563</v>
      </c>
      <c r="B52" s="36" t="s">
        <v>4558</v>
      </c>
      <c r="C52" s="19" t="s">
        <v>4564</v>
      </c>
      <c r="D52" s="6" t="s">
        <v>4565</v>
      </c>
      <c r="E52" s="36" t="s">
        <v>4426</v>
      </c>
      <c r="F52" s="19" t="s">
        <v>4566</v>
      </c>
      <c r="G52" s="212" t="s">
        <v>4427</v>
      </c>
      <c r="H52" s="6" t="s">
        <v>585</v>
      </c>
      <c r="I52" s="212" t="s">
        <v>4429</v>
      </c>
      <c r="J52" s="212" t="s">
        <v>616</v>
      </c>
    </row>
    <row r="53" customFormat="false" ht="29.25" hidden="false" customHeight="true" outlineLevel="0" collapsed="false">
      <c r="A53" s="36" t="s">
        <v>3488</v>
      </c>
      <c r="B53" s="36" t="s">
        <v>4558</v>
      </c>
      <c r="C53" s="19" t="s">
        <v>4567</v>
      </c>
      <c r="D53" s="19" t="s">
        <v>4568</v>
      </c>
      <c r="E53" s="36" t="s">
        <v>4426</v>
      </c>
      <c r="F53" s="19" t="s">
        <v>4569</v>
      </c>
      <c r="G53" s="212" t="s">
        <v>4427</v>
      </c>
      <c r="H53" s="6" t="s">
        <v>4570</v>
      </c>
      <c r="I53" s="212" t="s">
        <v>4429</v>
      </c>
      <c r="J53" s="212" t="s">
        <v>616</v>
      </c>
    </row>
    <row r="54" customFormat="false" ht="29.25" hidden="false" customHeight="true" outlineLevel="0" collapsed="false">
      <c r="A54" s="36" t="s">
        <v>4571</v>
      </c>
      <c r="B54" s="36" t="s">
        <v>4558</v>
      </c>
      <c r="C54" s="6" t="s">
        <v>4572</v>
      </c>
      <c r="D54" s="19" t="s">
        <v>4573</v>
      </c>
      <c r="E54" s="36" t="s">
        <v>4426</v>
      </c>
      <c r="F54" s="6" t="s">
        <v>585</v>
      </c>
      <c r="G54" s="212" t="s">
        <v>4427</v>
      </c>
      <c r="H54" s="6" t="s">
        <v>585</v>
      </c>
      <c r="I54" s="212" t="s">
        <v>4429</v>
      </c>
      <c r="J54" s="212" t="s">
        <v>616</v>
      </c>
    </row>
    <row r="55" customFormat="false" ht="15" hidden="false" customHeight="true" outlineLevel="0" collapsed="false">
      <c r="A55" s="36" t="s">
        <v>4574</v>
      </c>
      <c r="B55" s="36" t="s">
        <v>4558</v>
      </c>
      <c r="C55" s="19" t="s">
        <v>4575</v>
      </c>
      <c r="D55" s="19" t="s">
        <v>4576</v>
      </c>
      <c r="E55" s="36" t="s">
        <v>4426</v>
      </c>
      <c r="F55" s="6" t="s">
        <v>585</v>
      </c>
      <c r="G55" s="212" t="s">
        <v>4427</v>
      </c>
      <c r="H55" s="6" t="s">
        <v>585</v>
      </c>
      <c r="I55" s="212" t="s">
        <v>4429</v>
      </c>
      <c r="J55" s="212" t="s">
        <v>616</v>
      </c>
    </row>
    <row r="56" customFormat="false" ht="15" hidden="false" customHeight="true" outlineLevel="0" collapsed="false">
      <c r="A56" s="36" t="s">
        <v>4577</v>
      </c>
      <c r="B56" s="36" t="s">
        <v>4558</v>
      </c>
      <c r="C56" s="19" t="s">
        <v>4578</v>
      </c>
      <c r="D56" s="19" t="s">
        <v>4579</v>
      </c>
      <c r="E56" s="36" t="s">
        <v>4426</v>
      </c>
      <c r="F56" s="6" t="s">
        <v>585</v>
      </c>
      <c r="G56" s="212" t="s">
        <v>4427</v>
      </c>
      <c r="H56" s="6" t="s">
        <v>585</v>
      </c>
      <c r="I56" s="212" t="s">
        <v>4429</v>
      </c>
      <c r="J56" s="212" t="s">
        <v>616</v>
      </c>
    </row>
    <row r="57" customFormat="false" ht="29.25" hidden="false" customHeight="true" outlineLevel="0" collapsed="false">
      <c r="A57" s="36" t="s">
        <v>4580</v>
      </c>
      <c r="B57" s="36" t="s">
        <v>4558</v>
      </c>
      <c r="C57" s="6" t="s">
        <v>4581</v>
      </c>
      <c r="D57" s="19" t="s">
        <v>4582</v>
      </c>
      <c r="E57" s="36" t="s">
        <v>4426</v>
      </c>
      <c r="F57" s="6" t="s">
        <v>585</v>
      </c>
      <c r="G57" s="212" t="s">
        <v>4427</v>
      </c>
      <c r="H57" s="6" t="s">
        <v>585</v>
      </c>
      <c r="I57" s="212" t="s">
        <v>4429</v>
      </c>
      <c r="J57" s="212" t="s">
        <v>616</v>
      </c>
    </row>
    <row r="58" customFormat="false" ht="29.25" hidden="false" customHeight="true" outlineLevel="0" collapsed="false">
      <c r="A58" s="36" t="s">
        <v>4583</v>
      </c>
      <c r="B58" s="36" t="s">
        <v>4558</v>
      </c>
      <c r="C58" s="19" t="s">
        <v>4584</v>
      </c>
      <c r="D58" s="6" t="s">
        <v>4585</v>
      </c>
      <c r="E58" s="36" t="s">
        <v>1199</v>
      </c>
      <c r="F58" s="6" t="s">
        <v>585</v>
      </c>
      <c r="G58" s="212" t="s">
        <v>4427</v>
      </c>
      <c r="H58" s="6" t="s">
        <v>4586</v>
      </c>
      <c r="I58" s="212" t="s">
        <v>4429</v>
      </c>
      <c r="J58" s="212" t="s">
        <v>616</v>
      </c>
    </row>
    <row r="59" customFormat="false" ht="43.5" hidden="false" customHeight="true" outlineLevel="0" collapsed="false">
      <c r="A59" s="36" t="s">
        <v>632</v>
      </c>
      <c r="B59" s="36" t="s">
        <v>24</v>
      </c>
      <c r="C59" s="19" t="s">
        <v>4587</v>
      </c>
      <c r="D59" s="19" t="s">
        <v>4588</v>
      </c>
      <c r="E59" s="36" t="s">
        <v>1199</v>
      </c>
      <c r="F59" s="6" t="s">
        <v>585</v>
      </c>
      <c r="G59" s="212" t="s">
        <v>4427</v>
      </c>
      <c r="H59" s="6" t="s">
        <v>585</v>
      </c>
      <c r="I59" s="212" t="s">
        <v>4429</v>
      </c>
      <c r="J59" s="212" t="s">
        <v>616</v>
      </c>
    </row>
    <row r="60" customFormat="false" ht="43.5" hidden="false" customHeight="true" outlineLevel="0" collapsed="false">
      <c r="A60" s="36" t="s">
        <v>4589</v>
      </c>
      <c r="B60" s="212" t="s">
        <v>4590</v>
      </c>
      <c r="C60" s="6" t="s">
        <v>4591</v>
      </c>
      <c r="D60" s="6" t="s">
        <v>4592</v>
      </c>
      <c r="E60" s="36" t="s">
        <v>4547</v>
      </c>
      <c r="F60" s="6" t="s">
        <v>585</v>
      </c>
      <c r="G60" s="212" t="s">
        <v>4427</v>
      </c>
      <c r="H60" s="6" t="s">
        <v>585</v>
      </c>
      <c r="I60" s="212" t="s">
        <v>4429</v>
      </c>
      <c r="J60" s="212" t="s">
        <v>616</v>
      </c>
    </row>
    <row r="61" customFormat="false" ht="57.75" hidden="false" customHeight="true" outlineLevel="0" collapsed="false">
      <c r="A61" s="36" t="s">
        <v>4593</v>
      </c>
      <c r="B61" s="212" t="s">
        <v>4590</v>
      </c>
      <c r="C61" s="19" t="s">
        <v>4594</v>
      </c>
      <c r="D61" s="19" t="s">
        <v>4595</v>
      </c>
      <c r="E61" s="36" t="s">
        <v>4426</v>
      </c>
      <c r="F61" s="6" t="s">
        <v>585</v>
      </c>
      <c r="G61" s="212" t="s">
        <v>4427</v>
      </c>
      <c r="H61" s="6" t="s">
        <v>585</v>
      </c>
      <c r="I61" s="212" t="s">
        <v>4429</v>
      </c>
      <c r="J61" s="212" t="s">
        <v>616</v>
      </c>
    </row>
    <row r="62" customFormat="false" ht="29.25" hidden="false" customHeight="true" outlineLevel="0" collapsed="false">
      <c r="A62" s="36" t="s">
        <v>4596</v>
      </c>
      <c r="B62" s="212" t="s">
        <v>4590</v>
      </c>
      <c r="C62" s="19" t="s">
        <v>4597</v>
      </c>
      <c r="D62" s="6" t="s">
        <v>4598</v>
      </c>
      <c r="E62" s="36" t="s">
        <v>4426</v>
      </c>
      <c r="F62" s="6" t="s">
        <v>585</v>
      </c>
      <c r="G62" s="212" t="s">
        <v>4427</v>
      </c>
      <c r="H62" s="6" t="s">
        <v>585</v>
      </c>
      <c r="I62" s="212" t="s">
        <v>4429</v>
      </c>
      <c r="J62" s="212" t="s">
        <v>616</v>
      </c>
    </row>
    <row r="63" customFormat="false" ht="15" hidden="false" customHeight="true" outlineLevel="0" collapsed="false">
      <c r="A63" s="36" t="s">
        <v>4599</v>
      </c>
      <c r="B63" s="212" t="s">
        <v>4590</v>
      </c>
      <c r="C63" s="19" t="s">
        <v>4600</v>
      </c>
      <c r="D63" s="19" t="s">
        <v>4601</v>
      </c>
      <c r="E63" s="36" t="s">
        <v>4426</v>
      </c>
      <c r="F63" s="6" t="s">
        <v>585</v>
      </c>
      <c r="G63" s="212" t="s">
        <v>4427</v>
      </c>
      <c r="H63" s="6" t="s">
        <v>585</v>
      </c>
      <c r="I63" s="212" t="s">
        <v>4429</v>
      </c>
      <c r="J63" s="212" t="s">
        <v>616</v>
      </c>
    </row>
    <row r="64" customFormat="false" ht="29.25" hidden="false" customHeight="true" outlineLevel="0" collapsed="false">
      <c r="A64" s="36" t="s">
        <v>3431</v>
      </c>
      <c r="B64" s="212" t="s">
        <v>4590</v>
      </c>
      <c r="C64" s="19" t="s">
        <v>4602</v>
      </c>
      <c r="D64" s="19" t="s">
        <v>4603</v>
      </c>
      <c r="E64" s="36" t="s">
        <v>4426</v>
      </c>
      <c r="F64" s="19" t="s">
        <v>4604</v>
      </c>
      <c r="G64" s="212" t="s">
        <v>4427</v>
      </c>
      <c r="H64" s="6" t="s">
        <v>585</v>
      </c>
      <c r="I64" s="212" t="s">
        <v>4429</v>
      </c>
      <c r="J64" s="212" t="s">
        <v>616</v>
      </c>
    </row>
    <row r="65" customFormat="false" ht="29.25" hidden="false" customHeight="true" outlineLevel="0" collapsed="false">
      <c r="A65" s="36" t="s">
        <v>2938</v>
      </c>
      <c r="B65" s="212" t="s">
        <v>4590</v>
      </c>
      <c r="C65" s="6" t="s">
        <v>4605</v>
      </c>
      <c r="D65" s="6" t="s">
        <v>4606</v>
      </c>
      <c r="E65" s="36" t="s">
        <v>4426</v>
      </c>
      <c r="F65" s="6" t="s">
        <v>585</v>
      </c>
      <c r="G65" s="212" t="s">
        <v>4427</v>
      </c>
      <c r="H65" s="6" t="s">
        <v>585</v>
      </c>
      <c r="I65" s="212" t="s">
        <v>4429</v>
      </c>
      <c r="J65" s="212" t="s">
        <v>616</v>
      </c>
    </row>
    <row r="66" customFormat="false" ht="57.75" hidden="false" customHeight="true" outlineLevel="0" collapsed="false">
      <c r="A66" s="36" t="s">
        <v>3447</v>
      </c>
      <c r="B66" s="212" t="s">
        <v>4590</v>
      </c>
      <c r="C66" s="6" t="s">
        <v>4607</v>
      </c>
      <c r="D66" s="19" t="s">
        <v>4608</v>
      </c>
      <c r="E66" s="36" t="s">
        <v>4426</v>
      </c>
      <c r="F66" s="6" t="s">
        <v>585</v>
      </c>
      <c r="G66" s="212" t="s">
        <v>4427</v>
      </c>
      <c r="H66" s="6" t="s">
        <v>585</v>
      </c>
      <c r="I66" s="212" t="s">
        <v>4429</v>
      </c>
      <c r="J66" s="212" t="s">
        <v>616</v>
      </c>
    </row>
    <row r="67" customFormat="false" ht="43.5" hidden="false" customHeight="true" outlineLevel="0" collapsed="false">
      <c r="A67" s="36" t="s">
        <v>2952</v>
      </c>
      <c r="B67" s="212" t="s">
        <v>4590</v>
      </c>
      <c r="C67" s="19" t="s">
        <v>4609</v>
      </c>
      <c r="D67" s="19" t="s">
        <v>4610</v>
      </c>
      <c r="E67" s="36" t="s">
        <v>4426</v>
      </c>
      <c r="F67" s="6" t="s">
        <v>585</v>
      </c>
      <c r="G67" s="212" t="s">
        <v>4427</v>
      </c>
      <c r="H67" s="6" t="s">
        <v>585</v>
      </c>
      <c r="I67" s="212" t="s">
        <v>4429</v>
      </c>
      <c r="J67" s="212" t="s">
        <v>616</v>
      </c>
    </row>
    <row r="68" customFormat="false" ht="57.75" hidden="false" customHeight="true" outlineLevel="0" collapsed="false">
      <c r="A68" s="36" t="s">
        <v>2970</v>
      </c>
      <c r="B68" s="212" t="s">
        <v>4590</v>
      </c>
      <c r="C68" s="19" t="s">
        <v>4611</v>
      </c>
      <c r="D68" s="19" t="s">
        <v>4612</v>
      </c>
      <c r="E68" s="36" t="s">
        <v>4426</v>
      </c>
      <c r="F68" s="19" t="s">
        <v>4613</v>
      </c>
      <c r="G68" s="212" t="s">
        <v>4427</v>
      </c>
      <c r="H68" s="6" t="s">
        <v>585</v>
      </c>
      <c r="I68" s="212" t="s">
        <v>4429</v>
      </c>
      <c r="J68" s="212" t="s">
        <v>616</v>
      </c>
    </row>
    <row r="69" customFormat="false" ht="29.25" hidden="false" customHeight="true" outlineLevel="0" collapsed="false">
      <c r="A69" s="36" t="s">
        <v>2983</v>
      </c>
      <c r="B69" s="212" t="s">
        <v>4590</v>
      </c>
      <c r="C69" s="19" t="s">
        <v>4614</v>
      </c>
      <c r="D69" s="19" t="s">
        <v>4615</v>
      </c>
      <c r="E69" s="36" t="s">
        <v>4426</v>
      </c>
      <c r="F69" s="6" t="s">
        <v>585</v>
      </c>
      <c r="G69" s="212" t="s">
        <v>4427</v>
      </c>
      <c r="H69" s="6" t="s">
        <v>585</v>
      </c>
      <c r="I69" s="212" t="s">
        <v>4429</v>
      </c>
      <c r="J69" s="212" t="s">
        <v>616</v>
      </c>
    </row>
    <row r="70" customFormat="false" ht="15" hidden="false" customHeight="true" outlineLevel="0" collapsed="false">
      <c r="A70" s="36" t="s">
        <v>3001</v>
      </c>
      <c r="B70" s="212" t="s">
        <v>4590</v>
      </c>
      <c r="C70" s="19" t="s">
        <v>4616</v>
      </c>
      <c r="D70" s="19" t="s">
        <v>4617</v>
      </c>
      <c r="E70" s="36" t="s">
        <v>4426</v>
      </c>
      <c r="F70" s="6" t="s">
        <v>585</v>
      </c>
      <c r="G70" s="212" t="s">
        <v>4427</v>
      </c>
      <c r="H70" s="6" t="s">
        <v>585</v>
      </c>
      <c r="I70" s="212" t="s">
        <v>4429</v>
      </c>
      <c r="J70" s="212" t="s">
        <v>616</v>
      </c>
    </row>
    <row r="71" customFormat="false" ht="29.25" hidden="false" customHeight="true" outlineLevel="0" collapsed="false">
      <c r="A71" s="36" t="s">
        <v>3021</v>
      </c>
      <c r="B71" s="212" t="s">
        <v>4590</v>
      </c>
      <c r="C71" s="19" t="s">
        <v>4618</v>
      </c>
      <c r="D71" s="19" t="s">
        <v>4619</v>
      </c>
      <c r="E71" s="36" t="s">
        <v>4547</v>
      </c>
      <c r="F71" s="6" t="s">
        <v>585</v>
      </c>
      <c r="G71" s="212" t="s">
        <v>4427</v>
      </c>
      <c r="H71" s="6" t="s">
        <v>585</v>
      </c>
      <c r="I71" s="212" t="s">
        <v>4429</v>
      </c>
      <c r="J71" s="212" t="s">
        <v>616</v>
      </c>
    </row>
    <row r="72" customFormat="false" ht="129" hidden="false" customHeight="true" outlineLevel="0" collapsed="false">
      <c r="A72" s="36" t="s">
        <v>3498</v>
      </c>
      <c r="B72" s="212" t="s">
        <v>4590</v>
      </c>
      <c r="C72" s="6" t="s">
        <v>4620</v>
      </c>
      <c r="D72" s="6" t="s">
        <v>4621</v>
      </c>
      <c r="E72" s="36" t="s">
        <v>4547</v>
      </c>
      <c r="F72" s="19" t="s">
        <v>4622</v>
      </c>
      <c r="G72" s="212" t="s">
        <v>4427</v>
      </c>
      <c r="H72" s="6" t="s">
        <v>585</v>
      </c>
      <c r="I72" s="212" t="s">
        <v>4429</v>
      </c>
      <c r="J72" s="212" t="s">
        <v>616</v>
      </c>
    </row>
    <row r="73" customFormat="false" ht="57.75" hidden="false" customHeight="true" outlineLevel="0" collapsed="false">
      <c r="A73" s="36" t="s">
        <v>3035</v>
      </c>
      <c r="B73" s="212" t="s">
        <v>4590</v>
      </c>
      <c r="C73" s="19" t="s">
        <v>4623</v>
      </c>
      <c r="D73" s="19" t="s">
        <v>4624</v>
      </c>
      <c r="E73" s="36" t="s">
        <v>4547</v>
      </c>
      <c r="F73" s="19" t="s">
        <v>4625</v>
      </c>
      <c r="G73" s="212" t="s">
        <v>4427</v>
      </c>
      <c r="H73" s="6" t="s">
        <v>585</v>
      </c>
      <c r="I73" s="212" t="s">
        <v>4429</v>
      </c>
      <c r="J73" s="212" t="s">
        <v>616</v>
      </c>
    </row>
    <row r="74" customFormat="false" ht="29.25" hidden="false" customHeight="true" outlineLevel="0" collapsed="false">
      <c r="A74" s="36" t="s">
        <v>3981</v>
      </c>
      <c r="B74" s="36" t="s">
        <v>4558</v>
      </c>
      <c r="C74" s="19" t="s">
        <v>4626</v>
      </c>
      <c r="D74" s="6" t="s">
        <v>4627</v>
      </c>
      <c r="E74" s="36" t="s">
        <v>4547</v>
      </c>
      <c r="F74" s="6" t="s">
        <v>4628</v>
      </c>
      <c r="G74" s="212" t="s">
        <v>4427</v>
      </c>
      <c r="H74" s="6" t="s">
        <v>4629</v>
      </c>
      <c r="I74" s="212" t="s">
        <v>4630</v>
      </c>
      <c r="J74" s="212" t="s">
        <v>616</v>
      </c>
    </row>
    <row r="75" customFormat="false" ht="15" hidden="false" customHeight="true" outlineLevel="0" collapsed="false">
      <c r="A75" s="36" t="s">
        <v>4631</v>
      </c>
      <c r="B75" s="36" t="s">
        <v>4632</v>
      </c>
      <c r="C75" s="19" t="s">
        <v>4633</v>
      </c>
      <c r="D75" s="19" t="s">
        <v>4634</v>
      </c>
      <c r="E75" s="36" t="s">
        <v>4547</v>
      </c>
      <c r="F75" s="19" t="s">
        <v>4635</v>
      </c>
      <c r="G75" s="190" t="s">
        <v>4636</v>
      </c>
      <c r="H75" s="6" t="s">
        <v>4637</v>
      </c>
      <c r="I75" s="212" t="s">
        <v>4638</v>
      </c>
      <c r="J75" s="212" t="s">
        <v>616</v>
      </c>
    </row>
    <row r="76" customFormat="false" ht="15" hidden="false" customHeight="true" outlineLevel="0" collapsed="false">
      <c r="A76" s="36" t="s">
        <v>4639</v>
      </c>
      <c r="B76" s="36" t="s">
        <v>4632</v>
      </c>
      <c r="C76" s="19" t="s">
        <v>4640</v>
      </c>
      <c r="D76" s="19" t="s">
        <v>4641</v>
      </c>
      <c r="E76" s="36" t="s">
        <v>4547</v>
      </c>
      <c r="F76" s="19" t="s">
        <v>4635</v>
      </c>
      <c r="G76" s="190" t="s">
        <v>4636</v>
      </c>
      <c r="H76" s="6" t="s">
        <v>4637</v>
      </c>
      <c r="I76" s="212" t="s">
        <v>4638</v>
      </c>
      <c r="J76" s="212" t="s">
        <v>616</v>
      </c>
    </row>
    <row r="77" customFormat="false" ht="15" hidden="false" customHeight="true" outlineLevel="0" collapsed="false">
      <c r="A77" s="36" t="s">
        <v>4642</v>
      </c>
      <c r="B77" s="36" t="s">
        <v>4632</v>
      </c>
      <c r="C77" s="6" t="s">
        <v>4643</v>
      </c>
      <c r="D77" s="19" t="s">
        <v>4644</v>
      </c>
      <c r="E77" s="36" t="s">
        <v>4547</v>
      </c>
      <c r="F77" s="19" t="s">
        <v>4635</v>
      </c>
      <c r="G77" s="190" t="s">
        <v>4636</v>
      </c>
      <c r="H77" s="6" t="s">
        <v>4637</v>
      </c>
      <c r="I77" s="212" t="s">
        <v>4638</v>
      </c>
      <c r="J77" s="212" t="s">
        <v>616</v>
      </c>
    </row>
    <row r="78" customFormat="false" ht="15" hidden="false" customHeight="true" outlineLevel="0" collapsed="false">
      <c r="A78" s="36" t="s">
        <v>4645</v>
      </c>
      <c r="B78" s="36" t="s">
        <v>4632</v>
      </c>
      <c r="C78" s="19" t="s">
        <v>4646</v>
      </c>
      <c r="D78" s="19" t="s">
        <v>4647</v>
      </c>
      <c r="E78" s="36" t="s">
        <v>4547</v>
      </c>
      <c r="F78" s="19" t="s">
        <v>4635</v>
      </c>
      <c r="G78" s="190" t="s">
        <v>4636</v>
      </c>
      <c r="H78" s="6" t="s">
        <v>4637</v>
      </c>
      <c r="I78" s="212" t="s">
        <v>4638</v>
      </c>
      <c r="J78" s="212" t="s">
        <v>616</v>
      </c>
    </row>
    <row r="79" customFormat="false" ht="29.25" hidden="false" customHeight="true" outlineLevel="0" collapsed="false">
      <c r="A79" s="36" t="s">
        <v>4648</v>
      </c>
      <c r="B79" s="36" t="s">
        <v>4632</v>
      </c>
      <c r="C79" s="6" t="s">
        <v>4649</v>
      </c>
      <c r="D79" s="19" t="s">
        <v>4650</v>
      </c>
      <c r="E79" s="36" t="s">
        <v>4547</v>
      </c>
      <c r="F79" s="19" t="s">
        <v>4635</v>
      </c>
      <c r="G79" s="190" t="s">
        <v>4636</v>
      </c>
      <c r="H79" s="6" t="s">
        <v>4637</v>
      </c>
      <c r="I79" s="212" t="s">
        <v>4638</v>
      </c>
      <c r="J79" s="212" t="s">
        <v>616</v>
      </c>
    </row>
    <row r="80" customFormat="false" ht="15" hidden="false" customHeight="true" outlineLevel="0" collapsed="false">
      <c r="A80" s="36" t="s">
        <v>4651</v>
      </c>
      <c r="B80" s="36" t="s">
        <v>4632</v>
      </c>
      <c r="C80" s="19" t="s">
        <v>4652</v>
      </c>
      <c r="D80" s="19" t="s">
        <v>4653</v>
      </c>
      <c r="E80" s="36" t="s">
        <v>4547</v>
      </c>
      <c r="F80" s="19" t="s">
        <v>4635</v>
      </c>
      <c r="G80" s="190" t="s">
        <v>4636</v>
      </c>
      <c r="H80" s="6" t="s">
        <v>4637</v>
      </c>
      <c r="I80" s="212" t="s">
        <v>4638</v>
      </c>
      <c r="J80" s="212" t="s">
        <v>616</v>
      </c>
    </row>
    <row r="81" customFormat="false" ht="15" hidden="false" customHeight="true" outlineLevel="0" collapsed="false">
      <c r="A81" s="36" t="s">
        <v>4654</v>
      </c>
      <c r="B81" s="36" t="s">
        <v>4632</v>
      </c>
      <c r="C81" s="19" t="s">
        <v>4655</v>
      </c>
      <c r="D81" s="19" t="s">
        <v>4656</v>
      </c>
      <c r="E81" s="36" t="s">
        <v>4547</v>
      </c>
      <c r="F81" s="19" t="s">
        <v>4635</v>
      </c>
      <c r="G81" s="190" t="s">
        <v>4636</v>
      </c>
      <c r="H81" s="6" t="s">
        <v>4637</v>
      </c>
      <c r="I81" s="212" t="s">
        <v>4638</v>
      </c>
      <c r="J81" s="212" t="s">
        <v>616</v>
      </c>
    </row>
    <row r="82" customFormat="false" ht="15" hidden="false" customHeight="true" outlineLevel="0" collapsed="false">
      <c r="A82" s="36" t="s">
        <v>4337</v>
      </c>
      <c r="B82" s="36" t="s">
        <v>4632</v>
      </c>
      <c r="C82" s="19" t="s">
        <v>4657</v>
      </c>
      <c r="D82" s="19" t="s">
        <v>4658</v>
      </c>
      <c r="E82" s="36" t="s">
        <v>4547</v>
      </c>
      <c r="F82" s="19" t="s">
        <v>4635</v>
      </c>
      <c r="G82" s="190" t="s">
        <v>4636</v>
      </c>
      <c r="H82" s="6" t="s">
        <v>4637</v>
      </c>
      <c r="I82" s="212" t="s">
        <v>4638</v>
      </c>
      <c r="J82" s="212" t="s">
        <v>616</v>
      </c>
    </row>
    <row r="83" customFormat="false" ht="15" hidden="false" customHeight="true" outlineLevel="0" collapsed="false">
      <c r="A83" s="36" t="s">
        <v>4659</v>
      </c>
      <c r="B83" s="212" t="s">
        <v>4660</v>
      </c>
      <c r="C83" s="19" t="s">
        <v>4661</v>
      </c>
      <c r="D83" s="19" t="s">
        <v>4662</v>
      </c>
      <c r="E83" s="36" t="s">
        <v>4547</v>
      </c>
      <c r="F83" s="19" t="s">
        <v>4663</v>
      </c>
      <c r="G83" s="212" t="s">
        <v>4427</v>
      </c>
      <c r="H83" s="6" t="s">
        <v>585</v>
      </c>
      <c r="I83" s="212" t="s">
        <v>4664</v>
      </c>
      <c r="J83" s="212" t="s">
        <v>616</v>
      </c>
    </row>
    <row r="84" customFormat="false" ht="43.5" hidden="false" customHeight="true" outlineLevel="0" collapsed="false">
      <c r="A84" s="36" t="s">
        <v>4665</v>
      </c>
      <c r="B84" s="212" t="s">
        <v>4660</v>
      </c>
      <c r="C84" s="6" t="s">
        <v>4666</v>
      </c>
      <c r="D84" s="19" t="s">
        <v>4667</v>
      </c>
      <c r="E84" s="36" t="s">
        <v>4547</v>
      </c>
      <c r="F84" s="19" t="s">
        <v>4668</v>
      </c>
      <c r="G84" s="212" t="s">
        <v>4427</v>
      </c>
      <c r="H84" s="6" t="s">
        <v>4669</v>
      </c>
      <c r="I84" s="212" t="s">
        <v>4664</v>
      </c>
      <c r="J84" s="212" t="s">
        <v>616</v>
      </c>
    </row>
    <row r="85" customFormat="false" ht="26.25" hidden="false" customHeight="true" outlineLevel="0" collapsed="false">
      <c r="A85" s="36" t="s">
        <v>4670</v>
      </c>
      <c r="B85" s="212" t="s">
        <v>4660</v>
      </c>
      <c r="C85" s="6" t="s">
        <v>4671</v>
      </c>
      <c r="D85" s="6" t="s">
        <v>4672</v>
      </c>
      <c r="E85" s="36" t="s">
        <v>4547</v>
      </c>
      <c r="F85" s="19" t="s">
        <v>4668</v>
      </c>
      <c r="G85" s="212" t="s">
        <v>4427</v>
      </c>
      <c r="H85" s="6" t="s">
        <v>4673</v>
      </c>
      <c r="I85" s="212" t="s">
        <v>4664</v>
      </c>
      <c r="J85" s="212" t="s">
        <v>616</v>
      </c>
    </row>
    <row r="86" customFormat="false" ht="29.25" hidden="false" customHeight="true" outlineLevel="0" collapsed="false">
      <c r="A86" s="36" t="s">
        <v>4674</v>
      </c>
      <c r="B86" s="212" t="s">
        <v>4660</v>
      </c>
      <c r="C86" s="19" t="s">
        <v>4675</v>
      </c>
      <c r="D86" s="19" t="s">
        <v>4676</v>
      </c>
      <c r="E86" s="36" t="s">
        <v>4547</v>
      </c>
      <c r="F86" s="19" t="s">
        <v>4668</v>
      </c>
      <c r="G86" s="212" t="s">
        <v>4427</v>
      </c>
      <c r="H86" s="6" t="s">
        <v>585</v>
      </c>
      <c r="I86" s="212" t="s">
        <v>4664</v>
      </c>
      <c r="J86" s="212" t="s">
        <v>616</v>
      </c>
    </row>
    <row r="87" customFormat="false" ht="29.25" hidden="false" customHeight="true" outlineLevel="0" collapsed="false">
      <c r="A87" s="36" t="s">
        <v>4677</v>
      </c>
      <c r="B87" s="212" t="s">
        <v>4660</v>
      </c>
      <c r="C87" s="19" t="s">
        <v>4678</v>
      </c>
      <c r="D87" s="19" t="s">
        <v>4679</v>
      </c>
      <c r="E87" s="36" t="s">
        <v>4547</v>
      </c>
      <c r="F87" s="19" t="s">
        <v>4663</v>
      </c>
      <c r="G87" s="212" t="s">
        <v>4427</v>
      </c>
      <c r="H87" s="6" t="s">
        <v>4680</v>
      </c>
      <c r="I87" s="212" t="s">
        <v>4664</v>
      </c>
      <c r="J87" s="212" t="s">
        <v>616</v>
      </c>
    </row>
    <row r="88" customFormat="false" ht="29.25" hidden="false" customHeight="true" outlineLevel="0" collapsed="false">
      <c r="A88" s="36" t="s">
        <v>4128</v>
      </c>
      <c r="B88" s="212" t="s">
        <v>4660</v>
      </c>
      <c r="C88" s="6" t="s">
        <v>4681</v>
      </c>
      <c r="D88" s="6" t="s">
        <v>4682</v>
      </c>
      <c r="E88" s="36" t="s">
        <v>4547</v>
      </c>
      <c r="F88" s="19" t="s">
        <v>4668</v>
      </c>
      <c r="G88" s="212" t="s">
        <v>4427</v>
      </c>
      <c r="H88" s="6" t="s">
        <v>4683</v>
      </c>
      <c r="I88" s="212" t="s">
        <v>4664</v>
      </c>
      <c r="J88" s="212" t="s">
        <v>616</v>
      </c>
    </row>
    <row r="89" customFormat="false" ht="29.25" hidden="false" customHeight="true" outlineLevel="0" collapsed="false">
      <c r="A89" s="36" t="s">
        <v>4684</v>
      </c>
      <c r="B89" s="212" t="s">
        <v>4660</v>
      </c>
      <c r="C89" s="19" t="s">
        <v>4685</v>
      </c>
      <c r="D89" s="6" t="s">
        <v>4686</v>
      </c>
      <c r="E89" s="36" t="s">
        <v>4547</v>
      </c>
      <c r="F89" s="19" t="s">
        <v>4668</v>
      </c>
      <c r="G89" s="212" t="s">
        <v>4427</v>
      </c>
      <c r="H89" s="6" t="s">
        <v>585</v>
      </c>
      <c r="I89" s="212" t="s">
        <v>4664</v>
      </c>
      <c r="J89" s="212" t="s">
        <v>616</v>
      </c>
    </row>
    <row r="90" customFormat="false" ht="43.5" hidden="false" customHeight="true" outlineLevel="0" collapsed="false">
      <c r="A90" s="36" t="s">
        <v>4687</v>
      </c>
      <c r="B90" s="212" t="s">
        <v>4660</v>
      </c>
      <c r="C90" s="19" t="s">
        <v>4688</v>
      </c>
      <c r="D90" s="19" t="s">
        <v>4689</v>
      </c>
      <c r="E90" s="36" t="s">
        <v>4547</v>
      </c>
      <c r="F90" s="19" t="s">
        <v>4690</v>
      </c>
      <c r="G90" s="212" t="s">
        <v>4427</v>
      </c>
      <c r="H90" s="6" t="s">
        <v>585</v>
      </c>
      <c r="I90" s="212" t="s">
        <v>4664</v>
      </c>
      <c r="J90" s="212" t="s">
        <v>616</v>
      </c>
    </row>
    <row r="91" customFormat="false" ht="29.25" hidden="false" customHeight="true" outlineLevel="0" collapsed="false">
      <c r="A91" s="36" t="s">
        <v>4691</v>
      </c>
      <c r="B91" s="212" t="s">
        <v>4660</v>
      </c>
      <c r="C91" s="19" t="s">
        <v>4692</v>
      </c>
      <c r="D91" s="6" t="s">
        <v>4693</v>
      </c>
      <c r="E91" s="36" t="s">
        <v>4547</v>
      </c>
      <c r="F91" s="6" t="s">
        <v>585</v>
      </c>
      <c r="G91" s="212" t="s">
        <v>4427</v>
      </c>
      <c r="H91" s="6" t="s">
        <v>585</v>
      </c>
      <c r="I91" s="212" t="s">
        <v>4664</v>
      </c>
      <c r="J91" s="212" t="s">
        <v>616</v>
      </c>
    </row>
    <row r="92" customFormat="false" ht="15" hidden="false" customHeight="true" outlineLevel="0" collapsed="false">
      <c r="A92" s="36" t="s">
        <v>4694</v>
      </c>
      <c r="B92" s="212" t="s">
        <v>4660</v>
      </c>
      <c r="C92" s="19" t="s">
        <v>4695</v>
      </c>
      <c r="D92" s="19" t="s">
        <v>4696</v>
      </c>
      <c r="E92" s="36" t="s">
        <v>4547</v>
      </c>
      <c r="F92" s="6" t="s">
        <v>585</v>
      </c>
      <c r="G92" s="212" t="s">
        <v>4427</v>
      </c>
      <c r="H92" s="6" t="s">
        <v>585</v>
      </c>
      <c r="I92" s="212" t="s">
        <v>4664</v>
      </c>
      <c r="J92" s="212" t="s">
        <v>616</v>
      </c>
    </row>
    <row r="93" customFormat="false" ht="29.25" hidden="false" customHeight="true" outlineLevel="0" collapsed="false">
      <c r="A93" s="36" t="s">
        <v>4697</v>
      </c>
      <c r="B93" s="212" t="s">
        <v>4660</v>
      </c>
      <c r="C93" s="6" t="s">
        <v>4698</v>
      </c>
      <c r="D93" s="19" t="s">
        <v>4699</v>
      </c>
      <c r="E93" s="36" t="s">
        <v>4547</v>
      </c>
      <c r="F93" s="19" t="s">
        <v>4700</v>
      </c>
      <c r="G93" s="212" t="s">
        <v>4427</v>
      </c>
      <c r="H93" s="6" t="s">
        <v>4549</v>
      </c>
      <c r="I93" s="212" t="s">
        <v>4664</v>
      </c>
      <c r="J93" s="212" t="s">
        <v>616</v>
      </c>
    </row>
    <row r="94" customFormat="false" ht="29.25" hidden="false" customHeight="true" outlineLevel="0" collapsed="false">
      <c r="A94" s="36" t="s">
        <v>2929</v>
      </c>
      <c r="B94" s="212" t="s">
        <v>4701</v>
      </c>
      <c r="C94" s="6" t="s">
        <v>4702</v>
      </c>
      <c r="D94" s="6" t="s">
        <v>4703</v>
      </c>
      <c r="E94" s="36" t="s">
        <v>4704</v>
      </c>
      <c r="F94" s="217" t="s">
        <v>4705</v>
      </c>
      <c r="G94" s="212" t="s">
        <v>4427</v>
      </c>
      <c r="H94" s="6" t="s">
        <v>4706</v>
      </c>
      <c r="I94" s="36" t="s">
        <v>4707</v>
      </c>
      <c r="J94" s="212" t="s">
        <v>616</v>
      </c>
    </row>
    <row r="95" customFormat="false" ht="51.75" hidden="false" customHeight="true" outlineLevel="0" collapsed="false">
      <c r="A95" s="36" t="s">
        <v>4708</v>
      </c>
      <c r="B95" s="36" t="s">
        <v>4632</v>
      </c>
      <c r="C95" s="19" t="s">
        <v>4709</v>
      </c>
      <c r="D95" s="6" t="s">
        <v>4710</v>
      </c>
      <c r="E95" s="36" t="s">
        <v>4711</v>
      </c>
      <c r="F95" s="19" t="s">
        <v>4712</v>
      </c>
      <c r="G95" s="36" t="s">
        <v>4713</v>
      </c>
      <c r="H95" s="6" t="s">
        <v>4714</v>
      </c>
      <c r="I95" s="212" t="s">
        <v>4715</v>
      </c>
      <c r="J95" s="212" t="s">
        <v>616</v>
      </c>
    </row>
    <row r="96" customFormat="false" ht="26.25" hidden="false" customHeight="true" outlineLevel="0" collapsed="false">
      <c r="A96" s="36" t="s">
        <v>4716</v>
      </c>
      <c r="B96" s="36" t="s">
        <v>4632</v>
      </c>
      <c r="C96" s="19" t="s">
        <v>4370</v>
      </c>
      <c r="D96" s="19" t="s">
        <v>4717</v>
      </c>
      <c r="E96" s="36" t="s">
        <v>4711</v>
      </c>
      <c r="F96" s="19" t="s">
        <v>4718</v>
      </c>
      <c r="G96" s="36" t="s">
        <v>4713</v>
      </c>
      <c r="H96" s="6" t="s">
        <v>4719</v>
      </c>
      <c r="I96" s="212" t="s">
        <v>4715</v>
      </c>
      <c r="J96" s="212" t="s">
        <v>616</v>
      </c>
    </row>
    <row r="97" customFormat="false" ht="26.25" hidden="false" customHeight="true" outlineLevel="0" collapsed="false">
      <c r="A97" s="36" t="s">
        <v>4720</v>
      </c>
      <c r="B97" s="36" t="s">
        <v>4721</v>
      </c>
      <c r="C97" s="19" t="s">
        <v>4722</v>
      </c>
      <c r="D97" s="6" t="s">
        <v>4723</v>
      </c>
      <c r="E97" s="36" t="s">
        <v>4724</v>
      </c>
      <c r="F97" s="19" t="s">
        <v>4725</v>
      </c>
      <c r="G97" s="212" t="s">
        <v>4726</v>
      </c>
      <c r="H97" s="6" t="s">
        <v>4727</v>
      </c>
      <c r="I97" s="212" t="s">
        <v>4728</v>
      </c>
      <c r="J97" s="212" t="s">
        <v>616</v>
      </c>
    </row>
    <row r="98" customFormat="false" ht="26.25" hidden="false" customHeight="true" outlineLevel="0" collapsed="false">
      <c r="A98" s="36" t="s">
        <v>4729</v>
      </c>
      <c r="B98" s="36" t="s">
        <v>4721</v>
      </c>
      <c r="C98" s="6" t="s">
        <v>4730</v>
      </c>
      <c r="D98" s="6" t="s">
        <v>4731</v>
      </c>
      <c r="E98" s="36" t="s">
        <v>4724</v>
      </c>
      <c r="F98" s="19" t="s">
        <v>4725</v>
      </c>
      <c r="G98" s="212" t="s">
        <v>4726</v>
      </c>
      <c r="H98" s="6" t="s">
        <v>4732</v>
      </c>
      <c r="I98" s="212" t="s">
        <v>4728</v>
      </c>
      <c r="J98" s="212" t="s">
        <v>616</v>
      </c>
    </row>
    <row r="99" customFormat="false" ht="51.75" hidden="false" customHeight="true" outlineLevel="0" collapsed="false">
      <c r="A99" s="36" t="s">
        <v>2720</v>
      </c>
      <c r="B99" s="36" t="s">
        <v>4721</v>
      </c>
      <c r="C99" s="19" t="s">
        <v>4733</v>
      </c>
      <c r="D99" s="19" t="s">
        <v>4734</v>
      </c>
      <c r="E99" s="36" t="s">
        <v>4724</v>
      </c>
      <c r="F99" s="19" t="s">
        <v>4735</v>
      </c>
      <c r="G99" s="212" t="s">
        <v>4726</v>
      </c>
      <c r="H99" s="6" t="s">
        <v>4736</v>
      </c>
      <c r="I99" s="212" t="s">
        <v>4737</v>
      </c>
      <c r="J99" s="212" t="s">
        <v>616</v>
      </c>
    </row>
    <row r="100" customFormat="false" ht="39" hidden="false" customHeight="true" outlineLevel="0" collapsed="false">
      <c r="A100" s="36" t="s">
        <v>3552</v>
      </c>
      <c r="B100" s="36" t="s">
        <v>4721</v>
      </c>
      <c r="C100" s="19" t="s">
        <v>4738</v>
      </c>
      <c r="D100" s="19" t="s">
        <v>4739</v>
      </c>
      <c r="E100" s="36" t="s">
        <v>4724</v>
      </c>
      <c r="F100" s="19" t="s">
        <v>4740</v>
      </c>
      <c r="G100" s="212" t="s">
        <v>4726</v>
      </c>
      <c r="H100" s="6" t="s">
        <v>4741</v>
      </c>
      <c r="I100" s="212" t="s">
        <v>4737</v>
      </c>
      <c r="J100" s="212" t="s">
        <v>616</v>
      </c>
    </row>
    <row r="101" customFormat="false" ht="51.75" hidden="false" customHeight="true" outlineLevel="0" collapsed="false">
      <c r="A101" s="36" t="s">
        <v>4742</v>
      </c>
      <c r="B101" s="36" t="s">
        <v>4721</v>
      </c>
      <c r="C101" s="19" t="s">
        <v>4743</v>
      </c>
      <c r="D101" s="6" t="s">
        <v>4744</v>
      </c>
      <c r="E101" s="36" t="s">
        <v>4745</v>
      </c>
      <c r="F101" s="6" t="s">
        <v>4746</v>
      </c>
      <c r="G101" s="212" t="s">
        <v>4726</v>
      </c>
      <c r="H101" s="6" t="s">
        <v>4747</v>
      </c>
      <c r="I101" s="212" t="s">
        <v>4748</v>
      </c>
      <c r="J101" s="212" t="s">
        <v>588</v>
      </c>
    </row>
    <row r="102" customFormat="false" ht="39" hidden="false" customHeight="true" outlineLevel="0" collapsed="false">
      <c r="A102" s="36" t="s">
        <v>4749</v>
      </c>
      <c r="B102" s="36" t="s">
        <v>4721</v>
      </c>
      <c r="C102" s="6" t="s">
        <v>4750</v>
      </c>
      <c r="D102" s="6" t="s">
        <v>4751</v>
      </c>
      <c r="E102" s="36" t="s">
        <v>4745</v>
      </c>
      <c r="F102" s="6" t="s">
        <v>4752</v>
      </c>
      <c r="G102" s="212" t="s">
        <v>4726</v>
      </c>
      <c r="H102" s="6" t="s">
        <v>4753</v>
      </c>
      <c r="I102" s="212" t="s">
        <v>4754</v>
      </c>
      <c r="J102" s="212" t="s">
        <v>588</v>
      </c>
    </row>
    <row r="103" customFormat="false" ht="39" hidden="false" customHeight="true" outlineLevel="0" collapsed="false">
      <c r="A103" s="36" t="s">
        <v>4755</v>
      </c>
      <c r="B103" s="36" t="s">
        <v>4721</v>
      </c>
      <c r="C103" s="6" t="s">
        <v>4756</v>
      </c>
      <c r="D103" s="6" t="s">
        <v>4757</v>
      </c>
      <c r="E103" s="36" t="s">
        <v>4745</v>
      </c>
      <c r="F103" s="6" t="s">
        <v>4758</v>
      </c>
      <c r="G103" s="212" t="s">
        <v>4726</v>
      </c>
      <c r="H103" s="6" t="s">
        <v>4759</v>
      </c>
      <c r="I103" s="36" t="s">
        <v>4760</v>
      </c>
      <c r="J103" s="212" t="s">
        <v>588</v>
      </c>
    </row>
    <row r="104" customFormat="false" ht="26.25" hidden="false" customHeight="true" outlineLevel="0" collapsed="false">
      <c r="A104" s="36" t="s">
        <v>4761</v>
      </c>
      <c r="B104" s="36" t="s">
        <v>4721</v>
      </c>
      <c r="C104" s="6" t="s">
        <v>4762</v>
      </c>
      <c r="D104" s="19" t="s">
        <v>4763</v>
      </c>
      <c r="E104" s="36" t="s">
        <v>4724</v>
      </c>
      <c r="F104" s="19" t="s">
        <v>4764</v>
      </c>
      <c r="G104" s="212" t="s">
        <v>4726</v>
      </c>
      <c r="H104" s="6" t="s">
        <v>4765</v>
      </c>
      <c r="I104" s="212" t="s">
        <v>4766</v>
      </c>
      <c r="J104" s="212" t="s">
        <v>616</v>
      </c>
    </row>
    <row r="105" customFormat="false" ht="51.75" hidden="false" customHeight="true" outlineLevel="0" collapsed="false">
      <c r="A105" s="36" t="s">
        <v>2730</v>
      </c>
      <c r="B105" s="36" t="s">
        <v>4767</v>
      </c>
      <c r="C105" s="6" t="s">
        <v>4768</v>
      </c>
      <c r="D105" s="6" t="s">
        <v>4769</v>
      </c>
      <c r="E105" s="36" t="s">
        <v>4745</v>
      </c>
      <c r="F105" s="19" t="s">
        <v>4770</v>
      </c>
      <c r="G105" s="36" t="s">
        <v>4771</v>
      </c>
      <c r="H105" s="6" t="s">
        <v>4772</v>
      </c>
      <c r="I105" s="212" t="s">
        <v>4773</v>
      </c>
      <c r="J105" s="212" t="s">
        <v>616</v>
      </c>
    </row>
    <row r="106" customFormat="false" ht="51.75" hidden="false" customHeight="true" outlineLevel="0" collapsed="false">
      <c r="A106" s="36" t="s">
        <v>4774</v>
      </c>
      <c r="B106" s="36" t="s">
        <v>4767</v>
      </c>
      <c r="C106" s="6" t="s">
        <v>4775</v>
      </c>
      <c r="D106" s="6" t="s">
        <v>4776</v>
      </c>
      <c r="E106" s="36" t="s">
        <v>4745</v>
      </c>
      <c r="F106" s="19" t="s">
        <v>4777</v>
      </c>
      <c r="G106" s="36" t="s">
        <v>4771</v>
      </c>
      <c r="H106" s="6" t="s">
        <v>4778</v>
      </c>
      <c r="I106" s="212" t="s">
        <v>4779</v>
      </c>
      <c r="J106" s="212" t="s">
        <v>616</v>
      </c>
    </row>
    <row r="107" customFormat="false" ht="64.5" hidden="false" customHeight="true" outlineLevel="0" collapsed="false">
      <c r="A107" s="36" t="s">
        <v>4780</v>
      </c>
      <c r="B107" s="36" t="s">
        <v>4781</v>
      </c>
      <c r="C107" s="6" t="s">
        <v>4782</v>
      </c>
      <c r="D107" s="6" t="s">
        <v>4783</v>
      </c>
      <c r="E107" s="36" t="s">
        <v>4745</v>
      </c>
      <c r="F107" s="19" t="s">
        <v>4784</v>
      </c>
      <c r="G107" s="36" t="s">
        <v>4785</v>
      </c>
      <c r="H107" s="6" t="s">
        <v>4786</v>
      </c>
      <c r="I107" s="212" t="s">
        <v>4787</v>
      </c>
      <c r="J107" s="212" t="s">
        <v>616</v>
      </c>
    </row>
    <row r="108" customFormat="false" ht="51.75" hidden="false" customHeight="true" outlineLevel="0" collapsed="false">
      <c r="A108" s="36" t="s">
        <v>4788</v>
      </c>
      <c r="B108" s="36" t="s">
        <v>4781</v>
      </c>
      <c r="C108" s="6" t="s">
        <v>4789</v>
      </c>
      <c r="D108" s="6" t="s">
        <v>4790</v>
      </c>
      <c r="E108" s="36" t="s">
        <v>4745</v>
      </c>
      <c r="F108" s="19" t="s">
        <v>4791</v>
      </c>
      <c r="G108" s="36" t="s">
        <v>4792</v>
      </c>
      <c r="H108" s="6" t="s">
        <v>4793</v>
      </c>
      <c r="I108" s="212" t="s">
        <v>4794</v>
      </c>
      <c r="J108" s="212" t="s">
        <v>616</v>
      </c>
    </row>
    <row r="109" customFormat="false" ht="51.75" hidden="false" customHeight="true" outlineLevel="0" collapsed="false">
      <c r="A109" s="36" t="s">
        <v>4795</v>
      </c>
      <c r="B109" s="36" t="s">
        <v>4781</v>
      </c>
      <c r="C109" s="6" t="s">
        <v>4796</v>
      </c>
      <c r="D109" s="6" t="s">
        <v>4797</v>
      </c>
      <c r="E109" s="36" t="s">
        <v>4745</v>
      </c>
      <c r="F109" s="19" t="s">
        <v>4798</v>
      </c>
      <c r="G109" s="36" t="s">
        <v>4785</v>
      </c>
      <c r="H109" s="6" t="s">
        <v>4799</v>
      </c>
      <c r="I109" s="212" t="s">
        <v>4800</v>
      </c>
      <c r="J109" s="212" t="s">
        <v>616</v>
      </c>
    </row>
    <row r="110" customFormat="false" ht="51.75" hidden="false" customHeight="true" outlineLevel="0" collapsed="false">
      <c r="A110" s="36" t="s">
        <v>4801</v>
      </c>
      <c r="B110" s="36" t="s">
        <v>4802</v>
      </c>
      <c r="C110" s="6" t="s">
        <v>4803</v>
      </c>
      <c r="D110" s="6" t="s">
        <v>4804</v>
      </c>
      <c r="E110" s="36" t="s">
        <v>4745</v>
      </c>
      <c r="F110" s="19" t="s">
        <v>4805</v>
      </c>
      <c r="G110" s="36" t="s">
        <v>4806</v>
      </c>
      <c r="H110" s="6" t="s">
        <v>4807</v>
      </c>
      <c r="I110" s="212" t="s">
        <v>4808</v>
      </c>
      <c r="J110" s="212" t="s">
        <v>616</v>
      </c>
    </row>
    <row r="111" customFormat="false" ht="77.25" hidden="false" customHeight="true" outlineLevel="0" collapsed="false">
      <c r="A111" s="36" t="s">
        <v>2734</v>
      </c>
      <c r="B111" s="36" t="s">
        <v>4809</v>
      </c>
      <c r="C111" s="19" t="s">
        <v>4810</v>
      </c>
      <c r="D111" s="19" t="s">
        <v>4811</v>
      </c>
      <c r="E111" s="36" t="s">
        <v>4745</v>
      </c>
      <c r="F111" s="19" t="s">
        <v>4812</v>
      </c>
      <c r="G111" s="36" t="s">
        <v>4813</v>
      </c>
      <c r="H111" s="6" t="s">
        <v>4814</v>
      </c>
      <c r="I111" s="212" t="s">
        <v>4815</v>
      </c>
      <c r="J111" s="212" t="s">
        <v>616</v>
      </c>
    </row>
    <row r="112" customFormat="false" ht="51.75" hidden="false" customHeight="true" outlineLevel="0" collapsed="false">
      <c r="A112" s="36" t="s">
        <v>4816</v>
      </c>
      <c r="B112" s="36" t="s">
        <v>4809</v>
      </c>
      <c r="C112" s="6" t="s">
        <v>4817</v>
      </c>
      <c r="D112" s="6" t="s">
        <v>4818</v>
      </c>
      <c r="E112" s="36" t="s">
        <v>4745</v>
      </c>
      <c r="F112" s="19" t="s">
        <v>4819</v>
      </c>
      <c r="G112" s="36" t="s">
        <v>4813</v>
      </c>
      <c r="H112" s="6" t="s">
        <v>4820</v>
      </c>
      <c r="I112" s="212" t="s">
        <v>4821</v>
      </c>
      <c r="J112" s="212" t="s">
        <v>616</v>
      </c>
    </row>
    <row r="113" customFormat="false" ht="51.75" hidden="false" customHeight="true" outlineLevel="0" collapsed="false">
      <c r="A113" s="36" t="s">
        <v>4822</v>
      </c>
      <c r="B113" s="36" t="s">
        <v>4809</v>
      </c>
      <c r="C113" s="6" t="s">
        <v>4823</v>
      </c>
      <c r="D113" s="6" t="s">
        <v>4824</v>
      </c>
      <c r="E113" s="36" t="s">
        <v>4745</v>
      </c>
      <c r="F113" s="19" t="s">
        <v>4825</v>
      </c>
      <c r="G113" s="36" t="s">
        <v>4813</v>
      </c>
      <c r="H113" s="6" t="s">
        <v>4826</v>
      </c>
      <c r="I113" s="212" t="s">
        <v>4827</v>
      </c>
      <c r="J113" s="212" t="s">
        <v>616</v>
      </c>
    </row>
    <row r="114" customFormat="false" ht="141" hidden="false" customHeight="true" outlineLevel="0" collapsed="false">
      <c r="A114" s="36" t="s">
        <v>4413</v>
      </c>
      <c r="B114" s="36" t="s">
        <v>4828</v>
      </c>
      <c r="C114" s="6" t="s">
        <v>4829</v>
      </c>
      <c r="D114" s="6" t="s">
        <v>4830</v>
      </c>
      <c r="E114" s="36" t="s">
        <v>4831</v>
      </c>
      <c r="F114" s="19" t="s">
        <v>4832</v>
      </c>
      <c r="G114" s="36" t="s">
        <v>4833</v>
      </c>
      <c r="H114" s="6" t="s">
        <v>4834</v>
      </c>
      <c r="I114" s="212" t="s">
        <v>4835</v>
      </c>
      <c r="J114" s="212" t="s">
        <v>616</v>
      </c>
    </row>
    <row r="115" customFormat="false" ht="57.75" hidden="false" customHeight="true" outlineLevel="0" collapsed="false">
      <c r="A115" s="36" t="s">
        <v>4836</v>
      </c>
      <c r="B115" s="36" t="s">
        <v>4837</v>
      </c>
      <c r="C115" s="6" t="s">
        <v>4838</v>
      </c>
      <c r="D115" s="6" t="s">
        <v>4839</v>
      </c>
      <c r="E115" s="36" t="s">
        <v>4831</v>
      </c>
      <c r="F115" s="217" t="s">
        <v>4840</v>
      </c>
      <c r="G115" s="36" t="s">
        <v>4841</v>
      </c>
      <c r="H115" s="6" t="s">
        <v>4842</v>
      </c>
      <c r="I115" s="190" t="s">
        <v>4843</v>
      </c>
      <c r="J115" s="190" t="s">
        <v>616</v>
      </c>
    </row>
    <row r="116" customFormat="false" ht="213.75" hidden="false" customHeight="true" outlineLevel="0" collapsed="false">
      <c r="A116" s="36" t="s">
        <v>4844</v>
      </c>
      <c r="B116" s="36" t="s">
        <v>4837</v>
      </c>
      <c r="C116" s="6" t="s">
        <v>4845</v>
      </c>
      <c r="D116" s="6" t="s">
        <v>4846</v>
      </c>
      <c r="E116" s="36" t="s">
        <v>4831</v>
      </c>
      <c r="F116" s="217" t="s">
        <v>4840</v>
      </c>
      <c r="G116" s="36" t="s">
        <v>4841</v>
      </c>
      <c r="H116" s="6" t="s">
        <v>4847</v>
      </c>
      <c r="I116" s="190" t="s">
        <v>4848</v>
      </c>
      <c r="J116" s="190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4849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29.25" hidden="false" customHeight="true" outlineLevel="0" collapsed="false">
      <c r="A5" s="36" t="s">
        <v>2957</v>
      </c>
      <c r="B5" s="6" t="s">
        <v>4870</v>
      </c>
      <c r="C5" s="214" t="n">
        <v>10.2</v>
      </c>
      <c r="D5" s="212"/>
      <c r="E5" s="212"/>
      <c r="F5" s="36" t="s">
        <v>4871</v>
      </c>
      <c r="G5" s="212" t="s">
        <v>4872</v>
      </c>
      <c r="H5" s="36" t="s">
        <v>4873</v>
      </c>
      <c r="I5" s="36" t="s">
        <v>4874</v>
      </c>
      <c r="J5" s="6" t="s">
        <v>4875</v>
      </c>
      <c r="K5" s="212" t="n">
        <v>1</v>
      </c>
      <c r="L5" s="212" t="s">
        <v>4876</v>
      </c>
      <c r="M5" s="6" t="s">
        <v>4877</v>
      </c>
      <c r="N5" s="212" t="s">
        <v>4878</v>
      </c>
      <c r="O5" s="36" t="s">
        <v>4879</v>
      </c>
      <c r="P5" s="36" t="s">
        <v>585</v>
      </c>
      <c r="Q5" s="36" t="s">
        <v>4880</v>
      </c>
      <c r="R5" s="36" t="s">
        <v>585</v>
      </c>
      <c r="S5" s="36" t="s">
        <v>4724</v>
      </c>
      <c r="T5" s="36" t="s">
        <v>585</v>
      </c>
      <c r="U5" s="36" t="s">
        <v>4720</v>
      </c>
      <c r="V5" s="6" t="s">
        <v>4881</v>
      </c>
      <c r="W5" s="6" t="s">
        <v>4882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6" t="s">
        <v>4883</v>
      </c>
      <c r="B6" s="6" t="s">
        <v>4884</v>
      </c>
      <c r="C6" s="214" t="n">
        <v>30000</v>
      </c>
      <c r="D6" s="212"/>
      <c r="E6" s="212"/>
      <c r="F6" s="36" t="s">
        <v>94</v>
      </c>
      <c r="G6" s="212" t="s">
        <v>4885</v>
      </c>
      <c r="H6" s="36" t="s">
        <v>143</v>
      </c>
      <c r="I6" s="36" t="s">
        <v>4886</v>
      </c>
      <c r="J6" s="6" t="s">
        <v>4887</v>
      </c>
      <c r="K6" s="212" t="n">
        <v>3</v>
      </c>
      <c r="L6" s="212" t="s">
        <v>4876</v>
      </c>
      <c r="M6" s="6" t="s">
        <v>4888</v>
      </c>
      <c r="N6" s="212" t="s">
        <v>4889</v>
      </c>
      <c r="O6" s="36" t="s">
        <v>4879</v>
      </c>
      <c r="P6" s="36" t="s">
        <v>585</v>
      </c>
      <c r="Q6" s="36" t="s">
        <v>4890</v>
      </c>
      <c r="R6" s="36" t="s">
        <v>585</v>
      </c>
      <c r="S6" s="36" t="s">
        <v>585</v>
      </c>
      <c r="T6" s="36" t="s">
        <v>585</v>
      </c>
      <c r="U6" s="36" t="s">
        <v>4729</v>
      </c>
      <c r="V6" s="6" t="s">
        <v>585</v>
      </c>
      <c r="W6" s="6" t="s">
        <v>585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6" t="s">
        <v>2987</v>
      </c>
      <c r="B7" s="6" t="s">
        <v>4891</v>
      </c>
      <c r="C7" s="212"/>
      <c r="D7" s="214" t="n">
        <v>220000</v>
      </c>
      <c r="E7" s="214" t="n">
        <v>320000</v>
      </c>
      <c r="F7" s="36" t="s">
        <v>4892</v>
      </c>
      <c r="G7" s="212" t="s">
        <v>4893</v>
      </c>
      <c r="H7" s="36" t="s">
        <v>143</v>
      </c>
      <c r="I7" s="36" t="s">
        <v>4886</v>
      </c>
      <c r="J7" s="6" t="s">
        <v>4887</v>
      </c>
      <c r="K7" s="212" t="n">
        <v>2</v>
      </c>
      <c r="L7" s="212" t="s">
        <v>4876</v>
      </c>
      <c r="M7" s="6" t="s">
        <v>4888</v>
      </c>
      <c r="N7" s="212" t="s">
        <v>4889</v>
      </c>
      <c r="O7" s="36" t="s">
        <v>4879</v>
      </c>
      <c r="P7" s="36" t="s">
        <v>585</v>
      </c>
      <c r="Q7" s="36" t="s">
        <v>4894</v>
      </c>
      <c r="R7" s="36" t="s">
        <v>585</v>
      </c>
      <c r="S7" s="36" t="s">
        <v>4724</v>
      </c>
      <c r="T7" s="36" t="s">
        <v>585</v>
      </c>
      <c r="U7" s="36" t="s">
        <v>4729</v>
      </c>
      <c r="V7" s="6" t="s">
        <v>4895</v>
      </c>
      <c r="W7" s="6" t="s">
        <v>4896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6" t="s">
        <v>2945</v>
      </c>
      <c r="B8" s="6" t="s">
        <v>4897</v>
      </c>
      <c r="C8" s="212"/>
      <c r="D8" s="214" t="n">
        <v>120</v>
      </c>
      <c r="E8" s="214" t="n">
        <v>132</v>
      </c>
      <c r="F8" s="36" t="s">
        <v>4898</v>
      </c>
      <c r="G8" s="212" t="s">
        <v>4899</v>
      </c>
      <c r="H8" s="36" t="s">
        <v>144</v>
      </c>
      <c r="I8" s="36" t="s">
        <v>4900</v>
      </c>
      <c r="J8" s="6" t="s">
        <v>4901</v>
      </c>
      <c r="K8" s="212" t="n">
        <v>1</v>
      </c>
      <c r="L8" s="212" t="s">
        <v>4876</v>
      </c>
      <c r="M8" s="6" t="s">
        <v>4902</v>
      </c>
      <c r="N8" s="212" t="s">
        <v>4878</v>
      </c>
      <c r="O8" s="36" t="s">
        <v>4879</v>
      </c>
      <c r="P8" s="36" t="s">
        <v>585</v>
      </c>
      <c r="Q8" s="36" t="s">
        <v>4903</v>
      </c>
      <c r="R8" s="36" t="s">
        <v>585</v>
      </c>
      <c r="S8" s="36" t="s">
        <v>4724</v>
      </c>
      <c r="T8" s="36" t="s">
        <v>585</v>
      </c>
      <c r="U8" s="36" t="s">
        <v>4904</v>
      </c>
      <c r="V8" s="6" t="s">
        <v>4905</v>
      </c>
      <c r="W8" s="19" t="s">
        <v>4906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6" t="s">
        <v>2947</v>
      </c>
      <c r="B9" s="6" t="s">
        <v>4907</v>
      </c>
      <c r="C9" s="212"/>
      <c r="D9" s="214" t="n">
        <v>132</v>
      </c>
      <c r="E9" s="214" t="n">
        <v>140</v>
      </c>
      <c r="F9" s="36" t="s">
        <v>4898</v>
      </c>
      <c r="G9" s="212" t="s">
        <v>4908</v>
      </c>
      <c r="H9" s="36" t="s">
        <v>145</v>
      </c>
      <c r="I9" s="36" t="s">
        <v>4900</v>
      </c>
      <c r="J9" s="6" t="s">
        <v>4909</v>
      </c>
      <c r="K9" s="212" t="n">
        <v>2</v>
      </c>
      <c r="L9" s="212" t="s">
        <v>4876</v>
      </c>
      <c r="M9" s="6" t="s">
        <v>4902</v>
      </c>
      <c r="N9" s="212" t="s">
        <v>4889</v>
      </c>
      <c r="O9" s="36" t="s">
        <v>4879</v>
      </c>
      <c r="P9" s="36" t="s">
        <v>585</v>
      </c>
      <c r="Q9" s="36" t="s">
        <v>4910</v>
      </c>
      <c r="R9" s="36" t="s">
        <v>585</v>
      </c>
      <c r="S9" s="36" t="s">
        <v>4724</v>
      </c>
      <c r="T9" s="36" t="s">
        <v>585</v>
      </c>
      <c r="U9" s="36" t="s">
        <v>4904</v>
      </c>
      <c r="V9" s="6" t="s">
        <v>4911</v>
      </c>
      <c r="W9" s="19" t="s">
        <v>4912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6" t="s">
        <v>2991</v>
      </c>
      <c r="B10" s="6" t="s">
        <v>4913</v>
      </c>
      <c r="C10" s="212"/>
      <c r="D10" s="214" t="n">
        <v>2.8</v>
      </c>
      <c r="E10" s="214" t="n">
        <v>3.4</v>
      </c>
      <c r="F10" s="36" t="s">
        <v>4914</v>
      </c>
      <c r="G10" s="212" t="s">
        <v>4915</v>
      </c>
      <c r="H10" s="36" t="s">
        <v>144</v>
      </c>
      <c r="I10" s="36" t="s">
        <v>4916</v>
      </c>
      <c r="J10" s="6" t="s">
        <v>4917</v>
      </c>
      <c r="K10" s="212" t="n">
        <v>2</v>
      </c>
      <c r="L10" s="212" t="s">
        <v>4876</v>
      </c>
      <c r="M10" s="19" t="s">
        <v>4918</v>
      </c>
      <c r="N10" s="212" t="s">
        <v>4889</v>
      </c>
      <c r="O10" s="36" t="s">
        <v>4879</v>
      </c>
      <c r="P10" s="36" t="s">
        <v>585</v>
      </c>
      <c r="Q10" s="36" t="s">
        <v>4919</v>
      </c>
      <c r="R10" s="36" t="s">
        <v>585</v>
      </c>
      <c r="S10" s="36" t="s">
        <v>4724</v>
      </c>
      <c r="T10" s="36" t="s">
        <v>585</v>
      </c>
      <c r="U10" s="36" t="s">
        <v>4920</v>
      </c>
      <c r="V10" s="6" t="s">
        <v>4921</v>
      </c>
      <c r="W10" s="19" t="s">
        <v>4922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6" t="s">
        <v>3029</v>
      </c>
      <c r="B11" s="6" t="s">
        <v>4923</v>
      </c>
      <c r="C11" s="212"/>
      <c r="D11" s="214" t="n">
        <v>6</v>
      </c>
      <c r="E11" s="214" t="n">
        <v>6.5</v>
      </c>
      <c r="F11" s="36" t="s">
        <v>4914</v>
      </c>
      <c r="G11" s="212" t="s">
        <v>4915</v>
      </c>
      <c r="H11" s="36" t="s">
        <v>145</v>
      </c>
      <c r="I11" s="36" t="s">
        <v>4916</v>
      </c>
      <c r="J11" s="6" t="s">
        <v>4917</v>
      </c>
      <c r="K11" s="212" t="n">
        <v>3</v>
      </c>
      <c r="L11" s="212" t="s">
        <v>4876</v>
      </c>
      <c r="M11" s="19" t="s">
        <v>4918</v>
      </c>
      <c r="N11" s="212" t="s">
        <v>4889</v>
      </c>
      <c r="O11" s="36" t="s">
        <v>4879</v>
      </c>
      <c r="P11" s="36" t="s">
        <v>585</v>
      </c>
      <c r="Q11" s="36" t="s">
        <v>4924</v>
      </c>
      <c r="R11" s="36" t="s">
        <v>585</v>
      </c>
      <c r="S11" s="36" t="s">
        <v>585</v>
      </c>
      <c r="T11" s="36" t="s">
        <v>585</v>
      </c>
      <c r="U11" s="36" t="s">
        <v>4920</v>
      </c>
      <c r="V11" s="6" t="s">
        <v>4925</v>
      </c>
      <c r="W11" s="6" t="s">
        <v>585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6" t="s">
        <v>4926</v>
      </c>
      <c r="B12" s="6" t="s">
        <v>4927</v>
      </c>
      <c r="C12" s="212"/>
      <c r="D12" s="214" t="n">
        <v>5</v>
      </c>
      <c r="E12" s="214" t="n">
        <v>7</v>
      </c>
      <c r="F12" s="36" t="s">
        <v>4914</v>
      </c>
      <c r="G12" s="212" t="s">
        <v>4915</v>
      </c>
      <c r="H12" s="36" t="s">
        <v>146</v>
      </c>
      <c r="I12" s="36" t="s">
        <v>4916</v>
      </c>
      <c r="J12" s="6" t="s">
        <v>4917</v>
      </c>
      <c r="K12" s="212" t="n">
        <v>3</v>
      </c>
      <c r="L12" s="212" t="s">
        <v>4876</v>
      </c>
      <c r="M12" s="19" t="s">
        <v>4918</v>
      </c>
      <c r="N12" s="212" t="s">
        <v>4889</v>
      </c>
      <c r="O12" s="36" t="s">
        <v>4928</v>
      </c>
      <c r="P12" s="36" t="s">
        <v>585</v>
      </c>
      <c r="Q12" s="36" t="s">
        <v>4924</v>
      </c>
      <c r="R12" s="36" t="s">
        <v>585</v>
      </c>
      <c r="S12" s="36" t="s">
        <v>585</v>
      </c>
      <c r="T12" s="36" t="s">
        <v>585</v>
      </c>
      <c r="U12" s="36" t="s">
        <v>4920</v>
      </c>
      <c r="V12" s="6" t="s">
        <v>585</v>
      </c>
      <c r="W12" s="19" t="s">
        <v>4929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5" t="str">
        <f aca="false">IF($O12="Active",$B12&amp;"¦"&amp;$G12&amp;"¦"&amp;$H12,"")</f>
        <v/>
      </c>
    </row>
    <row r="13" customFormat="false" ht="15" hidden="false" customHeight="true" outlineLevel="0" collapsed="false">
      <c r="A13" s="36" t="s">
        <v>4930</v>
      </c>
      <c r="B13" s="6" t="s">
        <v>4931</v>
      </c>
      <c r="C13" s="212"/>
      <c r="D13" s="214" t="n">
        <v>132</v>
      </c>
      <c r="E13" s="214" t="n">
        <v>140</v>
      </c>
      <c r="F13" s="36" t="s">
        <v>4898</v>
      </c>
      <c r="G13" s="212" t="s">
        <v>4932</v>
      </c>
      <c r="H13" s="36" t="s">
        <v>145</v>
      </c>
      <c r="I13" s="36" t="s">
        <v>1190</v>
      </c>
      <c r="J13" s="6" t="s">
        <v>4933</v>
      </c>
      <c r="K13" s="212" t="n">
        <v>3</v>
      </c>
      <c r="L13" s="212" t="s">
        <v>4876</v>
      </c>
      <c r="M13" s="6" t="s">
        <v>4934</v>
      </c>
      <c r="N13" s="212" t="s">
        <v>4889</v>
      </c>
      <c r="O13" s="36" t="s">
        <v>4879</v>
      </c>
      <c r="P13" s="36" t="s">
        <v>585</v>
      </c>
      <c r="Q13" s="36" t="s">
        <v>4935</v>
      </c>
      <c r="R13" s="36" t="s">
        <v>585</v>
      </c>
      <c r="S13" s="36" t="s">
        <v>585</v>
      </c>
      <c r="T13" s="36" t="s">
        <v>585</v>
      </c>
      <c r="U13" s="36" t="s">
        <v>4936</v>
      </c>
      <c r="V13" s="6" t="s">
        <v>4937</v>
      </c>
      <c r="W13" s="6" t="s">
        <v>585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6" t="s">
        <v>3014</v>
      </c>
      <c r="B14" s="6" t="s">
        <v>4938</v>
      </c>
      <c r="C14" s="214" t="n">
        <v>5</v>
      </c>
      <c r="D14" s="212"/>
      <c r="E14" s="212"/>
      <c r="F14" s="36" t="s">
        <v>4914</v>
      </c>
      <c r="G14" s="212" t="s">
        <v>4939</v>
      </c>
      <c r="H14" s="36" t="s">
        <v>145</v>
      </c>
      <c r="I14" s="36" t="s">
        <v>1190</v>
      </c>
      <c r="J14" s="6" t="s">
        <v>4940</v>
      </c>
      <c r="K14" s="212" t="n">
        <v>2</v>
      </c>
      <c r="L14" s="212" t="s">
        <v>4876</v>
      </c>
      <c r="M14" s="19" t="s">
        <v>4941</v>
      </c>
      <c r="N14" s="212" t="s">
        <v>4889</v>
      </c>
      <c r="O14" s="36" t="s">
        <v>4879</v>
      </c>
      <c r="P14" s="36" t="s">
        <v>585</v>
      </c>
      <c r="Q14" s="36" t="s">
        <v>4942</v>
      </c>
      <c r="R14" s="36" t="s">
        <v>585</v>
      </c>
      <c r="S14" s="36" t="s">
        <v>4724</v>
      </c>
      <c r="T14" s="36" t="s">
        <v>585</v>
      </c>
      <c r="U14" s="36" t="s">
        <v>4943</v>
      </c>
      <c r="V14" s="6" t="s">
        <v>4944</v>
      </c>
      <c r="W14" s="6" t="s">
        <v>4945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6" t="s">
        <v>2950</v>
      </c>
      <c r="B15" s="6" t="s">
        <v>4946</v>
      </c>
      <c r="C15" s="214" t="n">
        <v>188</v>
      </c>
      <c r="D15" s="212"/>
      <c r="E15" s="212"/>
      <c r="F15" s="36" t="s">
        <v>4898</v>
      </c>
      <c r="G15" s="212" t="s">
        <v>4947</v>
      </c>
      <c r="H15" s="36" t="s">
        <v>146</v>
      </c>
      <c r="I15" s="36" t="s">
        <v>4886</v>
      </c>
      <c r="J15" s="6" t="s">
        <v>4948</v>
      </c>
      <c r="K15" s="212" t="n">
        <v>1</v>
      </c>
      <c r="L15" s="212" t="s">
        <v>4876</v>
      </c>
      <c r="M15" s="19" t="s">
        <v>4949</v>
      </c>
      <c r="N15" s="212" t="s">
        <v>4878</v>
      </c>
      <c r="O15" s="36" t="s">
        <v>4879</v>
      </c>
      <c r="P15" s="36" t="s">
        <v>585</v>
      </c>
      <c r="Q15" s="36" t="s">
        <v>4950</v>
      </c>
      <c r="R15" s="36" t="s">
        <v>585</v>
      </c>
      <c r="S15" s="36" t="s">
        <v>4724</v>
      </c>
      <c r="T15" s="36" t="s">
        <v>585</v>
      </c>
      <c r="U15" s="36" t="s">
        <v>4951</v>
      </c>
      <c r="V15" s="6" t="s">
        <v>4952</v>
      </c>
      <c r="W15" s="6" t="s">
        <v>4953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6" t="s">
        <v>2981</v>
      </c>
      <c r="B16" s="6" t="s">
        <v>4954</v>
      </c>
      <c r="C16" s="214" t="n">
        <v>230</v>
      </c>
      <c r="D16" s="212"/>
      <c r="E16" s="212"/>
      <c r="F16" s="36" t="s">
        <v>4898</v>
      </c>
      <c r="G16" s="212" t="s">
        <v>4955</v>
      </c>
      <c r="H16" s="36" t="s">
        <v>146</v>
      </c>
      <c r="I16" s="36" t="s">
        <v>4886</v>
      </c>
      <c r="J16" s="6" t="s">
        <v>4956</v>
      </c>
      <c r="K16" s="212" t="n">
        <v>3</v>
      </c>
      <c r="L16" s="212" t="s">
        <v>4876</v>
      </c>
      <c r="M16" s="19" t="s">
        <v>4949</v>
      </c>
      <c r="N16" s="212" t="s">
        <v>4889</v>
      </c>
      <c r="O16" s="36" t="s">
        <v>4879</v>
      </c>
      <c r="P16" s="36" t="s">
        <v>585</v>
      </c>
      <c r="Q16" s="36" t="s">
        <v>4957</v>
      </c>
      <c r="R16" s="36" t="s">
        <v>585</v>
      </c>
      <c r="S16" s="36" t="s">
        <v>585</v>
      </c>
      <c r="T16" s="36" t="s">
        <v>585</v>
      </c>
      <c r="U16" s="36" t="s">
        <v>4951</v>
      </c>
      <c r="V16" s="6" t="s">
        <v>4958</v>
      </c>
      <c r="W16" s="6" t="s">
        <v>2777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6" t="s">
        <v>4959</v>
      </c>
      <c r="B17" s="6" t="s">
        <v>4960</v>
      </c>
      <c r="C17" s="214" t="n">
        <v>600</v>
      </c>
      <c r="D17" s="212"/>
      <c r="E17" s="212"/>
      <c r="F17" s="36" t="s">
        <v>4898</v>
      </c>
      <c r="G17" s="212" t="s">
        <v>4961</v>
      </c>
      <c r="H17" s="36" t="s">
        <v>4962</v>
      </c>
      <c r="I17" s="36" t="s">
        <v>4886</v>
      </c>
      <c r="J17" s="6" t="s">
        <v>4956</v>
      </c>
      <c r="K17" s="212" t="n">
        <v>3</v>
      </c>
      <c r="L17" s="212" t="s">
        <v>4876</v>
      </c>
      <c r="M17" s="19" t="s">
        <v>4949</v>
      </c>
      <c r="N17" s="212" t="s">
        <v>4889</v>
      </c>
      <c r="O17" s="36" t="s">
        <v>4963</v>
      </c>
      <c r="P17" s="36" t="s">
        <v>4964</v>
      </c>
      <c r="Q17" s="36" t="s">
        <v>4957</v>
      </c>
      <c r="R17" s="36" t="s">
        <v>585</v>
      </c>
      <c r="S17" s="36" t="s">
        <v>585</v>
      </c>
      <c r="T17" s="36" t="s">
        <v>585</v>
      </c>
      <c r="U17" s="36" t="s">
        <v>4951</v>
      </c>
      <c r="V17" s="6" t="s">
        <v>4965</v>
      </c>
      <c r="W17" s="19" t="s">
        <v>4966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/>
      </c>
    </row>
    <row r="18" customFormat="false" ht="15" hidden="false" customHeight="true" outlineLevel="0" collapsed="false">
      <c r="A18" s="36" t="s">
        <v>2968</v>
      </c>
      <c r="B18" s="6" t="s">
        <v>4967</v>
      </c>
      <c r="C18" s="214" t="n">
        <v>227</v>
      </c>
      <c r="D18" s="212"/>
      <c r="E18" s="212"/>
      <c r="F18" s="36" t="s">
        <v>4898</v>
      </c>
      <c r="G18" s="36" t="s">
        <v>4968</v>
      </c>
      <c r="H18" s="36" t="s">
        <v>146</v>
      </c>
      <c r="I18" s="36" t="s">
        <v>1187</v>
      </c>
      <c r="J18" s="6" t="s">
        <v>4969</v>
      </c>
      <c r="K18" s="212" t="n">
        <v>1</v>
      </c>
      <c r="L18" s="212" t="s">
        <v>4876</v>
      </c>
      <c r="M18" s="6" t="s">
        <v>4970</v>
      </c>
      <c r="N18" s="212" t="s">
        <v>4878</v>
      </c>
      <c r="O18" s="36" t="s">
        <v>4879</v>
      </c>
      <c r="P18" s="36" t="s">
        <v>585</v>
      </c>
      <c r="Q18" s="36" t="s">
        <v>4971</v>
      </c>
      <c r="R18" s="36" t="s">
        <v>4972</v>
      </c>
      <c r="S18" s="36" t="s">
        <v>4724</v>
      </c>
      <c r="T18" s="36" t="s">
        <v>585</v>
      </c>
      <c r="U18" s="36" t="s">
        <v>4973</v>
      </c>
      <c r="V18" s="6" t="s">
        <v>4974</v>
      </c>
      <c r="W18" s="6" t="s">
        <v>4975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5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6" t="s">
        <v>2996</v>
      </c>
      <c r="B19" s="6" t="s">
        <v>4976</v>
      </c>
      <c r="C19" s="214" t="n">
        <v>7.8</v>
      </c>
      <c r="D19" s="212"/>
      <c r="E19" s="212"/>
      <c r="F19" s="36" t="s">
        <v>4914</v>
      </c>
      <c r="G19" s="212" t="s">
        <v>4977</v>
      </c>
      <c r="H19" s="36" t="s">
        <v>146</v>
      </c>
      <c r="I19" s="36" t="s">
        <v>4978</v>
      </c>
      <c r="J19" s="6" t="s">
        <v>4979</v>
      </c>
      <c r="K19" s="212" t="n">
        <v>2</v>
      </c>
      <c r="L19" s="212" t="s">
        <v>4980</v>
      </c>
      <c r="M19" s="6" t="s">
        <v>4981</v>
      </c>
      <c r="N19" s="212" t="s">
        <v>4889</v>
      </c>
      <c r="O19" s="36" t="s">
        <v>4879</v>
      </c>
      <c r="P19" s="36" t="s">
        <v>585</v>
      </c>
      <c r="Q19" s="36" t="s">
        <v>4982</v>
      </c>
      <c r="R19" s="36" t="s">
        <v>585</v>
      </c>
      <c r="S19" s="36" t="s">
        <v>4724</v>
      </c>
      <c r="T19" s="36" t="s">
        <v>585</v>
      </c>
      <c r="U19" s="36" t="s">
        <v>4983</v>
      </c>
      <c r="V19" s="6" t="s">
        <v>4984</v>
      </c>
      <c r="W19" s="6" t="s">
        <v>4985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5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6" t="s">
        <v>4986</v>
      </c>
      <c r="B20" s="6" t="s">
        <v>4987</v>
      </c>
      <c r="C20" s="214" t="n">
        <v>6.7</v>
      </c>
      <c r="D20" s="212"/>
      <c r="E20" s="212"/>
      <c r="F20" s="36" t="s">
        <v>4914</v>
      </c>
      <c r="G20" s="212" t="s">
        <v>4988</v>
      </c>
      <c r="H20" s="36" t="s">
        <v>146</v>
      </c>
      <c r="I20" s="36" t="s">
        <v>4978</v>
      </c>
      <c r="J20" s="6" t="s">
        <v>4979</v>
      </c>
      <c r="K20" s="212" t="n">
        <v>3</v>
      </c>
      <c r="L20" s="212" t="s">
        <v>4980</v>
      </c>
      <c r="M20" s="6" t="s">
        <v>4989</v>
      </c>
      <c r="N20" s="212" t="s">
        <v>4889</v>
      </c>
      <c r="O20" s="36" t="s">
        <v>4928</v>
      </c>
      <c r="P20" s="36" t="s">
        <v>585</v>
      </c>
      <c r="Q20" s="36" t="s">
        <v>4990</v>
      </c>
      <c r="R20" s="36" t="s">
        <v>585</v>
      </c>
      <c r="S20" s="36" t="s">
        <v>585</v>
      </c>
      <c r="T20" s="36" t="s">
        <v>585</v>
      </c>
      <c r="U20" s="36" t="s">
        <v>4983</v>
      </c>
      <c r="V20" s="6" t="s">
        <v>4991</v>
      </c>
      <c r="W20" s="19" t="s">
        <v>4992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5" t="str">
        <f aca="false">IF($O20="Active",$B20&amp;"¦"&amp;$G20&amp;"¦"&amp;$H20,"")</f>
        <v/>
      </c>
    </row>
    <row r="21" customFormat="false" ht="40.5" hidden="false" customHeight="true" outlineLevel="0" collapsed="false">
      <c r="A21" s="36" t="s">
        <v>3031</v>
      </c>
      <c r="B21" s="6" t="s">
        <v>4993</v>
      </c>
      <c r="C21" s="214" t="n">
        <v>9.09</v>
      </c>
      <c r="D21" s="212"/>
      <c r="E21" s="212"/>
      <c r="F21" s="36" t="s">
        <v>4914</v>
      </c>
      <c r="G21" s="212" t="s">
        <v>4977</v>
      </c>
      <c r="H21" s="36" t="s">
        <v>146</v>
      </c>
      <c r="I21" s="36" t="s">
        <v>4900</v>
      </c>
      <c r="J21" s="6" t="s">
        <v>4979</v>
      </c>
      <c r="K21" s="212" t="n">
        <v>3</v>
      </c>
      <c r="L21" s="212" t="s">
        <v>4980</v>
      </c>
      <c r="M21" s="6" t="s">
        <v>4989</v>
      </c>
      <c r="N21" s="212" t="s">
        <v>4889</v>
      </c>
      <c r="O21" s="36" t="s">
        <v>4928</v>
      </c>
      <c r="P21" s="36" t="s">
        <v>585</v>
      </c>
      <c r="Q21" s="36" t="s">
        <v>4990</v>
      </c>
      <c r="R21" s="36" t="s">
        <v>585</v>
      </c>
      <c r="S21" s="36" t="s">
        <v>585</v>
      </c>
      <c r="T21" s="36" t="s">
        <v>585</v>
      </c>
      <c r="U21" s="36" t="s">
        <v>4983</v>
      </c>
      <c r="V21" s="6" t="s">
        <v>4994</v>
      </c>
      <c r="W21" s="19" t="s">
        <v>4995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5" t="str">
        <f aca="false">IF($O21="Active",$B21&amp;"¦"&amp;$G21&amp;"¦"&amp;$H21,"")</f>
        <v/>
      </c>
    </row>
    <row r="22" customFormat="false" ht="29.25" hidden="false" customHeight="true" outlineLevel="0" collapsed="false">
      <c r="A22" s="36" t="s">
        <v>4996</v>
      </c>
      <c r="B22" s="6" t="s">
        <v>4997</v>
      </c>
      <c r="C22" s="214" t="n">
        <v>1</v>
      </c>
      <c r="D22" s="212"/>
      <c r="E22" s="212"/>
      <c r="F22" s="36" t="s">
        <v>4914</v>
      </c>
      <c r="G22" s="212" t="s">
        <v>4961</v>
      </c>
      <c r="H22" s="36" t="s">
        <v>146</v>
      </c>
      <c r="I22" s="36" t="s">
        <v>4886</v>
      </c>
      <c r="J22" s="6" t="s">
        <v>4998</v>
      </c>
      <c r="K22" s="212" t="n">
        <v>3</v>
      </c>
      <c r="L22" s="212" t="s">
        <v>4876</v>
      </c>
      <c r="M22" s="6" t="s">
        <v>4999</v>
      </c>
      <c r="N22" s="212" t="s">
        <v>4889</v>
      </c>
      <c r="O22" s="36" t="s">
        <v>4928</v>
      </c>
      <c r="P22" s="36" t="s">
        <v>585</v>
      </c>
      <c r="Q22" s="36" t="s">
        <v>5000</v>
      </c>
      <c r="R22" s="36" t="s">
        <v>585</v>
      </c>
      <c r="S22" s="36" t="s">
        <v>585</v>
      </c>
      <c r="T22" s="36" t="s">
        <v>585</v>
      </c>
      <c r="U22" s="36" t="s">
        <v>5001</v>
      </c>
      <c r="V22" s="6" t="s">
        <v>585</v>
      </c>
      <c r="W22" s="19" t="s">
        <v>5002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5" t="str">
        <f aca="false">IF($O22="Active",$B22&amp;"¦"&amp;$G22&amp;"¦"&amp;$H22,"")</f>
        <v/>
      </c>
    </row>
    <row r="23" customFormat="false" ht="29.25" hidden="false" customHeight="true" outlineLevel="0" collapsed="false">
      <c r="A23" s="36" t="s">
        <v>3206</v>
      </c>
      <c r="B23" s="6" t="s">
        <v>5003</v>
      </c>
      <c r="C23" s="214" t="n">
        <v>0.989</v>
      </c>
      <c r="D23" s="212"/>
      <c r="E23" s="212"/>
      <c r="F23" s="36" t="s">
        <v>441</v>
      </c>
      <c r="G23" s="36" t="s">
        <v>5004</v>
      </c>
      <c r="H23" s="36" t="s">
        <v>143</v>
      </c>
      <c r="I23" s="36" t="s">
        <v>5005</v>
      </c>
      <c r="J23" s="19" t="s">
        <v>5006</v>
      </c>
      <c r="K23" s="212" t="n">
        <v>3</v>
      </c>
      <c r="L23" s="212" t="s">
        <v>4876</v>
      </c>
      <c r="M23" s="6" t="s">
        <v>5007</v>
      </c>
      <c r="N23" s="212" t="s">
        <v>5008</v>
      </c>
      <c r="O23" s="36" t="s">
        <v>4879</v>
      </c>
      <c r="P23" s="36" t="s">
        <v>585</v>
      </c>
      <c r="Q23" s="36" t="s">
        <v>5009</v>
      </c>
      <c r="R23" s="36" t="s">
        <v>585</v>
      </c>
      <c r="S23" s="36" t="s">
        <v>585</v>
      </c>
      <c r="T23" s="36" t="s">
        <v>585</v>
      </c>
      <c r="U23" s="36" t="s">
        <v>5010</v>
      </c>
      <c r="V23" s="6" t="s">
        <v>5011</v>
      </c>
      <c r="W23" s="6" t="s">
        <v>5012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5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6" t="s">
        <v>3072</v>
      </c>
      <c r="B24" s="6" t="s">
        <v>5013</v>
      </c>
      <c r="C24" s="214" t="n">
        <v>80</v>
      </c>
      <c r="D24" s="212"/>
      <c r="E24" s="212"/>
      <c r="F24" s="36" t="s">
        <v>694</v>
      </c>
      <c r="G24" s="36" t="s">
        <v>585</v>
      </c>
      <c r="H24" s="36" t="s">
        <v>143</v>
      </c>
      <c r="I24" s="36" t="s">
        <v>5005</v>
      </c>
      <c r="J24" s="19" t="s">
        <v>5006</v>
      </c>
      <c r="K24" s="212" t="n">
        <v>3</v>
      </c>
      <c r="L24" s="212" t="s">
        <v>4876</v>
      </c>
      <c r="M24" s="6" t="s">
        <v>5007</v>
      </c>
      <c r="N24" s="212" t="s">
        <v>5008</v>
      </c>
      <c r="O24" s="36" t="s">
        <v>4879</v>
      </c>
      <c r="P24" s="36" t="s">
        <v>585</v>
      </c>
      <c r="Q24" s="36" t="s">
        <v>5009</v>
      </c>
      <c r="R24" s="36" t="s">
        <v>585</v>
      </c>
      <c r="S24" s="36" t="s">
        <v>585</v>
      </c>
      <c r="T24" s="36" t="s">
        <v>585</v>
      </c>
      <c r="U24" s="36" t="s">
        <v>5010</v>
      </c>
      <c r="V24" s="6" t="s">
        <v>5014</v>
      </c>
      <c r="W24" s="6" t="s">
        <v>585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5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6" t="s">
        <v>3088</v>
      </c>
      <c r="B25" s="6" t="s">
        <v>5015</v>
      </c>
      <c r="C25" s="214" t="n">
        <v>3.35</v>
      </c>
      <c r="D25" s="212"/>
      <c r="E25" s="212"/>
      <c r="F25" s="36" t="s">
        <v>325</v>
      </c>
      <c r="G25" s="36" t="s">
        <v>585</v>
      </c>
      <c r="H25" s="36" t="s">
        <v>143</v>
      </c>
      <c r="I25" s="36" t="s">
        <v>5005</v>
      </c>
      <c r="J25" s="19" t="s">
        <v>5006</v>
      </c>
      <c r="K25" s="212" t="n">
        <v>3</v>
      </c>
      <c r="L25" s="212" t="s">
        <v>4876</v>
      </c>
      <c r="M25" s="6" t="s">
        <v>5007</v>
      </c>
      <c r="N25" s="212" t="s">
        <v>5008</v>
      </c>
      <c r="O25" s="36" t="s">
        <v>4879</v>
      </c>
      <c r="P25" s="36" t="s">
        <v>585</v>
      </c>
      <c r="Q25" s="36" t="s">
        <v>5009</v>
      </c>
      <c r="R25" s="36" t="s">
        <v>585</v>
      </c>
      <c r="S25" s="36" t="s">
        <v>585</v>
      </c>
      <c r="T25" s="36" t="s">
        <v>585</v>
      </c>
      <c r="U25" s="36" t="s">
        <v>5010</v>
      </c>
      <c r="V25" s="6" t="s">
        <v>5016</v>
      </c>
      <c r="W25" s="6" t="s">
        <v>585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5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6" t="s">
        <v>3042</v>
      </c>
      <c r="B26" s="6" t="s">
        <v>5017</v>
      </c>
      <c r="C26" s="214" t="n">
        <v>10</v>
      </c>
      <c r="D26" s="212"/>
      <c r="E26" s="212"/>
      <c r="F26" s="36" t="s">
        <v>441</v>
      </c>
      <c r="G26" s="36" t="s">
        <v>5004</v>
      </c>
      <c r="H26" s="36" t="s">
        <v>144</v>
      </c>
      <c r="I26" s="36" t="s">
        <v>5005</v>
      </c>
      <c r="J26" s="19" t="s">
        <v>5006</v>
      </c>
      <c r="K26" s="212" t="n">
        <v>1</v>
      </c>
      <c r="L26" s="212" t="s">
        <v>4876</v>
      </c>
      <c r="M26" s="6" t="s">
        <v>5007</v>
      </c>
      <c r="N26" s="212" t="s">
        <v>4878</v>
      </c>
      <c r="O26" s="36" t="s">
        <v>4879</v>
      </c>
      <c r="P26" s="36" t="s">
        <v>585</v>
      </c>
      <c r="Q26" s="36" t="s">
        <v>5018</v>
      </c>
      <c r="R26" s="36" t="s">
        <v>585</v>
      </c>
      <c r="S26" s="36" t="s">
        <v>4724</v>
      </c>
      <c r="T26" s="36" t="s">
        <v>585</v>
      </c>
      <c r="U26" s="36" t="s">
        <v>5010</v>
      </c>
      <c r="V26" s="6" t="s">
        <v>5019</v>
      </c>
      <c r="W26" s="19" t="s">
        <v>5020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5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6" t="s">
        <v>3091</v>
      </c>
      <c r="B27" s="6" t="s">
        <v>5021</v>
      </c>
      <c r="C27" s="214" t="n">
        <v>8</v>
      </c>
      <c r="D27" s="212"/>
      <c r="E27" s="212"/>
      <c r="F27" s="36" t="s">
        <v>325</v>
      </c>
      <c r="G27" s="36" t="s">
        <v>585</v>
      </c>
      <c r="H27" s="36" t="s">
        <v>144</v>
      </c>
      <c r="I27" s="36" t="s">
        <v>5005</v>
      </c>
      <c r="J27" s="19" t="s">
        <v>5006</v>
      </c>
      <c r="K27" s="212" t="n">
        <v>3</v>
      </c>
      <c r="L27" s="212" t="s">
        <v>4876</v>
      </c>
      <c r="M27" s="6" t="s">
        <v>5007</v>
      </c>
      <c r="N27" s="212" t="s">
        <v>5008</v>
      </c>
      <c r="O27" s="36" t="s">
        <v>4879</v>
      </c>
      <c r="P27" s="36" t="s">
        <v>585</v>
      </c>
      <c r="Q27" s="36" t="s">
        <v>5009</v>
      </c>
      <c r="R27" s="36" t="s">
        <v>585</v>
      </c>
      <c r="S27" s="36" t="s">
        <v>585</v>
      </c>
      <c r="T27" s="36" t="s">
        <v>585</v>
      </c>
      <c r="U27" s="36" t="s">
        <v>5010</v>
      </c>
      <c r="V27" s="6" t="s">
        <v>5022</v>
      </c>
      <c r="W27" s="6" t="s">
        <v>585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6" t="s">
        <v>5023</v>
      </c>
      <c r="B28" s="6" t="s">
        <v>5024</v>
      </c>
      <c r="C28" s="214" t="n">
        <v>186</v>
      </c>
      <c r="D28" s="212"/>
      <c r="E28" s="212"/>
      <c r="F28" s="36" t="s">
        <v>694</v>
      </c>
      <c r="G28" s="36" t="s">
        <v>585</v>
      </c>
      <c r="H28" s="36" t="s">
        <v>144</v>
      </c>
      <c r="I28" s="36" t="s">
        <v>5005</v>
      </c>
      <c r="J28" s="19" t="s">
        <v>5006</v>
      </c>
      <c r="K28" s="212" t="n">
        <v>3</v>
      </c>
      <c r="L28" s="212" t="s">
        <v>4876</v>
      </c>
      <c r="M28" s="6" t="s">
        <v>5007</v>
      </c>
      <c r="N28" s="212" t="s">
        <v>5008</v>
      </c>
      <c r="O28" s="36" t="s">
        <v>4928</v>
      </c>
      <c r="P28" s="36" t="s">
        <v>585</v>
      </c>
      <c r="Q28" s="36" t="s">
        <v>5009</v>
      </c>
      <c r="R28" s="36" t="s">
        <v>585</v>
      </c>
      <c r="S28" s="36" t="s">
        <v>585</v>
      </c>
      <c r="T28" s="36" t="s">
        <v>585</v>
      </c>
      <c r="U28" s="36" t="s">
        <v>5010</v>
      </c>
      <c r="V28" s="6" t="s">
        <v>585</v>
      </c>
      <c r="W28" s="19" t="s">
        <v>5025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5" t="str">
        <f aca="false">IF($O28="Active",$B28&amp;"¦"&amp;$G28&amp;"¦"&amp;$H28,"")</f>
        <v/>
      </c>
    </row>
    <row r="29" customFormat="false" ht="29.25" hidden="false" customHeight="true" outlineLevel="0" collapsed="false">
      <c r="A29" s="36" t="s">
        <v>3044</v>
      </c>
      <c r="B29" s="6" t="s">
        <v>5026</v>
      </c>
      <c r="C29" s="214" t="n">
        <v>15</v>
      </c>
      <c r="D29" s="212"/>
      <c r="E29" s="212"/>
      <c r="F29" s="36" t="s">
        <v>441</v>
      </c>
      <c r="G29" s="36" t="s">
        <v>5004</v>
      </c>
      <c r="H29" s="36" t="s">
        <v>145</v>
      </c>
      <c r="I29" s="36" t="s">
        <v>5005</v>
      </c>
      <c r="J29" s="19" t="s">
        <v>5006</v>
      </c>
      <c r="K29" s="212" t="n">
        <v>1</v>
      </c>
      <c r="L29" s="212" t="s">
        <v>4876</v>
      </c>
      <c r="M29" s="6" t="s">
        <v>5007</v>
      </c>
      <c r="N29" s="212" t="s">
        <v>4878</v>
      </c>
      <c r="O29" s="36" t="s">
        <v>4879</v>
      </c>
      <c r="P29" s="36" t="s">
        <v>585</v>
      </c>
      <c r="Q29" s="36" t="s">
        <v>5027</v>
      </c>
      <c r="R29" s="36" t="s">
        <v>585</v>
      </c>
      <c r="S29" s="36" t="s">
        <v>4724</v>
      </c>
      <c r="T29" s="36" t="s">
        <v>585</v>
      </c>
      <c r="U29" s="36" t="s">
        <v>5010</v>
      </c>
      <c r="V29" s="6" t="s">
        <v>5028</v>
      </c>
      <c r="W29" s="6" t="s">
        <v>5029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6" t="s">
        <v>3079</v>
      </c>
      <c r="B30" s="6" t="s">
        <v>5030</v>
      </c>
      <c r="C30" s="214" t="n">
        <v>288</v>
      </c>
      <c r="D30" s="212"/>
      <c r="E30" s="212"/>
      <c r="F30" s="36" t="s">
        <v>694</v>
      </c>
      <c r="G30" s="36" t="s">
        <v>585</v>
      </c>
      <c r="H30" s="36" t="s">
        <v>145</v>
      </c>
      <c r="I30" s="36" t="s">
        <v>5005</v>
      </c>
      <c r="J30" s="19" t="s">
        <v>5006</v>
      </c>
      <c r="K30" s="212" t="n">
        <v>3</v>
      </c>
      <c r="L30" s="212" t="s">
        <v>4876</v>
      </c>
      <c r="M30" s="6" t="s">
        <v>5007</v>
      </c>
      <c r="N30" s="212" t="s">
        <v>5008</v>
      </c>
      <c r="O30" s="36" t="s">
        <v>4879</v>
      </c>
      <c r="P30" s="36" t="s">
        <v>585</v>
      </c>
      <c r="Q30" s="36" t="s">
        <v>5009</v>
      </c>
      <c r="R30" s="36" t="s">
        <v>585</v>
      </c>
      <c r="S30" s="36" t="s">
        <v>585</v>
      </c>
      <c r="T30" s="36" t="s">
        <v>585</v>
      </c>
      <c r="U30" s="36" t="s">
        <v>5010</v>
      </c>
      <c r="V30" s="6" t="s">
        <v>5031</v>
      </c>
      <c r="W30" s="6" t="s">
        <v>585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6" t="s">
        <v>3064</v>
      </c>
      <c r="B31" s="6" t="s">
        <v>5032</v>
      </c>
      <c r="C31" s="214" t="n">
        <v>50</v>
      </c>
      <c r="D31" s="212"/>
      <c r="E31" s="212"/>
      <c r="F31" s="36" t="s">
        <v>441</v>
      </c>
      <c r="G31" s="212" t="s">
        <v>5033</v>
      </c>
      <c r="H31" s="36" t="s">
        <v>146</v>
      </c>
      <c r="I31" s="36" t="s">
        <v>5005</v>
      </c>
      <c r="J31" s="19" t="s">
        <v>5006</v>
      </c>
      <c r="K31" s="212" t="n">
        <v>1</v>
      </c>
      <c r="L31" s="212" t="s">
        <v>4876</v>
      </c>
      <c r="M31" s="6" t="s">
        <v>5007</v>
      </c>
      <c r="N31" s="212" t="s">
        <v>4878</v>
      </c>
      <c r="O31" s="36" t="s">
        <v>4879</v>
      </c>
      <c r="P31" s="36" t="s">
        <v>585</v>
      </c>
      <c r="Q31" s="36" t="s">
        <v>5034</v>
      </c>
      <c r="R31" s="36" t="s">
        <v>585</v>
      </c>
      <c r="S31" s="36" t="s">
        <v>4724</v>
      </c>
      <c r="T31" s="36" t="s">
        <v>585</v>
      </c>
      <c r="U31" s="36" t="s">
        <v>5010</v>
      </c>
      <c r="V31" s="6" t="s">
        <v>5035</v>
      </c>
      <c r="W31" s="6" t="s">
        <v>5036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6" t="s">
        <v>3046</v>
      </c>
      <c r="B32" s="6" t="s">
        <v>5037</v>
      </c>
      <c r="C32" s="214" t="n">
        <v>35</v>
      </c>
      <c r="D32" s="212"/>
      <c r="E32" s="212"/>
      <c r="F32" s="36" t="s">
        <v>441</v>
      </c>
      <c r="G32" s="36" t="s">
        <v>5004</v>
      </c>
      <c r="H32" s="36" t="s">
        <v>146</v>
      </c>
      <c r="I32" s="36" t="s">
        <v>5005</v>
      </c>
      <c r="J32" s="19" t="s">
        <v>5006</v>
      </c>
      <c r="K32" s="212" t="n">
        <v>1</v>
      </c>
      <c r="L32" s="212" t="s">
        <v>4876</v>
      </c>
      <c r="M32" s="6" t="s">
        <v>5007</v>
      </c>
      <c r="N32" s="212" t="s">
        <v>4878</v>
      </c>
      <c r="O32" s="36" t="s">
        <v>4879</v>
      </c>
      <c r="P32" s="36" t="s">
        <v>585</v>
      </c>
      <c r="Q32" s="36" t="s">
        <v>5038</v>
      </c>
      <c r="R32" s="36" t="s">
        <v>585</v>
      </c>
      <c r="S32" s="36" t="s">
        <v>4724</v>
      </c>
      <c r="T32" s="36" t="s">
        <v>585</v>
      </c>
      <c r="U32" s="36" t="s">
        <v>5010</v>
      </c>
      <c r="V32" s="6" t="s">
        <v>5039</v>
      </c>
      <c r="W32" s="19" t="s">
        <v>5040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6" t="s">
        <v>3082</v>
      </c>
      <c r="B33" s="6" t="s">
        <v>5041</v>
      </c>
      <c r="C33" s="214" t="n">
        <v>288</v>
      </c>
      <c r="D33" s="212"/>
      <c r="E33" s="212"/>
      <c r="F33" s="36" t="s">
        <v>694</v>
      </c>
      <c r="G33" s="36" t="s">
        <v>585</v>
      </c>
      <c r="H33" s="36" t="s">
        <v>146</v>
      </c>
      <c r="I33" s="36" t="s">
        <v>5005</v>
      </c>
      <c r="J33" s="19" t="s">
        <v>5006</v>
      </c>
      <c r="K33" s="212" t="n">
        <v>3</v>
      </c>
      <c r="L33" s="212" t="s">
        <v>4876</v>
      </c>
      <c r="M33" s="6" t="s">
        <v>5007</v>
      </c>
      <c r="N33" s="212" t="s">
        <v>5008</v>
      </c>
      <c r="O33" s="36" t="s">
        <v>4879</v>
      </c>
      <c r="P33" s="36" t="s">
        <v>585</v>
      </c>
      <c r="Q33" s="36" t="s">
        <v>5009</v>
      </c>
      <c r="R33" s="36" t="s">
        <v>585</v>
      </c>
      <c r="S33" s="36" t="s">
        <v>585</v>
      </c>
      <c r="T33" s="36" t="s">
        <v>585</v>
      </c>
      <c r="U33" s="36" t="s">
        <v>5010</v>
      </c>
      <c r="V33" s="6" t="s">
        <v>5042</v>
      </c>
      <c r="W33" s="6" t="s">
        <v>585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5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6" t="s">
        <v>3096</v>
      </c>
      <c r="B34" s="6" t="s">
        <v>5043</v>
      </c>
      <c r="C34" s="214" t="n">
        <v>22</v>
      </c>
      <c r="D34" s="212"/>
      <c r="E34" s="212"/>
      <c r="F34" s="36" t="s">
        <v>325</v>
      </c>
      <c r="G34" s="36" t="s">
        <v>5044</v>
      </c>
      <c r="H34" s="36" t="s">
        <v>146</v>
      </c>
      <c r="I34" s="36" t="s">
        <v>5005</v>
      </c>
      <c r="J34" s="19" t="s">
        <v>5006</v>
      </c>
      <c r="K34" s="212" t="n">
        <v>3</v>
      </c>
      <c r="L34" s="212" t="s">
        <v>4876</v>
      </c>
      <c r="M34" s="6" t="s">
        <v>5007</v>
      </c>
      <c r="N34" s="212" t="s">
        <v>5008</v>
      </c>
      <c r="O34" s="36" t="s">
        <v>4879</v>
      </c>
      <c r="P34" s="36" t="s">
        <v>585</v>
      </c>
      <c r="Q34" s="36" t="s">
        <v>5009</v>
      </c>
      <c r="R34" s="36" t="s">
        <v>585</v>
      </c>
      <c r="S34" s="36" t="s">
        <v>585</v>
      </c>
      <c r="T34" s="36" t="s">
        <v>585</v>
      </c>
      <c r="U34" s="36" t="s">
        <v>5010</v>
      </c>
      <c r="V34" s="6" t="s">
        <v>5045</v>
      </c>
      <c r="W34" s="6" t="s">
        <v>585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5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6" t="s">
        <v>5046</v>
      </c>
      <c r="B35" s="6" t="s">
        <v>5047</v>
      </c>
      <c r="C35" s="214" t="n">
        <v>15000</v>
      </c>
      <c r="D35" s="212"/>
      <c r="E35" s="212"/>
      <c r="F35" s="36" t="s">
        <v>5048</v>
      </c>
      <c r="G35" s="36" t="s">
        <v>5049</v>
      </c>
      <c r="H35" s="36" t="s">
        <v>4962</v>
      </c>
      <c r="I35" s="36" t="s">
        <v>5005</v>
      </c>
      <c r="J35" s="19" t="s">
        <v>5006</v>
      </c>
      <c r="K35" s="212" t="n">
        <v>3</v>
      </c>
      <c r="L35" s="212" t="s">
        <v>4876</v>
      </c>
      <c r="M35" s="6" t="s">
        <v>5007</v>
      </c>
      <c r="N35" s="212" t="s">
        <v>5008</v>
      </c>
      <c r="O35" s="36" t="s">
        <v>4879</v>
      </c>
      <c r="P35" s="36" t="s">
        <v>585</v>
      </c>
      <c r="Q35" s="36" t="s">
        <v>5009</v>
      </c>
      <c r="R35" s="36" t="s">
        <v>585</v>
      </c>
      <c r="S35" s="36" t="s">
        <v>585</v>
      </c>
      <c r="T35" s="36" t="s">
        <v>585</v>
      </c>
      <c r="U35" s="36" t="s">
        <v>5010</v>
      </c>
      <c r="V35" s="6" t="s">
        <v>5050</v>
      </c>
      <c r="W35" s="6" t="s">
        <v>5051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5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6" t="s">
        <v>3194</v>
      </c>
      <c r="B36" s="6" t="s">
        <v>5052</v>
      </c>
      <c r="C36" s="214" t="n">
        <v>3.9</v>
      </c>
      <c r="D36" s="212"/>
      <c r="E36" s="212"/>
      <c r="F36" s="36" t="s">
        <v>5053</v>
      </c>
      <c r="G36" s="212" t="s">
        <v>5054</v>
      </c>
      <c r="H36" s="36" t="s">
        <v>5055</v>
      </c>
      <c r="I36" s="36" t="s">
        <v>585</v>
      </c>
      <c r="J36" s="19" t="s">
        <v>5056</v>
      </c>
      <c r="K36" s="212" t="n">
        <v>3</v>
      </c>
      <c r="L36" s="212" t="s">
        <v>4980</v>
      </c>
      <c r="M36" s="19" t="s">
        <v>5057</v>
      </c>
      <c r="N36" s="36" t="s">
        <v>585</v>
      </c>
      <c r="O36" s="36" t="s">
        <v>4879</v>
      </c>
      <c r="P36" s="36" t="s">
        <v>585</v>
      </c>
      <c r="Q36" s="36" t="s">
        <v>5058</v>
      </c>
      <c r="R36" s="36" t="s">
        <v>585</v>
      </c>
      <c r="S36" s="36" t="s">
        <v>585</v>
      </c>
      <c r="T36" s="36" t="s">
        <v>585</v>
      </c>
      <c r="U36" s="36" t="s">
        <v>5059</v>
      </c>
      <c r="V36" s="6" t="s">
        <v>5060</v>
      </c>
      <c r="W36" s="6" t="s">
        <v>5061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5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6" t="s">
        <v>3198</v>
      </c>
      <c r="B37" s="6" t="s">
        <v>5062</v>
      </c>
      <c r="C37" s="214" t="n">
        <v>3</v>
      </c>
      <c r="D37" s="212"/>
      <c r="E37" s="212"/>
      <c r="F37" s="36" t="s">
        <v>5053</v>
      </c>
      <c r="G37" s="212" t="s">
        <v>5054</v>
      </c>
      <c r="H37" s="36" t="s">
        <v>5063</v>
      </c>
      <c r="I37" s="36" t="s">
        <v>585</v>
      </c>
      <c r="J37" s="19" t="s">
        <v>5056</v>
      </c>
      <c r="K37" s="212" t="n">
        <v>3</v>
      </c>
      <c r="L37" s="212" t="s">
        <v>4980</v>
      </c>
      <c r="M37" s="19" t="s">
        <v>5057</v>
      </c>
      <c r="N37" s="36" t="s">
        <v>585</v>
      </c>
      <c r="O37" s="36" t="s">
        <v>4879</v>
      </c>
      <c r="P37" s="36" t="s">
        <v>585</v>
      </c>
      <c r="Q37" s="36" t="s">
        <v>5058</v>
      </c>
      <c r="R37" s="36" t="s">
        <v>585</v>
      </c>
      <c r="S37" s="36" t="s">
        <v>585</v>
      </c>
      <c r="T37" s="36" t="s">
        <v>585</v>
      </c>
      <c r="U37" s="36" t="s">
        <v>5059</v>
      </c>
      <c r="V37" s="6" t="s">
        <v>5064</v>
      </c>
      <c r="W37" s="6" t="s">
        <v>5065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5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6" t="s">
        <v>3201</v>
      </c>
      <c r="B38" s="6" t="s">
        <v>5066</v>
      </c>
      <c r="C38" s="214" t="n">
        <v>2.5</v>
      </c>
      <c r="D38" s="212"/>
      <c r="E38" s="212"/>
      <c r="F38" s="36" t="s">
        <v>5053</v>
      </c>
      <c r="G38" s="212" t="s">
        <v>5054</v>
      </c>
      <c r="H38" s="36" t="s">
        <v>5067</v>
      </c>
      <c r="I38" s="36" t="s">
        <v>585</v>
      </c>
      <c r="J38" s="19" t="s">
        <v>5056</v>
      </c>
      <c r="K38" s="212" t="n">
        <v>3</v>
      </c>
      <c r="L38" s="212" t="s">
        <v>4980</v>
      </c>
      <c r="M38" s="19" t="s">
        <v>5057</v>
      </c>
      <c r="N38" s="36" t="s">
        <v>585</v>
      </c>
      <c r="O38" s="36" t="s">
        <v>4879</v>
      </c>
      <c r="P38" s="36" t="s">
        <v>585</v>
      </c>
      <c r="Q38" s="36" t="s">
        <v>5058</v>
      </c>
      <c r="R38" s="36" t="s">
        <v>585</v>
      </c>
      <c r="S38" s="36" t="s">
        <v>585</v>
      </c>
      <c r="T38" s="36" t="s">
        <v>585</v>
      </c>
      <c r="U38" s="36" t="s">
        <v>5059</v>
      </c>
      <c r="V38" s="6" t="s">
        <v>5068</v>
      </c>
      <c r="W38" s="6" t="s">
        <v>5069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5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6" t="s">
        <v>3711</v>
      </c>
      <c r="B39" s="6" t="s">
        <v>5070</v>
      </c>
      <c r="C39" s="212"/>
      <c r="D39" s="214" t="n">
        <v>1</v>
      </c>
      <c r="E39" s="214" t="n">
        <v>2</v>
      </c>
      <c r="F39" s="36" t="s">
        <v>5053</v>
      </c>
      <c r="G39" s="212" t="s">
        <v>5054</v>
      </c>
      <c r="H39" s="36" t="s">
        <v>585</v>
      </c>
      <c r="I39" s="36" t="s">
        <v>585</v>
      </c>
      <c r="J39" s="19" t="s">
        <v>5056</v>
      </c>
      <c r="K39" s="212" t="n">
        <v>3</v>
      </c>
      <c r="L39" s="212" t="s">
        <v>4980</v>
      </c>
      <c r="M39" s="19" t="s">
        <v>5057</v>
      </c>
      <c r="N39" s="36" t="s">
        <v>585</v>
      </c>
      <c r="O39" s="36" t="s">
        <v>4879</v>
      </c>
      <c r="P39" s="36" t="s">
        <v>585</v>
      </c>
      <c r="Q39" s="36" t="s">
        <v>5058</v>
      </c>
      <c r="R39" s="36" t="s">
        <v>585</v>
      </c>
      <c r="S39" s="36" t="s">
        <v>585</v>
      </c>
      <c r="T39" s="36" t="s">
        <v>585</v>
      </c>
      <c r="U39" s="36" t="s">
        <v>5059</v>
      </c>
      <c r="V39" s="6" t="s">
        <v>585</v>
      </c>
      <c r="W39" s="6" t="s">
        <v>585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5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6" t="s">
        <v>5071</v>
      </c>
      <c r="B40" s="6" t="s">
        <v>5072</v>
      </c>
      <c r="C40" s="214" t="n">
        <v>3600</v>
      </c>
      <c r="D40" s="212"/>
      <c r="E40" s="212"/>
      <c r="F40" s="36" t="s">
        <v>5048</v>
      </c>
      <c r="G40" s="36" t="s">
        <v>5073</v>
      </c>
      <c r="H40" s="36" t="s">
        <v>146</v>
      </c>
      <c r="I40" s="36" t="s">
        <v>4886</v>
      </c>
      <c r="J40" s="6" t="s">
        <v>5074</v>
      </c>
      <c r="K40" s="212" t="n">
        <v>2</v>
      </c>
      <c r="L40" s="212" t="s">
        <v>4876</v>
      </c>
      <c r="M40" s="6" t="s">
        <v>5075</v>
      </c>
      <c r="N40" s="212" t="s">
        <v>5076</v>
      </c>
      <c r="O40" s="36" t="s">
        <v>4879</v>
      </c>
      <c r="P40" s="36" t="s">
        <v>585</v>
      </c>
      <c r="Q40" s="36" t="s">
        <v>5077</v>
      </c>
      <c r="R40" s="36" t="s">
        <v>585</v>
      </c>
      <c r="S40" s="36" t="s">
        <v>585</v>
      </c>
      <c r="T40" s="36" t="s">
        <v>585</v>
      </c>
      <c r="U40" s="36" t="s">
        <v>5078</v>
      </c>
      <c r="V40" s="6" t="s">
        <v>5079</v>
      </c>
      <c r="W40" s="6" t="s">
        <v>5080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6" t="s">
        <v>3236</v>
      </c>
      <c r="B41" s="6" t="s">
        <v>5081</v>
      </c>
      <c r="C41" s="214" t="n">
        <v>2520</v>
      </c>
      <c r="D41" s="212"/>
      <c r="E41" s="212"/>
      <c r="F41" s="36" t="s">
        <v>5048</v>
      </c>
      <c r="G41" s="36" t="s">
        <v>5073</v>
      </c>
      <c r="H41" s="36" t="s">
        <v>146</v>
      </c>
      <c r="I41" s="36" t="s">
        <v>4886</v>
      </c>
      <c r="J41" s="6" t="s">
        <v>5074</v>
      </c>
      <c r="K41" s="212" t="n">
        <v>2</v>
      </c>
      <c r="L41" s="212" t="s">
        <v>4876</v>
      </c>
      <c r="M41" s="6" t="s">
        <v>5075</v>
      </c>
      <c r="N41" s="212" t="s">
        <v>5076</v>
      </c>
      <c r="O41" s="36" t="s">
        <v>4879</v>
      </c>
      <c r="P41" s="36" t="s">
        <v>585</v>
      </c>
      <c r="Q41" s="36" t="s">
        <v>5077</v>
      </c>
      <c r="R41" s="36" t="s">
        <v>585</v>
      </c>
      <c r="S41" s="36" t="s">
        <v>585</v>
      </c>
      <c r="T41" s="36" t="s">
        <v>585</v>
      </c>
      <c r="U41" s="36" t="s">
        <v>5078</v>
      </c>
      <c r="V41" s="6" t="s">
        <v>5082</v>
      </c>
      <c r="W41" s="6" t="s">
        <v>5083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6" t="s">
        <v>3226</v>
      </c>
      <c r="B42" s="6" t="s">
        <v>5084</v>
      </c>
      <c r="C42" s="214" t="n">
        <v>1260</v>
      </c>
      <c r="D42" s="212"/>
      <c r="E42" s="212"/>
      <c r="F42" s="36" t="s">
        <v>5048</v>
      </c>
      <c r="G42" s="36" t="s">
        <v>5073</v>
      </c>
      <c r="H42" s="36" t="s">
        <v>146</v>
      </c>
      <c r="I42" s="36" t="s">
        <v>4886</v>
      </c>
      <c r="J42" s="6" t="s">
        <v>5074</v>
      </c>
      <c r="K42" s="212" t="n">
        <v>2</v>
      </c>
      <c r="L42" s="212" t="s">
        <v>4876</v>
      </c>
      <c r="M42" s="6" t="s">
        <v>5075</v>
      </c>
      <c r="N42" s="212" t="s">
        <v>5076</v>
      </c>
      <c r="O42" s="36" t="s">
        <v>4879</v>
      </c>
      <c r="P42" s="36" t="s">
        <v>585</v>
      </c>
      <c r="Q42" s="36" t="s">
        <v>5077</v>
      </c>
      <c r="R42" s="36" t="s">
        <v>585</v>
      </c>
      <c r="S42" s="36" t="s">
        <v>585</v>
      </c>
      <c r="T42" s="36" t="s">
        <v>585</v>
      </c>
      <c r="U42" s="36" t="s">
        <v>5078</v>
      </c>
      <c r="V42" s="6" t="s">
        <v>5085</v>
      </c>
      <c r="W42" s="6" t="s">
        <v>5086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6" t="s">
        <v>3214</v>
      </c>
      <c r="B43" s="6" t="s">
        <v>5087</v>
      </c>
      <c r="C43" s="214" t="n">
        <v>288</v>
      </c>
      <c r="D43" s="212"/>
      <c r="E43" s="212"/>
      <c r="F43" s="36" t="s">
        <v>5048</v>
      </c>
      <c r="G43" s="36" t="s">
        <v>5073</v>
      </c>
      <c r="H43" s="36" t="s">
        <v>146</v>
      </c>
      <c r="I43" s="36" t="s">
        <v>4886</v>
      </c>
      <c r="J43" s="6" t="s">
        <v>5074</v>
      </c>
      <c r="K43" s="212" t="n">
        <v>2</v>
      </c>
      <c r="L43" s="212" t="s">
        <v>4876</v>
      </c>
      <c r="M43" s="6" t="s">
        <v>5075</v>
      </c>
      <c r="N43" s="212" t="s">
        <v>5076</v>
      </c>
      <c r="O43" s="36" t="s">
        <v>4879</v>
      </c>
      <c r="P43" s="36" t="s">
        <v>585</v>
      </c>
      <c r="Q43" s="36" t="s">
        <v>5077</v>
      </c>
      <c r="R43" s="36" t="s">
        <v>585</v>
      </c>
      <c r="S43" s="36" t="s">
        <v>585</v>
      </c>
      <c r="T43" s="36" t="s">
        <v>585</v>
      </c>
      <c r="U43" s="36" t="s">
        <v>5078</v>
      </c>
      <c r="V43" s="6" t="s">
        <v>5088</v>
      </c>
      <c r="W43" s="6" t="s">
        <v>5089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6" t="s">
        <v>3040</v>
      </c>
      <c r="B44" s="6" t="s">
        <v>5090</v>
      </c>
      <c r="C44" s="214" t="n">
        <v>1.979</v>
      </c>
      <c r="D44" s="212"/>
      <c r="E44" s="212"/>
      <c r="F44" s="36" t="s">
        <v>441</v>
      </c>
      <c r="G44" s="36" t="s">
        <v>5004</v>
      </c>
      <c r="H44" s="36" t="s">
        <v>143</v>
      </c>
      <c r="I44" s="36" t="s">
        <v>4480</v>
      </c>
      <c r="J44" s="6" t="s">
        <v>5091</v>
      </c>
      <c r="K44" s="212" t="n">
        <v>1</v>
      </c>
      <c r="L44" s="212" t="s">
        <v>4876</v>
      </c>
      <c r="M44" s="6" t="s">
        <v>5092</v>
      </c>
      <c r="N44" s="212" t="s">
        <v>4878</v>
      </c>
      <c r="O44" s="36" t="s">
        <v>4879</v>
      </c>
      <c r="P44" s="36" t="s">
        <v>585</v>
      </c>
      <c r="Q44" s="36" t="s">
        <v>5093</v>
      </c>
      <c r="R44" s="36" t="s">
        <v>585</v>
      </c>
      <c r="S44" s="36" t="s">
        <v>4724</v>
      </c>
      <c r="T44" s="36" t="s">
        <v>585</v>
      </c>
      <c r="U44" s="36" t="s">
        <v>5094</v>
      </c>
      <c r="V44" s="6" t="s">
        <v>5095</v>
      </c>
      <c r="W44" s="19" t="s">
        <v>5096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6" t="s">
        <v>3075</v>
      </c>
      <c r="B45" s="6" t="s">
        <v>5097</v>
      </c>
      <c r="C45" s="214" t="n">
        <v>13.4</v>
      </c>
      <c r="D45" s="212"/>
      <c r="E45" s="212"/>
      <c r="F45" s="36" t="s">
        <v>5098</v>
      </c>
      <c r="G45" s="36" t="s">
        <v>5073</v>
      </c>
      <c r="H45" s="36" t="s">
        <v>144</v>
      </c>
      <c r="I45" s="36" t="s">
        <v>585</v>
      </c>
      <c r="J45" s="6" t="s">
        <v>5099</v>
      </c>
      <c r="K45" s="212" t="n">
        <v>3</v>
      </c>
      <c r="L45" s="212" t="s">
        <v>4876</v>
      </c>
      <c r="M45" s="6" t="s">
        <v>5100</v>
      </c>
      <c r="N45" s="212" t="s">
        <v>5008</v>
      </c>
      <c r="O45" s="36" t="s">
        <v>4879</v>
      </c>
      <c r="P45" s="36" t="s">
        <v>585</v>
      </c>
      <c r="Q45" s="36" t="s">
        <v>5101</v>
      </c>
      <c r="R45" s="36" t="s">
        <v>585</v>
      </c>
      <c r="S45" s="36" t="s">
        <v>585</v>
      </c>
      <c r="T45" s="36" t="s">
        <v>585</v>
      </c>
      <c r="U45" s="36" t="s">
        <v>5102</v>
      </c>
      <c r="V45" s="6" t="s">
        <v>5103</v>
      </c>
      <c r="W45" s="6" t="s">
        <v>5104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5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6" t="s">
        <v>3209</v>
      </c>
      <c r="B46" s="6" t="s">
        <v>5105</v>
      </c>
      <c r="C46" s="214" t="n">
        <v>2.5</v>
      </c>
      <c r="D46" s="212"/>
      <c r="E46" s="212"/>
      <c r="F46" s="36" t="s">
        <v>441</v>
      </c>
      <c r="G46" s="36" t="s">
        <v>5004</v>
      </c>
      <c r="H46" s="36" t="s">
        <v>5106</v>
      </c>
      <c r="I46" s="36" t="s">
        <v>585</v>
      </c>
      <c r="J46" s="6" t="s">
        <v>5099</v>
      </c>
      <c r="K46" s="212" t="n">
        <v>3</v>
      </c>
      <c r="L46" s="212" t="s">
        <v>4876</v>
      </c>
      <c r="M46" s="6" t="s">
        <v>5100</v>
      </c>
      <c r="N46" s="212" t="s">
        <v>5008</v>
      </c>
      <c r="O46" s="36" t="s">
        <v>4879</v>
      </c>
      <c r="P46" s="36" t="s">
        <v>585</v>
      </c>
      <c r="Q46" s="36" t="s">
        <v>5101</v>
      </c>
      <c r="R46" s="36" t="s">
        <v>585</v>
      </c>
      <c r="S46" s="36" t="s">
        <v>585</v>
      </c>
      <c r="T46" s="36" t="s">
        <v>585</v>
      </c>
      <c r="U46" s="36" t="s">
        <v>5102</v>
      </c>
      <c r="V46" s="6" t="s">
        <v>5107</v>
      </c>
      <c r="W46" s="6" t="s">
        <v>585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5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6" t="s">
        <v>3221</v>
      </c>
      <c r="B47" s="6" t="s">
        <v>5108</v>
      </c>
      <c r="C47" s="214" t="n">
        <v>5</v>
      </c>
      <c r="D47" s="212"/>
      <c r="E47" s="212"/>
      <c r="F47" s="36" t="s">
        <v>441</v>
      </c>
      <c r="G47" s="36" t="s">
        <v>5109</v>
      </c>
      <c r="H47" s="36" t="s">
        <v>5106</v>
      </c>
      <c r="I47" s="36" t="s">
        <v>585</v>
      </c>
      <c r="J47" s="6" t="s">
        <v>5099</v>
      </c>
      <c r="K47" s="212" t="n">
        <v>1</v>
      </c>
      <c r="L47" s="212" t="s">
        <v>4876</v>
      </c>
      <c r="M47" s="6" t="s">
        <v>5100</v>
      </c>
      <c r="N47" s="212" t="s">
        <v>4878</v>
      </c>
      <c r="O47" s="36" t="s">
        <v>4879</v>
      </c>
      <c r="P47" s="36" t="s">
        <v>585</v>
      </c>
      <c r="Q47" s="36" t="s">
        <v>5110</v>
      </c>
      <c r="R47" s="36" t="s">
        <v>585</v>
      </c>
      <c r="S47" s="36" t="s">
        <v>4724</v>
      </c>
      <c r="T47" s="36" t="s">
        <v>585</v>
      </c>
      <c r="U47" s="36" t="s">
        <v>5102</v>
      </c>
      <c r="V47" s="6" t="s">
        <v>5111</v>
      </c>
      <c r="W47" s="6" t="s">
        <v>5112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6" t="s">
        <v>3099</v>
      </c>
      <c r="B48" s="6" t="s">
        <v>5113</v>
      </c>
      <c r="C48" s="214" t="n">
        <v>4600</v>
      </c>
      <c r="D48" s="212"/>
      <c r="E48" s="212"/>
      <c r="F48" s="36" t="s">
        <v>5114</v>
      </c>
      <c r="G48" s="36" t="s">
        <v>5049</v>
      </c>
      <c r="H48" s="36" t="s">
        <v>4962</v>
      </c>
      <c r="I48" s="36" t="s">
        <v>585</v>
      </c>
      <c r="J48" s="6" t="s">
        <v>5099</v>
      </c>
      <c r="K48" s="212" t="n">
        <v>3</v>
      </c>
      <c r="L48" s="212" t="s">
        <v>4876</v>
      </c>
      <c r="M48" s="6" t="s">
        <v>5100</v>
      </c>
      <c r="N48" s="212" t="s">
        <v>5008</v>
      </c>
      <c r="O48" s="36" t="s">
        <v>4879</v>
      </c>
      <c r="P48" s="36" t="s">
        <v>585</v>
      </c>
      <c r="Q48" s="36" t="s">
        <v>5101</v>
      </c>
      <c r="R48" s="36" t="s">
        <v>585</v>
      </c>
      <c r="S48" s="36" t="s">
        <v>585</v>
      </c>
      <c r="T48" s="36" t="s">
        <v>585</v>
      </c>
      <c r="U48" s="36" t="s">
        <v>5102</v>
      </c>
      <c r="V48" s="6" t="s">
        <v>5115</v>
      </c>
      <c r="W48" s="6" t="s">
        <v>5116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6" t="s">
        <v>5117</v>
      </c>
      <c r="B49" s="6" t="s">
        <v>5118</v>
      </c>
      <c r="C49" s="214" t="n">
        <v>5000</v>
      </c>
      <c r="D49" s="212"/>
      <c r="E49" s="212"/>
      <c r="F49" s="36" t="s">
        <v>5048</v>
      </c>
      <c r="G49" s="36" t="s">
        <v>5049</v>
      </c>
      <c r="H49" s="36" t="s">
        <v>4962</v>
      </c>
      <c r="I49" s="36" t="s">
        <v>585</v>
      </c>
      <c r="J49" s="6" t="s">
        <v>5099</v>
      </c>
      <c r="K49" s="212" t="n">
        <v>3</v>
      </c>
      <c r="L49" s="212" t="s">
        <v>4876</v>
      </c>
      <c r="M49" s="6" t="s">
        <v>5100</v>
      </c>
      <c r="N49" s="212" t="s">
        <v>5008</v>
      </c>
      <c r="O49" s="36" t="s">
        <v>4963</v>
      </c>
      <c r="P49" s="36" t="s">
        <v>4964</v>
      </c>
      <c r="Q49" s="36" t="s">
        <v>5101</v>
      </c>
      <c r="R49" s="36" t="s">
        <v>585</v>
      </c>
      <c r="S49" s="36" t="s">
        <v>585</v>
      </c>
      <c r="T49" s="36" t="s">
        <v>585</v>
      </c>
      <c r="U49" s="36" t="s">
        <v>5102</v>
      </c>
      <c r="V49" s="6" t="s">
        <v>5119</v>
      </c>
      <c r="W49" s="6" t="s">
        <v>5120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5" t="str">
        <f aca="false">IF($O49="Active",$B49&amp;"¦"&amp;$G49&amp;"¦"&amp;$H49,"")</f>
        <v/>
      </c>
    </row>
    <row r="50" customFormat="false" ht="29.25" hidden="false" customHeight="true" outlineLevel="0" collapsed="false">
      <c r="A50" s="36" t="s">
        <v>3189</v>
      </c>
      <c r="B50" s="6" t="s">
        <v>5121</v>
      </c>
      <c r="C50" s="214" t="n">
        <v>1.8</v>
      </c>
      <c r="D50" s="212"/>
      <c r="E50" s="212"/>
      <c r="F50" s="36" t="s">
        <v>5122</v>
      </c>
      <c r="G50" s="212" t="s">
        <v>4961</v>
      </c>
      <c r="H50" s="36" t="s">
        <v>1822</v>
      </c>
      <c r="I50" s="36" t="s">
        <v>585</v>
      </c>
      <c r="J50" s="6" t="s">
        <v>5099</v>
      </c>
      <c r="K50" s="212" t="n">
        <v>3</v>
      </c>
      <c r="L50" s="212" t="s">
        <v>4876</v>
      </c>
      <c r="M50" s="6" t="s">
        <v>5100</v>
      </c>
      <c r="N50" s="212" t="s">
        <v>5008</v>
      </c>
      <c r="O50" s="36" t="s">
        <v>4879</v>
      </c>
      <c r="P50" s="36" t="s">
        <v>585</v>
      </c>
      <c r="Q50" s="36" t="s">
        <v>5101</v>
      </c>
      <c r="R50" s="36" t="s">
        <v>585</v>
      </c>
      <c r="S50" s="36" t="s">
        <v>585</v>
      </c>
      <c r="T50" s="36" t="s">
        <v>585</v>
      </c>
      <c r="U50" s="36" t="s">
        <v>5102</v>
      </c>
      <c r="V50" s="6" t="s">
        <v>5123</v>
      </c>
      <c r="W50" s="19" t="s">
        <v>5124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5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6" t="s">
        <v>2933</v>
      </c>
      <c r="B51" s="6" t="s">
        <v>5125</v>
      </c>
      <c r="C51" s="214" t="n">
        <v>72</v>
      </c>
      <c r="D51" s="212"/>
      <c r="E51" s="212"/>
      <c r="F51" s="36" t="s">
        <v>696</v>
      </c>
      <c r="G51" s="36" t="s">
        <v>5126</v>
      </c>
      <c r="H51" s="36" t="s">
        <v>5127</v>
      </c>
      <c r="I51" s="36" t="s">
        <v>585</v>
      </c>
      <c r="J51" s="6" t="s">
        <v>5099</v>
      </c>
      <c r="K51" s="212" t="n">
        <v>1</v>
      </c>
      <c r="L51" s="212" t="s">
        <v>4876</v>
      </c>
      <c r="M51" s="6" t="s">
        <v>5128</v>
      </c>
      <c r="N51" s="212" t="s">
        <v>4878</v>
      </c>
      <c r="O51" s="36" t="s">
        <v>4879</v>
      </c>
      <c r="P51" s="36" t="s">
        <v>585</v>
      </c>
      <c r="Q51" s="36" t="s">
        <v>5129</v>
      </c>
      <c r="R51" s="36" t="s">
        <v>585</v>
      </c>
      <c r="S51" s="36" t="s">
        <v>4724</v>
      </c>
      <c r="T51" s="36" t="s">
        <v>585</v>
      </c>
      <c r="U51" s="36" t="s">
        <v>5102</v>
      </c>
      <c r="V51" s="6" t="s">
        <v>5130</v>
      </c>
      <c r="W51" s="19" t="s">
        <v>5131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5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6" t="s">
        <v>3108</v>
      </c>
      <c r="B52" s="6" t="s">
        <v>5132</v>
      </c>
      <c r="C52" s="214" t="n">
        <v>0.9</v>
      </c>
      <c r="D52" s="212"/>
      <c r="E52" s="212"/>
      <c r="F52" s="36" t="s">
        <v>325</v>
      </c>
      <c r="G52" s="212" t="s">
        <v>5133</v>
      </c>
      <c r="H52" s="36" t="s">
        <v>5106</v>
      </c>
      <c r="I52" s="36" t="s">
        <v>585</v>
      </c>
      <c r="J52" s="6" t="s">
        <v>5099</v>
      </c>
      <c r="K52" s="212" t="n">
        <v>3</v>
      </c>
      <c r="L52" s="212" t="s">
        <v>4876</v>
      </c>
      <c r="M52" s="6" t="s">
        <v>5100</v>
      </c>
      <c r="N52" s="212" t="s">
        <v>5008</v>
      </c>
      <c r="O52" s="36" t="s">
        <v>4879</v>
      </c>
      <c r="P52" s="36" t="s">
        <v>585</v>
      </c>
      <c r="Q52" s="36" t="s">
        <v>5101</v>
      </c>
      <c r="R52" s="36" t="s">
        <v>585</v>
      </c>
      <c r="S52" s="36" t="s">
        <v>585</v>
      </c>
      <c r="T52" s="36" t="s">
        <v>585</v>
      </c>
      <c r="U52" s="36" t="s">
        <v>5102</v>
      </c>
      <c r="V52" s="6" t="s">
        <v>5134</v>
      </c>
      <c r="W52" s="19" t="s">
        <v>5135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5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6" t="s">
        <v>3112</v>
      </c>
      <c r="B53" s="6" t="s">
        <v>5136</v>
      </c>
      <c r="C53" s="214" t="n">
        <v>1.8</v>
      </c>
      <c r="D53" s="212"/>
      <c r="E53" s="212"/>
      <c r="F53" s="36" t="s">
        <v>325</v>
      </c>
      <c r="G53" s="212" t="s">
        <v>5133</v>
      </c>
      <c r="H53" s="36" t="s">
        <v>1822</v>
      </c>
      <c r="I53" s="36" t="s">
        <v>585</v>
      </c>
      <c r="J53" s="6" t="s">
        <v>5099</v>
      </c>
      <c r="K53" s="212" t="n">
        <v>3</v>
      </c>
      <c r="L53" s="212" t="s">
        <v>4876</v>
      </c>
      <c r="M53" s="6" t="s">
        <v>5100</v>
      </c>
      <c r="N53" s="212" t="s">
        <v>5008</v>
      </c>
      <c r="O53" s="36" t="s">
        <v>4879</v>
      </c>
      <c r="P53" s="36" t="s">
        <v>585</v>
      </c>
      <c r="Q53" s="36" t="s">
        <v>5101</v>
      </c>
      <c r="R53" s="36" t="s">
        <v>585</v>
      </c>
      <c r="S53" s="36" t="s">
        <v>585</v>
      </c>
      <c r="T53" s="36" t="s">
        <v>585</v>
      </c>
      <c r="U53" s="36" t="s">
        <v>5102</v>
      </c>
      <c r="V53" s="6" t="s">
        <v>5137</v>
      </c>
      <c r="W53" s="6" t="s">
        <v>585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5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6" t="s">
        <v>3150</v>
      </c>
      <c r="B54" s="6" t="s">
        <v>5138</v>
      </c>
      <c r="C54" s="214" t="n">
        <v>0.5625</v>
      </c>
      <c r="D54" s="212"/>
      <c r="E54" s="212"/>
      <c r="F54" s="36" t="s">
        <v>5139</v>
      </c>
      <c r="G54" s="212" t="s">
        <v>5140</v>
      </c>
      <c r="H54" s="36" t="s">
        <v>189</v>
      </c>
      <c r="I54" s="36" t="s">
        <v>585</v>
      </c>
      <c r="J54" s="6" t="s">
        <v>5099</v>
      </c>
      <c r="K54" s="212" t="n">
        <v>3</v>
      </c>
      <c r="L54" s="212" t="s">
        <v>4876</v>
      </c>
      <c r="M54" s="6" t="s">
        <v>5100</v>
      </c>
      <c r="N54" s="212" t="s">
        <v>5008</v>
      </c>
      <c r="O54" s="36" t="s">
        <v>4879</v>
      </c>
      <c r="P54" s="36" t="s">
        <v>585</v>
      </c>
      <c r="Q54" s="36" t="s">
        <v>5101</v>
      </c>
      <c r="R54" s="36" t="s">
        <v>585</v>
      </c>
      <c r="S54" s="36" t="s">
        <v>585</v>
      </c>
      <c r="T54" s="36" t="s">
        <v>585</v>
      </c>
      <c r="U54" s="36" t="s">
        <v>5102</v>
      </c>
      <c r="V54" s="6" t="s">
        <v>5141</v>
      </c>
      <c r="W54" s="6" t="s">
        <v>585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5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6" t="s">
        <v>5142</v>
      </c>
      <c r="B55" s="6" t="s">
        <v>5143</v>
      </c>
      <c r="C55" s="214" t="n">
        <v>3</v>
      </c>
      <c r="D55" s="212"/>
      <c r="E55" s="212"/>
      <c r="F55" s="36" t="s">
        <v>4914</v>
      </c>
      <c r="G55" s="212" t="s">
        <v>4961</v>
      </c>
      <c r="H55" s="36" t="s">
        <v>144</v>
      </c>
      <c r="I55" s="36" t="s">
        <v>585</v>
      </c>
      <c r="J55" s="19" t="s">
        <v>5144</v>
      </c>
      <c r="K55" s="212" t="n">
        <v>3</v>
      </c>
      <c r="L55" s="212" t="s">
        <v>4980</v>
      </c>
      <c r="M55" s="6" t="s">
        <v>5145</v>
      </c>
      <c r="N55" s="212" t="s">
        <v>4889</v>
      </c>
      <c r="O55" s="36" t="s">
        <v>4879</v>
      </c>
      <c r="P55" s="36" t="s">
        <v>585</v>
      </c>
      <c r="Q55" s="36" t="s">
        <v>5146</v>
      </c>
      <c r="R55" s="36" t="s">
        <v>585</v>
      </c>
      <c r="S55" s="36" t="s">
        <v>585</v>
      </c>
      <c r="T55" s="36" t="s">
        <v>585</v>
      </c>
      <c r="U55" s="36" t="s">
        <v>5147</v>
      </c>
      <c r="V55" s="6" t="s">
        <v>585</v>
      </c>
      <c r="W55" s="19" t="s">
        <v>5148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5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6" t="s">
        <v>2994</v>
      </c>
      <c r="B56" s="6" t="s">
        <v>5149</v>
      </c>
      <c r="C56" s="214" t="n">
        <v>4</v>
      </c>
      <c r="D56" s="212"/>
      <c r="E56" s="212"/>
      <c r="F56" s="36" t="s">
        <v>4914</v>
      </c>
      <c r="G56" s="212" t="s">
        <v>4977</v>
      </c>
      <c r="H56" s="36" t="s">
        <v>145</v>
      </c>
      <c r="I56" s="36" t="s">
        <v>585</v>
      </c>
      <c r="J56" s="19" t="s">
        <v>5144</v>
      </c>
      <c r="K56" s="212" t="n">
        <v>3</v>
      </c>
      <c r="L56" s="212" t="s">
        <v>4980</v>
      </c>
      <c r="M56" s="6" t="s">
        <v>5145</v>
      </c>
      <c r="N56" s="212" t="s">
        <v>4889</v>
      </c>
      <c r="O56" s="36" t="s">
        <v>4879</v>
      </c>
      <c r="P56" s="36" t="s">
        <v>585</v>
      </c>
      <c r="Q56" s="36" t="s">
        <v>5146</v>
      </c>
      <c r="R56" s="36" t="s">
        <v>585</v>
      </c>
      <c r="S56" s="36" t="s">
        <v>585</v>
      </c>
      <c r="T56" s="36" t="s">
        <v>585</v>
      </c>
      <c r="U56" s="36" t="s">
        <v>5147</v>
      </c>
      <c r="V56" s="6" t="s">
        <v>5150</v>
      </c>
      <c r="W56" s="19" t="s">
        <v>5151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5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6" t="s">
        <v>3119</v>
      </c>
      <c r="B57" s="6" t="s">
        <v>5152</v>
      </c>
      <c r="C57" s="214" t="n">
        <v>8</v>
      </c>
      <c r="D57" s="212"/>
      <c r="E57" s="212"/>
      <c r="F57" s="36" t="s">
        <v>696</v>
      </c>
      <c r="G57" s="36" t="s">
        <v>5153</v>
      </c>
      <c r="H57" s="36" t="s">
        <v>5154</v>
      </c>
      <c r="I57" s="36" t="s">
        <v>585</v>
      </c>
      <c r="J57" s="6" t="s">
        <v>5155</v>
      </c>
      <c r="K57" s="212" t="n">
        <v>1</v>
      </c>
      <c r="L57" s="212" t="s">
        <v>4876</v>
      </c>
      <c r="M57" s="6" t="s">
        <v>4877</v>
      </c>
      <c r="N57" s="212" t="s">
        <v>4878</v>
      </c>
      <c r="O57" s="36" t="s">
        <v>4879</v>
      </c>
      <c r="P57" s="36" t="s">
        <v>585</v>
      </c>
      <c r="Q57" s="36" t="s">
        <v>5156</v>
      </c>
      <c r="R57" s="36" t="s">
        <v>585</v>
      </c>
      <c r="S57" s="36" t="s">
        <v>4724</v>
      </c>
      <c r="T57" s="36" t="s">
        <v>585</v>
      </c>
      <c r="U57" s="36" t="s">
        <v>5157</v>
      </c>
      <c r="V57" s="6" t="s">
        <v>585</v>
      </c>
      <c r="W57" s="6" t="s">
        <v>5158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5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6" t="s">
        <v>5159</v>
      </c>
      <c r="B58" s="6" t="s">
        <v>5160</v>
      </c>
      <c r="C58" s="214" t="n">
        <v>144</v>
      </c>
      <c r="D58" s="212"/>
      <c r="E58" s="212"/>
      <c r="F58" s="212" t="s">
        <v>5161</v>
      </c>
      <c r="G58" s="36" t="s">
        <v>5162</v>
      </c>
      <c r="H58" s="36" t="s">
        <v>4962</v>
      </c>
      <c r="I58" s="36" t="s">
        <v>585</v>
      </c>
      <c r="J58" s="6" t="s">
        <v>5155</v>
      </c>
      <c r="K58" s="212" t="n">
        <v>3</v>
      </c>
      <c r="L58" s="212" t="s">
        <v>4876</v>
      </c>
      <c r="M58" s="6" t="s">
        <v>5163</v>
      </c>
      <c r="N58" s="212" t="s">
        <v>5008</v>
      </c>
      <c r="O58" s="36" t="s">
        <v>4963</v>
      </c>
      <c r="P58" s="36" t="s">
        <v>4964</v>
      </c>
      <c r="Q58" s="36" t="s">
        <v>5164</v>
      </c>
      <c r="R58" s="36" t="s">
        <v>585</v>
      </c>
      <c r="S58" s="36" t="s">
        <v>585</v>
      </c>
      <c r="T58" s="36" t="s">
        <v>585</v>
      </c>
      <c r="U58" s="36" t="s">
        <v>5157</v>
      </c>
      <c r="V58" s="6" t="s">
        <v>585</v>
      </c>
      <c r="W58" s="6" t="s">
        <v>5165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5" t="str">
        <f aca="false">IF($O58="Active",$B58&amp;"¦"&amp;$G58&amp;"¦"&amp;$H58,"")</f>
        <v/>
      </c>
    </row>
    <row r="59" customFormat="false" ht="29.25" hidden="false" customHeight="true" outlineLevel="0" collapsed="false">
      <c r="A59" s="36" t="s">
        <v>3148</v>
      </c>
      <c r="B59" s="6" t="s">
        <v>5166</v>
      </c>
      <c r="C59" s="214" t="n">
        <v>1</v>
      </c>
      <c r="D59" s="212"/>
      <c r="E59" s="212"/>
      <c r="F59" s="36" t="s">
        <v>5139</v>
      </c>
      <c r="G59" s="212" t="s">
        <v>5140</v>
      </c>
      <c r="H59" s="36" t="s">
        <v>188</v>
      </c>
      <c r="I59" s="36" t="s">
        <v>585</v>
      </c>
      <c r="J59" s="6" t="s">
        <v>5155</v>
      </c>
      <c r="K59" s="212" t="n">
        <v>3</v>
      </c>
      <c r="L59" s="212" t="s">
        <v>4980</v>
      </c>
      <c r="M59" s="19" t="s">
        <v>5167</v>
      </c>
      <c r="N59" s="212" t="s">
        <v>5008</v>
      </c>
      <c r="O59" s="36" t="s">
        <v>4879</v>
      </c>
      <c r="P59" s="36" t="s">
        <v>585</v>
      </c>
      <c r="Q59" s="36" t="s">
        <v>5164</v>
      </c>
      <c r="R59" s="36" t="s">
        <v>585</v>
      </c>
      <c r="S59" s="36" t="s">
        <v>585</v>
      </c>
      <c r="T59" s="36" t="s">
        <v>585</v>
      </c>
      <c r="U59" s="36" t="s">
        <v>5157</v>
      </c>
      <c r="V59" s="6" t="s">
        <v>585</v>
      </c>
      <c r="W59" s="6" t="s">
        <v>5168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5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6" t="s">
        <v>3183</v>
      </c>
      <c r="B60" s="6" t="s">
        <v>5169</v>
      </c>
      <c r="C60" s="214" t="n">
        <v>700</v>
      </c>
      <c r="D60" s="212"/>
      <c r="E60" s="212"/>
      <c r="F60" s="36" t="s">
        <v>5170</v>
      </c>
      <c r="G60" s="36" t="s">
        <v>5171</v>
      </c>
      <c r="H60" s="36" t="s">
        <v>143</v>
      </c>
      <c r="I60" s="36" t="s">
        <v>585</v>
      </c>
      <c r="J60" s="6" t="s">
        <v>5155</v>
      </c>
      <c r="K60" s="212" t="n">
        <v>3</v>
      </c>
      <c r="L60" s="212" t="s">
        <v>4876</v>
      </c>
      <c r="M60" s="6" t="s">
        <v>4877</v>
      </c>
      <c r="N60" s="212" t="s">
        <v>5008</v>
      </c>
      <c r="O60" s="36" t="s">
        <v>4879</v>
      </c>
      <c r="P60" s="36" t="s">
        <v>585</v>
      </c>
      <c r="Q60" s="36" t="s">
        <v>5164</v>
      </c>
      <c r="R60" s="36" t="s">
        <v>585</v>
      </c>
      <c r="S60" s="36" t="s">
        <v>585</v>
      </c>
      <c r="T60" s="36" t="s">
        <v>585</v>
      </c>
      <c r="U60" s="36" t="s">
        <v>5157</v>
      </c>
      <c r="V60" s="6" t="s">
        <v>585</v>
      </c>
      <c r="W60" s="6" t="s">
        <v>5168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5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6" t="s">
        <v>3185</v>
      </c>
      <c r="B61" s="6" t="s">
        <v>5172</v>
      </c>
      <c r="C61" s="214" t="n">
        <v>1200</v>
      </c>
      <c r="D61" s="212"/>
      <c r="E61" s="212"/>
      <c r="F61" s="36" t="s">
        <v>5170</v>
      </c>
      <c r="G61" s="212" t="s">
        <v>5173</v>
      </c>
      <c r="H61" s="36" t="s">
        <v>144</v>
      </c>
      <c r="I61" s="36" t="s">
        <v>585</v>
      </c>
      <c r="J61" s="6" t="s">
        <v>5155</v>
      </c>
      <c r="K61" s="212" t="n">
        <v>3</v>
      </c>
      <c r="L61" s="212" t="s">
        <v>4876</v>
      </c>
      <c r="M61" s="6" t="s">
        <v>4877</v>
      </c>
      <c r="N61" s="212" t="s">
        <v>5008</v>
      </c>
      <c r="O61" s="36" t="s">
        <v>4879</v>
      </c>
      <c r="P61" s="36" t="s">
        <v>585</v>
      </c>
      <c r="Q61" s="36" t="s">
        <v>5164</v>
      </c>
      <c r="R61" s="36" t="s">
        <v>585</v>
      </c>
      <c r="S61" s="36" t="s">
        <v>585</v>
      </c>
      <c r="T61" s="36" t="s">
        <v>585</v>
      </c>
      <c r="U61" s="36" t="s">
        <v>5157</v>
      </c>
      <c r="V61" s="6" t="s">
        <v>585</v>
      </c>
      <c r="W61" s="6" t="s">
        <v>5168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5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6" t="s">
        <v>3187</v>
      </c>
      <c r="B62" s="6" t="s">
        <v>5174</v>
      </c>
      <c r="C62" s="214" t="n">
        <v>1400</v>
      </c>
      <c r="D62" s="212"/>
      <c r="E62" s="212"/>
      <c r="F62" s="36" t="s">
        <v>5170</v>
      </c>
      <c r="G62" s="212" t="s">
        <v>5173</v>
      </c>
      <c r="H62" s="36" t="s">
        <v>145</v>
      </c>
      <c r="I62" s="36" t="s">
        <v>585</v>
      </c>
      <c r="J62" s="6" t="s">
        <v>5155</v>
      </c>
      <c r="K62" s="212" t="n">
        <v>3</v>
      </c>
      <c r="L62" s="212" t="s">
        <v>4876</v>
      </c>
      <c r="M62" s="6" t="s">
        <v>4877</v>
      </c>
      <c r="N62" s="212" t="s">
        <v>5008</v>
      </c>
      <c r="O62" s="36" t="s">
        <v>4879</v>
      </c>
      <c r="P62" s="36" t="s">
        <v>585</v>
      </c>
      <c r="Q62" s="36" t="s">
        <v>5164</v>
      </c>
      <c r="R62" s="36" t="s">
        <v>585</v>
      </c>
      <c r="S62" s="36" t="s">
        <v>585</v>
      </c>
      <c r="T62" s="36" t="s">
        <v>585</v>
      </c>
      <c r="U62" s="36" t="s">
        <v>5157</v>
      </c>
      <c r="V62" s="6" t="s">
        <v>585</v>
      </c>
      <c r="W62" s="6" t="s">
        <v>5168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5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6" t="s">
        <v>3093</v>
      </c>
      <c r="B63" s="6" t="s">
        <v>5175</v>
      </c>
      <c r="C63" s="214" t="n">
        <v>8</v>
      </c>
      <c r="D63" s="212"/>
      <c r="E63" s="212"/>
      <c r="F63" s="36" t="s">
        <v>325</v>
      </c>
      <c r="G63" s="36" t="s">
        <v>5063</v>
      </c>
      <c r="H63" s="36" t="s">
        <v>145</v>
      </c>
      <c r="I63" s="36" t="s">
        <v>585</v>
      </c>
      <c r="J63" s="6" t="s">
        <v>5155</v>
      </c>
      <c r="K63" s="212" t="n">
        <v>3</v>
      </c>
      <c r="L63" s="212" t="s">
        <v>4876</v>
      </c>
      <c r="M63" s="6" t="s">
        <v>4877</v>
      </c>
      <c r="N63" s="212" t="s">
        <v>5008</v>
      </c>
      <c r="O63" s="36" t="s">
        <v>4879</v>
      </c>
      <c r="P63" s="36" t="s">
        <v>585</v>
      </c>
      <c r="Q63" s="36" t="s">
        <v>5164</v>
      </c>
      <c r="R63" s="36" t="s">
        <v>585</v>
      </c>
      <c r="S63" s="36" t="s">
        <v>585</v>
      </c>
      <c r="T63" s="36" t="s">
        <v>585</v>
      </c>
      <c r="U63" s="36" t="s">
        <v>5157</v>
      </c>
      <c r="V63" s="6" t="s">
        <v>585</v>
      </c>
      <c r="W63" s="6" t="s">
        <v>5168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5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6" t="s">
        <v>3104</v>
      </c>
      <c r="B64" s="6" t="s">
        <v>5176</v>
      </c>
      <c r="C64" s="214" t="n">
        <v>400</v>
      </c>
      <c r="D64" s="212"/>
      <c r="E64" s="212"/>
      <c r="F64" s="36" t="s">
        <v>5177</v>
      </c>
      <c r="G64" s="212" t="s">
        <v>5178</v>
      </c>
      <c r="H64" s="36" t="s">
        <v>143</v>
      </c>
      <c r="I64" s="36" t="s">
        <v>585</v>
      </c>
      <c r="J64" s="6" t="s">
        <v>5155</v>
      </c>
      <c r="K64" s="212" t="n">
        <v>3</v>
      </c>
      <c r="L64" s="212" t="s">
        <v>4876</v>
      </c>
      <c r="M64" s="6" t="s">
        <v>4877</v>
      </c>
      <c r="N64" s="212" t="s">
        <v>5008</v>
      </c>
      <c r="O64" s="36" t="s">
        <v>4879</v>
      </c>
      <c r="P64" s="36" t="s">
        <v>585</v>
      </c>
      <c r="Q64" s="36" t="s">
        <v>5164</v>
      </c>
      <c r="R64" s="36" t="s">
        <v>585</v>
      </c>
      <c r="S64" s="36" t="s">
        <v>585</v>
      </c>
      <c r="T64" s="36" t="s">
        <v>585</v>
      </c>
      <c r="U64" s="36" t="s">
        <v>5157</v>
      </c>
      <c r="V64" s="6" t="s">
        <v>585</v>
      </c>
      <c r="W64" s="6" t="s">
        <v>5168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5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6" t="s">
        <v>2939</v>
      </c>
      <c r="B65" s="6" t="s">
        <v>5179</v>
      </c>
      <c r="C65" s="214" t="n">
        <v>72</v>
      </c>
      <c r="D65" s="212"/>
      <c r="E65" s="212"/>
      <c r="F65" s="212" t="s">
        <v>5161</v>
      </c>
      <c r="G65" s="212" t="s">
        <v>5180</v>
      </c>
      <c r="H65" s="36" t="s">
        <v>5181</v>
      </c>
      <c r="I65" s="36" t="s">
        <v>1187</v>
      </c>
      <c r="J65" s="6" t="s">
        <v>5182</v>
      </c>
      <c r="K65" s="212" t="n">
        <v>1</v>
      </c>
      <c r="L65" s="212" t="s">
        <v>4876</v>
      </c>
      <c r="M65" s="6" t="s">
        <v>5183</v>
      </c>
      <c r="N65" s="212" t="s">
        <v>4878</v>
      </c>
      <c r="O65" s="36" t="s">
        <v>4879</v>
      </c>
      <c r="P65" s="36" t="s">
        <v>585</v>
      </c>
      <c r="Q65" s="36" t="s">
        <v>5184</v>
      </c>
      <c r="R65" s="36" t="s">
        <v>585</v>
      </c>
      <c r="S65" s="36" t="s">
        <v>585</v>
      </c>
      <c r="T65" s="36" t="s">
        <v>585</v>
      </c>
      <c r="U65" s="36" t="s">
        <v>5185</v>
      </c>
      <c r="V65" s="6" t="s">
        <v>5186</v>
      </c>
      <c r="W65" s="6" t="s">
        <v>5187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5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6" t="s">
        <v>3125</v>
      </c>
      <c r="B66" s="6" t="s">
        <v>5188</v>
      </c>
      <c r="C66" s="214" t="n">
        <v>576</v>
      </c>
      <c r="D66" s="212"/>
      <c r="E66" s="212"/>
      <c r="F66" s="36" t="s">
        <v>696</v>
      </c>
      <c r="G66" s="36" t="s">
        <v>5189</v>
      </c>
      <c r="H66" s="36" t="s">
        <v>4962</v>
      </c>
      <c r="I66" s="36" t="s">
        <v>1187</v>
      </c>
      <c r="J66" s="6" t="s">
        <v>5182</v>
      </c>
      <c r="K66" s="212" t="n">
        <v>1</v>
      </c>
      <c r="L66" s="212" t="s">
        <v>4876</v>
      </c>
      <c r="M66" s="6" t="s">
        <v>5190</v>
      </c>
      <c r="N66" s="212" t="s">
        <v>4878</v>
      </c>
      <c r="O66" s="36" t="s">
        <v>4879</v>
      </c>
      <c r="P66" s="36" t="s">
        <v>585</v>
      </c>
      <c r="Q66" s="36" t="s">
        <v>5184</v>
      </c>
      <c r="R66" s="36" t="s">
        <v>585</v>
      </c>
      <c r="S66" s="36" t="s">
        <v>585</v>
      </c>
      <c r="T66" s="36" t="s">
        <v>585</v>
      </c>
      <c r="U66" s="36" t="s">
        <v>5185</v>
      </c>
      <c r="V66" s="6" t="s">
        <v>5191</v>
      </c>
      <c r="W66" s="6" t="s">
        <v>5192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5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6" t="s">
        <v>3049</v>
      </c>
      <c r="B67" s="6" t="s">
        <v>5193</v>
      </c>
      <c r="C67" s="214" t="n">
        <v>2520</v>
      </c>
      <c r="D67" s="212"/>
      <c r="E67" s="212"/>
      <c r="F67" s="36" t="s">
        <v>5194</v>
      </c>
      <c r="G67" s="36" t="s">
        <v>5195</v>
      </c>
      <c r="H67" s="36" t="s">
        <v>146</v>
      </c>
      <c r="I67" s="36" t="s">
        <v>4886</v>
      </c>
      <c r="J67" s="6" t="s">
        <v>5196</v>
      </c>
      <c r="K67" s="212" t="n">
        <v>1</v>
      </c>
      <c r="L67" s="212" t="s">
        <v>4876</v>
      </c>
      <c r="M67" s="6" t="s">
        <v>5197</v>
      </c>
      <c r="N67" s="212" t="s">
        <v>4878</v>
      </c>
      <c r="O67" s="36" t="s">
        <v>4879</v>
      </c>
      <c r="P67" s="36" t="s">
        <v>585</v>
      </c>
      <c r="Q67" s="36" t="s">
        <v>5198</v>
      </c>
      <c r="R67" s="36" t="s">
        <v>585</v>
      </c>
      <c r="S67" s="36" t="s">
        <v>585</v>
      </c>
      <c r="T67" s="36" t="s">
        <v>585</v>
      </c>
      <c r="U67" s="36" t="s">
        <v>5185</v>
      </c>
      <c r="V67" s="19" t="s">
        <v>5199</v>
      </c>
      <c r="W67" s="6" t="s">
        <v>5200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5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6" t="s">
        <v>5201</v>
      </c>
      <c r="B68" s="6" t="s">
        <v>5202</v>
      </c>
      <c r="C68" s="214" t="n">
        <v>227</v>
      </c>
      <c r="D68" s="212"/>
      <c r="E68" s="212"/>
      <c r="F68" s="36" t="s">
        <v>4898</v>
      </c>
      <c r="G68" s="212" t="s">
        <v>5203</v>
      </c>
      <c r="H68" s="36" t="s">
        <v>146</v>
      </c>
      <c r="I68" s="36" t="s">
        <v>1187</v>
      </c>
      <c r="J68" s="6" t="s">
        <v>5204</v>
      </c>
      <c r="K68" s="212" t="n">
        <v>1</v>
      </c>
      <c r="L68" s="212" t="s">
        <v>4876</v>
      </c>
      <c r="M68" s="6" t="s">
        <v>5205</v>
      </c>
      <c r="N68" s="212" t="s">
        <v>4878</v>
      </c>
      <c r="O68" s="36" t="s">
        <v>4879</v>
      </c>
      <c r="P68" s="36" t="s">
        <v>585</v>
      </c>
      <c r="Q68" s="36" t="s">
        <v>5206</v>
      </c>
      <c r="R68" s="36" t="s">
        <v>585</v>
      </c>
      <c r="S68" s="36" t="s">
        <v>585</v>
      </c>
      <c r="T68" s="36" t="s">
        <v>585</v>
      </c>
      <c r="U68" s="36" t="s">
        <v>5185</v>
      </c>
      <c r="V68" s="19" t="s">
        <v>5207</v>
      </c>
      <c r="W68" s="6" t="s">
        <v>5208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5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5209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29.25" hidden="false" customHeight="true" outlineLevel="0" collapsed="false">
      <c r="A5" s="36" t="s">
        <v>2800</v>
      </c>
      <c r="B5" s="6" t="s">
        <v>5210</v>
      </c>
      <c r="C5" s="212"/>
      <c r="D5" s="214" t="n">
        <v>0.04</v>
      </c>
      <c r="E5" s="214" t="n">
        <v>0.08</v>
      </c>
      <c r="F5" s="36" t="s">
        <v>77</v>
      </c>
      <c r="G5" s="212" t="s">
        <v>5211</v>
      </c>
      <c r="H5" s="36" t="s">
        <v>585</v>
      </c>
      <c r="I5" s="36" t="s">
        <v>4886</v>
      </c>
      <c r="J5" s="6" t="s">
        <v>5212</v>
      </c>
      <c r="K5" s="212" t="n">
        <v>3</v>
      </c>
      <c r="L5" s="212" t="s">
        <v>4876</v>
      </c>
      <c r="M5" s="6" t="s">
        <v>5213</v>
      </c>
      <c r="N5" s="212" t="s">
        <v>4889</v>
      </c>
      <c r="O5" s="36" t="s">
        <v>4879</v>
      </c>
      <c r="P5" s="36" t="s">
        <v>585</v>
      </c>
      <c r="Q5" s="36" t="s">
        <v>5214</v>
      </c>
      <c r="R5" s="36" t="s">
        <v>585</v>
      </c>
      <c r="S5" s="36" t="s">
        <v>585</v>
      </c>
      <c r="T5" s="36" t="s">
        <v>585</v>
      </c>
      <c r="U5" s="36" t="s">
        <v>5215</v>
      </c>
      <c r="V5" s="6" t="s">
        <v>5216</v>
      </c>
      <c r="W5" s="19" t="s">
        <v>5217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6" t="s">
        <v>2805</v>
      </c>
      <c r="B6" s="19" t="s">
        <v>5218</v>
      </c>
      <c r="C6" s="214" t="n">
        <v>0.15</v>
      </c>
      <c r="D6" s="212"/>
      <c r="E6" s="212"/>
      <c r="F6" s="36" t="s">
        <v>77</v>
      </c>
      <c r="G6" s="212" t="s">
        <v>5219</v>
      </c>
      <c r="H6" s="36" t="s">
        <v>585</v>
      </c>
      <c r="I6" s="36" t="s">
        <v>4886</v>
      </c>
      <c r="J6" s="6" t="s">
        <v>5212</v>
      </c>
      <c r="K6" s="212" t="n">
        <v>3</v>
      </c>
      <c r="L6" s="212" t="s">
        <v>4876</v>
      </c>
      <c r="M6" s="6" t="s">
        <v>5213</v>
      </c>
      <c r="N6" s="212" t="s">
        <v>4889</v>
      </c>
      <c r="O6" s="36" t="s">
        <v>4879</v>
      </c>
      <c r="P6" s="36" t="s">
        <v>585</v>
      </c>
      <c r="Q6" s="36" t="s">
        <v>5214</v>
      </c>
      <c r="R6" s="36" t="s">
        <v>585</v>
      </c>
      <c r="S6" s="36" t="s">
        <v>585</v>
      </c>
      <c r="T6" s="36" t="s">
        <v>585</v>
      </c>
      <c r="U6" s="36" t="s">
        <v>5215</v>
      </c>
      <c r="V6" s="6" t="s">
        <v>5220</v>
      </c>
      <c r="W6" s="6" t="s">
        <v>5221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6" t="s">
        <v>2150</v>
      </c>
      <c r="B7" s="19" t="s">
        <v>5222</v>
      </c>
      <c r="C7" s="214" t="n">
        <v>11.3</v>
      </c>
      <c r="D7" s="212"/>
      <c r="E7" s="212"/>
      <c r="F7" s="36" t="s">
        <v>98</v>
      </c>
      <c r="G7" s="212" t="s">
        <v>5223</v>
      </c>
      <c r="H7" s="212" t="s">
        <v>5224</v>
      </c>
      <c r="I7" s="36" t="s">
        <v>4886</v>
      </c>
      <c r="J7" s="6" t="s">
        <v>5225</v>
      </c>
      <c r="K7" s="212" t="n">
        <v>3</v>
      </c>
      <c r="L7" s="212" t="s">
        <v>4980</v>
      </c>
      <c r="M7" s="6" t="s">
        <v>5226</v>
      </c>
      <c r="N7" s="212" t="s">
        <v>4889</v>
      </c>
      <c r="O7" s="36" t="s">
        <v>4879</v>
      </c>
      <c r="P7" s="36" t="s">
        <v>585</v>
      </c>
      <c r="Q7" s="36" t="s">
        <v>3678</v>
      </c>
      <c r="R7" s="36" t="s">
        <v>585</v>
      </c>
      <c r="S7" s="36" t="s">
        <v>585</v>
      </c>
      <c r="T7" s="36" t="s">
        <v>585</v>
      </c>
      <c r="U7" s="36" t="s">
        <v>5227</v>
      </c>
      <c r="V7" s="6" t="s">
        <v>5228</v>
      </c>
      <c r="W7" s="6" t="s">
        <v>5229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5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6" t="s">
        <v>5230</v>
      </c>
      <c r="B8" s="19" t="s">
        <v>5231</v>
      </c>
      <c r="C8" s="212"/>
      <c r="D8" s="214" t="n">
        <v>0.07</v>
      </c>
      <c r="E8" s="214" t="n">
        <v>0.1</v>
      </c>
      <c r="F8" s="36" t="s">
        <v>77</v>
      </c>
      <c r="G8" s="212" t="s">
        <v>5232</v>
      </c>
      <c r="H8" s="212" t="s">
        <v>5233</v>
      </c>
      <c r="I8" s="36" t="s">
        <v>4886</v>
      </c>
      <c r="J8" s="6" t="s">
        <v>5225</v>
      </c>
      <c r="K8" s="212" t="n">
        <v>3</v>
      </c>
      <c r="L8" s="212" t="s">
        <v>4980</v>
      </c>
      <c r="M8" s="6" t="s">
        <v>5226</v>
      </c>
      <c r="N8" s="212" t="s">
        <v>4889</v>
      </c>
      <c r="O8" s="36" t="s">
        <v>4879</v>
      </c>
      <c r="P8" s="36" t="s">
        <v>585</v>
      </c>
      <c r="Q8" s="36" t="s">
        <v>3678</v>
      </c>
      <c r="R8" s="36" t="s">
        <v>585</v>
      </c>
      <c r="S8" s="36" t="s">
        <v>585</v>
      </c>
      <c r="T8" s="36" t="s">
        <v>585</v>
      </c>
      <c r="U8" s="36" t="s">
        <v>5227</v>
      </c>
      <c r="V8" s="6" t="s">
        <v>5228</v>
      </c>
      <c r="W8" s="6" t="s">
        <v>585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5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6" t="s">
        <v>5234</v>
      </c>
      <c r="B9" s="19" t="s">
        <v>5235</v>
      </c>
      <c r="C9" s="214" t="n">
        <v>0.0858</v>
      </c>
      <c r="D9" s="212"/>
      <c r="E9" s="212"/>
      <c r="F9" s="36" t="s">
        <v>87</v>
      </c>
      <c r="G9" s="212" t="s">
        <v>5236</v>
      </c>
      <c r="H9" s="212" t="s">
        <v>1176</v>
      </c>
      <c r="I9" s="36" t="s">
        <v>4916</v>
      </c>
      <c r="J9" s="6" t="s">
        <v>5237</v>
      </c>
      <c r="K9" s="212" t="n">
        <v>2</v>
      </c>
      <c r="L9" s="212" t="s">
        <v>4980</v>
      </c>
      <c r="M9" s="6" t="s">
        <v>5238</v>
      </c>
      <c r="N9" s="212" t="s">
        <v>5239</v>
      </c>
      <c r="O9" s="36" t="s">
        <v>4879</v>
      </c>
      <c r="P9" s="36" t="s">
        <v>585</v>
      </c>
      <c r="Q9" s="36" t="s">
        <v>3690</v>
      </c>
      <c r="R9" s="36" t="s">
        <v>585</v>
      </c>
      <c r="S9" s="36" t="s">
        <v>585</v>
      </c>
      <c r="T9" s="36" t="s">
        <v>585</v>
      </c>
      <c r="U9" s="36" t="s">
        <v>5240</v>
      </c>
      <c r="V9" s="6" t="s">
        <v>585</v>
      </c>
      <c r="W9" s="6" t="s">
        <v>585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5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6" t="s">
        <v>2793</v>
      </c>
      <c r="B10" s="19" t="s">
        <v>5241</v>
      </c>
      <c r="C10" s="214" t="n">
        <v>0.0871</v>
      </c>
      <c r="D10" s="212"/>
      <c r="E10" s="212"/>
      <c r="F10" s="36" t="s">
        <v>87</v>
      </c>
      <c r="G10" s="212" t="s">
        <v>5236</v>
      </c>
      <c r="H10" s="212" t="s">
        <v>1176</v>
      </c>
      <c r="I10" s="36" t="s">
        <v>4978</v>
      </c>
      <c r="J10" s="6" t="s">
        <v>5237</v>
      </c>
      <c r="K10" s="212" t="n">
        <v>2</v>
      </c>
      <c r="L10" s="212" t="s">
        <v>4980</v>
      </c>
      <c r="M10" s="6" t="s">
        <v>5238</v>
      </c>
      <c r="N10" s="212" t="s">
        <v>5239</v>
      </c>
      <c r="O10" s="36" t="s">
        <v>4879</v>
      </c>
      <c r="P10" s="36" t="s">
        <v>585</v>
      </c>
      <c r="Q10" s="36" t="s">
        <v>3690</v>
      </c>
      <c r="R10" s="36" t="s">
        <v>585</v>
      </c>
      <c r="S10" s="36" t="s">
        <v>585</v>
      </c>
      <c r="T10" s="36" t="s">
        <v>585</v>
      </c>
      <c r="U10" s="36" t="s">
        <v>5240</v>
      </c>
      <c r="V10" s="6" t="s">
        <v>5242</v>
      </c>
      <c r="W10" s="19" t="s">
        <v>5243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5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6" t="s">
        <v>2902</v>
      </c>
      <c r="B11" s="6" t="s">
        <v>5244</v>
      </c>
      <c r="C11" s="214" t="n">
        <v>6</v>
      </c>
      <c r="D11" s="212"/>
      <c r="E11" s="212"/>
      <c r="F11" s="212" t="s">
        <v>112</v>
      </c>
      <c r="G11" s="212" t="s">
        <v>5245</v>
      </c>
      <c r="H11" s="36" t="s">
        <v>5246</v>
      </c>
      <c r="I11" s="36" t="s">
        <v>5005</v>
      </c>
      <c r="J11" s="6" t="s">
        <v>5247</v>
      </c>
      <c r="K11" s="212" t="n">
        <v>2</v>
      </c>
      <c r="L11" s="212" t="s">
        <v>4876</v>
      </c>
      <c r="M11" s="19" t="s">
        <v>5248</v>
      </c>
      <c r="N11" s="212" t="s">
        <v>4889</v>
      </c>
      <c r="O11" s="36" t="s">
        <v>4879</v>
      </c>
      <c r="P11" s="36" t="s">
        <v>585</v>
      </c>
      <c r="Q11" s="36" t="s">
        <v>3702</v>
      </c>
      <c r="R11" s="36" t="s">
        <v>585</v>
      </c>
      <c r="S11" s="36" t="s">
        <v>585</v>
      </c>
      <c r="T11" s="36" t="s">
        <v>585</v>
      </c>
      <c r="U11" s="36" t="s">
        <v>5249</v>
      </c>
      <c r="V11" s="6" t="s">
        <v>5250</v>
      </c>
      <c r="W11" s="6" t="s">
        <v>5251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6" t="s">
        <v>2909</v>
      </c>
      <c r="B12" s="6" t="s">
        <v>5252</v>
      </c>
      <c r="C12" s="214" t="n">
        <v>4</v>
      </c>
      <c r="D12" s="212"/>
      <c r="E12" s="212"/>
      <c r="F12" s="212" t="s">
        <v>112</v>
      </c>
      <c r="G12" s="212" t="s">
        <v>5245</v>
      </c>
      <c r="H12" s="36" t="s">
        <v>5253</v>
      </c>
      <c r="I12" s="36" t="s">
        <v>5005</v>
      </c>
      <c r="J12" s="6" t="s">
        <v>5247</v>
      </c>
      <c r="K12" s="212" t="n">
        <v>2</v>
      </c>
      <c r="L12" s="212" t="s">
        <v>4876</v>
      </c>
      <c r="M12" s="19" t="s">
        <v>5248</v>
      </c>
      <c r="N12" s="212" t="s">
        <v>4889</v>
      </c>
      <c r="O12" s="36" t="s">
        <v>4879</v>
      </c>
      <c r="P12" s="36" t="s">
        <v>585</v>
      </c>
      <c r="Q12" s="36" t="s">
        <v>3702</v>
      </c>
      <c r="R12" s="36" t="s">
        <v>585</v>
      </c>
      <c r="S12" s="36" t="s">
        <v>585</v>
      </c>
      <c r="T12" s="36" t="s">
        <v>585</v>
      </c>
      <c r="U12" s="36" t="s">
        <v>5249</v>
      </c>
      <c r="V12" s="6" t="s">
        <v>5254</v>
      </c>
      <c r="W12" s="6" t="s">
        <v>585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6" t="s">
        <v>5255</v>
      </c>
      <c r="B13" s="6" t="s">
        <v>5256</v>
      </c>
      <c r="C13" s="214" t="n">
        <v>5</v>
      </c>
      <c r="D13" s="212"/>
      <c r="E13" s="212"/>
      <c r="F13" s="212" t="s">
        <v>112</v>
      </c>
      <c r="G13" s="212" t="s">
        <v>5245</v>
      </c>
      <c r="H13" s="36" t="s">
        <v>5257</v>
      </c>
      <c r="I13" s="36" t="s">
        <v>5005</v>
      </c>
      <c r="J13" s="6" t="s">
        <v>5247</v>
      </c>
      <c r="K13" s="212" t="n">
        <v>2</v>
      </c>
      <c r="L13" s="212" t="s">
        <v>4876</v>
      </c>
      <c r="M13" s="19" t="s">
        <v>5248</v>
      </c>
      <c r="N13" s="212" t="s">
        <v>4889</v>
      </c>
      <c r="O13" s="36" t="s">
        <v>4879</v>
      </c>
      <c r="P13" s="36" t="s">
        <v>585</v>
      </c>
      <c r="Q13" s="36" t="s">
        <v>3702</v>
      </c>
      <c r="R13" s="36" t="s">
        <v>585</v>
      </c>
      <c r="S13" s="36" t="s">
        <v>585</v>
      </c>
      <c r="T13" s="36" t="s">
        <v>585</v>
      </c>
      <c r="U13" s="36" t="s">
        <v>5249</v>
      </c>
      <c r="V13" s="6" t="s">
        <v>585</v>
      </c>
      <c r="W13" s="6" t="s">
        <v>585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6" t="s">
        <v>2134</v>
      </c>
      <c r="B14" s="19" t="s">
        <v>5258</v>
      </c>
      <c r="C14" s="212"/>
      <c r="D14" s="214" t="n">
        <v>50</v>
      </c>
      <c r="E14" s="214" t="n">
        <v>60</v>
      </c>
      <c r="F14" s="36" t="s">
        <v>2122</v>
      </c>
      <c r="G14" s="36" t="s">
        <v>5259</v>
      </c>
      <c r="H14" s="36" t="s">
        <v>585</v>
      </c>
      <c r="I14" s="36" t="s">
        <v>5260</v>
      </c>
      <c r="J14" s="6" t="s">
        <v>5261</v>
      </c>
      <c r="K14" s="212" t="n">
        <v>3</v>
      </c>
      <c r="L14" s="212" t="s">
        <v>4876</v>
      </c>
      <c r="M14" s="6" t="s">
        <v>5262</v>
      </c>
      <c r="N14" s="212" t="s">
        <v>4889</v>
      </c>
      <c r="O14" s="36" t="s">
        <v>4879</v>
      </c>
      <c r="P14" s="36" t="s">
        <v>585</v>
      </c>
      <c r="Q14" s="36" t="s">
        <v>5263</v>
      </c>
      <c r="R14" s="36" t="s">
        <v>585</v>
      </c>
      <c r="S14" s="36" t="s">
        <v>585</v>
      </c>
      <c r="T14" s="36" t="s">
        <v>585</v>
      </c>
      <c r="U14" s="36" t="s">
        <v>5264</v>
      </c>
      <c r="V14" s="6" t="s">
        <v>5265</v>
      </c>
      <c r="W14" s="6" t="s">
        <v>585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6" t="s">
        <v>2141</v>
      </c>
      <c r="B15" s="19" t="s">
        <v>5266</v>
      </c>
      <c r="C15" s="214" t="n">
        <v>35</v>
      </c>
      <c r="D15" s="212"/>
      <c r="E15" s="212"/>
      <c r="F15" s="36" t="s">
        <v>2122</v>
      </c>
      <c r="G15" s="36" t="s">
        <v>5259</v>
      </c>
      <c r="H15" s="36" t="s">
        <v>585</v>
      </c>
      <c r="I15" s="36" t="s">
        <v>5260</v>
      </c>
      <c r="J15" s="6" t="s">
        <v>5261</v>
      </c>
      <c r="K15" s="212" t="n">
        <v>3</v>
      </c>
      <c r="L15" s="212" t="s">
        <v>4876</v>
      </c>
      <c r="M15" s="6" t="s">
        <v>5262</v>
      </c>
      <c r="N15" s="212" t="s">
        <v>4889</v>
      </c>
      <c r="O15" s="36" t="s">
        <v>4879</v>
      </c>
      <c r="P15" s="36" t="s">
        <v>585</v>
      </c>
      <c r="Q15" s="36" t="s">
        <v>5263</v>
      </c>
      <c r="R15" s="36" t="s">
        <v>585</v>
      </c>
      <c r="S15" s="36" t="s">
        <v>585</v>
      </c>
      <c r="T15" s="36" t="s">
        <v>585</v>
      </c>
      <c r="U15" s="36" t="s">
        <v>5264</v>
      </c>
      <c r="V15" s="6" t="s">
        <v>5267</v>
      </c>
      <c r="W15" s="6" t="s">
        <v>585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6" t="s">
        <v>2174</v>
      </c>
      <c r="B16" s="6" t="s">
        <v>5268</v>
      </c>
      <c r="C16" s="214" t="n">
        <v>2.21</v>
      </c>
      <c r="D16" s="212"/>
      <c r="E16" s="212"/>
      <c r="F16" s="36" t="s">
        <v>817</v>
      </c>
      <c r="G16" s="212" t="s">
        <v>5269</v>
      </c>
      <c r="H16" s="36" t="s">
        <v>144</v>
      </c>
      <c r="I16" s="36" t="s">
        <v>4978</v>
      </c>
      <c r="J16" s="6" t="s">
        <v>5270</v>
      </c>
      <c r="K16" s="212" t="n">
        <v>2</v>
      </c>
      <c r="L16" s="212" t="s">
        <v>4876</v>
      </c>
      <c r="M16" s="6" t="s">
        <v>5271</v>
      </c>
      <c r="N16" s="212" t="s">
        <v>5272</v>
      </c>
      <c r="O16" s="36" t="s">
        <v>4879</v>
      </c>
      <c r="P16" s="36" t="s">
        <v>585</v>
      </c>
      <c r="Q16" s="36" t="s">
        <v>5273</v>
      </c>
      <c r="R16" s="36" t="s">
        <v>585</v>
      </c>
      <c r="S16" s="36" t="s">
        <v>585</v>
      </c>
      <c r="T16" s="36" t="s">
        <v>585</v>
      </c>
      <c r="U16" s="36" t="s">
        <v>5274</v>
      </c>
      <c r="V16" s="6" t="s">
        <v>5275</v>
      </c>
      <c r="W16" s="19" t="s">
        <v>5276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6" t="s">
        <v>2178</v>
      </c>
      <c r="B17" s="6" t="s">
        <v>5277</v>
      </c>
      <c r="C17" s="214" t="n">
        <v>2.65</v>
      </c>
      <c r="D17" s="212"/>
      <c r="E17" s="212"/>
      <c r="F17" s="36" t="s">
        <v>817</v>
      </c>
      <c r="G17" s="212" t="s">
        <v>5269</v>
      </c>
      <c r="H17" s="36" t="s">
        <v>145</v>
      </c>
      <c r="I17" s="36" t="s">
        <v>4978</v>
      </c>
      <c r="J17" s="6" t="s">
        <v>5270</v>
      </c>
      <c r="K17" s="212" t="n">
        <v>2</v>
      </c>
      <c r="L17" s="212" t="s">
        <v>4876</v>
      </c>
      <c r="M17" s="6" t="s">
        <v>5271</v>
      </c>
      <c r="N17" s="212" t="s">
        <v>5272</v>
      </c>
      <c r="O17" s="36" t="s">
        <v>4879</v>
      </c>
      <c r="P17" s="36" t="s">
        <v>585</v>
      </c>
      <c r="Q17" s="36" t="s">
        <v>5273</v>
      </c>
      <c r="R17" s="36" t="s">
        <v>585</v>
      </c>
      <c r="S17" s="36" t="s">
        <v>585</v>
      </c>
      <c r="T17" s="36" t="s">
        <v>585</v>
      </c>
      <c r="U17" s="36" t="s">
        <v>5274</v>
      </c>
      <c r="V17" s="6" t="s">
        <v>5278</v>
      </c>
      <c r="W17" s="19" t="s">
        <v>5276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5279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29.25" hidden="false" customHeight="true" outlineLevel="0" collapsed="false">
      <c r="A5" s="36" t="s">
        <v>3250</v>
      </c>
      <c r="B5" s="6" t="s">
        <v>5280</v>
      </c>
      <c r="C5" s="214" t="n">
        <v>1600</v>
      </c>
      <c r="D5" s="212"/>
      <c r="E5" s="212"/>
      <c r="F5" s="36" t="s">
        <v>234</v>
      </c>
      <c r="G5" s="36" t="s">
        <v>585</v>
      </c>
      <c r="H5" s="36" t="s">
        <v>5281</v>
      </c>
      <c r="I5" s="36" t="s">
        <v>4886</v>
      </c>
      <c r="J5" s="6" t="s">
        <v>5282</v>
      </c>
      <c r="K5" s="212" t="n">
        <v>3</v>
      </c>
      <c r="L5" s="212" t="s">
        <v>4876</v>
      </c>
      <c r="M5" s="6" t="s">
        <v>5283</v>
      </c>
      <c r="N5" s="212" t="s">
        <v>4889</v>
      </c>
      <c r="O5" s="36" t="s">
        <v>4879</v>
      </c>
      <c r="P5" s="36" t="s">
        <v>585</v>
      </c>
      <c r="Q5" s="36" t="s">
        <v>5284</v>
      </c>
      <c r="R5" s="36" t="s">
        <v>585</v>
      </c>
      <c r="S5" s="36" t="s">
        <v>585</v>
      </c>
      <c r="T5" s="36" t="s">
        <v>585</v>
      </c>
      <c r="U5" s="36" t="s">
        <v>2538</v>
      </c>
      <c r="V5" s="6" t="s">
        <v>5285</v>
      </c>
      <c r="W5" s="19" t="s">
        <v>5286</v>
      </c>
      <c r="X5" s="185" t="n">
        <f aca="false">IF($O5="Active",SUMPRODUCT(($AH$5:$AH$109=$AH5)*1),0)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6" t="s">
        <v>3256</v>
      </c>
      <c r="B6" s="6" t="s">
        <v>5287</v>
      </c>
      <c r="C6" s="214" t="n">
        <v>49</v>
      </c>
      <c r="D6" s="212"/>
      <c r="E6" s="212"/>
      <c r="F6" s="36" t="s">
        <v>234</v>
      </c>
      <c r="G6" s="36" t="s">
        <v>585</v>
      </c>
      <c r="H6" s="36" t="s">
        <v>5281</v>
      </c>
      <c r="I6" s="36" t="s">
        <v>4886</v>
      </c>
      <c r="J6" s="6" t="s">
        <v>5282</v>
      </c>
      <c r="K6" s="212" t="n">
        <v>1</v>
      </c>
      <c r="L6" s="212" t="s">
        <v>4876</v>
      </c>
      <c r="M6" s="6" t="s">
        <v>5283</v>
      </c>
      <c r="N6" s="212" t="s">
        <v>4878</v>
      </c>
      <c r="O6" s="36" t="s">
        <v>4879</v>
      </c>
      <c r="P6" s="36" t="s">
        <v>585</v>
      </c>
      <c r="Q6" s="36" t="s">
        <v>5288</v>
      </c>
      <c r="R6" s="36" t="s">
        <v>585</v>
      </c>
      <c r="S6" s="36" t="s">
        <v>4724</v>
      </c>
      <c r="T6" s="36" t="s">
        <v>585</v>
      </c>
      <c r="U6" s="36" t="s">
        <v>2538</v>
      </c>
      <c r="V6" s="6" t="s">
        <v>5289</v>
      </c>
      <c r="W6" s="6" t="s">
        <v>5290</v>
      </c>
      <c r="X6" s="185" t="n">
        <f aca="false">IF($O6="Active",SUMPRODUCT(($AH$5:$AH$109=$AH6)*1),0)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6" t="s">
        <v>3260</v>
      </c>
      <c r="B7" s="6" t="s">
        <v>5291</v>
      </c>
      <c r="C7" s="214" t="n">
        <v>61</v>
      </c>
      <c r="D7" s="212"/>
      <c r="E7" s="212"/>
      <c r="F7" s="212" t="s">
        <v>240</v>
      </c>
      <c r="G7" s="36" t="s">
        <v>585</v>
      </c>
      <c r="H7" s="36" t="s">
        <v>5281</v>
      </c>
      <c r="I7" s="36" t="s">
        <v>4886</v>
      </c>
      <c r="J7" s="6" t="s">
        <v>5282</v>
      </c>
      <c r="K7" s="212" t="n">
        <v>3</v>
      </c>
      <c r="L7" s="212" t="s">
        <v>4876</v>
      </c>
      <c r="M7" s="6" t="s">
        <v>5283</v>
      </c>
      <c r="N7" s="212" t="s">
        <v>4889</v>
      </c>
      <c r="O7" s="36" t="s">
        <v>4879</v>
      </c>
      <c r="P7" s="36" t="s">
        <v>585</v>
      </c>
      <c r="Q7" s="36" t="s">
        <v>5284</v>
      </c>
      <c r="R7" s="36" t="s">
        <v>585</v>
      </c>
      <c r="S7" s="36" t="s">
        <v>585</v>
      </c>
      <c r="T7" s="36" t="s">
        <v>585</v>
      </c>
      <c r="U7" s="36" t="s">
        <v>2538</v>
      </c>
      <c r="V7" s="6" t="s">
        <v>5292</v>
      </c>
      <c r="W7" s="6" t="s">
        <v>585</v>
      </c>
      <c r="X7" s="185" t="n">
        <f aca="false">IF($O7="Active",SUMPRODUCT(($AH$5:$AH$109=$AH7)*1),0)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6" t="s">
        <v>3294</v>
      </c>
      <c r="B8" s="6" t="s">
        <v>5293</v>
      </c>
      <c r="C8" s="214" t="n">
        <v>7168</v>
      </c>
      <c r="D8" s="212"/>
      <c r="E8" s="212"/>
      <c r="F8" s="212" t="s">
        <v>5294</v>
      </c>
      <c r="G8" s="36" t="s">
        <v>585</v>
      </c>
      <c r="H8" s="36" t="s">
        <v>5281</v>
      </c>
      <c r="I8" s="36" t="s">
        <v>4886</v>
      </c>
      <c r="J8" s="6" t="s">
        <v>5282</v>
      </c>
      <c r="K8" s="212" t="n">
        <v>3</v>
      </c>
      <c r="L8" s="212" t="s">
        <v>4876</v>
      </c>
      <c r="M8" s="6" t="s">
        <v>5283</v>
      </c>
      <c r="N8" s="212" t="s">
        <v>4889</v>
      </c>
      <c r="O8" s="36" t="s">
        <v>4879</v>
      </c>
      <c r="P8" s="36" t="s">
        <v>585</v>
      </c>
      <c r="Q8" s="36" t="s">
        <v>5284</v>
      </c>
      <c r="R8" s="36" t="s">
        <v>585</v>
      </c>
      <c r="S8" s="36" t="s">
        <v>585</v>
      </c>
      <c r="T8" s="36" t="s">
        <v>585</v>
      </c>
      <c r="U8" s="36" t="s">
        <v>2538</v>
      </c>
      <c r="V8" s="6" t="s">
        <v>5295</v>
      </c>
      <c r="W8" s="6" t="s">
        <v>585</v>
      </c>
      <c r="X8" s="185" t="n">
        <f aca="false">IF($O8="Active",SUMPRODUCT(($AH$5:$AH$109=$AH8)*1),0)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6" t="s">
        <v>3248</v>
      </c>
      <c r="B9" s="6" t="s">
        <v>5296</v>
      </c>
      <c r="C9" s="214" t="n">
        <v>284</v>
      </c>
      <c r="D9" s="212"/>
      <c r="E9" s="212"/>
      <c r="F9" s="36" t="s">
        <v>234</v>
      </c>
      <c r="G9" s="36" t="s">
        <v>585</v>
      </c>
      <c r="H9" s="36" t="s">
        <v>5297</v>
      </c>
      <c r="I9" s="36" t="s">
        <v>4886</v>
      </c>
      <c r="J9" s="6" t="s">
        <v>5282</v>
      </c>
      <c r="K9" s="212" t="n">
        <v>3</v>
      </c>
      <c r="L9" s="212" t="s">
        <v>4876</v>
      </c>
      <c r="M9" s="6" t="s">
        <v>5283</v>
      </c>
      <c r="N9" s="212" t="s">
        <v>4889</v>
      </c>
      <c r="O9" s="36" t="s">
        <v>4879</v>
      </c>
      <c r="P9" s="36" t="s">
        <v>585</v>
      </c>
      <c r="Q9" s="36" t="s">
        <v>5284</v>
      </c>
      <c r="R9" s="36" t="s">
        <v>585</v>
      </c>
      <c r="S9" s="36" t="s">
        <v>585</v>
      </c>
      <c r="T9" s="36" t="s">
        <v>585</v>
      </c>
      <c r="U9" s="36" t="s">
        <v>2538</v>
      </c>
      <c r="V9" s="6" t="s">
        <v>5298</v>
      </c>
      <c r="W9" s="6" t="s">
        <v>585</v>
      </c>
      <c r="X9" s="185" t="n">
        <f aca="false">IF($O9="Active",SUMPRODUCT(($AH$5:$AH$109=$AH9)*1),0)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6" t="s">
        <v>3253</v>
      </c>
      <c r="B10" s="6" t="s">
        <v>5299</v>
      </c>
      <c r="C10" s="214" t="n">
        <v>13</v>
      </c>
      <c r="D10" s="212"/>
      <c r="E10" s="212"/>
      <c r="F10" s="36" t="s">
        <v>234</v>
      </c>
      <c r="G10" s="36" t="s">
        <v>585</v>
      </c>
      <c r="H10" s="36" t="s">
        <v>5297</v>
      </c>
      <c r="I10" s="36" t="s">
        <v>4886</v>
      </c>
      <c r="J10" s="6" t="s">
        <v>5282</v>
      </c>
      <c r="K10" s="212" t="n">
        <v>1</v>
      </c>
      <c r="L10" s="212" t="s">
        <v>4876</v>
      </c>
      <c r="M10" s="6" t="s">
        <v>5283</v>
      </c>
      <c r="N10" s="212" t="s">
        <v>4878</v>
      </c>
      <c r="O10" s="36" t="s">
        <v>4879</v>
      </c>
      <c r="P10" s="36" t="s">
        <v>585</v>
      </c>
      <c r="Q10" s="36" t="s">
        <v>5300</v>
      </c>
      <c r="R10" s="36" t="s">
        <v>585</v>
      </c>
      <c r="S10" s="36" t="s">
        <v>4724</v>
      </c>
      <c r="T10" s="36" t="s">
        <v>585</v>
      </c>
      <c r="U10" s="36" t="s">
        <v>2538</v>
      </c>
      <c r="V10" s="6" t="s">
        <v>5301</v>
      </c>
      <c r="W10" s="6" t="s">
        <v>5302</v>
      </c>
      <c r="X10" s="185" t="n">
        <f aca="false">IF($O10="Active",SUMPRODUCT(($AH$5:$AH$109=$AH10)*1),0)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6" t="s">
        <v>3258</v>
      </c>
      <c r="B11" s="6" t="s">
        <v>5303</v>
      </c>
      <c r="C11" s="214" t="n">
        <v>43</v>
      </c>
      <c r="D11" s="212"/>
      <c r="E11" s="212"/>
      <c r="F11" s="212" t="s">
        <v>240</v>
      </c>
      <c r="G11" s="212" t="s">
        <v>4889</v>
      </c>
      <c r="H11" s="36" t="s">
        <v>5304</v>
      </c>
      <c r="I11" s="36" t="s">
        <v>585</v>
      </c>
      <c r="J11" s="6" t="s">
        <v>5305</v>
      </c>
      <c r="K11" s="212" t="n">
        <v>1</v>
      </c>
      <c r="L11" s="212" t="s">
        <v>4876</v>
      </c>
      <c r="M11" s="6" t="s">
        <v>5306</v>
      </c>
      <c r="N11" s="212" t="s">
        <v>4878</v>
      </c>
      <c r="O11" s="36" t="s">
        <v>4879</v>
      </c>
      <c r="P11" s="36" t="s">
        <v>585</v>
      </c>
      <c r="Q11" s="36" t="s">
        <v>5307</v>
      </c>
      <c r="R11" s="36" t="s">
        <v>585</v>
      </c>
      <c r="S11" s="36" t="s">
        <v>4724</v>
      </c>
      <c r="T11" s="36" t="s">
        <v>585</v>
      </c>
      <c r="U11" s="36" t="s">
        <v>5308</v>
      </c>
      <c r="V11" s="6" t="s">
        <v>5309</v>
      </c>
      <c r="W11" s="6" t="s">
        <v>5310</v>
      </c>
      <c r="X11" s="185" t="n">
        <f aca="false">IF($O11="Active",SUMPRODUCT(($AH$5:$AH$109=$AH11)*1),0)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6" t="s">
        <v>3296</v>
      </c>
      <c r="B12" s="6" t="s">
        <v>5311</v>
      </c>
      <c r="C12" s="214" t="n">
        <v>128</v>
      </c>
      <c r="D12" s="212"/>
      <c r="E12" s="212"/>
      <c r="F12" s="212" t="s">
        <v>293</v>
      </c>
      <c r="G12" s="36" t="s">
        <v>585</v>
      </c>
      <c r="H12" s="36" t="s">
        <v>5312</v>
      </c>
      <c r="I12" s="36" t="s">
        <v>585</v>
      </c>
      <c r="J12" s="6" t="s">
        <v>5305</v>
      </c>
      <c r="K12" s="212" t="n">
        <v>3</v>
      </c>
      <c r="L12" s="212" t="s">
        <v>4876</v>
      </c>
      <c r="M12" s="6" t="s">
        <v>5306</v>
      </c>
      <c r="N12" s="212" t="s">
        <v>5008</v>
      </c>
      <c r="O12" s="36" t="s">
        <v>4879</v>
      </c>
      <c r="P12" s="36" t="s">
        <v>585</v>
      </c>
      <c r="Q12" s="36" t="s">
        <v>5313</v>
      </c>
      <c r="R12" s="36" t="s">
        <v>585</v>
      </c>
      <c r="S12" s="36" t="s">
        <v>585</v>
      </c>
      <c r="T12" s="36" t="s">
        <v>585</v>
      </c>
      <c r="U12" s="36" t="s">
        <v>5308</v>
      </c>
      <c r="V12" s="6" t="s">
        <v>5314</v>
      </c>
      <c r="W12" s="6" t="s">
        <v>5315</v>
      </c>
      <c r="X12" s="185" t="n">
        <f aca="false">IF($O12="Active",SUMPRODUCT(($AH$5:$AH$109=$AH12)*1),0)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6" t="s">
        <v>3262</v>
      </c>
      <c r="B13" s="6" t="s">
        <v>5316</v>
      </c>
      <c r="C13" s="214" t="n">
        <v>512</v>
      </c>
      <c r="D13" s="212"/>
      <c r="E13" s="212"/>
      <c r="F13" s="212" t="s">
        <v>5294</v>
      </c>
      <c r="G13" s="212" t="s">
        <v>5317</v>
      </c>
      <c r="H13" s="36" t="s">
        <v>5318</v>
      </c>
      <c r="I13" s="36" t="s">
        <v>585</v>
      </c>
      <c r="J13" s="6" t="s">
        <v>5305</v>
      </c>
      <c r="K13" s="212" t="n">
        <v>1</v>
      </c>
      <c r="L13" s="212" t="s">
        <v>4876</v>
      </c>
      <c r="M13" s="6" t="s">
        <v>5306</v>
      </c>
      <c r="N13" s="212" t="s">
        <v>4878</v>
      </c>
      <c r="O13" s="36" t="s">
        <v>4879</v>
      </c>
      <c r="P13" s="36" t="s">
        <v>585</v>
      </c>
      <c r="Q13" s="36" t="s">
        <v>5319</v>
      </c>
      <c r="R13" s="36" t="s">
        <v>585</v>
      </c>
      <c r="S13" s="36" t="s">
        <v>4724</v>
      </c>
      <c r="T13" s="36" t="s">
        <v>585</v>
      </c>
      <c r="U13" s="36" t="s">
        <v>5308</v>
      </c>
      <c r="V13" s="6" t="s">
        <v>5320</v>
      </c>
      <c r="W13" s="6" t="s">
        <v>5321</v>
      </c>
      <c r="X13" s="185" t="n">
        <f aca="false">IF($O13="Active",SUMPRODUCT(($AH$5:$AH$109=$AH13)*1),0)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6" t="s">
        <v>3265</v>
      </c>
      <c r="B14" s="6" t="s">
        <v>5322</v>
      </c>
      <c r="C14" s="214" t="n">
        <v>256</v>
      </c>
      <c r="D14" s="212"/>
      <c r="E14" s="212"/>
      <c r="F14" s="212" t="s">
        <v>293</v>
      </c>
      <c r="G14" s="36" t="s">
        <v>585</v>
      </c>
      <c r="H14" s="36" t="s">
        <v>5304</v>
      </c>
      <c r="I14" s="36" t="s">
        <v>585</v>
      </c>
      <c r="J14" s="6" t="s">
        <v>5305</v>
      </c>
      <c r="K14" s="212" t="n">
        <v>1</v>
      </c>
      <c r="L14" s="212" t="s">
        <v>4876</v>
      </c>
      <c r="M14" s="6" t="s">
        <v>5306</v>
      </c>
      <c r="N14" s="212" t="s">
        <v>4878</v>
      </c>
      <c r="O14" s="36" t="s">
        <v>4879</v>
      </c>
      <c r="P14" s="36" t="s">
        <v>585</v>
      </c>
      <c r="Q14" s="36" t="s">
        <v>5323</v>
      </c>
      <c r="R14" s="36" t="s">
        <v>585</v>
      </c>
      <c r="S14" s="36" t="s">
        <v>4724</v>
      </c>
      <c r="T14" s="36" t="s">
        <v>585</v>
      </c>
      <c r="U14" s="36" t="s">
        <v>5308</v>
      </c>
      <c r="V14" s="6" t="s">
        <v>5324</v>
      </c>
      <c r="W14" s="6" t="s">
        <v>5325</v>
      </c>
      <c r="X14" s="185" t="n">
        <f aca="false">IF($O14="Active",SUMPRODUCT(($AH$5:$AH$109=$AH14)*1),0)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6" t="s">
        <v>3267</v>
      </c>
      <c r="B15" s="6" t="s">
        <v>5326</v>
      </c>
      <c r="C15" s="214" t="n">
        <v>384</v>
      </c>
      <c r="D15" s="212"/>
      <c r="E15" s="212"/>
      <c r="F15" s="212" t="s">
        <v>293</v>
      </c>
      <c r="G15" s="36" t="s">
        <v>585</v>
      </c>
      <c r="H15" s="36" t="s">
        <v>5312</v>
      </c>
      <c r="I15" s="36" t="s">
        <v>585</v>
      </c>
      <c r="J15" s="6" t="s">
        <v>5305</v>
      </c>
      <c r="K15" s="212" t="n">
        <v>1</v>
      </c>
      <c r="L15" s="212" t="s">
        <v>4876</v>
      </c>
      <c r="M15" s="6" t="s">
        <v>5306</v>
      </c>
      <c r="N15" s="212" t="s">
        <v>4878</v>
      </c>
      <c r="O15" s="36" t="s">
        <v>4879</v>
      </c>
      <c r="P15" s="36" t="s">
        <v>585</v>
      </c>
      <c r="Q15" s="36" t="s">
        <v>5327</v>
      </c>
      <c r="R15" s="36" t="s">
        <v>585</v>
      </c>
      <c r="S15" s="36" t="s">
        <v>4724</v>
      </c>
      <c r="T15" s="36" t="s">
        <v>585</v>
      </c>
      <c r="U15" s="36" t="s">
        <v>5308</v>
      </c>
      <c r="V15" s="6" t="s">
        <v>5328</v>
      </c>
      <c r="W15" s="6" t="s">
        <v>5329</v>
      </c>
      <c r="X15" s="185" t="n">
        <f aca="false">IF($O15="Active",SUMPRODUCT(($AH$5:$AH$109=$AH15)*1),0)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6" t="s">
        <v>3270</v>
      </c>
      <c r="B16" s="6" t="s">
        <v>5330</v>
      </c>
      <c r="C16" s="214" t="n">
        <v>6</v>
      </c>
      <c r="D16" s="212"/>
      <c r="E16" s="212"/>
      <c r="F16" s="212" t="s">
        <v>293</v>
      </c>
      <c r="G16" s="36" t="s">
        <v>585</v>
      </c>
      <c r="H16" s="36" t="s">
        <v>5318</v>
      </c>
      <c r="I16" s="36" t="s">
        <v>585</v>
      </c>
      <c r="J16" s="6" t="s">
        <v>5305</v>
      </c>
      <c r="K16" s="212" t="n">
        <v>1</v>
      </c>
      <c r="L16" s="212" t="s">
        <v>4876</v>
      </c>
      <c r="M16" s="6" t="s">
        <v>5306</v>
      </c>
      <c r="N16" s="212" t="s">
        <v>4878</v>
      </c>
      <c r="O16" s="36" t="s">
        <v>4879</v>
      </c>
      <c r="P16" s="36" t="s">
        <v>585</v>
      </c>
      <c r="Q16" s="36" t="s">
        <v>5331</v>
      </c>
      <c r="R16" s="36" t="s">
        <v>585</v>
      </c>
      <c r="S16" s="36" t="s">
        <v>4724</v>
      </c>
      <c r="T16" s="36" t="s">
        <v>585</v>
      </c>
      <c r="U16" s="36" t="s">
        <v>5308</v>
      </c>
      <c r="V16" s="6" t="s">
        <v>5332</v>
      </c>
      <c r="W16" s="6" t="s">
        <v>5333</v>
      </c>
      <c r="X16" s="185" t="n">
        <f aca="false">IF($O16="Active",SUMPRODUCT(($AH$5:$AH$109=$AH16)*1),0)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6" t="s">
        <v>3274</v>
      </c>
      <c r="B17" s="6" t="s">
        <v>5334</v>
      </c>
      <c r="C17" s="214" t="n">
        <v>1</v>
      </c>
      <c r="D17" s="212"/>
      <c r="E17" s="212"/>
      <c r="F17" s="212" t="s">
        <v>293</v>
      </c>
      <c r="G17" s="36" t="s">
        <v>585</v>
      </c>
      <c r="H17" s="36" t="s">
        <v>5318</v>
      </c>
      <c r="I17" s="36" t="s">
        <v>585</v>
      </c>
      <c r="J17" s="6" t="s">
        <v>5305</v>
      </c>
      <c r="K17" s="212" t="n">
        <v>1</v>
      </c>
      <c r="L17" s="212" t="s">
        <v>4876</v>
      </c>
      <c r="M17" s="6" t="s">
        <v>5306</v>
      </c>
      <c r="N17" s="212" t="s">
        <v>4878</v>
      </c>
      <c r="O17" s="36" t="s">
        <v>4879</v>
      </c>
      <c r="P17" s="36" t="s">
        <v>585</v>
      </c>
      <c r="Q17" s="36" t="s">
        <v>5335</v>
      </c>
      <c r="R17" s="36" t="s">
        <v>585</v>
      </c>
      <c r="S17" s="36" t="s">
        <v>4724</v>
      </c>
      <c r="T17" s="36" t="s">
        <v>585</v>
      </c>
      <c r="U17" s="36" t="s">
        <v>5308</v>
      </c>
      <c r="V17" s="6" t="s">
        <v>5336</v>
      </c>
      <c r="W17" s="6" t="s">
        <v>5337</v>
      </c>
      <c r="X17" s="185" t="n">
        <f aca="false">IF($O17="Active",SUMPRODUCT(($AH$5:$AH$109=$AH17)*1),0)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6" t="s">
        <v>3278</v>
      </c>
      <c r="B18" s="6" t="s">
        <v>5338</v>
      </c>
      <c r="C18" s="214" t="n">
        <v>129280</v>
      </c>
      <c r="D18" s="212"/>
      <c r="E18" s="212"/>
      <c r="F18" s="36" t="s">
        <v>5339</v>
      </c>
      <c r="G18" s="36" t="s">
        <v>585</v>
      </c>
      <c r="H18" s="36" t="s">
        <v>5318</v>
      </c>
      <c r="I18" s="36" t="s">
        <v>585</v>
      </c>
      <c r="J18" s="6" t="s">
        <v>5305</v>
      </c>
      <c r="K18" s="212" t="n">
        <v>1</v>
      </c>
      <c r="L18" s="212" t="s">
        <v>4876</v>
      </c>
      <c r="M18" s="6" t="s">
        <v>5306</v>
      </c>
      <c r="N18" s="212" t="s">
        <v>4878</v>
      </c>
      <c r="O18" s="36" t="s">
        <v>4879</v>
      </c>
      <c r="P18" s="36" t="s">
        <v>585</v>
      </c>
      <c r="Q18" s="36" t="s">
        <v>5340</v>
      </c>
      <c r="R18" s="36" t="s">
        <v>585</v>
      </c>
      <c r="S18" s="36" t="s">
        <v>4724</v>
      </c>
      <c r="T18" s="36" t="s">
        <v>585</v>
      </c>
      <c r="U18" s="36" t="s">
        <v>5308</v>
      </c>
      <c r="V18" s="6" t="s">
        <v>5341</v>
      </c>
      <c r="W18" s="6" t="s">
        <v>5342</v>
      </c>
      <c r="X18" s="185" t="n">
        <f aca="false">IF($O18="Active",SUMPRODUCT(($AH$5:$AH$109=$AH18)*1),0)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5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6" t="s">
        <v>3283</v>
      </c>
      <c r="B19" s="6" t="s">
        <v>5343</v>
      </c>
      <c r="C19" s="214" t="n">
        <v>0.512</v>
      </c>
      <c r="D19" s="212"/>
      <c r="E19" s="212"/>
      <c r="F19" s="36" t="s">
        <v>77</v>
      </c>
      <c r="G19" s="212" t="s">
        <v>5344</v>
      </c>
      <c r="H19" s="36" t="s">
        <v>5304</v>
      </c>
      <c r="I19" s="36" t="s">
        <v>585</v>
      </c>
      <c r="J19" s="6" t="s">
        <v>5305</v>
      </c>
      <c r="K19" s="212" t="n">
        <v>1</v>
      </c>
      <c r="L19" s="212" t="s">
        <v>4876</v>
      </c>
      <c r="M19" s="6" t="s">
        <v>5306</v>
      </c>
      <c r="N19" s="212" t="s">
        <v>4878</v>
      </c>
      <c r="O19" s="36" t="s">
        <v>4879</v>
      </c>
      <c r="P19" s="36" t="s">
        <v>585</v>
      </c>
      <c r="Q19" s="36" t="s">
        <v>5345</v>
      </c>
      <c r="R19" s="36" t="s">
        <v>585</v>
      </c>
      <c r="S19" s="36" t="s">
        <v>4724</v>
      </c>
      <c r="T19" s="36" t="s">
        <v>585</v>
      </c>
      <c r="U19" s="36" t="s">
        <v>5308</v>
      </c>
      <c r="V19" s="6" t="s">
        <v>5346</v>
      </c>
      <c r="W19" s="6" t="s">
        <v>5347</v>
      </c>
      <c r="X19" s="185" t="n">
        <f aca="false">IF($O19="Active",SUMPRODUCT(($AH$5:$AH$109=$AH19)*1),0)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6" t="s">
        <v>3287</v>
      </c>
      <c r="B20" s="6" t="s">
        <v>5348</v>
      </c>
      <c r="C20" s="214" t="n">
        <v>128</v>
      </c>
      <c r="D20" s="212"/>
      <c r="E20" s="212"/>
      <c r="F20" s="36" t="s">
        <v>81</v>
      </c>
      <c r="G20" s="36" t="s">
        <v>585</v>
      </c>
      <c r="H20" s="36" t="s">
        <v>5318</v>
      </c>
      <c r="I20" s="36" t="s">
        <v>585</v>
      </c>
      <c r="J20" s="6" t="s">
        <v>5305</v>
      </c>
      <c r="K20" s="212" t="n">
        <v>1</v>
      </c>
      <c r="L20" s="212" t="s">
        <v>4876</v>
      </c>
      <c r="M20" s="6" t="s">
        <v>5306</v>
      </c>
      <c r="N20" s="212" t="s">
        <v>4878</v>
      </c>
      <c r="O20" s="36" t="s">
        <v>4879</v>
      </c>
      <c r="P20" s="36" t="s">
        <v>585</v>
      </c>
      <c r="Q20" s="36" t="s">
        <v>5349</v>
      </c>
      <c r="R20" s="36" t="s">
        <v>585</v>
      </c>
      <c r="S20" s="36" t="s">
        <v>4724</v>
      </c>
      <c r="T20" s="36" t="s">
        <v>585</v>
      </c>
      <c r="U20" s="36" t="s">
        <v>5308</v>
      </c>
      <c r="V20" s="6" t="s">
        <v>5350</v>
      </c>
      <c r="W20" s="6" t="s">
        <v>5351</v>
      </c>
      <c r="X20" s="185" t="n">
        <f aca="false">IF($O20="Active",SUMPRODUCT(($AH$5:$AH$109=$AH20)*1),0)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6" t="s">
        <v>3291</v>
      </c>
      <c r="B21" s="6" t="s">
        <v>5352</v>
      </c>
      <c r="C21" s="214" t="n">
        <v>128</v>
      </c>
      <c r="D21" s="212"/>
      <c r="E21" s="212"/>
      <c r="F21" s="36" t="s">
        <v>255</v>
      </c>
      <c r="G21" s="36" t="s">
        <v>585</v>
      </c>
      <c r="H21" s="36" t="s">
        <v>5318</v>
      </c>
      <c r="I21" s="36" t="s">
        <v>585</v>
      </c>
      <c r="J21" s="6" t="s">
        <v>5305</v>
      </c>
      <c r="K21" s="212" t="n">
        <v>1</v>
      </c>
      <c r="L21" s="212" t="s">
        <v>4876</v>
      </c>
      <c r="M21" s="6" t="s">
        <v>5306</v>
      </c>
      <c r="N21" s="212" t="s">
        <v>4878</v>
      </c>
      <c r="O21" s="36" t="s">
        <v>4879</v>
      </c>
      <c r="P21" s="36" t="s">
        <v>585</v>
      </c>
      <c r="Q21" s="36" t="s">
        <v>5353</v>
      </c>
      <c r="R21" s="36" t="s">
        <v>585</v>
      </c>
      <c r="S21" s="36" t="s">
        <v>4724</v>
      </c>
      <c r="T21" s="36" t="s">
        <v>585</v>
      </c>
      <c r="U21" s="36" t="s">
        <v>5308</v>
      </c>
      <c r="V21" s="6" t="s">
        <v>5354</v>
      </c>
      <c r="W21" s="6" t="s">
        <v>5355</v>
      </c>
      <c r="X21" s="185" t="n">
        <f aca="false">IF($O21="Active",SUMPRODUCT(($AH$5:$AH$109=$AH21)*1),0)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6" t="s">
        <v>3306</v>
      </c>
      <c r="B22" s="6" t="s">
        <v>5356</v>
      </c>
      <c r="C22" s="214" t="n">
        <v>1024</v>
      </c>
      <c r="D22" s="212"/>
      <c r="E22" s="212"/>
      <c r="F22" s="212" t="s">
        <v>5357</v>
      </c>
      <c r="G22" s="36" t="s">
        <v>585</v>
      </c>
      <c r="H22" s="36" t="s">
        <v>5318</v>
      </c>
      <c r="I22" s="36" t="s">
        <v>585</v>
      </c>
      <c r="J22" s="6" t="s">
        <v>5305</v>
      </c>
      <c r="K22" s="212" t="n">
        <v>3</v>
      </c>
      <c r="L22" s="212" t="s">
        <v>4876</v>
      </c>
      <c r="M22" s="6" t="s">
        <v>5306</v>
      </c>
      <c r="N22" s="212" t="s">
        <v>5008</v>
      </c>
      <c r="O22" s="36" t="s">
        <v>4879</v>
      </c>
      <c r="P22" s="36" t="s">
        <v>585</v>
      </c>
      <c r="Q22" s="36" t="s">
        <v>5313</v>
      </c>
      <c r="R22" s="36" t="s">
        <v>585</v>
      </c>
      <c r="S22" s="36" t="s">
        <v>585</v>
      </c>
      <c r="T22" s="36" t="s">
        <v>585</v>
      </c>
      <c r="U22" s="36" t="s">
        <v>5308</v>
      </c>
      <c r="V22" s="6" t="s">
        <v>5358</v>
      </c>
      <c r="W22" s="6" t="s">
        <v>5359</v>
      </c>
      <c r="X22" s="185" t="n">
        <f aca="false">IF($O22="Active",SUMPRODUCT(($AH$5:$AH$109=$AH22)*1),0)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5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6" t="s">
        <v>5360</v>
      </c>
      <c r="B23" s="6" t="s">
        <v>5361</v>
      </c>
      <c r="C23" s="214" t="n">
        <v>4</v>
      </c>
      <c r="D23" s="212"/>
      <c r="E23" s="212"/>
      <c r="F23" s="36" t="s">
        <v>5362</v>
      </c>
      <c r="G23" s="36" t="s">
        <v>585</v>
      </c>
      <c r="H23" s="36" t="s">
        <v>5318</v>
      </c>
      <c r="I23" s="36" t="s">
        <v>585</v>
      </c>
      <c r="J23" s="6" t="s">
        <v>5305</v>
      </c>
      <c r="K23" s="212" t="n">
        <v>3</v>
      </c>
      <c r="L23" s="212" t="s">
        <v>4876</v>
      </c>
      <c r="M23" s="6" t="s">
        <v>5306</v>
      </c>
      <c r="N23" s="212" t="s">
        <v>5008</v>
      </c>
      <c r="O23" s="36" t="s">
        <v>4879</v>
      </c>
      <c r="P23" s="36" t="s">
        <v>585</v>
      </c>
      <c r="Q23" s="36" t="s">
        <v>5313</v>
      </c>
      <c r="R23" s="36" t="s">
        <v>585</v>
      </c>
      <c r="S23" s="36" t="s">
        <v>585</v>
      </c>
      <c r="T23" s="36" t="s">
        <v>585</v>
      </c>
      <c r="U23" s="36" t="s">
        <v>5308</v>
      </c>
      <c r="V23" s="6" t="s">
        <v>5358</v>
      </c>
      <c r="W23" s="6" t="s">
        <v>585</v>
      </c>
      <c r="X23" s="185" t="n">
        <f aca="false">IF($O23="Active",SUMPRODUCT(($AH$5:$AH$109=$AH23)*1),0)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5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6" t="s">
        <v>3630</v>
      </c>
      <c r="B24" s="6" t="s">
        <v>5363</v>
      </c>
      <c r="C24" s="214" t="n">
        <v>671</v>
      </c>
      <c r="D24" s="212"/>
      <c r="E24" s="212"/>
      <c r="F24" s="36" t="s">
        <v>234</v>
      </c>
      <c r="G24" s="36" t="s">
        <v>585</v>
      </c>
      <c r="H24" s="36" t="s">
        <v>5364</v>
      </c>
      <c r="I24" s="36" t="s">
        <v>585</v>
      </c>
      <c r="J24" s="6" t="s">
        <v>5305</v>
      </c>
      <c r="K24" s="212" t="n">
        <v>3</v>
      </c>
      <c r="L24" s="212" t="s">
        <v>4876</v>
      </c>
      <c r="M24" s="6" t="s">
        <v>5306</v>
      </c>
      <c r="N24" s="212" t="s">
        <v>5008</v>
      </c>
      <c r="O24" s="36" t="s">
        <v>4879</v>
      </c>
      <c r="P24" s="36" t="s">
        <v>585</v>
      </c>
      <c r="Q24" s="36" t="s">
        <v>5313</v>
      </c>
      <c r="R24" s="36" t="s">
        <v>585</v>
      </c>
      <c r="S24" s="36" t="s">
        <v>585</v>
      </c>
      <c r="T24" s="36" t="s">
        <v>585</v>
      </c>
      <c r="U24" s="36" t="s">
        <v>5308</v>
      </c>
      <c r="V24" s="6" t="s">
        <v>5365</v>
      </c>
      <c r="W24" s="6" t="s">
        <v>585</v>
      </c>
      <c r="X24" s="185" t="n">
        <f aca="false">IF($O24="Active",SUMPRODUCT(($AH$5:$AH$109=$AH24)*1),0)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5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6" t="s">
        <v>3633</v>
      </c>
      <c r="B25" s="6" t="s">
        <v>5366</v>
      </c>
      <c r="C25" s="214" t="n">
        <v>37</v>
      </c>
      <c r="D25" s="212"/>
      <c r="E25" s="212"/>
      <c r="F25" s="36" t="s">
        <v>234</v>
      </c>
      <c r="G25" s="36" t="s">
        <v>585</v>
      </c>
      <c r="H25" s="36" t="s">
        <v>5364</v>
      </c>
      <c r="I25" s="36" t="s">
        <v>585</v>
      </c>
      <c r="J25" s="6" t="s">
        <v>5305</v>
      </c>
      <c r="K25" s="212" t="n">
        <v>3</v>
      </c>
      <c r="L25" s="212" t="s">
        <v>4876</v>
      </c>
      <c r="M25" s="6" t="s">
        <v>5306</v>
      </c>
      <c r="N25" s="212" t="s">
        <v>5008</v>
      </c>
      <c r="O25" s="36" t="s">
        <v>4879</v>
      </c>
      <c r="P25" s="36" t="s">
        <v>585</v>
      </c>
      <c r="Q25" s="36" t="s">
        <v>5313</v>
      </c>
      <c r="R25" s="36" t="s">
        <v>585</v>
      </c>
      <c r="S25" s="36" t="s">
        <v>585</v>
      </c>
      <c r="T25" s="36" t="s">
        <v>585</v>
      </c>
      <c r="U25" s="36" t="s">
        <v>5308</v>
      </c>
      <c r="V25" s="6" t="s">
        <v>5367</v>
      </c>
      <c r="W25" s="6" t="s">
        <v>585</v>
      </c>
      <c r="X25" s="185" t="n">
        <f aca="false">IF($O25="Active",SUMPRODUCT(($AH$5:$AH$109=$AH25)*1),0)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5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6" t="s">
        <v>3636</v>
      </c>
      <c r="B26" s="6" t="s">
        <v>5368</v>
      </c>
      <c r="C26" s="214" t="n">
        <v>61</v>
      </c>
      <c r="D26" s="212"/>
      <c r="E26" s="212"/>
      <c r="F26" s="212" t="s">
        <v>240</v>
      </c>
      <c r="G26" s="36" t="s">
        <v>585</v>
      </c>
      <c r="H26" s="36" t="s">
        <v>5364</v>
      </c>
      <c r="I26" s="36" t="s">
        <v>585</v>
      </c>
      <c r="J26" s="6" t="s">
        <v>5305</v>
      </c>
      <c r="K26" s="212" t="n">
        <v>3</v>
      </c>
      <c r="L26" s="212" t="s">
        <v>4876</v>
      </c>
      <c r="M26" s="6" t="s">
        <v>5306</v>
      </c>
      <c r="N26" s="212" t="s">
        <v>5008</v>
      </c>
      <c r="O26" s="36" t="s">
        <v>4879</v>
      </c>
      <c r="P26" s="36" t="s">
        <v>585</v>
      </c>
      <c r="Q26" s="36" t="s">
        <v>5313</v>
      </c>
      <c r="R26" s="36" t="s">
        <v>585</v>
      </c>
      <c r="S26" s="36" t="s">
        <v>585</v>
      </c>
      <c r="T26" s="36" t="s">
        <v>585</v>
      </c>
      <c r="U26" s="36" t="s">
        <v>5308</v>
      </c>
      <c r="V26" s="6" t="s">
        <v>5369</v>
      </c>
      <c r="W26" s="6" t="s">
        <v>585</v>
      </c>
      <c r="X26" s="185" t="n">
        <f aca="false">IF($O26="Active",SUMPRODUCT(($AH$5:$AH$109=$AH26)*1),0)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5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6" t="s">
        <v>3639</v>
      </c>
      <c r="B27" s="6" t="s">
        <v>5370</v>
      </c>
      <c r="C27" s="214" t="n">
        <v>7168</v>
      </c>
      <c r="D27" s="212"/>
      <c r="E27" s="212"/>
      <c r="F27" s="212" t="s">
        <v>5294</v>
      </c>
      <c r="G27" s="36" t="s">
        <v>585</v>
      </c>
      <c r="H27" s="36" t="s">
        <v>5364</v>
      </c>
      <c r="I27" s="36" t="s">
        <v>585</v>
      </c>
      <c r="J27" s="6" t="s">
        <v>5305</v>
      </c>
      <c r="K27" s="212" t="n">
        <v>3</v>
      </c>
      <c r="L27" s="212" t="s">
        <v>4876</v>
      </c>
      <c r="M27" s="6" t="s">
        <v>5306</v>
      </c>
      <c r="N27" s="212" t="s">
        <v>5008</v>
      </c>
      <c r="O27" s="36" t="s">
        <v>4879</v>
      </c>
      <c r="P27" s="36" t="s">
        <v>585</v>
      </c>
      <c r="Q27" s="36" t="s">
        <v>5313</v>
      </c>
      <c r="R27" s="36" t="s">
        <v>585</v>
      </c>
      <c r="S27" s="36" t="s">
        <v>585</v>
      </c>
      <c r="T27" s="36" t="s">
        <v>585</v>
      </c>
      <c r="U27" s="36" t="s">
        <v>5308</v>
      </c>
      <c r="V27" s="6" t="s">
        <v>5371</v>
      </c>
      <c r="W27" s="6" t="s">
        <v>585</v>
      </c>
      <c r="X27" s="185" t="n">
        <f aca="false">IF($O27="Active",SUMPRODUCT(($AH$5:$AH$109=$AH27)*1),0)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6" t="s">
        <v>3642</v>
      </c>
      <c r="B28" s="6" t="s">
        <v>5372</v>
      </c>
      <c r="C28" s="214" t="n">
        <v>256</v>
      </c>
      <c r="D28" s="212"/>
      <c r="E28" s="212"/>
      <c r="F28" s="212" t="s">
        <v>293</v>
      </c>
      <c r="G28" s="36" t="s">
        <v>585</v>
      </c>
      <c r="H28" s="36" t="s">
        <v>5364</v>
      </c>
      <c r="I28" s="36" t="s">
        <v>585</v>
      </c>
      <c r="J28" s="6" t="s">
        <v>5305</v>
      </c>
      <c r="K28" s="212" t="n">
        <v>3</v>
      </c>
      <c r="L28" s="212" t="s">
        <v>4876</v>
      </c>
      <c r="M28" s="6" t="s">
        <v>5306</v>
      </c>
      <c r="N28" s="212" t="s">
        <v>5008</v>
      </c>
      <c r="O28" s="36" t="s">
        <v>4879</v>
      </c>
      <c r="P28" s="36" t="s">
        <v>585</v>
      </c>
      <c r="Q28" s="36" t="s">
        <v>5313</v>
      </c>
      <c r="R28" s="36" t="s">
        <v>585</v>
      </c>
      <c r="S28" s="36" t="s">
        <v>585</v>
      </c>
      <c r="T28" s="36" t="s">
        <v>585</v>
      </c>
      <c r="U28" s="36" t="s">
        <v>5308</v>
      </c>
      <c r="V28" s="6" t="s">
        <v>5373</v>
      </c>
      <c r="W28" s="6" t="s">
        <v>585</v>
      </c>
      <c r="X28" s="185" t="n">
        <f aca="false">IF($O28="Active",SUMPRODUCT(($AH$5:$AH$109=$AH28)*1),0)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5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6" t="s">
        <v>3646</v>
      </c>
      <c r="B29" s="6" t="s">
        <v>5374</v>
      </c>
      <c r="C29" s="214" t="n">
        <v>8</v>
      </c>
      <c r="D29" s="212"/>
      <c r="E29" s="212"/>
      <c r="F29" s="212" t="s">
        <v>293</v>
      </c>
      <c r="G29" s="36" t="s">
        <v>585</v>
      </c>
      <c r="H29" s="36" t="s">
        <v>5364</v>
      </c>
      <c r="I29" s="36" t="s">
        <v>585</v>
      </c>
      <c r="J29" s="6" t="s">
        <v>5305</v>
      </c>
      <c r="K29" s="212" t="n">
        <v>3</v>
      </c>
      <c r="L29" s="212" t="s">
        <v>4876</v>
      </c>
      <c r="M29" s="6" t="s">
        <v>5306</v>
      </c>
      <c r="N29" s="212" t="s">
        <v>5008</v>
      </c>
      <c r="O29" s="36" t="s">
        <v>4879</v>
      </c>
      <c r="P29" s="36" t="s">
        <v>585</v>
      </c>
      <c r="Q29" s="36" t="s">
        <v>5313</v>
      </c>
      <c r="R29" s="36" t="s">
        <v>585</v>
      </c>
      <c r="S29" s="36" t="s">
        <v>585</v>
      </c>
      <c r="T29" s="36" t="s">
        <v>585</v>
      </c>
      <c r="U29" s="36" t="s">
        <v>5308</v>
      </c>
      <c r="V29" s="6" t="s">
        <v>5375</v>
      </c>
      <c r="W29" s="6" t="s">
        <v>585</v>
      </c>
      <c r="X29" s="185" t="n">
        <f aca="false">IF($O29="Active",SUMPRODUCT(($AH$5:$AH$109=$AH29)*1),0)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6" t="s">
        <v>3649</v>
      </c>
      <c r="B30" s="6" t="s">
        <v>5376</v>
      </c>
      <c r="C30" s="214" t="n">
        <v>1</v>
      </c>
      <c r="D30" s="212"/>
      <c r="E30" s="212"/>
      <c r="F30" s="212" t="s">
        <v>293</v>
      </c>
      <c r="G30" s="36" t="s">
        <v>585</v>
      </c>
      <c r="H30" s="36" t="s">
        <v>5364</v>
      </c>
      <c r="I30" s="36" t="s">
        <v>585</v>
      </c>
      <c r="J30" s="6" t="s">
        <v>5305</v>
      </c>
      <c r="K30" s="212" t="n">
        <v>3</v>
      </c>
      <c r="L30" s="212" t="s">
        <v>4876</v>
      </c>
      <c r="M30" s="6" t="s">
        <v>5306</v>
      </c>
      <c r="N30" s="212" t="s">
        <v>5008</v>
      </c>
      <c r="O30" s="36" t="s">
        <v>4879</v>
      </c>
      <c r="P30" s="36" t="s">
        <v>585</v>
      </c>
      <c r="Q30" s="36" t="s">
        <v>5313</v>
      </c>
      <c r="R30" s="36" t="s">
        <v>585</v>
      </c>
      <c r="S30" s="36" t="s">
        <v>585</v>
      </c>
      <c r="T30" s="36" t="s">
        <v>585</v>
      </c>
      <c r="U30" s="36" t="s">
        <v>5308</v>
      </c>
      <c r="V30" s="6" t="s">
        <v>5377</v>
      </c>
      <c r="W30" s="6" t="s">
        <v>585</v>
      </c>
      <c r="X30" s="185" t="n">
        <f aca="false">IF($O30="Active",SUMPRODUCT(($AH$5:$AH$109=$AH30)*1),0)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6" t="s">
        <v>3652</v>
      </c>
      <c r="B31" s="6" t="s">
        <v>5378</v>
      </c>
      <c r="C31" s="214" t="n">
        <v>129280</v>
      </c>
      <c r="D31" s="212"/>
      <c r="E31" s="212"/>
      <c r="F31" s="36" t="s">
        <v>5339</v>
      </c>
      <c r="G31" s="36" t="s">
        <v>585</v>
      </c>
      <c r="H31" s="36" t="s">
        <v>5364</v>
      </c>
      <c r="I31" s="36" t="s">
        <v>585</v>
      </c>
      <c r="J31" s="6" t="s">
        <v>5305</v>
      </c>
      <c r="K31" s="212" t="n">
        <v>3</v>
      </c>
      <c r="L31" s="212" t="s">
        <v>4876</v>
      </c>
      <c r="M31" s="6" t="s">
        <v>5306</v>
      </c>
      <c r="N31" s="212" t="s">
        <v>5008</v>
      </c>
      <c r="O31" s="36" t="s">
        <v>4879</v>
      </c>
      <c r="P31" s="36" t="s">
        <v>585</v>
      </c>
      <c r="Q31" s="36" t="s">
        <v>5313</v>
      </c>
      <c r="R31" s="36" t="s">
        <v>585</v>
      </c>
      <c r="S31" s="36" t="s">
        <v>585</v>
      </c>
      <c r="T31" s="36" t="s">
        <v>585</v>
      </c>
      <c r="U31" s="36" t="s">
        <v>5308</v>
      </c>
      <c r="V31" s="6" t="s">
        <v>5379</v>
      </c>
      <c r="W31" s="6" t="s">
        <v>585</v>
      </c>
      <c r="X31" s="185" t="n">
        <f aca="false">IF($O31="Active",SUMPRODUCT(($AH$5:$AH$109=$AH31)*1),0)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6" t="s">
        <v>3655</v>
      </c>
      <c r="B32" s="6" t="s">
        <v>5380</v>
      </c>
      <c r="C32" s="214" t="n">
        <v>576</v>
      </c>
      <c r="D32" s="212"/>
      <c r="E32" s="212"/>
      <c r="F32" s="212" t="s">
        <v>5294</v>
      </c>
      <c r="G32" s="36" t="s">
        <v>5381</v>
      </c>
      <c r="H32" s="36" t="s">
        <v>5364</v>
      </c>
      <c r="I32" s="36" t="s">
        <v>585</v>
      </c>
      <c r="J32" s="6" t="s">
        <v>5305</v>
      </c>
      <c r="K32" s="212" t="n">
        <v>3</v>
      </c>
      <c r="L32" s="212" t="s">
        <v>4876</v>
      </c>
      <c r="M32" s="6" t="s">
        <v>5306</v>
      </c>
      <c r="N32" s="212" t="s">
        <v>5008</v>
      </c>
      <c r="O32" s="36" t="s">
        <v>4879</v>
      </c>
      <c r="P32" s="36" t="s">
        <v>585</v>
      </c>
      <c r="Q32" s="36" t="s">
        <v>5313</v>
      </c>
      <c r="R32" s="36" t="s">
        <v>585</v>
      </c>
      <c r="S32" s="36" t="s">
        <v>585</v>
      </c>
      <c r="T32" s="36" t="s">
        <v>585</v>
      </c>
      <c r="U32" s="36" t="s">
        <v>5308</v>
      </c>
      <c r="V32" s="6" t="s">
        <v>5382</v>
      </c>
      <c r="W32" s="6" t="s">
        <v>5383</v>
      </c>
      <c r="X32" s="185" t="n">
        <f aca="false">IF($O32="Active",SUMPRODUCT(($AH$5:$AH$109=$AH32)*1),0)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6" t="s">
        <v>3785</v>
      </c>
      <c r="B33" s="6" t="s">
        <v>5384</v>
      </c>
      <c r="C33" s="214" t="n">
        <v>32</v>
      </c>
      <c r="D33" s="212"/>
      <c r="E33" s="212"/>
      <c r="F33" s="36" t="s">
        <v>918</v>
      </c>
      <c r="G33" s="36" t="s">
        <v>585</v>
      </c>
      <c r="H33" s="36" t="s">
        <v>5297</v>
      </c>
      <c r="I33" s="36" t="s">
        <v>4900</v>
      </c>
      <c r="J33" s="6" t="s">
        <v>5385</v>
      </c>
      <c r="K33" s="212" t="n">
        <v>1</v>
      </c>
      <c r="L33" s="212" t="s">
        <v>4876</v>
      </c>
      <c r="M33" s="6" t="s">
        <v>5386</v>
      </c>
      <c r="N33" s="212" t="s">
        <v>5387</v>
      </c>
      <c r="O33" s="36" t="s">
        <v>4879</v>
      </c>
      <c r="P33" s="36" t="s">
        <v>585</v>
      </c>
      <c r="Q33" s="36" t="s">
        <v>5388</v>
      </c>
      <c r="R33" s="36" t="s">
        <v>585</v>
      </c>
      <c r="S33" s="36" t="s">
        <v>585</v>
      </c>
      <c r="T33" s="36" t="s">
        <v>585</v>
      </c>
      <c r="U33" s="36" t="s">
        <v>5389</v>
      </c>
      <c r="V33" s="6" t="s">
        <v>5390</v>
      </c>
      <c r="W33" s="6" t="s">
        <v>585</v>
      </c>
      <c r="X33" s="185" t="n">
        <f aca="false">IF($O33="Active",SUMPRODUCT(($AH$5:$AH$109=$AH33)*1),0)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5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6" t="s">
        <v>3787</v>
      </c>
      <c r="B34" s="6" t="s">
        <v>5391</v>
      </c>
      <c r="C34" s="214" t="n">
        <v>33</v>
      </c>
      <c r="D34" s="212"/>
      <c r="E34" s="212"/>
      <c r="F34" s="36" t="s">
        <v>918</v>
      </c>
      <c r="G34" s="36" t="s">
        <v>585</v>
      </c>
      <c r="H34" s="36" t="s">
        <v>5281</v>
      </c>
      <c r="I34" s="36" t="s">
        <v>4900</v>
      </c>
      <c r="J34" s="6" t="s">
        <v>5385</v>
      </c>
      <c r="K34" s="212" t="n">
        <v>1</v>
      </c>
      <c r="L34" s="212" t="s">
        <v>4876</v>
      </c>
      <c r="M34" s="6" t="s">
        <v>5386</v>
      </c>
      <c r="N34" s="212" t="s">
        <v>5387</v>
      </c>
      <c r="O34" s="36" t="s">
        <v>4879</v>
      </c>
      <c r="P34" s="36" t="s">
        <v>585</v>
      </c>
      <c r="Q34" s="36" t="s">
        <v>5388</v>
      </c>
      <c r="R34" s="36" t="s">
        <v>585</v>
      </c>
      <c r="S34" s="36" t="s">
        <v>585</v>
      </c>
      <c r="T34" s="36" t="s">
        <v>585</v>
      </c>
      <c r="U34" s="36" t="s">
        <v>5389</v>
      </c>
      <c r="V34" s="6" t="s">
        <v>5392</v>
      </c>
      <c r="W34" s="6" t="s">
        <v>585</v>
      </c>
      <c r="X34" s="185" t="n">
        <f aca="false">IF($O34="Active",SUMPRODUCT(($AH$5:$AH$109=$AH34)*1),0)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5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6" t="s">
        <v>3790</v>
      </c>
      <c r="B35" s="6" t="s">
        <v>5393</v>
      </c>
      <c r="C35" s="214" t="n">
        <v>4096</v>
      </c>
      <c r="D35" s="212"/>
      <c r="E35" s="212"/>
      <c r="F35" s="36" t="s">
        <v>255</v>
      </c>
      <c r="G35" s="36" t="s">
        <v>5394</v>
      </c>
      <c r="H35" s="36" t="s">
        <v>5318</v>
      </c>
      <c r="I35" s="36" t="s">
        <v>4900</v>
      </c>
      <c r="J35" s="6" t="s">
        <v>5385</v>
      </c>
      <c r="K35" s="212" t="n">
        <v>1</v>
      </c>
      <c r="L35" s="212" t="s">
        <v>4876</v>
      </c>
      <c r="M35" s="6" t="s">
        <v>5386</v>
      </c>
      <c r="N35" s="212" t="s">
        <v>5387</v>
      </c>
      <c r="O35" s="36" t="s">
        <v>4879</v>
      </c>
      <c r="P35" s="36" t="s">
        <v>585</v>
      </c>
      <c r="Q35" s="36" t="s">
        <v>5388</v>
      </c>
      <c r="R35" s="36" t="s">
        <v>585</v>
      </c>
      <c r="S35" s="36" t="s">
        <v>585</v>
      </c>
      <c r="T35" s="36" t="s">
        <v>585</v>
      </c>
      <c r="U35" s="36" t="s">
        <v>5389</v>
      </c>
      <c r="V35" s="6" t="s">
        <v>5395</v>
      </c>
      <c r="W35" s="6" t="s">
        <v>585</v>
      </c>
      <c r="X35" s="185" t="n">
        <f aca="false">IF($O35="Active",SUMPRODUCT(($AH$5:$AH$109=$AH35)*1),0)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5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6" t="s">
        <v>5396</v>
      </c>
      <c r="B36" s="6" t="s">
        <v>5397</v>
      </c>
      <c r="C36" s="214" t="n">
        <v>16384</v>
      </c>
      <c r="D36" s="212"/>
      <c r="E36" s="212"/>
      <c r="F36" s="36" t="s">
        <v>255</v>
      </c>
      <c r="G36" s="212" t="s">
        <v>5398</v>
      </c>
      <c r="H36" s="36" t="s">
        <v>5318</v>
      </c>
      <c r="I36" s="36" t="s">
        <v>4900</v>
      </c>
      <c r="J36" s="6" t="s">
        <v>5385</v>
      </c>
      <c r="K36" s="212" t="n">
        <v>1</v>
      </c>
      <c r="L36" s="212" t="s">
        <v>4876</v>
      </c>
      <c r="M36" s="6" t="s">
        <v>5386</v>
      </c>
      <c r="N36" s="212" t="s">
        <v>5387</v>
      </c>
      <c r="O36" s="36" t="s">
        <v>4879</v>
      </c>
      <c r="P36" s="36" t="s">
        <v>585</v>
      </c>
      <c r="Q36" s="36" t="s">
        <v>5388</v>
      </c>
      <c r="R36" s="36" t="s">
        <v>585</v>
      </c>
      <c r="S36" s="36" t="s">
        <v>585</v>
      </c>
      <c r="T36" s="36" t="s">
        <v>585</v>
      </c>
      <c r="U36" s="36" t="s">
        <v>5389</v>
      </c>
      <c r="V36" s="6" t="s">
        <v>585</v>
      </c>
      <c r="W36" s="6" t="s">
        <v>585</v>
      </c>
      <c r="X36" s="185" t="n">
        <f aca="false">IF($O36="Active",SUMPRODUCT(($AH$5:$AH$109=$AH36)*1),0)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5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6" t="s">
        <v>4242</v>
      </c>
      <c r="B37" s="6" t="s">
        <v>5399</v>
      </c>
      <c r="C37" s="214" t="n">
        <v>4.6E+026</v>
      </c>
      <c r="D37" s="212"/>
      <c r="E37" s="212"/>
      <c r="F37" s="36" t="s">
        <v>278</v>
      </c>
      <c r="G37" s="212" t="s">
        <v>5400</v>
      </c>
      <c r="H37" s="36" t="s">
        <v>5401</v>
      </c>
      <c r="I37" s="36" t="s">
        <v>5402</v>
      </c>
      <c r="J37" s="6" t="s">
        <v>5403</v>
      </c>
      <c r="K37" s="212" t="n">
        <v>1</v>
      </c>
      <c r="L37" s="212" t="s">
        <v>4980</v>
      </c>
      <c r="M37" s="6" t="s">
        <v>5404</v>
      </c>
      <c r="N37" s="212" t="s">
        <v>5405</v>
      </c>
      <c r="O37" s="36" t="s">
        <v>4879</v>
      </c>
      <c r="P37" s="36" t="s">
        <v>585</v>
      </c>
      <c r="Q37" s="36" t="s">
        <v>5406</v>
      </c>
      <c r="R37" s="36" t="s">
        <v>585</v>
      </c>
      <c r="S37" s="36" t="s">
        <v>585</v>
      </c>
      <c r="T37" s="36" t="s">
        <v>585</v>
      </c>
      <c r="U37" s="36" t="s">
        <v>5407</v>
      </c>
      <c r="V37" s="6" t="s">
        <v>5408</v>
      </c>
      <c r="W37" s="19" t="s">
        <v>5409</v>
      </c>
      <c r="X37" s="185" t="n">
        <f aca="false">IF($O37="Active",SUMPRODUCT(($AH$5:$AH$109=$AH37)*1),0)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5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6" t="s">
        <v>2245</v>
      </c>
      <c r="B38" s="6" t="s">
        <v>5410</v>
      </c>
      <c r="C38" s="214" t="n">
        <v>0.147</v>
      </c>
      <c r="D38" s="212"/>
      <c r="E38" s="212"/>
      <c r="F38" s="36" t="s">
        <v>5411</v>
      </c>
      <c r="G38" s="36" t="s">
        <v>5412</v>
      </c>
      <c r="H38" s="36" t="s">
        <v>5413</v>
      </c>
      <c r="I38" s="36" t="s">
        <v>5414</v>
      </c>
      <c r="J38" s="6" t="s">
        <v>5415</v>
      </c>
      <c r="K38" s="212" t="n">
        <v>2</v>
      </c>
      <c r="L38" s="212" t="s">
        <v>4876</v>
      </c>
      <c r="M38" s="6" t="s">
        <v>5416</v>
      </c>
      <c r="N38" s="212" t="s">
        <v>4889</v>
      </c>
      <c r="O38" s="36" t="s">
        <v>4879</v>
      </c>
      <c r="P38" s="36" t="s">
        <v>585</v>
      </c>
      <c r="Q38" s="36" t="s">
        <v>5417</v>
      </c>
      <c r="R38" s="36" t="s">
        <v>585</v>
      </c>
      <c r="S38" s="36" t="s">
        <v>585</v>
      </c>
      <c r="T38" s="36" t="s">
        <v>585</v>
      </c>
      <c r="U38" s="36" t="s">
        <v>5418</v>
      </c>
      <c r="V38" s="6" t="s">
        <v>5419</v>
      </c>
      <c r="W38" s="6" t="s">
        <v>5420</v>
      </c>
      <c r="X38" s="185" t="n">
        <f aca="false">IF($O38="Active",SUMPRODUCT(($AH$5:$AH$109=$AH38)*1),0)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5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6" t="s">
        <v>5421</v>
      </c>
      <c r="B39" s="6" t="s">
        <v>5422</v>
      </c>
      <c r="C39" s="214" t="n">
        <v>0.14</v>
      </c>
      <c r="D39" s="212"/>
      <c r="E39" s="212"/>
      <c r="F39" s="36" t="s">
        <v>5423</v>
      </c>
      <c r="G39" s="212" t="s">
        <v>5424</v>
      </c>
      <c r="H39" s="36" t="s">
        <v>5425</v>
      </c>
      <c r="I39" s="36" t="s">
        <v>5426</v>
      </c>
      <c r="J39" s="6" t="s">
        <v>5427</v>
      </c>
      <c r="K39" s="212" t="n">
        <v>2</v>
      </c>
      <c r="L39" s="212" t="s">
        <v>4876</v>
      </c>
      <c r="M39" s="6" t="s">
        <v>5428</v>
      </c>
      <c r="N39" s="212" t="s">
        <v>4889</v>
      </c>
      <c r="O39" s="36" t="s">
        <v>4879</v>
      </c>
      <c r="P39" s="36" t="s">
        <v>585</v>
      </c>
      <c r="Q39" s="36" t="s">
        <v>5429</v>
      </c>
      <c r="R39" s="36" t="s">
        <v>585</v>
      </c>
      <c r="S39" s="36" t="s">
        <v>585</v>
      </c>
      <c r="T39" s="36" t="s">
        <v>585</v>
      </c>
      <c r="U39" s="36" t="s">
        <v>5430</v>
      </c>
      <c r="V39" s="6" t="s">
        <v>585</v>
      </c>
      <c r="W39" s="6" t="s">
        <v>585</v>
      </c>
      <c r="X39" s="185" t="n">
        <f aca="false">IF($O39="Active",SUMPRODUCT(($AH$5:$AH$109=$AH39)*1),0)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5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6" t="s">
        <v>2251</v>
      </c>
      <c r="B40" s="6" t="s">
        <v>5431</v>
      </c>
      <c r="C40" s="214" t="n">
        <v>1</v>
      </c>
      <c r="D40" s="212"/>
      <c r="E40" s="212"/>
      <c r="F40" s="36" t="s">
        <v>81</v>
      </c>
      <c r="G40" s="212" t="s">
        <v>5432</v>
      </c>
      <c r="H40" s="36" t="s">
        <v>5433</v>
      </c>
      <c r="I40" s="36" t="s">
        <v>5434</v>
      </c>
      <c r="J40" s="6" t="s">
        <v>5435</v>
      </c>
      <c r="K40" s="212" t="n">
        <v>1</v>
      </c>
      <c r="L40" s="212" t="s">
        <v>4876</v>
      </c>
      <c r="M40" s="6" t="s">
        <v>5436</v>
      </c>
      <c r="N40" s="212" t="s">
        <v>5387</v>
      </c>
      <c r="O40" s="36" t="s">
        <v>4879</v>
      </c>
      <c r="P40" s="36" t="s">
        <v>585</v>
      </c>
      <c r="Q40" s="36" t="s">
        <v>5437</v>
      </c>
      <c r="R40" s="36" t="s">
        <v>585</v>
      </c>
      <c r="S40" s="36" t="s">
        <v>585</v>
      </c>
      <c r="T40" s="36" t="s">
        <v>585</v>
      </c>
      <c r="U40" s="36" t="s">
        <v>5438</v>
      </c>
      <c r="V40" s="6" t="s">
        <v>5439</v>
      </c>
      <c r="W40" s="19" t="s">
        <v>5440</v>
      </c>
      <c r="X40" s="185" t="n">
        <f aca="false">IF($O40="Active",SUMPRODUCT(($AH$5:$AH$109=$AH40)*1),0)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6" t="s">
        <v>5441</v>
      </c>
      <c r="B41" s="6" t="s">
        <v>5442</v>
      </c>
      <c r="C41" s="214" t="n">
        <v>200000</v>
      </c>
      <c r="D41" s="212"/>
      <c r="E41" s="212"/>
      <c r="F41" s="36" t="s">
        <v>696</v>
      </c>
      <c r="G41" s="36" t="s">
        <v>585</v>
      </c>
      <c r="H41" s="36" t="s">
        <v>5433</v>
      </c>
      <c r="I41" s="36" t="s">
        <v>5434</v>
      </c>
      <c r="J41" s="6" t="s">
        <v>5435</v>
      </c>
      <c r="K41" s="212" t="n">
        <v>1</v>
      </c>
      <c r="L41" s="212" t="s">
        <v>4876</v>
      </c>
      <c r="M41" s="6" t="s">
        <v>5436</v>
      </c>
      <c r="N41" s="212" t="s">
        <v>5387</v>
      </c>
      <c r="O41" s="36" t="s">
        <v>4879</v>
      </c>
      <c r="P41" s="36" t="s">
        <v>585</v>
      </c>
      <c r="Q41" s="36" t="s">
        <v>5437</v>
      </c>
      <c r="R41" s="36" t="s">
        <v>585</v>
      </c>
      <c r="S41" s="36" t="s">
        <v>585</v>
      </c>
      <c r="T41" s="36" t="s">
        <v>585</v>
      </c>
      <c r="U41" s="36" t="s">
        <v>5438</v>
      </c>
      <c r="V41" s="6" t="s">
        <v>585</v>
      </c>
      <c r="W41" s="6" t="s">
        <v>585</v>
      </c>
      <c r="X41" s="185" t="n">
        <f aca="false">IF($O41="Active",SUMPRODUCT(($AH$5:$AH$109=$AH41)*1),0)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6" t="s">
        <v>5443</v>
      </c>
      <c r="B42" s="6" t="s">
        <v>5444</v>
      </c>
      <c r="C42" s="214" t="n">
        <v>10</v>
      </c>
      <c r="D42" s="212"/>
      <c r="E42" s="212"/>
      <c r="F42" s="36" t="s">
        <v>81</v>
      </c>
      <c r="G42" s="212" t="s">
        <v>5445</v>
      </c>
      <c r="H42" s="36" t="s">
        <v>5433</v>
      </c>
      <c r="I42" s="36" t="s">
        <v>5434</v>
      </c>
      <c r="J42" s="6" t="s">
        <v>5435</v>
      </c>
      <c r="K42" s="212" t="n">
        <v>1</v>
      </c>
      <c r="L42" s="212" t="s">
        <v>4876</v>
      </c>
      <c r="M42" s="6" t="s">
        <v>5436</v>
      </c>
      <c r="N42" s="212" t="s">
        <v>5387</v>
      </c>
      <c r="O42" s="36" t="s">
        <v>4879</v>
      </c>
      <c r="P42" s="36" t="s">
        <v>585</v>
      </c>
      <c r="Q42" s="36" t="s">
        <v>5437</v>
      </c>
      <c r="R42" s="36" t="s">
        <v>585</v>
      </c>
      <c r="S42" s="36" t="s">
        <v>585</v>
      </c>
      <c r="T42" s="36" t="s">
        <v>585</v>
      </c>
      <c r="U42" s="36" t="s">
        <v>5438</v>
      </c>
      <c r="V42" s="6" t="s">
        <v>585</v>
      </c>
      <c r="W42" s="6" t="s">
        <v>585</v>
      </c>
      <c r="X42" s="185" t="n">
        <f aca="false">IF($O42="Active",SUMPRODUCT(($AH$5:$AH$109=$AH42)*1),0)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6" t="s">
        <v>3793</v>
      </c>
      <c r="B43" s="6" t="s">
        <v>5446</v>
      </c>
      <c r="C43" s="214" t="n">
        <v>14.8</v>
      </c>
      <c r="D43" s="212"/>
      <c r="E43" s="212"/>
      <c r="F43" s="36" t="s">
        <v>918</v>
      </c>
      <c r="G43" s="36" t="s">
        <v>585</v>
      </c>
      <c r="H43" s="36" t="s">
        <v>5447</v>
      </c>
      <c r="I43" s="36" t="s">
        <v>5448</v>
      </c>
      <c r="J43" s="6" t="s">
        <v>5449</v>
      </c>
      <c r="K43" s="212" t="n">
        <v>3</v>
      </c>
      <c r="L43" s="212" t="s">
        <v>4876</v>
      </c>
      <c r="M43" s="6" t="s">
        <v>5450</v>
      </c>
      <c r="N43" s="212" t="s">
        <v>5008</v>
      </c>
      <c r="O43" s="36" t="s">
        <v>4879</v>
      </c>
      <c r="P43" s="36" t="s">
        <v>585</v>
      </c>
      <c r="Q43" s="36" t="s">
        <v>5451</v>
      </c>
      <c r="R43" s="36" t="s">
        <v>585</v>
      </c>
      <c r="S43" s="36" t="s">
        <v>585</v>
      </c>
      <c r="T43" s="36" t="s">
        <v>585</v>
      </c>
      <c r="U43" s="36" t="s">
        <v>949</v>
      </c>
      <c r="V43" s="6" t="s">
        <v>5452</v>
      </c>
      <c r="W43" s="6" t="s">
        <v>585</v>
      </c>
      <c r="X43" s="185" t="n">
        <f aca="false">IF($O43="Active",SUMPRODUCT(($AH$5:$AH$109=$AH43)*1),0)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6" t="s">
        <v>3796</v>
      </c>
      <c r="B44" s="6" t="s">
        <v>5453</v>
      </c>
      <c r="C44" s="214" t="n">
        <v>2.664</v>
      </c>
      <c r="D44" s="212"/>
      <c r="E44" s="212"/>
      <c r="F44" s="36" t="s">
        <v>5454</v>
      </c>
      <c r="G44" s="212" t="s">
        <v>5455</v>
      </c>
      <c r="H44" s="36" t="s">
        <v>5447</v>
      </c>
      <c r="I44" s="36" t="s">
        <v>5448</v>
      </c>
      <c r="J44" s="6" t="s">
        <v>5449</v>
      </c>
      <c r="K44" s="212" t="n">
        <v>3</v>
      </c>
      <c r="L44" s="212" t="s">
        <v>4876</v>
      </c>
      <c r="M44" s="6" t="s">
        <v>5450</v>
      </c>
      <c r="N44" s="212" t="s">
        <v>5008</v>
      </c>
      <c r="O44" s="36" t="s">
        <v>4879</v>
      </c>
      <c r="P44" s="36" t="s">
        <v>585</v>
      </c>
      <c r="Q44" s="36" t="s">
        <v>5451</v>
      </c>
      <c r="R44" s="36" t="s">
        <v>585</v>
      </c>
      <c r="S44" s="36" t="s">
        <v>585</v>
      </c>
      <c r="T44" s="36" t="s">
        <v>585</v>
      </c>
      <c r="U44" s="36" t="s">
        <v>949</v>
      </c>
      <c r="V44" s="6" t="s">
        <v>5456</v>
      </c>
      <c r="W44" s="6" t="s">
        <v>585</v>
      </c>
      <c r="X44" s="185" t="n">
        <f aca="false">IF($O44="Active",SUMPRODUCT(($AH$5:$AH$109=$AH44)*1),0)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6" t="s">
        <v>5457</v>
      </c>
      <c r="B45" s="6" t="s">
        <v>5458</v>
      </c>
      <c r="C45" s="214" t="n">
        <v>2.788</v>
      </c>
      <c r="D45" s="212"/>
      <c r="E45" s="212"/>
      <c r="F45" s="36" t="s">
        <v>5454</v>
      </c>
      <c r="G45" s="212" t="s">
        <v>5459</v>
      </c>
      <c r="H45" s="36" t="s">
        <v>5447</v>
      </c>
      <c r="I45" s="36" t="s">
        <v>5448</v>
      </c>
      <c r="J45" s="6" t="s">
        <v>5449</v>
      </c>
      <c r="K45" s="212" t="n">
        <v>3</v>
      </c>
      <c r="L45" s="212" t="s">
        <v>4876</v>
      </c>
      <c r="M45" s="6" t="s">
        <v>5450</v>
      </c>
      <c r="N45" s="212" t="s">
        <v>5008</v>
      </c>
      <c r="O45" s="36" t="s">
        <v>4879</v>
      </c>
      <c r="P45" s="36" t="s">
        <v>585</v>
      </c>
      <c r="Q45" s="36" t="s">
        <v>5451</v>
      </c>
      <c r="R45" s="36" t="s">
        <v>585</v>
      </c>
      <c r="S45" s="36" t="s">
        <v>585</v>
      </c>
      <c r="T45" s="36" t="s">
        <v>585</v>
      </c>
      <c r="U45" s="36" t="s">
        <v>949</v>
      </c>
      <c r="V45" s="6" t="s">
        <v>585</v>
      </c>
      <c r="W45" s="6" t="s">
        <v>585</v>
      </c>
      <c r="X45" s="185" t="n">
        <f aca="false">IF($O45="Active",SUMPRODUCT(($AH$5:$AH$109=$AH45)*1),0)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5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6" t="s">
        <v>3799</v>
      </c>
      <c r="B46" s="6" t="s">
        <v>5460</v>
      </c>
      <c r="C46" s="214" t="n">
        <v>4096</v>
      </c>
      <c r="D46" s="212"/>
      <c r="E46" s="212"/>
      <c r="F46" s="36" t="s">
        <v>255</v>
      </c>
      <c r="G46" s="36" t="s">
        <v>585</v>
      </c>
      <c r="H46" s="36" t="s">
        <v>5447</v>
      </c>
      <c r="I46" s="36" t="s">
        <v>5448</v>
      </c>
      <c r="J46" s="6" t="s">
        <v>5449</v>
      </c>
      <c r="K46" s="212" t="n">
        <v>3</v>
      </c>
      <c r="L46" s="212" t="s">
        <v>4876</v>
      </c>
      <c r="M46" s="6" t="s">
        <v>5450</v>
      </c>
      <c r="N46" s="212" t="s">
        <v>5008</v>
      </c>
      <c r="O46" s="36" t="s">
        <v>4879</v>
      </c>
      <c r="P46" s="36" t="s">
        <v>585</v>
      </c>
      <c r="Q46" s="36" t="s">
        <v>5451</v>
      </c>
      <c r="R46" s="36" t="s">
        <v>585</v>
      </c>
      <c r="S46" s="36" t="s">
        <v>585</v>
      </c>
      <c r="T46" s="36" t="s">
        <v>585</v>
      </c>
      <c r="U46" s="36" t="s">
        <v>949</v>
      </c>
      <c r="V46" s="6" t="s">
        <v>5461</v>
      </c>
      <c r="W46" s="6" t="s">
        <v>585</v>
      </c>
      <c r="X46" s="185" t="n">
        <f aca="false">IF($O46="Active",SUMPRODUCT(($AH$5:$AH$109=$AH46)*1),0)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5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6" t="s">
        <v>3804</v>
      </c>
      <c r="B47" s="19" t="s">
        <v>5462</v>
      </c>
      <c r="C47" s="214" t="n">
        <v>1</v>
      </c>
      <c r="D47" s="212"/>
      <c r="E47" s="212"/>
      <c r="F47" s="36" t="s">
        <v>5463</v>
      </c>
      <c r="G47" s="212" t="s">
        <v>5464</v>
      </c>
      <c r="H47" s="36" t="s">
        <v>1197</v>
      </c>
      <c r="I47" s="36" t="s">
        <v>1187</v>
      </c>
      <c r="J47" s="6" t="s">
        <v>5465</v>
      </c>
      <c r="K47" s="212" t="n">
        <v>1</v>
      </c>
      <c r="L47" s="212" t="s">
        <v>4876</v>
      </c>
      <c r="M47" s="6" t="s">
        <v>5386</v>
      </c>
      <c r="N47" s="212" t="s">
        <v>5387</v>
      </c>
      <c r="O47" s="36" t="s">
        <v>4879</v>
      </c>
      <c r="P47" s="36" t="s">
        <v>585</v>
      </c>
      <c r="Q47" s="36" t="s">
        <v>5466</v>
      </c>
      <c r="R47" s="36" t="s">
        <v>585</v>
      </c>
      <c r="S47" s="36" t="s">
        <v>585</v>
      </c>
      <c r="T47" s="36" t="s">
        <v>585</v>
      </c>
      <c r="U47" s="36" t="s">
        <v>5467</v>
      </c>
      <c r="V47" s="6" t="s">
        <v>5468</v>
      </c>
      <c r="W47" s="6" t="s">
        <v>5469</v>
      </c>
      <c r="X47" s="185" t="n">
        <f aca="false">IF($O47="Active",SUMPRODUCT(($AH$5:$AH$109=$AH47)*1),0)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6" t="s">
        <v>5470</v>
      </c>
      <c r="B48" s="19" t="s">
        <v>5471</v>
      </c>
      <c r="C48" s="214" t="n">
        <v>1</v>
      </c>
      <c r="D48" s="212"/>
      <c r="E48" s="212"/>
      <c r="F48" s="36" t="s">
        <v>5463</v>
      </c>
      <c r="G48" s="212" t="s">
        <v>5464</v>
      </c>
      <c r="H48" s="36" t="s">
        <v>5472</v>
      </c>
      <c r="I48" s="36" t="s">
        <v>5473</v>
      </c>
      <c r="J48" s="6" t="s">
        <v>5474</v>
      </c>
      <c r="K48" s="212" t="n">
        <v>1</v>
      </c>
      <c r="L48" s="212" t="s">
        <v>4876</v>
      </c>
      <c r="M48" s="6" t="s">
        <v>5475</v>
      </c>
      <c r="N48" s="212" t="s">
        <v>5387</v>
      </c>
      <c r="O48" s="36" t="s">
        <v>4879</v>
      </c>
      <c r="P48" s="36" t="s">
        <v>585</v>
      </c>
      <c r="Q48" s="36" t="s">
        <v>5476</v>
      </c>
      <c r="R48" s="36" t="s">
        <v>585</v>
      </c>
      <c r="S48" s="36" t="s">
        <v>585</v>
      </c>
      <c r="T48" s="36" t="s">
        <v>585</v>
      </c>
      <c r="U48" s="36" t="s">
        <v>5477</v>
      </c>
      <c r="V48" s="6" t="s">
        <v>5468</v>
      </c>
      <c r="W48" s="6" t="s">
        <v>585</v>
      </c>
      <c r="X48" s="185" t="n">
        <f aca="false">IF($O48="Active",SUMPRODUCT(($AH$5:$AH$109=$AH48)*1),0)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6" t="s">
        <v>5478</v>
      </c>
      <c r="B49" s="19" t="s">
        <v>5479</v>
      </c>
      <c r="C49" s="214" t="n">
        <v>1</v>
      </c>
      <c r="D49" s="212"/>
      <c r="E49" s="212"/>
      <c r="F49" s="36" t="s">
        <v>5463</v>
      </c>
      <c r="G49" s="212" t="s">
        <v>5464</v>
      </c>
      <c r="H49" s="36" t="s">
        <v>1214</v>
      </c>
      <c r="I49" s="36" t="s">
        <v>5414</v>
      </c>
      <c r="J49" s="6" t="s">
        <v>5480</v>
      </c>
      <c r="K49" s="212" t="n">
        <v>2</v>
      </c>
      <c r="L49" s="212" t="s">
        <v>4876</v>
      </c>
      <c r="M49" s="6" t="s">
        <v>5480</v>
      </c>
      <c r="N49" s="212" t="s">
        <v>4889</v>
      </c>
      <c r="O49" s="36" t="s">
        <v>4879</v>
      </c>
      <c r="P49" s="36" t="s">
        <v>585</v>
      </c>
      <c r="Q49" s="36" t="s">
        <v>5481</v>
      </c>
      <c r="R49" s="36" t="s">
        <v>585</v>
      </c>
      <c r="S49" s="36" t="s">
        <v>585</v>
      </c>
      <c r="T49" s="36" t="s">
        <v>585</v>
      </c>
      <c r="U49" s="36" t="s">
        <v>5482</v>
      </c>
      <c r="V49" s="6" t="s">
        <v>5468</v>
      </c>
      <c r="W49" s="6" t="s">
        <v>585</v>
      </c>
      <c r="X49" s="185" t="n">
        <f aca="false">IF($O49="Active",SUMPRODUCT(($AH$5:$AH$109=$AH49)*1),0)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5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6" t="s">
        <v>4112</v>
      </c>
      <c r="B50" s="6" t="s">
        <v>5483</v>
      </c>
      <c r="C50" s="214" t="n">
        <v>1.5</v>
      </c>
      <c r="D50" s="212"/>
      <c r="E50" s="212"/>
      <c r="F50" s="36" t="s">
        <v>81</v>
      </c>
      <c r="G50" s="212" t="s">
        <v>5484</v>
      </c>
      <c r="H50" s="36" t="s">
        <v>1214</v>
      </c>
      <c r="I50" s="36" t="s">
        <v>5414</v>
      </c>
      <c r="J50" s="6" t="s">
        <v>5480</v>
      </c>
      <c r="K50" s="212" t="n">
        <v>2</v>
      </c>
      <c r="L50" s="212" t="s">
        <v>4876</v>
      </c>
      <c r="M50" s="6" t="s">
        <v>5480</v>
      </c>
      <c r="N50" s="212" t="s">
        <v>4889</v>
      </c>
      <c r="O50" s="36" t="s">
        <v>4879</v>
      </c>
      <c r="P50" s="36" t="s">
        <v>585</v>
      </c>
      <c r="Q50" s="36" t="s">
        <v>5481</v>
      </c>
      <c r="R50" s="36" t="s">
        <v>585</v>
      </c>
      <c r="S50" s="36" t="s">
        <v>585</v>
      </c>
      <c r="T50" s="36" t="s">
        <v>585</v>
      </c>
      <c r="U50" s="36" t="s">
        <v>5482</v>
      </c>
      <c r="V50" s="6" t="s">
        <v>585</v>
      </c>
      <c r="W50" s="6" t="s">
        <v>585</v>
      </c>
      <c r="X50" s="185" t="n">
        <f aca="false">IF($O50="Active",SUMPRODUCT(($AH$5:$AH$109=$AH50)*1),0)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5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6" t="s">
        <v>5485</v>
      </c>
      <c r="B51" s="19" t="s">
        <v>5486</v>
      </c>
      <c r="C51" s="214" t="n">
        <v>1</v>
      </c>
      <c r="D51" s="212"/>
      <c r="E51" s="212"/>
      <c r="F51" s="36" t="s">
        <v>5463</v>
      </c>
      <c r="G51" s="212" t="s">
        <v>5464</v>
      </c>
      <c r="H51" s="36" t="s">
        <v>5487</v>
      </c>
      <c r="I51" s="36" t="s">
        <v>5434</v>
      </c>
      <c r="J51" s="6" t="s">
        <v>5488</v>
      </c>
      <c r="K51" s="212" t="n">
        <v>1</v>
      </c>
      <c r="L51" s="212" t="s">
        <v>4876</v>
      </c>
      <c r="M51" s="6" t="s">
        <v>5489</v>
      </c>
      <c r="N51" s="212" t="s">
        <v>5387</v>
      </c>
      <c r="O51" s="36" t="s">
        <v>4879</v>
      </c>
      <c r="P51" s="36" t="s">
        <v>585</v>
      </c>
      <c r="Q51" s="36" t="s">
        <v>5490</v>
      </c>
      <c r="R51" s="36" t="s">
        <v>585</v>
      </c>
      <c r="S51" s="36" t="s">
        <v>585</v>
      </c>
      <c r="T51" s="36" t="s">
        <v>585</v>
      </c>
      <c r="U51" s="36" t="s">
        <v>5491</v>
      </c>
      <c r="V51" s="6" t="s">
        <v>5468</v>
      </c>
      <c r="W51" s="6" t="s">
        <v>585</v>
      </c>
      <c r="X51" s="185" t="n">
        <f aca="false">IF($O51="Active",SUMPRODUCT(($AH$5:$AH$109=$AH51)*1),0)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5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6" t="s">
        <v>5492</v>
      </c>
      <c r="B52" s="6" t="s">
        <v>5493</v>
      </c>
      <c r="C52" s="214" t="n">
        <v>10.7</v>
      </c>
      <c r="D52" s="212"/>
      <c r="E52" s="212"/>
      <c r="F52" s="36" t="s">
        <v>81</v>
      </c>
      <c r="G52" s="212" t="s">
        <v>5494</v>
      </c>
      <c r="H52" s="36" t="s">
        <v>5487</v>
      </c>
      <c r="I52" s="36" t="s">
        <v>5434</v>
      </c>
      <c r="J52" s="6" t="s">
        <v>5488</v>
      </c>
      <c r="K52" s="212" t="n">
        <v>1</v>
      </c>
      <c r="L52" s="212" t="s">
        <v>4876</v>
      </c>
      <c r="M52" s="6" t="s">
        <v>5489</v>
      </c>
      <c r="N52" s="212" t="s">
        <v>5387</v>
      </c>
      <c r="O52" s="36" t="s">
        <v>4879</v>
      </c>
      <c r="P52" s="36" t="s">
        <v>585</v>
      </c>
      <c r="Q52" s="36" t="s">
        <v>5490</v>
      </c>
      <c r="R52" s="36" t="s">
        <v>585</v>
      </c>
      <c r="S52" s="36" t="s">
        <v>585</v>
      </c>
      <c r="T52" s="36" t="s">
        <v>585</v>
      </c>
      <c r="U52" s="36" t="s">
        <v>5491</v>
      </c>
      <c r="V52" s="6" t="s">
        <v>585</v>
      </c>
      <c r="W52" s="6" t="s">
        <v>585</v>
      </c>
      <c r="X52" s="185" t="n">
        <f aca="false">IF($O52="Active",SUMPRODUCT(($AH$5:$AH$109=$AH52)*1),0)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5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6" t="s">
        <v>3659</v>
      </c>
      <c r="B53" s="6" t="s">
        <v>5495</v>
      </c>
      <c r="C53" s="214" t="n">
        <v>128</v>
      </c>
      <c r="D53" s="212"/>
      <c r="E53" s="212"/>
      <c r="F53" s="212" t="s">
        <v>293</v>
      </c>
      <c r="G53" s="36" t="s">
        <v>5496</v>
      </c>
      <c r="H53" s="36" t="s">
        <v>5364</v>
      </c>
      <c r="I53" s="36" t="s">
        <v>585</v>
      </c>
      <c r="J53" s="6" t="s">
        <v>5155</v>
      </c>
      <c r="K53" s="212" t="n">
        <v>3</v>
      </c>
      <c r="L53" s="212" t="s">
        <v>4876</v>
      </c>
      <c r="M53" s="6" t="s">
        <v>5497</v>
      </c>
      <c r="N53" s="212" t="s">
        <v>5008</v>
      </c>
      <c r="O53" s="36" t="s">
        <v>4879</v>
      </c>
      <c r="P53" s="36" t="s">
        <v>585</v>
      </c>
      <c r="Q53" s="36" t="s">
        <v>5164</v>
      </c>
      <c r="R53" s="36" t="s">
        <v>585</v>
      </c>
      <c r="S53" s="36" t="s">
        <v>585</v>
      </c>
      <c r="T53" s="36" t="s">
        <v>585</v>
      </c>
      <c r="U53" s="36" t="s">
        <v>5157</v>
      </c>
      <c r="V53" s="6" t="s">
        <v>585</v>
      </c>
      <c r="W53" s="6" t="s">
        <v>5168</v>
      </c>
      <c r="X53" s="185" t="n">
        <f aca="false">IF($O53="Active",SUMPRODUCT(($AH$5:$AH$109=$AH53)*1),0)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5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6" t="s">
        <v>5498</v>
      </c>
      <c r="B54" s="6" t="s">
        <v>5499</v>
      </c>
      <c r="C54" s="214" t="n">
        <v>192</v>
      </c>
      <c r="D54" s="212"/>
      <c r="E54" s="212"/>
      <c r="F54" s="212" t="s">
        <v>5294</v>
      </c>
      <c r="G54" s="36" t="s">
        <v>5496</v>
      </c>
      <c r="H54" s="36" t="s">
        <v>5364</v>
      </c>
      <c r="I54" s="36" t="s">
        <v>585</v>
      </c>
      <c r="J54" s="6" t="s">
        <v>5155</v>
      </c>
      <c r="K54" s="212" t="n">
        <v>3</v>
      </c>
      <c r="L54" s="212" t="s">
        <v>4876</v>
      </c>
      <c r="M54" s="6" t="s">
        <v>5497</v>
      </c>
      <c r="N54" s="212" t="s">
        <v>5008</v>
      </c>
      <c r="O54" s="36" t="s">
        <v>4879</v>
      </c>
      <c r="P54" s="36" t="s">
        <v>585</v>
      </c>
      <c r="Q54" s="36" t="s">
        <v>5164</v>
      </c>
      <c r="R54" s="36" t="s">
        <v>585</v>
      </c>
      <c r="S54" s="36" t="s">
        <v>585</v>
      </c>
      <c r="T54" s="36" t="s">
        <v>585</v>
      </c>
      <c r="U54" s="36" t="s">
        <v>5157</v>
      </c>
      <c r="V54" s="6" t="s">
        <v>585</v>
      </c>
      <c r="W54" s="6" t="s">
        <v>5168</v>
      </c>
      <c r="X54" s="185" t="n">
        <f aca="false">IF($O54="Active",SUMPRODUCT(($AH$5:$AH$109=$AH54)*1),0)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5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6" t="s">
        <v>5500</v>
      </c>
      <c r="B55" s="6" t="s">
        <v>5501</v>
      </c>
      <c r="C55" s="214" t="n">
        <v>128</v>
      </c>
      <c r="D55" s="212"/>
      <c r="E55" s="212"/>
      <c r="F55" s="212" t="s">
        <v>5294</v>
      </c>
      <c r="G55" s="36" t="s">
        <v>5496</v>
      </c>
      <c r="H55" s="36" t="s">
        <v>5364</v>
      </c>
      <c r="I55" s="36" t="s">
        <v>585</v>
      </c>
      <c r="J55" s="6" t="s">
        <v>5155</v>
      </c>
      <c r="K55" s="212" t="n">
        <v>3</v>
      </c>
      <c r="L55" s="212" t="s">
        <v>4876</v>
      </c>
      <c r="M55" s="6" t="s">
        <v>5497</v>
      </c>
      <c r="N55" s="212" t="s">
        <v>5008</v>
      </c>
      <c r="O55" s="36" t="s">
        <v>4879</v>
      </c>
      <c r="P55" s="36" t="s">
        <v>585</v>
      </c>
      <c r="Q55" s="36" t="s">
        <v>5164</v>
      </c>
      <c r="R55" s="36" t="s">
        <v>585</v>
      </c>
      <c r="S55" s="36" t="s">
        <v>585</v>
      </c>
      <c r="T55" s="36" t="s">
        <v>585</v>
      </c>
      <c r="U55" s="36" t="s">
        <v>5157</v>
      </c>
      <c r="V55" s="6" t="s">
        <v>585</v>
      </c>
      <c r="W55" s="6" t="s">
        <v>5168</v>
      </c>
      <c r="X55" s="185" t="n">
        <f aca="false">IF($O55="Active",SUMPRODUCT(($AH$5:$AH$109=$AH55)*1),0)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5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6" t="s">
        <v>3298</v>
      </c>
      <c r="B56" s="6" t="s">
        <v>5502</v>
      </c>
      <c r="C56" s="214" t="n">
        <v>4096</v>
      </c>
      <c r="D56" s="212"/>
      <c r="E56" s="212"/>
      <c r="F56" s="212" t="s">
        <v>5294</v>
      </c>
      <c r="G56" s="36" t="s">
        <v>5503</v>
      </c>
      <c r="H56" s="36" t="s">
        <v>5304</v>
      </c>
      <c r="I56" s="36" t="s">
        <v>4886</v>
      </c>
      <c r="J56" s="6" t="s">
        <v>5504</v>
      </c>
      <c r="K56" s="212" t="n">
        <v>1</v>
      </c>
      <c r="L56" s="212" t="s">
        <v>4876</v>
      </c>
      <c r="M56" s="6" t="s">
        <v>5505</v>
      </c>
      <c r="N56" s="212" t="s">
        <v>5387</v>
      </c>
      <c r="O56" s="36" t="s">
        <v>4879</v>
      </c>
      <c r="P56" s="36" t="s">
        <v>585</v>
      </c>
      <c r="Q56" s="36" t="s">
        <v>5506</v>
      </c>
      <c r="R56" s="36" t="s">
        <v>585</v>
      </c>
      <c r="S56" s="36" t="s">
        <v>585</v>
      </c>
      <c r="T56" s="36" t="s">
        <v>585</v>
      </c>
      <c r="U56" s="36" t="s">
        <v>5507</v>
      </c>
      <c r="V56" s="6" t="s">
        <v>5508</v>
      </c>
      <c r="W56" s="19" t="s">
        <v>5509</v>
      </c>
      <c r="X56" s="185" t="n">
        <f aca="false">IF($O56="Active",SUMPRODUCT(($AH$5:$AH$109=$AH56)*1),0)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5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6" t="s">
        <v>3301</v>
      </c>
      <c r="B57" s="6" t="s">
        <v>5510</v>
      </c>
      <c r="C57" s="214" t="n">
        <v>64</v>
      </c>
      <c r="D57" s="212"/>
      <c r="E57" s="212"/>
      <c r="F57" s="212" t="s">
        <v>293</v>
      </c>
      <c r="G57" s="36" t="s">
        <v>5511</v>
      </c>
      <c r="H57" s="36" t="s">
        <v>5304</v>
      </c>
      <c r="I57" s="36" t="s">
        <v>4886</v>
      </c>
      <c r="J57" s="6" t="s">
        <v>5504</v>
      </c>
      <c r="K57" s="212" t="n">
        <v>1</v>
      </c>
      <c r="L57" s="212" t="s">
        <v>4876</v>
      </c>
      <c r="M57" s="6" t="s">
        <v>5505</v>
      </c>
      <c r="N57" s="212" t="s">
        <v>5387</v>
      </c>
      <c r="O57" s="36" t="s">
        <v>4879</v>
      </c>
      <c r="P57" s="36" t="s">
        <v>585</v>
      </c>
      <c r="Q57" s="36" t="s">
        <v>5506</v>
      </c>
      <c r="R57" s="36" t="s">
        <v>585</v>
      </c>
      <c r="S57" s="36" t="s">
        <v>585</v>
      </c>
      <c r="T57" s="36" t="s">
        <v>585</v>
      </c>
      <c r="U57" s="36" t="s">
        <v>5507</v>
      </c>
      <c r="V57" s="6" t="s">
        <v>5512</v>
      </c>
      <c r="W57" s="19" t="s">
        <v>5513</v>
      </c>
      <c r="X57" s="185" t="n">
        <f aca="false">IF($O57="Active",SUMPRODUCT(($AH$5:$AH$109=$AH57)*1),0)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5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6" t="s">
        <v>5514</v>
      </c>
      <c r="B58" s="6" t="s">
        <v>5515</v>
      </c>
      <c r="C58" s="214" t="n">
        <v>0.492</v>
      </c>
      <c r="D58" s="212"/>
      <c r="E58" s="212"/>
      <c r="F58" s="36" t="s">
        <v>77</v>
      </c>
      <c r="G58" s="36" t="s">
        <v>5516</v>
      </c>
      <c r="H58" s="36" t="s">
        <v>5312</v>
      </c>
      <c r="I58" s="36" t="s">
        <v>4886</v>
      </c>
      <c r="J58" s="6" t="s">
        <v>5517</v>
      </c>
      <c r="K58" s="212" t="n">
        <v>1</v>
      </c>
      <c r="L58" s="212" t="s">
        <v>4876</v>
      </c>
      <c r="M58" s="6" t="s">
        <v>5518</v>
      </c>
      <c r="N58" s="212" t="s">
        <v>4878</v>
      </c>
      <c r="O58" s="36" t="s">
        <v>4879</v>
      </c>
      <c r="P58" s="36" t="s">
        <v>585</v>
      </c>
      <c r="Q58" s="36" t="s">
        <v>5519</v>
      </c>
      <c r="R58" s="36" t="s">
        <v>585</v>
      </c>
      <c r="S58" s="36" t="s">
        <v>585</v>
      </c>
      <c r="T58" s="36" t="s">
        <v>585</v>
      </c>
      <c r="U58" s="36" t="s">
        <v>5185</v>
      </c>
      <c r="V58" s="6" t="s">
        <v>5520</v>
      </c>
      <c r="W58" s="6" t="s">
        <v>5521</v>
      </c>
      <c r="X58" s="185" t="n">
        <f aca="false">IF($O58="Active",SUMPRODUCT(($AH$5:$AH$109=$AH58)*1),0)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5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6" t="s">
        <v>2281</v>
      </c>
      <c r="B59" s="6" t="s">
        <v>5522</v>
      </c>
      <c r="C59" s="214" t="n">
        <v>1.0001E+027</v>
      </c>
      <c r="D59" s="190"/>
      <c r="E59" s="190"/>
      <c r="F59" s="36" t="s">
        <v>278</v>
      </c>
      <c r="G59" s="190" t="s">
        <v>5523</v>
      </c>
      <c r="H59" s="36" t="s">
        <v>1182</v>
      </c>
      <c r="I59" s="36" t="s">
        <v>5524</v>
      </c>
      <c r="J59" s="6" t="s">
        <v>5525</v>
      </c>
      <c r="K59" s="190" t="n">
        <v>1</v>
      </c>
      <c r="L59" s="190" t="s">
        <v>4980</v>
      </c>
      <c r="M59" s="6" t="s">
        <v>5526</v>
      </c>
      <c r="N59" s="190" t="s">
        <v>4878</v>
      </c>
      <c r="O59" s="36" t="s">
        <v>4879</v>
      </c>
      <c r="P59" s="36" t="s">
        <v>585</v>
      </c>
      <c r="Q59" s="36" t="s">
        <v>5527</v>
      </c>
      <c r="R59" s="36" t="s">
        <v>585</v>
      </c>
      <c r="S59" s="36" t="s">
        <v>585</v>
      </c>
      <c r="T59" s="36" t="s">
        <v>585</v>
      </c>
      <c r="U59" s="36" t="s">
        <v>5528</v>
      </c>
      <c r="V59" s="6" t="s">
        <v>5529</v>
      </c>
      <c r="W59" s="6" t="s">
        <v>5530</v>
      </c>
      <c r="X59" s="185" t="n">
        <f aca="false">IF($O59="Active",SUMPRODUCT(($AH$5:$AH$109=$AH59)*1),0)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5" t="str">
        <f aca="false">IF($O59="Active",$B59&amp;"¦"&amp;$G59&amp;"¦"&amp;$H59,"")</f>
        <v>GPT-6 Astra 訓練算力（Epoch 估計）¦訓練總算力（硬體推估；GB200 數為下限；Epoch 信度 Likely）¦GPT-6 Astra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5531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A4" s="211" t="s">
        <v>5532</v>
      </c>
      <c r="AB4" s="211" t="s">
        <v>418</v>
      </c>
      <c r="AC4" s="77" t="s">
        <v>425</v>
      </c>
      <c r="AD4" s="77" t="s">
        <v>426</v>
      </c>
      <c r="AE4" s="211" t="s">
        <v>5533</v>
      </c>
      <c r="AF4" s="77" t="s">
        <v>5534</v>
      </c>
      <c r="AG4" s="77" t="s">
        <v>5535</v>
      </c>
      <c r="AH4" s="76" t="s">
        <v>4869</v>
      </c>
    </row>
    <row r="5" customFormat="false" ht="29.25" hidden="false" customHeight="true" outlineLevel="0" collapsed="false">
      <c r="A5" s="36" t="s">
        <v>3542</v>
      </c>
      <c r="B5" s="6" t="s">
        <v>5536</v>
      </c>
      <c r="C5" s="214" t="n">
        <v>6182</v>
      </c>
      <c r="D5" s="212"/>
      <c r="E5" s="212"/>
      <c r="F5" s="36" t="s">
        <v>5537</v>
      </c>
      <c r="G5" s="36" t="s">
        <v>5538</v>
      </c>
      <c r="H5" s="36" t="s">
        <v>145</v>
      </c>
      <c r="I5" s="36" t="s">
        <v>5539</v>
      </c>
      <c r="J5" s="6" t="s">
        <v>5540</v>
      </c>
      <c r="K5" s="212" t="n">
        <v>1</v>
      </c>
      <c r="L5" s="212" t="s">
        <v>4876</v>
      </c>
      <c r="M5" s="6" t="s">
        <v>5541</v>
      </c>
      <c r="N5" s="212" t="s">
        <v>5387</v>
      </c>
      <c r="O5" s="36" t="s">
        <v>4879</v>
      </c>
      <c r="P5" s="36" t="s">
        <v>585</v>
      </c>
      <c r="Q5" s="36" t="s">
        <v>5542</v>
      </c>
      <c r="R5" s="36" t="s">
        <v>585</v>
      </c>
      <c r="S5" s="36" t="s">
        <v>585</v>
      </c>
      <c r="T5" s="36" t="s">
        <v>585</v>
      </c>
      <c r="U5" s="36" t="s">
        <v>431</v>
      </c>
      <c r="V5" s="6" t="s">
        <v>5543</v>
      </c>
      <c r="W5" s="19" t="s">
        <v>5544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6" t="s">
        <v>5545</v>
      </c>
      <c r="AB5" s="36" t="s">
        <v>5546</v>
      </c>
      <c r="AC5" s="214" t="n">
        <v>8192</v>
      </c>
      <c r="AD5" s="214" t="n">
        <v>1024</v>
      </c>
      <c r="AE5" s="214" t="n">
        <v>27</v>
      </c>
      <c r="AF5" s="214" t="n">
        <v>0</v>
      </c>
      <c r="AG5" s="212" t="s">
        <v>5547</v>
      </c>
      <c r="AH5" s="35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6" t="s">
        <v>3549</v>
      </c>
      <c r="B6" s="6" t="s">
        <v>5548</v>
      </c>
      <c r="C6" s="214" t="n">
        <v>2189</v>
      </c>
      <c r="D6" s="212"/>
      <c r="E6" s="212"/>
      <c r="F6" s="36" t="s">
        <v>5537</v>
      </c>
      <c r="G6" s="36" t="s">
        <v>5538</v>
      </c>
      <c r="H6" s="36" t="s">
        <v>144</v>
      </c>
      <c r="I6" s="36" t="s">
        <v>5539</v>
      </c>
      <c r="J6" s="6" t="s">
        <v>5540</v>
      </c>
      <c r="K6" s="212" t="n">
        <v>1</v>
      </c>
      <c r="L6" s="212" t="s">
        <v>4876</v>
      </c>
      <c r="M6" s="6" t="s">
        <v>5541</v>
      </c>
      <c r="N6" s="212" t="s">
        <v>5387</v>
      </c>
      <c r="O6" s="36" t="s">
        <v>4879</v>
      </c>
      <c r="P6" s="36" t="s">
        <v>585</v>
      </c>
      <c r="Q6" s="36" t="s">
        <v>5542</v>
      </c>
      <c r="R6" s="36" t="s">
        <v>585</v>
      </c>
      <c r="S6" s="36" t="s">
        <v>585</v>
      </c>
      <c r="T6" s="36" t="s">
        <v>585</v>
      </c>
      <c r="U6" s="36" t="s">
        <v>431</v>
      </c>
      <c r="V6" s="6" t="s">
        <v>5549</v>
      </c>
      <c r="W6" s="19" t="s">
        <v>5550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6" t="s">
        <v>5545</v>
      </c>
      <c r="AB6" s="36" t="s">
        <v>5546</v>
      </c>
      <c r="AC6" s="214" t="n">
        <v>8192</v>
      </c>
      <c r="AD6" s="214" t="n">
        <v>1024</v>
      </c>
      <c r="AE6" s="214" t="n">
        <v>27</v>
      </c>
      <c r="AF6" s="214" t="n">
        <v>0</v>
      </c>
      <c r="AG6" s="212" t="s">
        <v>5547</v>
      </c>
      <c r="AH6" s="35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6" t="s">
        <v>5551</v>
      </c>
      <c r="B7" s="6" t="s">
        <v>5552</v>
      </c>
      <c r="C7" s="214" t="n">
        <v>11056</v>
      </c>
      <c r="D7" s="212"/>
      <c r="E7" s="212"/>
      <c r="F7" s="36" t="s">
        <v>537</v>
      </c>
      <c r="G7" s="36" t="s">
        <v>585</v>
      </c>
      <c r="H7" s="36" t="s">
        <v>145</v>
      </c>
      <c r="I7" s="36" t="s">
        <v>5539</v>
      </c>
      <c r="J7" s="6" t="s">
        <v>5540</v>
      </c>
      <c r="K7" s="212" t="n">
        <v>1</v>
      </c>
      <c r="L7" s="212" t="s">
        <v>4876</v>
      </c>
      <c r="M7" s="6" t="s">
        <v>5541</v>
      </c>
      <c r="N7" s="212" t="s">
        <v>5387</v>
      </c>
      <c r="O7" s="36" t="s">
        <v>4879</v>
      </c>
      <c r="P7" s="36" t="s">
        <v>585</v>
      </c>
      <c r="Q7" s="36" t="s">
        <v>5542</v>
      </c>
      <c r="R7" s="36" t="s">
        <v>585</v>
      </c>
      <c r="S7" s="36" t="s">
        <v>585</v>
      </c>
      <c r="T7" s="36" t="s">
        <v>585</v>
      </c>
      <c r="U7" s="36" t="s">
        <v>431</v>
      </c>
      <c r="V7" s="6" t="s">
        <v>585</v>
      </c>
      <c r="W7" s="6" t="s">
        <v>585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6" t="s">
        <v>3536</v>
      </c>
      <c r="B8" s="6" t="s">
        <v>5553</v>
      </c>
      <c r="C8" s="214" t="n">
        <v>11200</v>
      </c>
      <c r="D8" s="212"/>
      <c r="E8" s="212"/>
      <c r="F8" s="36" t="s">
        <v>5537</v>
      </c>
      <c r="G8" s="36" t="s">
        <v>5538</v>
      </c>
      <c r="H8" s="36" t="s">
        <v>145</v>
      </c>
      <c r="I8" s="36" t="s">
        <v>5554</v>
      </c>
      <c r="J8" s="6" t="s">
        <v>5555</v>
      </c>
      <c r="K8" s="212" t="n">
        <v>1</v>
      </c>
      <c r="L8" s="212" t="s">
        <v>4876</v>
      </c>
      <c r="M8" s="6" t="s">
        <v>5556</v>
      </c>
      <c r="N8" s="212" t="s">
        <v>5387</v>
      </c>
      <c r="O8" s="36" t="s">
        <v>4879</v>
      </c>
      <c r="P8" s="36" t="s">
        <v>585</v>
      </c>
      <c r="Q8" s="36" t="s">
        <v>5557</v>
      </c>
      <c r="R8" s="36" t="s">
        <v>585</v>
      </c>
      <c r="S8" s="36" t="s">
        <v>585</v>
      </c>
      <c r="T8" s="36" t="s">
        <v>585</v>
      </c>
      <c r="U8" s="36" t="s">
        <v>430</v>
      </c>
      <c r="V8" s="6" t="s">
        <v>5558</v>
      </c>
      <c r="W8" s="6" t="s">
        <v>585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6" t="s">
        <v>5545</v>
      </c>
      <c r="AB8" s="36" t="s">
        <v>5559</v>
      </c>
      <c r="AC8" s="214" t="n">
        <v>8192</v>
      </c>
      <c r="AD8" s="214" t="n">
        <v>1024</v>
      </c>
      <c r="AE8" s="214" t="n">
        <v>50</v>
      </c>
      <c r="AF8" s="214" t="n">
        <v>1</v>
      </c>
      <c r="AG8" s="212" t="s">
        <v>5547</v>
      </c>
      <c r="AH8" s="35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6" t="s">
        <v>3364</v>
      </c>
      <c r="B9" s="6" t="s">
        <v>5560</v>
      </c>
      <c r="C9" s="214" t="n">
        <v>0.7</v>
      </c>
      <c r="D9" s="212"/>
      <c r="E9" s="212"/>
      <c r="F9" s="36" t="s">
        <v>77</v>
      </c>
      <c r="G9" s="36" t="s">
        <v>5561</v>
      </c>
      <c r="H9" s="36" t="s">
        <v>5318</v>
      </c>
      <c r="I9" s="36" t="s">
        <v>5554</v>
      </c>
      <c r="J9" s="6" t="s">
        <v>5555</v>
      </c>
      <c r="K9" s="212" t="n">
        <v>1</v>
      </c>
      <c r="L9" s="212" t="s">
        <v>4876</v>
      </c>
      <c r="M9" s="6" t="s">
        <v>5556</v>
      </c>
      <c r="N9" s="212" t="s">
        <v>5387</v>
      </c>
      <c r="O9" s="36" t="s">
        <v>4879</v>
      </c>
      <c r="P9" s="36" t="s">
        <v>585</v>
      </c>
      <c r="Q9" s="36" t="s">
        <v>5557</v>
      </c>
      <c r="R9" s="36" t="s">
        <v>585</v>
      </c>
      <c r="S9" s="36" t="s">
        <v>585</v>
      </c>
      <c r="T9" s="36" t="s">
        <v>585</v>
      </c>
      <c r="U9" s="36" t="s">
        <v>430</v>
      </c>
      <c r="V9" s="6" t="s">
        <v>5562</v>
      </c>
      <c r="W9" s="19" t="s">
        <v>5563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6" t="s">
        <v>5564</v>
      </c>
      <c r="B10" s="6" t="s">
        <v>5565</v>
      </c>
      <c r="C10" s="214" t="n">
        <v>0.57</v>
      </c>
      <c r="D10" s="212"/>
      <c r="E10" s="212"/>
      <c r="F10" s="36" t="s">
        <v>77</v>
      </c>
      <c r="G10" s="36" t="s">
        <v>5566</v>
      </c>
      <c r="H10" s="36" t="s">
        <v>5318</v>
      </c>
      <c r="I10" s="36" t="s">
        <v>5554</v>
      </c>
      <c r="J10" s="6" t="s">
        <v>5555</v>
      </c>
      <c r="K10" s="212" t="n">
        <v>1</v>
      </c>
      <c r="L10" s="212" t="s">
        <v>4876</v>
      </c>
      <c r="M10" s="6" t="s">
        <v>5556</v>
      </c>
      <c r="N10" s="212" t="s">
        <v>5387</v>
      </c>
      <c r="O10" s="36" t="s">
        <v>4963</v>
      </c>
      <c r="P10" s="36" t="s">
        <v>585</v>
      </c>
      <c r="Q10" s="36" t="s">
        <v>5557</v>
      </c>
      <c r="R10" s="36" t="s">
        <v>585</v>
      </c>
      <c r="S10" s="36" t="s">
        <v>585</v>
      </c>
      <c r="T10" s="36" t="s">
        <v>585</v>
      </c>
      <c r="U10" s="36" t="s">
        <v>430</v>
      </c>
      <c r="V10" s="6" t="s">
        <v>585</v>
      </c>
      <c r="W10" s="19" t="s">
        <v>5567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5" t="str">
        <f aca="false">IF($O10="Active",$B10&amp;"¦"&amp;$G10&amp;"¦"&amp;$H10,"")</f>
        <v/>
      </c>
    </row>
    <row r="11" customFormat="false" ht="23.25" hidden="false" customHeight="true" outlineLevel="0" collapsed="false">
      <c r="A11" s="36" t="s">
        <v>3172</v>
      </c>
      <c r="B11" s="6" t="s">
        <v>5568</v>
      </c>
      <c r="C11" s="214" t="n">
        <v>4</v>
      </c>
      <c r="D11" s="212"/>
      <c r="E11" s="212"/>
      <c r="F11" s="36" t="s">
        <v>696</v>
      </c>
      <c r="G11" s="36" t="s">
        <v>5569</v>
      </c>
      <c r="H11" s="36" t="s">
        <v>145</v>
      </c>
      <c r="I11" s="36" t="s">
        <v>5554</v>
      </c>
      <c r="J11" s="6" t="s">
        <v>5555</v>
      </c>
      <c r="K11" s="212" t="n">
        <v>1</v>
      </c>
      <c r="L11" s="212" t="s">
        <v>4876</v>
      </c>
      <c r="M11" s="6" t="s">
        <v>5556</v>
      </c>
      <c r="N11" s="212" t="s">
        <v>5387</v>
      </c>
      <c r="O11" s="36" t="s">
        <v>4879</v>
      </c>
      <c r="P11" s="36" t="s">
        <v>585</v>
      </c>
      <c r="Q11" s="36" t="s">
        <v>5557</v>
      </c>
      <c r="R11" s="36" t="s">
        <v>585</v>
      </c>
      <c r="S11" s="36" t="s">
        <v>585</v>
      </c>
      <c r="T11" s="36" t="s">
        <v>585</v>
      </c>
      <c r="U11" s="36" t="s">
        <v>430</v>
      </c>
      <c r="V11" s="6" t="s">
        <v>5570</v>
      </c>
      <c r="W11" s="6" t="s">
        <v>5571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6" t="s">
        <v>3135</v>
      </c>
      <c r="B12" s="6" t="s">
        <v>5572</v>
      </c>
      <c r="C12" s="214" t="n">
        <v>32</v>
      </c>
      <c r="D12" s="212"/>
      <c r="E12" s="212"/>
      <c r="F12" s="36" t="s">
        <v>696</v>
      </c>
      <c r="G12" s="36" t="s">
        <v>5573</v>
      </c>
      <c r="H12" s="36" t="s">
        <v>145</v>
      </c>
      <c r="I12" s="36" t="s">
        <v>5554</v>
      </c>
      <c r="J12" s="6" t="s">
        <v>5555</v>
      </c>
      <c r="K12" s="212" t="n">
        <v>1</v>
      </c>
      <c r="L12" s="212" t="s">
        <v>4876</v>
      </c>
      <c r="M12" s="6" t="s">
        <v>5556</v>
      </c>
      <c r="N12" s="212" t="s">
        <v>5387</v>
      </c>
      <c r="O12" s="36" t="s">
        <v>4879</v>
      </c>
      <c r="P12" s="36" t="s">
        <v>585</v>
      </c>
      <c r="Q12" s="36" t="s">
        <v>5557</v>
      </c>
      <c r="R12" s="36" t="s">
        <v>585</v>
      </c>
      <c r="S12" s="36" t="s">
        <v>585</v>
      </c>
      <c r="T12" s="36" t="s">
        <v>585</v>
      </c>
      <c r="U12" s="36" t="s">
        <v>430</v>
      </c>
      <c r="V12" s="6" t="s">
        <v>5574</v>
      </c>
      <c r="W12" s="6" t="s">
        <v>5571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6" t="s">
        <v>3519</v>
      </c>
      <c r="B13" s="6" t="s">
        <v>5575</v>
      </c>
      <c r="C13" s="214" t="n">
        <v>9342.1</v>
      </c>
      <c r="D13" s="212"/>
      <c r="E13" s="212"/>
      <c r="F13" s="36" t="s">
        <v>5537</v>
      </c>
      <c r="G13" s="36" t="s">
        <v>5576</v>
      </c>
      <c r="H13" s="36" t="s">
        <v>145</v>
      </c>
      <c r="I13" s="212" t="s">
        <v>5577</v>
      </c>
      <c r="J13" s="6" t="s">
        <v>5578</v>
      </c>
      <c r="K13" s="212" t="n">
        <v>2</v>
      </c>
      <c r="L13" s="212" t="s">
        <v>4876</v>
      </c>
      <c r="M13" s="6" t="s">
        <v>5579</v>
      </c>
      <c r="N13" s="212" t="s">
        <v>4878</v>
      </c>
      <c r="O13" s="36" t="s">
        <v>4879</v>
      </c>
      <c r="P13" s="36" t="s">
        <v>585</v>
      </c>
      <c r="Q13" s="36" t="s">
        <v>5580</v>
      </c>
      <c r="R13" s="36" t="s">
        <v>585</v>
      </c>
      <c r="S13" s="36" t="s">
        <v>4724</v>
      </c>
      <c r="T13" s="36" t="s">
        <v>585</v>
      </c>
      <c r="U13" s="36" t="s">
        <v>429</v>
      </c>
      <c r="V13" s="6" t="s">
        <v>5581</v>
      </c>
      <c r="W13" s="19" t="s">
        <v>5582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6" t="s">
        <v>5545</v>
      </c>
      <c r="AB13" s="36" t="s">
        <v>5583</v>
      </c>
      <c r="AC13" s="214" t="n">
        <v>8192</v>
      </c>
      <c r="AD13" s="214" t="n">
        <v>1024</v>
      </c>
      <c r="AE13" s="214" t="n">
        <v>72</v>
      </c>
      <c r="AF13" s="214" t="n">
        <v>1</v>
      </c>
      <c r="AG13" s="212" t="s">
        <v>5547</v>
      </c>
      <c r="AH13" s="35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6" t="s">
        <v>3528</v>
      </c>
      <c r="B14" s="6" t="s">
        <v>5584</v>
      </c>
      <c r="C14" s="214" t="n">
        <v>3405.2</v>
      </c>
      <c r="D14" s="212"/>
      <c r="E14" s="212"/>
      <c r="F14" s="36" t="s">
        <v>5537</v>
      </c>
      <c r="G14" s="36" t="s">
        <v>5576</v>
      </c>
      <c r="H14" s="36" t="s">
        <v>145</v>
      </c>
      <c r="I14" s="212" t="s">
        <v>5577</v>
      </c>
      <c r="J14" s="6" t="s">
        <v>5578</v>
      </c>
      <c r="K14" s="212" t="n">
        <v>2</v>
      </c>
      <c r="L14" s="212" t="s">
        <v>4876</v>
      </c>
      <c r="M14" s="6" t="s">
        <v>5579</v>
      </c>
      <c r="N14" s="212" t="s">
        <v>4878</v>
      </c>
      <c r="O14" s="36" t="s">
        <v>4879</v>
      </c>
      <c r="P14" s="36" t="s">
        <v>585</v>
      </c>
      <c r="Q14" s="36" t="s">
        <v>5585</v>
      </c>
      <c r="R14" s="36" t="s">
        <v>585</v>
      </c>
      <c r="S14" s="36" t="s">
        <v>4724</v>
      </c>
      <c r="T14" s="36" t="s">
        <v>585</v>
      </c>
      <c r="U14" s="36" t="s">
        <v>429</v>
      </c>
      <c r="V14" s="6" t="s">
        <v>5586</v>
      </c>
      <c r="W14" s="19" t="s">
        <v>5587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6" t="s">
        <v>5545</v>
      </c>
      <c r="AB14" s="36" t="s">
        <v>5583</v>
      </c>
      <c r="AC14" s="214" t="n">
        <v>8192</v>
      </c>
      <c r="AD14" s="214" t="n">
        <v>1024</v>
      </c>
      <c r="AE14" s="214" t="n">
        <v>130</v>
      </c>
      <c r="AF14" s="214" t="n">
        <v>1</v>
      </c>
      <c r="AG14" s="212" t="s">
        <v>5547</v>
      </c>
      <c r="AH14" s="35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6" t="s">
        <v>2206</v>
      </c>
      <c r="B15" s="6" t="s">
        <v>5588</v>
      </c>
      <c r="C15" s="214" t="n">
        <v>0.078</v>
      </c>
      <c r="D15" s="212"/>
      <c r="E15" s="212"/>
      <c r="F15" s="36" t="s">
        <v>5589</v>
      </c>
      <c r="G15" s="36" t="s">
        <v>5590</v>
      </c>
      <c r="H15" s="36" t="s">
        <v>145</v>
      </c>
      <c r="I15" s="212" t="s">
        <v>5577</v>
      </c>
      <c r="J15" s="6" t="s">
        <v>5578</v>
      </c>
      <c r="K15" s="212" t="n">
        <v>3</v>
      </c>
      <c r="L15" s="212" t="s">
        <v>4876</v>
      </c>
      <c r="M15" s="6" t="s">
        <v>5579</v>
      </c>
      <c r="N15" s="212" t="s">
        <v>5591</v>
      </c>
      <c r="O15" s="36" t="s">
        <v>4879</v>
      </c>
      <c r="P15" s="36" t="s">
        <v>585</v>
      </c>
      <c r="Q15" s="36" t="s">
        <v>5592</v>
      </c>
      <c r="R15" s="36" t="s">
        <v>585</v>
      </c>
      <c r="S15" s="36" t="s">
        <v>585</v>
      </c>
      <c r="T15" s="36" t="s">
        <v>585</v>
      </c>
      <c r="U15" s="36" t="s">
        <v>429</v>
      </c>
      <c r="V15" s="6" t="s">
        <v>5593</v>
      </c>
      <c r="W15" s="6" t="s">
        <v>585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6" t="s">
        <v>5594</v>
      </c>
      <c r="B16" s="6" t="s">
        <v>5595</v>
      </c>
      <c r="C16" s="214" t="n">
        <v>0.216</v>
      </c>
      <c r="D16" s="212"/>
      <c r="E16" s="212"/>
      <c r="F16" s="36" t="s">
        <v>5589</v>
      </c>
      <c r="G16" s="36" t="s">
        <v>5590</v>
      </c>
      <c r="H16" s="36" t="s">
        <v>145</v>
      </c>
      <c r="I16" s="212" t="s">
        <v>5577</v>
      </c>
      <c r="J16" s="6" t="s">
        <v>5578</v>
      </c>
      <c r="K16" s="212" t="n">
        <v>3</v>
      </c>
      <c r="L16" s="212" t="s">
        <v>4876</v>
      </c>
      <c r="M16" s="6" t="s">
        <v>5579</v>
      </c>
      <c r="N16" s="212" t="s">
        <v>5591</v>
      </c>
      <c r="O16" s="36" t="s">
        <v>4879</v>
      </c>
      <c r="P16" s="36" t="s">
        <v>585</v>
      </c>
      <c r="Q16" s="36" t="s">
        <v>5592</v>
      </c>
      <c r="R16" s="36" t="s">
        <v>585</v>
      </c>
      <c r="S16" s="36" t="s">
        <v>585</v>
      </c>
      <c r="T16" s="36" t="s">
        <v>585</v>
      </c>
      <c r="U16" s="36" t="s">
        <v>429</v>
      </c>
      <c r="V16" s="6" t="s">
        <v>585</v>
      </c>
      <c r="W16" s="6" t="s">
        <v>585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6" t="s">
        <v>5596</v>
      </c>
      <c r="B17" s="6" t="s">
        <v>5597</v>
      </c>
      <c r="C17" s="214" t="n">
        <v>1.436</v>
      </c>
      <c r="D17" s="212"/>
      <c r="E17" s="212"/>
      <c r="F17" s="36" t="s">
        <v>5589</v>
      </c>
      <c r="G17" s="36" t="s">
        <v>5590</v>
      </c>
      <c r="H17" s="36" t="s">
        <v>145</v>
      </c>
      <c r="I17" s="212" t="s">
        <v>5577</v>
      </c>
      <c r="J17" s="6" t="s">
        <v>5578</v>
      </c>
      <c r="K17" s="212" t="n">
        <v>3</v>
      </c>
      <c r="L17" s="212" t="s">
        <v>4876</v>
      </c>
      <c r="M17" s="6" t="s">
        <v>5579</v>
      </c>
      <c r="N17" s="212" t="s">
        <v>5591</v>
      </c>
      <c r="O17" s="36" t="s">
        <v>4879</v>
      </c>
      <c r="P17" s="36" t="s">
        <v>585</v>
      </c>
      <c r="Q17" s="36" t="s">
        <v>5592</v>
      </c>
      <c r="R17" s="36" t="s">
        <v>585</v>
      </c>
      <c r="S17" s="36" t="s">
        <v>585</v>
      </c>
      <c r="T17" s="36" t="s">
        <v>585</v>
      </c>
      <c r="U17" s="36" t="s">
        <v>429</v>
      </c>
      <c r="V17" s="6" t="s">
        <v>585</v>
      </c>
      <c r="W17" s="6" t="s">
        <v>585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6" t="s">
        <v>3559</v>
      </c>
      <c r="B18" s="6" t="s">
        <v>5598</v>
      </c>
      <c r="C18" s="214" t="n">
        <v>3795.5</v>
      </c>
      <c r="D18" s="212"/>
      <c r="E18" s="212"/>
      <c r="F18" s="36" t="s">
        <v>537</v>
      </c>
      <c r="G18" s="212" t="s">
        <v>5599</v>
      </c>
      <c r="H18" s="36" t="s">
        <v>144</v>
      </c>
      <c r="I18" s="36" t="s">
        <v>5600</v>
      </c>
      <c r="J18" s="6" t="s">
        <v>5601</v>
      </c>
      <c r="K18" s="212" t="n">
        <v>1</v>
      </c>
      <c r="L18" s="212" t="s">
        <v>4876</v>
      </c>
      <c r="M18" s="6" t="s">
        <v>5602</v>
      </c>
      <c r="N18" s="212" t="s">
        <v>5387</v>
      </c>
      <c r="O18" s="36" t="s">
        <v>4879</v>
      </c>
      <c r="P18" s="36" t="s">
        <v>585</v>
      </c>
      <c r="Q18" s="36" t="s">
        <v>5603</v>
      </c>
      <c r="R18" s="36" t="s">
        <v>585</v>
      </c>
      <c r="S18" s="36" t="s">
        <v>585</v>
      </c>
      <c r="T18" s="36" t="s">
        <v>585</v>
      </c>
      <c r="U18" s="36" t="s">
        <v>432</v>
      </c>
      <c r="V18" s="6" t="s">
        <v>5604</v>
      </c>
      <c r="W18" s="19" t="s">
        <v>2505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6" t="s">
        <v>5545</v>
      </c>
      <c r="AB18" s="36" t="s">
        <v>5605</v>
      </c>
      <c r="AC18" s="214" t="n">
        <v>8192</v>
      </c>
      <c r="AD18" s="214" t="n">
        <v>1024</v>
      </c>
      <c r="AE18" s="214" t="n">
        <v>110</v>
      </c>
      <c r="AF18" s="214" t="n">
        <v>1</v>
      </c>
      <c r="AG18" s="212" t="s">
        <v>5547</v>
      </c>
      <c r="AH18" s="35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6" t="s">
        <v>3570</v>
      </c>
      <c r="B19" s="6" t="s">
        <v>5606</v>
      </c>
      <c r="C19" s="214" t="n">
        <v>6522.4</v>
      </c>
      <c r="D19" s="212"/>
      <c r="E19" s="212"/>
      <c r="F19" s="36" t="s">
        <v>537</v>
      </c>
      <c r="G19" s="212" t="s">
        <v>103</v>
      </c>
      <c r="H19" s="36" t="s">
        <v>145</v>
      </c>
      <c r="I19" s="36" t="s">
        <v>5600</v>
      </c>
      <c r="J19" s="6" t="s">
        <v>5601</v>
      </c>
      <c r="K19" s="212" t="n">
        <v>1</v>
      </c>
      <c r="L19" s="212" t="s">
        <v>4876</v>
      </c>
      <c r="M19" s="6" t="s">
        <v>5602</v>
      </c>
      <c r="N19" s="212" t="s">
        <v>5387</v>
      </c>
      <c r="O19" s="36" t="s">
        <v>4879</v>
      </c>
      <c r="P19" s="36" t="s">
        <v>585</v>
      </c>
      <c r="Q19" s="36" t="s">
        <v>5603</v>
      </c>
      <c r="R19" s="36" t="s">
        <v>585</v>
      </c>
      <c r="S19" s="36" t="s">
        <v>585</v>
      </c>
      <c r="T19" s="36" t="s">
        <v>585</v>
      </c>
      <c r="U19" s="36" t="s">
        <v>432</v>
      </c>
      <c r="V19" s="6" t="s">
        <v>5607</v>
      </c>
      <c r="W19" s="19" t="s">
        <v>2505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6" t="s">
        <v>5545</v>
      </c>
      <c r="AB19" s="36" t="s">
        <v>5605</v>
      </c>
      <c r="AC19" s="214" t="n">
        <v>8192</v>
      </c>
      <c r="AD19" s="214" t="n">
        <v>1024</v>
      </c>
      <c r="AE19" s="214" t="n">
        <v>110</v>
      </c>
      <c r="AF19" s="214" t="n">
        <v>1</v>
      </c>
      <c r="AG19" s="212" t="s">
        <v>5547</v>
      </c>
      <c r="AH19" s="35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6" t="s">
        <v>5608</v>
      </c>
      <c r="B20" s="6" t="s">
        <v>5609</v>
      </c>
      <c r="C20" s="214" t="n">
        <v>4036</v>
      </c>
      <c r="D20" s="212"/>
      <c r="E20" s="212"/>
      <c r="F20" s="36" t="s">
        <v>537</v>
      </c>
      <c r="G20" s="212" t="s">
        <v>2505</v>
      </c>
      <c r="H20" s="36" t="s">
        <v>5610</v>
      </c>
      <c r="I20" s="36" t="s">
        <v>1190</v>
      </c>
      <c r="J20" s="6" t="s">
        <v>5611</v>
      </c>
      <c r="K20" s="212" t="n">
        <v>1</v>
      </c>
      <c r="L20" s="212" t="s">
        <v>4876</v>
      </c>
      <c r="M20" s="6" t="s">
        <v>5612</v>
      </c>
      <c r="N20" s="212" t="s">
        <v>5387</v>
      </c>
      <c r="O20" s="36" t="s">
        <v>4879</v>
      </c>
      <c r="P20" s="36" t="s">
        <v>585</v>
      </c>
      <c r="Q20" s="36" t="s">
        <v>5613</v>
      </c>
      <c r="R20" s="36" t="s">
        <v>585</v>
      </c>
      <c r="S20" s="36" t="s">
        <v>585</v>
      </c>
      <c r="T20" s="36" t="s">
        <v>585</v>
      </c>
      <c r="U20" s="36" t="s">
        <v>5614</v>
      </c>
      <c r="V20" s="6" t="s">
        <v>585</v>
      </c>
      <c r="W20" s="19" t="s">
        <v>5615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6" t="s">
        <v>5616</v>
      </c>
      <c r="B21" s="6" t="s">
        <v>5617</v>
      </c>
      <c r="C21" s="214" t="n">
        <v>3102</v>
      </c>
      <c r="D21" s="212"/>
      <c r="E21" s="212"/>
      <c r="F21" s="36" t="s">
        <v>537</v>
      </c>
      <c r="G21" s="212" t="s">
        <v>2505</v>
      </c>
      <c r="H21" s="36" t="s">
        <v>5610</v>
      </c>
      <c r="I21" s="36" t="s">
        <v>1190</v>
      </c>
      <c r="J21" s="6" t="s">
        <v>5611</v>
      </c>
      <c r="K21" s="212" t="n">
        <v>1</v>
      </c>
      <c r="L21" s="212" t="s">
        <v>4876</v>
      </c>
      <c r="M21" s="6" t="s">
        <v>5612</v>
      </c>
      <c r="N21" s="212" t="s">
        <v>5387</v>
      </c>
      <c r="O21" s="36" t="s">
        <v>4879</v>
      </c>
      <c r="P21" s="36" t="s">
        <v>585</v>
      </c>
      <c r="Q21" s="36" t="s">
        <v>5613</v>
      </c>
      <c r="R21" s="36" t="s">
        <v>585</v>
      </c>
      <c r="S21" s="36" t="s">
        <v>585</v>
      </c>
      <c r="T21" s="36" t="s">
        <v>585</v>
      </c>
      <c r="U21" s="36" t="s">
        <v>5614</v>
      </c>
      <c r="V21" s="6" t="s">
        <v>585</v>
      </c>
      <c r="W21" s="19" t="s">
        <v>5615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6" t="s">
        <v>3392</v>
      </c>
      <c r="B22" s="19" t="s">
        <v>5618</v>
      </c>
      <c r="C22" s="214" t="n">
        <v>120</v>
      </c>
      <c r="D22" s="212"/>
      <c r="E22" s="212"/>
      <c r="F22" s="36" t="s">
        <v>5619</v>
      </c>
      <c r="G22" s="212" t="s">
        <v>5620</v>
      </c>
      <c r="H22" s="36" t="s">
        <v>5621</v>
      </c>
      <c r="I22" s="36" t="s">
        <v>1187</v>
      </c>
      <c r="J22" s="6" t="s">
        <v>5622</v>
      </c>
      <c r="K22" s="212" t="n">
        <v>1</v>
      </c>
      <c r="L22" s="212" t="s">
        <v>4980</v>
      </c>
      <c r="M22" s="6" t="s">
        <v>5623</v>
      </c>
      <c r="N22" s="212" t="s">
        <v>5387</v>
      </c>
      <c r="O22" s="36" t="s">
        <v>4879</v>
      </c>
      <c r="P22" s="36" t="s">
        <v>585</v>
      </c>
      <c r="Q22" s="36" t="s">
        <v>5624</v>
      </c>
      <c r="R22" s="36" t="s">
        <v>585</v>
      </c>
      <c r="S22" s="36" t="s">
        <v>585</v>
      </c>
      <c r="T22" s="36" t="s">
        <v>585</v>
      </c>
      <c r="U22" s="36" t="s">
        <v>5625</v>
      </c>
      <c r="V22" s="6" t="s">
        <v>5626</v>
      </c>
      <c r="W22" s="6" t="s">
        <v>3393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5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6" t="s">
        <v>3395</v>
      </c>
      <c r="B23" s="19" t="s">
        <v>5627</v>
      </c>
      <c r="C23" s="214" t="n">
        <v>68</v>
      </c>
      <c r="D23" s="212"/>
      <c r="E23" s="212"/>
      <c r="F23" s="36" t="s">
        <v>5619</v>
      </c>
      <c r="G23" s="212" t="s">
        <v>5620</v>
      </c>
      <c r="H23" s="36" t="s">
        <v>5628</v>
      </c>
      <c r="I23" s="36" t="s">
        <v>1187</v>
      </c>
      <c r="J23" s="6" t="s">
        <v>5622</v>
      </c>
      <c r="K23" s="212" t="n">
        <v>1</v>
      </c>
      <c r="L23" s="212" t="s">
        <v>4980</v>
      </c>
      <c r="M23" s="6" t="s">
        <v>5623</v>
      </c>
      <c r="N23" s="212" t="s">
        <v>5387</v>
      </c>
      <c r="O23" s="36" t="s">
        <v>4879</v>
      </c>
      <c r="P23" s="36" t="s">
        <v>585</v>
      </c>
      <c r="Q23" s="36" t="s">
        <v>5624</v>
      </c>
      <c r="R23" s="36" t="s">
        <v>585</v>
      </c>
      <c r="S23" s="36" t="s">
        <v>585</v>
      </c>
      <c r="T23" s="36" t="s">
        <v>585</v>
      </c>
      <c r="U23" s="36" t="s">
        <v>5625</v>
      </c>
      <c r="V23" s="6" t="s">
        <v>5629</v>
      </c>
      <c r="W23" s="6" t="s">
        <v>5630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5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6" t="s">
        <v>3399</v>
      </c>
      <c r="B24" s="19" t="s">
        <v>5631</v>
      </c>
      <c r="C24" s="212"/>
      <c r="D24" s="214" t="n">
        <v>52</v>
      </c>
      <c r="E24" s="214" t="n">
        <v>56</v>
      </c>
      <c r="F24" s="36" t="s">
        <v>5619</v>
      </c>
      <c r="G24" s="212" t="s">
        <v>5620</v>
      </c>
      <c r="H24" s="36" t="s">
        <v>1182</v>
      </c>
      <c r="I24" s="36" t="s">
        <v>1187</v>
      </c>
      <c r="J24" s="6" t="s">
        <v>5622</v>
      </c>
      <c r="K24" s="212" t="n">
        <v>1</v>
      </c>
      <c r="L24" s="212" t="s">
        <v>4980</v>
      </c>
      <c r="M24" s="6" t="s">
        <v>5623</v>
      </c>
      <c r="N24" s="212" t="s">
        <v>5387</v>
      </c>
      <c r="O24" s="36" t="s">
        <v>4879</v>
      </c>
      <c r="P24" s="36" t="s">
        <v>585</v>
      </c>
      <c r="Q24" s="36" t="s">
        <v>5624</v>
      </c>
      <c r="R24" s="36" t="s">
        <v>585</v>
      </c>
      <c r="S24" s="36" t="s">
        <v>585</v>
      </c>
      <c r="T24" s="36" t="s">
        <v>585</v>
      </c>
      <c r="U24" s="36" t="s">
        <v>5625</v>
      </c>
      <c r="V24" s="6" t="s">
        <v>5632</v>
      </c>
      <c r="W24" s="6" t="s">
        <v>5633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5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6" t="s">
        <v>5634</v>
      </c>
      <c r="B25" s="19" t="s">
        <v>5635</v>
      </c>
      <c r="C25" s="214" t="n">
        <v>54</v>
      </c>
      <c r="D25" s="212"/>
      <c r="E25" s="212"/>
      <c r="F25" s="36" t="s">
        <v>5619</v>
      </c>
      <c r="G25" s="212" t="s">
        <v>5620</v>
      </c>
      <c r="H25" s="36" t="s">
        <v>1189</v>
      </c>
      <c r="I25" s="36" t="s">
        <v>1187</v>
      </c>
      <c r="J25" s="6" t="s">
        <v>5622</v>
      </c>
      <c r="K25" s="212" t="n">
        <v>1</v>
      </c>
      <c r="L25" s="212" t="s">
        <v>4980</v>
      </c>
      <c r="M25" s="6" t="s">
        <v>5623</v>
      </c>
      <c r="N25" s="212" t="s">
        <v>5387</v>
      </c>
      <c r="O25" s="36" t="s">
        <v>4879</v>
      </c>
      <c r="P25" s="36" t="s">
        <v>585</v>
      </c>
      <c r="Q25" s="36" t="s">
        <v>5624</v>
      </c>
      <c r="R25" s="36" t="s">
        <v>585</v>
      </c>
      <c r="S25" s="36" t="s">
        <v>585</v>
      </c>
      <c r="T25" s="36" t="s">
        <v>585</v>
      </c>
      <c r="U25" s="36" t="s">
        <v>5625</v>
      </c>
      <c r="V25" s="6" t="s">
        <v>585</v>
      </c>
      <c r="W25" s="6" t="s">
        <v>585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5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6" t="s">
        <v>5636</v>
      </c>
      <c r="B26" s="19" t="s">
        <v>5637</v>
      </c>
      <c r="C26" s="212"/>
      <c r="D26" s="214" t="n">
        <v>290</v>
      </c>
      <c r="E26" s="214" t="n">
        <v>350</v>
      </c>
      <c r="F26" s="36" t="s">
        <v>5619</v>
      </c>
      <c r="G26" s="212" t="s">
        <v>5620</v>
      </c>
      <c r="H26" s="36" t="s">
        <v>5638</v>
      </c>
      <c r="I26" s="36" t="s">
        <v>1187</v>
      </c>
      <c r="J26" s="6" t="s">
        <v>5622</v>
      </c>
      <c r="K26" s="212" t="n">
        <v>1</v>
      </c>
      <c r="L26" s="212" t="s">
        <v>4980</v>
      </c>
      <c r="M26" s="6" t="s">
        <v>5623</v>
      </c>
      <c r="N26" s="212" t="s">
        <v>5387</v>
      </c>
      <c r="O26" s="36" t="s">
        <v>4879</v>
      </c>
      <c r="P26" s="36" t="s">
        <v>585</v>
      </c>
      <c r="Q26" s="36" t="s">
        <v>5624</v>
      </c>
      <c r="R26" s="36" t="s">
        <v>585</v>
      </c>
      <c r="S26" s="36" t="s">
        <v>585</v>
      </c>
      <c r="T26" s="36" t="s">
        <v>585</v>
      </c>
      <c r="U26" s="36" t="s">
        <v>5625</v>
      </c>
      <c r="V26" s="6" t="s">
        <v>585</v>
      </c>
      <c r="W26" s="6" t="s">
        <v>585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5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6" t="s">
        <v>5639</v>
      </c>
      <c r="B27" s="6" t="s">
        <v>5640</v>
      </c>
      <c r="C27" s="214" t="n">
        <v>20</v>
      </c>
      <c r="D27" s="212"/>
      <c r="E27" s="212"/>
      <c r="F27" s="36" t="s">
        <v>5619</v>
      </c>
      <c r="G27" s="212" t="s">
        <v>5641</v>
      </c>
      <c r="H27" s="36" t="s">
        <v>5642</v>
      </c>
      <c r="I27" s="36" t="s">
        <v>5643</v>
      </c>
      <c r="J27" s="6" t="s">
        <v>5644</v>
      </c>
      <c r="K27" s="212" t="n">
        <v>3</v>
      </c>
      <c r="L27" s="212" t="s">
        <v>4876</v>
      </c>
      <c r="M27" s="6" t="s">
        <v>5645</v>
      </c>
      <c r="N27" s="212" t="s">
        <v>5008</v>
      </c>
      <c r="O27" s="36" t="s">
        <v>4879</v>
      </c>
      <c r="P27" s="36" t="s">
        <v>585</v>
      </c>
      <c r="Q27" s="36" t="s">
        <v>5646</v>
      </c>
      <c r="R27" s="36" t="s">
        <v>585</v>
      </c>
      <c r="S27" s="36" t="s">
        <v>585</v>
      </c>
      <c r="T27" s="36" t="s">
        <v>585</v>
      </c>
      <c r="U27" s="36" t="s">
        <v>5647</v>
      </c>
      <c r="V27" s="6" t="s">
        <v>585</v>
      </c>
      <c r="W27" s="19" t="s">
        <v>5648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6" t="s">
        <v>5649</v>
      </c>
      <c r="B28" s="6" t="s">
        <v>5650</v>
      </c>
      <c r="C28" s="214" t="n">
        <v>250634</v>
      </c>
      <c r="D28" s="212"/>
      <c r="E28" s="212"/>
      <c r="F28" s="36" t="s">
        <v>5651</v>
      </c>
      <c r="G28" s="36" t="s">
        <v>5652</v>
      </c>
      <c r="H28" s="36" t="s">
        <v>145</v>
      </c>
      <c r="I28" s="36" t="s">
        <v>5653</v>
      </c>
      <c r="J28" s="6" t="s">
        <v>5654</v>
      </c>
      <c r="K28" s="212" t="n">
        <v>2</v>
      </c>
      <c r="L28" s="212" t="s">
        <v>4876</v>
      </c>
      <c r="M28" s="6" t="s">
        <v>5655</v>
      </c>
      <c r="N28" s="212" t="s">
        <v>5656</v>
      </c>
      <c r="O28" s="36" t="s">
        <v>4879</v>
      </c>
      <c r="P28" s="36" t="s">
        <v>585</v>
      </c>
      <c r="Q28" s="36" t="s">
        <v>5657</v>
      </c>
      <c r="R28" s="36" t="s">
        <v>585</v>
      </c>
      <c r="S28" s="36" t="s">
        <v>585</v>
      </c>
      <c r="T28" s="36" t="s">
        <v>585</v>
      </c>
      <c r="U28" s="36" t="s">
        <v>5658</v>
      </c>
      <c r="V28" s="6" t="s">
        <v>585</v>
      </c>
      <c r="W28" s="19" t="s">
        <v>5659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5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6" t="s">
        <v>3700</v>
      </c>
      <c r="B29" s="6" t="s">
        <v>5660</v>
      </c>
      <c r="C29" s="214" t="n">
        <v>240318</v>
      </c>
      <c r="D29" s="212"/>
      <c r="E29" s="212"/>
      <c r="F29" s="36" t="s">
        <v>5651</v>
      </c>
      <c r="G29" s="36" t="s">
        <v>5652</v>
      </c>
      <c r="H29" s="36" t="s">
        <v>144</v>
      </c>
      <c r="I29" s="36" t="s">
        <v>5653</v>
      </c>
      <c r="J29" s="6" t="s">
        <v>5654</v>
      </c>
      <c r="K29" s="212" t="n">
        <v>2</v>
      </c>
      <c r="L29" s="212" t="s">
        <v>4876</v>
      </c>
      <c r="M29" s="6" t="s">
        <v>5655</v>
      </c>
      <c r="N29" s="212" t="s">
        <v>5656</v>
      </c>
      <c r="O29" s="36" t="s">
        <v>4879</v>
      </c>
      <c r="P29" s="36" t="s">
        <v>585</v>
      </c>
      <c r="Q29" s="36" t="s">
        <v>5657</v>
      </c>
      <c r="R29" s="36" t="s">
        <v>585</v>
      </c>
      <c r="S29" s="36" t="s">
        <v>585</v>
      </c>
      <c r="T29" s="36" t="s">
        <v>585</v>
      </c>
      <c r="U29" s="36" t="s">
        <v>5658</v>
      </c>
      <c r="V29" s="6" t="s">
        <v>5661</v>
      </c>
      <c r="W29" s="19" t="s">
        <v>5662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6" t="s">
        <v>3706</v>
      </c>
      <c r="B30" s="6" t="s">
        <v>5663</v>
      </c>
      <c r="C30" s="214" t="n">
        <v>8064</v>
      </c>
      <c r="D30" s="212"/>
      <c r="E30" s="212"/>
      <c r="F30" s="36" t="s">
        <v>5664</v>
      </c>
      <c r="G30" s="36" t="s">
        <v>5665</v>
      </c>
      <c r="H30" s="36" t="s">
        <v>145</v>
      </c>
      <c r="I30" s="36" t="s">
        <v>5653</v>
      </c>
      <c r="J30" s="6" t="s">
        <v>5654</v>
      </c>
      <c r="K30" s="212" t="n">
        <v>2</v>
      </c>
      <c r="L30" s="212" t="s">
        <v>4876</v>
      </c>
      <c r="M30" s="6" t="s">
        <v>5655</v>
      </c>
      <c r="N30" s="212" t="s">
        <v>5656</v>
      </c>
      <c r="O30" s="36" t="s">
        <v>4879</v>
      </c>
      <c r="P30" s="36" t="s">
        <v>585</v>
      </c>
      <c r="Q30" s="36" t="s">
        <v>5657</v>
      </c>
      <c r="R30" s="36" t="s">
        <v>585</v>
      </c>
      <c r="S30" s="36" t="s">
        <v>585</v>
      </c>
      <c r="T30" s="36" t="s">
        <v>585</v>
      </c>
      <c r="U30" s="36" t="s">
        <v>5658</v>
      </c>
      <c r="V30" s="6" t="s">
        <v>5666</v>
      </c>
      <c r="W30" s="6" t="s">
        <v>585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6" t="s">
        <v>3703</v>
      </c>
      <c r="B31" s="6" t="s">
        <v>5667</v>
      </c>
      <c r="C31" s="214" t="n">
        <v>652750</v>
      </c>
      <c r="D31" s="212"/>
      <c r="E31" s="212"/>
      <c r="F31" s="36" t="s">
        <v>5651</v>
      </c>
      <c r="G31" s="36" t="s">
        <v>5668</v>
      </c>
      <c r="H31" s="36" t="s">
        <v>146</v>
      </c>
      <c r="I31" s="36" t="s">
        <v>5669</v>
      </c>
      <c r="J31" s="6" t="s">
        <v>5670</v>
      </c>
      <c r="K31" s="212" t="n">
        <v>1</v>
      </c>
      <c r="L31" s="212" t="s">
        <v>4876</v>
      </c>
      <c r="M31" s="6" t="s">
        <v>5671</v>
      </c>
      <c r="N31" s="212" t="s">
        <v>4878</v>
      </c>
      <c r="O31" s="36" t="s">
        <v>4879</v>
      </c>
      <c r="P31" s="36" t="s">
        <v>585</v>
      </c>
      <c r="Q31" s="36" t="s">
        <v>5672</v>
      </c>
      <c r="R31" s="36" t="s">
        <v>585</v>
      </c>
      <c r="S31" s="36" t="s">
        <v>4745</v>
      </c>
      <c r="T31" s="36" t="s">
        <v>585</v>
      </c>
      <c r="U31" s="36" t="s">
        <v>2524</v>
      </c>
      <c r="V31" s="6" t="s">
        <v>5673</v>
      </c>
      <c r="W31" s="19" t="s">
        <v>5674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6" t="s">
        <v>3697</v>
      </c>
      <c r="B32" s="6" t="s">
        <v>5675</v>
      </c>
      <c r="C32" s="214" t="n">
        <v>253506</v>
      </c>
      <c r="D32" s="212"/>
      <c r="E32" s="212"/>
      <c r="F32" s="36" t="s">
        <v>5651</v>
      </c>
      <c r="G32" s="36" t="s">
        <v>5652</v>
      </c>
      <c r="H32" s="36" t="s">
        <v>145</v>
      </c>
      <c r="I32" s="36" t="s">
        <v>5669</v>
      </c>
      <c r="J32" s="6" t="s">
        <v>5670</v>
      </c>
      <c r="K32" s="212" t="n">
        <v>1</v>
      </c>
      <c r="L32" s="212" t="s">
        <v>4876</v>
      </c>
      <c r="M32" s="6" t="s">
        <v>5671</v>
      </c>
      <c r="N32" s="212" t="s">
        <v>4878</v>
      </c>
      <c r="O32" s="36" t="s">
        <v>4879</v>
      </c>
      <c r="P32" s="36" t="s">
        <v>585</v>
      </c>
      <c r="Q32" s="36" t="s">
        <v>5672</v>
      </c>
      <c r="R32" s="36" t="s">
        <v>585</v>
      </c>
      <c r="S32" s="36" t="s">
        <v>4745</v>
      </c>
      <c r="T32" s="36" t="s">
        <v>585</v>
      </c>
      <c r="U32" s="36" t="s">
        <v>2524</v>
      </c>
      <c r="V32" s="6" t="s">
        <v>5676</v>
      </c>
      <c r="W32" s="19" t="s">
        <v>5677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6" t="s">
        <v>3663</v>
      </c>
      <c r="B33" s="6" t="s">
        <v>5678</v>
      </c>
      <c r="C33" s="214" t="n">
        <v>800</v>
      </c>
      <c r="D33" s="212"/>
      <c r="E33" s="212"/>
      <c r="F33" s="36" t="s">
        <v>255</v>
      </c>
      <c r="G33" s="212" t="s">
        <v>5679</v>
      </c>
      <c r="H33" s="36" t="s">
        <v>5680</v>
      </c>
      <c r="I33" s="36" t="s">
        <v>5681</v>
      </c>
      <c r="J33" s="6" t="s">
        <v>5682</v>
      </c>
      <c r="K33" s="212" t="n">
        <v>1</v>
      </c>
      <c r="L33" s="212" t="s">
        <v>4980</v>
      </c>
      <c r="M33" s="6" t="s">
        <v>5683</v>
      </c>
      <c r="N33" s="212" t="s">
        <v>5387</v>
      </c>
      <c r="O33" s="36" t="s">
        <v>4879</v>
      </c>
      <c r="P33" s="36" t="s">
        <v>585</v>
      </c>
      <c r="Q33" s="36" t="s">
        <v>5684</v>
      </c>
      <c r="R33" s="36" t="s">
        <v>585</v>
      </c>
      <c r="S33" s="36" t="s">
        <v>585</v>
      </c>
      <c r="T33" s="36" t="s">
        <v>585</v>
      </c>
      <c r="U33" s="36" t="s">
        <v>5685</v>
      </c>
      <c r="V33" s="6" t="s">
        <v>5686</v>
      </c>
      <c r="W33" s="6" t="s">
        <v>585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5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6" t="s">
        <v>3667</v>
      </c>
      <c r="B34" s="6" t="s">
        <v>5687</v>
      </c>
      <c r="C34" s="214" t="n">
        <v>3880</v>
      </c>
      <c r="D34" s="212"/>
      <c r="E34" s="212"/>
      <c r="F34" s="36" t="s">
        <v>255</v>
      </c>
      <c r="G34" s="212" t="s">
        <v>5679</v>
      </c>
      <c r="H34" s="36" t="s">
        <v>5680</v>
      </c>
      <c r="I34" s="36" t="s">
        <v>5681</v>
      </c>
      <c r="J34" s="6" t="s">
        <v>5682</v>
      </c>
      <c r="K34" s="212" t="n">
        <v>1</v>
      </c>
      <c r="L34" s="212" t="s">
        <v>4980</v>
      </c>
      <c r="M34" s="6" t="s">
        <v>5683</v>
      </c>
      <c r="N34" s="212" t="s">
        <v>5387</v>
      </c>
      <c r="O34" s="36" t="s">
        <v>4879</v>
      </c>
      <c r="P34" s="36" t="s">
        <v>585</v>
      </c>
      <c r="Q34" s="36" t="s">
        <v>5684</v>
      </c>
      <c r="R34" s="36" t="s">
        <v>585</v>
      </c>
      <c r="S34" s="36" t="s">
        <v>585</v>
      </c>
      <c r="T34" s="36" t="s">
        <v>585</v>
      </c>
      <c r="U34" s="36" t="s">
        <v>5685</v>
      </c>
      <c r="V34" s="6" t="s">
        <v>5688</v>
      </c>
      <c r="W34" s="6" t="s">
        <v>585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5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6" t="s">
        <v>3674</v>
      </c>
      <c r="B35" s="6" t="s">
        <v>5689</v>
      </c>
      <c r="C35" s="214" t="n">
        <v>15</v>
      </c>
      <c r="D35" s="212"/>
      <c r="E35" s="212"/>
      <c r="F35" s="36" t="s">
        <v>469</v>
      </c>
      <c r="G35" s="36" t="s">
        <v>5652</v>
      </c>
      <c r="H35" s="36" t="s">
        <v>5680</v>
      </c>
      <c r="I35" s="36" t="s">
        <v>4916</v>
      </c>
      <c r="J35" s="6" t="s">
        <v>5682</v>
      </c>
      <c r="K35" s="212" t="n">
        <v>1</v>
      </c>
      <c r="L35" s="212" t="s">
        <v>4980</v>
      </c>
      <c r="M35" s="6" t="s">
        <v>5683</v>
      </c>
      <c r="N35" s="212" t="s">
        <v>5387</v>
      </c>
      <c r="O35" s="36" t="s">
        <v>4879</v>
      </c>
      <c r="P35" s="36" t="s">
        <v>585</v>
      </c>
      <c r="Q35" s="36" t="s">
        <v>5684</v>
      </c>
      <c r="R35" s="36" t="s">
        <v>585</v>
      </c>
      <c r="S35" s="36" t="s">
        <v>585</v>
      </c>
      <c r="T35" s="36" t="s">
        <v>585</v>
      </c>
      <c r="U35" s="36" t="s">
        <v>5685</v>
      </c>
      <c r="V35" s="6" t="s">
        <v>5690</v>
      </c>
      <c r="W35" s="19" t="s">
        <v>5691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5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6" t="s">
        <v>3681</v>
      </c>
      <c r="B36" s="6" t="s">
        <v>5692</v>
      </c>
      <c r="C36" s="214" t="n">
        <v>80</v>
      </c>
      <c r="D36" s="212"/>
      <c r="E36" s="212"/>
      <c r="F36" s="36" t="s">
        <v>469</v>
      </c>
      <c r="G36" s="36" t="s">
        <v>5665</v>
      </c>
      <c r="H36" s="36" t="s">
        <v>5680</v>
      </c>
      <c r="I36" s="36" t="s">
        <v>4916</v>
      </c>
      <c r="J36" s="6" t="s">
        <v>5682</v>
      </c>
      <c r="K36" s="212" t="n">
        <v>1</v>
      </c>
      <c r="L36" s="212" t="s">
        <v>4980</v>
      </c>
      <c r="M36" s="6" t="s">
        <v>5683</v>
      </c>
      <c r="N36" s="212" t="s">
        <v>5387</v>
      </c>
      <c r="O36" s="36" t="s">
        <v>4879</v>
      </c>
      <c r="P36" s="36" t="s">
        <v>585</v>
      </c>
      <c r="Q36" s="36" t="s">
        <v>5684</v>
      </c>
      <c r="R36" s="36" t="s">
        <v>585</v>
      </c>
      <c r="S36" s="36" t="s">
        <v>585</v>
      </c>
      <c r="T36" s="36" t="s">
        <v>585</v>
      </c>
      <c r="U36" s="36" t="s">
        <v>5685</v>
      </c>
      <c r="V36" s="6" t="s">
        <v>5693</v>
      </c>
      <c r="W36" s="19" t="s">
        <v>5694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5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6" t="s">
        <v>5695</v>
      </c>
      <c r="B37" s="6" t="s">
        <v>5696</v>
      </c>
      <c r="C37" s="214" t="n">
        <v>1.5</v>
      </c>
      <c r="D37" s="212"/>
      <c r="E37" s="212"/>
      <c r="F37" s="36" t="s">
        <v>339</v>
      </c>
      <c r="G37" s="36" t="s">
        <v>5652</v>
      </c>
      <c r="H37" s="36" t="s">
        <v>5680</v>
      </c>
      <c r="I37" s="36" t="s">
        <v>4916</v>
      </c>
      <c r="J37" s="6" t="s">
        <v>5682</v>
      </c>
      <c r="K37" s="212" t="n">
        <v>1</v>
      </c>
      <c r="L37" s="212" t="s">
        <v>4980</v>
      </c>
      <c r="M37" s="6" t="s">
        <v>5683</v>
      </c>
      <c r="N37" s="212" t="s">
        <v>5387</v>
      </c>
      <c r="O37" s="36" t="s">
        <v>4879</v>
      </c>
      <c r="P37" s="36" t="s">
        <v>585</v>
      </c>
      <c r="Q37" s="36" t="s">
        <v>5684</v>
      </c>
      <c r="R37" s="36" t="s">
        <v>585</v>
      </c>
      <c r="S37" s="36" t="s">
        <v>585</v>
      </c>
      <c r="T37" s="36" t="s">
        <v>585</v>
      </c>
      <c r="U37" s="36" t="s">
        <v>5685</v>
      </c>
      <c r="V37" s="6" t="s">
        <v>585</v>
      </c>
      <c r="W37" s="6" t="s">
        <v>585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5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6" t="s">
        <v>5697</v>
      </c>
      <c r="B38" s="6" t="s">
        <v>5698</v>
      </c>
      <c r="C38" s="214" t="n">
        <v>2</v>
      </c>
      <c r="D38" s="212"/>
      <c r="E38" s="212"/>
      <c r="F38" s="36" t="s">
        <v>339</v>
      </c>
      <c r="G38" s="36" t="s">
        <v>5665</v>
      </c>
      <c r="H38" s="36" t="s">
        <v>5680</v>
      </c>
      <c r="I38" s="36" t="s">
        <v>4916</v>
      </c>
      <c r="J38" s="6" t="s">
        <v>5682</v>
      </c>
      <c r="K38" s="212" t="n">
        <v>1</v>
      </c>
      <c r="L38" s="212" t="s">
        <v>4980</v>
      </c>
      <c r="M38" s="6" t="s">
        <v>5683</v>
      </c>
      <c r="N38" s="212" t="s">
        <v>5387</v>
      </c>
      <c r="O38" s="36" t="s">
        <v>4879</v>
      </c>
      <c r="P38" s="36" t="s">
        <v>585</v>
      </c>
      <c r="Q38" s="36" t="s">
        <v>5684</v>
      </c>
      <c r="R38" s="36" t="s">
        <v>585</v>
      </c>
      <c r="S38" s="36" t="s">
        <v>585</v>
      </c>
      <c r="T38" s="36" t="s">
        <v>585</v>
      </c>
      <c r="U38" s="36" t="s">
        <v>5685</v>
      </c>
      <c r="V38" s="6" t="s">
        <v>585</v>
      </c>
      <c r="W38" s="6" t="s">
        <v>585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5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6" t="s">
        <v>3359</v>
      </c>
      <c r="B39" s="6" t="s">
        <v>5699</v>
      </c>
      <c r="C39" s="214" t="n">
        <v>3</v>
      </c>
      <c r="D39" s="212"/>
      <c r="E39" s="212"/>
      <c r="F39" s="212" t="s">
        <v>5700</v>
      </c>
      <c r="G39" s="36" t="s">
        <v>5701</v>
      </c>
      <c r="H39" s="36" t="s">
        <v>5680</v>
      </c>
      <c r="I39" s="36" t="s">
        <v>4916</v>
      </c>
      <c r="J39" s="6" t="s">
        <v>5682</v>
      </c>
      <c r="K39" s="212" t="n">
        <v>1</v>
      </c>
      <c r="L39" s="212" t="s">
        <v>4980</v>
      </c>
      <c r="M39" s="6" t="s">
        <v>5683</v>
      </c>
      <c r="N39" s="212" t="s">
        <v>5387</v>
      </c>
      <c r="O39" s="36" t="s">
        <v>4879</v>
      </c>
      <c r="P39" s="36" t="s">
        <v>585</v>
      </c>
      <c r="Q39" s="36" t="s">
        <v>5684</v>
      </c>
      <c r="R39" s="36" t="s">
        <v>585</v>
      </c>
      <c r="S39" s="36" t="s">
        <v>585</v>
      </c>
      <c r="T39" s="36" t="s">
        <v>585</v>
      </c>
      <c r="U39" s="36" t="s">
        <v>5685</v>
      </c>
      <c r="V39" s="6" t="s">
        <v>5702</v>
      </c>
      <c r="W39" s="19" t="s">
        <v>5703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5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6" t="s">
        <v>4142</v>
      </c>
      <c r="B40" s="6" t="s">
        <v>5704</v>
      </c>
      <c r="C40" s="212"/>
      <c r="D40" s="214" t="n">
        <v>0.38</v>
      </c>
      <c r="E40" s="214" t="n">
        <v>0.43</v>
      </c>
      <c r="F40" s="36" t="s">
        <v>77</v>
      </c>
      <c r="G40" s="36" t="s">
        <v>5705</v>
      </c>
      <c r="H40" s="36" t="s">
        <v>5706</v>
      </c>
      <c r="I40" s="36" t="s">
        <v>5707</v>
      </c>
      <c r="J40" s="6" t="s">
        <v>5708</v>
      </c>
      <c r="K40" s="212" t="n">
        <v>1</v>
      </c>
      <c r="L40" s="212" t="s">
        <v>4876</v>
      </c>
      <c r="M40" s="6" t="s">
        <v>5709</v>
      </c>
      <c r="N40" s="212" t="s">
        <v>4878</v>
      </c>
      <c r="O40" s="36" t="s">
        <v>4879</v>
      </c>
      <c r="P40" s="36" t="s">
        <v>585</v>
      </c>
      <c r="Q40" s="36" t="s">
        <v>5710</v>
      </c>
      <c r="R40" s="36" t="s">
        <v>585</v>
      </c>
      <c r="S40" s="36" t="s">
        <v>4724</v>
      </c>
      <c r="T40" s="36" t="s">
        <v>585</v>
      </c>
      <c r="U40" s="36" t="s">
        <v>5711</v>
      </c>
      <c r="V40" s="6" t="s">
        <v>585</v>
      </c>
      <c r="W40" s="6" t="s">
        <v>5712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6" t="s">
        <v>4147</v>
      </c>
      <c r="B41" s="6" t="s">
        <v>5713</v>
      </c>
      <c r="C41" s="214" t="n">
        <v>0.9</v>
      </c>
      <c r="D41" s="212"/>
      <c r="E41" s="212"/>
      <c r="F41" s="36" t="s">
        <v>77</v>
      </c>
      <c r="G41" s="212" t="s">
        <v>5714</v>
      </c>
      <c r="H41" s="36" t="s">
        <v>5706</v>
      </c>
      <c r="I41" s="36" t="s">
        <v>5707</v>
      </c>
      <c r="J41" s="6" t="s">
        <v>5708</v>
      </c>
      <c r="K41" s="212" t="n">
        <v>1</v>
      </c>
      <c r="L41" s="212" t="s">
        <v>4876</v>
      </c>
      <c r="M41" s="6" t="s">
        <v>5709</v>
      </c>
      <c r="N41" s="212" t="s">
        <v>4878</v>
      </c>
      <c r="O41" s="36" t="s">
        <v>4879</v>
      </c>
      <c r="P41" s="36" t="s">
        <v>585</v>
      </c>
      <c r="Q41" s="36" t="s">
        <v>5715</v>
      </c>
      <c r="R41" s="36" t="s">
        <v>585</v>
      </c>
      <c r="S41" s="36" t="s">
        <v>4724</v>
      </c>
      <c r="T41" s="36" t="s">
        <v>585</v>
      </c>
      <c r="U41" s="36" t="s">
        <v>5711</v>
      </c>
      <c r="V41" s="6" t="s">
        <v>5716</v>
      </c>
      <c r="W41" s="19" t="s">
        <v>5717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6" t="s">
        <v>5718</v>
      </c>
      <c r="B42" s="6" t="s">
        <v>5719</v>
      </c>
      <c r="C42" s="214" t="n">
        <v>2.24</v>
      </c>
      <c r="D42" s="212"/>
      <c r="E42" s="212"/>
      <c r="F42" s="36" t="s">
        <v>81</v>
      </c>
      <c r="G42" s="212" t="s">
        <v>5720</v>
      </c>
      <c r="H42" s="36" t="s">
        <v>5721</v>
      </c>
      <c r="I42" s="36" t="s">
        <v>5005</v>
      </c>
      <c r="J42" s="6" t="s">
        <v>5722</v>
      </c>
      <c r="K42" s="212" t="n">
        <v>1</v>
      </c>
      <c r="L42" s="212" t="s">
        <v>4876</v>
      </c>
      <c r="M42" s="19" t="s">
        <v>5723</v>
      </c>
      <c r="N42" s="212" t="s">
        <v>5387</v>
      </c>
      <c r="O42" s="36" t="s">
        <v>4879</v>
      </c>
      <c r="P42" s="36" t="s">
        <v>585</v>
      </c>
      <c r="Q42" s="36" t="s">
        <v>5724</v>
      </c>
      <c r="R42" s="36" t="s">
        <v>585</v>
      </c>
      <c r="S42" s="36" t="s">
        <v>585</v>
      </c>
      <c r="T42" s="36" t="s">
        <v>585</v>
      </c>
      <c r="U42" s="36" t="s">
        <v>5725</v>
      </c>
      <c r="V42" s="6" t="s">
        <v>585</v>
      </c>
      <c r="W42" s="19" t="s">
        <v>5726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6" t="s">
        <v>5727</v>
      </c>
      <c r="B43" s="6" t="s">
        <v>5728</v>
      </c>
      <c r="C43" s="214" t="n">
        <v>2.72</v>
      </c>
      <c r="D43" s="212"/>
      <c r="E43" s="212"/>
      <c r="F43" s="36" t="s">
        <v>81</v>
      </c>
      <c r="G43" s="212" t="s">
        <v>5720</v>
      </c>
      <c r="H43" s="36" t="s">
        <v>5721</v>
      </c>
      <c r="I43" s="36" t="s">
        <v>5005</v>
      </c>
      <c r="J43" s="6" t="s">
        <v>5722</v>
      </c>
      <c r="K43" s="212" t="n">
        <v>1</v>
      </c>
      <c r="L43" s="212" t="s">
        <v>4876</v>
      </c>
      <c r="M43" s="19" t="s">
        <v>5723</v>
      </c>
      <c r="N43" s="212" t="s">
        <v>5387</v>
      </c>
      <c r="O43" s="36" t="s">
        <v>4879</v>
      </c>
      <c r="P43" s="36" t="s">
        <v>585</v>
      </c>
      <c r="Q43" s="36" t="s">
        <v>5724</v>
      </c>
      <c r="R43" s="36" t="s">
        <v>585</v>
      </c>
      <c r="S43" s="36" t="s">
        <v>585</v>
      </c>
      <c r="T43" s="36" t="s">
        <v>585</v>
      </c>
      <c r="U43" s="36" t="s">
        <v>5725</v>
      </c>
      <c r="V43" s="6" t="s">
        <v>585</v>
      </c>
      <c r="W43" s="6" t="s">
        <v>585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6" t="s">
        <v>5729</v>
      </c>
      <c r="B44" s="6" t="s">
        <v>5730</v>
      </c>
      <c r="C44" s="214" t="n">
        <v>2</v>
      </c>
      <c r="D44" s="212"/>
      <c r="E44" s="212"/>
      <c r="F44" s="36" t="s">
        <v>81</v>
      </c>
      <c r="G44" s="212" t="s">
        <v>4961</v>
      </c>
      <c r="H44" s="36" t="s">
        <v>5731</v>
      </c>
      <c r="I44" s="36" t="s">
        <v>5005</v>
      </c>
      <c r="J44" s="6" t="s">
        <v>5722</v>
      </c>
      <c r="K44" s="212" t="n">
        <v>1</v>
      </c>
      <c r="L44" s="212" t="s">
        <v>4876</v>
      </c>
      <c r="M44" s="19" t="s">
        <v>5723</v>
      </c>
      <c r="N44" s="212" t="s">
        <v>5387</v>
      </c>
      <c r="O44" s="36" t="s">
        <v>4879</v>
      </c>
      <c r="P44" s="36" t="s">
        <v>585</v>
      </c>
      <c r="Q44" s="36" t="s">
        <v>5724</v>
      </c>
      <c r="R44" s="36" t="s">
        <v>585</v>
      </c>
      <c r="S44" s="36" t="s">
        <v>585</v>
      </c>
      <c r="T44" s="36" t="s">
        <v>585</v>
      </c>
      <c r="U44" s="36" t="s">
        <v>5725</v>
      </c>
      <c r="V44" s="6" t="s">
        <v>585</v>
      </c>
      <c r="W44" s="6" t="s">
        <v>585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6" t="s">
        <v>3510</v>
      </c>
      <c r="B45" s="6" t="s">
        <v>5732</v>
      </c>
      <c r="C45" s="214" t="n">
        <v>73700</v>
      </c>
      <c r="D45" s="212"/>
      <c r="E45" s="212"/>
      <c r="F45" s="36" t="s">
        <v>5733</v>
      </c>
      <c r="G45" s="36" t="s">
        <v>5734</v>
      </c>
      <c r="H45" s="36" t="s">
        <v>5735</v>
      </c>
      <c r="I45" s="36" t="s">
        <v>5736</v>
      </c>
      <c r="J45" s="6" t="s">
        <v>5737</v>
      </c>
      <c r="K45" s="212" t="n">
        <v>1</v>
      </c>
      <c r="L45" s="212" t="s">
        <v>4876</v>
      </c>
      <c r="M45" s="6" t="s">
        <v>5738</v>
      </c>
      <c r="N45" s="212" t="s">
        <v>5387</v>
      </c>
      <c r="O45" s="36" t="s">
        <v>4879</v>
      </c>
      <c r="P45" s="36" t="s">
        <v>585</v>
      </c>
      <c r="Q45" s="36" t="s">
        <v>5739</v>
      </c>
      <c r="R45" s="36" t="s">
        <v>585</v>
      </c>
      <c r="S45" s="36" t="s">
        <v>585</v>
      </c>
      <c r="T45" s="36" t="s">
        <v>585</v>
      </c>
      <c r="U45" s="36" t="s">
        <v>5647</v>
      </c>
      <c r="V45" s="19" t="s">
        <v>5740</v>
      </c>
      <c r="W45" s="19" t="s">
        <v>5741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6" t="s">
        <v>5742</v>
      </c>
      <c r="AB45" s="36" t="s">
        <v>5743</v>
      </c>
      <c r="AG45" s="212" t="s">
        <v>5744</v>
      </c>
      <c r="AH45" s="35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6" t="s">
        <v>3581</v>
      </c>
      <c r="B46" s="6" t="s">
        <v>5745</v>
      </c>
      <c r="C46" s="214" t="n">
        <v>14800</v>
      </c>
      <c r="D46" s="212"/>
      <c r="E46" s="212"/>
      <c r="F46" s="36" t="s">
        <v>5733</v>
      </c>
      <c r="G46" s="36" t="s">
        <v>5746</v>
      </c>
      <c r="H46" s="36" t="s">
        <v>5735</v>
      </c>
      <c r="I46" s="36" t="s">
        <v>5736</v>
      </c>
      <c r="J46" s="6" t="s">
        <v>5737</v>
      </c>
      <c r="K46" s="212" t="n">
        <v>1</v>
      </c>
      <c r="L46" s="212" t="s">
        <v>4876</v>
      </c>
      <c r="M46" s="6" t="s">
        <v>5738</v>
      </c>
      <c r="N46" s="212" t="s">
        <v>5387</v>
      </c>
      <c r="O46" s="36" t="s">
        <v>4879</v>
      </c>
      <c r="P46" s="36" t="s">
        <v>585</v>
      </c>
      <c r="Q46" s="36" t="s">
        <v>5739</v>
      </c>
      <c r="R46" s="36" t="s">
        <v>585</v>
      </c>
      <c r="S46" s="36" t="s">
        <v>585</v>
      </c>
      <c r="T46" s="36" t="s">
        <v>585</v>
      </c>
      <c r="U46" s="36" t="s">
        <v>5647</v>
      </c>
      <c r="V46" s="19" t="s">
        <v>5747</v>
      </c>
      <c r="W46" s="19" t="s">
        <v>5748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6" t="s">
        <v>5742</v>
      </c>
      <c r="AB46" s="36" t="s">
        <v>5743</v>
      </c>
      <c r="AG46" s="212" t="s">
        <v>5749</v>
      </c>
      <c r="AH46" s="35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6" t="s">
        <v>5750</v>
      </c>
      <c r="B47" s="6" t="s">
        <v>5751</v>
      </c>
      <c r="C47" s="214" t="n">
        <v>608</v>
      </c>
      <c r="D47" s="212"/>
      <c r="E47" s="212"/>
      <c r="F47" s="36" t="s">
        <v>5752</v>
      </c>
      <c r="G47" s="36" t="s">
        <v>5753</v>
      </c>
      <c r="H47" s="36" t="s">
        <v>5735</v>
      </c>
      <c r="I47" s="36" t="s">
        <v>5736</v>
      </c>
      <c r="J47" s="6" t="s">
        <v>5737</v>
      </c>
      <c r="K47" s="212" t="n">
        <v>1</v>
      </c>
      <c r="L47" s="212" t="s">
        <v>4876</v>
      </c>
      <c r="M47" s="6" t="s">
        <v>5738</v>
      </c>
      <c r="N47" s="212" t="s">
        <v>5387</v>
      </c>
      <c r="O47" s="36" t="s">
        <v>4879</v>
      </c>
      <c r="P47" s="36" t="s">
        <v>585</v>
      </c>
      <c r="Q47" s="36" t="s">
        <v>5739</v>
      </c>
      <c r="R47" s="36" t="s">
        <v>585</v>
      </c>
      <c r="S47" s="36" t="s">
        <v>585</v>
      </c>
      <c r="T47" s="36" t="s">
        <v>585</v>
      </c>
      <c r="U47" s="36" t="s">
        <v>5647</v>
      </c>
      <c r="V47" s="6" t="s">
        <v>585</v>
      </c>
      <c r="W47" s="6" t="s">
        <v>585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6" t="s">
        <v>5754</v>
      </c>
      <c r="B48" s="6" t="s">
        <v>5755</v>
      </c>
      <c r="C48" s="214" t="n">
        <v>0.563</v>
      </c>
      <c r="D48" s="212"/>
      <c r="E48" s="212"/>
      <c r="F48" s="36" t="s">
        <v>77</v>
      </c>
      <c r="G48" s="36" t="s">
        <v>5756</v>
      </c>
      <c r="H48" s="36" t="s">
        <v>5735</v>
      </c>
      <c r="I48" s="36" t="s">
        <v>5736</v>
      </c>
      <c r="J48" s="6" t="s">
        <v>5737</v>
      </c>
      <c r="K48" s="212" t="n">
        <v>1</v>
      </c>
      <c r="L48" s="212" t="s">
        <v>4876</v>
      </c>
      <c r="M48" s="6" t="s">
        <v>5738</v>
      </c>
      <c r="N48" s="212" t="s">
        <v>5387</v>
      </c>
      <c r="O48" s="36" t="s">
        <v>4879</v>
      </c>
      <c r="P48" s="36" t="s">
        <v>585</v>
      </c>
      <c r="Q48" s="36" t="s">
        <v>5739</v>
      </c>
      <c r="R48" s="36" t="s">
        <v>585</v>
      </c>
      <c r="S48" s="36" t="s">
        <v>585</v>
      </c>
      <c r="T48" s="36" t="s">
        <v>585</v>
      </c>
      <c r="U48" s="36" t="s">
        <v>5647</v>
      </c>
      <c r="V48" s="19" t="s">
        <v>5757</v>
      </c>
      <c r="W48" s="19" t="s">
        <v>5758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6" t="s">
        <v>5759</v>
      </c>
      <c r="B49" s="6" t="s">
        <v>5760</v>
      </c>
      <c r="C49" s="214" t="n">
        <v>168</v>
      </c>
      <c r="D49" s="212"/>
      <c r="E49" s="212"/>
      <c r="F49" s="36" t="s">
        <v>5752</v>
      </c>
      <c r="G49" s="36" t="s">
        <v>5753</v>
      </c>
      <c r="H49" s="36" t="s">
        <v>5735</v>
      </c>
      <c r="I49" s="36" t="s">
        <v>5736</v>
      </c>
      <c r="J49" s="6" t="s">
        <v>5737</v>
      </c>
      <c r="K49" s="212" t="n">
        <v>1</v>
      </c>
      <c r="L49" s="212" t="s">
        <v>4876</v>
      </c>
      <c r="M49" s="6" t="s">
        <v>5738</v>
      </c>
      <c r="N49" s="212" t="s">
        <v>5387</v>
      </c>
      <c r="O49" s="36" t="s">
        <v>4879</v>
      </c>
      <c r="P49" s="36" t="s">
        <v>585</v>
      </c>
      <c r="Q49" s="36" t="s">
        <v>5739</v>
      </c>
      <c r="R49" s="36" t="s">
        <v>585</v>
      </c>
      <c r="S49" s="36" t="s">
        <v>585</v>
      </c>
      <c r="T49" s="36" t="s">
        <v>585</v>
      </c>
      <c r="U49" s="36" t="s">
        <v>5647</v>
      </c>
      <c r="V49" s="6" t="s">
        <v>585</v>
      </c>
      <c r="W49" s="6" t="s">
        <v>585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5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6" t="s">
        <v>5761</v>
      </c>
      <c r="B50" s="6" t="s">
        <v>5762</v>
      </c>
      <c r="C50" s="212"/>
      <c r="D50" s="214" t="n">
        <v>20</v>
      </c>
      <c r="E50" s="214" t="n">
        <v>22</v>
      </c>
      <c r="F50" s="36" t="s">
        <v>336</v>
      </c>
      <c r="G50" s="36" t="s">
        <v>5753</v>
      </c>
      <c r="H50" s="36" t="s">
        <v>5735</v>
      </c>
      <c r="I50" s="36" t="s">
        <v>5736</v>
      </c>
      <c r="J50" s="6" t="s">
        <v>5737</v>
      </c>
      <c r="K50" s="212" t="n">
        <v>1</v>
      </c>
      <c r="L50" s="212" t="s">
        <v>4876</v>
      </c>
      <c r="M50" s="6" t="s">
        <v>5738</v>
      </c>
      <c r="N50" s="212" t="s">
        <v>5387</v>
      </c>
      <c r="O50" s="36" t="s">
        <v>4879</v>
      </c>
      <c r="P50" s="36" t="s">
        <v>585</v>
      </c>
      <c r="Q50" s="36" t="s">
        <v>5739</v>
      </c>
      <c r="R50" s="36" t="s">
        <v>585</v>
      </c>
      <c r="S50" s="36" t="s">
        <v>585</v>
      </c>
      <c r="T50" s="36" t="s">
        <v>585</v>
      </c>
      <c r="U50" s="36" t="s">
        <v>5647</v>
      </c>
      <c r="V50" s="19" t="s">
        <v>5763</v>
      </c>
      <c r="W50" s="19" t="s">
        <v>5764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5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6" t="s">
        <v>5765</v>
      </c>
      <c r="B51" s="6" t="s">
        <v>5766</v>
      </c>
      <c r="C51" s="214" t="n">
        <v>4989</v>
      </c>
      <c r="D51" s="212"/>
      <c r="E51" s="212"/>
      <c r="F51" s="36" t="s">
        <v>255</v>
      </c>
      <c r="G51" s="36" t="s">
        <v>5753</v>
      </c>
      <c r="H51" s="36" t="s">
        <v>5735</v>
      </c>
      <c r="I51" s="36" t="s">
        <v>5736</v>
      </c>
      <c r="J51" s="6" t="s">
        <v>5737</v>
      </c>
      <c r="K51" s="212" t="n">
        <v>1</v>
      </c>
      <c r="L51" s="212" t="s">
        <v>4876</v>
      </c>
      <c r="M51" s="6" t="s">
        <v>5738</v>
      </c>
      <c r="N51" s="212" t="s">
        <v>5387</v>
      </c>
      <c r="O51" s="36" t="s">
        <v>4879</v>
      </c>
      <c r="P51" s="36" t="s">
        <v>585</v>
      </c>
      <c r="Q51" s="36" t="s">
        <v>5739</v>
      </c>
      <c r="R51" s="36" t="s">
        <v>585</v>
      </c>
      <c r="S51" s="36" t="s">
        <v>585</v>
      </c>
      <c r="T51" s="36" t="s">
        <v>585</v>
      </c>
      <c r="U51" s="36" t="s">
        <v>5647</v>
      </c>
      <c r="V51" s="6" t="s">
        <v>585</v>
      </c>
      <c r="W51" s="6" t="s">
        <v>585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5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6" t="s">
        <v>5767</v>
      </c>
      <c r="B52" s="6" t="s">
        <v>5768</v>
      </c>
      <c r="C52" s="214" t="n">
        <v>278</v>
      </c>
      <c r="D52" s="212"/>
      <c r="E52" s="212"/>
      <c r="F52" s="212" t="s">
        <v>5769</v>
      </c>
      <c r="G52" s="36" t="s">
        <v>5770</v>
      </c>
      <c r="H52" s="36" t="s">
        <v>5735</v>
      </c>
      <c r="I52" s="36" t="s">
        <v>5736</v>
      </c>
      <c r="J52" s="6" t="s">
        <v>5737</v>
      </c>
      <c r="K52" s="212" t="n">
        <v>1</v>
      </c>
      <c r="L52" s="212" t="s">
        <v>4876</v>
      </c>
      <c r="M52" s="6" t="s">
        <v>5738</v>
      </c>
      <c r="N52" s="212" t="s">
        <v>5387</v>
      </c>
      <c r="O52" s="36" t="s">
        <v>4879</v>
      </c>
      <c r="P52" s="36" t="s">
        <v>585</v>
      </c>
      <c r="Q52" s="36" t="s">
        <v>5739</v>
      </c>
      <c r="R52" s="36" t="s">
        <v>585</v>
      </c>
      <c r="S52" s="36" t="s">
        <v>585</v>
      </c>
      <c r="T52" s="36" t="s">
        <v>585</v>
      </c>
      <c r="U52" s="36" t="s">
        <v>5647</v>
      </c>
      <c r="V52" s="6" t="s">
        <v>585</v>
      </c>
      <c r="W52" s="19" t="s">
        <v>5771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5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6" t="s">
        <v>5772</v>
      </c>
      <c r="B53" s="6" t="s">
        <v>5773</v>
      </c>
      <c r="C53" s="214" t="n">
        <v>226.75</v>
      </c>
      <c r="D53" s="212"/>
      <c r="E53" s="212"/>
      <c r="F53" s="212" t="s">
        <v>5769</v>
      </c>
      <c r="G53" s="36" t="s">
        <v>5770</v>
      </c>
      <c r="H53" s="36" t="s">
        <v>5735</v>
      </c>
      <c r="I53" s="36" t="s">
        <v>5736</v>
      </c>
      <c r="J53" s="6" t="s">
        <v>5737</v>
      </c>
      <c r="K53" s="212" t="n">
        <v>1</v>
      </c>
      <c r="L53" s="212" t="s">
        <v>4876</v>
      </c>
      <c r="M53" s="6" t="s">
        <v>5738</v>
      </c>
      <c r="N53" s="212" t="s">
        <v>5387</v>
      </c>
      <c r="O53" s="36" t="s">
        <v>4879</v>
      </c>
      <c r="P53" s="36" t="s">
        <v>585</v>
      </c>
      <c r="Q53" s="36" t="s">
        <v>5739</v>
      </c>
      <c r="R53" s="36" t="s">
        <v>585</v>
      </c>
      <c r="S53" s="36" t="s">
        <v>585</v>
      </c>
      <c r="T53" s="36" t="s">
        <v>585</v>
      </c>
      <c r="U53" s="36" t="s">
        <v>5647</v>
      </c>
      <c r="V53" s="6" t="s">
        <v>585</v>
      </c>
      <c r="W53" s="6" t="s">
        <v>585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5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6" t="s">
        <v>5774</v>
      </c>
      <c r="B54" s="6" t="s">
        <v>5775</v>
      </c>
      <c r="C54" s="214" t="n">
        <v>4</v>
      </c>
      <c r="D54" s="212"/>
      <c r="E54" s="212"/>
      <c r="F54" s="212" t="s">
        <v>5769</v>
      </c>
      <c r="G54" s="36" t="s">
        <v>5776</v>
      </c>
      <c r="H54" s="36" t="s">
        <v>5735</v>
      </c>
      <c r="I54" s="36" t="s">
        <v>5736</v>
      </c>
      <c r="J54" s="6" t="s">
        <v>5737</v>
      </c>
      <c r="K54" s="212" t="n">
        <v>1</v>
      </c>
      <c r="L54" s="212" t="s">
        <v>4876</v>
      </c>
      <c r="M54" s="6" t="s">
        <v>5738</v>
      </c>
      <c r="N54" s="212" t="s">
        <v>5387</v>
      </c>
      <c r="O54" s="36" t="s">
        <v>4879</v>
      </c>
      <c r="P54" s="36" t="s">
        <v>585</v>
      </c>
      <c r="Q54" s="36" t="s">
        <v>5739</v>
      </c>
      <c r="R54" s="36" t="s">
        <v>585</v>
      </c>
      <c r="S54" s="36" t="s">
        <v>585</v>
      </c>
      <c r="T54" s="36" t="s">
        <v>585</v>
      </c>
      <c r="U54" s="36" t="s">
        <v>5647</v>
      </c>
      <c r="V54" s="19" t="s">
        <v>5777</v>
      </c>
      <c r="W54" s="19" t="s">
        <v>5778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5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6" t="s">
        <v>3129</v>
      </c>
      <c r="B55" s="6" t="s">
        <v>5779</v>
      </c>
      <c r="C55" s="214" t="n">
        <v>18</v>
      </c>
      <c r="D55" s="212"/>
      <c r="E55" s="212"/>
      <c r="F55" s="212" t="s">
        <v>5769</v>
      </c>
      <c r="G55" s="36" t="s">
        <v>5780</v>
      </c>
      <c r="H55" s="36" t="s">
        <v>5735</v>
      </c>
      <c r="I55" s="36" t="s">
        <v>5736</v>
      </c>
      <c r="J55" s="6" t="s">
        <v>5737</v>
      </c>
      <c r="K55" s="212" t="n">
        <v>1</v>
      </c>
      <c r="L55" s="212" t="s">
        <v>4876</v>
      </c>
      <c r="M55" s="6" t="s">
        <v>5738</v>
      </c>
      <c r="N55" s="212" t="s">
        <v>5387</v>
      </c>
      <c r="O55" s="36" t="s">
        <v>4879</v>
      </c>
      <c r="P55" s="36" t="s">
        <v>585</v>
      </c>
      <c r="Q55" s="36" t="s">
        <v>5739</v>
      </c>
      <c r="R55" s="36" t="s">
        <v>585</v>
      </c>
      <c r="S55" s="36" t="s">
        <v>585</v>
      </c>
      <c r="T55" s="36" t="s">
        <v>585</v>
      </c>
      <c r="U55" s="36" t="s">
        <v>5647</v>
      </c>
      <c r="V55" s="19" t="s">
        <v>5781</v>
      </c>
      <c r="W55" s="19" t="s">
        <v>5782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5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6" t="s">
        <v>5783</v>
      </c>
      <c r="B56" s="6" t="s">
        <v>5784</v>
      </c>
      <c r="C56" s="214" t="n">
        <v>558802.8</v>
      </c>
      <c r="D56" s="212"/>
      <c r="E56" s="212"/>
      <c r="F56" s="36" t="s">
        <v>5785</v>
      </c>
      <c r="G56" s="36" t="s">
        <v>5786</v>
      </c>
      <c r="H56" s="36" t="s">
        <v>5787</v>
      </c>
      <c r="I56" s="36" t="s">
        <v>5788</v>
      </c>
      <c r="J56" s="6" t="s">
        <v>5670</v>
      </c>
      <c r="K56" s="212" t="n">
        <v>1</v>
      </c>
      <c r="L56" s="212" t="s">
        <v>4876</v>
      </c>
      <c r="M56" s="6" t="s">
        <v>5789</v>
      </c>
      <c r="N56" s="212" t="s">
        <v>4878</v>
      </c>
      <c r="O56" s="36" t="s">
        <v>4879</v>
      </c>
      <c r="P56" s="36" t="s">
        <v>585</v>
      </c>
      <c r="Q56" s="36" t="s">
        <v>5790</v>
      </c>
      <c r="R56" s="36" t="s">
        <v>4411</v>
      </c>
      <c r="S56" s="36" t="s">
        <v>585</v>
      </c>
      <c r="T56" s="36" t="s">
        <v>585</v>
      </c>
      <c r="U56" s="36" t="s">
        <v>5791</v>
      </c>
      <c r="V56" s="6" t="s">
        <v>585</v>
      </c>
      <c r="W56" s="6" t="s">
        <v>5792</v>
      </c>
      <c r="X56" s="185" t="n">
        <f aca="false">IF($O56="Active",SUMPRODUCT(($AH$5:$AH$113=$AH56)*1),0)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5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6" t="s">
        <v>5793</v>
      </c>
      <c r="B57" s="6" t="s">
        <v>5794</v>
      </c>
      <c r="C57" s="214" t="n">
        <v>591368.3</v>
      </c>
      <c r="D57" s="212"/>
      <c r="E57" s="212"/>
      <c r="F57" s="36" t="s">
        <v>5785</v>
      </c>
      <c r="G57" s="36" t="s">
        <v>5795</v>
      </c>
      <c r="H57" s="36" t="s">
        <v>5787</v>
      </c>
      <c r="I57" s="36" t="s">
        <v>5788</v>
      </c>
      <c r="J57" s="6" t="s">
        <v>5670</v>
      </c>
      <c r="K57" s="212" t="n">
        <v>1</v>
      </c>
      <c r="L57" s="212" t="s">
        <v>4876</v>
      </c>
      <c r="M57" s="6" t="s">
        <v>5789</v>
      </c>
      <c r="N57" s="212" t="s">
        <v>4878</v>
      </c>
      <c r="O57" s="36" t="s">
        <v>4879</v>
      </c>
      <c r="P57" s="36" t="s">
        <v>585</v>
      </c>
      <c r="Q57" s="36" t="s">
        <v>5790</v>
      </c>
      <c r="R57" s="36" t="s">
        <v>5796</v>
      </c>
      <c r="S57" s="36" t="s">
        <v>585</v>
      </c>
      <c r="T57" s="36" t="s">
        <v>585</v>
      </c>
      <c r="U57" s="36" t="s">
        <v>5791</v>
      </c>
      <c r="V57" s="6" t="s">
        <v>585</v>
      </c>
      <c r="W57" s="6" t="s">
        <v>5792</v>
      </c>
      <c r="X57" s="185" t="n">
        <f aca="false">IF($O57="Active",SUMPRODUCT(($AH$5:$AH$113=$AH57)*1),0)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0</v>
      </c>
      <c r="AH57" s="35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6" t="s">
        <v>5797</v>
      </c>
      <c r="B58" s="6" t="s">
        <v>5798</v>
      </c>
      <c r="C58" s="214" t="n">
        <v>689961</v>
      </c>
      <c r="D58" s="212"/>
      <c r="E58" s="212"/>
      <c r="F58" s="36" t="s">
        <v>5651</v>
      </c>
      <c r="G58" s="36" t="s">
        <v>5799</v>
      </c>
      <c r="H58" s="36" t="s">
        <v>5800</v>
      </c>
      <c r="I58" s="36" t="s">
        <v>5788</v>
      </c>
      <c r="J58" s="6" t="s">
        <v>5670</v>
      </c>
      <c r="K58" s="212" t="n">
        <v>1</v>
      </c>
      <c r="L58" s="212" t="s">
        <v>4876</v>
      </c>
      <c r="M58" s="6" t="s">
        <v>5801</v>
      </c>
      <c r="N58" s="212" t="s">
        <v>4878</v>
      </c>
      <c r="O58" s="36" t="s">
        <v>4879</v>
      </c>
      <c r="P58" s="36" t="s">
        <v>585</v>
      </c>
      <c r="Q58" s="36" t="s">
        <v>5790</v>
      </c>
      <c r="R58" s="36" t="s">
        <v>5802</v>
      </c>
      <c r="S58" s="36" t="s">
        <v>585</v>
      </c>
      <c r="T58" s="36" t="s">
        <v>585</v>
      </c>
      <c r="U58" s="36" t="s">
        <v>5791</v>
      </c>
      <c r="V58" s="6" t="s">
        <v>585</v>
      </c>
      <c r="W58" s="6" t="s">
        <v>5803</v>
      </c>
      <c r="X58" s="185" t="n">
        <f aca="false">IF($O58="Active",SUMPRODUCT(($AH$5:$AH$113=$AH58)*1),0)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5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6" t="s">
        <v>5804</v>
      </c>
      <c r="B59" s="6" t="s">
        <v>5805</v>
      </c>
      <c r="C59" s="214" t="n">
        <v>603023</v>
      </c>
      <c r="D59" s="212"/>
      <c r="E59" s="212"/>
      <c r="F59" s="36" t="s">
        <v>5651</v>
      </c>
      <c r="G59" s="36" t="s">
        <v>5806</v>
      </c>
      <c r="H59" s="36" t="s">
        <v>5800</v>
      </c>
      <c r="I59" s="36" t="s">
        <v>5788</v>
      </c>
      <c r="J59" s="6" t="s">
        <v>5670</v>
      </c>
      <c r="K59" s="212" t="n">
        <v>1</v>
      </c>
      <c r="L59" s="212" t="s">
        <v>4876</v>
      </c>
      <c r="M59" s="6" t="s">
        <v>5801</v>
      </c>
      <c r="N59" s="212" t="s">
        <v>4878</v>
      </c>
      <c r="O59" s="36" t="s">
        <v>4879</v>
      </c>
      <c r="P59" s="36" t="s">
        <v>585</v>
      </c>
      <c r="Q59" s="36" t="s">
        <v>5790</v>
      </c>
      <c r="R59" s="36" t="s">
        <v>5807</v>
      </c>
      <c r="S59" s="36" t="s">
        <v>585</v>
      </c>
      <c r="T59" s="36" t="s">
        <v>585</v>
      </c>
      <c r="U59" s="36" t="s">
        <v>5791</v>
      </c>
      <c r="V59" s="6" t="s">
        <v>585</v>
      </c>
      <c r="W59" s="6" t="s">
        <v>5803</v>
      </c>
      <c r="X59" s="185" t="n">
        <f aca="false">IF($O59="Active",SUMPRODUCT(($AH$5:$AH$113=$AH59)*1),0)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5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6" t="s">
        <v>4411</v>
      </c>
      <c r="B60" s="6" t="s">
        <v>5808</v>
      </c>
      <c r="C60" s="214" t="n">
        <v>1183326.9</v>
      </c>
      <c r="D60" s="212"/>
      <c r="E60" s="212"/>
      <c r="F60" s="36" t="s">
        <v>5651</v>
      </c>
      <c r="G60" s="36" t="s">
        <v>5786</v>
      </c>
      <c r="H60" s="36" t="s">
        <v>5809</v>
      </c>
      <c r="I60" s="36" t="s">
        <v>5788</v>
      </c>
      <c r="J60" s="6" t="s">
        <v>5670</v>
      </c>
      <c r="K60" s="212" t="n">
        <v>1</v>
      </c>
      <c r="L60" s="212" t="s">
        <v>4876</v>
      </c>
      <c r="M60" s="6" t="s">
        <v>5789</v>
      </c>
      <c r="N60" s="212" t="s">
        <v>4878</v>
      </c>
      <c r="O60" s="36" t="s">
        <v>4879</v>
      </c>
      <c r="P60" s="36" t="s">
        <v>585</v>
      </c>
      <c r="Q60" s="36" t="s">
        <v>5790</v>
      </c>
      <c r="R60" s="36" t="s">
        <v>5783</v>
      </c>
      <c r="S60" s="36" t="s">
        <v>585</v>
      </c>
      <c r="T60" s="36" t="s">
        <v>585</v>
      </c>
      <c r="U60" s="36" t="s">
        <v>5791</v>
      </c>
      <c r="V60" s="6" t="s">
        <v>585</v>
      </c>
      <c r="W60" s="6" t="s">
        <v>5810</v>
      </c>
      <c r="X60" s="185" t="n">
        <f aca="false">IF($O60="Active",SUMPRODUCT(($AH$5:$AH$113=$AH60)*1),0)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0</v>
      </c>
      <c r="AH60" s="35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6" t="s">
        <v>5796</v>
      </c>
      <c r="B61" s="6" t="s">
        <v>5811</v>
      </c>
      <c r="C61" s="214" t="n">
        <v>1175890.2</v>
      </c>
      <c r="D61" s="212"/>
      <c r="E61" s="212"/>
      <c r="F61" s="36" t="s">
        <v>5651</v>
      </c>
      <c r="G61" s="36" t="s">
        <v>5795</v>
      </c>
      <c r="H61" s="36" t="s">
        <v>5809</v>
      </c>
      <c r="I61" s="36" t="s">
        <v>5788</v>
      </c>
      <c r="J61" s="6" t="s">
        <v>5670</v>
      </c>
      <c r="K61" s="212" t="n">
        <v>1</v>
      </c>
      <c r="L61" s="212" t="s">
        <v>4876</v>
      </c>
      <c r="M61" s="6" t="s">
        <v>5789</v>
      </c>
      <c r="N61" s="212" t="s">
        <v>4878</v>
      </c>
      <c r="O61" s="36" t="s">
        <v>4879</v>
      </c>
      <c r="P61" s="36" t="s">
        <v>585</v>
      </c>
      <c r="Q61" s="36" t="s">
        <v>5790</v>
      </c>
      <c r="R61" s="36" t="s">
        <v>5793</v>
      </c>
      <c r="S61" s="36" t="s">
        <v>585</v>
      </c>
      <c r="T61" s="36" t="s">
        <v>585</v>
      </c>
      <c r="U61" s="36" t="s">
        <v>5791</v>
      </c>
      <c r="V61" s="6" t="s">
        <v>585</v>
      </c>
      <c r="W61" s="6" t="s">
        <v>5810</v>
      </c>
      <c r="X61" s="185" t="n">
        <f aca="false">IF($O61="Active",SUMPRODUCT(($AH$5:$AH$113=$AH61)*1),0)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0</v>
      </c>
      <c r="AH61" s="35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6" t="s">
        <v>5802</v>
      </c>
      <c r="B62" s="6" t="s">
        <v>5812</v>
      </c>
      <c r="C62" s="214" t="n">
        <v>679740</v>
      </c>
      <c r="D62" s="212"/>
      <c r="E62" s="212"/>
      <c r="F62" s="36" t="s">
        <v>5651</v>
      </c>
      <c r="G62" s="36" t="s">
        <v>5799</v>
      </c>
      <c r="H62" s="36" t="s">
        <v>5813</v>
      </c>
      <c r="I62" s="36" t="s">
        <v>5788</v>
      </c>
      <c r="J62" s="6" t="s">
        <v>5670</v>
      </c>
      <c r="K62" s="212" t="n">
        <v>1</v>
      </c>
      <c r="L62" s="212" t="s">
        <v>4876</v>
      </c>
      <c r="M62" s="6" t="s">
        <v>5801</v>
      </c>
      <c r="N62" s="212" t="s">
        <v>4878</v>
      </c>
      <c r="O62" s="36" t="s">
        <v>4879</v>
      </c>
      <c r="P62" s="36" t="s">
        <v>585</v>
      </c>
      <c r="Q62" s="36" t="s">
        <v>5790</v>
      </c>
      <c r="R62" s="36" t="s">
        <v>5797</v>
      </c>
      <c r="S62" s="36" t="s">
        <v>585</v>
      </c>
      <c r="T62" s="36" t="s">
        <v>585</v>
      </c>
      <c r="U62" s="36" t="s">
        <v>5791</v>
      </c>
      <c r="V62" s="6" t="s">
        <v>585</v>
      </c>
      <c r="W62" s="6" t="s">
        <v>5814</v>
      </c>
      <c r="X62" s="185" t="n">
        <f aca="false">IF($O62="Active",SUMPRODUCT(($AH$5:$AH$113=$AH62)*1),0)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0</v>
      </c>
      <c r="AH62" s="35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6" t="s">
        <v>5807</v>
      </c>
      <c r="B63" s="6" t="s">
        <v>5815</v>
      </c>
      <c r="C63" s="214" t="n">
        <v>596944</v>
      </c>
      <c r="D63" s="212"/>
      <c r="E63" s="212"/>
      <c r="F63" s="36" t="s">
        <v>5651</v>
      </c>
      <c r="G63" s="36" t="s">
        <v>5806</v>
      </c>
      <c r="H63" s="36" t="s">
        <v>5813</v>
      </c>
      <c r="I63" s="36" t="s">
        <v>5788</v>
      </c>
      <c r="J63" s="6" t="s">
        <v>5670</v>
      </c>
      <c r="K63" s="212" t="n">
        <v>1</v>
      </c>
      <c r="L63" s="212" t="s">
        <v>4876</v>
      </c>
      <c r="M63" s="6" t="s">
        <v>5801</v>
      </c>
      <c r="N63" s="212" t="s">
        <v>4878</v>
      </c>
      <c r="O63" s="36" t="s">
        <v>4879</v>
      </c>
      <c r="P63" s="36" t="s">
        <v>585</v>
      </c>
      <c r="Q63" s="36" t="s">
        <v>5790</v>
      </c>
      <c r="R63" s="36" t="s">
        <v>5804</v>
      </c>
      <c r="S63" s="36" t="s">
        <v>585</v>
      </c>
      <c r="T63" s="36" t="s">
        <v>585</v>
      </c>
      <c r="U63" s="36" t="s">
        <v>5791</v>
      </c>
      <c r="V63" s="6" t="s">
        <v>585</v>
      </c>
      <c r="W63" s="6" t="s">
        <v>5814</v>
      </c>
      <c r="X63" s="185" t="n">
        <f aca="false">IF($O63="Active",SUMPRODUCT(($AH$5:$AH$113=$AH63)*1),0)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0</v>
      </c>
      <c r="AH63" s="35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5816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29.25" hidden="false" customHeight="true" outlineLevel="0" collapsed="false">
      <c r="A5" s="36" t="s">
        <v>2228</v>
      </c>
      <c r="B5" s="6" t="s">
        <v>5817</v>
      </c>
      <c r="C5" s="214" t="n">
        <v>42</v>
      </c>
      <c r="D5" s="212"/>
      <c r="E5" s="212"/>
      <c r="F5" s="36" t="s">
        <v>5818</v>
      </c>
      <c r="G5" s="212" t="s">
        <v>5819</v>
      </c>
      <c r="H5" s="36" t="s">
        <v>5820</v>
      </c>
      <c r="I5" s="36" t="s">
        <v>4978</v>
      </c>
      <c r="J5" s="6" t="s">
        <v>5821</v>
      </c>
      <c r="K5" s="212" t="n">
        <v>3</v>
      </c>
      <c r="L5" s="212" t="s">
        <v>4876</v>
      </c>
      <c r="M5" s="6" t="s">
        <v>5822</v>
      </c>
      <c r="N5" s="212" t="s">
        <v>4889</v>
      </c>
      <c r="O5" s="36" t="s">
        <v>4879</v>
      </c>
      <c r="P5" s="36" t="s">
        <v>585</v>
      </c>
      <c r="Q5" s="36" t="s">
        <v>5823</v>
      </c>
      <c r="R5" s="36" t="s">
        <v>585</v>
      </c>
      <c r="S5" s="36" t="s">
        <v>585</v>
      </c>
      <c r="T5" s="36" t="s">
        <v>585</v>
      </c>
      <c r="U5" s="36" t="s">
        <v>5824</v>
      </c>
      <c r="V5" s="6" t="s">
        <v>5825</v>
      </c>
      <c r="W5" s="6" t="s">
        <v>5826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6" t="s">
        <v>2235</v>
      </c>
      <c r="B6" s="19" t="s">
        <v>5827</v>
      </c>
      <c r="C6" s="214" t="n">
        <v>3.57</v>
      </c>
      <c r="D6" s="212"/>
      <c r="E6" s="212"/>
      <c r="F6" s="36" t="s">
        <v>817</v>
      </c>
      <c r="G6" s="36" t="s">
        <v>5828</v>
      </c>
      <c r="H6" s="212" t="s">
        <v>5829</v>
      </c>
      <c r="I6" s="36" t="s">
        <v>1187</v>
      </c>
      <c r="J6" s="6" t="s">
        <v>5830</v>
      </c>
      <c r="K6" s="212" t="n">
        <v>2</v>
      </c>
      <c r="L6" s="212" t="s">
        <v>4980</v>
      </c>
      <c r="M6" s="19" t="s">
        <v>5831</v>
      </c>
      <c r="N6" s="212" t="s">
        <v>5832</v>
      </c>
      <c r="O6" s="36" t="s">
        <v>4879</v>
      </c>
      <c r="P6" s="36" t="s">
        <v>585</v>
      </c>
      <c r="Q6" s="36" t="s">
        <v>5833</v>
      </c>
      <c r="R6" s="36" t="s">
        <v>585</v>
      </c>
      <c r="S6" s="36" t="s">
        <v>585</v>
      </c>
      <c r="T6" s="36" t="s">
        <v>585</v>
      </c>
      <c r="U6" s="36" t="s">
        <v>5834</v>
      </c>
      <c r="V6" s="6" t="s">
        <v>5835</v>
      </c>
      <c r="W6" s="19" t="s">
        <v>5836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5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6" t="s">
        <v>5837</v>
      </c>
      <c r="B7" s="6" t="s">
        <v>5838</v>
      </c>
      <c r="C7" s="214" t="n">
        <v>0.1</v>
      </c>
      <c r="D7" s="212"/>
      <c r="E7" s="212"/>
      <c r="F7" s="36" t="s">
        <v>772</v>
      </c>
      <c r="G7" s="36" t="s">
        <v>5839</v>
      </c>
      <c r="H7" s="36" t="s">
        <v>1174</v>
      </c>
      <c r="I7" s="36" t="s">
        <v>1178</v>
      </c>
      <c r="J7" s="6" t="s">
        <v>5840</v>
      </c>
      <c r="K7" s="212" t="n">
        <v>1</v>
      </c>
      <c r="L7" s="212" t="s">
        <v>4876</v>
      </c>
      <c r="M7" s="6" t="s">
        <v>5841</v>
      </c>
      <c r="N7" s="212" t="s">
        <v>5387</v>
      </c>
      <c r="O7" s="36" t="s">
        <v>4879</v>
      </c>
      <c r="P7" s="36" t="s">
        <v>585</v>
      </c>
      <c r="Q7" s="36" t="s">
        <v>5842</v>
      </c>
      <c r="R7" s="36" t="s">
        <v>585</v>
      </c>
      <c r="S7" s="36" t="s">
        <v>585</v>
      </c>
      <c r="T7" s="36" t="s">
        <v>585</v>
      </c>
      <c r="U7" s="36" t="s">
        <v>5843</v>
      </c>
      <c r="V7" s="6" t="s">
        <v>5844</v>
      </c>
      <c r="W7" s="6" t="s">
        <v>585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6" t="s">
        <v>5845</v>
      </c>
      <c r="B8" s="6" t="s">
        <v>5846</v>
      </c>
      <c r="C8" s="214" t="n">
        <v>0.01</v>
      </c>
      <c r="D8" s="212"/>
      <c r="E8" s="212"/>
      <c r="F8" s="36" t="s">
        <v>772</v>
      </c>
      <c r="G8" s="36" t="s">
        <v>5839</v>
      </c>
      <c r="H8" s="36" t="s">
        <v>1174</v>
      </c>
      <c r="I8" s="36" t="s">
        <v>1178</v>
      </c>
      <c r="J8" s="6" t="s">
        <v>5840</v>
      </c>
      <c r="K8" s="212" t="n">
        <v>1</v>
      </c>
      <c r="L8" s="212" t="s">
        <v>4876</v>
      </c>
      <c r="M8" s="6" t="s">
        <v>5841</v>
      </c>
      <c r="N8" s="212" t="s">
        <v>5387</v>
      </c>
      <c r="O8" s="36" t="s">
        <v>4879</v>
      </c>
      <c r="P8" s="36" t="s">
        <v>585</v>
      </c>
      <c r="Q8" s="36" t="s">
        <v>5842</v>
      </c>
      <c r="R8" s="36" t="s">
        <v>585</v>
      </c>
      <c r="S8" s="36" t="s">
        <v>585</v>
      </c>
      <c r="T8" s="36" t="s">
        <v>585</v>
      </c>
      <c r="U8" s="36" t="s">
        <v>5843</v>
      </c>
      <c r="V8" s="6" t="s">
        <v>5847</v>
      </c>
      <c r="W8" s="6" t="s">
        <v>585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6" t="s">
        <v>5848</v>
      </c>
      <c r="B9" s="6" t="s">
        <v>5849</v>
      </c>
      <c r="C9" s="214" t="n">
        <v>0.5</v>
      </c>
      <c r="D9" s="212"/>
      <c r="E9" s="212"/>
      <c r="F9" s="36" t="s">
        <v>772</v>
      </c>
      <c r="G9" s="36" t="s">
        <v>5839</v>
      </c>
      <c r="H9" s="36" t="s">
        <v>1174</v>
      </c>
      <c r="I9" s="36" t="s">
        <v>1178</v>
      </c>
      <c r="J9" s="6" t="s">
        <v>5840</v>
      </c>
      <c r="K9" s="212" t="n">
        <v>1</v>
      </c>
      <c r="L9" s="212" t="s">
        <v>4876</v>
      </c>
      <c r="M9" s="6" t="s">
        <v>5841</v>
      </c>
      <c r="N9" s="212" t="s">
        <v>5387</v>
      </c>
      <c r="O9" s="36" t="s">
        <v>4879</v>
      </c>
      <c r="P9" s="36" t="s">
        <v>585</v>
      </c>
      <c r="Q9" s="36" t="s">
        <v>5842</v>
      </c>
      <c r="R9" s="36" t="s">
        <v>585</v>
      </c>
      <c r="S9" s="36" t="s">
        <v>585</v>
      </c>
      <c r="T9" s="36" t="s">
        <v>585</v>
      </c>
      <c r="U9" s="36" t="s">
        <v>5843</v>
      </c>
      <c r="V9" s="6" t="s">
        <v>5850</v>
      </c>
      <c r="W9" s="6" t="s">
        <v>585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6" t="s">
        <v>5851</v>
      </c>
      <c r="B10" s="6" t="s">
        <v>5852</v>
      </c>
      <c r="C10" s="214" t="n">
        <v>2</v>
      </c>
      <c r="D10" s="212"/>
      <c r="E10" s="212"/>
      <c r="F10" s="36" t="s">
        <v>772</v>
      </c>
      <c r="G10" s="36" t="s">
        <v>5839</v>
      </c>
      <c r="H10" s="36" t="s">
        <v>1180</v>
      </c>
      <c r="I10" s="36" t="s">
        <v>1178</v>
      </c>
      <c r="J10" s="6" t="s">
        <v>5840</v>
      </c>
      <c r="K10" s="212" t="n">
        <v>1</v>
      </c>
      <c r="L10" s="212" t="s">
        <v>4876</v>
      </c>
      <c r="M10" s="6" t="s">
        <v>5841</v>
      </c>
      <c r="N10" s="212" t="s">
        <v>5387</v>
      </c>
      <c r="O10" s="36" t="s">
        <v>4879</v>
      </c>
      <c r="P10" s="36" t="s">
        <v>585</v>
      </c>
      <c r="Q10" s="36" t="s">
        <v>5842</v>
      </c>
      <c r="R10" s="36" t="s">
        <v>585</v>
      </c>
      <c r="S10" s="36" t="s">
        <v>585</v>
      </c>
      <c r="T10" s="36" t="s">
        <v>585</v>
      </c>
      <c r="U10" s="36" t="s">
        <v>5843</v>
      </c>
      <c r="V10" s="6" t="s">
        <v>5853</v>
      </c>
      <c r="W10" s="6" t="s">
        <v>585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6" t="s">
        <v>5854</v>
      </c>
      <c r="B11" s="6" t="s">
        <v>5855</v>
      </c>
      <c r="C11" s="214" t="n">
        <v>0.2</v>
      </c>
      <c r="D11" s="212"/>
      <c r="E11" s="212"/>
      <c r="F11" s="36" t="s">
        <v>772</v>
      </c>
      <c r="G11" s="36" t="s">
        <v>5839</v>
      </c>
      <c r="H11" s="36" t="s">
        <v>1180</v>
      </c>
      <c r="I11" s="36" t="s">
        <v>1178</v>
      </c>
      <c r="J11" s="6" t="s">
        <v>5840</v>
      </c>
      <c r="K11" s="212" t="n">
        <v>1</v>
      </c>
      <c r="L11" s="212" t="s">
        <v>4876</v>
      </c>
      <c r="M11" s="6" t="s">
        <v>5841</v>
      </c>
      <c r="N11" s="212" t="s">
        <v>5387</v>
      </c>
      <c r="O11" s="36" t="s">
        <v>4879</v>
      </c>
      <c r="P11" s="36" t="s">
        <v>585</v>
      </c>
      <c r="Q11" s="36" t="s">
        <v>5842</v>
      </c>
      <c r="R11" s="36" t="s">
        <v>585</v>
      </c>
      <c r="S11" s="36" t="s">
        <v>585</v>
      </c>
      <c r="T11" s="36" t="s">
        <v>585</v>
      </c>
      <c r="U11" s="36" t="s">
        <v>5843</v>
      </c>
      <c r="V11" s="6" t="s">
        <v>5856</v>
      </c>
      <c r="W11" s="6" t="s">
        <v>585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6" t="s">
        <v>5857</v>
      </c>
      <c r="B12" s="6" t="s">
        <v>5858</v>
      </c>
      <c r="C12" s="214" t="n">
        <v>10</v>
      </c>
      <c r="D12" s="212"/>
      <c r="E12" s="212"/>
      <c r="F12" s="36" t="s">
        <v>772</v>
      </c>
      <c r="G12" s="36" t="s">
        <v>5839</v>
      </c>
      <c r="H12" s="36" t="s">
        <v>1180</v>
      </c>
      <c r="I12" s="36" t="s">
        <v>1178</v>
      </c>
      <c r="J12" s="6" t="s">
        <v>5840</v>
      </c>
      <c r="K12" s="212" t="n">
        <v>1</v>
      </c>
      <c r="L12" s="212" t="s">
        <v>4876</v>
      </c>
      <c r="M12" s="6" t="s">
        <v>5841</v>
      </c>
      <c r="N12" s="212" t="s">
        <v>5387</v>
      </c>
      <c r="O12" s="36" t="s">
        <v>4879</v>
      </c>
      <c r="P12" s="36" t="s">
        <v>585</v>
      </c>
      <c r="Q12" s="36" t="s">
        <v>5842</v>
      </c>
      <c r="R12" s="36" t="s">
        <v>585</v>
      </c>
      <c r="S12" s="36" t="s">
        <v>585</v>
      </c>
      <c r="T12" s="36" t="s">
        <v>585</v>
      </c>
      <c r="U12" s="36" t="s">
        <v>5843</v>
      </c>
      <c r="V12" s="6" t="s">
        <v>5859</v>
      </c>
      <c r="W12" s="6" t="s">
        <v>585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6" t="s">
        <v>5860</v>
      </c>
      <c r="B13" s="6" t="s">
        <v>5861</v>
      </c>
      <c r="C13" s="214" t="n">
        <v>10</v>
      </c>
      <c r="D13" s="212"/>
      <c r="E13" s="212"/>
      <c r="F13" s="36" t="s">
        <v>772</v>
      </c>
      <c r="G13" s="36" t="s">
        <v>5839</v>
      </c>
      <c r="H13" s="36" t="s">
        <v>1182</v>
      </c>
      <c r="I13" s="36" t="s">
        <v>1178</v>
      </c>
      <c r="J13" s="6" t="s">
        <v>5840</v>
      </c>
      <c r="K13" s="212" t="n">
        <v>1</v>
      </c>
      <c r="L13" s="212" t="s">
        <v>4876</v>
      </c>
      <c r="M13" s="6" t="s">
        <v>5841</v>
      </c>
      <c r="N13" s="212" t="s">
        <v>5387</v>
      </c>
      <c r="O13" s="36" t="s">
        <v>4879</v>
      </c>
      <c r="P13" s="36" t="s">
        <v>585</v>
      </c>
      <c r="Q13" s="36" t="s">
        <v>5842</v>
      </c>
      <c r="R13" s="36" t="s">
        <v>585</v>
      </c>
      <c r="S13" s="36" t="s">
        <v>585</v>
      </c>
      <c r="T13" s="36" t="s">
        <v>585</v>
      </c>
      <c r="U13" s="36" t="s">
        <v>5843</v>
      </c>
      <c r="V13" s="6" t="s">
        <v>5862</v>
      </c>
      <c r="W13" s="6" t="s">
        <v>585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6" t="s">
        <v>5863</v>
      </c>
      <c r="B14" s="6" t="s">
        <v>5864</v>
      </c>
      <c r="C14" s="214" t="n">
        <v>1</v>
      </c>
      <c r="D14" s="212"/>
      <c r="E14" s="212"/>
      <c r="F14" s="36" t="s">
        <v>772</v>
      </c>
      <c r="G14" s="36" t="s">
        <v>5839</v>
      </c>
      <c r="H14" s="36" t="s">
        <v>1182</v>
      </c>
      <c r="I14" s="36" t="s">
        <v>1178</v>
      </c>
      <c r="J14" s="6" t="s">
        <v>5840</v>
      </c>
      <c r="K14" s="212" t="n">
        <v>1</v>
      </c>
      <c r="L14" s="212" t="s">
        <v>4876</v>
      </c>
      <c r="M14" s="6" t="s">
        <v>5841</v>
      </c>
      <c r="N14" s="212" t="s">
        <v>5387</v>
      </c>
      <c r="O14" s="36" t="s">
        <v>4879</v>
      </c>
      <c r="P14" s="36" t="s">
        <v>585</v>
      </c>
      <c r="Q14" s="36" t="s">
        <v>5842</v>
      </c>
      <c r="R14" s="36" t="s">
        <v>585</v>
      </c>
      <c r="S14" s="36" t="s">
        <v>585</v>
      </c>
      <c r="T14" s="36" t="s">
        <v>585</v>
      </c>
      <c r="U14" s="36" t="s">
        <v>5843</v>
      </c>
      <c r="V14" s="6" t="s">
        <v>5865</v>
      </c>
      <c r="W14" s="6" t="s">
        <v>585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6" t="s">
        <v>5866</v>
      </c>
      <c r="B15" s="6" t="s">
        <v>5867</v>
      </c>
      <c r="C15" s="214" t="n">
        <v>50</v>
      </c>
      <c r="D15" s="212"/>
      <c r="E15" s="212"/>
      <c r="F15" s="36" t="s">
        <v>772</v>
      </c>
      <c r="G15" s="36" t="s">
        <v>5839</v>
      </c>
      <c r="H15" s="36" t="s">
        <v>1182</v>
      </c>
      <c r="I15" s="36" t="s">
        <v>1178</v>
      </c>
      <c r="J15" s="6" t="s">
        <v>5840</v>
      </c>
      <c r="K15" s="212" t="n">
        <v>1</v>
      </c>
      <c r="L15" s="212" t="s">
        <v>4876</v>
      </c>
      <c r="M15" s="6" t="s">
        <v>5841</v>
      </c>
      <c r="N15" s="212" t="s">
        <v>5387</v>
      </c>
      <c r="O15" s="36" t="s">
        <v>4879</v>
      </c>
      <c r="P15" s="36" t="s">
        <v>585</v>
      </c>
      <c r="Q15" s="36" t="s">
        <v>5842</v>
      </c>
      <c r="R15" s="36" t="s">
        <v>585</v>
      </c>
      <c r="S15" s="36" t="s">
        <v>585</v>
      </c>
      <c r="T15" s="36" t="s">
        <v>585</v>
      </c>
      <c r="U15" s="36" t="s">
        <v>5843</v>
      </c>
      <c r="V15" s="6" t="s">
        <v>5868</v>
      </c>
      <c r="W15" s="6" t="s">
        <v>585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6" t="s">
        <v>5869</v>
      </c>
      <c r="B16" s="6" t="s">
        <v>5870</v>
      </c>
      <c r="C16" s="214" t="n">
        <v>10</v>
      </c>
      <c r="D16" s="212"/>
      <c r="E16" s="212"/>
      <c r="F16" s="36" t="s">
        <v>772</v>
      </c>
      <c r="G16" s="36" t="s">
        <v>5839</v>
      </c>
      <c r="H16" s="36" t="s">
        <v>1185</v>
      </c>
      <c r="I16" s="36" t="s">
        <v>1187</v>
      </c>
      <c r="J16" s="6" t="s">
        <v>5871</v>
      </c>
      <c r="K16" s="212" t="n">
        <v>2</v>
      </c>
      <c r="L16" s="212" t="s">
        <v>4876</v>
      </c>
      <c r="M16" s="6" t="s">
        <v>5872</v>
      </c>
      <c r="N16" s="212" t="s">
        <v>4889</v>
      </c>
      <c r="O16" s="36" t="s">
        <v>4879</v>
      </c>
      <c r="P16" s="36" t="s">
        <v>585</v>
      </c>
      <c r="Q16" s="36" t="s">
        <v>5873</v>
      </c>
      <c r="R16" s="36" t="s">
        <v>585</v>
      </c>
      <c r="S16" s="36" t="s">
        <v>585</v>
      </c>
      <c r="T16" s="36" t="s">
        <v>585</v>
      </c>
      <c r="U16" s="36" t="s">
        <v>5874</v>
      </c>
      <c r="V16" s="6" t="s">
        <v>5875</v>
      </c>
      <c r="W16" s="6" t="s">
        <v>585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6" t="s">
        <v>5876</v>
      </c>
      <c r="B17" s="6" t="s">
        <v>5877</v>
      </c>
      <c r="C17" s="214" t="n">
        <v>0.25</v>
      </c>
      <c r="D17" s="212"/>
      <c r="E17" s="212"/>
      <c r="F17" s="36" t="s">
        <v>772</v>
      </c>
      <c r="G17" s="36" t="s">
        <v>5839</v>
      </c>
      <c r="H17" s="36" t="s">
        <v>1185</v>
      </c>
      <c r="I17" s="36" t="s">
        <v>1187</v>
      </c>
      <c r="J17" s="6" t="s">
        <v>5871</v>
      </c>
      <c r="K17" s="212" t="n">
        <v>2</v>
      </c>
      <c r="L17" s="212" t="s">
        <v>4876</v>
      </c>
      <c r="M17" s="6" t="s">
        <v>5872</v>
      </c>
      <c r="N17" s="212" t="s">
        <v>4889</v>
      </c>
      <c r="O17" s="36" t="s">
        <v>4879</v>
      </c>
      <c r="P17" s="36" t="s">
        <v>585</v>
      </c>
      <c r="Q17" s="36" t="s">
        <v>5873</v>
      </c>
      <c r="R17" s="36" t="s">
        <v>585</v>
      </c>
      <c r="S17" s="36" t="s">
        <v>585</v>
      </c>
      <c r="T17" s="36" t="s">
        <v>585</v>
      </c>
      <c r="U17" s="36" t="s">
        <v>5874</v>
      </c>
      <c r="V17" s="6" t="s">
        <v>5878</v>
      </c>
      <c r="W17" s="19" t="s">
        <v>5879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6" t="s">
        <v>5880</v>
      </c>
      <c r="B18" s="6" t="s">
        <v>5881</v>
      </c>
      <c r="C18" s="214" t="n">
        <v>50</v>
      </c>
      <c r="D18" s="212"/>
      <c r="E18" s="212"/>
      <c r="F18" s="36" t="s">
        <v>772</v>
      </c>
      <c r="G18" s="36" t="s">
        <v>5839</v>
      </c>
      <c r="H18" s="36" t="s">
        <v>1185</v>
      </c>
      <c r="I18" s="36" t="s">
        <v>1187</v>
      </c>
      <c r="J18" s="6" t="s">
        <v>5871</v>
      </c>
      <c r="K18" s="212" t="n">
        <v>2</v>
      </c>
      <c r="L18" s="212" t="s">
        <v>4876</v>
      </c>
      <c r="M18" s="6" t="s">
        <v>5872</v>
      </c>
      <c r="N18" s="212" t="s">
        <v>4889</v>
      </c>
      <c r="O18" s="36" t="s">
        <v>4879</v>
      </c>
      <c r="P18" s="36" t="s">
        <v>585</v>
      </c>
      <c r="Q18" s="36" t="s">
        <v>5873</v>
      </c>
      <c r="R18" s="36" t="s">
        <v>585</v>
      </c>
      <c r="S18" s="36" t="s">
        <v>585</v>
      </c>
      <c r="T18" s="36" t="s">
        <v>585</v>
      </c>
      <c r="U18" s="36" t="s">
        <v>5874</v>
      </c>
      <c r="V18" s="6" t="s">
        <v>5882</v>
      </c>
      <c r="W18" s="6" t="s">
        <v>585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5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6" t="s">
        <v>5883</v>
      </c>
      <c r="B19" s="6" t="s">
        <v>5884</v>
      </c>
      <c r="C19" s="214" t="n">
        <v>5</v>
      </c>
      <c r="D19" s="212"/>
      <c r="E19" s="212"/>
      <c r="F19" s="36" t="s">
        <v>772</v>
      </c>
      <c r="G19" s="36" t="s">
        <v>5839</v>
      </c>
      <c r="H19" s="36" t="s">
        <v>1189</v>
      </c>
      <c r="I19" s="36" t="s">
        <v>5885</v>
      </c>
      <c r="J19" s="6" t="s">
        <v>5871</v>
      </c>
      <c r="K19" s="212" t="n">
        <v>2</v>
      </c>
      <c r="L19" s="212" t="s">
        <v>4876</v>
      </c>
      <c r="M19" s="6" t="s">
        <v>5872</v>
      </c>
      <c r="N19" s="212" t="s">
        <v>4889</v>
      </c>
      <c r="O19" s="36" t="s">
        <v>4879</v>
      </c>
      <c r="P19" s="36" t="s">
        <v>585</v>
      </c>
      <c r="Q19" s="36" t="s">
        <v>5873</v>
      </c>
      <c r="R19" s="36" t="s">
        <v>585</v>
      </c>
      <c r="S19" s="36" t="s">
        <v>585</v>
      </c>
      <c r="T19" s="36" t="s">
        <v>585</v>
      </c>
      <c r="U19" s="36" t="s">
        <v>5874</v>
      </c>
      <c r="V19" s="6" t="s">
        <v>5886</v>
      </c>
      <c r="W19" s="19" t="s">
        <v>5887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6" t="s">
        <v>5888</v>
      </c>
      <c r="B20" s="6" t="s">
        <v>5889</v>
      </c>
      <c r="C20" s="214" t="n">
        <v>25</v>
      </c>
      <c r="D20" s="212"/>
      <c r="E20" s="212"/>
      <c r="F20" s="36" t="s">
        <v>772</v>
      </c>
      <c r="G20" s="36" t="s">
        <v>5839</v>
      </c>
      <c r="H20" s="36" t="s">
        <v>1189</v>
      </c>
      <c r="I20" s="36" t="s">
        <v>5885</v>
      </c>
      <c r="J20" s="6" t="s">
        <v>5871</v>
      </c>
      <c r="K20" s="212" t="n">
        <v>2</v>
      </c>
      <c r="L20" s="212" t="s">
        <v>4876</v>
      </c>
      <c r="M20" s="6" t="s">
        <v>5872</v>
      </c>
      <c r="N20" s="212" t="s">
        <v>4889</v>
      </c>
      <c r="O20" s="36" t="s">
        <v>4879</v>
      </c>
      <c r="P20" s="36" t="s">
        <v>585</v>
      </c>
      <c r="Q20" s="36" t="s">
        <v>5873</v>
      </c>
      <c r="R20" s="36" t="s">
        <v>585</v>
      </c>
      <c r="S20" s="36" t="s">
        <v>585</v>
      </c>
      <c r="T20" s="36" t="s">
        <v>585</v>
      </c>
      <c r="U20" s="36" t="s">
        <v>5874</v>
      </c>
      <c r="V20" s="6" t="s">
        <v>5890</v>
      </c>
      <c r="W20" s="6" t="s">
        <v>585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6" t="s">
        <v>5891</v>
      </c>
      <c r="B21" s="6" t="s">
        <v>5892</v>
      </c>
      <c r="C21" s="214" t="n">
        <v>4</v>
      </c>
      <c r="D21" s="212"/>
      <c r="E21" s="212"/>
      <c r="F21" s="36" t="s">
        <v>772</v>
      </c>
      <c r="G21" s="36" t="s">
        <v>5839</v>
      </c>
      <c r="H21" s="36" t="s">
        <v>1192</v>
      </c>
      <c r="I21" s="36" t="s">
        <v>1194</v>
      </c>
      <c r="J21" s="6" t="s">
        <v>5871</v>
      </c>
      <c r="K21" s="212" t="n">
        <v>2</v>
      </c>
      <c r="L21" s="212" t="s">
        <v>4876</v>
      </c>
      <c r="M21" s="6" t="s">
        <v>5872</v>
      </c>
      <c r="N21" s="212" t="s">
        <v>4889</v>
      </c>
      <c r="O21" s="36" t="s">
        <v>4879</v>
      </c>
      <c r="P21" s="36" t="s">
        <v>585</v>
      </c>
      <c r="Q21" s="36" t="s">
        <v>5873</v>
      </c>
      <c r="R21" s="36" t="s">
        <v>585</v>
      </c>
      <c r="S21" s="36" t="s">
        <v>585</v>
      </c>
      <c r="T21" s="36" t="s">
        <v>585</v>
      </c>
      <c r="U21" s="36" t="s">
        <v>5874</v>
      </c>
      <c r="V21" s="6" t="s">
        <v>5893</v>
      </c>
      <c r="W21" s="19" t="s">
        <v>5894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6" t="s">
        <v>5895</v>
      </c>
      <c r="B22" s="6" t="s">
        <v>5896</v>
      </c>
      <c r="C22" s="214" t="n">
        <v>20</v>
      </c>
      <c r="D22" s="212"/>
      <c r="E22" s="212"/>
      <c r="F22" s="36" t="s">
        <v>772</v>
      </c>
      <c r="G22" s="36" t="s">
        <v>5839</v>
      </c>
      <c r="H22" s="36" t="s">
        <v>1192</v>
      </c>
      <c r="I22" s="36" t="s">
        <v>1194</v>
      </c>
      <c r="J22" s="6" t="s">
        <v>5871</v>
      </c>
      <c r="K22" s="212" t="n">
        <v>2</v>
      </c>
      <c r="L22" s="212" t="s">
        <v>4876</v>
      </c>
      <c r="M22" s="6" t="s">
        <v>5872</v>
      </c>
      <c r="N22" s="212" t="s">
        <v>4889</v>
      </c>
      <c r="O22" s="36" t="s">
        <v>4879</v>
      </c>
      <c r="P22" s="36" t="s">
        <v>585</v>
      </c>
      <c r="Q22" s="36" t="s">
        <v>5873</v>
      </c>
      <c r="R22" s="36" t="s">
        <v>585</v>
      </c>
      <c r="S22" s="36" t="s">
        <v>585</v>
      </c>
      <c r="T22" s="36" t="s">
        <v>585</v>
      </c>
      <c r="U22" s="36" t="s">
        <v>5874</v>
      </c>
      <c r="V22" s="6" t="s">
        <v>5897</v>
      </c>
      <c r="W22" s="6" t="s">
        <v>585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5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6" t="s">
        <v>5898</v>
      </c>
      <c r="B23" s="6" t="s">
        <v>5899</v>
      </c>
      <c r="C23" s="214" t="n">
        <v>1.25</v>
      </c>
      <c r="D23" s="212"/>
      <c r="E23" s="212"/>
      <c r="F23" s="36" t="s">
        <v>5900</v>
      </c>
      <c r="G23" s="36" t="s">
        <v>585</v>
      </c>
      <c r="H23" s="36" t="s">
        <v>1186</v>
      </c>
      <c r="I23" s="36" t="s">
        <v>5885</v>
      </c>
      <c r="J23" s="6" t="s">
        <v>5871</v>
      </c>
      <c r="K23" s="212" t="n">
        <v>2</v>
      </c>
      <c r="L23" s="212" t="s">
        <v>4876</v>
      </c>
      <c r="M23" s="6" t="s">
        <v>5872</v>
      </c>
      <c r="N23" s="212" t="s">
        <v>4889</v>
      </c>
      <c r="O23" s="36" t="s">
        <v>4879</v>
      </c>
      <c r="P23" s="36" t="s">
        <v>585</v>
      </c>
      <c r="Q23" s="36" t="s">
        <v>5873</v>
      </c>
      <c r="R23" s="36" t="s">
        <v>585</v>
      </c>
      <c r="S23" s="36" t="s">
        <v>585</v>
      </c>
      <c r="T23" s="36" t="s">
        <v>585</v>
      </c>
      <c r="U23" s="36" t="s">
        <v>5874</v>
      </c>
      <c r="V23" s="6" t="s">
        <v>585</v>
      </c>
      <c r="W23" s="6" t="s">
        <v>585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5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6" t="s">
        <v>5901</v>
      </c>
      <c r="B24" s="6" t="s">
        <v>5902</v>
      </c>
      <c r="C24" s="214" t="n">
        <v>2</v>
      </c>
      <c r="D24" s="212"/>
      <c r="E24" s="212"/>
      <c r="F24" s="36" t="s">
        <v>5900</v>
      </c>
      <c r="G24" s="36" t="s">
        <v>585</v>
      </c>
      <c r="H24" s="36" t="s">
        <v>1186</v>
      </c>
      <c r="I24" s="36" t="s">
        <v>5885</v>
      </c>
      <c r="J24" s="6" t="s">
        <v>5871</v>
      </c>
      <c r="K24" s="212" t="n">
        <v>2</v>
      </c>
      <c r="L24" s="212" t="s">
        <v>4876</v>
      </c>
      <c r="M24" s="6" t="s">
        <v>5872</v>
      </c>
      <c r="N24" s="212" t="s">
        <v>4889</v>
      </c>
      <c r="O24" s="36" t="s">
        <v>4879</v>
      </c>
      <c r="P24" s="36" t="s">
        <v>585</v>
      </c>
      <c r="Q24" s="36" t="s">
        <v>5873</v>
      </c>
      <c r="R24" s="36" t="s">
        <v>585</v>
      </c>
      <c r="S24" s="36" t="s">
        <v>585</v>
      </c>
      <c r="T24" s="36" t="s">
        <v>585</v>
      </c>
      <c r="U24" s="36" t="s">
        <v>5874</v>
      </c>
      <c r="V24" s="6" t="s">
        <v>585</v>
      </c>
      <c r="W24" s="6" t="s">
        <v>585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5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6" t="s">
        <v>5903</v>
      </c>
      <c r="B25" s="6" t="s">
        <v>5904</v>
      </c>
      <c r="C25" s="214" t="n">
        <v>0.3</v>
      </c>
      <c r="D25" s="212"/>
      <c r="E25" s="212"/>
      <c r="F25" s="36" t="s">
        <v>772</v>
      </c>
      <c r="G25" s="212" t="s">
        <v>5905</v>
      </c>
      <c r="H25" s="36" t="s">
        <v>1196</v>
      </c>
      <c r="I25" s="36" t="s">
        <v>1199</v>
      </c>
      <c r="J25" s="6" t="s">
        <v>5906</v>
      </c>
      <c r="K25" s="212" t="n">
        <v>1</v>
      </c>
      <c r="L25" s="212" t="s">
        <v>4876</v>
      </c>
      <c r="M25" s="6" t="s">
        <v>5907</v>
      </c>
      <c r="N25" s="212" t="s">
        <v>5387</v>
      </c>
      <c r="O25" s="36" t="s">
        <v>4879</v>
      </c>
      <c r="P25" s="36" t="s">
        <v>585</v>
      </c>
      <c r="Q25" s="36" t="s">
        <v>5908</v>
      </c>
      <c r="R25" s="36" t="s">
        <v>585</v>
      </c>
      <c r="S25" s="36" t="s">
        <v>585</v>
      </c>
      <c r="T25" s="36" t="s">
        <v>585</v>
      </c>
      <c r="U25" s="36" t="s">
        <v>2578</v>
      </c>
      <c r="V25" s="6" t="s">
        <v>5909</v>
      </c>
      <c r="W25" s="6" t="s">
        <v>585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5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6" t="s">
        <v>5910</v>
      </c>
      <c r="B26" s="6" t="s">
        <v>5911</v>
      </c>
      <c r="C26" s="214" t="n">
        <v>0.006</v>
      </c>
      <c r="D26" s="212"/>
      <c r="E26" s="212"/>
      <c r="F26" s="36" t="s">
        <v>772</v>
      </c>
      <c r="G26" s="212" t="s">
        <v>5912</v>
      </c>
      <c r="H26" s="36" t="s">
        <v>1196</v>
      </c>
      <c r="I26" s="36" t="s">
        <v>1199</v>
      </c>
      <c r="J26" s="6" t="s">
        <v>5906</v>
      </c>
      <c r="K26" s="212" t="n">
        <v>1</v>
      </c>
      <c r="L26" s="212" t="s">
        <v>4876</v>
      </c>
      <c r="M26" s="6" t="s">
        <v>5907</v>
      </c>
      <c r="N26" s="212" t="s">
        <v>5387</v>
      </c>
      <c r="O26" s="36" t="s">
        <v>4879</v>
      </c>
      <c r="P26" s="36" t="s">
        <v>585</v>
      </c>
      <c r="Q26" s="36" t="s">
        <v>5908</v>
      </c>
      <c r="R26" s="36" t="s">
        <v>585</v>
      </c>
      <c r="S26" s="36" t="s">
        <v>585</v>
      </c>
      <c r="T26" s="36" t="s">
        <v>585</v>
      </c>
      <c r="U26" s="36" t="s">
        <v>2578</v>
      </c>
      <c r="V26" s="6" t="s">
        <v>5913</v>
      </c>
      <c r="W26" s="6" t="s">
        <v>585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5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6" t="s">
        <v>5914</v>
      </c>
      <c r="B27" s="6" t="s">
        <v>5915</v>
      </c>
      <c r="C27" s="214" t="n">
        <v>1.2</v>
      </c>
      <c r="D27" s="212"/>
      <c r="E27" s="212"/>
      <c r="F27" s="36" t="s">
        <v>772</v>
      </c>
      <c r="G27" s="212" t="s">
        <v>5912</v>
      </c>
      <c r="H27" s="36" t="s">
        <v>1196</v>
      </c>
      <c r="I27" s="36" t="s">
        <v>1199</v>
      </c>
      <c r="J27" s="6" t="s">
        <v>5906</v>
      </c>
      <c r="K27" s="212" t="n">
        <v>1</v>
      </c>
      <c r="L27" s="212" t="s">
        <v>4876</v>
      </c>
      <c r="M27" s="6" t="s">
        <v>5907</v>
      </c>
      <c r="N27" s="212" t="s">
        <v>5387</v>
      </c>
      <c r="O27" s="36" t="s">
        <v>4879</v>
      </c>
      <c r="P27" s="36" t="s">
        <v>585</v>
      </c>
      <c r="Q27" s="36" t="s">
        <v>5908</v>
      </c>
      <c r="R27" s="36" t="s">
        <v>585</v>
      </c>
      <c r="S27" s="36" t="s">
        <v>585</v>
      </c>
      <c r="T27" s="36" t="s">
        <v>585</v>
      </c>
      <c r="U27" s="36" t="s">
        <v>2578</v>
      </c>
      <c r="V27" s="6" t="s">
        <v>5916</v>
      </c>
      <c r="W27" s="6" t="s">
        <v>585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6" t="s">
        <v>5917</v>
      </c>
      <c r="B28" s="6" t="s">
        <v>5918</v>
      </c>
      <c r="C28" s="214" t="n">
        <v>1.32</v>
      </c>
      <c r="D28" s="212"/>
      <c r="E28" s="212"/>
      <c r="F28" s="36" t="s">
        <v>772</v>
      </c>
      <c r="G28" s="212" t="s">
        <v>5912</v>
      </c>
      <c r="H28" s="36" t="s">
        <v>1201</v>
      </c>
      <c r="I28" s="36" t="s">
        <v>1199</v>
      </c>
      <c r="J28" s="6" t="s">
        <v>5906</v>
      </c>
      <c r="K28" s="212" t="n">
        <v>1</v>
      </c>
      <c r="L28" s="212" t="s">
        <v>4876</v>
      </c>
      <c r="M28" s="6" t="s">
        <v>5907</v>
      </c>
      <c r="N28" s="212" t="s">
        <v>5387</v>
      </c>
      <c r="O28" s="36" t="s">
        <v>4879</v>
      </c>
      <c r="P28" s="36" t="s">
        <v>585</v>
      </c>
      <c r="Q28" s="36" t="s">
        <v>5908</v>
      </c>
      <c r="R28" s="36" t="s">
        <v>585</v>
      </c>
      <c r="S28" s="36" t="s">
        <v>585</v>
      </c>
      <c r="T28" s="36" t="s">
        <v>585</v>
      </c>
      <c r="U28" s="36" t="s">
        <v>2578</v>
      </c>
      <c r="V28" s="6" t="s">
        <v>5919</v>
      </c>
      <c r="W28" s="6" t="s">
        <v>585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5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6" t="s">
        <v>5920</v>
      </c>
      <c r="B29" s="6" t="s">
        <v>5921</v>
      </c>
      <c r="C29" s="214" t="n">
        <v>0.044</v>
      </c>
      <c r="D29" s="212"/>
      <c r="E29" s="212"/>
      <c r="F29" s="36" t="s">
        <v>772</v>
      </c>
      <c r="G29" s="212" t="s">
        <v>5912</v>
      </c>
      <c r="H29" s="36" t="s">
        <v>1201</v>
      </c>
      <c r="I29" s="36" t="s">
        <v>1199</v>
      </c>
      <c r="J29" s="6" t="s">
        <v>5906</v>
      </c>
      <c r="K29" s="212" t="n">
        <v>1</v>
      </c>
      <c r="L29" s="212" t="s">
        <v>4876</v>
      </c>
      <c r="M29" s="6" t="s">
        <v>5907</v>
      </c>
      <c r="N29" s="212" t="s">
        <v>5387</v>
      </c>
      <c r="O29" s="36" t="s">
        <v>4879</v>
      </c>
      <c r="P29" s="36" t="s">
        <v>585</v>
      </c>
      <c r="Q29" s="36" t="s">
        <v>5908</v>
      </c>
      <c r="R29" s="36" t="s">
        <v>585</v>
      </c>
      <c r="S29" s="36" t="s">
        <v>585</v>
      </c>
      <c r="T29" s="36" t="s">
        <v>585</v>
      </c>
      <c r="U29" s="36" t="s">
        <v>2578</v>
      </c>
      <c r="V29" s="6" t="s">
        <v>5922</v>
      </c>
      <c r="W29" s="6" t="s">
        <v>585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6" t="s">
        <v>5923</v>
      </c>
      <c r="B30" s="6" t="s">
        <v>5924</v>
      </c>
      <c r="C30" s="214" t="n">
        <v>3.96</v>
      </c>
      <c r="D30" s="212"/>
      <c r="E30" s="212"/>
      <c r="F30" s="36" t="s">
        <v>772</v>
      </c>
      <c r="G30" s="212" t="s">
        <v>5912</v>
      </c>
      <c r="H30" s="36" t="s">
        <v>1201</v>
      </c>
      <c r="I30" s="36" t="s">
        <v>1199</v>
      </c>
      <c r="J30" s="6" t="s">
        <v>5906</v>
      </c>
      <c r="K30" s="212" t="n">
        <v>1</v>
      </c>
      <c r="L30" s="212" t="s">
        <v>4876</v>
      </c>
      <c r="M30" s="6" t="s">
        <v>5907</v>
      </c>
      <c r="N30" s="212" t="s">
        <v>5387</v>
      </c>
      <c r="O30" s="36" t="s">
        <v>4879</v>
      </c>
      <c r="P30" s="36" t="s">
        <v>585</v>
      </c>
      <c r="Q30" s="36" t="s">
        <v>5908</v>
      </c>
      <c r="R30" s="36" t="s">
        <v>585</v>
      </c>
      <c r="S30" s="36" t="s">
        <v>585</v>
      </c>
      <c r="T30" s="36" t="s">
        <v>585</v>
      </c>
      <c r="U30" s="36" t="s">
        <v>2578</v>
      </c>
      <c r="V30" s="6" t="s">
        <v>5925</v>
      </c>
      <c r="W30" s="6" t="s">
        <v>585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6" t="s">
        <v>3945</v>
      </c>
      <c r="B31" s="6" t="s">
        <v>5926</v>
      </c>
      <c r="C31" s="214" t="n">
        <v>0.5</v>
      </c>
      <c r="D31" s="212"/>
      <c r="E31" s="212"/>
      <c r="F31" s="36" t="s">
        <v>81</v>
      </c>
      <c r="G31" s="36" t="s">
        <v>585</v>
      </c>
      <c r="H31" s="36" t="s">
        <v>1197</v>
      </c>
      <c r="I31" s="36" t="s">
        <v>1199</v>
      </c>
      <c r="J31" s="6" t="s">
        <v>5906</v>
      </c>
      <c r="K31" s="212" t="n">
        <v>1</v>
      </c>
      <c r="L31" s="212" t="s">
        <v>4876</v>
      </c>
      <c r="M31" s="6" t="s">
        <v>5907</v>
      </c>
      <c r="N31" s="212" t="s">
        <v>5387</v>
      </c>
      <c r="O31" s="36" t="s">
        <v>4879</v>
      </c>
      <c r="P31" s="36" t="s">
        <v>585</v>
      </c>
      <c r="Q31" s="36" t="s">
        <v>5908</v>
      </c>
      <c r="R31" s="36" t="s">
        <v>585</v>
      </c>
      <c r="S31" s="36" t="s">
        <v>585</v>
      </c>
      <c r="T31" s="36" t="s">
        <v>585</v>
      </c>
      <c r="U31" s="36" t="s">
        <v>2578</v>
      </c>
      <c r="V31" s="6" t="s">
        <v>5927</v>
      </c>
      <c r="W31" s="6" t="s">
        <v>585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6" t="s">
        <v>5928</v>
      </c>
      <c r="B32" s="6" t="s">
        <v>5929</v>
      </c>
      <c r="C32" s="214" t="n">
        <v>35</v>
      </c>
      <c r="D32" s="212"/>
      <c r="E32" s="212"/>
      <c r="F32" s="36" t="s">
        <v>5930</v>
      </c>
      <c r="G32" s="212" t="s">
        <v>5931</v>
      </c>
      <c r="H32" s="36" t="s">
        <v>1197</v>
      </c>
      <c r="I32" s="36" t="s">
        <v>1199</v>
      </c>
      <c r="J32" s="6" t="s">
        <v>5906</v>
      </c>
      <c r="K32" s="212" t="n">
        <v>1</v>
      </c>
      <c r="L32" s="212" t="s">
        <v>4876</v>
      </c>
      <c r="M32" s="6" t="s">
        <v>5907</v>
      </c>
      <c r="N32" s="212" t="s">
        <v>5387</v>
      </c>
      <c r="O32" s="36" t="s">
        <v>4879</v>
      </c>
      <c r="P32" s="36" t="s">
        <v>585</v>
      </c>
      <c r="Q32" s="36" t="s">
        <v>5908</v>
      </c>
      <c r="R32" s="36" t="s">
        <v>585</v>
      </c>
      <c r="S32" s="36" t="s">
        <v>585</v>
      </c>
      <c r="T32" s="36" t="s">
        <v>585</v>
      </c>
      <c r="U32" s="36" t="s">
        <v>2578</v>
      </c>
      <c r="V32" s="6" t="s">
        <v>5932</v>
      </c>
      <c r="W32" s="19" t="s">
        <v>5933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6" t="s">
        <v>5934</v>
      </c>
      <c r="B33" s="6" t="s">
        <v>5935</v>
      </c>
      <c r="C33" s="214" t="n">
        <v>1.4</v>
      </c>
      <c r="D33" s="212"/>
      <c r="E33" s="212"/>
      <c r="F33" s="36" t="s">
        <v>772</v>
      </c>
      <c r="G33" s="36" t="s">
        <v>585</v>
      </c>
      <c r="H33" s="36" t="s">
        <v>1203</v>
      </c>
      <c r="I33" s="36" t="s">
        <v>1199</v>
      </c>
      <c r="J33" s="6" t="s">
        <v>5936</v>
      </c>
      <c r="K33" s="212" t="n">
        <v>1</v>
      </c>
      <c r="L33" s="212" t="s">
        <v>4876</v>
      </c>
      <c r="M33" s="6" t="s">
        <v>5937</v>
      </c>
      <c r="N33" s="212" t="s">
        <v>5387</v>
      </c>
      <c r="O33" s="36" t="s">
        <v>4879</v>
      </c>
      <c r="P33" s="36" t="s">
        <v>585</v>
      </c>
      <c r="Q33" s="36" t="s">
        <v>5938</v>
      </c>
      <c r="R33" s="36" t="s">
        <v>585</v>
      </c>
      <c r="S33" s="36" t="s">
        <v>585</v>
      </c>
      <c r="T33" s="36" t="s">
        <v>585</v>
      </c>
      <c r="U33" s="36" t="s">
        <v>5939</v>
      </c>
      <c r="V33" s="6" t="s">
        <v>5940</v>
      </c>
      <c r="W33" s="6" t="s">
        <v>585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5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6" t="s">
        <v>5941</v>
      </c>
      <c r="B34" s="6" t="s">
        <v>5942</v>
      </c>
      <c r="C34" s="214" t="n">
        <v>0.26</v>
      </c>
      <c r="D34" s="212"/>
      <c r="E34" s="212"/>
      <c r="F34" s="36" t="s">
        <v>772</v>
      </c>
      <c r="G34" s="36" t="s">
        <v>585</v>
      </c>
      <c r="H34" s="36" t="s">
        <v>1203</v>
      </c>
      <c r="I34" s="36" t="s">
        <v>1199</v>
      </c>
      <c r="J34" s="6" t="s">
        <v>5936</v>
      </c>
      <c r="K34" s="212" t="n">
        <v>1</v>
      </c>
      <c r="L34" s="212" t="s">
        <v>4876</v>
      </c>
      <c r="M34" s="6" t="s">
        <v>5937</v>
      </c>
      <c r="N34" s="212" t="s">
        <v>5387</v>
      </c>
      <c r="O34" s="36" t="s">
        <v>4879</v>
      </c>
      <c r="P34" s="36" t="s">
        <v>585</v>
      </c>
      <c r="Q34" s="36" t="s">
        <v>5938</v>
      </c>
      <c r="R34" s="36" t="s">
        <v>585</v>
      </c>
      <c r="S34" s="36" t="s">
        <v>585</v>
      </c>
      <c r="T34" s="36" t="s">
        <v>585</v>
      </c>
      <c r="U34" s="36" t="s">
        <v>5939</v>
      </c>
      <c r="V34" s="6" t="s">
        <v>5943</v>
      </c>
      <c r="W34" s="6" t="s">
        <v>585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5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6" t="s">
        <v>5944</v>
      </c>
      <c r="B35" s="6" t="s">
        <v>5945</v>
      </c>
      <c r="C35" s="214" t="n">
        <v>4.4</v>
      </c>
      <c r="D35" s="212"/>
      <c r="E35" s="212"/>
      <c r="F35" s="36" t="s">
        <v>772</v>
      </c>
      <c r="G35" s="36" t="s">
        <v>585</v>
      </c>
      <c r="H35" s="36" t="s">
        <v>1203</v>
      </c>
      <c r="I35" s="36" t="s">
        <v>1199</v>
      </c>
      <c r="J35" s="6" t="s">
        <v>5936</v>
      </c>
      <c r="K35" s="212" t="n">
        <v>1</v>
      </c>
      <c r="L35" s="212" t="s">
        <v>4876</v>
      </c>
      <c r="M35" s="6" t="s">
        <v>5937</v>
      </c>
      <c r="N35" s="212" t="s">
        <v>5387</v>
      </c>
      <c r="O35" s="36" t="s">
        <v>4879</v>
      </c>
      <c r="P35" s="36" t="s">
        <v>585</v>
      </c>
      <c r="Q35" s="36" t="s">
        <v>5938</v>
      </c>
      <c r="R35" s="36" t="s">
        <v>585</v>
      </c>
      <c r="S35" s="36" t="s">
        <v>585</v>
      </c>
      <c r="T35" s="36" t="s">
        <v>585</v>
      </c>
      <c r="U35" s="36" t="s">
        <v>5939</v>
      </c>
      <c r="V35" s="6" t="s">
        <v>5946</v>
      </c>
      <c r="W35" s="6" t="s">
        <v>585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5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6" t="s">
        <v>5947</v>
      </c>
      <c r="B36" s="6" t="s">
        <v>5948</v>
      </c>
      <c r="C36" s="214" t="n">
        <v>0.15</v>
      </c>
      <c r="D36" s="212"/>
      <c r="E36" s="212"/>
      <c r="F36" s="36" t="s">
        <v>772</v>
      </c>
      <c r="G36" s="36" t="s">
        <v>585</v>
      </c>
      <c r="H36" s="36" t="s">
        <v>1207</v>
      </c>
      <c r="I36" s="36" t="s">
        <v>1199</v>
      </c>
      <c r="J36" s="6" t="s">
        <v>5936</v>
      </c>
      <c r="K36" s="212" t="n">
        <v>1</v>
      </c>
      <c r="L36" s="212" t="s">
        <v>4876</v>
      </c>
      <c r="M36" s="6" t="s">
        <v>5937</v>
      </c>
      <c r="N36" s="212" t="s">
        <v>5387</v>
      </c>
      <c r="O36" s="36" t="s">
        <v>4879</v>
      </c>
      <c r="P36" s="36" t="s">
        <v>585</v>
      </c>
      <c r="Q36" s="36" t="s">
        <v>5938</v>
      </c>
      <c r="R36" s="36" t="s">
        <v>585</v>
      </c>
      <c r="S36" s="36" t="s">
        <v>585</v>
      </c>
      <c r="T36" s="36" t="s">
        <v>585</v>
      </c>
      <c r="U36" s="36" t="s">
        <v>5939</v>
      </c>
      <c r="V36" s="6" t="s">
        <v>5949</v>
      </c>
      <c r="W36" s="6" t="s">
        <v>585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5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6" t="s">
        <v>5950</v>
      </c>
      <c r="B37" s="6" t="s">
        <v>5951</v>
      </c>
      <c r="C37" s="214" t="n">
        <v>0.03</v>
      </c>
      <c r="D37" s="212"/>
      <c r="E37" s="212"/>
      <c r="F37" s="36" t="s">
        <v>772</v>
      </c>
      <c r="G37" s="36" t="s">
        <v>585</v>
      </c>
      <c r="H37" s="36" t="s">
        <v>1207</v>
      </c>
      <c r="I37" s="36" t="s">
        <v>1199</v>
      </c>
      <c r="J37" s="6" t="s">
        <v>5936</v>
      </c>
      <c r="K37" s="212" t="n">
        <v>1</v>
      </c>
      <c r="L37" s="212" t="s">
        <v>4876</v>
      </c>
      <c r="M37" s="6" t="s">
        <v>5937</v>
      </c>
      <c r="N37" s="212" t="s">
        <v>5387</v>
      </c>
      <c r="O37" s="36" t="s">
        <v>4879</v>
      </c>
      <c r="P37" s="36" t="s">
        <v>585</v>
      </c>
      <c r="Q37" s="36" t="s">
        <v>5938</v>
      </c>
      <c r="R37" s="36" t="s">
        <v>585</v>
      </c>
      <c r="S37" s="36" t="s">
        <v>585</v>
      </c>
      <c r="T37" s="36" t="s">
        <v>585</v>
      </c>
      <c r="U37" s="36" t="s">
        <v>5939</v>
      </c>
      <c r="V37" s="6" t="s">
        <v>5952</v>
      </c>
      <c r="W37" s="6" t="s">
        <v>585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5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6" t="s">
        <v>5953</v>
      </c>
      <c r="B38" s="6" t="s">
        <v>5954</v>
      </c>
      <c r="C38" s="214" t="n">
        <v>0.5</v>
      </c>
      <c r="D38" s="212"/>
      <c r="E38" s="212"/>
      <c r="F38" s="36" t="s">
        <v>772</v>
      </c>
      <c r="G38" s="36" t="s">
        <v>585</v>
      </c>
      <c r="H38" s="36" t="s">
        <v>1207</v>
      </c>
      <c r="I38" s="36" t="s">
        <v>1199</v>
      </c>
      <c r="J38" s="6" t="s">
        <v>5936</v>
      </c>
      <c r="K38" s="212" t="n">
        <v>1</v>
      </c>
      <c r="L38" s="212" t="s">
        <v>4876</v>
      </c>
      <c r="M38" s="6" t="s">
        <v>5937</v>
      </c>
      <c r="N38" s="212" t="s">
        <v>5387</v>
      </c>
      <c r="O38" s="36" t="s">
        <v>4879</v>
      </c>
      <c r="P38" s="36" t="s">
        <v>585</v>
      </c>
      <c r="Q38" s="36" t="s">
        <v>5938</v>
      </c>
      <c r="R38" s="36" t="s">
        <v>585</v>
      </c>
      <c r="S38" s="36" t="s">
        <v>585</v>
      </c>
      <c r="T38" s="36" t="s">
        <v>585</v>
      </c>
      <c r="U38" s="36" t="s">
        <v>5939</v>
      </c>
      <c r="V38" s="6" t="s">
        <v>5955</v>
      </c>
      <c r="W38" s="6" t="s">
        <v>585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5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6" t="s">
        <v>5956</v>
      </c>
      <c r="B39" s="6" t="s">
        <v>5957</v>
      </c>
      <c r="C39" s="214" t="n">
        <v>3</v>
      </c>
      <c r="D39" s="212"/>
      <c r="E39" s="212"/>
      <c r="F39" s="36" t="s">
        <v>772</v>
      </c>
      <c r="G39" s="36" t="s">
        <v>585</v>
      </c>
      <c r="H39" s="36" t="s">
        <v>1213</v>
      </c>
      <c r="I39" s="36" t="s">
        <v>5885</v>
      </c>
      <c r="J39" s="6" t="s">
        <v>5958</v>
      </c>
      <c r="K39" s="212" t="n">
        <v>2</v>
      </c>
      <c r="L39" s="212" t="s">
        <v>4876</v>
      </c>
      <c r="M39" s="6" t="s">
        <v>5959</v>
      </c>
      <c r="N39" s="212" t="s">
        <v>4889</v>
      </c>
      <c r="O39" s="36" t="s">
        <v>4879</v>
      </c>
      <c r="P39" s="36" t="s">
        <v>585</v>
      </c>
      <c r="Q39" s="36" t="s">
        <v>5960</v>
      </c>
      <c r="R39" s="36" t="s">
        <v>585</v>
      </c>
      <c r="S39" s="36" t="s">
        <v>585</v>
      </c>
      <c r="T39" s="36" t="s">
        <v>585</v>
      </c>
      <c r="U39" s="36" t="s">
        <v>5961</v>
      </c>
      <c r="V39" s="6" t="s">
        <v>5962</v>
      </c>
      <c r="W39" s="6" t="s">
        <v>585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5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6" t="s">
        <v>5963</v>
      </c>
      <c r="B40" s="6" t="s">
        <v>5964</v>
      </c>
      <c r="C40" s="214" t="n">
        <v>0.3</v>
      </c>
      <c r="D40" s="212"/>
      <c r="E40" s="212"/>
      <c r="F40" s="36" t="s">
        <v>772</v>
      </c>
      <c r="G40" s="36" t="s">
        <v>585</v>
      </c>
      <c r="H40" s="36" t="s">
        <v>1213</v>
      </c>
      <c r="I40" s="36" t="s">
        <v>5885</v>
      </c>
      <c r="J40" s="6" t="s">
        <v>5958</v>
      </c>
      <c r="K40" s="212" t="n">
        <v>2</v>
      </c>
      <c r="L40" s="212" t="s">
        <v>4876</v>
      </c>
      <c r="M40" s="6" t="s">
        <v>5959</v>
      </c>
      <c r="N40" s="212" t="s">
        <v>4889</v>
      </c>
      <c r="O40" s="36" t="s">
        <v>4879</v>
      </c>
      <c r="P40" s="36" t="s">
        <v>585</v>
      </c>
      <c r="Q40" s="36" t="s">
        <v>5960</v>
      </c>
      <c r="R40" s="36" t="s">
        <v>585</v>
      </c>
      <c r="S40" s="36" t="s">
        <v>585</v>
      </c>
      <c r="T40" s="36" t="s">
        <v>585</v>
      </c>
      <c r="U40" s="36" t="s">
        <v>5961</v>
      </c>
      <c r="V40" s="6" t="s">
        <v>5965</v>
      </c>
      <c r="W40" s="6" t="s">
        <v>585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6" t="s">
        <v>5966</v>
      </c>
      <c r="B41" s="6" t="s">
        <v>5967</v>
      </c>
      <c r="C41" s="214" t="n">
        <v>15</v>
      </c>
      <c r="D41" s="212"/>
      <c r="E41" s="212"/>
      <c r="F41" s="36" t="s">
        <v>772</v>
      </c>
      <c r="G41" s="36" t="s">
        <v>585</v>
      </c>
      <c r="H41" s="36" t="s">
        <v>1213</v>
      </c>
      <c r="I41" s="36" t="s">
        <v>5885</v>
      </c>
      <c r="J41" s="6" t="s">
        <v>5958</v>
      </c>
      <c r="K41" s="212" t="n">
        <v>2</v>
      </c>
      <c r="L41" s="212" t="s">
        <v>4876</v>
      </c>
      <c r="M41" s="6" t="s">
        <v>5959</v>
      </c>
      <c r="N41" s="212" t="s">
        <v>4889</v>
      </c>
      <c r="O41" s="36" t="s">
        <v>4879</v>
      </c>
      <c r="P41" s="36" t="s">
        <v>585</v>
      </c>
      <c r="Q41" s="36" t="s">
        <v>5960</v>
      </c>
      <c r="R41" s="36" t="s">
        <v>585</v>
      </c>
      <c r="S41" s="36" t="s">
        <v>585</v>
      </c>
      <c r="T41" s="36" t="s">
        <v>585</v>
      </c>
      <c r="U41" s="36" t="s">
        <v>5961</v>
      </c>
      <c r="V41" s="6" t="s">
        <v>5968</v>
      </c>
      <c r="W41" s="6" t="s">
        <v>585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6" t="s">
        <v>5969</v>
      </c>
      <c r="B42" s="6" t="s">
        <v>5970</v>
      </c>
      <c r="C42" s="214" t="n">
        <v>2</v>
      </c>
      <c r="D42" s="212"/>
      <c r="E42" s="212"/>
      <c r="F42" s="36" t="s">
        <v>772</v>
      </c>
      <c r="G42" s="212" t="s">
        <v>5971</v>
      </c>
      <c r="H42" s="36" t="s">
        <v>1209</v>
      </c>
      <c r="I42" s="36" t="s">
        <v>1187</v>
      </c>
      <c r="J42" s="6" t="s">
        <v>5958</v>
      </c>
      <c r="K42" s="212" t="n">
        <v>2</v>
      </c>
      <c r="L42" s="212" t="s">
        <v>4876</v>
      </c>
      <c r="M42" s="6" t="s">
        <v>5959</v>
      </c>
      <c r="N42" s="212" t="s">
        <v>4889</v>
      </c>
      <c r="O42" s="36" t="s">
        <v>4879</v>
      </c>
      <c r="P42" s="36" t="s">
        <v>585</v>
      </c>
      <c r="Q42" s="36" t="s">
        <v>5960</v>
      </c>
      <c r="R42" s="36" t="s">
        <v>585</v>
      </c>
      <c r="S42" s="36" t="s">
        <v>585</v>
      </c>
      <c r="T42" s="36" t="s">
        <v>585</v>
      </c>
      <c r="U42" s="36" t="s">
        <v>5961</v>
      </c>
      <c r="V42" s="6" t="s">
        <v>5972</v>
      </c>
      <c r="W42" s="6" t="s">
        <v>585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6" t="s">
        <v>5973</v>
      </c>
      <c r="B43" s="6" t="s">
        <v>5974</v>
      </c>
      <c r="C43" s="214" t="n">
        <v>0.25</v>
      </c>
      <c r="D43" s="212"/>
      <c r="E43" s="212"/>
      <c r="F43" s="36" t="s">
        <v>772</v>
      </c>
      <c r="G43" s="212" t="s">
        <v>5971</v>
      </c>
      <c r="H43" s="36" t="s">
        <v>1209</v>
      </c>
      <c r="I43" s="36" t="s">
        <v>1187</v>
      </c>
      <c r="J43" s="6" t="s">
        <v>5958</v>
      </c>
      <c r="K43" s="212" t="n">
        <v>2</v>
      </c>
      <c r="L43" s="212" t="s">
        <v>4876</v>
      </c>
      <c r="M43" s="6" t="s">
        <v>5959</v>
      </c>
      <c r="N43" s="212" t="s">
        <v>4889</v>
      </c>
      <c r="O43" s="36" t="s">
        <v>4879</v>
      </c>
      <c r="P43" s="36" t="s">
        <v>585</v>
      </c>
      <c r="Q43" s="36" t="s">
        <v>5960</v>
      </c>
      <c r="R43" s="36" t="s">
        <v>585</v>
      </c>
      <c r="S43" s="36" t="s">
        <v>585</v>
      </c>
      <c r="T43" s="36" t="s">
        <v>585</v>
      </c>
      <c r="U43" s="36" t="s">
        <v>5961</v>
      </c>
      <c r="V43" s="6" t="s">
        <v>5975</v>
      </c>
      <c r="W43" s="6" t="s">
        <v>585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6" t="s">
        <v>5976</v>
      </c>
      <c r="B44" s="6" t="s">
        <v>5977</v>
      </c>
      <c r="C44" s="214" t="n">
        <v>6</v>
      </c>
      <c r="D44" s="212"/>
      <c r="E44" s="212"/>
      <c r="F44" s="36" t="s">
        <v>772</v>
      </c>
      <c r="G44" s="212" t="s">
        <v>5971</v>
      </c>
      <c r="H44" s="36" t="s">
        <v>1209</v>
      </c>
      <c r="I44" s="36" t="s">
        <v>1187</v>
      </c>
      <c r="J44" s="6" t="s">
        <v>5958</v>
      </c>
      <c r="K44" s="212" t="n">
        <v>2</v>
      </c>
      <c r="L44" s="212" t="s">
        <v>4876</v>
      </c>
      <c r="M44" s="6" t="s">
        <v>5959</v>
      </c>
      <c r="N44" s="212" t="s">
        <v>4889</v>
      </c>
      <c r="O44" s="36" t="s">
        <v>4879</v>
      </c>
      <c r="P44" s="36" t="s">
        <v>585</v>
      </c>
      <c r="Q44" s="36" t="s">
        <v>5960</v>
      </c>
      <c r="R44" s="36" t="s">
        <v>585</v>
      </c>
      <c r="S44" s="36" t="s">
        <v>585</v>
      </c>
      <c r="T44" s="36" t="s">
        <v>585</v>
      </c>
      <c r="U44" s="36" t="s">
        <v>5961</v>
      </c>
      <c r="V44" s="6" t="s">
        <v>5978</v>
      </c>
      <c r="W44" s="6" t="s">
        <v>585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6" t="s">
        <v>5979</v>
      </c>
      <c r="B45" s="6" t="s">
        <v>5980</v>
      </c>
      <c r="C45" s="214" t="n">
        <v>2.5</v>
      </c>
      <c r="D45" s="212"/>
      <c r="E45" s="212"/>
      <c r="F45" s="36" t="s">
        <v>772</v>
      </c>
      <c r="G45" s="212" t="s">
        <v>5981</v>
      </c>
      <c r="H45" s="36" t="s">
        <v>1209</v>
      </c>
      <c r="I45" s="36" t="s">
        <v>1187</v>
      </c>
      <c r="J45" s="6" t="s">
        <v>5958</v>
      </c>
      <c r="K45" s="212" t="n">
        <v>2</v>
      </c>
      <c r="L45" s="212" t="s">
        <v>4876</v>
      </c>
      <c r="M45" s="6" t="s">
        <v>5959</v>
      </c>
      <c r="N45" s="212" t="s">
        <v>4889</v>
      </c>
      <c r="O45" s="36" t="s">
        <v>4928</v>
      </c>
      <c r="P45" s="36" t="s">
        <v>585</v>
      </c>
      <c r="Q45" s="36" t="s">
        <v>5960</v>
      </c>
      <c r="R45" s="36" t="s">
        <v>585</v>
      </c>
      <c r="S45" s="36" t="s">
        <v>585</v>
      </c>
      <c r="T45" s="36" t="s">
        <v>585</v>
      </c>
      <c r="U45" s="36" t="s">
        <v>5961</v>
      </c>
      <c r="V45" s="6" t="s">
        <v>585</v>
      </c>
      <c r="W45" s="19" t="s">
        <v>5982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5" t="str">
        <f aca="false">IF($O45="Active",$B45&amp;"¦"&amp;$G45&amp;"¦"&amp;$H45,"")</f>
        <v/>
      </c>
    </row>
    <row r="46" customFormat="false" ht="29.25" hidden="false" customHeight="true" outlineLevel="0" collapsed="false">
      <c r="A46" s="36" t="s">
        <v>5983</v>
      </c>
      <c r="B46" s="6" t="s">
        <v>5984</v>
      </c>
      <c r="C46" s="214" t="n">
        <v>7.5</v>
      </c>
      <c r="D46" s="212"/>
      <c r="E46" s="212"/>
      <c r="F46" s="36" t="s">
        <v>772</v>
      </c>
      <c r="G46" s="212" t="s">
        <v>5981</v>
      </c>
      <c r="H46" s="36" t="s">
        <v>1209</v>
      </c>
      <c r="I46" s="36" t="s">
        <v>1187</v>
      </c>
      <c r="J46" s="6" t="s">
        <v>5958</v>
      </c>
      <c r="K46" s="212" t="n">
        <v>2</v>
      </c>
      <c r="L46" s="212" t="s">
        <v>4876</v>
      </c>
      <c r="M46" s="6" t="s">
        <v>5959</v>
      </c>
      <c r="N46" s="212" t="s">
        <v>4889</v>
      </c>
      <c r="O46" s="36" t="s">
        <v>4928</v>
      </c>
      <c r="P46" s="36" t="s">
        <v>585</v>
      </c>
      <c r="Q46" s="36" t="s">
        <v>5960</v>
      </c>
      <c r="R46" s="36" t="s">
        <v>585</v>
      </c>
      <c r="S46" s="36" t="s">
        <v>585</v>
      </c>
      <c r="T46" s="36" t="s">
        <v>585</v>
      </c>
      <c r="U46" s="36" t="s">
        <v>5961</v>
      </c>
      <c r="V46" s="6" t="s">
        <v>585</v>
      </c>
      <c r="W46" s="19" t="s">
        <v>5982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5" t="str">
        <f aca="false">IF($O46="Active",$B46&amp;"¦"&amp;$G46&amp;"¦"&amp;$H46,"")</f>
        <v/>
      </c>
    </row>
    <row r="47" customFormat="false" ht="29.25" hidden="false" customHeight="true" outlineLevel="0" collapsed="false">
      <c r="A47" s="36" t="s">
        <v>5985</v>
      </c>
      <c r="B47" s="6" t="s">
        <v>5986</v>
      </c>
      <c r="C47" s="214" t="n">
        <v>0.3</v>
      </c>
      <c r="D47" s="212"/>
      <c r="E47" s="212"/>
      <c r="F47" s="36" t="s">
        <v>772</v>
      </c>
      <c r="G47" s="36" t="s">
        <v>5987</v>
      </c>
      <c r="H47" s="36" t="s">
        <v>1218</v>
      </c>
      <c r="I47" s="36" t="s">
        <v>1190</v>
      </c>
      <c r="J47" s="6" t="s">
        <v>5958</v>
      </c>
      <c r="K47" s="212" t="n">
        <v>2</v>
      </c>
      <c r="L47" s="212" t="s">
        <v>4876</v>
      </c>
      <c r="M47" s="6" t="s">
        <v>5959</v>
      </c>
      <c r="N47" s="212" t="s">
        <v>4889</v>
      </c>
      <c r="O47" s="36" t="s">
        <v>4879</v>
      </c>
      <c r="P47" s="36" t="s">
        <v>585</v>
      </c>
      <c r="Q47" s="36" t="s">
        <v>5960</v>
      </c>
      <c r="R47" s="36" t="s">
        <v>585</v>
      </c>
      <c r="S47" s="36" t="s">
        <v>585</v>
      </c>
      <c r="T47" s="36" t="s">
        <v>585</v>
      </c>
      <c r="U47" s="36" t="s">
        <v>5961</v>
      </c>
      <c r="V47" s="6" t="s">
        <v>5988</v>
      </c>
      <c r="W47" s="6" t="s">
        <v>585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6" t="s">
        <v>5989</v>
      </c>
      <c r="B48" s="6" t="s">
        <v>5990</v>
      </c>
      <c r="C48" s="214" t="n">
        <v>1.2</v>
      </c>
      <c r="D48" s="212"/>
      <c r="E48" s="212"/>
      <c r="F48" s="36" t="s">
        <v>772</v>
      </c>
      <c r="G48" s="36" t="s">
        <v>5987</v>
      </c>
      <c r="H48" s="36" t="s">
        <v>1218</v>
      </c>
      <c r="I48" s="36" t="s">
        <v>1190</v>
      </c>
      <c r="J48" s="6" t="s">
        <v>5958</v>
      </c>
      <c r="K48" s="212" t="n">
        <v>2</v>
      </c>
      <c r="L48" s="212" t="s">
        <v>4876</v>
      </c>
      <c r="M48" s="6" t="s">
        <v>5959</v>
      </c>
      <c r="N48" s="212" t="s">
        <v>4889</v>
      </c>
      <c r="O48" s="36" t="s">
        <v>4879</v>
      </c>
      <c r="P48" s="36" t="s">
        <v>585</v>
      </c>
      <c r="Q48" s="36" t="s">
        <v>5960</v>
      </c>
      <c r="R48" s="36" t="s">
        <v>585</v>
      </c>
      <c r="S48" s="36" t="s">
        <v>585</v>
      </c>
      <c r="T48" s="36" t="s">
        <v>585</v>
      </c>
      <c r="U48" s="36" t="s">
        <v>5961</v>
      </c>
      <c r="V48" s="6" t="s">
        <v>5991</v>
      </c>
      <c r="W48" s="6" t="s">
        <v>585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5992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29.25" hidden="false" customHeight="true" outlineLevel="0" collapsed="false">
      <c r="A5" s="36" t="s">
        <v>5993</v>
      </c>
      <c r="B5" s="6" t="s">
        <v>5994</v>
      </c>
      <c r="C5" s="214" t="n">
        <v>53</v>
      </c>
      <c r="D5" s="212"/>
      <c r="E5" s="212"/>
      <c r="F5" s="212" t="s">
        <v>1235</v>
      </c>
      <c r="G5" s="36" t="s">
        <v>1183</v>
      </c>
      <c r="H5" s="36" t="s">
        <v>1182</v>
      </c>
      <c r="I5" s="36" t="s">
        <v>1187</v>
      </c>
      <c r="J5" s="6" t="s">
        <v>5995</v>
      </c>
      <c r="K5" s="212" t="n">
        <v>2</v>
      </c>
      <c r="L5" s="212" t="s">
        <v>4980</v>
      </c>
      <c r="M5" s="6" t="s">
        <v>5996</v>
      </c>
      <c r="N5" s="212" t="s">
        <v>4889</v>
      </c>
      <c r="O5" s="36" t="s">
        <v>4879</v>
      </c>
      <c r="P5" s="36" t="s">
        <v>585</v>
      </c>
      <c r="Q5" s="36" t="s">
        <v>5997</v>
      </c>
      <c r="R5" s="36" t="s">
        <v>585</v>
      </c>
      <c r="S5" s="36" t="s">
        <v>585</v>
      </c>
      <c r="T5" s="36" t="s">
        <v>585</v>
      </c>
      <c r="U5" s="36" t="s">
        <v>5998</v>
      </c>
      <c r="V5" s="6" t="s">
        <v>5999</v>
      </c>
      <c r="W5" s="6" t="s">
        <v>585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5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6" t="s">
        <v>6000</v>
      </c>
      <c r="B6" s="6" t="s">
        <v>6001</v>
      </c>
      <c r="C6" s="214" t="n">
        <v>53</v>
      </c>
      <c r="D6" s="212"/>
      <c r="E6" s="212"/>
      <c r="F6" s="212" t="s">
        <v>1235</v>
      </c>
      <c r="G6" s="36" t="s">
        <v>1183</v>
      </c>
      <c r="H6" s="36" t="s">
        <v>1185</v>
      </c>
      <c r="I6" s="36" t="s">
        <v>1187</v>
      </c>
      <c r="J6" s="6" t="s">
        <v>5995</v>
      </c>
      <c r="K6" s="212" t="n">
        <v>2</v>
      </c>
      <c r="L6" s="212" t="s">
        <v>4980</v>
      </c>
      <c r="M6" s="6" t="s">
        <v>5996</v>
      </c>
      <c r="N6" s="212" t="s">
        <v>4889</v>
      </c>
      <c r="O6" s="36" t="s">
        <v>4879</v>
      </c>
      <c r="P6" s="36" t="s">
        <v>585</v>
      </c>
      <c r="Q6" s="36" t="s">
        <v>5997</v>
      </c>
      <c r="R6" s="36" t="s">
        <v>585</v>
      </c>
      <c r="S6" s="36" t="s">
        <v>585</v>
      </c>
      <c r="T6" s="36" t="s">
        <v>585</v>
      </c>
      <c r="U6" s="36" t="s">
        <v>5998</v>
      </c>
      <c r="V6" s="6" t="s">
        <v>6002</v>
      </c>
      <c r="W6" s="6" t="s">
        <v>585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5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6" t="s">
        <v>6003</v>
      </c>
      <c r="B7" s="6" t="s">
        <v>6004</v>
      </c>
      <c r="C7" s="214" t="n">
        <v>51</v>
      </c>
      <c r="D7" s="212"/>
      <c r="E7" s="212"/>
      <c r="F7" s="212" t="s">
        <v>1235</v>
      </c>
      <c r="G7" s="36" t="s">
        <v>1183</v>
      </c>
      <c r="H7" s="36" t="s">
        <v>1189</v>
      </c>
      <c r="I7" s="36" t="s">
        <v>1187</v>
      </c>
      <c r="J7" s="6" t="s">
        <v>5995</v>
      </c>
      <c r="K7" s="212" t="n">
        <v>2</v>
      </c>
      <c r="L7" s="212" t="s">
        <v>4980</v>
      </c>
      <c r="M7" s="6" t="s">
        <v>5996</v>
      </c>
      <c r="N7" s="212" t="s">
        <v>4889</v>
      </c>
      <c r="O7" s="36" t="s">
        <v>4879</v>
      </c>
      <c r="P7" s="36" t="s">
        <v>585</v>
      </c>
      <c r="Q7" s="36" t="s">
        <v>5997</v>
      </c>
      <c r="R7" s="36" t="s">
        <v>585</v>
      </c>
      <c r="S7" s="36" t="s">
        <v>585</v>
      </c>
      <c r="T7" s="36" t="s">
        <v>585</v>
      </c>
      <c r="U7" s="36" t="s">
        <v>5998</v>
      </c>
      <c r="V7" s="6" t="s">
        <v>6005</v>
      </c>
      <c r="W7" s="6" t="s">
        <v>585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5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6" t="s">
        <v>6006</v>
      </c>
      <c r="B8" s="6" t="s">
        <v>6007</v>
      </c>
      <c r="C8" s="214" t="n">
        <v>47</v>
      </c>
      <c r="D8" s="212"/>
      <c r="E8" s="212"/>
      <c r="F8" s="212" t="s">
        <v>1235</v>
      </c>
      <c r="G8" s="36" t="s">
        <v>1183</v>
      </c>
      <c r="H8" s="36" t="s">
        <v>5628</v>
      </c>
      <c r="I8" s="36" t="s">
        <v>1187</v>
      </c>
      <c r="J8" s="6" t="s">
        <v>5995</v>
      </c>
      <c r="K8" s="212" t="n">
        <v>2</v>
      </c>
      <c r="L8" s="212" t="s">
        <v>4980</v>
      </c>
      <c r="M8" s="6" t="s">
        <v>5996</v>
      </c>
      <c r="N8" s="212" t="s">
        <v>4889</v>
      </c>
      <c r="O8" s="36" t="s">
        <v>4879</v>
      </c>
      <c r="P8" s="36" t="s">
        <v>585</v>
      </c>
      <c r="Q8" s="36" t="s">
        <v>5997</v>
      </c>
      <c r="R8" s="36" t="s">
        <v>585</v>
      </c>
      <c r="S8" s="36" t="s">
        <v>585</v>
      </c>
      <c r="T8" s="36" t="s">
        <v>585</v>
      </c>
      <c r="U8" s="36" t="s">
        <v>5998</v>
      </c>
      <c r="V8" s="6" t="s">
        <v>585</v>
      </c>
      <c r="W8" s="6" t="s">
        <v>585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5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6" t="s">
        <v>6008</v>
      </c>
      <c r="B9" s="6" t="s">
        <v>6009</v>
      </c>
      <c r="C9" s="214" t="n">
        <v>42</v>
      </c>
      <c r="D9" s="212"/>
      <c r="E9" s="212"/>
      <c r="F9" s="212" t="s">
        <v>1235</v>
      </c>
      <c r="G9" s="36" t="s">
        <v>1183</v>
      </c>
      <c r="H9" s="36" t="s">
        <v>1207</v>
      </c>
      <c r="I9" s="36" t="s">
        <v>1187</v>
      </c>
      <c r="J9" s="6" t="s">
        <v>5995</v>
      </c>
      <c r="K9" s="212" t="n">
        <v>2</v>
      </c>
      <c r="L9" s="212" t="s">
        <v>4980</v>
      </c>
      <c r="M9" s="6" t="s">
        <v>5996</v>
      </c>
      <c r="N9" s="212" t="s">
        <v>4889</v>
      </c>
      <c r="O9" s="36" t="s">
        <v>4879</v>
      </c>
      <c r="P9" s="36" t="s">
        <v>585</v>
      </c>
      <c r="Q9" s="36" t="s">
        <v>5997</v>
      </c>
      <c r="R9" s="36" t="s">
        <v>585</v>
      </c>
      <c r="S9" s="36" t="s">
        <v>585</v>
      </c>
      <c r="T9" s="36" t="s">
        <v>585</v>
      </c>
      <c r="U9" s="36" t="s">
        <v>5998</v>
      </c>
      <c r="V9" s="6" t="s">
        <v>6010</v>
      </c>
      <c r="W9" s="6" t="s">
        <v>585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5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6" t="s">
        <v>3970</v>
      </c>
      <c r="B10" s="6" t="s">
        <v>6011</v>
      </c>
      <c r="C10" s="214" t="n">
        <v>40</v>
      </c>
      <c r="D10" s="212"/>
      <c r="E10" s="212"/>
      <c r="F10" s="212" t="s">
        <v>1235</v>
      </c>
      <c r="G10" s="36" t="s">
        <v>1183</v>
      </c>
      <c r="H10" s="36" t="s">
        <v>6012</v>
      </c>
      <c r="I10" s="36" t="s">
        <v>1187</v>
      </c>
      <c r="J10" s="6" t="s">
        <v>5995</v>
      </c>
      <c r="K10" s="212" t="n">
        <v>2</v>
      </c>
      <c r="L10" s="212" t="s">
        <v>4980</v>
      </c>
      <c r="M10" s="6" t="s">
        <v>5996</v>
      </c>
      <c r="N10" s="212" t="s">
        <v>4889</v>
      </c>
      <c r="O10" s="36" t="s">
        <v>4879</v>
      </c>
      <c r="P10" s="36" t="s">
        <v>585</v>
      </c>
      <c r="Q10" s="36" t="s">
        <v>5997</v>
      </c>
      <c r="R10" s="36" t="s">
        <v>585</v>
      </c>
      <c r="S10" s="36" t="s">
        <v>585</v>
      </c>
      <c r="T10" s="36" t="s">
        <v>585</v>
      </c>
      <c r="U10" s="36" t="s">
        <v>5998</v>
      </c>
      <c r="V10" s="6" t="s">
        <v>6013</v>
      </c>
      <c r="W10" s="19" t="s">
        <v>6014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5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6" t="s">
        <v>3963</v>
      </c>
      <c r="B11" s="6" t="s">
        <v>6015</v>
      </c>
      <c r="C11" s="214" t="n">
        <v>36</v>
      </c>
      <c r="D11" s="212"/>
      <c r="E11" s="212"/>
      <c r="F11" s="212" t="s">
        <v>1235</v>
      </c>
      <c r="G11" s="36" t="s">
        <v>1183</v>
      </c>
      <c r="H11" s="36" t="s">
        <v>6016</v>
      </c>
      <c r="I11" s="36" t="s">
        <v>1187</v>
      </c>
      <c r="J11" s="6" t="s">
        <v>5995</v>
      </c>
      <c r="K11" s="212" t="n">
        <v>2</v>
      </c>
      <c r="L11" s="212" t="s">
        <v>4980</v>
      </c>
      <c r="M11" s="6" t="s">
        <v>5996</v>
      </c>
      <c r="N11" s="212" t="s">
        <v>4889</v>
      </c>
      <c r="O11" s="36" t="s">
        <v>4879</v>
      </c>
      <c r="P11" s="36" t="s">
        <v>585</v>
      </c>
      <c r="Q11" s="36" t="s">
        <v>5997</v>
      </c>
      <c r="R11" s="36" t="s">
        <v>585</v>
      </c>
      <c r="S11" s="36" t="s">
        <v>585</v>
      </c>
      <c r="T11" s="36" t="s">
        <v>585</v>
      </c>
      <c r="U11" s="36" t="s">
        <v>5998</v>
      </c>
      <c r="V11" s="6" t="s">
        <v>6017</v>
      </c>
      <c r="W11" s="19" t="s">
        <v>6018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5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6" t="s">
        <v>6019</v>
      </c>
      <c r="B12" s="6" t="s">
        <v>6020</v>
      </c>
      <c r="C12" s="214" t="n">
        <v>48</v>
      </c>
      <c r="D12" s="212"/>
      <c r="E12" s="212"/>
      <c r="F12" s="212" t="s">
        <v>1235</v>
      </c>
      <c r="G12" s="36" t="s">
        <v>1177</v>
      </c>
      <c r="H12" s="36" t="s">
        <v>1180</v>
      </c>
      <c r="I12" s="36" t="s">
        <v>1187</v>
      </c>
      <c r="J12" s="6" t="s">
        <v>6021</v>
      </c>
      <c r="K12" s="212" t="n">
        <v>1</v>
      </c>
      <c r="L12" s="212" t="s">
        <v>4980</v>
      </c>
      <c r="M12" s="6" t="s">
        <v>6022</v>
      </c>
      <c r="N12" s="212" t="s">
        <v>4878</v>
      </c>
      <c r="O12" s="36" t="s">
        <v>4879</v>
      </c>
      <c r="P12" s="36" t="s">
        <v>585</v>
      </c>
      <c r="Q12" s="36" t="s">
        <v>6023</v>
      </c>
      <c r="R12" s="36" t="s">
        <v>585</v>
      </c>
      <c r="S12" s="36" t="s">
        <v>4724</v>
      </c>
      <c r="T12" s="36" t="s">
        <v>585</v>
      </c>
      <c r="U12" s="36" t="s">
        <v>6024</v>
      </c>
      <c r="V12" s="6" t="s">
        <v>6025</v>
      </c>
      <c r="W12" s="19" t="s">
        <v>6026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5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6" t="s">
        <v>6027</v>
      </c>
      <c r="B13" s="6" t="s">
        <v>6028</v>
      </c>
      <c r="C13" s="214" t="n">
        <v>37</v>
      </c>
      <c r="D13" s="212"/>
      <c r="E13" s="212"/>
      <c r="F13" s="212" t="s">
        <v>1235</v>
      </c>
      <c r="G13" s="36" t="s">
        <v>1177</v>
      </c>
      <c r="H13" s="36" t="s">
        <v>1174</v>
      </c>
      <c r="I13" s="36" t="s">
        <v>1187</v>
      </c>
      <c r="J13" s="6" t="s">
        <v>6021</v>
      </c>
      <c r="K13" s="212" t="n">
        <v>3</v>
      </c>
      <c r="L13" s="212" t="s">
        <v>4980</v>
      </c>
      <c r="M13" s="6" t="s">
        <v>6022</v>
      </c>
      <c r="N13" s="212" t="s">
        <v>5591</v>
      </c>
      <c r="O13" s="36" t="s">
        <v>4879</v>
      </c>
      <c r="P13" s="36" t="s">
        <v>585</v>
      </c>
      <c r="Q13" s="36" t="s">
        <v>6029</v>
      </c>
      <c r="R13" s="36" t="s">
        <v>585</v>
      </c>
      <c r="S13" s="36" t="s">
        <v>585</v>
      </c>
      <c r="T13" s="36" t="s">
        <v>585</v>
      </c>
      <c r="U13" s="36" t="s">
        <v>6024</v>
      </c>
      <c r="V13" s="6" t="s">
        <v>6030</v>
      </c>
      <c r="W13" s="6" t="s">
        <v>585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5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6" t="s">
        <v>6031</v>
      </c>
      <c r="B14" s="6" t="s">
        <v>6032</v>
      </c>
      <c r="C14" s="214" t="n">
        <v>39</v>
      </c>
      <c r="D14" s="212"/>
      <c r="E14" s="212"/>
      <c r="F14" s="212" t="s">
        <v>1235</v>
      </c>
      <c r="G14" s="36" t="s">
        <v>1177</v>
      </c>
      <c r="H14" s="36" t="s">
        <v>1196</v>
      </c>
      <c r="I14" s="36" t="s">
        <v>1187</v>
      </c>
      <c r="J14" s="6" t="s">
        <v>6021</v>
      </c>
      <c r="K14" s="212" t="n">
        <v>3</v>
      </c>
      <c r="L14" s="212" t="s">
        <v>4980</v>
      </c>
      <c r="M14" s="6" t="s">
        <v>6022</v>
      </c>
      <c r="N14" s="212" t="s">
        <v>5591</v>
      </c>
      <c r="O14" s="36" t="s">
        <v>4879</v>
      </c>
      <c r="P14" s="36" t="s">
        <v>585</v>
      </c>
      <c r="Q14" s="36" t="s">
        <v>6029</v>
      </c>
      <c r="R14" s="36" t="s">
        <v>585</v>
      </c>
      <c r="S14" s="36" t="s">
        <v>585</v>
      </c>
      <c r="T14" s="36" t="s">
        <v>585</v>
      </c>
      <c r="U14" s="36" t="s">
        <v>6024</v>
      </c>
      <c r="V14" s="6" t="s">
        <v>6033</v>
      </c>
      <c r="W14" s="6" t="s">
        <v>585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5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6" t="s">
        <v>6034</v>
      </c>
      <c r="B15" s="6" t="s">
        <v>6035</v>
      </c>
      <c r="C15" s="214" t="n">
        <v>45</v>
      </c>
      <c r="D15" s="212"/>
      <c r="E15" s="212"/>
      <c r="F15" s="212" t="s">
        <v>1235</v>
      </c>
      <c r="G15" s="36" t="s">
        <v>6036</v>
      </c>
      <c r="H15" s="36" t="s">
        <v>1203</v>
      </c>
      <c r="I15" s="36" t="s">
        <v>1187</v>
      </c>
      <c r="J15" s="6" t="s">
        <v>6021</v>
      </c>
      <c r="K15" s="212" t="n">
        <v>1</v>
      </c>
      <c r="L15" s="212" t="s">
        <v>4980</v>
      </c>
      <c r="M15" s="6" t="s">
        <v>6022</v>
      </c>
      <c r="N15" s="212" t="s">
        <v>4878</v>
      </c>
      <c r="O15" s="36" t="s">
        <v>4879</v>
      </c>
      <c r="P15" s="36" t="s">
        <v>585</v>
      </c>
      <c r="Q15" s="36" t="s">
        <v>6037</v>
      </c>
      <c r="R15" s="36" t="s">
        <v>585</v>
      </c>
      <c r="S15" s="36" t="s">
        <v>4724</v>
      </c>
      <c r="T15" s="36" t="s">
        <v>585</v>
      </c>
      <c r="U15" s="36" t="s">
        <v>6024</v>
      </c>
      <c r="V15" s="6" t="s">
        <v>6038</v>
      </c>
      <c r="W15" s="6" t="s">
        <v>6039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5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6" t="s">
        <v>4077</v>
      </c>
      <c r="B16" s="6" t="s">
        <v>6040</v>
      </c>
      <c r="C16" s="214" t="n">
        <v>3.5667</v>
      </c>
      <c r="D16" s="212"/>
      <c r="E16" s="212"/>
      <c r="F16" s="212" t="s">
        <v>6041</v>
      </c>
      <c r="G16" s="36" t="s">
        <v>6042</v>
      </c>
      <c r="H16" s="36" t="s">
        <v>1543</v>
      </c>
      <c r="I16" s="36" t="s">
        <v>4886</v>
      </c>
      <c r="J16" s="6" t="s">
        <v>6043</v>
      </c>
      <c r="K16" s="212" t="n">
        <v>2</v>
      </c>
      <c r="L16" s="212" t="s">
        <v>4980</v>
      </c>
      <c r="M16" s="6" t="s">
        <v>6044</v>
      </c>
      <c r="N16" s="212" t="s">
        <v>4889</v>
      </c>
      <c r="O16" s="36" t="s">
        <v>4879</v>
      </c>
      <c r="P16" s="36" t="s">
        <v>585</v>
      </c>
      <c r="Q16" s="36" t="s">
        <v>6045</v>
      </c>
      <c r="R16" s="36" t="s">
        <v>585</v>
      </c>
      <c r="S16" s="36" t="s">
        <v>585</v>
      </c>
      <c r="T16" s="36" t="s">
        <v>585</v>
      </c>
      <c r="U16" s="36" t="s">
        <v>1545</v>
      </c>
      <c r="V16" s="6" t="s">
        <v>6046</v>
      </c>
      <c r="W16" s="6" t="s">
        <v>6047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5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6" t="s">
        <v>6048</v>
      </c>
      <c r="B17" s="6" t="s">
        <v>6049</v>
      </c>
      <c r="C17" s="214" t="n">
        <v>0.5333</v>
      </c>
      <c r="D17" s="212"/>
      <c r="E17" s="212"/>
      <c r="F17" s="212" t="s">
        <v>6041</v>
      </c>
      <c r="G17" s="36" t="s">
        <v>6042</v>
      </c>
      <c r="H17" s="36" t="s">
        <v>1543</v>
      </c>
      <c r="I17" s="36" t="s">
        <v>4886</v>
      </c>
      <c r="J17" s="6" t="s">
        <v>6043</v>
      </c>
      <c r="K17" s="212" t="n">
        <v>2</v>
      </c>
      <c r="L17" s="212" t="s">
        <v>4980</v>
      </c>
      <c r="M17" s="6" t="s">
        <v>6044</v>
      </c>
      <c r="N17" s="212" t="s">
        <v>4889</v>
      </c>
      <c r="O17" s="36" t="s">
        <v>4879</v>
      </c>
      <c r="P17" s="36" t="s">
        <v>585</v>
      </c>
      <c r="Q17" s="36" t="s">
        <v>6045</v>
      </c>
      <c r="R17" s="36" t="s">
        <v>585</v>
      </c>
      <c r="S17" s="36" t="s">
        <v>585</v>
      </c>
      <c r="T17" s="36" t="s">
        <v>585</v>
      </c>
      <c r="U17" s="36" t="s">
        <v>1545</v>
      </c>
      <c r="V17" s="6" t="s">
        <v>6050</v>
      </c>
      <c r="W17" s="6" t="s">
        <v>6051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6" t="s">
        <v>6052</v>
      </c>
      <c r="B18" s="6" t="s">
        <v>6053</v>
      </c>
      <c r="C18" s="214" t="n">
        <v>6.5667</v>
      </c>
      <c r="D18" s="212"/>
      <c r="E18" s="212"/>
      <c r="F18" s="212" t="s">
        <v>6041</v>
      </c>
      <c r="G18" s="36" t="s">
        <v>6054</v>
      </c>
      <c r="H18" s="36" t="s">
        <v>6055</v>
      </c>
      <c r="I18" s="36" t="s">
        <v>4886</v>
      </c>
      <c r="J18" s="6" t="s">
        <v>6043</v>
      </c>
      <c r="K18" s="212" t="n">
        <v>2</v>
      </c>
      <c r="L18" s="212" t="s">
        <v>4980</v>
      </c>
      <c r="M18" s="6" t="s">
        <v>6044</v>
      </c>
      <c r="N18" s="212" t="s">
        <v>4889</v>
      </c>
      <c r="O18" s="36" t="s">
        <v>4879</v>
      </c>
      <c r="P18" s="36" t="s">
        <v>585</v>
      </c>
      <c r="Q18" s="36" t="s">
        <v>6045</v>
      </c>
      <c r="R18" s="36" t="s">
        <v>585</v>
      </c>
      <c r="S18" s="36" t="s">
        <v>585</v>
      </c>
      <c r="T18" s="36" t="s">
        <v>585</v>
      </c>
      <c r="U18" s="36" t="s">
        <v>1545</v>
      </c>
      <c r="V18" s="6" t="s">
        <v>6056</v>
      </c>
      <c r="W18" s="6" t="s">
        <v>585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5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6" t="s">
        <v>6057</v>
      </c>
      <c r="B19" s="6" t="s">
        <v>6058</v>
      </c>
      <c r="C19" s="214" t="n">
        <v>0.9167</v>
      </c>
      <c r="D19" s="212"/>
      <c r="E19" s="212"/>
      <c r="F19" s="212" t="s">
        <v>6041</v>
      </c>
      <c r="G19" s="36" t="s">
        <v>6054</v>
      </c>
      <c r="H19" s="36" t="s">
        <v>6055</v>
      </c>
      <c r="I19" s="36" t="s">
        <v>4886</v>
      </c>
      <c r="J19" s="6" t="s">
        <v>6043</v>
      </c>
      <c r="K19" s="212" t="n">
        <v>2</v>
      </c>
      <c r="L19" s="212" t="s">
        <v>4980</v>
      </c>
      <c r="M19" s="6" t="s">
        <v>6044</v>
      </c>
      <c r="N19" s="212" t="s">
        <v>4889</v>
      </c>
      <c r="O19" s="36" t="s">
        <v>4879</v>
      </c>
      <c r="P19" s="36" t="s">
        <v>585</v>
      </c>
      <c r="Q19" s="36" t="s">
        <v>6045</v>
      </c>
      <c r="R19" s="36" t="s">
        <v>585</v>
      </c>
      <c r="S19" s="36" t="s">
        <v>585</v>
      </c>
      <c r="T19" s="36" t="s">
        <v>585</v>
      </c>
      <c r="U19" s="36" t="s">
        <v>1545</v>
      </c>
      <c r="V19" s="6" t="s">
        <v>6059</v>
      </c>
      <c r="W19" s="6" t="s">
        <v>585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5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6" t="s">
        <v>6060</v>
      </c>
      <c r="B20" s="6" t="s">
        <v>6061</v>
      </c>
      <c r="C20" s="214" t="n">
        <v>5.7</v>
      </c>
      <c r="D20" s="212"/>
      <c r="E20" s="212"/>
      <c r="F20" s="212" t="s">
        <v>6041</v>
      </c>
      <c r="G20" s="36" t="s">
        <v>6054</v>
      </c>
      <c r="H20" s="36" t="s">
        <v>6062</v>
      </c>
      <c r="I20" s="36" t="s">
        <v>4886</v>
      </c>
      <c r="J20" s="6" t="s">
        <v>6043</v>
      </c>
      <c r="K20" s="212" t="n">
        <v>2</v>
      </c>
      <c r="L20" s="212" t="s">
        <v>4980</v>
      </c>
      <c r="M20" s="6" t="s">
        <v>6044</v>
      </c>
      <c r="N20" s="212" t="s">
        <v>4889</v>
      </c>
      <c r="O20" s="36" t="s">
        <v>4879</v>
      </c>
      <c r="P20" s="36" t="s">
        <v>585</v>
      </c>
      <c r="Q20" s="36" t="s">
        <v>6045</v>
      </c>
      <c r="R20" s="36" t="s">
        <v>585</v>
      </c>
      <c r="S20" s="36" t="s">
        <v>585</v>
      </c>
      <c r="T20" s="36" t="s">
        <v>585</v>
      </c>
      <c r="U20" s="36" t="s">
        <v>1545</v>
      </c>
      <c r="V20" s="6" t="s">
        <v>6063</v>
      </c>
      <c r="W20" s="6" t="s">
        <v>585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5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6" t="s">
        <v>6064</v>
      </c>
      <c r="B21" s="6" t="s">
        <v>6065</v>
      </c>
      <c r="C21" s="214" t="n">
        <v>0.9</v>
      </c>
      <c r="D21" s="212"/>
      <c r="E21" s="212"/>
      <c r="F21" s="212" t="s">
        <v>6041</v>
      </c>
      <c r="G21" s="36" t="s">
        <v>6054</v>
      </c>
      <c r="H21" s="36" t="s">
        <v>6062</v>
      </c>
      <c r="I21" s="36" t="s">
        <v>4886</v>
      </c>
      <c r="J21" s="6" t="s">
        <v>6043</v>
      </c>
      <c r="K21" s="212" t="n">
        <v>2</v>
      </c>
      <c r="L21" s="212" t="s">
        <v>4980</v>
      </c>
      <c r="M21" s="6" t="s">
        <v>6044</v>
      </c>
      <c r="N21" s="212" t="s">
        <v>4889</v>
      </c>
      <c r="O21" s="36" t="s">
        <v>4879</v>
      </c>
      <c r="P21" s="36" t="s">
        <v>585</v>
      </c>
      <c r="Q21" s="36" t="s">
        <v>6045</v>
      </c>
      <c r="R21" s="36" t="s">
        <v>585</v>
      </c>
      <c r="S21" s="36" t="s">
        <v>585</v>
      </c>
      <c r="T21" s="36" t="s">
        <v>585</v>
      </c>
      <c r="U21" s="36" t="s">
        <v>1545</v>
      </c>
      <c r="V21" s="6" t="s">
        <v>6066</v>
      </c>
      <c r="W21" s="6" t="s">
        <v>585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5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6" t="s">
        <v>6067</v>
      </c>
      <c r="B22" s="6" t="s">
        <v>6068</v>
      </c>
      <c r="C22" s="214" t="n">
        <v>5.8333</v>
      </c>
      <c r="D22" s="212"/>
      <c r="E22" s="212"/>
      <c r="F22" s="212" t="s">
        <v>6041</v>
      </c>
      <c r="G22" s="36" t="s">
        <v>6054</v>
      </c>
      <c r="H22" s="36" t="s">
        <v>1548</v>
      </c>
      <c r="I22" s="36" t="s">
        <v>4886</v>
      </c>
      <c r="J22" s="6" t="s">
        <v>6043</v>
      </c>
      <c r="K22" s="212" t="n">
        <v>2</v>
      </c>
      <c r="L22" s="212" t="s">
        <v>4980</v>
      </c>
      <c r="M22" s="6" t="s">
        <v>6044</v>
      </c>
      <c r="N22" s="212" t="s">
        <v>4889</v>
      </c>
      <c r="O22" s="36" t="s">
        <v>4879</v>
      </c>
      <c r="P22" s="36" t="s">
        <v>585</v>
      </c>
      <c r="Q22" s="36" t="s">
        <v>6045</v>
      </c>
      <c r="R22" s="36" t="s">
        <v>585</v>
      </c>
      <c r="S22" s="36" t="s">
        <v>585</v>
      </c>
      <c r="T22" s="36" t="s">
        <v>585</v>
      </c>
      <c r="U22" s="36" t="s">
        <v>1545</v>
      </c>
      <c r="V22" s="6" t="s">
        <v>6069</v>
      </c>
      <c r="W22" s="6" t="s">
        <v>585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5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6" t="s">
        <v>6070</v>
      </c>
      <c r="B23" s="6" t="s">
        <v>6071</v>
      </c>
      <c r="C23" s="214" t="n">
        <v>1.5</v>
      </c>
      <c r="D23" s="212"/>
      <c r="E23" s="212"/>
      <c r="F23" s="212" t="s">
        <v>6041</v>
      </c>
      <c r="G23" s="36" t="s">
        <v>6054</v>
      </c>
      <c r="H23" s="36" t="s">
        <v>1548</v>
      </c>
      <c r="I23" s="36" t="s">
        <v>4886</v>
      </c>
      <c r="J23" s="6" t="s">
        <v>6043</v>
      </c>
      <c r="K23" s="212" t="n">
        <v>2</v>
      </c>
      <c r="L23" s="212" t="s">
        <v>4980</v>
      </c>
      <c r="M23" s="6" t="s">
        <v>6044</v>
      </c>
      <c r="N23" s="212" t="s">
        <v>4889</v>
      </c>
      <c r="O23" s="36" t="s">
        <v>4879</v>
      </c>
      <c r="P23" s="36" t="s">
        <v>585</v>
      </c>
      <c r="Q23" s="36" t="s">
        <v>6045</v>
      </c>
      <c r="R23" s="36" t="s">
        <v>585</v>
      </c>
      <c r="S23" s="36" t="s">
        <v>585</v>
      </c>
      <c r="T23" s="36" t="s">
        <v>585</v>
      </c>
      <c r="U23" s="36" t="s">
        <v>1545</v>
      </c>
      <c r="V23" s="6" t="s">
        <v>6072</v>
      </c>
      <c r="W23" s="6" t="s">
        <v>585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5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6" t="s">
        <v>4062</v>
      </c>
      <c r="B24" s="6" t="s">
        <v>6073</v>
      </c>
      <c r="C24" s="214" t="n">
        <v>11.3</v>
      </c>
      <c r="D24" s="212"/>
      <c r="E24" s="212"/>
      <c r="F24" s="212" t="s">
        <v>6041</v>
      </c>
      <c r="G24" s="36" t="s">
        <v>6054</v>
      </c>
      <c r="H24" s="36" t="s">
        <v>5628</v>
      </c>
      <c r="I24" s="36" t="s">
        <v>4886</v>
      </c>
      <c r="J24" s="6" t="s">
        <v>6043</v>
      </c>
      <c r="K24" s="212" t="n">
        <v>2</v>
      </c>
      <c r="L24" s="212" t="s">
        <v>4980</v>
      </c>
      <c r="M24" s="6" t="s">
        <v>6044</v>
      </c>
      <c r="N24" s="212" t="s">
        <v>4889</v>
      </c>
      <c r="O24" s="36" t="s">
        <v>4879</v>
      </c>
      <c r="P24" s="36" t="s">
        <v>585</v>
      </c>
      <c r="Q24" s="36" t="s">
        <v>6045</v>
      </c>
      <c r="R24" s="36" t="s">
        <v>585</v>
      </c>
      <c r="S24" s="36" t="s">
        <v>585</v>
      </c>
      <c r="T24" s="36" t="s">
        <v>585</v>
      </c>
      <c r="U24" s="36" t="s">
        <v>1545</v>
      </c>
      <c r="V24" s="6" t="s">
        <v>585</v>
      </c>
      <c r="W24" s="6" t="s">
        <v>6074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5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6" t="s">
        <v>4071</v>
      </c>
      <c r="B25" s="6" t="s">
        <v>6075</v>
      </c>
      <c r="C25" s="214" t="n">
        <v>17.4</v>
      </c>
      <c r="D25" s="212"/>
      <c r="E25" s="212"/>
      <c r="F25" s="212" t="s">
        <v>6041</v>
      </c>
      <c r="G25" s="36" t="s">
        <v>6076</v>
      </c>
      <c r="H25" s="36" t="s">
        <v>6077</v>
      </c>
      <c r="I25" s="36" t="s">
        <v>4886</v>
      </c>
      <c r="J25" s="6" t="s">
        <v>6043</v>
      </c>
      <c r="K25" s="212" t="n">
        <v>2</v>
      </c>
      <c r="L25" s="212" t="s">
        <v>4980</v>
      </c>
      <c r="M25" s="6" t="s">
        <v>6044</v>
      </c>
      <c r="N25" s="212" t="s">
        <v>4889</v>
      </c>
      <c r="O25" s="36" t="s">
        <v>4879</v>
      </c>
      <c r="P25" s="36" t="s">
        <v>585</v>
      </c>
      <c r="Q25" s="36" t="s">
        <v>6045</v>
      </c>
      <c r="R25" s="36" t="s">
        <v>585</v>
      </c>
      <c r="S25" s="36" t="s">
        <v>585</v>
      </c>
      <c r="T25" s="36" t="s">
        <v>585</v>
      </c>
      <c r="U25" s="36" t="s">
        <v>1545</v>
      </c>
      <c r="V25" s="6" t="s">
        <v>585</v>
      </c>
      <c r="W25" s="6" t="s">
        <v>585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5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6078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15" hidden="false" customHeight="true" outlineLevel="0" collapsed="false">
      <c r="A5" s="36" t="s">
        <v>3504</v>
      </c>
      <c r="B5" s="6" t="s">
        <v>6079</v>
      </c>
      <c r="C5" s="214" t="n">
        <v>4</v>
      </c>
      <c r="D5" s="212"/>
      <c r="E5" s="212"/>
      <c r="F5" s="36" t="s">
        <v>81</v>
      </c>
      <c r="G5" s="212" t="s">
        <v>6080</v>
      </c>
      <c r="H5" s="36" t="s">
        <v>6081</v>
      </c>
      <c r="I5" s="36" t="s">
        <v>5402</v>
      </c>
      <c r="J5" s="6" t="s">
        <v>6082</v>
      </c>
      <c r="K5" s="212" t="n">
        <v>2</v>
      </c>
      <c r="L5" s="212" t="s">
        <v>4876</v>
      </c>
      <c r="M5" s="6" t="s">
        <v>6083</v>
      </c>
      <c r="N5" s="212" t="s">
        <v>4889</v>
      </c>
      <c r="O5" s="36" t="s">
        <v>4879</v>
      </c>
      <c r="P5" s="36" t="s">
        <v>585</v>
      </c>
      <c r="Q5" s="36" t="s">
        <v>6084</v>
      </c>
      <c r="R5" s="36" t="s">
        <v>585</v>
      </c>
      <c r="S5" s="36" t="s">
        <v>585</v>
      </c>
      <c r="T5" s="36" t="s">
        <v>585</v>
      </c>
      <c r="U5" s="36" t="s">
        <v>6085</v>
      </c>
      <c r="V5" s="6" t="s">
        <v>6086</v>
      </c>
      <c r="W5" s="6" t="s">
        <v>585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6" t="s">
        <v>3507</v>
      </c>
      <c r="B6" s="6" t="s">
        <v>6087</v>
      </c>
      <c r="C6" s="214" t="n">
        <v>15</v>
      </c>
      <c r="D6" s="212"/>
      <c r="E6" s="212"/>
      <c r="F6" s="36" t="s">
        <v>81</v>
      </c>
      <c r="G6" s="212" t="s">
        <v>4961</v>
      </c>
      <c r="H6" s="36" t="s">
        <v>6081</v>
      </c>
      <c r="I6" s="36" t="s">
        <v>5402</v>
      </c>
      <c r="J6" s="6" t="s">
        <v>6082</v>
      </c>
      <c r="K6" s="212" t="n">
        <v>2</v>
      </c>
      <c r="L6" s="212" t="s">
        <v>4876</v>
      </c>
      <c r="M6" s="6" t="s">
        <v>6083</v>
      </c>
      <c r="N6" s="212" t="s">
        <v>4889</v>
      </c>
      <c r="O6" s="36" t="s">
        <v>4879</v>
      </c>
      <c r="P6" s="36" t="s">
        <v>585</v>
      </c>
      <c r="Q6" s="36" t="s">
        <v>6084</v>
      </c>
      <c r="R6" s="36" t="s">
        <v>585</v>
      </c>
      <c r="S6" s="36" t="s">
        <v>585</v>
      </c>
      <c r="T6" s="36" t="s">
        <v>585</v>
      </c>
      <c r="U6" s="36" t="s">
        <v>6085</v>
      </c>
      <c r="V6" s="6" t="s">
        <v>6088</v>
      </c>
      <c r="W6" s="6" t="s">
        <v>6089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6" t="s">
        <v>4017</v>
      </c>
      <c r="B7" s="6" t="s">
        <v>6090</v>
      </c>
      <c r="C7" s="214" t="n">
        <v>0.627</v>
      </c>
      <c r="D7" s="212"/>
      <c r="E7" s="212"/>
      <c r="F7" s="36" t="s">
        <v>77</v>
      </c>
      <c r="G7" s="36" t="s">
        <v>6091</v>
      </c>
      <c r="H7" s="36" t="s">
        <v>1182</v>
      </c>
      <c r="I7" s="36" t="s">
        <v>1187</v>
      </c>
      <c r="J7" s="6" t="s">
        <v>6092</v>
      </c>
      <c r="K7" s="212" t="n">
        <v>2</v>
      </c>
      <c r="L7" s="212" t="s">
        <v>4876</v>
      </c>
      <c r="M7" s="6" t="s">
        <v>6093</v>
      </c>
      <c r="N7" s="212" t="s">
        <v>4889</v>
      </c>
      <c r="O7" s="36" t="s">
        <v>4879</v>
      </c>
      <c r="P7" s="36" t="s">
        <v>585</v>
      </c>
      <c r="Q7" s="36" t="s">
        <v>6094</v>
      </c>
      <c r="R7" s="36" t="s">
        <v>585</v>
      </c>
      <c r="S7" s="36" t="s">
        <v>585</v>
      </c>
      <c r="T7" s="36" t="s">
        <v>585</v>
      </c>
      <c r="U7" s="36" t="s">
        <v>1526</v>
      </c>
      <c r="V7" s="6" t="s">
        <v>6095</v>
      </c>
      <c r="W7" s="6" t="s">
        <v>585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6" t="s">
        <v>6096</v>
      </c>
      <c r="B8" s="6" t="s">
        <v>6097</v>
      </c>
      <c r="C8" s="214" t="n">
        <v>26098</v>
      </c>
      <c r="D8" s="212"/>
      <c r="E8" s="212"/>
      <c r="F8" s="36" t="s">
        <v>400</v>
      </c>
      <c r="G8" s="212" t="s">
        <v>103</v>
      </c>
      <c r="H8" s="36" t="s">
        <v>1182</v>
      </c>
      <c r="I8" s="36" t="s">
        <v>1187</v>
      </c>
      <c r="J8" s="6" t="s">
        <v>6092</v>
      </c>
      <c r="K8" s="212" t="n">
        <v>2</v>
      </c>
      <c r="L8" s="212" t="s">
        <v>4876</v>
      </c>
      <c r="M8" s="6" t="s">
        <v>6093</v>
      </c>
      <c r="N8" s="212" t="s">
        <v>4889</v>
      </c>
      <c r="O8" s="36" t="s">
        <v>4879</v>
      </c>
      <c r="P8" s="36" t="s">
        <v>585</v>
      </c>
      <c r="Q8" s="36" t="s">
        <v>6094</v>
      </c>
      <c r="R8" s="36" t="s">
        <v>585</v>
      </c>
      <c r="S8" s="36" t="s">
        <v>585</v>
      </c>
      <c r="T8" s="36" t="s">
        <v>585</v>
      </c>
      <c r="U8" s="36" t="s">
        <v>1526</v>
      </c>
      <c r="V8" s="6" t="s">
        <v>6098</v>
      </c>
      <c r="W8" s="6" t="s">
        <v>585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6" t="s">
        <v>6099</v>
      </c>
      <c r="B9" s="6" t="s">
        <v>6100</v>
      </c>
      <c r="C9" s="214" t="n">
        <v>0.986</v>
      </c>
      <c r="D9" s="212"/>
      <c r="E9" s="212"/>
      <c r="F9" s="36" t="s">
        <v>77</v>
      </c>
      <c r="G9" s="212" t="s">
        <v>103</v>
      </c>
      <c r="H9" s="36" t="s">
        <v>1182</v>
      </c>
      <c r="I9" s="36" t="s">
        <v>1187</v>
      </c>
      <c r="J9" s="6" t="s">
        <v>6092</v>
      </c>
      <c r="K9" s="212" t="n">
        <v>2</v>
      </c>
      <c r="L9" s="212" t="s">
        <v>4876</v>
      </c>
      <c r="M9" s="6" t="s">
        <v>6093</v>
      </c>
      <c r="N9" s="212" t="s">
        <v>4889</v>
      </c>
      <c r="O9" s="36" t="s">
        <v>4879</v>
      </c>
      <c r="P9" s="36" t="s">
        <v>585</v>
      </c>
      <c r="Q9" s="36" t="s">
        <v>6094</v>
      </c>
      <c r="R9" s="36" t="s">
        <v>585</v>
      </c>
      <c r="S9" s="36" t="s">
        <v>585</v>
      </c>
      <c r="T9" s="36" t="s">
        <v>585</v>
      </c>
      <c r="U9" s="36" t="s">
        <v>1526</v>
      </c>
      <c r="V9" s="6" t="s">
        <v>6101</v>
      </c>
      <c r="W9" s="6" t="s">
        <v>585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6" t="s">
        <v>6102</v>
      </c>
      <c r="B10" s="6" t="s">
        <v>6103</v>
      </c>
      <c r="C10" s="214" t="n">
        <v>17332</v>
      </c>
      <c r="D10" s="212"/>
      <c r="E10" s="212"/>
      <c r="F10" s="36" t="s">
        <v>400</v>
      </c>
      <c r="G10" s="212" t="s">
        <v>103</v>
      </c>
      <c r="H10" s="36" t="s">
        <v>1182</v>
      </c>
      <c r="I10" s="36" t="s">
        <v>1187</v>
      </c>
      <c r="J10" s="6" t="s">
        <v>6092</v>
      </c>
      <c r="K10" s="212" t="n">
        <v>2</v>
      </c>
      <c r="L10" s="212" t="s">
        <v>4876</v>
      </c>
      <c r="M10" s="6" t="s">
        <v>6093</v>
      </c>
      <c r="N10" s="212" t="s">
        <v>4889</v>
      </c>
      <c r="O10" s="36" t="s">
        <v>4879</v>
      </c>
      <c r="P10" s="36" t="s">
        <v>585</v>
      </c>
      <c r="Q10" s="36" t="s">
        <v>6094</v>
      </c>
      <c r="R10" s="36" t="s">
        <v>585</v>
      </c>
      <c r="S10" s="36" t="s">
        <v>585</v>
      </c>
      <c r="T10" s="36" t="s">
        <v>585</v>
      </c>
      <c r="U10" s="36" t="s">
        <v>1526</v>
      </c>
      <c r="V10" s="6" t="s">
        <v>6104</v>
      </c>
      <c r="W10" s="6" t="s">
        <v>585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6" t="s">
        <v>6105</v>
      </c>
      <c r="B11" s="6" t="s">
        <v>6106</v>
      </c>
      <c r="C11" s="214" t="n">
        <v>0.999</v>
      </c>
      <c r="D11" s="212"/>
      <c r="E11" s="212"/>
      <c r="F11" s="36" t="s">
        <v>77</v>
      </c>
      <c r="G11" s="36" t="s">
        <v>6107</v>
      </c>
      <c r="H11" s="36" t="s">
        <v>1182</v>
      </c>
      <c r="I11" s="36" t="s">
        <v>1187</v>
      </c>
      <c r="J11" s="6" t="s">
        <v>6092</v>
      </c>
      <c r="K11" s="212" t="n">
        <v>2</v>
      </c>
      <c r="L11" s="212" t="s">
        <v>4876</v>
      </c>
      <c r="M11" s="6" t="s">
        <v>6093</v>
      </c>
      <c r="N11" s="212" t="s">
        <v>4889</v>
      </c>
      <c r="O11" s="36" t="s">
        <v>4879</v>
      </c>
      <c r="P11" s="36" t="s">
        <v>585</v>
      </c>
      <c r="Q11" s="36" t="s">
        <v>6094</v>
      </c>
      <c r="R11" s="36" t="s">
        <v>585</v>
      </c>
      <c r="S11" s="36" t="s">
        <v>585</v>
      </c>
      <c r="T11" s="36" t="s">
        <v>585</v>
      </c>
      <c r="U11" s="36" t="s">
        <v>1526</v>
      </c>
      <c r="V11" s="6" t="s">
        <v>6108</v>
      </c>
      <c r="W11" s="6" t="s">
        <v>585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6" t="s">
        <v>6109</v>
      </c>
      <c r="B12" s="6" t="s">
        <v>6110</v>
      </c>
      <c r="C12" s="214" t="n">
        <v>18817</v>
      </c>
      <c r="D12" s="212"/>
      <c r="E12" s="212"/>
      <c r="F12" s="36" t="s">
        <v>400</v>
      </c>
      <c r="G12" s="212" t="s">
        <v>103</v>
      </c>
      <c r="H12" s="36" t="s">
        <v>1182</v>
      </c>
      <c r="I12" s="36" t="s">
        <v>1187</v>
      </c>
      <c r="J12" s="6" t="s">
        <v>6092</v>
      </c>
      <c r="K12" s="212" t="n">
        <v>2</v>
      </c>
      <c r="L12" s="212" t="s">
        <v>4876</v>
      </c>
      <c r="M12" s="6" t="s">
        <v>6093</v>
      </c>
      <c r="N12" s="212" t="s">
        <v>4889</v>
      </c>
      <c r="O12" s="36" t="s">
        <v>4879</v>
      </c>
      <c r="P12" s="36" t="s">
        <v>585</v>
      </c>
      <c r="Q12" s="36" t="s">
        <v>6094</v>
      </c>
      <c r="R12" s="36" t="s">
        <v>585</v>
      </c>
      <c r="S12" s="36" t="s">
        <v>585</v>
      </c>
      <c r="T12" s="36" t="s">
        <v>585</v>
      </c>
      <c r="U12" s="36" t="s">
        <v>1526</v>
      </c>
      <c r="V12" s="6" t="s">
        <v>6111</v>
      </c>
      <c r="W12" s="19" t="s">
        <v>6112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6" t="s">
        <v>6113</v>
      </c>
      <c r="B13" s="6" t="s">
        <v>6114</v>
      </c>
      <c r="C13" s="214" t="n">
        <v>19302</v>
      </c>
      <c r="D13" s="212"/>
      <c r="E13" s="212"/>
      <c r="F13" s="36" t="s">
        <v>400</v>
      </c>
      <c r="G13" s="212" t="s">
        <v>103</v>
      </c>
      <c r="H13" s="36" t="s">
        <v>1182</v>
      </c>
      <c r="I13" s="36" t="s">
        <v>1187</v>
      </c>
      <c r="J13" s="6" t="s">
        <v>6092</v>
      </c>
      <c r="K13" s="212" t="n">
        <v>2</v>
      </c>
      <c r="L13" s="212" t="s">
        <v>4876</v>
      </c>
      <c r="M13" s="6" t="s">
        <v>6093</v>
      </c>
      <c r="N13" s="212" t="s">
        <v>4889</v>
      </c>
      <c r="O13" s="36" t="s">
        <v>4928</v>
      </c>
      <c r="P13" s="36" t="s">
        <v>585</v>
      </c>
      <c r="Q13" s="36" t="s">
        <v>6094</v>
      </c>
      <c r="R13" s="36" t="s">
        <v>585</v>
      </c>
      <c r="S13" s="36" t="s">
        <v>585</v>
      </c>
      <c r="T13" s="36" t="s">
        <v>585</v>
      </c>
      <c r="U13" s="36" t="s">
        <v>1526</v>
      </c>
      <c r="V13" s="6" t="s">
        <v>585</v>
      </c>
      <c r="W13" s="19" t="s">
        <v>6115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5" t="str">
        <f aca="false">IF($O13="Active",$B13&amp;"¦"&amp;$G13&amp;"¦"&amp;$H13,"")</f>
        <v/>
      </c>
    </row>
    <row r="14" customFormat="false" ht="29.25" hidden="false" customHeight="true" outlineLevel="0" collapsed="false">
      <c r="A14" s="36" t="s">
        <v>6116</v>
      </c>
      <c r="B14" s="6" t="s">
        <v>6117</v>
      </c>
      <c r="C14" s="214" t="n">
        <v>0.51</v>
      </c>
      <c r="D14" s="212"/>
      <c r="E14" s="212"/>
      <c r="F14" s="36" t="s">
        <v>81</v>
      </c>
      <c r="G14" s="212" t="s">
        <v>6118</v>
      </c>
      <c r="H14" s="36" t="s">
        <v>1182</v>
      </c>
      <c r="I14" s="36" t="s">
        <v>1187</v>
      </c>
      <c r="J14" s="6" t="s">
        <v>6092</v>
      </c>
      <c r="K14" s="212" t="n">
        <v>2</v>
      </c>
      <c r="L14" s="212" t="s">
        <v>4876</v>
      </c>
      <c r="M14" s="6" t="s">
        <v>6093</v>
      </c>
      <c r="N14" s="212" t="s">
        <v>4889</v>
      </c>
      <c r="O14" s="36" t="s">
        <v>4879</v>
      </c>
      <c r="P14" s="36" t="s">
        <v>585</v>
      </c>
      <c r="Q14" s="36" t="s">
        <v>6094</v>
      </c>
      <c r="R14" s="36" t="s">
        <v>585</v>
      </c>
      <c r="S14" s="36" t="s">
        <v>585</v>
      </c>
      <c r="T14" s="36" t="s">
        <v>585</v>
      </c>
      <c r="U14" s="36" t="s">
        <v>1526</v>
      </c>
      <c r="V14" s="6" t="s">
        <v>6119</v>
      </c>
      <c r="W14" s="6" t="s">
        <v>585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6" t="s">
        <v>6120</v>
      </c>
      <c r="B15" s="6" t="s">
        <v>6121</v>
      </c>
      <c r="C15" s="214" t="n">
        <v>3.66</v>
      </c>
      <c r="D15" s="212"/>
      <c r="E15" s="212"/>
      <c r="F15" s="36" t="s">
        <v>81</v>
      </c>
      <c r="G15" s="36" t="s">
        <v>585</v>
      </c>
      <c r="H15" s="36" t="s">
        <v>1182</v>
      </c>
      <c r="I15" s="36" t="s">
        <v>1187</v>
      </c>
      <c r="J15" s="6" t="s">
        <v>6092</v>
      </c>
      <c r="K15" s="212" t="n">
        <v>2</v>
      </c>
      <c r="L15" s="212" t="s">
        <v>4876</v>
      </c>
      <c r="M15" s="6" t="s">
        <v>6093</v>
      </c>
      <c r="N15" s="212" t="s">
        <v>4889</v>
      </c>
      <c r="O15" s="36" t="s">
        <v>4879</v>
      </c>
      <c r="P15" s="36" t="s">
        <v>585</v>
      </c>
      <c r="Q15" s="36" t="s">
        <v>6094</v>
      </c>
      <c r="R15" s="36" t="s">
        <v>585</v>
      </c>
      <c r="S15" s="36" t="s">
        <v>585</v>
      </c>
      <c r="T15" s="36" t="s">
        <v>585</v>
      </c>
      <c r="U15" s="36" t="s">
        <v>1526</v>
      </c>
      <c r="V15" s="6" t="s">
        <v>585</v>
      </c>
      <c r="W15" s="6" t="s">
        <v>585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6" t="s">
        <v>6122</v>
      </c>
      <c r="B16" s="6" t="s">
        <v>6123</v>
      </c>
      <c r="C16" s="214" t="n">
        <v>0.302</v>
      </c>
      <c r="D16" s="212"/>
      <c r="E16" s="212"/>
      <c r="F16" s="36" t="s">
        <v>77</v>
      </c>
      <c r="G16" s="36" t="s">
        <v>6124</v>
      </c>
      <c r="H16" s="36" t="s">
        <v>1189</v>
      </c>
      <c r="I16" s="36" t="s">
        <v>1187</v>
      </c>
      <c r="J16" s="6" t="s">
        <v>6092</v>
      </c>
      <c r="K16" s="212" t="n">
        <v>2</v>
      </c>
      <c r="L16" s="212" t="s">
        <v>4876</v>
      </c>
      <c r="M16" s="6" t="s">
        <v>6093</v>
      </c>
      <c r="N16" s="212" t="s">
        <v>4889</v>
      </c>
      <c r="O16" s="36" t="s">
        <v>4879</v>
      </c>
      <c r="P16" s="36" t="s">
        <v>585</v>
      </c>
      <c r="Q16" s="36" t="s">
        <v>6094</v>
      </c>
      <c r="R16" s="36" t="s">
        <v>585</v>
      </c>
      <c r="S16" s="36" t="s">
        <v>585</v>
      </c>
      <c r="T16" s="36" t="s">
        <v>585</v>
      </c>
      <c r="U16" s="36" t="s">
        <v>1526</v>
      </c>
      <c r="V16" s="6" t="s">
        <v>6125</v>
      </c>
      <c r="W16" s="6" t="s">
        <v>585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6" t="s">
        <v>6126</v>
      </c>
      <c r="B17" s="6" t="s">
        <v>6127</v>
      </c>
      <c r="C17" s="214" t="n">
        <v>4.72</v>
      </c>
      <c r="D17" s="212"/>
      <c r="E17" s="212"/>
      <c r="F17" s="36" t="s">
        <v>6128</v>
      </c>
      <c r="G17" s="36" t="s">
        <v>6129</v>
      </c>
      <c r="H17" s="36" t="s">
        <v>1182</v>
      </c>
      <c r="I17" s="36" t="s">
        <v>1187</v>
      </c>
      <c r="J17" s="6" t="s">
        <v>6130</v>
      </c>
      <c r="K17" s="212" t="n">
        <v>2</v>
      </c>
      <c r="L17" s="212" t="s">
        <v>4980</v>
      </c>
      <c r="M17" s="6" t="s">
        <v>6131</v>
      </c>
      <c r="N17" s="212" t="s">
        <v>4889</v>
      </c>
      <c r="O17" s="36" t="s">
        <v>4879</v>
      </c>
      <c r="P17" s="36" t="s">
        <v>585</v>
      </c>
      <c r="Q17" s="36" t="s">
        <v>6132</v>
      </c>
      <c r="R17" s="36" t="s">
        <v>585</v>
      </c>
      <c r="S17" s="36" t="s">
        <v>585</v>
      </c>
      <c r="T17" s="36" t="s">
        <v>585</v>
      </c>
      <c r="U17" s="36" t="s">
        <v>6133</v>
      </c>
      <c r="V17" s="6" t="s">
        <v>585</v>
      </c>
      <c r="W17" s="19" t="s">
        <v>6134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6" t="s">
        <v>6135</v>
      </c>
      <c r="B18" s="6" t="s">
        <v>6136</v>
      </c>
      <c r="C18" s="214" t="n">
        <v>9.18</v>
      </c>
      <c r="D18" s="212"/>
      <c r="E18" s="212"/>
      <c r="F18" s="36" t="s">
        <v>6128</v>
      </c>
      <c r="G18" s="36" t="s">
        <v>6129</v>
      </c>
      <c r="H18" s="36" t="s">
        <v>1185</v>
      </c>
      <c r="I18" s="36" t="s">
        <v>1187</v>
      </c>
      <c r="J18" s="6" t="s">
        <v>6130</v>
      </c>
      <c r="K18" s="212" t="n">
        <v>2</v>
      </c>
      <c r="L18" s="212" t="s">
        <v>4980</v>
      </c>
      <c r="M18" s="6" t="s">
        <v>6131</v>
      </c>
      <c r="N18" s="212" t="s">
        <v>4889</v>
      </c>
      <c r="O18" s="36" t="s">
        <v>4879</v>
      </c>
      <c r="P18" s="36" t="s">
        <v>585</v>
      </c>
      <c r="Q18" s="36" t="s">
        <v>6132</v>
      </c>
      <c r="R18" s="36" t="s">
        <v>585</v>
      </c>
      <c r="S18" s="36" t="s">
        <v>585</v>
      </c>
      <c r="T18" s="36" t="s">
        <v>585</v>
      </c>
      <c r="U18" s="36" t="s">
        <v>6133</v>
      </c>
      <c r="V18" s="6" t="s">
        <v>585</v>
      </c>
      <c r="W18" s="19" t="s">
        <v>6134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5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6" t="s">
        <v>6137</v>
      </c>
      <c r="B19" s="6" t="s">
        <v>6138</v>
      </c>
      <c r="C19" s="214" t="n">
        <v>1</v>
      </c>
      <c r="D19" s="212"/>
      <c r="E19" s="212"/>
      <c r="F19" s="36" t="s">
        <v>77</v>
      </c>
      <c r="G19" s="212" t="s">
        <v>6139</v>
      </c>
      <c r="H19" s="36" t="s">
        <v>1189</v>
      </c>
      <c r="I19" s="36" t="s">
        <v>1187</v>
      </c>
      <c r="J19" s="6" t="s">
        <v>6140</v>
      </c>
      <c r="K19" s="212" t="n">
        <v>2</v>
      </c>
      <c r="L19" s="212" t="s">
        <v>4876</v>
      </c>
      <c r="M19" s="6" t="s">
        <v>6141</v>
      </c>
      <c r="N19" s="212" t="s">
        <v>4889</v>
      </c>
      <c r="O19" s="36" t="s">
        <v>4879</v>
      </c>
      <c r="P19" s="36" t="s">
        <v>585</v>
      </c>
      <c r="Q19" s="36" t="s">
        <v>6142</v>
      </c>
      <c r="R19" s="36" t="s">
        <v>585</v>
      </c>
      <c r="S19" s="36" t="s">
        <v>585</v>
      </c>
      <c r="T19" s="36" t="s">
        <v>585</v>
      </c>
      <c r="U19" s="36" t="s">
        <v>6143</v>
      </c>
      <c r="V19" s="6" t="s">
        <v>6144</v>
      </c>
      <c r="W19" s="19" t="s">
        <v>6145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0" t="s">
        <v>6146</v>
      </c>
    </row>
    <row r="2" customFormat="false" ht="15" hidden="false" customHeight="true" outlineLevel="0" collapsed="false">
      <c r="A2" s="221" t="s">
        <v>4850</v>
      </c>
    </row>
    <row r="3" customFormat="false" ht="15" hidden="false" customHeight="true" outlineLevel="0" collapsed="false">
      <c r="A3" s="221" t="s">
        <v>4851</v>
      </c>
    </row>
    <row r="4" customFormat="false" ht="43.5" hidden="false" customHeight="true" outlineLevel="0" collapsed="false">
      <c r="A4" s="77" t="s">
        <v>4852</v>
      </c>
      <c r="B4" s="211" t="s">
        <v>1910</v>
      </c>
      <c r="C4" s="211" t="s">
        <v>4853</v>
      </c>
      <c r="D4" s="211" t="s">
        <v>1113</v>
      </c>
      <c r="E4" s="211" t="s">
        <v>1114</v>
      </c>
      <c r="F4" s="211" t="s">
        <v>61</v>
      </c>
      <c r="G4" s="211" t="s">
        <v>437</v>
      </c>
      <c r="H4" s="211" t="s">
        <v>4854</v>
      </c>
      <c r="I4" s="211" t="s">
        <v>4419</v>
      </c>
      <c r="J4" s="211" t="s">
        <v>4422</v>
      </c>
      <c r="K4" s="211" t="s">
        <v>4597</v>
      </c>
      <c r="L4" s="211" t="s">
        <v>4855</v>
      </c>
      <c r="M4" s="211" t="s">
        <v>4856</v>
      </c>
      <c r="N4" s="211" t="s">
        <v>4857</v>
      </c>
      <c r="O4" s="211" t="s">
        <v>572</v>
      </c>
      <c r="P4" s="211" t="s">
        <v>4858</v>
      </c>
      <c r="Q4" s="77" t="s">
        <v>4859</v>
      </c>
      <c r="R4" s="211" t="s">
        <v>4860</v>
      </c>
      <c r="S4" s="211" t="s">
        <v>4861</v>
      </c>
      <c r="T4" s="77" t="s">
        <v>4862</v>
      </c>
      <c r="U4" s="211" t="s">
        <v>4863</v>
      </c>
      <c r="V4" s="211" t="s">
        <v>4864</v>
      </c>
      <c r="W4" s="211" t="s">
        <v>4865</v>
      </c>
      <c r="X4" s="211" t="s">
        <v>4866</v>
      </c>
      <c r="Y4" s="211" t="s">
        <v>4867</v>
      </c>
      <c r="Z4" s="211" t="s">
        <v>4868</v>
      </c>
      <c r="AH4" s="76" t="s">
        <v>4869</v>
      </c>
    </row>
    <row r="5" customFormat="false" ht="29.25" hidden="false" customHeight="true" outlineLevel="0" collapsed="false">
      <c r="A5" s="36" t="s">
        <v>2261</v>
      </c>
      <c r="B5" s="19" t="s">
        <v>6147</v>
      </c>
      <c r="C5" s="214" t="n">
        <v>0.096</v>
      </c>
      <c r="D5" s="212"/>
      <c r="E5" s="212"/>
      <c r="F5" s="36" t="s">
        <v>77</v>
      </c>
      <c r="G5" s="212" t="s">
        <v>6148</v>
      </c>
      <c r="H5" s="36" t="s">
        <v>1175</v>
      </c>
      <c r="I5" s="36" t="s">
        <v>4916</v>
      </c>
      <c r="J5" s="6" t="s">
        <v>6149</v>
      </c>
      <c r="K5" s="212" t="n">
        <v>1</v>
      </c>
      <c r="L5" s="212" t="s">
        <v>4980</v>
      </c>
      <c r="M5" s="6" t="s">
        <v>6150</v>
      </c>
      <c r="N5" s="212" t="s">
        <v>5405</v>
      </c>
      <c r="O5" s="36" t="s">
        <v>4879</v>
      </c>
      <c r="P5" s="36" t="s">
        <v>585</v>
      </c>
      <c r="Q5" s="36" t="s">
        <v>6151</v>
      </c>
      <c r="R5" s="36" t="s">
        <v>585</v>
      </c>
      <c r="S5" s="36" t="s">
        <v>585</v>
      </c>
      <c r="T5" s="36" t="s">
        <v>585</v>
      </c>
      <c r="U5" s="36" t="s">
        <v>6152</v>
      </c>
      <c r="V5" s="6" t="s">
        <v>6153</v>
      </c>
      <c r="W5" s="19" t="s">
        <v>6154</v>
      </c>
      <c r="X5" s="185" t="n">
        <f aca="false">IF($O5="Active",SUMPRODUCT(($AH$5:$AH$71=$AH5)*1),0)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5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6" t="s">
        <v>6155</v>
      </c>
      <c r="B6" s="19" t="s">
        <v>6156</v>
      </c>
      <c r="C6" s="214" t="n">
        <v>0.226</v>
      </c>
      <c r="D6" s="212"/>
      <c r="E6" s="212"/>
      <c r="F6" s="36" t="s">
        <v>77</v>
      </c>
      <c r="G6" s="212" t="s">
        <v>103</v>
      </c>
      <c r="H6" s="36" t="s">
        <v>1219</v>
      </c>
      <c r="I6" s="36" t="s">
        <v>4916</v>
      </c>
      <c r="J6" s="6" t="s">
        <v>6149</v>
      </c>
      <c r="K6" s="212" t="n">
        <v>1</v>
      </c>
      <c r="L6" s="212" t="s">
        <v>4980</v>
      </c>
      <c r="M6" s="6" t="s">
        <v>6150</v>
      </c>
      <c r="N6" s="212" t="s">
        <v>5405</v>
      </c>
      <c r="O6" s="36" t="s">
        <v>4879</v>
      </c>
      <c r="P6" s="36" t="s">
        <v>585</v>
      </c>
      <c r="Q6" s="36" t="s">
        <v>6151</v>
      </c>
      <c r="R6" s="36" t="s">
        <v>585</v>
      </c>
      <c r="S6" s="36" t="s">
        <v>585</v>
      </c>
      <c r="T6" s="36" t="s">
        <v>585</v>
      </c>
      <c r="U6" s="36" t="s">
        <v>6152</v>
      </c>
      <c r="V6" s="6" t="s">
        <v>6153</v>
      </c>
      <c r="W6" s="6" t="s">
        <v>585</v>
      </c>
      <c r="X6" s="185" t="n">
        <f aca="false">IF($O6="Active",SUMPRODUCT(($AH$5:$AH$71=$AH6)*1),0)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5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6" t="s">
        <v>6157</v>
      </c>
      <c r="B7" s="19" t="s">
        <v>6158</v>
      </c>
      <c r="C7" s="214" t="n">
        <v>0.123</v>
      </c>
      <c r="D7" s="212"/>
      <c r="E7" s="212"/>
      <c r="F7" s="36" t="s">
        <v>77</v>
      </c>
      <c r="G7" s="212" t="s">
        <v>103</v>
      </c>
      <c r="H7" s="36" t="s">
        <v>1204</v>
      </c>
      <c r="I7" s="36" t="s">
        <v>4916</v>
      </c>
      <c r="J7" s="6" t="s">
        <v>6149</v>
      </c>
      <c r="K7" s="212" t="n">
        <v>1</v>
      </c>
      <c r="L7" s="212" t="s">
        <v>4980</v>
      </c>
      <c r="M7" s="6" t="s">
        <v>6150</v>
      </c>
      <c r="N7" s="212" t="s">
        <v>5405</v>
      </c>
      <c r="O7" s="36" t="s">
        <v>4879</v>
      </c>
      <c r="P7" s="36" t="s">
        <v>585</v>
      </c>
      <c r="Q7" s="36" t="s">
        <v>6151</v>
      </c>
      <c r="R7" s="36" t="s">
        <v>585</v>
      </c>
      <c r="S7" s="36" t="s">
        <v>585</v>
      </c>
      <c r="T7" s="36" t="s">
        <v>585</v>
      </c>
      <c r="U7" s="36" t="s">
        <v>6152</v>
      </c>
      <c r="V7" s="6" t="s">
        <v>585</v>
      </c>
      <c r="W7" s="6" t="s">
        <v>585</v>
      </c>
      <c r="X7" s="185" t="n">
        <f aca="false">IF($O7="Active",SUMPRODUCT(($AH$5:$AH$71=$AH7)*1),0)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5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6" t="s">
        <v>2357</v>
      </c>
      <c r="B8" s="6" t="s">
        <v>6159</v>
      </c>
      <c r="C8" s="214" t="n">
        <v>8.4</v>
      </c>
      <c r="D8" s="212"/>
      <c r="E8" s="212"/>
      <c r="F8" s="36" t="s">
        <v>844</v>
      </c>
      <c r="G8" s="212" t="s">
        <v>6160</v>
      </c>
      <c r="H8" s="36" t="s">
        <v>1175</v>
      </c>
      <c r="I8" s="36" t="s">
        <v>5414</v>
      </c>
      <c r="J8" s="6" t="s">
        <v>6161</v>
      </c>
      <c r="K8" s="212" t="n">
        <v>2</v>
      </c>
      <c r="L8" s="212" t="s">
        <v>4876</v>
      </c>
      <c r="M8" s="6" t="s">
        <v>6162</v>
      </c>
      <c r="N8" s="212" t="s">
        <v>4889</v>
      </c>
      <c r="O8" s="36" t="s">
        <v>4879</v>
      </c>
      <c r="P8" s="36" t="s">
        <v>585</v>
      </c>
      <c r="Q8" s="36" t="s">
        <v>6163</v>
      </c>
      <c r="R8" s="36" t="s">
        <v>585</v>
      </c>
      <c r="S8" s="36" t="s">
        <v>585</v>
      </c>
      <c r="T8" s="36" t="s">
        <v>585</v>
      </c>
      <c r="U8" s="36" t="s">
        <v>6164</v>
      </c>
      <c r="V8" s="6" t="s">
        <v>6165</v>
      </c>
      <c r="W8" s="19" t="s">
        <v>6166</v>
      </c>
      <c r="X8" s="185" t="n">
        <f aca="false">IF($O8="Active",SUMPRODUCT(($AH$5:$AH$71=$AH8)*1),0)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6" t="s">
        <v>2366</v>
      </c>
      <c r="B9" s="6" t="s">
        <v>6167</v>
      </c>
      <c r="C9" s="214" t="n">
        <v>3.9</v>
      </c>
      <c r="D9" s="212"/>
      <c r="E9" s="212"/>
      <c r="F9" s="36" t="s">
        <v>844</v>
      </c>
      <c r="G9" s="212" t="s">
        <v>6160</v>
      </c>
      <c r="H9" s="36" t="s">
        <v>1175</v>
      </c>
      <c r="I9" s="36" t="s">
        <v>5414</v>
      </c>
      <c r="J9" s="6" t="s">
        <v>6161</v>
      </c>
      <c r="K9" s="212" t="n">
        <v>2</v>
      </c>
      <c r="L9" s="212" t="s">
        <v>4876</v>
      </c>
      <c r="M9" s="6" t="s">
        <v>6162</v>
      </c>
      <c r="N9" s="212" t="s">
        <v>4889</v>
      </c>
      <c r="O9" s="36" t="s">
        <v>4879</v>
      </c>
      <c r="P9" s="36" t="s">
        <v>585</v>
      </c>
      <c r="Q9" s="36" t="s">
        <v>6163</v>
      </c>
      <c r="R9" s="36" t="s">
        <v>585</v>
      </c>
      <c r="S9" s="36" t="s">
        <v>585</v>
      </c>
      <c r="T9" s="36" t="s">
        <v>585</v>
      </c>
      <c r="U9" s="36" t="s">
        <v>6164</v>
      </c>
      <c r="V9" s="6" t="s">
        <v>6168</v>
      </c>
      <c r="W9" s="19" t="s">
        <v>6169</v>
      </c>
      <c r="X9" s="185" t="n">
        <f aca="false">IF($O9="Active",SUMPRODUCT(($AH$5:$AH$71=$AH9)*1),0)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6" t="s">
        <v>6170</v>
      </c>
      <c r="B10" s="6" t="s">
        <v>6171</v>
      </c>
      <c r="C10" s="214" t="n">
        <v>12</v>
      </c>
      <c r="D10" s="212"/>
      <c r="E10" s="212"/>
      <c r="F10" s="36" t="s">
        <v>844</v>
      </c>
      <c r="G10" s="212" t="s">
        <v>6172</v>
      </c>
      <c r="H10" s="36" t="s">
        <v>1175</v>
      </c>
      <c r="I10" s="36" t="s">
        <v>5414</v>
      </c>
      <c r="J10" s="6" t="s">
        <v>6161</v>
      </c>
      <c r="K10" s="212" t="n">
        <v>2</v>
      </c>
      <c r="L10" s="212" t="s">
        <v>4876</v>
      </c>
      <c r="M10" s="6" t="s">
        <v>6162</v>
      </c>
      <c r="N10" s="212" t="s">
        <v>4889</v>
      </c>
      <c r="O10" s="36" t="s">
        <v>4879</v>
      </c>
      <c r="P10" s="36" t="s">
        <v>585</v>
      </c>
      <c r="Q10" s="36" t="s">
        <v>6163</v>
      </c>
      <c r="R10" s="36" t="s">
        <v>585</v>
      </c>
      <c r="S10" s="36" t="s">
        <v>585</v>
      </c>
      <c r="T10" s="36" t="s">
        <v>585</v>
      </c>
      <c r="U10" s="36" t="s">
        <v>6164</v>
      </c>
      <c r="V10" s="6" t="s">
        <v>6165</v>
      </c>
      <c r="W10" s="6" t="s">
        <v>585</v>
      </c>
      <c r="X10" s="185" t="n">
        <f aca="false">IF($O10="Active",SUMPRODUCT(($AH$5:$AH$71=$AH10)*1),0)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6" t="s">
        <v>2271</v>
      </c>
      <c r="B11" s="6" t="s">
        <v>6173</v>
      </c>
      <c r="C11" s="214" t="n">
        <v>13.07</v>
      </c>
      <c r="D11" s="212"/>
      <c r="E11" s="212"/>
      <c r="F11" s="36" t="s">
        <v>844</v>
      </c>
      <c r="G11" s="212" t="s">
        <v>6160</v>
      </c>
      <c r="H11" s="36" t="s">
        <v>1175</v>
      </c>
      <c r="I11" s="36" t="s">
        <v>5414</v>
      </c>
      <c r="J11" s="6" t="s">
        <v>6161</v>
      </c>
      <c r="K11" s="212" t="n">
        <v>2</v>
      </c>
      <c r="L11" s="212" t="s">
        <v>4876</v>
      </c>
      <c r="M11" s="6" t="s">
        <v>6162</v>
      </c>
      <c r="N11" s="212" t="s">
        <v>4889</v>
      </c>
      <c r="O11" s="36" t="s">
        <v>4879</v>
      </c>
      <c r="P11" s="36" t="s">
        <v>585</v>
      </c>
      <c r="Q11" s="36" t="s">
        <v>6163</v>
      </c>
      <c r="R11" s="36" t="s">
        <v>585</v>
      </c>
      <c r="S11" s="36" t="s">
        <v>585</v>
      </c>
      <c r="T11" s="36" t="s">
        <v>585</v>
      </c>
      <c r="U11" s="36" t="s">
        <v>6164</v>
      </c>
      <c r="V11" s="6" t="s">
        <v>6174</v>
      </c>
      <c r="W11" s="6" t="s">
        <v>585</v>
      </c>
      <c r="X11" s="185" t="n">
        <f aca="false">IF($O11="Active",SUMPRODUCT(($AH$5:$AH$71=$AH11)*1),0)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6" t="s">
        <v>6175</v>
      </c>
      <c r="B12" s="6" t="s">
        <v>6176</v>
      </c>
      <c r="C12" s="214" t="n">
        <v>0.6</v>
      </c>
      <c r="D12" s="212"/>
      <c r="E12" s="212"/>
      <c r="F12" s="36" t="s">
        <v>69</v>
      </c>
      <c r="G12" s="36" t="s">
        <v>6177</v>
      </c>
      <c r="H12" s="36" t="s">
        <v>1175</v>
      </c>
      <c r="I12" s="36" t="s">
        <v>6178</v>
      </c>
      <c r="J12" s="6" t="s">
        <v>6161</v>
      </c>
      <c r="K12" s="212" t="n">
        <v>2</v>
      </c>
      <c r="L12" s="212" t="s">
        <v>4876</v>
      </c>
      <c r="M12" s="6" t="s">
        <v>6162</v>
      </c>
      <c r="N12" s="212" t="s">
        <v>4889</v>
      </c>
      <c r="O12" s="36" t="s">
        <v>4879</v>
      </c>
      <c r="P12" s="36" t="s">
        <v>585</v>
      </c>
      <c r="Q12" s="36" t="s">
        <v>6163</v>
      </c>
      <c r="R12" s="36" t="s">
        <v>585</v>
      </c>
      <c r="S12" s="36" t="s">
        <v>585</v>
      </c>
      <c r="T12" s="36" t="s">
        <v>585</v>
      </c>
      <c r="U12" s="36" t="s">
        <v>6164</v>
      </c>
      <c r="V12" s="6" t="s">
        <v>6174</v>
      </c>
      <c r="W12" s="6" t="s">
        <v>585</v>
      </c>
      <c r="X12" s="185" t="n">
        <f aca="false">IF($O12="Active",SUMPRODUCT(($AH$5:$AH$71=$AH12)*1),0)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6" t="s">
        <v>6179</v>
      </c>
      <c r="B13" s="6" t="s">
        <v>6180</v>
      </c>
      <c r="C13" s="214" t="n">
        <v>1.9</v>
      </c>
      <c r="D13" s="212"/>
      <c r="E13" s="212"/>
      <c r="F13" s="36" t="s">
        <v>69</v>
      </c>
      <c r="G13" s="212" t="s">
        <v>6181</v>
      </c>
      <c r="H13" s="36" t="s">
        <v>1175</v>
      </c>
      <c r="I13" s="36" t="s">
        <v>5414</v>
      </c>
      <c r="J13" s="6" t="s">
        <v>6161</v>
      </c>
      <c r="K13" s="212" t="n">
        <v>2</v>
      </c>
      <c r="L13" s="212" t="s">
        <v>4876</v>
      </c>
      <c r="M13" s="6" t="s">
        <v>6162</v>
      </c>
      <c r="N13" s="212" t="s">
        <v>4889</v>
      </c>
      <c r="O13" s="36" t="s">
        <v>4879</v>
      </c>
      <c r="P13" s="36" t="s">
        <v>585</v>
      </c>
      <c r="Q13" s="36" t="s">
        <v>6163</v>
      </c>
      <c r="R13" s="36" t="s">
        <v>585</v>
      </c>
      <c r="S13" s="36" t="s">
        <v>585</v>
      </c>
      <c r="T13" s="36" t="s">
        <v>585</v>
      </c>
      <c r="U13" s="36" t="s">
        <v>6164</v>
      </c>
      <c r="V13" s="6" t="s">
        <v>6174</v>
      </c>
      <c r="W13" s="6" t="s">
        <v>585</v>
      </c>
      <c r="X13" s="185" t="n">
        <f aca="false">IF($O13="Active",SUMPRODUCT(($AH$5:$AH$71=$AH13)*1),0)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6" t="s">
        <v>4364</v>
      </c>
      <c r="B14" s="6" t="s">
        <v>6182</v>
      </c>
      <c r="C14" s="214" t="n">
        <v>6</v>
      </c>
      <c r="D14" s="212"/>
      <c r="E14" s="212"/>
      <c r="F14" s="36" t="s">
        <v>6183</v>
      </c>
      <c r="G14" s="212" t="s">
        <v>6184</v>
      </c>
      <c r="H14" s="36" t="s">
        <v>1175</v>
      </c>
      <c r="I14" s="36" t="s">
        <v>6185</v>
      </c>
      <c r="J14" s="6" t="s">
        <v>6186</v>
      </c>
      <c r="K14" s="212" t="n">
        <v>2</v>
      </c>
      <c r="L14" s="212" t="s">
        <v>4876</v>
      </c>
      <c r="M14" s="6" t="s">
        <v>6187</v>
      </c>
      <c r="N14" s="212" t="s">
        <v>4889</v>
      </c>
      <c r="O14" s="36" t="s">
        <v>4879</v>
      </c>
      <c r="P14" s="36" t="s">
        <v>585</v>
      </c>
      <c r="Q14" s="36" t="s">
        <v>6188</v>
      </c>
      <c r="R14" s="36" t="s">
        <v>585</v>
      </c>
      <c r="S14" s="36" t="s">
        <v>585</v>
      </c>
      <c r="T14" s="36" t="s">
        <v>585</v>
      </c>
      <c r="U14" s="36" t="s">
        <v>6189</v>
      </c>
      <c r="V14" s="6" t="s">
        <v>6190</v>
      </c>
      <c r="W14" s="6" t="s">
        <v>6191</v>
      </c>
      <c r="X14" s="185" t="n">
        <f aca="false">IF($O14="Active",SUMPRODUCT(($AH$5:$AH$71=$AH14)*1),0)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6" t="s">
        <v>6192</v>
      </c>
      <c r="B15" s="6" t="s">
        <v>6182</v>
      </c>
      <c r="C15" s="214" t="n">
        <v>15</v>
      </c>
      <c r="D15" s="212"/>
      <c r="E15" s="212"/>
      <c r="F15" s="36" t="s">
        <v>6183</v>
      </c>
      <c r="G15" s="212" t="s">
        <v>6193</v>
      </c>
      <c r="H15" s="36" t="s">
        <v>1175</v>
      </c>
      <c r="I15" s="36" t="s">
        <v>6194</v>
      </c>
      <c r="J15" s="6" t="s">
        <v>6195</v>
      </c>
      <c r="K15" s="212" t="n">
        <v>1</v>
      </c>
      <c r="L15" s="212" t="s">
        <v>4876</v>
      </c>
      <c r="M15" s="6" t="s">
        <v>6196</v>
      </c>
      <c r="N15" s="212" t="s">
        <v>4878</v>
      </c>
      <c r="O15" s="36" t="s">
        <v>4879</v>
      </c>
      <c r="P15" s="36" t="s">
        <v>585</v>
      </c>
      <c r="Q15" s="36" t="s">
        <v>6197</v>
      </c>
      <c r="R15" s="36" t="s">
        <v>585</v>
      </c>
      <c r="S15" s="36" t="s">
        <v>4724</v>
      </c>
      <c r="T15" s="36" t="s">
        <v>585</v>
      </c>
      <c r="U15" s="36" t="s">
        <v>6189</v>
      </c>
      <c r="V15" s="19" t="s">
        <v>6198</v>
      </c>
      <c r="W15" s="6" t="s">
        <v>6199</v>
      </c>
      <c r="X15" s="185" t="n">
        <f aca="false">IF($O15="Active",SUMPRODUCT(($AH$5:$AH$71=$AH15)*1),0)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6" t="s">
        <v>4371</v>
      </c>
      <c r="B16" s="6" t="s">
        <v>6200</v>
      </c>
      <c r="C16" s="214" t="n">
        <v>2.5</v>
      </c>
      <c r="D16" s="212"/>
      <c r="E16" s="212"/>
      <c r="F16" s="36" t="s">
        <v>6201</v>
      </c>
      <c r="G16" s="212" t="s">
        <v>6202</v>
      </c>
      <c r="H16" s="36" t="s">
        <v>1175</v>
      </c>
      <c r="I16" s="36" t="s">
        <v>6203</v>
      </c>
      <c r="J16" s="6" t="s">
        <v>6204</v>
      </c>
      <c r="K16" s="212" t="n">
        <v>2</v>
      </c>
      <c r="L16" s="212" t="s">
        <v>4876</v>
      </c>
      <c r="M16" s="6" t="s">
        <v>6187</v>
      </c>
      <c r="N16" s="212" t="s">
        <v>4889</v>
      </c>
      <c r="O16" s="36" t="s">
        <v>4879</v>
      </c>
      <c r="P16" s="36" t="s">
        <v>585</v>
      </c>
      <c r="Q16" s="36" t="s">
        <v>6205</v>
      </c>
      <c r="R16" s="36" t="s">
        <v>585</v>
      </c>
      <c r="S16" s="36" t="s">
        <v>585</v>
      </c>
      <c r="T16" s="36" t="s">
        <v>585</v>
      </c>
      <c r="U16" s="36" t="s">
        <v>6189</v>
      </c>
      <c r="V16" s="6" t="s">
        <v>6206</v>
      </c>
      <c r="W16" s="6" t="s">
        <v>6207</v>
      </c>
      <c r="X16" s="185" t="n">
        <f aca="false">IF($O16="Active",SUMPRODUCT(($AH$5:$AH$71=$AH16)*1),0)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6" t="s">
        <v>2373</v>
      </c>
      <c r="B17" s="19" t="s">
        <v>6208</v>
      </c>
      <c r="C17" s="212"/>
      <c r="D17" s="214" t="n">
        <v>10</v>
      </c>
      <c r="E17" s="214" t="n">
        <v>100</v>
      </c>
      <c r="F17" s="36" t="s">
        <v>1745</v>
      </c>
      <c r="G17" s="212" t="s">
        <v>6209</v>
      </c>
      <c r="H17" s="36" t="s">
        <v>6210</v>
      </c>
      <c r="I17" s="36" t="s">
        <v>5414</v>
      </c>
      <c r="J17" s="6" t="s">
        <v>6211</v>
      </c>
      <c r="K17" s="212" t="n">
        <v>1</v>
      </c>
      <c r="L17" s="212" t="s">
        <v>4980</v>
      </c>
      <c r="M17" s="6" t="s">
        <v>6212</v>
      </c>
      <c r="N17" s="212" t="s">
        <v>4878</v>
      </c>
      <c r="O17" s="36" t="s">
        <v>4879</v>
      </c>
      <c r="P17" s="36" t="s">
        <v>585</v>
      </c>
      <c r="Q17" s="36" t="s">
        <v>6213</v>
      </c>
      <c r="R17" s="36" t="s">
        <v>585</v>
      </c>
      <c r="S17" s="36" t="s">
        <v>4724</v>
      </c>
      <c r="T17" s="36" t="s">
        <v>585</v>
      </c>
      <c r="U17" s="36" t="s">
        <v>6189</v>
      </c>
      <c r="V17" s="6" t="s">
        <v>6214</v>
      </c>
      <c r="W17" s="19" t="s">
        <v>6215</v>
      </c>
      <c r="X17" s="185" t="n">
        <f aca="false">IF($O17="Active",SUMPRODUCT(($AH$5:$AH$71=$AH17)*1),0)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6" t="s">
        <v>6216</v>
      </c>
      <c r="B18" s="6" t="s">
        <v>6217</v>
      </c>
      <c r="C18" s="214" t="n">
        <v>6000</v>
      </c>
      <c r="D18" s="190"/>
      <c r="E18" s="190"/>
      <c r="F18" s="36" t="s">
        <v>6218</v>
      </c>
      <c r="G18" s="190" t="s">
        <v>6219</v>
      </c>
      <c r="H18" s="36" t="s">
        <v>6220</v>
      </c>
      <c r="I18" s="36" t="s">
        <v>6221</v>
      </c>
      <c r="J18" s="6" t="s">
        <v>6222</v>
      </c>
      <c r="K18" s="190" t="n">
        <v>1</v>
      </c>
      <c r="L18" s="190" t="s">
        <v>4876</v>
      </c>
      <c r="M18" s="6" t="s">
        <v>6223</v>
      </c>
      <c r="N18" s="190" t="s">
        <v>4878</v>
      </c>
      <c r="O18" s="36" t="s">
        <v>4879</v>
      </c>
      <c r="P18" s="36" t="s">
        <v>585</v>
      </c>
      <c r="Q18" s="36" t="s">
        <v>6224</v>
      </c>
      <c r="R18" s="36" t="s">
        <v>585</v>
      </c>
      <c r="S18" s="36" t="s">
        <v>585</v>
      </c>
      <c r="T18" s="36" t="s">
        <v>585</v>
      </c>
      <c r="U18" s="36" t="s">
        <v>5528</v>
      </c>
      <c r="V18" s="6" t="s">
        <v>585</v>
      </c>
      <c r="W18" s="6" t="s">
        <v>6225</v>
      </c>
      <c r="X18" s="185" t="n">
        <f aca="false">IF($O18="Active",SUMPRODUCT(($AH$5:$AH$71=$AH18)*1),0)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5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6" t="s">
        <v>6226</v>
      </c>
      <c r="B19" s="6" t="s">
        <v>6227</v>
      </c>
      <c r="C19" s="214" t="n">
        <v>400</v>
      </c>
      <c r="D19" s="190"/>
      <c r="E19" s="190"/>
      <c r="F19" s="36" t="s">
        <v>6218</v>
      </c>
      <c r="G19" s="190" t="s">
        <v>6228</v>
      </c>
      <c r="H19" s="36" t="s">
        <v>6220</v>
      </c>
      <c r="I19" s="36" t="s">
        <v>6221</v>
      </c>
      <c r="J19" s="6" t="s">
        <v>6222</v>
      </c>
      <c r="K19" s="190" t="n">
        <v>1</v>
      </c>
      <c r="L19" s="190" t="s">
        <v>4876</v>
      </c>
      <c r="M19" s="6" t="s">
        <v>6223</v>
      </c>
      <c r="N19" s="190" t="s">
        <v>4878</v>
      </c>
      <c r="O19" s="36" t="s">
        <v>4879</v>
      </c>
      <c r="P19" s="36" t="s">
        <v>585</v>
      </c>
      <c r="Q19" s="36" t="s">
        <v>6224</v>
      </c>
      <c r="R19" s="36" t="s">
        <v>585</v>
      </c>
      <c r="S19" s="36" t="s">
        <v>585</v>
      </c>
      <c r="T19" s="36" t="s">
        <v>585</v>
      </c>
      <c r="U19" s="36" t="s">
        <v>5528</v>
      </c>
      <c r="V19" s="6" t="s">
        <v>585</v>
      </c>
      <c r="W19" s="6" t="s">
        <v>6229</v>
      </c>
      <c r="X19" s="185" t="n">
        <f aca="false">IF($O19="Active",SUMPRODUCT(($AH$5:$AH$71=$AH19)*1),0)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6" t="s">
        <v>6230</v>
      </c>
      <c r="B20" s="6" t="s">
        <v>6231</v>
      </c>
      <c r="C20" s="214" t="n">
        <v>3.5</v>
      </c>
      <c r="D20" s="214" t="n">
        <v>3</v>
      </c>
      <c r="E20" s="214" t="n">
        <v>4</v>
      </c>
      <c r="F20" s="190" t="s">
        <v>6232</v>
      </c>
      <c r="G20" s="190" t="s">
        <v>6233</v>
      </c>
      <c r="H20" s="36" t="s">
        <v>6220</v>
      </c>
      <c r="I20" s="36" t="s">
        <v>6221</v>
      </c>
      <c r="J20" s="6" t="s">
        <v>6222</v>
      </c>
      <c r="K20" s="190" t="n">
        <v>1</v>
      </c>
      <c r="L20" s="190" t="s">
        <v>4876</v>
      </c>
      <c r="M20" s="6" t="s">
        <v>6223</v>
      </c>
      <c r="N20" s="190" t="s">
        <v>4878</v>
      </c>
      <c r="O20" s="36" t="s">
        <v>4879</v>
      </c>
      <c r="P20" s="36" t="s">
        <v>585</v>
      </c>
      <c r="Q20" s="36" t="s">
        <v>6224</v>
      </c>
      <c r="R20" s="36" t="s">
        <v>585</v>
      </c>
      <c r="S20" s="36" t="s">
        <v>585</v>
      </c>
      <c r="T20" s="36" t="s">
        <v>585</v>
      </c>
      <c r="U20" s="36" t="s">
        <v>5528</v>
      </c>
      <c r="V20" s="6" t="s">
        <v>585</v>
      </c>
      <c r="W20" s="6" t="s">
        <v>6234</v>
      </c>
      <c r="X20" s="185" t="n">
        <f aca="false">IF($O20="Active",SUMPRODUCT(($AH$5:$AH$71=$AH20)*1),0)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6" t="s">
        <v>6235</v>
      </c>
      <c r="B21" s="6" t="s">
        <v>6236</v>
      </c>
      <c r="C21" s="214" t="n">
        <v>0.5</v>
      </c>
      <c r="D21" s="214" t="n">
        <v>0.5</v>
      </c>
      <c r="E21" s="190"/>
      <c r="F21" s="36" t="s">
        <v>77</v>
      </c>
      <c r="G21" s="190" t="s">
        <v>6237</v>
      </c>
      <c r="H21" s="36" t="s">
        <v>6220</v>
      </c>
      <c r="I21" s="36" t="s">
        <v>6221</v>
      </c>
      <c r="J21" s="6" t="s">
        <v>6222</v>
      </c>
      <c r="K21" s="190" t="n">
        <v>1</v>
      </c>
      <c r="L21" s="190" t="s">
        <v>4876</v>
      </c>
      <c r="M21" s="6" t="s">
        <v>6223</v>
      </c>
      <c r="N21" s="190" t="s">
        <v>4878</v>
      </c>
      <c r="O21" s="36" t="s">
        <v>4879</v>
      </c>
      <c r="P21" s="36" t="s">
        <v>585</v>
      </c>
      <c r="Q21" s="36" t="s">
        <v>6224</v>
      </c>
      <c r="R21" s="36" t="s">
        <v>585</v>
      </c>
      <c r="S21" s="36" t="s">
        <v>585</v>
      </c>
      <c r="T21" s="36" t="s">
        <v>585</v>
      </c>
      <c r="U21" s="36" t="s">
        <v>5528</v>
      </c>
      <c r="V21" s="6" t="s">
        <v>585</v>
      </c>
      <c r="W21" s="6" t="s">
        <v>6238</v>
      </c>
      <c r="X21" s="185" t="n">
        <f aca="false">IF($O21="Active",SUMPRODUCT(($AH$5:$AH$71=$AH21)*1),0)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50" t="s">
        <v>6239</v>
      </c>
    </row>
    <row r="2" customFormat="false" ht="15" hidden="false" customHeight="false" outlineLevel="0" collapsed="false">
      <c r="A2" s="51" t="s">
        <v>6240</v>
      </c>
    </row>
    <row r="4" customFormat="false" ht="15" hidden="false" customHeight="false" outlineLevel="0" collapsed="false">
      <c r="A4" s="10" t="s">
        <v>4852</v>
      </c>
      <c r="B4" s="52" t="s">
        <v>12</v>
      </c>
      <c r="C4" s="52" t="s">
        <v>6241</v>
      </c>
      <c r="D4" s="52" t="s">
        <v>572</v>
      </c>
      <c r="E4" s="52" t="s">
        <v>2646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6242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6242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6242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6242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6242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6242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6242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6242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6242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6242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6242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6242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6242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6242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6242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6242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6242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6242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6242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6242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6242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6242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6242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6242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6242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6242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6242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6242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6242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6242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6242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6242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6242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6242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6242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6242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6242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6242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6242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6242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6242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6242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6242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6242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6242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6242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6242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6242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6242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6242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6242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6242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6242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6242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6242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6242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6242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6242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6242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6242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6242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6242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6242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6242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6242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6242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6242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6242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6242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6242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6242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6242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6242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6242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6242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6242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6242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6242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6242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6242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6242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6242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6242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6242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6242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6242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6242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6242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6242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6242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6242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6242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6242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6242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6242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6242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6242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6242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6242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6242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6242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6242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6242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6242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6242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6242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6242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6242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6242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6242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6242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6242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6242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6242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6243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6243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6243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6243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6243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6243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6243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6243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6243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6243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6243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6243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6243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6243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6243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6243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6243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6243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6243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6243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6243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6243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6243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6243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6243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6243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6243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6243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6243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6243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6243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6243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6243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6243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6243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6243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6243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6243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6243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6243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6243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6243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6243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6243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6243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6243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6243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6243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6243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6243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6243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6243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6243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6243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6243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6243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6243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6243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6243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6243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6243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6243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6243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6244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6244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6244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6244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6244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6244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6244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6244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6244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6244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6244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6244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6244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6244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6244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6244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6244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6244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6244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6244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6244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6244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6244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6244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6244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6244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6244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6244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6244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6244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6244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6244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6244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6244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6244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6244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6244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6244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6244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6244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6244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6244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6244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6244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6244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6244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6244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6244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6244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6244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6244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6244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6244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6244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>SRC_MOD_055</v>
      </c>
      <c r="B236" s="54" t="s">
        <v>6244</v>
      </c>
      <c r="C236" s="53" t="n">
        <v>59</v>
      </c>
      <c r="D236" s="85" t="str">
        <f aca="false">SRC_Model!$O59</f>
        <v>Active</v>
      </c>
      <c r="E236" s="85" t="n">
        <f aca="false">SRC_Model!$K59</f>
        <v>1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6244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6244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6244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6244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6244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6244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6244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6244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6244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6244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6244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6244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6244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6244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6244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6244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6244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6244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6244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6244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6244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6244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6244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6244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6244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6244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6244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6244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6244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6244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6244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6244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6244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6244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6244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6244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6244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6244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6244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6244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6244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6244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6244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6244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6244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6244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6244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6244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6244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SRC_Model!$A109&amp;""</f>
        <v/>
      </c>
      <c r="B286" s="54" t="s">
        <v>6244</v>
      </c>
      <c r="C286" s="53" t="n">
        <v>109</v>
      </c>
      <c r="D286" s="85" t="n">
        <f aca="false">SRC_Model!$O109</f>
        <v>0</v>
      </c>
      <c r="E286" s="85" t="n">
        <f aca="false">SRC_Model!$K109</f>
        <v>0</v>
      </c>
    </row>
    <row r="287" customFormat="false" ht="15" hidden="false" customHeight="false" outlineLevel="0" collapsed="false">
      <c r="A287" s="85" t="str">
        <f aca="false">SRC_Perf!$A5&amp;""</f>
        <v>SRC_PERF_001</v>
      </c>
      <c r="B287" s="54" t="s">
        <v>6245</v>
      </c>
      <c r="C287" s="53" t="n">
        <v>5</v>
      </c>
      <c r="D287" s="85" t="str">
        <f aca="false">SRC_Perf!$O5</f>
        <v>Active</v>
      </c>
      <c r="E287" s="85" t="n">
        <f aca="false">SRC_Perf!$K5</f>
        <v>1</v>
      </c>
    </row>
    <row r="288" customFormat="false" ht="15" hidden="false" customHeight="false" outlineLevel="0" collapsed="false">
      <c r="A288" s="85" t="str">
        <f aca="false">SRC_Perf!$A6&amp;""</f>
        <v>SRC_PERF_002</v>
      </c>
      <c r="B288" s="54" t="s">
        <v>6245</v>
      </c>
      <c r="C288" s="53" t="n">
        <v>6</v>
      </c>
      <c r="D288" s="85" t="str">
        <f aca="false">SRC_Perf!$O6</f>
        <v>Active</v>
      </c>
      <c r="E288" s="85" t="n">
        <f aca="false">SRC_Perf!$K6</f>
        <v>1</v>
      </c>
    </row>
    <row r="289" customFormat="false" ht="15" hidden="false" customHeight="false" outlineLevel="0" collapsed="false">
      <c r="A289" s="85" t="str">
        <f aca="false">SRC_Perf!$A7&amp;""</f>
        <v>SRC_PERF_003</v>
      </c>
      <c r="B289" s="54" t="s">
        <v>6245</v>
      </c>
      <c r="C289" s="53" t="n">
        <v>7</v>
      </c>
      <c r="D289" s="85" t="str">
        <f aca="false">SRC_Perf!$O7</f>
        <v>Active</v>
      </c>
      <c r="E289" s="85" t="n">
        <f aca="false">SRC_Perf!$K7</f>
        <v>1</v>
      </c>
    </row>
    <row r="290" customFormat="false" ht="15" hidden="false" customHeight="false" outlineLevel="0" collapsed="false">
      <c r="A290" s="85" t="str">
        <f aca="false">SRC_Perf!$A8&amp;""</f>
        <v>SRC_PERF_004</v>
      </c>
      <c r="B290" s="54" t="s">
        <v>6245</v>
      </c>
      <c r="C290" s="53" t="n">
        <v>8</v>
      </c>
      <c r="D290" s="85" t="str">
        <f aca="false">SRC_Perf!$O8</f>
        <v>Active</v>
      </c>
      <c r="E290" s="85" t="n">
        <f aca="false">SRC_Perf!$K8</f>
        <v>1</v>
      </c>
    </row>
    <row r="291" customFormat="false" ht="15" hidden="false" customHeight="false" outlineLevel="0" collapsed="false">
      <c r="A291" s="85" t="str">
        <f aca="false">SRC_Perf!$A9&amp;""</f>
        <v>SRC_PERF_005</v>
      </c>
      <c r="B291" s="54" t="s">
        <v>6245</v>
      </c>
      <c r="C291" s="53" t="n">
        <v>9</v>
      </c>
      <c r="D291" s="85" t="str">
        <f aca="false">SRC_Perf!$O9</f>
        <v>Active</v>
      </c>
      <c r="E291" s="85" t="n">
        <f aca="false">SRC_Perf!$K9</f>
        <v>1</v>
      </c>
    </row>
    <row r="292" customFormat="false" ht="15" hidden="false" customHeight="false" outlineLevel="0" collapsed="false">
      <c r="A292" s="85" t="str">
        <f aca="false">SRC_Perf!$A10&amp;""</f>
        <v>SRC_PERF_006</v>
      </c>
      <c r="B292" s="54" t="s">
        <v>6245</v>
      </c>
      <c r="C292" s="53" t="n">
        <v>10</v>
      </c>
      <c r="D292" s="85" t="str">
        <f aca="false">SRC_Perf!$O10</f>
        <v>Superseded</v>
      </c>
      <c r="E292" s="85" t="n">
        <f aca="false">SRC_Perf!$K10</f>
        <v>1</v>
      </c>
    </row>
    <row r="293" customFormat="false" ht="15" hidden="false" customHeight="false" outlineLevel="0" collapsed="false">
      <c r="A293" s="85" t="str">
        <f aca="false">SRC_Perf!$A11&amp;""</f>
        <v>SRC_PERF_007</v>
      </c>
      <c r="B293" s="54" t="s">
        <v>6245</v>
      </c>
      <c r="C293" s="53" t="n">
        <v>11</v>
      </c>
      <c r="D293" s="85" t="str">
        <f aca="false">SRC_Perf!$O11</f>
        <v>Active</v>
      </c>
      <c r="E293" s="85" t="n">
        <f aca="false">SRC_Perf!$K11</f>
        <v>1</v>
      </c>
    </row>
    <row r="294" customFormat="false" ht="15" hidden="false" customHeight="false" outlineLevel="0" collapsed="false">
      <c r="A294" s="85" t="str">
        <f aca="false">SRC_Perf!$A12&amp;""</f>
        <v>SRC_PERF_008</v>
      </c>
      <c r="B294" s="54" t="s">
        <v>6245</v>
      </c>
      <c r="C294" s="53" t="n">
        <v>12</v>
      </c>
      <c r="D294" s="85" t="str">
        <f aca="false">SRC_Perf!$O12</f>
        <v>Active</v>
      </c>
      <c r="E294" s="85" t="n">
        <f aca="false">SRC_Perf!$K12</f>
        <v>1</v>
      </c>
    </row>
    <row r="295" customFormat="false" ht="15" hidden="false" customHeight="false" outlineLevel="0" collapsed="false">
      <c r="A295" s="85" t="str">
        <f aca="false">SRC_Perf!$A13&amp;""</f>
        <v>SRC_PERF_009</v>
      </c>
      <c r="B295" s="54" t="s">
        <v>6245</v>
      </c>
      <c r="C295" s="53" t="n">
        <v>13</v>
      </c>
      <c r="D295" s="85" t="str">
        <f aca="false">SRC_Perf!$O13</f>
        <v>Active</v>
      </c>
      <c r="E295" s="85" t="n">
        <f aca="false">SRC_Perf!$K13</f>
        <v>2</v>
      </c>
    </row>
    <row r="296" customFormat="false" ht="15" hidden="false" customHeight="false" outlineLevel="0" collapsed="false">
      <c r="A296" s="85" t="str">
        <f aca="false">SRC_Perf!$A14&amp;""</f>
        <v>SRC_PERF_010</v>
      </c>
      <c r="B296" s="54" t="s">
        <v>6245</v>
      </c>
      <c r="C296" s="53" t="n">
        <v>14</v>
      </c>
      <c r="D296" s="85" t="str">
        <f aca="false">SRC_Perf!$O14</f>
        <v>Active</v>
      </c>
      <c r="E296" s="85" t="n">
        <f aca="false">SRC_Perf!$K14</f>
        <v>2</v>
      </c>
    </row>
    <row r="297" customFormat="false" ht="15" hidden="false" customHeight="false" outlineLevel="0" collapsed="false">
      <c r="A297" s="85" t="str">
        <f aca="false">SRC_Perf!$A15&amp;""</f>
        <v>SRC_PERF_011</v>
      </c>
      <c r="B297" s="54" t="s">
        <v>6245</v>
      </c>
      <c r="C297" s="53" t="n">
        <v>15</v>
      </c>
      <c r="D297" s="85" t="str">
        <f aca="false">SRC_Perf!$O15</f>
        <v>Active</v>
      </c>
      <c r="E297" s="85" t="n">
        <f aca="false">SRC_Perf!$K15</f>
        <v>3</v>
      </c>
    </row>
    <row r="298" customFormat="false" ht="15" hidden="false" customHeight="false" outlineLevel="0" collapsed="false">
      <c r="A298" s="85" t="str">
        <f aca="false">SRC_Perf!$A16&amp;""</f>
        <v>SRC_PERF_012</v>
      </c>
      <c r="B298" s="54" t="s">
        <v>6245</v>
      </c>
      <c r="C298" s="53" t="n">
        <v>16</v>
      </c>
      <c r="D298" s="85" t="str">
        <f aca="false">SRC_Perf!$O16</f>
        <v>Active</v>
      </c>
      <c r="E298" s="85" t="n">
        <f aca="false">SRC_Perf!$K16</f>
        <v>3</v>
      </c>
    </row>
    <row r="299" customFormat="false" ht="15" hidden="false" customHeight="false" outlineLevel="0" collapsed="false">
      <c r="A299" s="85" t="str">
        <f aca="false">SRC_Perf!$A17&amp;""</f>
        <v>SRC_PERF_013</v>
      </c>
      <c r="B299" s="54" t="s">
        <v>6245</v>
      </c>
      <c r="C299" s="53" t="n">
        <v>17</v>
      </c>
      <c r="D299" s="85" t="str">
        <f aca="false">SRC_Perf!$O17</f>
        <v>Active</v>
      </c>
      <c r="E299" s="85" t="n">
        <f aca="false">SRC_Perf!$K17</f>
        <v>3</v>
      </c>
    </row>
    <row r="300" customFormat="false" ht="15" hidden="false" customHeight="false" outlineLevel="0" collapsed="false">
      <c r="A300" s="85" t="str">
        <f aca="false">SRC_Perf!$A18&amp;""</f>
        <v>SRC_PERF_014</v>
      </c>
      <c r="B300" s="54" t="s">
        <v>6245</v>
      </c>
      <c r="C300" s="53" t="n">
        <v>18</v>
      </c>
      <c r="D300" s="85" t="str">
        <f aca="false">SRC_Perf!$O18</f>
        <v>Active</v>
      </c>
      <c r="E300" s="85" t="n">
        <f aca="false">SRC_Perf!$K18</f>
        <v>1</v>
      </c>
    </row>
    <row r="301" customFormat="false" ht="15" hidden="false" customHeight="false" outlineLevel="0" collapsed="false">
      <c r="A301" s="85" t="str">
        <f aca="false">SRC_Perf!$A19&amp;""</f>
        <v>SRC_PERF_015</v>
      </c>
      <c r="B301" s="54" t="s">
        <v>6245</v>
      </c>
      <c r="C301" s="53" t="n">
        <v>19</v>
      </c>
      <c r="D301" s="85" t="str">
        <f aca="false">SRC_Perf!$O19</f>
        <v>Active</v>
      </c>
      <c r="E301" s="85" t="n">
        <f aca="false">SRC_Perf!$K19</f>
        <v>1</v>
      </c>
    </row>
    <row r="302" customFormat="false" ht="15" hidden="false" customHeight="false" outlineLevel="0" collapsed="false">
      <c r="A302" s="85" t="str">
        <f aca="false">SRC_Perf!$A20&amp;""</f>
        <v>SRC_PERF_016</v>
      </c>
      <c r="B302" s="54" t="s">
        <v>6245</v>
      </c>
      <c r="C302" s="53" t="n">
        <v>20</v>
      </c>
      <c r="D302" s="85" t="str">
        <f aca="false">SRC_Perf!$O20</f>
        <v>Active</v>
      </c>
      <c r="E302" s="85" t="n">
        <f aca="false">SRC_Perf!$K20</f>
        <v>1</v>
      </c>
    </row>
    <row r="303" customFormat="false" ht="15" hidden="false" customHeight="false" outlineLevel="0" collapsed="false">
      <c r="A303" s="85" t="str">
        <f aca="false">SRC_Perf!$A21&amp;""</f>
        <v>SRC_PERF_017</v>
      </c>
      <c r="B303" s="54" t="s">
        <v>6245</v>
      </c>
      <c r="C303" s="53" t="n">
        <v>21</v>
      </c>
      <c r="D303" s="85" t="str">
        <f aca="false">SRC_Perf!$O21</f>
        <v>Active</v>
      </c>
      <c r="E303" s="85" t="n">
        <f aca="false">SRC_Perf!$K21</f>
        <v>1</v>
      </c>
    </row>
    <row r="304" customFormat="false" ht="15" hidden="false" customHeight="false" outlineLevel="0" collapsed="false">
      <c r="A304" s="85" t="str">
        <f aca="false">SRC_Perf!$A22&amp;""</f>
        <v>SRC_PERF_018</v>
      </c>
      <c r="B304" s="54" t="s">
        <v>6245</v>
      </c>
      <c r="C304" s="53" t="n">
        <v>22</v>
      </c>
      <c r="D304" s="85" t="str">
        <f aca="false">SRC_Perf!$O22</f>
        <v>Active</v>
      </c>
      <c r="E304" s="85" t="n">
        <f aca="false">SRC_Perf!$K22</f>
        <v>1</v>
      </c>
    </row>
    <row r="305" customFormat="false" ht="15" hidden="false" customHeight="false" outlineLevel="0" collapsed="false">
      <c r="A305" s="85" t="str">
        <f aca="false">SRC_Perf!$A23&amp;""</f>
        <v>SRC_PERF_019</v>
      </c>
      <c r="B305" s="54" t="s">
        <v>6245</v>
      </c>
      <c r="C305" s="53" t="n">
        <v>23</v>
      </c>
      <c r="D305" s="85" t="str">
        <f aca="false">SRC_Perf!$O23</f>
        <v>Active</v>
      </c>
      <c r="E305" s="85" t="n">
        <f aca="false">SRC_Perf!$K23</f>
        <v>1</v>
      </c>
    </row>
    <row r="306" customFormat="false" ht="15" hidden="false" customHeight="false" outlineLevel="0" collapsed="false">
      <c r="A306" s="85" t="str">
        <f aca="false">SRC_Perf!$A24&amp;""</f>
        <v>SRC_PERF_020</v>
      </c>
      <c r="B306" s="54" t="s">
        <v>6245</v>
      </c>
      <c r="C306" s="53" t="n">
        <v>24</v>
      </c>
      <c r="D306" s="85" t="str">
        <f aca="false">SRC_Perf!$O24</f>
        <v>Active</v>
      </c>
      <c r="E306" s="85" t="n">
        <f aca="false">SRC_Perf!$K24</f>
        <v>1</v>
      </c>
    </row>
    <row r="307" customFormat="false" ht="15" hidden="false" customHeight="false" outlineLevel="0" collapsed="false">
      <c r="A307" s="85" t="str">
        <f aca="false">SRC_Perf!$A25&amp;""</f>
        <v>SRC_PERF_021</v>
      </c>
      <c r="B307" s="54" t="s">
        <v>6245</v>
      </c>
      <c r="C307" s="53" t="n">
        <v>25</v>
      </c>
      <c r="D307" s="85" t="str">
        <f aca="false">SRC_Perf!$O25</f>
        <v>Active</v>
      </c>
      <c r="E307" s="85" t="n">
        <f aca="false">SRC_Perf!$K25</f>
        <v>1</v>
      </c>
    </row>
    <row r="308" customFormat="false" ht="15" hidden="false" customHeight="false" outlineLevel="0" collapsed="false">
      <c r="A308" s="85" t="str">
        <f aca="false">SRC_Perf!$A26&amp;""</f>
        <v>SRC_PERF_022</v>
      </c>
      <c r="B308" s="54" t="s">
        <v>6245</v>
      </c>
      <c r="C308" s="53" t="n">
        <v>26</v>
      </c>
      <c r="D308" s="85" t="str">
        <f aca="false">SRC_Perf!$O26</f>
        <v>Active</v>
      </c>
      <c r="E308" s="85" t="n">
        <f aca="false">SRC_Perf!$K26</f>
        <v>1</v>
      </c>
    </row>
    <row r="309" customFormat="false" ht="15" hidden="false" customHeight="false" outlineLevel="0" collapsed="false">
      <c r="A309" s="85" t="str">
        <f aca="false">SRC_Perf!$A27&amp;""</f>
        <v>SRC_PERF_023</v>
      </c>
      <c r="B309" s="54" t="s">
        <v>6245</v>
      </c>
      <c r="C309" s="53" t="n">
        <v>27</v>
      </c>
      <c r="D309" s="85" t="str">
        <f aca="false">SRC_Perf!$O27</f>
        <v>Active</v>
      </c>
      <c r="E309" s="85" t="n">
        <f aca="false">SRC_Perf!$K27</f>
        <v>3</v>
      </c>
    </row>
    <row r="310" customFormat="false" ht="15" hidden="false" customHeight="false" outlineLevel="0" collapsed="false">
      <c r="A310" s="85" t="str">
        <f aca="false">SRC_Perf!$A28&amp;""</f>
        <v>SRC_PERF_024</v>
      </c>
      <c r="B310" s="54" t="s">
        <v>6245</v>
      </c>
      <c r="C310" s="53" t="n">
        <v>28</v>
      </c>
      <c r="D310" s="85" t="str">
        <f aca="false">SRC_Perf!$O28</f>
        <v>Active</v>
      </c>
      <c r="E310" s="85" t="n">
        <f aca="false">SRC_Perf!$K28</f>
        <v>2</v>
      </c>
    </row>
    <row r="311" customFormat="false" ht="15" hidden="false" customHeight="false" outlineLevel="0" collapsed="false">
      <c r="A311" s="85" t="str">
        <f aca="false">SRC_Perf!$A29&amp;""</f>
        <v>SRC_PERF_025</v>
      </c>
      <c r="B311" s="54" t="s">
        <v>6245</v>
      </c>
      <c r="C311" s="53" t="n">
        <v>29</v>
      </c>
      <c r="D311" s="85" t="str">
        <f aca="false">SRC_Perf!$O29</f>
        <v>Active</v>
      </c>
      <c r="E311" s="85" t="n">
        <f aca="false">SRC_Perf!$K29</f>
        <v>2</v>
      </c>
    </row>
    <row r="312" customFormat="false" ht="15" hidden="false" customHeight="false" outlineLevel="0" collapsed="false">
      <c r="A312" s="85" t="str">
        <f aca="false">SRC_Perf!$A30&amp;""</f>
        <v>SRC_PERF_026</v>
      </c>
      <c r="B312" s="54" t="s">
        <v>6245</v>
      </c>
      <c r="C312" s="53" t="n">
        <v>30</v>
      </c>
      <c r="D312" s="85" t="str">
        <f aca="false">SRC_Perf!$O30</f>
        <v>Active</v>
      </c>
      <c r="E312" s="85" t="n">
        <f aca="false">SRC_Perf!$K30</f>
        <v>2</v>
      </c>
    </row>
    <row r="313" customFormat="false" ht="15" hidden="false" customHeight="false" outlineLevel="0" collapsed="false">
      <c r="A313" s="85" t="str">
        <f aca="false">SRC_Perf!$A31&amp;""</f>
        <v>SRC_PERF_027</v>
      </c>
      <c r="B313" s="54" t="s">
        <v>6245</v>
      </c>
      <c r="C313" s="53" t="n">
        <v>31</v>
      </c>
      <c r="D313" s="85" t="str">
        <f aca="false">SRC_Perf!$O31</f>
        <v>Active</v>
      </c>
      <c r="E313" s="85" t="n">
        <f aca="false">SRC_Perf!$K31</f>
        <v>1</v>
      </c>
    </row>
    <row r="314" customFormat="false" ht="15" hidden="false" customHeight="false" outlineLevel="0" collapsed="false">
      <c r="A314" s="85" t="str">
        <f aca="false">SRC_Perf!$A32&amp;""</f>
        <v>SRC_PERF_028</v>
      </c>
      <c r="B314" s="54" t="s">
        <v>6245</v>
      </c>
      <c r="C314" s="53" t="n">
        <v>32</v>
      </c>
      <c r="D314" s="85" t="str">
        <f aca="false">SRC_Perf!$O32</f>
        <v>Active</v>
      </c>
      <c r="E314" s="85" t="n">
        <f aca="false">SRC_Perf!$K32</f>
        <v>1</v>
      </c>
    </row>
    <row r="315" customFormat="false" ht="15" hidden="false" customHeight="false" outlineLevel="0" collapsed="false">
      <c r="A315" s="85" t="str">
        <f aca="false">SRC_Perf!$A33&amp;""</f>
        <v>SRC_PERF_029</v>
      </c>
      <c r="B315" s="54" t="s">
        <v>6245</v>
      </c>
      <c r="C315" s="53" t="n">
        <v>33</v>
      </c>
      <c r="D315" s="85" t="str">
        <f aca="false">SRC_Perf!$O33</f>
        <v>Active</v>
      </c>
      <c r="E315" s="85" t="n">
        <f aca="false">SRC_Perf!$K33</f>
        <v>1</v>
      </c>
    </row>
    <row r="316" customFormat="false" ht="15" hidden="false" customHeight="false" outlineLevel="0" collapsed="false">
      <c r="A316" s="85" t="str">
        <f aca="false">SRC_Perf!$A34&amp;""</f>
        <v>SRC_PERF_030</v>
      </c>
      <c r="B316" s="54" t="s">
        <v>6245</v>
      </c>
      <c r="C316" s="53" t="n">
        <v>34</v>
      </c>
      <c r="D316" s="85" t="str">
        <f aca="false">SRC_Perf!$O34</f>
        <v>Active</v>
      </c>
      <c r="E316" s="85" t="n">
        <f aca="false">SRC_Perf!$K34</f>
        <v>1</v>
      </c>
    </row>
    <row r="317" customFormat="false" ht="15" hidden="false" customHeight="false" outlineLevel="0" collapsed="false">
      <c r="A317" s="85" t="str">
        <f aca="false">SRC_Perf!$A35&amp;""</f>
        <v>SRC_PERF_031</v>
      </c>
      <c r="B317" s="54" t="s">
        <v>6245</v>
      </c>
      <c r="C317" s="53" t="n">
        <v>35</v>
      </c>
      <c r="D317" s="85" t="str">
        <f aca="false">SRC_Perf!$O35</f>
        <v>Active</v>
      </c>
      <c r="E317" s="85" t="n">
        <f aca="false">SRC_Perf!$K35</f>
        <v>1</v>
      </c>
    </row>
    <row r="318" customFormat="false" ht="15" hidden="false" customHeight="false" outlineLevel="0" collapsed="false">
      <c r="A318" s="85" t="str">
        <f aca="false">SRC_Perf!$A36&amp;""</f>
        <v>SRC_PERF_032</v>
      </c>
      <c r="B318" s="54" t="s">
        <v>6245</v>
      </c>
      <c r="C318" s="53" t="n">
        <v>36</v>
      </c>
      <c r="D318" s="85" t="str">
        <f aca="false">SRC_Perf!$O36</f>
        <v>Active</v>
      </c>
      <c r="E318" s="85" t="n">
        <f aca="false">SRC_Perf!$K36</f>
        <v>1</v>
      </c>
    </row>
    <row r="319" customFormat="false" ht="15" hidden="false" customHeight="false" outlineLevel="0" collapsed="false">
      <c r="A319" s="85" t="str">
        <f aca="false">SRC_Perf!$A37&amp;""</f>
        <v>SRC_PERF_033</v>
      </c>
      <c r="B319" s="54" t="s">
        <v>6245</v>
      </c>
      <c r="C319" s="53" t="n">
        <v>37</v>
      </c>
      <c r="D319" s="85" t="str">
        <f aca="false">SRC_Perf!$O37</f>
        <v>Active</v>
      </c>
      <c r="E319" s="85" t="n">
        <f aca="false">SRC_Perf!$K37</f>
        <v>1</v>
      </c>
    </row>
    <row r="320" customFormat="false" ht="15" hidden="false" customHeight="false" outlineLevel="0" collapsed="false">
      <c r="A320" s="85" t="str">
        <f aca="false">SRC_Perf!$A38&amp;""</f>
        <v>SRC_PERF_034</v>
      </c>
      <c r="B320" s="54" t="s">
        <v>6245</v>
      </c>
      <c r="C320" s="53" t="n">
        <v>38</v>
      </c>
      <c r="D320" s="85" t="str">
        <f aca="false">SRC_Perf!$O38</f>
        <v>Active</v>
      </c>
      <c r="E320" s="85" t="n">
        <f aca="false">SRC_Perf!$K38</f>
        <v>1</v>
      </c>
    </row>
    <row r="321" customFormat="false" ht="15" hidden="false" customHeight="false" outlineLevel="0" collapsed="false">
      <c r="A321" s="85" t="str">
        <f aca="false">SRC_Perf!$A39&amp;""</f>
        <v>SRC_PERF_035</v>
      </c>
      <c r="B321" s="54" t="s">
        <v>6245</v>
      </c>
      <c r="C321" s="53" t="n">
        <v>39</v>
      </c>
      <c r="D321" s="85" t="str">
        <f aca="false">SRC_Perf!$O39</f>
        <v>Active</v>
      </c>
      <c r="E321" s="85" t="n">
        <f aca="false">SRC_Perf!$K39</f>
        <v>1</v>
      </c>
    </row>
    <row r="322" customFormat="false" ht="15" hidden="false" customHeight="false" outlineLevel="0" collapsed="false">
      <c r="A322" s="85" t="str">
        <f aca="false">SRC_Perf!$A40&amp;""</f>
        <v>SRC_PERF_036</v>
      </c>
      <c r="B322" s="54" t="s">
        <v>6245</v>
      </c>
      <c r="C322" s="53" t="n">
        <v>40</v>
      </c>
      <c r="D322" s="85" t="str">
        <f aca="false">SRC_Perf!$O40</f>
        <v>Active</v>
      </c>
      <c r="E322" s="85" t="n">
        <f aca="false">SRC_Perf!$K40</f>
        <v>1</v>
      </c>
    </row>
    <row r="323" customFormat="false" ht="15" hidden="false" customHeight="false" outlineLevel="0" collapsed="false">
      <c r="A323" s="85" t="str">
        <f aca="false">SRC_Perf!$A41&amp;""</f>
        <v>SRC_PERF_037</v>
      </c>
      <c r="B323" s="54" t="s">
        <v>6245</v>
      </c>
      <c r="C323" s="53" t="n">
        <v>41</v>
      </c>
      <c r="D323" s="85" t="str">
        <f aca="false">SRC_Perf!$O41</f>
        <v>Active</v>
      </c>
      <c r="E323" s="85" t="n">
        <f aca="false">SRC_Perf!$K41</f>
        <v>1</v>
      </c>
    </row>
    <row r="324" customFormat="false" ht="15" hidden="false" customHeight="false" outlineLevel="0" collapsed="false">
      <c r="A324" s="85" t="str">
        <f aca="false">SRC_Perf!$A42&amp;""</f>
        <v>SRC_PERF_038</v>
      </c>
      <c r="B324" s="54" t="s">
        <v>6245</v>
      </c>
      <c r="C324" s="53" t="n">
        <v>42</v>
      </c>
      <c r="D324" s="85" t="str">
        <f aca="false">SRC_Perf!$O42</f>
        <v>Active</v>
      </c>
      <c r="E324" s="85" t="n">
        <f aca="false">SRC_Perf!$K42</f>
        <v>1</v>
      </c>
    </row>
    <row r="325" customFormat="false" ht="15" hidden="false" customHeight="false" outlineLevel="0" collapsed="false">
      <c r="A325" s="85" t="str">
        <f aca="false">SRC_Perf!$A43&amp;""</f>
        <v>SRC_PERF_039</v>
      </c>
      <c r="B325" s="54" t="s">
        <v>6245</v>
      </c>
      <c r="C325" s="53" t="n">
        <v>43</v>
      </c>
      <c r="D325" s="85" t="str">
        <f aca="false">SRC_Perf!$O43</f>
        <v>Active</v>
      </c>
      <c r="E325" s="85" t="n">
        <f aca="false">SRC_Perf!$K43</f>
        <v>1</v>
      </c>
    </row>
    <row r="326" customFormat="false" ht="15" hidden="false" customHeight="false" outlineLevel="0" collapsed="false">
      <c r="A326" s="85" t="str">
        <f aca="false">SRC_Perf!$A44&amp;""</f>
        <v>SRC_PERF_040</v>
      </c>
      <c r="B326" s="54" t="s">
        <v>6245</v>
      </c>
      <c r="C326" s="53" t="n">
        <v>44</v>
      </c>
      <c r="D326" s="85" t="str">
        <f aca="false">SRC_Perf!$O44</f>
        <v>Active</v>
      </c>
      <c r="E326" s="85" t="n">
        <f aca="false">SRC_Perf!$K44</f>
        <v>1</v>
      </c>
    </row>
    <row r="327" customFormat="false" ht="15" hidden="false" customHeight="false" outlineLevel="0" collapsed="false">
      <c r="A327" s="85" t="str">
        <f aca="false">SRC_Perf!$A45&amp;""</f>
        <v>SRC_PERF_041</v>
      </c>
      <c r="B327" s="54" t="s">
        <v>6245</v>
      </c>
      <c r="C327" s="53" t="n">
        <v>45</v>
      </c>
      <c r="D327" s="85" t="str">
        <f aca="false">SRC_Perf!$O45</f>
        <v>Active</v>
      </c>
      <c r="E327" s="85" t="n">
        <f aca="false">SRC_Perf!$K45</f>
        <v>1</v>
      </c>
    </row>
    <row r="328" customFormat="false" ht="15" hidden="false" customHeight="false" outlineLevel="0" collapsed="false">
      <c r="A328" s="85" t="str">
        <f aca="false">SRC_Perf!$A46&amp;""</f>
        <v>SRC_PERF_042</v>
      </c>
      <c r="B328" s="54" t="s">
        <v>6245</v>
      </c>
      <c r="C328" s="53" t="n">
        <v>46</v>
      </c>
      <c r="D328" s="85" t="str">
        <f aca="false">SRC_Perf!$O46</f>
        <v>Active</v>
      </c>
      <c r="E328" s="85" t="n">
        <f aca="false">SRC_Perf!$K46</f>
        <v>1</v>
      </c>
    </row>
    <row r="329" customFormat="false" ht="15" hidden="false" customHeight="false" outlineLevel="0" collapsed="false">
      <c r="A329" s="85" t="str">
        <f aca="false">SRC_Perf!$A47&amp;""</f>
        <v>SRC_PERF_043</v>
      </c>
      <c r="B329" s="54" t="s">
        <v>6245</v>
      </c>
      <c r="C329" s="53" t="n">
        <v>47</v>
      </c>
      <c r="D329" s="85" t="str">
        <f aca="false">SRC_Perf!$O47</f>
        <v>Active</v>
      </c>
      <c r="E329" s="85" t="n">
        <f aca="false">SRC_Perf!$K47</f>
        <v>1</v>
      </c>
    </row>
    <row r="330" customFormat="false" ht="15" hidden="false" customHeight="false" outlineLevel="0" collapsed="false">
      <c r="A330" s="85" t="str">
        <f aca="false">SRC_Perf!$A48&amp;""</f>
        <v>SRC_PERF_044</v>
      </c>
      <c r="B330" s="54" t="s">
        <v>6245</v>
      </c>
      <c r="C330" s="53" t="n">
        <v>48</v>
      </c>
      <c r="D330" s="85" t="str">
        <f aca="false">SRC_Perf!$O48</f>
        <v>Active</v>
      </c>
      <c r="E330" s="85" t="n">
        <f aca="false">SRC_Perf!$K48</f>
        <v>1</v>
      </c>
    </row>
    <row r="331" customFormat="false" ht="15" hidden="false" customHeight="false" outlineLevel="0" collapsed="false">
      <c r="A331" s="85" t="str">
        <f aca="false">SRC_Perf!$A49&amp;""</f>
        <v>SRC_PERF_045</v>
      </c>
      <c r="B331" s="54" t="s">
        <v>6245</v>
      </c>
      <c r="C331" s="53" t="n">
        <v>49</v>
      </c>
      <c r="D331" s="85" t="str">
        <f aca="false">SRC_Perf!$O49</f>
        <v>Active</v>
      </c>
      <c r="E331" s="85" t="n">
        <f aca="false">SRC_Perf!$K49</f>
        <v>1</v>
      </c>
    </row>
    <row r="332" customFormat="false" ht="15" hidden="false" customHeight="false" outlineLevel="0" collapsed="false">
      <c r="A332" s="85" t="str">
        <f aca="false">SRC_Perf!$A50&amp;""</f>
        <v>SRC_PERF_046</v>
      </c>
      <c r="B332" s="54" t="s">
        <v>6245</v>
      </c>
      <c r="C332" s="53" t="n">
        <v>50</v>
      </c>
      <c r="D332" s="85" t="str">
        <f aca="false">SRC_Perf!$O50</f>
        <v>Active</v>
      </c>
      <c r="E332" s="85" t="n">
        <f aca="false">SRC_Perf!$K50</f>
        <v>1</v>
      </c>
    </row>
    <row r="333" customFormat="false" ht="15" hidden="false" customHeight="false" outlineLevel="0" collapsed="false">
      <c r="A333" s="85" t="str">
        <f aca="false">SRC_Perf!$A51&amp;""</f>
        <v>SRC_PERF_047</v>
      </c>
      <c r="B333" s="54" t="s">
        <v>6245</v>
      </c>
      <c r="C333" s="53" t="n">
        <v>51</v>
      </c>
      <c r="D333" s="85" t="str">
        <f aca="false">SRC_Perf!$O51</f>
        <v>Active</v>
      </c>
      <c r="E333" s="85" t="n">
        <f aca="false">SRC_Perf!$K51</f>
        <v>1</v>
      </c>
    </row>
    <row r="334" customFormat="false" ht="15" hidden="false" customHeight="false" outlineLevel="0" collapsed="false">
      <c r="A334" s="85" t="str">
        <f aca="false">SRC_Perf!$A52&amp;""</f>
        <v>SRC_PERF_048</v>
      </c>
      <c r="B334" s="54" t="s">
        <v>6245</v>
      </c>
      <c r="C334" s="53" t="n">
        <v>52</v>
      </c>
      <c r="D334" s="85" t="str">
        <f aca="false">SRC_Perf!$O52</f>
        <v>Active</v>
      </c>
      <c r="E334" s="85" t="n">
        <f aca="false">SRC_Perf!$K52</f>
        <v>1</v>
      </c>
    </row>
    <row r="335" customFormat="false" ht="15" hidden="false" customHeight="false" outlineLevel="0" collapsed="false">
      <c r="A335" s="85" t="str">
        <f aca="false">SRC_Perf!$A53&amp;""</f>
        <v>SRC_PERF_049</v>
      </c>
      <c r="B335" s="54" t="s">
        <v>6245</v>
      </c>
      <c r="C335" s="53" t="n">
        <v>53</v>
      </c>
      <c r="D335" s="85" t="str">
        <f aca="false">SRC_Perf!$O53</f>
        <v>Active</v>
      </c>
      <c r="E335" s="85" t="n">
        <f aca="false">SRC_Perf!$K53</f>
        <v>1</v>
      </c>
    </row>
    <row r="336" customFormat="false" ht="15" hidden="false" customHeight="false" outlineLevel="0" collapsed="false">
      <c r="A336" s="85" t="str">
        <f aca="false">SRC_Perf!$A54&amp;""</f>
        <v>SRC_PERF_050</v>
      </c>
      <c r="B336" s="54" t="s">
        <v>6245</v>
      </c>
      <c r="C336" s="53" t="n">
        <v>54</v>
      </c>
      <c r="D336" s="85" t="str">
        <f aca="false">SRC_Perf!$O54</f>
        <v>Active</v>
      </c>
      <c r="E336" s="85" t="n">
        <f aca="false">SRC_Perf!$K54</f>
        <v>1</v>
      </c>
    </row>
    <row r="337" customFormat="false" ht="15" hidden="false" customHeight="false" outlineLevel="0" collapsed="false">
      <c r="A337" s="85" t="str">
        <f aca="false">SRC_Perf!$A55&amp;""</f>
        <v>SRC_PERF_051</v>
      </c>
      <c r="B337" s="54" t="s">
        <v>6245</v>
      </c>
      <c r="C337" s="53" t="n">
        <v>55</v>
      </c>
      <c r="D337" s="85" t="str">
        <f aca="false">SRC_Perf!$O55</f>
        <v>Active</v>
      </c>
      <c r="E337" s="85" t="n">
        <f aca="false">SRC_Perf!$K55</f>
        <v>1</v>
      </c>
    </row>
    <row r="338" customFormat="false" ht="15" hidden="false" customHeight="false" outlineLevel="0" collapsed="false">
      <c r="A338" s="85" t="str">
        <f aca="false">SRC_Perf!$A56&amp;""</f>
        <v>SRC_PERF_052</v>
      </c>
      <c r="B338" s="54" t="s">
        <v>6245</v>
      </c>
      <c r="C338" s="53" t="n">
        <v>56</v>
      </c>
      <c r="D338" s="85" t="str">
        <f aca="false">SRC_Perf!$O56</f>
        <v>Active</v>
      </c>
      <c r="E338" s="85" t="n">
        <f aca="false">SRC_Perf!$K56</f>
        <v>1</v>
      </c>
    </row>
    <row r="339" customFormat="false" ht="15" hidden="false" customHeight="false" outlineLevel="0" collapsed="false">
      <c r="A339" s="85" t="str">
        <f aca="false">SRC_Perf!$A57&amp;""</f>
        <v>SRC_PERF_053</v>
      </c>
      <c r="B339" s="54" t="s">
        <v>6245</v>
      </c>
      <c r="C339" s="53" t="n">
        <v>57</v>
      </c>
      <c r="D339" s="85" t="str">
        <f aca="false">SRC_Perf!$O57</f>
        <v>Active</v>
      </c>
      <c r="E339" s="85" t="n">
        <f aca="false">SRC_Perf!$K57</f>
        <v>1</v>
      </c>
    </row>
    <row r="340" customFormat="false" ht="15" hidden="false" customHeight="false" outlineLevel="0" collapsed="false">
      <c r="A340" s="85" t="str">
        <f aca="false">SRC_Perf!$A58&amp;""</f>
        <v>SRC_PERF_054</v>
      </c>
      <c r="B340" s="54" t="s">
        <v>6245</v>
      </c>
      <c r="C340" s="53" t="n">
        <v>58</v>
      </c>
      <c r="D340" s="85" t="str">
        <f aca="false">SRC_Perf!$O58</f>
        <v>Active</v>
      </c>
      <c r="E340" s="85" t="n">
        <f aca="false">SRC_Perf!$K58</f>
        <v>1</v>
      </c>
    </row>
    <row r="341" customFormat="false" ht="15" hidden="false" customHeight="false" outlineLevel="0" collapsed="false">
      <c r="A341" s="85" t="str">
        <f aca="false">SRC_Perf!$A59&amp;""</f>
        <v>SRC_PERF_055</v>
      </c>
      <c r="B341" s="54" t="s">
        <v>6245</v>
      </c>
      <c r="C341" s="53" t="n">
        <v>59</v>
      </c>
      <c r="D341" s="85" t="str">
        <f aca="false">SRC_Perf!$O59</f>
        <v>Active</v>
      </c>
      <c r="E341" s="85" t="n">
        <f aca="false">SRC_Perf!$K59</f>
        <v>1</v>
      </c>
    </row>
    <row r="342" customFormat="false" ht="15" hidden="false" customHeight="false" outlineLevel="0" collapsed="false">
      <c r="A342" s="85" t="str">
        <f aca="false">SRC_Perf!$A60&amp;""</f>
        <v>SRC_PERF_056</v>
      </c>
      <c r="B342" s="54" t="s">
        <v>6245</v>
      </c>
      <c r="C342" s="53" t="n">
        <v>60</v>
      </c>
      <c r="D342" s="85" t="str">
        <f aca="false">SRC_Perf!$O60</f>
        <v>Active</v>
      </c>
      <c r="E342" s="85" t="n">
        <f aca="false">SRC_Perf!$K60</f>
        <v>1</v>
      </c>
    </row>
    <row r="343" customFormat="false" ht="15" hidden="false" customHeight="false" outlineLevel="0" collapsed="false">
      <c r="A343" s="85" t="str">
        <f aca="false">SRC_Perf!$A61&amp;""</f>
        <v>SRC_PERF_057</v>
      </c>
      <c r="B343" s="54" t="s">
        <v>6245</v>
      </c>
      <c r="C343" s="53" t="n">
        <v>61</v>
      </c>
      <c r="D343" s="85" t="str">
        <f aca="false">SRC_Perf!$O61</f>
        <v>Active</v>
      </c>
      <c r="E343" s="85" t="n">
        <f aca="false">SRC_Perf!$K61</f>
        <v>1</v>
      </c>
    </row>
    <row r="344" customFormat="false" ht="15" hidden="false" customHeight="false" outlineLevel="0" collapsed="false">
      <c r="A344" s="85" t="str">
        <f aca="false">SRC_Perf!$A62&amp;""</f>
        <v>SRC_PERF_058</v>
      </c>
      <c r="B344" s="54" t="s">
        <v>6245</v>
      </c>
      <c r="C344" s="53" t="n">
        <v>62</v>
      </c>
      <c r="D344" s="85" t="str">
        <f aca="false">SRC_Perf!$O62</f>
        <v>Active</v>
      </c>
      <c r="E344" s="85" t="n">
        <f aca="false">SRC_Perf!$K62</f>
        <v>1</v>
      </c>
    </row>
    <row r="345" customFormat="false" ht="15" hidden="false" customHeight="false" outlineLevel="0" collapsed="false">
      <c r="A345" s="85" t="str">
        <f aca="false">SRC_Perf!$A63&amp;""</f>
        <v>SRC_PERF_059</v>
      </c>
      <c r="B345" s="54" t="s">
        <v>6245</v>
      </c>
      <c r="C345" s="53" t="n">
        <v>63</v>
      </c>
      <c r="D345" s="85" t="str">
        <f aca="false">SRC_Perf!$O63</f>
        <v>Active</v>
      </c>
      <c r="E345" s="85" t="n">
        <f aca="false">SRC_Perf!$K63</f>
        <v>1</v>
      </c>
    </row>
    <row r="346" customFormat="false" ht="15" hidden="false" customHeight="false" outlineLevel="0" collapsed="false">
      <c r="A346" s="85" t="str">
        <f aca="false">SRC_Perf!$A64&amp;""</f>
        <v/>
      </c>
      <c r="B346" s="54" t="s">
        <v>6245</v>
      </c>
      <c r="C346" s="53" t="n">
        <v>64</v>
      </c>
      <c r="D346" s="85" t="n">
        <f aca="false">SRC_Perf!$O64</f>
        <v>0</v>
      </c>
      <c r="E346" s="85" t="n">
        <f aca="false">SRC_Perf!$K64</f>
        <v>0</v>
      </c>
    </row>
    <row r="347" customFormat="false" ht="15" hidden="false" customHeight="false" outlineLevel="0" collapsed="false">
      <c r="A347" s="85" t="str">
        <f aca="false">SRC_Perf!$A65&amp;""</f>
        <v/>
      </c>
      <c r="B347" s="54" t="s">
        <v>6245</v>
      </c>
      <c r="C347" s="53" t="n">
        <v>65</v>
      </c>
      <c r="D347" s="85" t="n">
        <f aca="false">SRC_Perf!$O65</f>
        <v>0</v>
      </c>
      <c r="E347" s="85" t="n">
        <f aca="false">SRC_Perf!$K65</f>
        <v>0</v>
      </c>
    </row>
    <row r="348" customFormat="false" ht="15" hidden="false" customHeight="false" outlineLevel="0" collapsed="false">
      <c r="A348" s="85" t="str">
        <f aca="false">SRC_Perf!$A66&amp;""</f>
        <v/>
      </c>
      <c r="B348" s="54" t="s">
        <v>6245</v>
      </c>
      <c r="C348" s="53" t="n">
        <v>66</v>
      </c>
      <c r="D348" s="85" t="n">
        <f aca="false">SRC_Perf!$O66</f>
        <v>0</v>
      </c>
      <c r="E348" s="85" t="n">
        <f aca="false">SRC_Perf!$K66</f>
        <v>0</v>
      </c>
    </row>
    <row r="349" customFormat="false" ht="15" hidden="false" customHeight="false" outlineLevel="0" collapsed="false">
      <c r="A349" s="85" t="str">
        <f aca="false">SRC_Perf!$A67&amp;""</f>
        <v/>
      </c>
      <c r="B349" s="54" t="s">
        <v>6245</v>
      </c>
      <c r="C349" s="53" t="n">
        <v>67</v>
      </c>
      <c r="D349" s="85" t="n">
        <f aca="false">SRC_Perf!$O67</f>
        <v>0</v>
      </c>
      <c r="E349" s="85" t="n">
        <f aca="false">SRC_Perf!$K67</f>
        <v>0</v>
      </c>
    </row>
    <row r="350" customFormat="false" ht="15" hidden="false" customHeight="false" outlineLevel="0" collapsed="false">
      <c r="A350" s="85" t="str">
        <f aca="false">SRC_Perf!$A68&amp;""</f>
        <v/>
      </c>
      <c r="B350" s="54" t="s">
        <v>6245</v>
      </c>
      <c r="C350" s="53" t="n">
        <v>68</v>
      </c>
      <c r="D350" s="85" t="n">
        <f aca="false">SRC_Perf!$O68</f>
        <v>0</v>
      </c>
      <c r="E350" s="85" t="n">
        <f aca="false">SRC_Perf!$K68</f>
        <v>0</v>
      </c>
    </row>
    <row r="351" customFormat="false" ht="15" hidden="false" customHeight="false" outlineLevel="0" collapsed="false">
      <c r="A351" s="85" t="str">
        <f aca="false">SRC_Perf!$A69&amp;""</f>
        <v/>
      </c>
      <c r="B351" s="54" t="s">
        <v>6245</v>
      </c>
      <c r="C351" s="53" t="n">
        <v>69</v>
      </c>
      <c r="D351" s="85" t="n">
        <f aca="false">SRC_Perf!$O69</f>
        <v>0</v>
      </c>
      <c r="E351" s="85" t="n">
        <f aca="false">SRC_Perf!$K69</f>
        <v>0</v>
      </c>
    </row>
    <row r="352" customFormat="false" ht="15" hidden="false" customHeight="false" outlineLevel="0" collapsed="false">
      <c r="A352" s="85" t="str">
        <f aca="false">SRC_Perf!$A70&amp;""</f>
        <v/>
      </c>
      <c r="B352" s="54" t="s">
        <v>6245</v>
      </c>
      <c r="C352" s="53" t="n">
        <v>70</v>
      </c>
      <c r="D352" s="85" t="n">
        <f aca="false">SRC_Perf!$O70</f>
        <v>0</v>
      </c>
      <c r="E352" s="85" t="n">
        <f aca="false">SRC_Perf!$K70</f>
        <v>0</v>
      </c>
    </row>
    <row r="353" customFormat="false" ht="15" hidden="false" customHeight="false" outlineLevel="0" collapsed="false">
      <c r="A353" s="85" t="str">
        <f aca="false">SRC_Perf!$A71&amp;""</f>
        <v/>
      </c>
      <c r="B353" s="54" t="s">
        <v>6245</v>
      </c>
      <c r="C353" s="53" t="n">
        <v>71</v>
      </c>
      <c r="D353" s="85" t="n">
        <f aca="false">SRC_Perf!$O71</f>
        <v>0</v>
      </c>
      <c r="E353" s="85" t="n">
        <f aca="false">SRC_Perf!$K71</f>
        <v>0</v>
      </c>
    </row>
    <row r="354" customFormat="false" ht="15" hidden="false" customHeight="false" outlineLevel="0" collapsed="false">
      <c r="A354" s="85" t="str">
        <f aca="false">SRC_Perf!$A72&amp;""</f>
        <v/>
      </c>
      <c r="B354" s="54" t="s">
        <v>6245</v>
      </c>
      <c r="C354" s="53" t="n">
        <v>72</v>
      </c>
      <c r="D354" s="85" t="n">
        <f aca="false">SRC_Perf!$O72</f>
        <v>0</v>
      </c>
      <c r="E354" s="85" t="n">
        <f aca="false">SRC_Perf!$K72</f>
        <v>0</v>
      </c>
    </row>
    <row r="355" customFormat="false" ht="15" hidden="false" customHeight="false" outlineLevel="0" collapsed="false">
      <c r="A355" s="85" t="str">
        <f aca="false">SRC_Perf!$A73&amp;""</f>
        <v/>
      </c>
      <c r="B355" s="54" t="s">
        <v>6245</v>
      </c>
      <c r="C355" s="53" t="n">
        <v>73</v>
      </c>
      <c r="D355" s="85" t="n">
        <f aca="false">SRC_Perf!$O73</f>
        <v>0</v>
      </c>
      <c r="E355" s="85" t="n">
        <f aca="false">SRC_Perf!$K73</f>
        <v>0</v>
      </c>
    </row>
    <row r="356" customFormat="false" ht="15" hidden="false" customHeight="false" outlineLevel="0" collapsed="false">
      <c r="A356" s="85" t="str">
        <f aca="false">SRC_Perf!$A74&amp;""</f>
        <v/>
      </c>
      <c r="B356" s="54" t="s">
        <v>6245</v>
      </c>
      <c r="C356" s="53" t="n">
        <v>74</v>
      </c>
      <c r="D356" s="85" t="n">
        <f aca="false">SRC_Perf!$O74</f>
        <v>0</v>
      </c>
      <c r="E356" s="85" t="n">
        <f aca="false">SRC_Perf!$K74</f>
        <v>0</v>
      </c>
    </row>
    <row r="357" customFormat="false" ht="15" hidden="false" customHeight="false" outlineLevel="0" collapsed="false">
      <c r="A357" s="85" t="str">
        <f aca="false">SRC_Perf!$A75&amp;""</f>
        <v/>
      </c>
      <c r="B357" s="54" t="s">
        <v>6245</v>
      </c>
      <c r="C357" s="53" t="n">
        <v>75</v>
      </c>
      <c r="D357" s="85" t="n">
        <f aca="false">SRC_Perf!$O75</f>
        <v>0</v>
      </c>
      <c r="E357" s="85" t="n">
        <f aca="false">SRC_Perf!$K75</f>
        <v>0</v>
      </c>
    </row>
    <row r="358" customFormat="false" ht="15" hidden="false" customHeight="false" outlineLevel="0" collapsed="false">
      <c r="A358" s="85" t="str">
        <f aca="false">SRC_Perf!$A76&amp;""</f>
        <v/>
      </c>
      <c r="B358" s="54" t="s">
        <v>6245</v>
      </c>
      <c r="C358" s="53" t="n">
        <v>76</v>
      </c>
      <c r="D358" s="85" t="n">
        <f aca="false">SRC_Perf!$O76</f>
        <v>0</v>
      </c>
      <c r="E358" s="85" t="n">
        <f aca="false">SRC_Perf!$K76</f>
        <v>0</v>
      </c>
    </row>
    <row r="359" customFormat="false" ht="15" hidden="false" customHeight="false" outlineLevel="0" collapsed="false">
      <c r="A359" s="85" t="str">
        <f aca="false">SRC_Perf!$A77&amp;""</f>
        <v/>
      </c>
      <c r="B359" s="54" t="s">
        <v>6245</v>
      </c>
      <c r="C359" s="53" t="n">
        <v>77</v>
      </c>
      <c r="D359" s="85" t="n">
        <f aca="false">SRC_Perf!$O77</f>
        <v>0</v>
      </c>
      <c r="E359" s="85" t="n">
        <f aca="false">SRC_Perf!$K77</f>
        <v>0</v>
      </c>
    </row>
    <row r="360" customFormat="false" ht="15" hidden="false" customHeight="false" outlineLevel="0" collapsed="false">
      <c r="A360" s="85" t="str">
        <f aca="false">SRC_Perf!$A78&amp;""</f>
        <v/>
      </c>
      <c r="B360" s="54" t="s">
        <v>6245</v>
      </c>
      <c r="C360" s="53" t="n">
        <v>78</v>
      </c>
      <c r="D360" s="85" t="n">
        <f aca="false">SRC_Perf!$O78</f>
        <v>0</v>
      </c>
      <c r="E360" s="85" t="n">
        <f aca="false">SRC_Perf!$K78</f>
        <v>0</v>
      </c>
    </row>
    <row r="361" customFormat="false" ht="15" hidden="false" customHeight="false" outlineLevel="0" collapsed="false">
      <c r="A361" s="85" t="str">
        <f aca="false">SRC_Perf!$A79&amp;""</f>
        <v/>
      </c>
      <c r="B361" s="54" t="s">
        <v>6245</v>
      </c>
      <c r="C361" s="53" t="n">
        <v>79</v>
      </c>
      <c r="D361" s="85" t="n">
        <f aca="false">SRC_Perf!$O79</f>
        <v>0</v>
      </c>
      <c r="E361" s="85" t="n">
        <f aca="false">SRC_Perf!$K79</f>
        <v>0</v>
      </c>
    </row>
    <row r="362" customFormat="false" ht="15" hidden="false" customHeight="false" outlineLevel="0" collapsed="false">
      <c r="A362" s="85" t="str">
        <f aca="false">SRC_Perf!$A80&amp;""</f>
        <v/>
      </c>
      <c r="B362" s="54" t="s">
        <v>6245</v>
      </c>
      <c r="C362" s="53" t="n">
        <v>80</v>
      </c>
      <c r="D362" s="85" t="n">
        <f aca="false">SRC_Perf!$O80</f>
        <v>0</v>
      </c>
      <c r="E362" s="85" t="n">
        <f aca="false">SRC_Perf!$K80</f>
        <v>0</v>
      </c>
    </row>
    <row r="363" customFormat="false" ht="15" hidden="false" customHeight="false" outlineLevel="0" collapsed="false">
      <c r="A363" s="85" t="str">
        <f aca="false">SRC_Perf!$A81&amp;""</f>
        <v/>
      </c>
      <c r="B363" s="54" t="s">
        <v>6245</v>
      </c>
      <c r="C363" s="53" t="n">
        <v>81</v>
      </c>
      <c r="D363" s="85" t="n">
        <f aca="false">SRC_Perf!$O81</f>
        <v>0</v>
      </c>
      <c r="E363" s="85" t="n">
        <f aca="false">SRC_Perf!$K81</f>
        <v>0</v>
      </c>
    </row>
    <row r="364" customFormat="false" ht="15" hidden="false" customHeight="false" outlineLevel="0" collapsed="false">
      <c r="A364" s="85" t="str">
        <f aca="false">SRC_Perf!$A82&amp;""</f>
        <v/>
      </c>
      <c r="B364" s="54" t="s">
        <v>6245</v>
      </c>
      <c r="C364" s="53" t="n">
        <v>82</v>
      </c>
      <c r="D364" s="85" t="n">
        <f aca="false">SRC_Perf!$O82</f>
        <v>0</v>
      </c>
      <c r="E364" s="85" t="n">
        <f aca="false">SRC_Perf!$K82</f>
        <v>0</v>
      </c>
    </row>
    <row r="365" customFormat="false" ht="15" hidden="false" customHeight="false" outlineLevel="0" collapsed="false">
      <c r="A365" s="85" t="str">
        <f aca="false">SRC_Perf!$A83&amp;""</f>
        <v/>
      </c>
      <c r="B365" s="54" t="s">
        <v>6245</v>
      </c>
      <c r="C365" s="53" t="n">
        <v>83</v>
      </c>
      <c r="D365" s="85" t="n">
        <f aca="false">SRC_Perf!$O83</f>
        <v>0</v>
      </c>
      <c r="E365" s="85" t="n">
        <f aca="false">SRC_Perf!$K83</f>
        <v>0</v>
      </c>
    </row>
    <row r="366" customFormat="false" ht="15" hidden="false" customHeight="false" outlineLevel="0" collapsed="false">
      <c r="A366" s="85" t="str">
        <f aca="false">SRC_Perf!$A84&amp;""</f>
        <v/>
      </c>
      <c r="B366" s="54" t="s">
        <v>6245</v>
      </c>
      <c r="C366" s="53" t="n">
        <v>84</v>
      </c>
      <c r="D366" s="85" t="n">
        <f aca="false">SRC_Perf!$O84</f>
        <v>0</v>
      </c>
      <c r="E366" s="85" t="n">
        <f aca="false">SRC_Perf!$K84</f>
        <v>0</v>
      </c>
    </row>
    <row r="367" customFormat="false" ht="15" hidden="false" customHeight="false" outlineLevel="0" collapsed="false">
      <c r="A367" s="85" t="str">
        <f aca="false">SRC_Perf!$A85&amp;""</f>
        <v/>
      </c>
      <c r="B367" s="54" t="s">
        <v>6245</v>
      </c>
      <c r="C367" s="53" t="n">
        <v>85</v>
      </c>
      <c r="D367" s="85" t="n">
        <f aca="false">SRC_Perf!$O85</f>
        <v>0</v>
      </c>
      <c r="E367" s="85" t="n">
        <f aca="false">SRC_Perf!$K85</f>
        <v>0</v>
      </c>
    </row>
    <row r="368" customFormat="false" ht="15" hidden="false" customHeight="false" outlineLevel="0" collapsed="false">
      <c r="A368" s="85" t="str">
        <f aca="false">SRC_Perf!$A86&amp;""</f>
        <v/>
      </c>
      <c r="B368" s="54" t="s">
        <v>6245</v>
      </c>
      <c r="C368" s="53" t="n">
        <v>86</v>
      </c>
      <c r="D368" s="85" t="n">
        <f aca="false">SRC_Perf!$O86</f>
        <v>0</v>
      </c>
      <c r="E368" s="85" t="n">
        <f aca="false">SRC_Perf!$K86</f>
        <v>0</v>
      </c>
    </row>
    <row r="369" customFormat="false" ht="15" hidden="false" customHeight="false" outlineLevel="0" collapsed="false">
      <c r="A369" s="85" t="str">
        <f aca="false">SRC_Perf!$A87&amp;""</f>
        <v/>
      </c>
      <c r="B369" s="54" t="s">
        <v>6245</v>
      </c>
      <c r="C369" s="53" t="n">
        <v>87</v>
      </c>
      <c r="D369" s="85" t="n">
        <f aca="false">SRC_Perf!$O87</f>
        <v>0</v>
      </c>
      <c r="E369" s="85" t="n">
        <f aca="false">SRC_Perf!$K87</f>
        <v>0</v>
      </c>
    </row>
    <row r="370" customFormat="false" ht="15" hidden="false" customHeight="false" outlineLevel="0" collapsed="false">
      <c r="A370" s="85" t="str">
        <f aca="false">SRC_Perf!$A88&amp;""</f>
        <v/>
      </c>
      <c r="B370" s="54" t="s">
        <v>6245</v>
      </c>
      <c r="C370" s="53" t="n">
        <v>88</v>
      </c>
      <c r="D370" s="85" t="n">
        <f aca="false">SRC_Perf!$O88</f>
        <v>0</v>
      </c>
      <c r="E370" s="85" t="n">
        <f aca="false">SRC_Perf!$K88</f>
        <v>0</v>
      </c>
    </row>
    <row r="371" customFormat="false" ht="15" hidden="false" customHeight="false" outlineLevel="0" collapsed="false">
      <c r="A371" s="85" t="str">
        <f aca="false">SRC_Perf!$A89&amp;""</f>
        <v/>
      </c>
      <c r="B371" s="54" t="s">
        <v>6245</v>
      </c>
      <c r="C371" s="53" t="n">
        <v>89</v>
      </c>
      <c r="D371" s="85" t="n">
        <f aca="false">SRC_Perf!$O89</f>
        <v>0</v>
      </c>
      <c r="E371" s="85" t="n">
        <f aca="false">SRC_Perf!$K89</f>
        <v>0</v>
      </c>
    </row>
    <row r="372" customFormat="false" ht="15" hidden="false" customHeight="false" outlineLevel="0" collapsed="false">
      <c r="A372" s="85" t="str">
        <f aca="false">SRC_Perf!$A90&amp;""</f>
        <v/>
      </c>
      <c r="B372" s="54" t="s">
        <v>6245</v>
      </c>
      <c r="C372" s="53" t="n">
        <v>90</v>
      </c>
      <c r="D372" s="85" t="n">
        <f aca="false">SRC_Perf!$O90</f>
        <v>0</v>
      </c>
      <c r="E372" s="85" t="n">
        <f aca="false">SRC_Perf!$K90</f>
        <v>0</v>
      </c>
    </row>
    <row r="373" customFormat="false" ht="15" hidden="false" customHeight="false" outlineLevel="0" collapsed="false">
      <c r="A373" s="85" t="str">
        <f aca="false">SRC_Perf!$A91&amp;""</f>
        <v/>
      </c>
      <c r="B373" s="54" t="s">
        <v>6245</v>
      </c>
      <c r="C373" s="53" t="n">
        <v>91</v>
      </c>
      <c r="D373" s="85" t="n">
        <f aca="false">SRC_Perf!$O91</f>
        <v>0</v>
      </c>
      <c r="E373" s="85" t="n">
        <f aca="false">SRC_Perf!$K91</f>
        <v>0</v>
      </c>
    </row>
    <row r="374" customFormat="false" ht="15" hidden="false" customHeight="false" outlineLevel="0" collapsed="false">
      <c r="A374" s="85" t="str">
        <f aca="false">SRC_Perf!$A92&amp;""</f>
        <v/>
      </c>
      <c r="B374" s="54" t="s">
        <v>6245</v>
      </c>
      <c r="C374" s="53" t="n">
        <v>92</v>
      </c>
      <c r="D374" s="85" t="n">
        <f aca="false">SRC_Perf!$O92</f>
        <v>0</v>
      </c>
      <c r="E374" s="85" t="n">
        <f aca="false">SRC_Perf!$K92</f>
        <v>0</v>
      </c>
    </row>
    <row r="375" customFormat="false" ht="15" hidden="false" customHeight="false" outlineLevel="0" collapsed="false">
      <c r="A375" s="85" t="str">
        <f aca="false">SRC_Perf!$A93&amp;""</f>
        <v/>
      </c>
      <c r="B375" s="54" t="s">
        <v>6245</v>
      </c>
      <c r="C375" s="53" t="n">
        <v>93</v>
      </c>
      <c r="D375" s="85" t="n">
        <f aca="false">SRC_Perf!$O93</f>
        <v>0</v>
      </c>
      <c r="E375" s="85" t="n">
        <f aca="false">SRC_Perf!$K93</f>
        <v>0</v>
      </c>
    </row>
    <row r="376" customFormat="false" ht="15" hidden="false" customHeight="false" outlineLevel="0" collapsed="false">
      <c r="A376" s="85" t="str">
        <f aca="false">SRC_Perf!$A94&amp;""</f>
        <v/>
      </c>
      <c r="B376" s="54" t="s">
        <v>6245</v>
      </c>
      <c r="C376" s="53" t="n">
        <v>94</v>
      </c>
      <c r="D376" s="85" t="n">
        <f aca="false">SRC_Perf!$O94</f>
        <v>0</v>
      </c>
      <c r="E376" s="85" t="n">
        <f aca="false">SRC_Perf!$K94</f>
        <v>0</v>
      </c>
    </row>
    <row r="377" customFormat="false" ht="15" hidden="false" customHeight="false" outlineLevel="0" collapsed="false">
      <c r="A377" s="85" t="str">
        <f aca="false">SRC_Perf!$A95&amp;""</f>
        <v/>
      </c>
      <c r="B377" s="54" t="s">
        <v>6245</v>
      </c>
      <c r="C377" s="53" t="n">
        <v>95</v>
      </c>
      <c r="D377" s="85" t="n">
        <f aca="false">SRC_Perf!$O95</f>
        <v>0</v>
      </c>
      <c r="E377" s="85" t="n">
        <f aca="false">SRC_Perf!$K95</f>
        <v>0</v>
      </c>
    </row>
    <row r="378" customFormat="false" ht="15" hidden="false" customHeight="false" outlineLevel="0" collapsed="false">
      <c r="A378" s="85" t="str">
        <f aca="false">SRC_Perf!$A96&amp;""</f>
        <v/>
      </c>
      <c r="B378" s="54" t="s">
        <v>6245</v>
      </c>
      <c r="C378" s="53" t="n">
        <v>96</v>
      </c>
      <c r="D378" s="85" t="n">
        <f aca="false">SRC_Perf!$O96</f>
        <v>0</v>
      </c>
      <c r="E378" s="85" t="n">
        <f aca="false">SRC_Perf!$K96</f>
        <v>0</v>
      </c>
    </row>
    <row r="379" customFormat="false" ht="15" hidden="false" customHeight="false" outlineLevel="0" collapsed="false">
      <c r="A379" s="85" t="str">
        <f aca="false">SRC_Perf!$A97&amp;""</f>
        <v/>
      </c>
      <c r="B379" s="54" t="s">
        <v>6245</v>
      </c>
      <c r="C379" s="53" t="n">
        <v>97</v>
      </c>
      <c r="D379" s="85" t="n">
        <f aca="false">SRC_Perf!$O97</f>
        <v>0</v>
      </c>
      <c r="E379" s="85" t="n">
        <f aca="false">SRC_Perf!$K97</f>
        <v>0</v>
      </c>
    </row>
    <row r="380" customFormat="false" ht="15" hidden="false" customHeight="false" outlineLevel="0" collapsed="false">
      <c r="A380" s="85" t="str">
        <f aca="false">SRC_Perf!$A98&amp;""</f>
        <v/>
      </c>
      <c r="B380" s="54" t="s">
        <v>6245</v>
      </c>
      <c r="C380" s="53" t="n">
        <v>98</v>
      </c>
      <c r="D380" s="85" t="n">
        <f aca="false">SRC_Perf!$O98</f>
        <v>0</v>
      </c>
      <c r="E380" s="85" t="n">
        <f aca="false">SRC_Perf!$K98</f>
        <v>0</v>
      </c>
    </row>
    <row r="381" customFormat="false" ht="15" hidden="false" customHeight="false" outlineLevel="0" collapsed="false">
      <c r="A381" s="85" t="str">
        <f aca="false">SRC_Perf!$A99&amp;""</f>
        <v/>
      </c>
      <c r="B381" s="54" t="s">
        <v>6245</v>
      </c>
      <c r="C381" s="53" t="n">
        <v>99</v>
      </c>
      <c r="D381" s="85" t="n">
        <f aca="false">SRC_Perf!$O99</f>
        <v>0</v>
      </c>
      <c r="E381" s="85" t="n">
        <f aca="false">SRC_Perf!$K99</f>
        <v>0</v>
      </c>
    </row>
    <row r="382" customFormat="false" ht="15" hidden="false" customHeight="false" outlineLevel="0" collapsed="false">
      <c r="A382" s="85" t="str">
        <f aca="false">SRC_Perf!$A100&amp;""</f>
        <v/>
      </c>
      <c r="B382" s="54" t="s">
        <v>6245</v>
      </c>
      <c r="C382" s="53" t="n">
        <v>100</v>
      </c>
      <c r="D382" s="85" t="n">
        <f aca="false">SRC_Perf!$O100</f>
        <v>0</v>
      </c>
      <c r="E382" s="85" t="n">
        <f aca="false">SRC_Perf!$K100</f>
        <v>0</v>
      </c>
    </row>
    <row r="383" customFormat="false" ht="15" hidden="false" customHeight="false" outlineLevel="0" collapsed="false">
      <c r="A383" s="85" t="str">
        <f aca="false">SRC_Perf!$A101&amp;""</f>
        <v/>
      </c>
      <c r="B383" s="54" t="s">
        <v>6245</v>
      </c>
      <c r="C383" s="53" t="n">
        <v>101</v>
      </c>
      <c r="D383" s="85" t="n">
        <f aca="false">SRC_Perf!$O101</f>
        <v>0</v>
      </c>
      <c r="E383" s="85" t="n">
        <f aca="false">SRC_Perf!$K101</f>
        <v>0</v>
      </c>
    </row>
    <row r="384" customFormat="false" ht="15" hidden="false" customHeight="false" outlineLevel="0" collapsed="false">
      <c r="A384" s="85" t="str">
        <f aca="false">SRC_Perf!$A102&amp;""</f>
        <v/>
      </c>
      <c r="B384" s="54" t="s">
        <v>6245</v>
      </c>
      <c r="C384" s="53" t="n">
        <v>102</v>
      </c>
      <c r="D384" s="85" t="n">
        <f aca="false">SRC_Perf!$O102</f>
        <v>0</v>
      </c>
      <c r="E384" s="85" t="n">
        <f aca="false">SRC_Perf!$K102</f>
        <v>0</v>
      </c>
    </row>
    <row r="385" customFormat="false" ht="15" hidden="false" customHeight="false" outlineLevel="0" collapsed="false">
      <c r="A385" s="85" t="str">
        <f aca="false">SRC_Perf!$A103&amp;""</f>
        <v/>
      </c>
      <c r="B385" s="54" t="s">
        <v>6245</v>
      </c>
      <c r="C385" s="53" t="n">
        <v>103</v>
      </c>
      <c r="D385" s="85" t="n">
        <f aca="false">SRC_Perf!$O103</f>
        <v>0</v>
      </c>
      <c r="E385" s="85" t="n">
        <f aca="false">SRC_Perf!$K103</f>
        <v>0</v>
      </c>
    </row>
    <row r="386" customFormat="false" ht="15" hidden="false" customHeight="false" outlineLevel="0" collapsed="false">
      <c r="A386" s="85" t="str">
        <f aca="false">SRC_Perf!$A104&amp;""</f>
        <v/>
      </c>
      <c r="B386" s="54" t="s">
        <v>6245</v>
      </c>
      <c r="C386" s="53" t="n">
        <v>104</v>
      </c>
      <c r="D386" s="85" t="n">
        <f aca="false">SRC_Perf!$O104</f>
        <v>0</v>
      </c>
      <c r="E386" s="85" t="n">
        <f aca="false">SRC_Perf!$K104</f>
        <v>0</v>
      </c>
    </row>
    <row r="387" customFormat="false" ht="15" hidden="false" customHeight="false" outlineLevel="0" collapsed="false">
      <c r="A387" s="85" t="str">
        <f aca="false">SRC_Perf!$A105&amp;""</f>
        <v/>
      </c>
      <c r="B387" s="54" t="s">
        <v>6245</v>
      </c>
      <c r="C387" s="53" t="n">
        <v>105</v>
      </c>
      <c r="D387" s="85" t="n">
        <f aca="false">SRC_Perf!$O105</f>
        <v>0</v>
      </c>
      <c r="E387" s="85" t="n">
        <f aca="false">SRC_Perf!$K105</f>
        <v>0</v>
      </c>
    </row>
    <row r="388" customFormat="false" ht="15" hidden="false" customHeight="false" outlineLevel="0" collapsed="false">
      <c r="A388" s="85" t="str">
        <f aca="false">SRC_Perf!$A106&amp;""</f>
        <v/>
      </c>
      <c r="B388" s="54" t="s">
        <v>6245</v>
      </c>
      <c r="C388" s="53" t="n">
        <v>106</v>
      </c>
      <c r="D388" s="85" t="n">
        <f aca="false">SRC_Perf!$O106</f>
        <v>0</v>
      </c>
      <c r="E388" s="85" t="n">
        <f aca="false">SRC_Perf!$K106</f>
        <v>0</v>
      </c>
    </row>
    <row r="389" customFormat="false" ht="15" hidden="false" customHeight="false" outlineLevel="0" collapsed="false">
      <c r="A389" s="85" t="str">
        <f aca="false">SRC_Perf!$A107&amp;""</f>
        <v/>
      </c>
      <c r="B389" s="54" t="s">
        <v>6245</v>
      </c>
      <c r="C389" s="53" t="n">
        <v>107</v>
      </c>
      <c r="D389" s="85" t="n">
        <f aca="false">SRC_Perf!$O107</f>
        <v>0</v>
      </c>
      <c r="E389" s="85" t="n">
        <f aca="false">SRC_Perf!$K107</f>
        <v>0</v>
      </c>
    </row>
    <row r="390" customFormat="false" ht="15" hidden="false" customHeight="false" outlineLevel="0" collapsed="false">
      <c r="A390" s="85" t="str">
        <f aca="false">SRC_Perf!$A108&amp;""</f>
        <v/>
      </c>
      <c r="B390" s="54" t="s">
        <v>6245</v>
      </c>
      <c r="C390" s="53" t="n">
        <v>108</v>
      </c>
      <c r="D390" s="85" t="n">
        <f aca="false">SRC_Perf!$O108</f>
        <v>0</v>
      </c>
      <c r="E390" s="85" t="n">
        <f aca="false">SRC_Perf!$K108</f>
        <v>0</v>
      </c>
    </row>
    <row r="391" customFormat="false" ht="15" hidden="false" customHeight="false" outlineLevel="0" collapsed="false">
      <c r="A391" s="85" t="str">
        <f aca="false">SRC_Perf!$A109&amp;""</f>
        <v/>
      </c>
      <c r="B391" s="54" t="s">
        <v>6245</v>
      </c>
      <c r="C391" s="53" t="n">
        <v>109</v>
      </c>
      <c r="D391" s="85" t="n">
        <f aca="false">SRC_Perf!$O109</f>
        <v>0</v>
      </c>
      <c r="E391" s="85" t="n">
        <f aca="false">SRC_Perf!$K109</f>
        <v>0</v>
      </c>
    </row>
    <row r="392" customFormat="false" ht="15" hidden="false" customHeight="false" outlineLevel="0" collapsed="false">
      <c r="A392" s="85" t="str">
        <f aca="false">SRC_Perf!$A110&amp;""</f>
        <v/>
      </c>
      <c r="B392" s="54" t="s">
        <v>6245</v>
      </c>
      <c r="C392" s="53" t="n">
        <v>110</v>
      </c>
      <c r="D392" s="85" t="n">
        <f aca="false">SRC_Perf!$O110</f>
        <v>0</v>
      </c>
      <c r="E392" s="85" t="n">
        <f aca="false">SRC_Perf!$K110</f>
        <v>0</v>
      </c>
    </row>
    <row r="393" customFormat="false" ht="15" hidden="false" customHeight="false" outlineLevel="0" collapsed="false">
      <c r="A393" s="85" t="str">
        <f aca="false">SRC_Perf!$A111&amp;""</f>
        <v/>
      </c>
      <c r="B393" s="54" t="s">
        <v>6245</v>
      </c>
      <c r="C393" s="53" t="n">
        <v>111</v>
      </c>
      <c r="D393" s="85" t="n">
        <f aca="false">SRC_Perf!$O111</f>
        <v>0</v>
      </c>
      <c r="E393" s="85" t="n">
        <f aca="false">SRC_Perf!$K111</f>
        <v>0</v>
      </c>
    </row>
    <row r="394" customFormat="false" ht="15" hidden="false" customHeight="false" outlineLevel="0" collapsed="false">
      <c r="A394" s="85" t="str">
        <f aca="false">SRC_Perf!$A112&amp;""</f>
        <v/>
      </c>
      <c r="B394" s="54" t="s">
        <v>6245</v>
      </c>
      <c r="C394" s="53" t="n">
        <v>112</v>
      </c>
      <c r="D394" s="85" t="n">
        <f aca="false">SRC_Perf!$O112</f>
        <v>0</v>
      </c>
      <c r="E394" s="85" t="n">
        <f aca="false">SRC_Perf!$K112</f>
        <v>0</v>
      </c>
    </row>
    <row r="395" customFormat="false" ht="15" hidden="false" customHeight="false" outlineLevel="0" collapsed="false">
      <c r="A395" s="85" t="str">
        <f aca="false">SRC_Perf!$A113&amp;""</f>
        <v/>
      </c>
      <c r="B395" s="54" t="s">
        <v>6245</v>
      </c>
      <c r="C395" s="53" t="n">
        <v>113</v>
      </c>
      <c r="D395" s="85" t="n">
        <f aca="false">SRC_Perf!$O113</f>
        <v>0</v>
      </c>
      <c r="E395" s="85" t="n">
        <f aca="false">SRC_Perf!$K113</f>
        <v>0</v>
      </c>
    </row>
    <row r="396" customFormat="false" ht="15" hidden="false" customHeight="false" outlineLevel="0" collapsed="false">
      <c r="A396" s="85" t="str">
        <f aca="false">SRC_Price!$A5&amp;""</f>
        <v>SRC_PRC_001</v>
      </c>
      <c r="B396" s="54" t="s">
        <v>6246</v>
      </c>
      <c r="C396" s="53" t="n">
        <v>5</v>
      </c>
      <c r="D396" s="85" t="str">
        <f aca="false">SRC_Price!$O5</f>
        <v>Active</v>
      </c>
      <c r="E396" s="85" t="n">
        <f aca="false">SRC_Price!$K5</f>
        <v>3</v>
      </c>
    </row>
    <row r="397" customFormat="false" ht="15" hidden="false" customHeight="false" outlineLevel="0" collapsed="false">
      <c r="A397" s="85" t="str">
        <f aca="false">SRC_Price!$A6&amp;""</f>
        <v>SRC_PRC_002</v>
      </c>
      <c r="B397" s="54" t="s">
        <v>6246</v>
      </c>
      <c r="C397" s="53" t="n">
        <v>6</v>
      </c>
      <c r="D397" s="85" t="str">
        <f aca="false">SRC_Price!$O6</f>
        <v>Active</v>
      </c>
      <c r="E397" s="85" t="n">
        <f aca="false">SRC_Price!$K6</f>
        <v>2</v>
      </c>
    </row>
    <row r="398" customFormat="false" ht="15" hidden="false" customHeight="false" outlineLevel="0" collapsed="false">
      <c r="A398" s="85" t="str">
        <f aca="false">SRC_Price!$A7&amp;""</f>
        <v>SRC_PRC_003</v>
      </c>
      <c r="B398" s="54" t="s">
        <v>6246</v>
      </c>
      <c r="C398" s="53" t="n">
        <v>7</v>
      </c>
      <c r="D398" s="85" t="str">
        <f aca="false">SRC_Price!$O7</f>
        <v>Active</v>
      </c>
      <c r="E398" s="85" t="n">
        <f aca="false">SRC_Price!$K7</f>
        <v>1</v>
      </c>
    </row>
    <row r="399" customFormat="false" ht="15" hidden="false" customHeight="false" outlineLevel="0" collapsed="false">
      <c r="A399" s="85" t="str">
        <f aca="false">SRC_Price!$A8&amp;""</f>
        <v>SRC_PRC_004</v>
      </c>
      <c r="B399" s="54" t="s">
        <v>6246</v>
      </c>
      <c r="C399" s="53" t="n">
        <v>8</v>
      </c>
      <c r="D399" s="85" t="str">
        <f aca="false">SRC_Price!$O8</f>
        <v>Active</v>
      </c>
      <c r="E399" s="85" t="n">
        <f aca="false">SRC_Price!$K8</f>
        <v>1</v>
      </c>
    </row>
    <row r="400" customFormat="false" ht="15" hidden="false" customHeight="false" outlineLevel="0" collapsed="false">
      <c r="A400" s="85" t="str">
        <f aca="false">SRC_Price!$A9&amp;""</f>
        <v>SRC_PRC_005</v>
      </c>
      <c r="B400" s="54" t="s">
        <v>6246</v>
      </c>
      <c r="C400" s="53" t="n">
        <v>9</v>
      </c>
      <c r="D400" s="85" t="str">
        <f aca="false">SRC_Price!$O9</f>
        <v>Active</v>
      </c>
      <c r="E400" s="85" t="n">
        <f aca="false">SRC_Price!$K9</f>
        <v>1</v>
      </c>
    </row>
    <row r="401" customFormat="false" ht="15" hidden="false" customHeight="false" outlineLevel="0" collapsed="false">
      <c r="A401" s="85" t="str">
        <f aca="false">SRC_Price!$A10&amp;""</f>
        <v>SRC_PRC_006</v>
      </c>
      <c r="B401" s="54" t="s">
        <v>6246</v>
      </c>
      <c r="C401" s="53" t="n">
        <v>10</v>
      </c>
      <c r="D401" s="85" t="str">
        <f aca="false">SRC_Price!$O10</f>
        <v>Active</v>
      </c>
      <c r="E401" s="85" t="n">
        <f aca="false">SRC_Price!$K10</f>
        <v>1</v>
      </c>
    </row>
    <row r="402" customFormat="false" ht="15" hidden="false" customHeight="false" outlineLevel="0" collapsed="false">
      <c r="A402" s="85" t="str">
        <f aca="false">SRC_Price!$A11&amp;""</f>
        <v>SRC_PRC_007</v>
      </c>
      <c r="B402" s="54" t="s">
        <v>6246</v>
      </c>
      <c r="C402" s="53" t="n">
        <v>11</v>
      </c>
      <c r="D402" s="85" t="str">
        <f aca="false">SRC_Price!$O11</f>
        <v>Active</v>
      </c>
      <c r="E402" s="85" t="n">
        <f aca="false">SRC_Price!$K11</f>
        <v>1</v>
      </c>
    </row>
    <row r="403" customFormat="false" ht="15" hidden="false" customHeight="false" outlineLevel="0" collapsed="false">
      <c r="A403" s="85" t="str">
        <f aca="false">SRC_Price!$A12&amp;""</f>
        <v>SRC_PRC_008</v>
      </c>
      <c r="B403" s="54" t="s">
        <v>6246</v>
      </c>
      <c r="C403" s="53" t="n">
        <v>12</v>
      </c>
      <c r="D403" s="85" t="str">
        <f aca="false">SRC_Price!$O12</f>
        <v>Active</v>
      </c>
      <c r="E403" s="85" t="n">
        <f aca="false">SRC_Price!$K12</f>
        <v>1</v>
      </c>
    </row>
    <row r="404" customFormat="false" ht="15" hidden="false" customHeight="false" outlineLevel="0" collapsed="false">
      <c r="A404" s="85" t="str">
        <f aca="false">SRC_Price!$A13&amp;""</f>
        <v>SRC_PRC_009</v>
      </c>
      <c r="B404" s="54" t="s">
        <v>6246</v>
      </c>
      <c r="C404" s="53" t="n">
        <v>13</v>
      </c>
      <c r="D404" s="85" t="str">
        <f aca="false">SRC_Price!$O13</f>
        <v>Active</v>
      </c>
      <c r="E404" s="85" t="n">
        <f aca="false">SRC_Price!$K13</f>
        <v>1</v>
      </c>
    </row>
    <row r="405" customFormat="false" ht="15" hidden="false" customHeight="false" outlineLevel="0" collapsed="false">
      <c r="A405" s="85" t="str">
        <f aca="false">SRC_Price!$A14&amp;""</f>
        <v>SRC_PRC_010</v>
      </c>
      <c r="B405" s="54" t="s">
        <v>6246</v>
      </c>
      <c r="C405" s="53" t="n">
        <v>14</v>
      </c>
      <c r="D405" s="85" t="str">
        <f aca="false">SRC_Price!$O14</f>
        <v>Active</v>
      </c>
      <c r="E405" s="85" t="n">
        <f aca="false">SRC_Price!$K14</f>
        <v>1</v>
      </c>
    </row>
    <row r="406" customFormat="false" ht="15" hidden="false" customHeight="false" outlineLevel="0" collapsed="false">
      <c r="A406" s="85" t="str">
        <f aca="false">SRC_Price!$A15&amp;""</f>
        <v>SRC_PRC_011</v>
      </c>
      <c r="B406" s="54" t="s">
        <v>6246</v>
      </c>
      <c r="C406" s="53" t="n">
        <v>15</v>
      </c>
      <c r="D406" s="85" t="str">
        <f aca="false">SRC_Price!$O15</f>
        <v>Active</v>
      </c>
      <c r="E406" s="85" t="n">
        <f aca="false">SRC_Price!$K15</f>
        <v>1</v>
      </c>
    </row>
    <row r="407" customFormat="false" ht="15" hidden="false" customHeight="false" outlineLevel="0" collapsed="false">
      <c r="A407" s="85" t="str">
        <f aca="false">SRC_Price!$A16&amp;""</f>
        <v>SRC_PRC_012</v>
      </c>
      <c r="B407" s="54" t="s">
        <v>6246</v>
      </c>
      <c r="C407" s="53" t="n">
        <v>16</v>
      </c>
      <c r="D407" s="85" t="str">
        <f aca="false">SRC_Price!$O16</f>
        <v>Active</v>
      </c>
      <c r="E407" s="85" t="n">
        <f aca="false">SRC_Price!$K16</f>
        <v>2</v>
      </c>
    </row>
    <row r="408" customFormat="false" ht="15" hidden="false" customHeight="false" outlineLevel="0" collapsed="false">
      <c r="A408" s="85" t="str">
        <f aca="false">SRC_Price!$A17&amp;""</f>
        <v>SRC_PRC_013</v>
      </c>
      <c r="B408" s="54" t="s">
        <v>6246</v>
      </c>
      <c r="C408" s="53" t="n">
        <v>17</v>
      </c>
      <c r="D408" s="85" t="str">
        <f aca="false">SRC_Price!$O17</f>
        <v>Active</v>
      </c>
      <c r="E408" s="85" t="n">
        <f aca="false">SRC_Price!$K17</f>
        <v>2</v>
      </c>
    </row>
    <row r="409" customFormat="false" ht="15" hidden="false" customHeight="false" outlineLevel="0" collapsed="false">
      <c r="A409" s="85" t="str">
        <f aca="false">SRC_Price!$A18&amp;""</f>
        <v>SRC_PRC_014</v>
      </c>
      <c r="B409" s="54" t="s">
        <v>6246</v>
      </c>
      <c r="C409" s="53" t="n">
        <v>18</v>
      </c>
      <c r="D409" s="85" t="str">
        <f aca="false">SRC_Price!$O18</f>
        <v>Active</v>
      </c>
      <c r="E409" s="85" t="n">
        <f aca="false">SRC_Price!$K18</f>
        <v>2</v>
      </c>
    </row>
    <row r="410" customFormat="false" ht="15" hidden="false" customHeight="false" outlineLevel="0" collapsed="false">
      <c r="A410" s="85" t="str">
        <f aca="false">SRC_Price!$A19&amp;""</f>
        <v>SRC_PRC_015</v>
      </c>
      <c r="B410" s="54" t="s">
        <v>6246</v>
      </c>
      <c r="C410" s="53" t="n">
        <v>19</v>
      </c>
      <c r="D410" s="85" t="str">
        <f aca="false">SRC_Price!$O19</f>
        <v>Active</v>
      </c>
      <c r="E410" s="85" t="n">
        <f aca="false">SRC_Price!$K19</f>
        <v>2</v>
      </c>
    </row>
    <row r="411" customFormat="false" ht="15" hidden="false" customHeight="false" outlineLevel="0" collapsed="false">
      <c r="A411" s="85" t="str">
        <f aca="false">SRC_Price!$A20&amp;""</f>
        <v>SRC_PRC_016</v>
      </c>
      <c r="B411" s="54" t="s">
        <v>6246</v>
      </c>
      <c r="C411" s="53" t="n">
        <v>20</v>
      </c>
      <c r="D411" s="85" t="str">
        <f aca="false">SRC_Price!$O20</f>
        <v>Active</v>
      </c>
      <c r="E411" s="85" t="n">
        <f aca="false">SRC_Price!$K20</f>
        <v>2</v>
      </c>
    </row>
    <row r="412" customFormat="false" ht="15" hidden="false" customHeight="false" outlineLevel="0" collapsed="false">
      <c r="A412" s="85" t="str">
        <f aca="false">SRC_Price!$A21&amp;""</f>
        <v>SRC_PRC_017</v>
      </c>
      <c r="B412" s="54" t="s">
        <v>6246</v>
      </c>
      <c r="C412" s="53" t="n">
        <v>21</v>
      </c>
      <c r="D412" s="85" t="str">
        <f aca="false">SRC_Price!$O21</f>
        <v>Active</v>
      </c>
      <c r="E412" s="85" t="n">
        <f aca="false">SRC_Price!$K21</f>
        <v>2</v>
      </c>
    </row>
    <row r="413" customFormat="false" ht="15" hidden="false" customHeight="false" outlineLevel="0" collapsed="false">
      <c r="A413" s="85" t="str">
        <f aca="false">SRC_Price!$A22&amp;""</f>
        <v>SRC_PRC_018</v>
      </c>
      <c r="B413" s="54" t="s">
        <v>6246</v>
      </c>
      <c r="C413" s="53" t="n">
        <v>22</v>
      </c>
      <c r="D413" s="85" t="str">
        <f aca="false">SRC_Price!$O22</f>
        <v>Active</v>
      </c>
      <c r="E413" s="85" t="n">
        <f aca="false">SRC_Price!$K22</f>
        <v>2</v>
      </c>
    </row>
    <row r="414" customFormat="false" ht="15" hidden="false" customHeight="false" outlineLevel="0" collapsed="false">
      <c r="A414" s="85" t="str">
        <f aca="false">SRC_Price!$A23&amp;""</f>
        <v>SRC_PRC_019</v>
      </c>
      <c r="B414" s="54" t="s">
        <v>6246</v>
      </c>
      <c r="C414" s="53" t="n">
        <v>23</v>
      </c>
      <c r="D414" s="85" t="str">
        <f aca="false">SRC_Price!$O23</f>
        <v>Active</v>
      </c>
      <c r="E414" s="85" t="n">
        <f aca="false">SRC_Price!$K23</f>
        <v>2</v>
      </c>
    </row>
    <row r="415" customFormat="false" ht="15" hidden="false" customHeight="false" outlineLevel="0" collapsed="false">
      <c r="A415" s="85" t="str">
        <f aca="false">SRC_Price!$A24&amp;""</f>
        <v>SRC_PRC_020</v>
      </c>
      <c r="B415" s="54" t="s">
        <v>6246</v>
      </c>
      <c r="C415" s="53" t="n">
        <v>24</v>
      </c>
      <c r="D415" s="85" t="str">
        <f aca="false">SRC_Price!$O24</f>
        <v>Active</v>
      </c>
      <c r="E415" s="85" t="n">
        <f aca="false">SRC_Price!$K24</f>
        <v>2</v>
      </c>
    </row>
    <row r="416" customFormat="false" ht="15" hidden="false" customHeight="false" outlineLevel="0" collapsed="false">
      <c r="A416" s="85" t="str">
        <f aca="false">SRC_Price!$A25&amp;""</f>
        <v>SRC_PRC_021</v>
      </c>
      <c r="B416" s="54" t="s">
        <v>6246</v>
      </c>
      <c r="C416" s="53" t="n">
        <v>25</v>
      </c>
      <c r="D416" s="85" t="str">
        <f aca="false">SRC_Price!$O25</f>
        <v>Active</v>
      </c>
      <c r="E416" s="85" t="n">
        <f aca="false">SRC_Price!$K25</f>
        <v>1</v>
      </c>
    </row>
    <row r="417" customFormat="false" ht="15" hidden="false" customHeight="false" outlineLevel="0" collapsed="false">
      <c r="A417" s="85" t="str">
        <f aca="false">SRC_Price!$A26&amp;""</f>
        <v>SRC_PRC_022</v>
      </c>
      <c r="B417" s="54" t="s">
        <v>6246</v>
      </c>
      <c r="C417" s="53" t="n">
        <v>26</v>
      </c>
      <c r="D417" s="85" t="str">
        <f aca="false">SRC_Price!$O26</f>
        <v>Active</v>
      </c>
      <c r="E417" s="85" t="n">
        <f aca="false">SRC_Price!$K26</f>
        <v>1</v>
      </c>
    </row>
    <row r="418" customFormat="false" ht="15" hidden="false" customHeight="false" outlineLevel="0" collapsed="false">
      <c r="A418" s="85" t="str">
        <f aca="false">SRC_Price!$A27&amp;""</f>
        <v>SRC_PRC_023</v>
      </c>
      <c r="B418" s="54" t="s">
        <v>6246</v>
      </c>
      <c r="C418" s="53" t="n">
        <v>27</v>
      </c>
      <c r="D418" s="85" t="str">
        <f aca="false">SRC_Price!$O27</f>
        <v>Active</v>
      </c>
      <c r="E418" s="85" t="n">
        <f aca="false">SRC_Price!$K27</f>
        <v>1</v>
      </c>
    </row>
    <row r="419" customFormat="false" ht="15" hidden="false" customHeight="false" outlineLevel="0" collapsed="false">
      <c r="A419" s="85" t="str">
        <f aca="false">SRC_Price!$A28&amp;""</f>
        <v>SRC_PRC_024</v>
      </c>
      <c r="B419" s="54" t="s">
        <v>6246</v>
      </c>
      <c r="C419" s="53" t="n">
        <v>28</v>
      </c>
      <c r="D419" s="85" t="str">
        <f aca="false">SRC_Price!$O28</f>
        <v>Active</v>
      </c>
      <c r="E419" s="85" t="n">
        <f aca="false">SRC_Price!$K28</f>
        <v>1</v>
      </c>
    </row>
    <row r="420" customFormat="false" ht="15" hidden="false" customHeight="false" outlineLevel="0" collapsed="false">
      <c r="A420" s="85" t="str">
        <f aca="false">SRC_Price!$A29&amp;""</f>
        <v>SRC_PRC_025</v>
      </c>
      <c r="B420" s="54" t="s">
        <v>6246</v>
      </c>
      <c r="C420" s="53" t="n">
        <v>29</v>
      </c>
      <c r="D420" s="85" t="str">
        <f aca="false">SRC_Price!$O29</f>
        <v>Active</v>
      </c>
      <c r="E420" s="85" t="n">
        <f aca="false">SRC_Price!$K29</f>
        <v>1</v>
      </c>
    </row>
    <row r="421" customFormat="false" ht="15" hidden="false" customHeight="false" outlineLevel="0" collapsed="false">
      <c r="A421" s="85" t="str">
        <f aca="false">SRC_Price!$A30&amp;""</f>
        <v>SRC_PRC_026</v>
      </c>
      <c r="B421" s="54" t="s">
        <v>6246</v>
      </c>
      <c r="C421" s="53" t="n">
        <v>30</v>
      </c>
      <c r="D421" s="85" t="str">
        <f aca="false">SRC_Price!$O30</f>
        <v>Active</v>
      </c>
      <c r="E421" s="85" t="n">
        <f aca="false">SRC_Price!$K30</f>
        <v>1</v>
      </c>
    </row>
    <row r="422" customFormat="false" ht="15" hidden="false" customHeight="false" outlineLevel="0" collapsed="false">
      <c r="A422" s="85" t="str">
        <f aca="false">SRC_Price!$A31&amp;""</f>
        <v>SRC_PRC_027</v>
      </c>
      <c r="B422" s="54" t="s">
        <v>6246</v>
      </c>
      <c r="C422" s="53" t="n">
        <v>31</v>
      </c>
      <c r="D422" s="85" t="str">
        <f aca="false">SRC_Price!$O31</f>
        <v>Active</v>
      </c>
      <c r="E422" s="85" t="n">
        <f aca="false">SRC_Price!$K31</f>
        <v>1</v>
      </c>
    </row>
    <row r="423" customFormat="false" ht="15" hidden="false" customHeight="false" outlineLevel="0" collapsed="false">
      <c r="A423" s="85" t="str">
        <f aca="false">SRC_Price!$A32&amp;""</f>
        <v>SRC_PRC_028</v>
      </c>
      <c r="B423" s="54" t="s">
        <v>6246</v>
      </c>
      <c r="C423" s="53" t="n">
        <v>32</v>
      </c>
      <c r="D423" s="85" t="str">
        <f aca="false">SRC_Price!$O32</f>
        <v>Active</v>
      </c>
      <c r="E423" s="85" t="n">
        <f aca="false">SRC_Price!$K32</f>
        <v>1</v>
      </c>
    </row>
    <row r="424" customFormat="false" ht="15" hidden="false" customHeight="false" outlineLevel="0" collapsed="false">
      <c r="A424" s="85" t="str">
        <f aca="false">SRC_Price!$A33&amp;""</f>
        <v>SRC_PRC_029</v>
      </c>
      <c r="B424" s="54" t="s">
        <v>6246</v>
      </c>
      <c r="C424" s="53" t="n">
        <v>33</v>
      </c>
      <c r="D424" s="85" t="str">
        <f aca="false">SRC_Price!$O33</f>
        <v>Active</v>
      </c>
      <c r="E424" s="85" t="n">
        <f aca="false">SRC_Price!$K33</f>
        <v>1</v>
      </c>
    </row>
    <row r="425" customFormat="false" ht="15" hidden="false" customHeight="false" outlineLevel="0" collapsed="false">
      <c r="A425" s="85" t="str">
        <f aca="false">SRC_Price!$A34&amp;""</f>
        <v>SRC_PRC_030</v>
      </c>
      <c r="B425" s="54" t="s">
        <v>6246</v>
      </c>
      <c r="C425" s="53" t="n">
        <v>34</v>
      </c>
      <c r="D425" s="85" t="str">
        <f aca="false">SRC_Price!$O34</f>
        <v>Active</v>
      </c>
      <c r="E425" s="85" t="n">
        <f aca="false">SRC_Price!$K34</f>
        <v>1</v>
      </c>
    </row>
    <row r="426" customFormat="false" ht="15" hidden="false" customHeight="false" outlineLevel="0" collapsed="false">
      <c r="A426" s="85" t="str">
        <f aca="false">SRC_Price!$A35&amp;""</f>
        <v>SRC_PRC_031</v>
      </c>
      <c r="B426" s="54" t="s">
        <v>6246</v>
      </c>
      <c r="C426" s="53" t="n">
        <v>35</v>
      </c>
      <c r="D426" s="85" t="str">
        <f aca="false">SRC_Price!$O35</f>
        <v>Active</v>
      </c>
      <c r="E426" s="85" t="n">
        <f aca="false">SRC_Price!$K35</f>
        <v>1</v>
      </c>
    </row>
    <row r="427" customFormat="false" ht="15" hidden="false" customHeight="false" outlineLevel="0" collapsed="false">
      <c r="A427" s="85" t="str">
        <f aca="false">SRC_Price!$A36&amp;""</f>
        <v>SRC_PRC_032</v>
      </c>
      <c r="B427" s="54" t="s">
        <v>6246</v>
      </c>
      <c r="C427" s="53" t="n">
        <v>36</v>
      </c>
      <c r="D427" s="85" t="str">
        <f aca="false">SRC_Price!$O36</f>
        <v>Active</v>
      </c>
      <c r="E427" s="85" t="n">
        <f aca="false">SRC_Price!$K36</f>
        <v>1</v>
      </c>
    </row>
    <row r="428" customFormat="false" ht="15" hidden="false" customHeight="false" outlineLevel="0" collapsed="false">
      <c r="A428" s="85" t="str">
        <f aca="false">SRC_Price!$A37&amp;""</f>
        <v>SRC_PRC_033</v>
      </c>
      <c r="B428" s="54" t="s">
        <v>6246</v>
      </c>
      <c r="C428" s="53" t="n">
        <v>37</v>
      </c>
      <c r="D428" s="85" t="str">
        <f aca="false">SRC_Price!$O37</f>
        <v>Active</v>
      </c>
      <c r="E428" s="85" t="n">
        <f aca="false">SRC_Price!$K37</f>
        <v>1</v>
      </c>
    </row>
    <row r="429" customFormat="false" ht="15" hidden="false" customHeight="false" outlineLevel="0" collapsed="false">
      <c r="A429" s="85" t="str">
        <f aca="false">SRC_Price!$A38&amp;""</f>
        <v>SRC_PRC_034</v>
      </c>
      <c r="B429" s="54" t="s">
        <v>6246</v>
      </c>
      <c r="C429" s="53" t="n">
        <v>38</v>
      </c>
      <c r="D429" s="85" t="str">
        <f aca="false">SRC_Price!$O38</f>
        <v>Active</v>
      </c>
      <c r="E429" s="85" t="n">
        <f aca="false">SRC_Price!$K38</f>
        <v>1</v>
      </c>
    </row>
    <row r="430" customFormat="false" ht="15" hidden="false" customHeight="false" outlineLevel="0" collapsed="false">
      <c r="A430" s="85" t="str">
        <f aca="false">SRC_Price!$A39&amp;""</f>
        <v>SRC_PRC_035</v>
      </c>
      <c r="B430" s="54" t="s">
        <v>6246</v>
      </c>
      <c r="C430" s="53" t="n">
        <v>39</v>
      </c>
      <c r="D430" s="85" t="str">
        <f aca="false">SRC_Price!$O39</f>
        <v>Active</v>
      </c>
      <c r="E430" s="85" t="n">
        <f aca="false">SRC_Price!$K39</f>
        <v>2</v>
      </c>
    </row>
    <row r="431" customFormat="false" ht="15" hidden="false" customHeight="false" outlineLevel="0" collapsed="false">
      <c r="A431" s="85" t="str">
        <f aca="false">SRC_Price!$A40&amp;""</f>
        <v>SRC_PRC_036</v>
      </c>
      <c r="B431" s="54" t="s">
        <v>6246</v>
      </c>
      <c r="C431" s="53" t="n">
        <v>40</v>
      </c>
      <c r="D431" s="85" t="str">
        <f aca="false">SRC_Price!$O40</f>
        <v>Active</v>
      </c>
      <c r="E431" s="85" t="n">
        <f aca="false">SRC_Price!$K40</f>
        <v>2</v>
      </c>
    </row>
    <row r="432" customFormat="false" ht="15" hidden="false" customHeight="false" outlineLevel="0" collapsed="false">
      <c r="A432" s="85" t="str">
        <f aca="false">SRC_Price!$A41&amp;""</f>
        <v>SRC_PRC_037</v>
      </c>
      <c r="B432" s="54" t="s">
        <v>6246</v>
      </c>
      <c r="C432" s="53" t="n">
        <v>41</v>
      </c>
      <c r="D432" s="85" t="str">
        <f aca="false">SRC_Price!$O41</f>
        <v>Active</v>
      </c>
      <c r="E432" s="85" t="n">
        <f aca="false">SRC_Price!$K41</f>
        <v>2</v>
      </c>
    </row>
    <row r="433" customFormat="false" ht="15" hidden="false" customHeight="false" outlineLevel="0" collapsed="false">
      <c r="A433" s="85" t="str">
        <f aca="false">SRC_Price!$A42&amp;""</f>
        <v>SRC_PRC_038</v>
      </c>
      <c r="B433" s="54" t="s">
        <v>6246</v>
      </c>
      <c r="C433" s="53" t="n">
        <v>42</v>
      </c>
      <c r="D433" s="85" t="str">
        <f aca="false">SRC_Price!$O42</f>
        <v>Active</v>
      </c>
      <c r="E433" s="85" t="n">
        <f aca="false">SRC_Price!$K42</f>
        <v>2</v>
      </c>
    </row>
    <row r="434" customFormat="false" ht="15" hidden="false" customHeight="false" outlineLevel="0" collapsed="false">
      <c r="A434" s="85" t="str">
        <f aca="false">SRC_Price!$A43&amp;""</f>
        <v>SRC_PRC_039</v>
      </c>
      <c r="B434" s="54" t="s">
        <v>6246</v>
      </c>
      <c r="C434" s="53" t="n">
        <v>43</v>
      </c>
      <c r="D434" s="85" t="str">
        <f aca="false">SRC_Price!$O43</f>
        <v>Active</v>
      </c>
      <c r="E434" s="85" t="n">
        <f aca="false">SRC_Price!$K43</f>
        <v>2</v>
      </c>
    </row>
    <row r="435" customFormat="false" ht="15" hidden="false" customHeight="false" outlineLevel="0" collapsed="false">
      <c r="A435" s="85" t="str">
        <f aca="false">SRC_Price!$A44&amp;""</f>
        <v>SRC_PRC_040</v>
      </c>
      <c r="B435" s="54" t="s">
        <v>6246</v>
      </c>
      <c r="C435" s="53" t="n">
        <v>44</v>
      </c>
      <c r="D435" s="85" t="str">
        <f aca="false">SRC_Price!$O44</f>
        <v>Active</v>
      </c>
      <c r="E435" s="85" t="n">
        <f aca="false">SRC_Price!$K44</f>
        <v>2</v>
      </c>
    </row>
    <row r="436" customFormat="false" ht="15" hidden="false" customHeight="false" outlineLevel="0" collapsed="false">
      <c r="A436" s="85" t="str">
        <f aca="false">SRC_Price!$A45&amp;""</f>
        <v>SRC_PRC_041</v>
      </c>
      <c r="B436" s="54" t="s">
        <v>6246</v>
      </c>
      <c r="C436" s="53" t="n">
        <v>45</v>
      </c>
      <c r="D436" s="85" t="str">
        <f aca="false">SRC_Price!$O45</f>
        <v>Alt</v>
      </c>
      <c r="E436" s="85" t="n">
        <f aca="false">SRC_Price!$K45</f>
        <v>2</v>
      </c>
    </row>
    <row r="437" customFormat="false" ht="15" hidden="false" customHeight="false" outlineLevel="0" collapsed="false">
      <c r="A437" s="85" t="str">
        <f aca="false">SRC_Price!$A46&amp;""</f>
        <v>SRC_PRC_042</v>
      </c>
      <c r="B437" s="54" t="s">
        <v>6246</v>
      </c>
      <c r="C437" s="53" t="n">
        <v>46</v>
      </c>
      <c r="D437" s="85" t="str">
        <f aca="false">SRC_Price!$O46</f>
        <v>Alt</v>
      </c>
      <c r="E437" s="85" t="n">
        <f aca="false">SRC_Price!$K46</f>
        <v>2</v>
      </c>
    </row>
    <row r="438" customFormat="false" ht="15" hidden="false" customHeight="false" outlineLevel="0" collapsed="false">
      <c r="A438" s="85" t="str">
        <f aca="false">SRC_Price!$A47&amp;""</f>
        <v>SRC_PRC_043</v>
      </c>
      <c r="B438" s="54" t="s">
        <v>6246</v>
      </c>
      <c r="C438" s="53" t="n">
        <v>47</v>
      </c>
      <c r="D438" s="85" t="str">
        <f aca="false">SRC_Price!$O47</f>
        <v>Active</v>
      </c>
      <c r="E438" s="85" t="n">
        <f aca="false">SRC_Price!$K47</f>
        <v>2</v>
      </c>
    </row>
    <row r="439" customFormat="false" ht="15" hidden="false" customHeight="false" outlineLevel="0" collapsed="false">
      <c r="A439" s="85" t="str">
        <f aca="false">SRC_Price!$A48&amp;""</f>
        <v>SRC_PRC_044</v>
      </c>
      <c r="B439" s="54" t="s">
        <v>6246</v>
      </c>
      <c r="C439" s="53" t="n">
        <v>48</v>
      </c>
      <c r="D439" s="85" t="str">
        <f aca="false">SRC_Price!$O48</f>
        <v>Active</v>
      </c>
      <c r="E439" s="85" t="n">
        <f aca="false">SRC_Price!$K48</f>
        <v>2</v>
      </c>
    </row>
    <row r="440" customFormat="false" ht="15" hidden="false" customHeight="false" outlineLevel="0" collapsed="false">
      <c r="A440" s="85" t="str">
        <f aca="false">SRC_Price!$A49&amp;""</f>
        <v/>
      </c>
      <c r="B440" s="54" t="s">
        <v>6246</v>
      </c>
      <c r="C440" s="53" t="n">
        <v>49</v>
      </c>
      <c r="D440" s="85" t="n">
        <f aca="false">SRC_Price!$O49</f>
        <v>0</v>
      </c>
      <c r="E440" s="85" t="n">
        <f aca="false">SRC_Price!$K49</f>
        <v>0</v>
      </c>
    </row>
    <row r="441" customFormat="false" ht="15" hidden="false" customHeight="false" outlineLevel="0" collapsed="false">
      <c r="A441" s="85" t="str">
        <f aca="false">SRC_Price!$A50&amp;""</f>
        <v/>
      </c>
      <c r="B441" s="54" t="s">
        <v>6246</v>
      </c>
      <c r="C441" s="53" t="n">
        <v>50</v>
      </c>
      <c r="D441" s="85" t="n">
        <f aca="false">SRC_Price!$O50</f>
        <v>0</v>
      </c>
      <c r="E441" s="85" t="n">
        <f aca="false">SRC_Price!$K50</f>
        <v>0</v>
      </c>
    </row>
    <row r="442" customFormat="false" ht="15" hidden="false" customHeight="false" outlineLevel="0" collapsed="false">
      <c r="A442" s="85" t="str">
        <f aca="false">SRC_Price!$A51&amp;""</f>
        <v/>
      </c>
      <c r="B442" s="54" t="s">
        <v>6246</v>
      </c>
      <c r="C442" s="53" t="n">
        <v>51</v>
      </c>
      <c r="D442" s="85" t="n">
        <f aca="false">SRC_Price!$O51</f>
        <v>0</v>
      </c>
      <c r="E442" s="85" t="n">
        <f aca="false">SRC_Price!$K51</f>
        <v>0</v>
      </c>
    </row>
    <row r="443" customFormat="false" ht="15" hidden="false" customHeight="false" outlineLevel="0" collapsed="false">
      <c r="A443" s="85" t="str">
        <f aca="false">SRC_Price!$A52&amp;""</f>
        <v/>
      </c>
      <c r="B443" s="54" t="s">
        <v>6246</v>
      </c>
      <c r="C443" s="53" t="n">
        <v>52</v>
      </c>
      <c r="D443" s="85" t="n">
        <f aca="false">SRC_Price!$O52</f>
        <v>0</v>
      </c>
      <c r="E443" s="85" t="n">
        <f aca="false">SRC_Price!$K52</f>
        <v>0</v>
      </c>
    </row>
    <row r="444" customFormat="false" ht="15" hidden="false" customHeight="false" outlineLevel="0" collapsed="false">
      <c r="A444" s="85" t="str">
        <f aca="false">SRC_Price!$A53&amp;""</f>
        <v/>
      </c>
      <c r="B444" s="54" t="s">
        <v>6246</v>
      </c>
      <c r="C444" s="53" t="n">
        <v>53</v>
      </c>
      <c r="D444" s="85" t="n">
        <f aca="false">SRC_Price!$O53</f>
        <v>0</v>
      </c>
      <c r="E444" s="85" t="n">
        <f aca="false">SRC_Price!$K53</f>
        <v>0</v>
      </c>
    </row>
    <row r="445" customFormat="false" ht="15" hidden="false" customHeight="false" outlineLevel="0" collapsed="false">
      <c r="A445" s="85" t="str">
        <f aca="false">SRC_Price!$A54&amp;""</f>
        <v/>
      </c>
      <c r="B445" s="54" t="s">
        <v>6246</v>
      </c>
      <c r="C445" s="53" t="n">
        <v>54</v>
      </c>
      <c r="D445" s="85" t="n">
        <f aca="false">SRC_Price!$O54</f>
        <v>0</v>
      </c>
      <c r="E445" s="85" t="n">
        <f aca="false">SRC_Price!$K54</f>
        <v>0</v>
      </c>
    </row>
    <row r="446" customFormat="false" ht="15" hidden="false" customHeight="false" outlineLevel="0" collapsed="false">
      <c r="A446" s="85" t="str">
        <f aca="false">SRC_Price!$A55&amp;""</f>
        <v/>
      </c>
      <c r="B446" s="54" t="s">
        <v>6246</v>
      </c>
      <c r="C446" s="53" t="n">
        <v>55</v>
      </c>
      <c r="D446" s="85" t="n">
        <f aca="false">SRC_Price!$O55</f>
        <v>0</v>
      </c>
      <c r="E446" s="85" t="n">
        <f aca="false">SRC_Price!$K55</f>
        <v>0</v>
      </c>
    </row>
    <row r="447" customFormat="false" ht="15" hidden="false" customHeight="false" outlineLevel="0" collapsed="false">
      <c r="A447" s="85" t="str">
        <f aca="false">SRC_Price!$A56&amp;""</f>
        <v/>
      </c>
      <c r="B447" s="54" t="s">
        <v>6246</v>
      </c>
      <c r="C447" s="53" t="n">
        <v>56</v>
      </c>
      <c r="D447" s="85" t="n">
        <f aca="false">SRC_Price!$O56</f>
        <v>0</v>
      </c>
      <c r="E447" s="85" t="n">
        <f aca="false">SRC_Price!$K56</f>
        <v>0</v>
      </c>
    </row>
    <row r="448" customFormat="false" ht="15" hidden="false" customHeight="false" outlineLevel="0" collapsed="false">
      <c r="A448" s="85" t="str">
        <f aca="false">SRC_Price!$A57&amp;""</f>
        <v/>
      </c>
      <c r="B448" s="54" t="s">
        <v>6246</v>
      </c>
      <c r="C448" s="53" t="n">
        <v>57</v>
      </c>
      <c r="D448" s="85" t="n">
        <f aca="false">SRC_Price!$O57</f>
        <v>0</v>
      </c>
      <c r="E448" s="85" t="n">
        <f aca="false">SRC_Price!$K57</f>
        <v>0</v>
      </c>
    </row>
    <row r="449" customFormat="false" ht="15" hidden="false" customHeight="false" outlineLevel="0" collapsed="false">
      <c r="A449" s="85" t="str">
        <f aca="false">SRC_Price!$A58&amp;""</f>
        <v/>
      </c>
      <c r="B449" s="54" t="s">
        <v>6246</v>
      </c>
      <c r="C449" s="53" t="n">
        <v>58</v>
      </c>
      <c r="D449" s="85" t="n">
        <f aca="false">SRC_Price!$O58</f>
        <v>0</v>
      </c>
      <c r="E449" s="85" t="n">
        <f aca="false">SRC_Price!$K58</f>
        <v>0</v>
      </c>
    </row>
    <row r="450" customFormat="false" ht="15" hidden="false" customHeight="false" outlineLevel="0" collapsed="false">
      <c r="A450" s="85" t="str">
        <f aca="false">SRC_Price!$A59&amp;""</f>
        <v/>
      </c>
      <c r="B450" s="54" t="s">
        <v>6246</v>
      </c>
      <c r="C450" s="53" t="n">
        <v>59</v>
      </c>
      <c r="D450" s="85" t="n">
        <f aca="false">SRC_Price!$O59</f>
        <v>0</v>
      </c>
      <c r="E450" s="85" t="n">
        <f aca="false">SRC_Price!$K59</f>
        <v>0</v>
      </c>
    </row>
    <row r="451" customFormat="false" ht="15" hidden="false" customHeight="false" outlineLevel="0" collapsed="false">
      <c r="A451" s="85" t="str">
        <f aca="false">SRC_Price!$A60&amp;""</f>
        <v/>
      </c>
      <c r="B451" s="54" t="s">
        <v>6246</v>
      </c>
      <c r="C451" s="53" t="n">
        <v>60</v>
      </c>
      <c r="D451" s="85" t="n">
        <f aca="false">SRC_Price!$O60</f>
        <v>0</v>
      </c>
      <c r="E451" s="85" t="n">
        <f aca="false">SRC_Price!$K60</f>
        <v>0</v>
      </c>
    </row>
    <row r="452" customFormat="false" ht="15" hidden="false" customHeight="false" outlineLevel="0" collapsed="false">
      <c r="A452" s="85" t="str">
        <f aca="false">SRC_Price!$A61&amp;""</f>
        <v/>
      </c>
      <c r="B452" s="54" t="s">
        <v>6246</v>
      </c>
      <c r="C452" s="53" t="n">
        <v>61</v>
      </c>
      <c r="D452" s="85" t="n">
        <f aca="false">SRC_Price!$O61</f>
        <v>0</v>
      </c>
      <c r="E452" s="85" t="n">
        <f aca="false">SRC_Price!$K61</f>
        <v>0</v>
      </c>
    </row>
    <row r="453" customFormat="false" ht="15" hidden="false" customHeight="false" outlineLevel="0" collapsed="false">
      <c r="A453" s="85" t="str">
        <f aca="false">SRC_Price!$A62&amp;""</f>
        <v/>
      </c>
      <c r="B453" s="54" t="s">
        <v>6246</v>
      </c>
      <c r="C453" s="53" t="n">
        <v>62</v>
      </c>
      <c r="D453" s="85" t="n">
        <f aca="false">SRC_Price!$O62</f>
        <v>0</v>
      </c>
      <c r="E453" s="85" t="n">
        <f aca="false">SRC_Price!$K62</f>
        <v>0</v>
      </c>
    </row>
    <row r="454" customFormat="false" ht="15" hidden="false" customHeight="false" outlineLevel="0" collapsed="false">
      <c r="A454" s="85" t="str">
        <f aca="false">SRC_Price!$A63&amp;""</f>
        <v/>
      </c>
      <c r="B454" s="54" t="s">
        <v>6246</v>
      </c>
      <c r="C454" s="53" t="n">
        <v>63</v>
      </c>
      <c r="D454" s="85" t="n">
        <f aca="false">SRC_Price!$O63</f>
        <v>0</v>
      </c>
      <c r="E454" s="85" t="n">
        <f aca="false">SRC_Price!$K63</f>
        <v>0</v>
      </c>
    </row>
    <row r="455" customFormat="false" ht="15" hidden="false" customHeight="false" outlineLevel="0" collapsed="false">
      <c r="A455" s="85" t="str">
        <f aca="false">SRC_Price!$A64&amp;""</f>
        <v/>
      </c>
      <c r="B455" s="54" t="s">
        <v>6246</v>
      </c>
      <c r="C455" s="53" t="n">
        <v>64</v>
      </c>
      <c r="D455" s="85" t="n">
        <f aca="false">SRC_Price!$O64</f>
        <v>0</v>
      </c>
      <c r="E455" s="85" t="n">
        <f aca="false">SRC_Price!$K64</f>
        <v>0</v>
      </c>
    </row>
    <row r="456" customFormat="false" ht="15" hidden="false" customHeight="false" outlineLevel="0" collapsed="false">
      <c r="A456" s="85" t="str">
        <f aca="false">SRC_Price!$A65&amp;""</f>
        <v/>
      </c>
      <c r="B456" s="54" t="s">
        <v>6246</v>
      </c>
      <c r="C456" s="53" t="n">
        <v>65</v>
      </c>
      <c r="D456" s="85" t="n">
        <f aca="false">SRC_Price!$O65</f>
        <v>0</v>
      </c>
      <c r="E456" s="85" t="n">
        <f aca="false">SRC_Price!$K65</f>
        <v>0</v>
      </c>
    </row>
    <row r="457" customFormat="false" ht="15" hidden="false" customHeight="false" outlineLevel="0" collapsed="false">
      <c r="A457" s="85" t="str">
        <f aca="false">SRC_Price!$A66&amp;""</f>
        <v/>
      </c>
      <c r="B457" s="54" t="s">
        <v>6246</v>
      </c>
      <c r="C457" s="53" t="n">
        <v>66</v>
      </c>
      <c r="D457" s="85" t="n">
        <f aca="false">SRC_Price!$O66</f>
        <v>0</v>
      </c>
      <c r="E457" s="85" t="n">
        <f aca="false">SRC_Price!$K66</f>
        <v>0</v>
      </c>
    </row>
    <row r="458" customFormat="false" ht="15" hidden="false" customHeight="false" outlineLevel="0" collapsed="false">
      <c r="A458" s="85" t="str">
        <f aca="false">SRC_Price!$A67&amp;""</f>
        <v/>
      </c>
      <c r="B458" s="54" t="s">
        <v>6246</v>
      </c>
      <c r="C458" s="53" t="n">
        <v>67</v>
      </c>
      <c r="D458" s="85" t="n">
        <f aca="false">SRC_Price!$O67</f>
        <v>0</v>
      </c>
      <c r="E458" s="85" t="n">
        <f aca="false">SRC_Price!$K67</f>
        <v>0</v>
      </c>
    </row>
    <row r="459" customFormat="false" ht="15" hidden="false" customHeight="false" outlineLevel="0" collapsed="false">
      <c r="A459" s="85" t="str">
        <f aca="false">SRC_Price!$A68&amp;""</f>
        <v/>
      </c>
      <c r="B459" s="54" t="s">
        <v>6246</v>
      </c>
      <c r="C459" s="53" t="n">
        <v>68</v>
      </c>
      <c r="D459" s="85" t="n">
        <f aca="false">SRC_Price!$O68</f>
        <v>0</v>
      </c>
      <c r="E459" s="85" t="n">
        <f aca="false">SRC_Price!$K68</f>
        <v>0</v>
      </c>
    </row>
    <row r="460" customFormat="false" ht="15" hidden="false" customHeight="false" outlineLevel="0" collapsed="false">
      <c r="A460" s="85" t="str">
        <f aca="false">SRC_Price!$A69&amp;""</f>
        <v/>
      </c>
      <c r="B460" s="54" t="s">
        <v>6246</v>
      </c>
      <c r="C460" s="53" t="n">
        <v>69</v>
      </c>
      <c r="D460" s="85" t="n">
        <f aca="false">SRC_Price!$O69</f>
        <v>0</v>
      </c>
      <c r="E460" s="85" t="n">
        <f aca="false">SRC_Price!$K69</f>
        <v>0</v>
      </c>
    </row>
    <row r="461" customFormat="false" ht="15" hidden="false" customHeight="false" outlineLevel="0" collapsed="false">
      <c r="A461" s="85" t="str">
        <f aca="false">SRC_Price!$A70&amp;""</f>
        <v/>
      </c>
      <c r="B461" s="54" t="s">
        <v>6246</v>
      </c>
      <c r="C461" s="53" t="n">
        <v>70</v>
      </c>
      <c r="D461" s="85" t="n">
        <f aca="false">SRC_Price!$O70</f>
        <v>0</v>
      </c>
      <c r="E461" s="85" t="n">
        <f aca="false">SRC_Price!$K70</f>
        <v>0</v>
      </c>
    </row>
    <row r="462" customFormat="false" ht="15" hidden="false" customHeight="false" outlineLevel="0" collapsed="false">
      <c r="A462" s="85" t="str">
        <f aca="false">SRC_Price!$A71&amp;""</f>
        <v/>
      </c>
      <c r="B462" s="54" t="s">
        <v>6246</v>
      </c>
      <c r="C462" s="53" t="n">
        <v>71</v>
      </c>
      <c r="D462" s="85" t="n">
        <f aca="false">SRC_Price!$O71</f>
        <v>0</v>
      </c>
      <c r="E462" s="85" t="n">
        <f aca="false">SRC_Price!$K71</f>
        <v>0</v>
      </c>
    </row>
    <row r="463" customFormat="false" ht="15" hidden="false" customHeight="false" outlineLevel="0" collapsed="false">
      <c r="A463" s="85" t="str">
        <f aca="false">SRC_Price!$A72&amp;""</f>
        <v/>
      </c>
      <c r="B463" s="54" t="s">
        <v>6246</v>
      </c>
      <c r="C463" s="53" t="n">
        <v>72</v>
      </c>
      <c r="D463" s="85" t="n">
        <f aca="false">SRC_Price!$O72</f>
        <v>0</v>
      </c>
      <c r="E463" s="85" t="n">
        <f aca="false">SRC_Price!$K72</f>
        <v>0</v>
      </c>
    </row>
    <row r="464" customFormat="false" ht="15" hidden="false" customHeight="false" outlineLevel="0" collapsed="false">
      <c r="A464" s="85" t="str">
        <f aca="false">SRC_Price!$A73&amp;""</f>
        <v/>
      </c>
      <c r="B464" s="54" t="s">
        <v>6246</v>
      </c>
      <c r="C464" s="53" t="n">
        <v>73</v>
      </c>
      <c r="D464" s="85" t="n">
        <f aca="false">SRC_Price!$O73</f>
        <v>0</v>
      </c>
      <c r="E464" s="85" t="n">
        <f aca="false">SRC_Price!$K73</f>
        <v>0</v>
      </c>
    </row>
    <row r="465" customFormat="false" ht="15" hidden="false" customHeight="false" outlineLevel="0" collapsed="false">
      <c r="A465" s="85" t="str">
        <f aca="false">SRC_Price!$A74&amp;""</f>
        <v/>
      </c>
      <c r="B465" s="54" t="s">
        <v>6246</v>
      </c>
      <c r="C465" s="53" t="n">
        <v>74</v>
      </c>
      <c r="D465" s="85" t="n">
        <f aca="false">SRC_Price!$O74</f>
        <v>0</v>
      </c>
      <c r="E465" s="85" t="n">
        <f aca="false">SRC_Price!$K74</f>
        <v>0</v>
      </c>
    </row>
    <row r="466" customFormat="false" ht="15" hidden="false" customHeight="false" outlineLevel="0" collapsed="false">
      <c r="A466" s="85" t="str">
        <f aca="false">SRC_Price!$A75&amp;""</f>
        <v/>
      </c>
      <c r="B466" s="54" t="s">
        <v>6246</v>
      </c>
      <c r="C466" s="53" t="n">
        <v>75</v>
      </c>
      <c r="D466" s="85" t="n">
        <f aca="false">SRC_Price!$O75</f>
        <v>0</v>
      </c>
      <c r="E466" s="85" t="n">
        <f aca="false">SRC_Price!$K75</f>
        <v>0</v>
      </c>
    </row>
    <row r="467" customFormat="false" ht="15" hidden="false" customHeight="false" outlineLevel="0" collapsed="false">
      <c r="A467" s="85" t="str">
        <f aca="false">SRC_Price!$A76&amp;""</f>
        <v/>
      </c>
      <c r="B467" s="54" t="s">
        <v>6246</v>
      </c>
      <c r="C467" s="53" t="n">
        <v>76</v>
      </c>
      <c r="D467" s="85" t="n">
        <f aca="false">SRC_Price!$O76</f>
        <v>0</v>
      </c>
      <c r="E467" s="85" t="n">
        <f aca="false">SRC_Price!$K76</f>
        <v>0</v>
      </c>
    </row>
    <row r="468" customFormat="false" ht="15" hidden="false" customHeight="false" outlineLevel="0" collapsed="false">
      <c r="A468" s="85" t="str">
        <f aca="false">SRC_Price!$A77&amp;""</f>
        <v/>
      </c>
      <c r="B468" s="54" t="s">
        <v>6246</v>
      </c>
      <c r="C468" s="53" t="n">
        <v>77</v>
      </c>
      <c r="D468" s="85" t="n">
        <f aca="false">SRC_Price!$O77</f>
        <v>0</v>
      </c>
      <c r="E468" s="85" t="n">
        <f aca="false">SRC_Price!$K77</f>
        <v>0</v>
      </c>
    </row>
    <row r="469" customFormat="false" ht="15" hidden="false" customHeight="false" outlineLevel="0" collapsed="false">
      <c r="A469" s="85" t="str">
        <f aca="false">SRC_Price!$A78&amp;""</f>
        <v/>
      </c>
      <c r="B469" s="54" t="s">
        <v>6246</v>
      </c>
      <c r="C469" s="53" t="n">
        <v>78</v>
      </c>
      <c r="D469" s="85" t="n">
        <f aca="false">SRC_Price!$O78</f>
        <v>0</v>
      </c>
      <c r="E469" s="85" t="n">
        <f aca="false">SRC_Price!$K78</f>
        <v>0</v>
      </c>
    </row>
    <row r="470" customFormat="false" ht="15" hidden="false" customHeight="false" outlineLevel="0" collapsed="false">
      <c r="A470" s="85" t="str">
        <f aca="false">SRC_Price!$A79&amp;""</f>
        <v/>
      </c>
      <c r="B470" s="54" t="s">
        <v>6246</v>
      </c>
      <c r="C470" s="53" t="n">
        <v>79</v>
      </c>
      <c r="D470" s="85" t="n">
        <f aca="false">SRC_Price!$O79</f>
        <v>0</v>
      </c>
      <c r="E470" s="85" t="n">
        <f aca="false">SRC_Price!$K79</f>
        <v>0</v>
      </c>
    </row>
    <row r="471" customFormat="false" ht="15" hidden="false" customHeight="false" outlineLevel="0" collapsed="false">
      <c r="A471" s="85" t="str">
        <f aca="false">SRC_Price!$A80&amp;""</f>
        <v/>
      </c>
      <c r="B471" s="54" t="s">
        <v>6246</v>
      </c>
      <c r="C471" s="53" t="n">
        <v>80</v>
      </c>
      <c r="D471" s="85" t="n">
        <f aca="false">SRC_Price!$O80</f>
        <v>0</v>
      </c>
      <c r="E471" s="85" t="n">
        <f aca="false">SRC_Price!$K80</f>
        <v>0</v>
      </c>
    </row>
    <row r="472" customFormat="false" ht="15" hidden="false" customHeight="false" outlineLevel="0" collapsed="false">
      <c r="A472" s="85" t="str">
        <f aca="false">SRC_Price!$A81&amp;""</f>
        <v/>
      </c>
      <c r="B472" s="54" t="s">
        <v>6246</v>
      </c>
      <c r="C472" s="53" t="n">
        <v>81</v>
      </c>
      <c r="D472" s="85" t="n">
        <f aca="false">SRC_Price!$O81</f>
        <v>0</v>
      </c>
      <c r="E472" s="85" t="n">
        <f aca="false">SRC_Price!$K81</f>
        <v>0</v>
      </c>
    </row>
    <row r="473" customFormat="false" ht="15" hidden="false" customHeight="false" outlineLevel="0" collapsed="false">
      <c r="A473" s="85" t="str">
        <f aca="false">SRC_Price!$A82&amp;""</f>
        <v/>
      </c>
      <c r="B473" s="54" t="s">
        <v>6246</v>
      </c>
      <c r="C473" s="53" t="n">
        <v>82</v>
      </c>
      <c r="D473" s="85" t="n">
        <f aca="false">SRC_Price!$O82</f>
        <v>0</v>
      </c>
      <c r="E473" s="85" t="n">
        <f aca="false">SRC_Price!$K82</f>
        <v>0</v>
      </c>
    </row>
    <row r="474" customFormat="false" ht="15" hidden="false" customHeight="false" outlineLevel="0" collapsed="false">
      <c r="A474" s="85" t="str">
        <f aca="false">SRC_Price!$A83&amp;""</f>
        <v/>
      </c>
      <c r="B474" s="54" t="s">
        <v>6246</v>
      </c>
      <c r="C474" s="53" t="n">
        <v>83</v>
      </c>
      <c r="D474" s="85" t="n">
        <f aca="false">SRC_Price!$O83</f>
        <v>0</v>
      </c>
      <c r="E474" s="85" t="n">
        <f aca="false">SRC_Price!$K83</f>
        <v>0</v>
      </c>
    </row>
    <row r="475" customFormat="false" ht="15" hidden="false" customHeight="false" outlineLevel="0" collapsed="false">
      <c r="A475" s="85" t="str">
        <f aca="false">SRC_Price!$A84&amp;""</f>
        <v/>
      </c>
      <c r="B475" s="54" t="s">
        <v>6246</v>
      </c>
      <c r="C475" s="53" t="n">
        <v>84</v>
      </c>
      <c r="D475" s="85" t="n">
        <f aca="false">SRC_Price!$O84</f>
        <v>0</v>
      </c>
      <c r="E475" s="85" t="n">
        <f aca="false">SRC_Price!$K84</f>
        <v>0</v>
      </c>
    </row>
    <row r="476" customFormat="false" ht="15" hidden="false" customHeight="false" outlineLevel="0" collapsed="false">
      <c r="A476" s="85" t="str">
        <f aca="false">SRC_Price!$A85&amp;""</f>
        <v/>
      </c>
      <c r="B476" s="54" t="s">
        <v>6246</v>
      </c>
      <c r="C476" s="53" t="n">
        <v>85</v>
      </c>
      <c r="D476" s="85" t="n">
        <f aca="false">SRC_Price!$O85</f>
        <v>0</v>
      </c>
      <c r="E476" s="85" t="n">
        <f aca="false">SRC_Price!$K85</f>
        <v>0</v>
      </c>
    </row>
    <row r="477" customFormat="false" ht="15" hidden="false" customHeight="false" outlineLevel="0" collapsed="false">
      <c r="A477" s="85" t="str">
        <f aca="false">SRC_Price!$A86&amp;""</f>
        <v/>
      </c>
      <c r="B477" s="54" t="s">
        <v>6246</v>
      </c>
      <c r="C477" s="53" t="n">
        <v>86</v>
      </c>
      <c r="D477" s="85" t="n">
        <f aca="false">SRC_Price!$O86</f>
        <v>0</v>
      </c>
      <c r="E477" s="85" t="n">
        <f aca="false">SRC_Price!$K86</f>
        <v>0</v>
      </c>
    </row>
    <row r="478" customFormat="false" ht="15" hidden="false" customHeight="false" outlineLevel="0" collapsed="false">
      <c r="A478" s="85" t="str">
        <f aca="false">SRC_Price!$A87&amp;""</f>
        <v/>
      </c>
      <c r="B478" s="54" t="s">
        <v>6246</v>
      </c>
      <c r="C478" s="53" t="n">
        <v>87</v>
      </c>
      <c r="D478" s="85" t="n">
        <f aca="false">SRC_Price!$O87</f>
        <v>0</v>
      </c>
      <c r="E478" s="85" t="n">
        <f aca="false">SRC_Price!$K87</f>
        <v>0</v>
      </c>
    </row>
    <row r="479" customFormat="false" ht="15" hidden="false" customHeight="false" outlineLevel="0" collapsed="false">
      <c r="A479" s="85" t="str">
        <f aca="false">SRC_Price!$A88&amp;""</f>
        <v/>
      </c>
      <c r="B479" s="54" t="s">
        <v>6246</v>
      </c>
      <c r="C479" s="53" t="n">
        <v>88</v>
      </c>
      <c r="D479" s="85" t="n">
        <f aca="false">SRC_Price!$O88</f>
        <v>0</v>
      </c>
      <c r="E479" s="85" t="n">
        <f aca="false">SRC_Price!$K88</f>
        <v>0</v>
      </c>
    </row>
    <row r="480" customFormat="false" ht="15" hidden="false" customHeight="false" outlineLevel="0" collapsed="false">
      <c r="A480" s="85" t="str">
        <f aca="false">SRC_Price!$A89&amp;""</f>
        <v/>
      </c>
      <c r="B480" s="54" t="s">
        <v>6246</v>
      </c>
      <c r="C480" s="53" t="n">
        <v>89</v>
      </c>
      <c r="D480" s="85" t="n">
        <f aca="false">SRC_Price!$O89</f>
        <v>0</v>
      </c>
      <c r="E480" s="85" t="n">
        <f aca="false">SRC_Price!$K89</f>
        <v>0</v>
      </c>
    </row>
    <row r="481" customFormat="false" ht="15" hidden="false" customHeight="false" outlineLevel="0" collapsed="false">
      <c r="A481" s="85" t="str">
        <f aca="false">SRC_Price!$A90&amp;""</f>
        <v/>
      </c>
      <c r="B481" s="54" t="s">
        <v>6246</v>
      </c>
      <c r="C481" s="53" t="n">
        <v>90</v>
      </c>
      <c r="D481" s="85" t="n">
        <f aca="false">SRC_Price!$O90</f>
        <v>0</v>
      </c>
      <c r="E481" s="85" t="n">
        <f aca="false">SRC_Price!$K90</f>
        <v>0</v>
      </c>
    </row>
    <row r="482" customFormat="false" ht="15" hidden="false" customHeight="false" outlineLevel="0" collapsed="false">
      <c r="A482" s="85" t="str">
        <f aca="false">SRC_Price!$A91&amp;""</f>
        <v/>
      </c>
      <c r="B482" s="54" t="s">
        <v>6246</v>
      </c>
      <c r="C482" s="53" t="n">
        <v>91</v>
      </c>
      <c r="D482" s="85" t="n">
        <f aca="false">SRC_Price!$O91</f>
        <v>0</v>
      </c>
      <c r="E482" s="85" t="n">
        <f aca="false">SRC_Price!$K91</f>
        <v>0</v>
      </c>
    </row>
    <row r="483" customFormat="false" ht="15" hidden="false" customHeight="false" outlineLevel="0" collapsed="false">
      <c r="A483" s="85" t="str">
        <f aca="false">SRC_Price!$A92&amp;""</f>
        <v/>
      </c>
      <c r="B483" s="54" t="s">
        <v>6246</v>
      </c>
      <c r="C483" s="53" t="n">
        <v>92</v>
      </c>
      <c r="D483" s="85" t="n">
        <f aca="false">SRC_Price!$O92</f>
        <v>0</v>
      </c>
      <c r="E483" s="85" t="n">
        <f aca="false">SRC_Price!$K92</f>
        <v>0</v>
      </c>
    </row>
    <row r="484" customFormat="false" ht="15" hidden="false" customHeight="false" outlineLevel="0" collapsed="false">
      <c r="A484" s="85" t="str">
        <f aca="false">SRC_Price!$A93&amp;""</f>
        <v/>
      </c>
      <c r="B484" s="54" t="s">
        <v>6246</v>
      </c>
      <c r="C484" s="53" t="n">
        <v>93</v>
      </c>
      <c r="D484" s="85" t="n">
        <f aca="false">SRC_Price!$O93</f>
        <v>0</v>
      </c>
      <c r="E484" s="85" t="n">
        <f aca="false">SRC_Price!$K93</f>
        <v>0</v>
      </c>
    </row>
    <row r="485" customFormat="false" ht="15" hidden="false" customHeight="false" outlineLevel="0" collapsed="false">
      <c r="A485" s="85" t="str">
        <f aca="false">SRC_Price!$A94&amp;""</f>
        <v/>
      </c>
      <c r="B485" s="54" t="s">
        <v>6246</v>
      </c>
      <c r="C485" s="53" t="n">
        <v>94</v>
      </c>
      <c r="D485" s="85" t="n">
        <f aca="false">SRC_Price!$O94</f>
        <v>0</v>
      </c>
      <c r="E485" s="85" t="n">
        <f aca="false">SRC_Price!$K94</f>
        <v>0</v>
      </c>
    </row>
    <row r="486" customFormat="false" ht="15" hidden="false" customHeight="false" outlineLevel="0" collapsed="false">
      <c r="A486" s="85" t="str">
        <f aca="false">SRC_Price!$A95&amp;""</f>
        <v/>
      </c>
      <c r="B486" s="54" t="s">
        <v>6246</v>
      </c>
      <c r="C486" s="53" t="n">
        <v>95</v>
      </c>
      <c r="D486" s="85" t="n">
        <f aca="false">SRC_Price!$O95</f>
        <v>0</v>
      </c>
      <c r="E486" s="85" t="n">
        <f aca="false">SRC_Price!$K95</f>
        <v>0</v>
      </c>
    </row>
    <row r="487" customFormat="false" ht="15" hidden="false" customHeight="false" outlineLevel="0" collapsed="false">
      <c r="A487" s="85" t="str">
        <f aca="false">SRC_Price!$A96&amp;""</f>
        <v/>
      </c>
      <c r="B487" s="54" t="s">
        <v>6246</v>
      </c>
      <c r="C487" s="53" t="n">
        <v>96</v>
      </c>
      <c r="D487" s="85" t="n">
        <f aca="false">SRC_Price!$O96</f>
        <v>0</v>
      </c>
      <c r="E487" s="85" t="n">
        <f aca="false">SRC_Price!$K96</f>
        <v>0</v>
      </c>
    </row>
    <row r="488" customFormat="false" ht="15" hidden="false" customHeight="false" outlineLevel="0" collapsed="false">
      <c r="A488" s="85" t="str">
        <f aca="false">SRC_Price!$A97&amp;""</f>
        <v/>
      </c>
      <c r="B488" s="54" t="s">
        <v>6246</v>
      </c>
      <c r="C488" s="53" t="n">
        <v>97</v>
      </c>
      <c r="D488" s="85" t="n">
        <f aca="false">SRC_Price!$O97</f>
        <v>0</v>
      </c>
      <c r="E488" s="85" t="n">
        <f aca="false">SRC_Price!$K97</f>
        <v>0</v>
      </c>
    </row>
    <row r="489" customFormat="false" ht="15" hidden="false" customHeight="false" outlineLevel="0" collapsed="false">
      <c r="A489" s="85" t="str">
        <f aca="false">SRC_Price!$A98&amp;""</f>
        <v/>
      </c>
      <c r="B489" s="54" t="s">
        <v>6246</v>
      </c>
      <c r="C489" s="53" t="n">
        <v>98</v>
      </c>
      <c r="D489" s="85" t="n">
        <f aca="false">SRC_Price!$O98</f>
        <v>0</v>
      </c>
      <c r="E489" s="85" t="n">
        <f aca="false">SRC_Price!$K98</f>
        <v>0</v>
      </c>
    </row>
    <row r="490" customFormat="false" ht="15" hidden="false" customHeight="false" outlineLevel="0" collapsed="false">
      <c r="A490" s="85" t="str">
        <f aca="false">SRC_Cap!$A5&amp;""</f>
        <v>SRC_CAP_001</v>
      </c>
      <c r="B490" s="54" t="s">
        <v>6247</v>
      </c>
      <c r="C490" s="53" t="n">
        <v>5</v>
      </c>
      <c r="D490" s="85" t="str">
        <f aca="false">SRC_Cap!$O5</f>
        <v>Active</v>
      </c>
      <c r="E490" s="85" t="n">
        <f aca="false">SRC_Cap!$K5</f>
        <v>2</v>
      </c>
    </row>
    <row r="491" customFormat="false" ht="15" hidden="false" customHeight="false" outlineLevel="0" collapsed="false">
      <c r="A491" s="85" t="str">
        <f aca="false">SRC_Cap!$A6&amp;""</f>
        <v>SRC_CAP_002</v>
      </c>
      <c r="B491" s="54" t="s">
        <v>6247</v>
      </c>
      <c r="C491" s="53" t="n">
        <v>6</v>
      </c>
      <c r="D491" s="85" t="str">
        <f aca="false">SRC_Cap!$O6</f>
        <v>Active</v>
      </c>
      <c r="E491" s="85" t="n">
        <f aca="false">SRC_Cap!$K6</f>
        <v>2</v>
      </c>
    </row>
    <row r="492" customFormat="false" ht="15" hidden="false" customHeight="false" outlineLevel="0" collapsed="false">
      <c r="A492" s="85" t="str">
        <f aca="false">SRC_Cap!$A7&amp;""</f>
        <v>SRC_CAP_003</v>
      </c>
      <c r="B492" s="54" t="s">
        <v>6247</v>
      </c>
      <c r="C492" s="53" t="n">
        <v>7</v>
      </c>
      <c r="D492" s="85" t="str">
        <f aca="false">SRC_Cap!$O7</f>
        <v>Active</v>
      </c>
      <c r="E492" s="85" t="n">
        <f aca="false">SRC_Cap!$K7</f>
        <v>2</v>
      </c>
    </row>
    <row r="493" customFormat="false" ht="15" hidden="false" customHeight="false" outlineLevel="0" collapsed="false">
      <c r="A493" s="85" t="str">
        <f aca="false">SRC_Cap!$A8&amp;""</f>
        <v>SRC_CAP_004</v>
      </c>
      <c r="B493" s="54" t="s">
        <v>6247</v>
      </c>
      <c r="C493" s="53" t="n">
        <v>8</v>
      </c>
      <c r="D493" s="85" t="str">
        <f aca="false">SRC_Cap!$O8</f>
        <v>Active</v>
      </c>
      <c r="E493" s="85" t="n">
        <f aca="false">SRC_Cap!$K8</f>
        <v>2</v>
      </c>
    </row>
    <row r="494" customFormat="false" ht="15" hidden="false" customHeight="false" outlineLevel="0" collapsed="false">
      <c r="A494" s="85" t="str">
        <f aca="false">SRC_Cap!$A9&amp;""</f>
        <v>SRC_CAP_005</v>
      </c>
      <c r="B494" s="54" t="s">
        <v>6247</v>
      </c>
      <c r="C494" s="53" t="n">
        <v>9</v>
      </c>
      <c r="D494" s="85" t="str">
        <f aca="false">SRC_Cap!$O9</f>
        <v>Active</v>
      </c>
      <c r="E494" s="85" t="n">
        <f aca="false">SRC_Cap!$K9</f>
        <v>2</v>
      </c>
    </row>
    <row r="495" customFormat="false" ht="15" hidden="false" customHeight="false" outlineLevel="0" collapsed="false">
      <c r="A495" s="85" t="str">
        <f aca="false">SRC_Cap!$A10&amp;""</f>
        <v>SRC_CAP_006</v>
      </c>
      <c r="B495" s="54" t="s">
        <v>6247</v>
      </c>
      <c r="C495" s="53" t="n">
        <v>10</v>
      </c>
      <c r="D495" s="85" t="str">
        <f aca="false">SRC_Cap!$O10</f>
        <v>Active</v>
      </c>
      <c r="E495" s="85" t="n">
        <f aca="false">SRC_Cap!$K10</f>
        <v>2</v>
      </c>
    </row>
    <row r="496" customFormat="false" ht="15" hidden="false" customHeight="false" outlineLevel="0" collapsed="false">
      <c r="A496" s="85" t="str">
        <f aca="false">SRC_Cap!$A11&amp;""</f>
        <v>SRC_CAP_007</v>
      </c>
      <c r="B496" s="54" t="s">
        <v>6247</v>
      </c>
      <c r="C496" s="53" t="n">
        <v>11</v>
      </c>
      <c r="D496" s="85" t="str">
        <f aca="false">SRC_Cap!$O11</f>
        <v>Active</v>
      </c>
      <c r="E496" s="85" t="n">
        <f aca="false">SRC_Cap!$K11</f>
        <v>2</v>
      </c>
    </row>
    <row r="497" customFormat="false" ht="15" hidden="false" customHeight="false" outlineLevel="0" collapsed="false">
      <c r="A497" s="85" t="str">
        <f aca="false">SRC_Cap!$A12&amp;""</f>
        <v>SRC_CAP_008</v>
      </c>
      <c r="B497" s="54" t="s">
        <v>6247</v>
      </c>
      <c r="C497" s="53" t="n">
        <v>12</v>
      </c>
      <c r="D497" s="85" t="str">
        <f aca="false">SRC_Cap!$O12</f>
        <v>Active</v>
      </c>
      <c r="E497" s="85" t="n">
        <f aca="false">SRC_Cap!$K12</f>
        <v>1</v>
      </c>
    </row>
    <row r="498" customFormat="false" ht="15" hidden="false" customHeight="false" outlineLevel="0" collapsed="false">
      <c r="A498" s="85" t="str">
        <f aca="false">SRC_Cap!$A13&amp;""</f>
        <v>SRC_CAP_009</v>
      </c>
      <c r="B498" s="54" t="s">
        <v>6247</v>
      </c>
      <c r="C498" s="53" t="n">
        <v>13</v>
      </c>
      <c r="D498" s="85" t="str">
        <f aca="false">SRC_Cap!$O13</f>
        <v>Active</v>
      </c>
      <c r="E498" s="85" t="n">
        <f aca="false">SRC_Cap!$K13</f>
        <v>3</v>
      </c>
    </row>
    <row r="499" customFormat="false" ht="15" hidden="false" customHeight="false" outlineLevel="0" collapsed="false">
      <c r="A499" s="85" t="str">
        <f aca="false">SRC_Cap!$A14&amp;""</f>
        <v>SRC_CAP_010</v>
      </c>
      <c r="B499" s="54" t="s">
        <v>6247</v>
      </c>
      <c r="C499" s="53" t="n">
        <v>14</v>
      </c>
      <c r="D499" s="85" t="str">
        <f aca="false">SRC_Cap!$O14</f>
        <v>Active</v>
      </c>
      <c r="E499" s="85" t="n">
        <f aca="false">SRC_Cap!$K14</f>
        <v>3</v>
      </c>
    </row>
    <row r="500" customFormat="false" ht="15" hidden="false" customHeight="false" outlineLevel="0" collapsed="false">
      <c r="A500" s="85" t="str">
        <f aca="false">SRC_Cap!$A15&amp;""</f>
        <v>SRC_CAP_011</v>
      </c>
      <c r="B500" s="54" t="s">
        <v>6247</v>
      </c>
      <c r="C500" s="53" t="n">
        <v>15</v>
      </c>
      <c r="D500" s="85" t="str">
        <f aca="false">SRC_Cap!$O15</f>
        <v>Active</v>
      </c>
      <c r="E500" s="85" t="n">
        <f aca="false">SRC_Cap!$K15</f>
        <v>1</v>
      </c>
    </row>
    <row r="501" customFormat="false" ht="15" hidden="false" customHeight="false" outlineLevel="0" collapsed="false">
      <c r="A501" s="85" t="str">
        <f aca="false">SRC_Cap!$A16&amp;""</f>
        <v>SRC_CAP_012</v>
      </c>
      <c r="B501" s="54" t="s">
        <v>6247</v>
      </c>
      <c r="C501" s="53" t="n">
        <v>16</v>
      </c>
      <c r="D501" s="85" t="str">
        <f aca="false">SRC_Cap!$O16</f>
        <v>Active</v>
      </c>
      <c r="E501" s="85" t="n">
        <f aca="false">SRC_Cap!$K16</f>
        <v>2</v>
      </c>
    </row>
    <row r="502" customFormat="false" ht="15" hidden="false" customHeight="false" outlineLevel="0" collapsed="false">
      <c r="A502" s="85" t="str">
        <f aca="false">SRC_Cap!$A17&amp;""</f>
        <v>SRC_CAP_013</v>
      </c>
      <c r="B502" s="54" t="s">
        <v>6247</v>
      </c>
      <c r="C502" s="53" t="n">
        <v>17</v>
      </c>
      <c r="D502" s="85" t="str">
        <f aca="false">SRC_Cap!$O17</f>
        <v>Active</v>
      </c>
      <c r="E502" s="85" t="n">
        <f aca="false">SRC_Cap!$K17</f>
        <v>2</v>
      </c>
    </row>
    <row r="503" customFormat="false" ht="15" hidden="false" customHeight="false" outlineLevel="0" collapsed="false">
      <c r="A503" s="85" t="str">
        <f aca="false">SRC_Cap!$A18&amp;""</f>
        <v>SRC_CAP_014</v>
      </c>
      <c r="B503" s="54" t="s">
        <v>6247</v>
      </c>
      <c r="C503" s="53" t="n">
        <v>18</v>
      </c>
      <c r="D503" s="85" t="str">
        <f aca="false">SRC_Cap!$O18</f>
        <v>Active</v>
      </c>
      <c r="E503" s="85" t="n">
        <f aca="false">SRC_Cap!$K18</f>
        <v>2</v>
      </c>
    </row>
    <row r="504" customFormat="false" ht="15" hidden="false" customHeight="false" outlineLevel="0" collapsed="false">
      <c r="A504" s="85" t="str">
        <f aca="false">SRC_Cap!$A19&amp;""</f>
        <v>SRC_CAP_015</v>
      </c>
      <c r="B504" s="54" t="s">
        <v>6247</v>
      </c>
      <c r="C504" s="53" t="n">
        <v>19</v>
      </c>
      <c r="D504" s="85" t="str">
        <f aca="false">SRC_Cap!$O19</f>
        <v>Active</v>
      </c>
      <c r="E504" s="85" t="n">
        <f aca="false">SRC_Cap!$K19</f>
        <v>2</v>
      </c>
    </row>
    <row r="505" customFormat="false" ht="15" hidden="false" customHeight="false" outlineLevel="0" collapsed="false">
      <c r="A505" s="85" t="str">
        <f aca="false">SRC_Cap!$A20&amp;""</f>
        <v>SRC_CAP_016</v>
      </c>
      <c r="B505" s="54" t="s">
        <v>6247</v>
      </c>
      <c r="C505" s="53" t="n">
        <v>20</v>
      </c>
      <c r="D505" s="85" t="str">
        <f aca="false">SRC_Cap!$O20</f>
        <v>Active</v>
      </c>
      <c r="E505" s="85" t="n">
        <f aca="false">SRC_Cap!$K20</f>
        <v>2</v>
      </c>
    </row>
    <row r="506" customFormat="false" ht="15" hidden="false" customHeight="false" outlineLevel="0" collapsed="false">
      <c r="A506" s="85" t="str">
        <f aca="false">SRC_Cap!$A21&amp;""</f>
        <v>SRC_CAP_017</v>
      </c>
      <c r="B506" s="54" t="s">
        <v>6247</v>
      </c>
      <c r="C506" s="53" t="n">
        <v>21</v>
      </c>
      <c r="D506" s="85" t="str">
        <f aca="false">SRC_Cap!$O21</f>
        <v>Active</v>
      </c>
      <c r="E506" s="85" t="n">
        <f aca="false">SRC_Cap!$K21</f>
        <v>2</v>
      </c>
    </row>
    <row r="507" customFormat="false" ht="15" hidden="false" customHeight="false" outlineLevel="0" collapsed="false">
      <c r="A507" s="85" t="str">
        <f aca="false">SRC_Cap!$A22&amp;""</f>
        <v>SRC_CAP_018</v>
      </c>
      <c r="B507" s="54" t="s">
        <v>6247</v>
      </c>
      <c r="C507" s="53" t="n">
        <v>22</v>
      </c>
      <c r="D507" s="85" t="str">
        <f aca="false">SRC_Cap!$O22</f>
        <v>Active</v>
      </c>
      <c r="E507" s="85" t="n">
        <f aca="false">SRC_Cap!$K22</f>
        <v>2</v>
      </c>
    </row>
    <row r="508" customFormat="false" ht="15" hidden="false" customHeight="false" outlineLevel="0" collapsed="false">
      <c r="A508" s="85" t="str">
        <f aca="false">SRC_Cap!$A23&amp;""</f>
        <v>SRC_CAP_019</v>
      </c>
      <c r="B508" s="54" t="s">
        <v>6247</v>
      </c>
      <c r="C508" s="53" t="n">
        <v>23</v>
      </c>
      <c r="D508" s="85" t="str">
        <f aca="false">SRC_Cap!$O23</f>
        <v>Active</v>
      </c>
      <c r="E508" s="85" t="n">
        <f aca="false">SRC_Cap!$K23</f>
        <v>2</v>
      </c>
    </row>
    <row r="509" customFormat="false" ht="15" hidden="false" customHeight="false" outlineLevel="0" collapsed="false">
      <c r="A509" s="85" t="str">
        <f aca="false">SRC_Cap!$A24&amp;""</f>
        <v>SRC_CAP_020</v>
      </c>
      <c r="B509" s="54" t="s">
        <v>6247</v>
      </c>
      <c r="C509" s="53" t="n">
        <v>24</v>
      </c>
      <c r="D509" s="85" t="str">
        <f aca="false">SRC_Cap!$O24</f>
        <v>Active</v>
      </c>
      <c r="E509" s="85" t="n">
        <f aca="false">SRC_Cap!$K24</f>
        <v>2</v>
      </c>
    </row>
    <row r="510" customFormat="false" ht="15" hidden="false" customHeight="false" outlineLevel="0" collapsed="false">
      <c r="A510" s="85" t="str">
        <f aca="false">SRC_Cap!$A25&amp;""</f>
        <v>SRC_CAP_021</v>
      </c>
      <c r="B510" s="54" t="s">
        <v>6247</v>
      </c>
      <c r="C510" s="53" t="n">
        <v>25</v>
      </c>
      <c r="D510" s="85" t="str">
        <f aca="false">SRC_Cap!$O25</f>
        <v>Active</v>
      </c>
      <c r="E510" s="85" t="n">
        <f aca="false">SRC_Cap!$K25</f>
        <v>2</v>
      </c>
    </row>
    <row r="511" customFormat="false" ht="15" hidden="false" customHeight="false" outlineLevel="0" collapsed="false">
      <c r="A511" s="85" t="str">
        <f aca="false">SRC_Cap!$A26&amp;""</f>
        <v/>
      </c>
      <c r="B511" s="54" t="s">
        <v>6247</v>
      </c>
      <c r="C511" s="53" t="n">
        <v>26</v>
      </c>
      <c r="D511" s="85" t="n">
        <f aca="false">SRC_Cap!$O26</f>
        <v>0</v>
      </c>
      <c r="E511" s="85" t="n">
        <f aca="false">SRC_Cap!$K26</f>
        <v>0</v>
      </c>
    </row>
    <row r="512" customFormat="false" ht="15" hidden="false" customHeight="false" outlineLevel="0" collapsed="false">
      <c r="A512" s="85" t="str">
        <f aca="false">SRC_Cap!$A27&amp;""</f>
        <v/>
      </c>
      <c r="B512" s="54" t="s">
        <v>6247</v>
      </c>
      <c r="C512" s="53" t="n">
        <v>27</v>
      </c>
      <c r="D512" s="85" t="n">
        <f aca="false">SRC_Cap!$O27</f>
        <v>0</v>
      </c>
      <c r="E512" s="85" t="n">
        <f aca="false">SRC_Cap!$K27</f>
        <v>0</v>
      </c>
    </row>
    <row r="513" customFormat="false" ht="15" hidden="false" customHeight="false" outlineLevel="0" collapsed="false">
      <c r="A513" s="85" t="str">
        <f aca="false">SRC_Cap!$A28&amp;""</f>
        <v/>
      </c>
      <c r="B513" s="54" t="s">
        <v>6247</v>
      </c>
      <c r="C513" s="53" t="n">
        <v>28</v>
      </c>
      <c r="D513" s="85" t="n">
        <f aca="false">SRC_Cap!$O28</f>
        <v>0</v>
      </c>
      <c r="E513" s="85" t="n">
        <f aca="false">SRC_Cap!$K28</f>
        <v>0</v>
      </c>
    </row>
    <row r="514" customFormat="false" ht="15" hidden="false" customHeight="false" outlineLevel="0" collapsed="false">
      <c r="A514" s="85" t="str">
        <f aca="false">SRC_Cap!$A29&amp;""</f>
        <v/>
      </c>
      <c r="B514" s="54" t="s">
        <v>6247</v>
      </c>
      <c r="C514" s="53" t="n">
        <v>29</v>
      </c>
      <c r="D514" s="85" t="n">
        <f aca="false">SRC_Cap!$O29</f>
        <v>0</v>
      </c>
      <c r="E514" s="85" t="n">
        <f aca="false">SRC_Cap!$K29</f>
        <v>0</v>
      </c>
    </row>
    <row r="515" customFormat="false" ht="15" hidden="false" customHeight="false" outlineLevel="0" collapsed="false">
      <c r="A515" s="85" t="str">
        <f aca="false">SRC_Cap!$A30&amp;""</f>
        <v/>
      </c>
      <c r="B515" s="54" t="s">
        <v>6247</v>
      </c>
      <c r="C515" s="53" t="n">
        <v>30</v>
      </c>
      <c r="D515" s="85" t="n">
        <f aca="false">SRC_Cap!$O30</f>
        <v>0</v>
      </c>
      <c r="E515" s="85" t="n">
        <f aca="false">SRC_Cap!$K30</f>
        <v>0</v>
      </c>
    </row>
    <row r="516" customFormat="false" ht="15" hidden="false" customHeight="false" outlineLevel="0" collapsed="false">
      <c r="A516" s="85" t="str">
        <f aca="false">SRC_Cap!$A31&amp;""</f>
        <v/>
      </c>
      <c r="B516" s="54" t="s">
        <v>6247</v>
      </c>
      <c r="C516" s="53" t="n">
        <v>31</v>
      </c>
      <c r="D516" s="85" t="n">
        <f aca="false">SRC_Cap!$O31</f>
        <v>0</v>
      </c>
      <c r="E516" s="85" t="n">
        <f aca="false">SRC_Cap!$K31</f>
        <v>0</v>
      </c>
    </row>
    <row r="517" customFormat="false" ht="15" hidden="false" customHeight="false" outlineLevel="0" collapsed="false">
      <c r="A517" s="85" t="str">
        <f aca="false">SRC_Cap!$A32&amp;""</f>
        <v/>
      </c>
      <c r="B517" s="54" t="s">
        <v>6247</v>
      </c>
      <c r="C517" s="53" t="n">
        <v>32</v>
      </c>
      <c r="D517" s="85" t="n">
        <f aca="false">SRC_Cap!$O32</f>
        <v>0</v>
      </c>
      <c r="E517" s="85" t="n">
        <f aca="false">SRC_Cap!$K32</f>
        <v>0</v>
      </c>
    </row>
    <row r="518" customFormat="false" ht="15" hidden="false" customHeight="false" outlineLevel="0" collapsed="false">
      <c r="A518" s="85" t="str">
        <f aca="false">SRC_Cap!$A33&amp;""</f>
        <v/>
      </c>
      <c r="B518" s="54" t="s">
        <v>6247</v>
      </c>
      <c r="C518" s="53" t="n">
        <v>33</v>
      </c>
      <c r="D518" s="85" t="n">
        <f aca="false">SRC_Cap!$O33</f>
        <v>0</v>
      </c>
      <c r="E518" s="85" t="n">
        <f aca="false">SRC_Cap!$K33</f>
        <v>0</v>
      </c>
    </row>
    <row r="519" customFormat="false" ht="15" hidden="false" customHeight="false" outlineLevel="0" collapsed="false">
      <c r="A519" s="85" t="str">
        <f aca="false">SRC_Cap!$A34&amp;""</f>
        <v/>
      </c>
      <c r="B519" s="54" t="s">
        <v>6247</v>
      </c>
      <c r="C519" s="53" t="n">
        <v>34</v>
      </c>
      <c r="D519" s="85" t="n">
        <f aca="false">SRC_Cap!$O34</f>
        <v>0</v>
      </c>
      <c r="E519" s="85" t="n">
        <f aca="false">SRC_Cap!$K34</f>
        <v>0</v>
      </c>
    </row>
    <row r="520" customFormat="false" ht="15" hidden="false" customHeight="false" outlineLevel="0" collapsed="false">
      <c r="A520" s="85" t="str">
        <f aca="false">SRC_Cap!$A35&amp;""</f>
        <v/>
      </c>
      <c r="B520" s="54" t="s">
        <v>6247</v>
      </c>
      <c r="C520" s="53" t="n">
        <v>35</v>
      </c>
      <c r="D520" s="85" t="n">
        <f aca="false">SRC_Cap!$O35</f>
        <v>0</v>
      </c>
      <c r="E520" s="85" t="n">
        <f aca="false">SRC_Cap!$K35</f>
        <v>0</v>
      </c>
    </row>
    <row r="521" customFormat="false" ht="15" hidden="false" customHeight="false" outlineLevel="0" collapsed="false">
      <c r="A521" s="85" t="str">
        <f aca="false">SRC_Cap!$A36&amp;""</f>
        <v/>
      </c>
      <c r="B521" s="54" t="s">
        <v>6247</v>
      </c>
      <c r="C521" s="53" t="n">
        <v>36</v>
      </c>
      <c r="D521" s="85" t="n">
        <f aca="false">SRC_Cap!$O36</f>
        <v>0</v>
      </c>
      <c r="E521" s="85" t="n">
        <f aca="false">SRC_Cap!$K36</f>
        <v>0</v>
      </c>
    </row>
    <row r="522" customFormat="false" ht="15" hidden="false" customHeight="false" outlineLevel="0" collapsed="false">
      <c r="A522" s="85" t="str">
        <f aca="false">SRC_Cap!$A37&amp;""</f>
        <v/>
      </c>
      <c r="B522" s="54" t="s">
        <v>6247</v>
      </c>
      <c r="C522" s="53" t="n">
        <v>37</v>
      </c>
      <c r="D522" s="85" t="n">
        <f aca="false">SRC_Cap!$O37</f>
        <v>0</v>
      </c>
      <c r="E522" s="85" t="n">
        <f aca="false">SRC_Cap!$K37</f>
        <v>0</v>
      </c>
    </row>
    <row r="523" customFormat="false" ht="15" hidden="false" customHeight="false" outlineLevel="0" collapsed="false">
      <c r="A523" s="85" t="str">
        <f aca="false">SRC_Cap!$A38&amp;""</f>
        <v/>
      </c>
      <c r="B523" s="54" t="s">
        <v>6247</v>
      </c>
      <c r="C523" s="53" t="n">
        <v>38</v>
      </c>
      <c r="D523" s="85" t="n">
        <f aca="false">SRC_Cap!$O38</f>
        <v>0</v>
      </c>
      <c r="E523" s="85" t="n">
        <f aca="false">SRC_Cap!$K38</f>
        <v>0</v>
      </c>
    </row>
    <row r="524" customFormat="false" ht="15" hidden="false" customHeight="false" outlineLevel="0" collapsed="false">
      <c r="A524" s="85" t="str">
        <f aca="false">SRC_Cap!$A39&amp;""</f>
        <v/>
      </c>
      <c r="B524" s="54" t="s">
        <v>6247</v>
      </c>
      <c r="C524" s="53" t="n">
        <v>39</v>
      </c>
      <c r="D524" s="85" t="n">
        <f aca="false">SRC_Cap!$O39</f>
        <v>0</v>
      </c>
      <c r="E524" s="85" t="n">
        <f aca="false">SRC_Cap!$K39</f>
        <v>0</v>
      </c>
    </row>
    <row r="525" customFormat="false" ht="15" hidden="false" customHeight="false" outlineLevel="0" collapsed="false">
      <c r="A525" s="85" t="str">
        <f aca="false">SRC_Cap!$A40&amp;""</f>
        <v/>
      </c>
      <c r="B525" s="54" t="s">
        <v>6247</v>
      </c>
      <c r="C525" s="53" t="n">
        <v>40</v>
      </c>
      <c r="D525" s="85" t="n">
        <f aca="false">SRC_Cap!$O40</f>
        <v>0</v>
      </c>
      <c r="E525" s="85" t="n">
        <f aca="false">SRC_Cap!$K40</f>
        <v>0</v>
      </c>
    </row>
    <row r="526" customFormat="false" ht="15" hidden="false" customHeight="false" outlineLevel="0" collapsed="false">
      <c r="A526" s="85" t="str">
        <f aca="false">SRC_Cap!$A41&amp;""</f>
        <v/>
      </c>
      <c r="B526" s="54" t="s">
        <v>6247</v>
      </c>
      <c r="C526" s="53" t="n">
        <v>41</v>
      </c>
      <c r="D526" s="85" t="n">
        <f aca="false">SRC_Cap!$O41</f>
        <v>0</v>
      </c>
      <c r="E526" s="85" t="n">
        <f aca="false">SRC_Cap!$K41</f>
        <v>0</v>
      </c>
    </row>
    <row r="527" customFormat="false" ht="15" hidden="false" customHeight="false" outlineLevel="0" collapsed="false">
      <c r="A527" s="85" t="str">
        <f aca="false">SRC_Cap!$A42&amp;""</f>
        <v/>
      </c>
      <c r="B527" s="54" t="s">
        <v>6247</v>
      </c>
      <c r="C527" s="53" t="n">
        <v>42</v>
      </c>
      <c r="D527" s="85" t="n">
        <f aca="false">SRC_Cap!$O42</f>
        <v>0</v>
      </c>
      <c r="E527" s="85" t="n">
        <f aca="false">SRC_Cap!$K42</f>
        <v>0</v>
      </c>
    </row>
    <row r="528" customFormat="false" ht="15" hidden="false" customHeight="false" outlineLevel="0" collapsed="false">
      <c r="A528" s="85" t="str">
        <f aca="false">SRC_Cap!$A43&amp;""</f>
        <v/>
      </c>
      <c r="B528" s="54" t="s">
        <v>6247</v>
      </c>
      <c r="C528" s="53" t="n">
        <v>43</v>
      </c>
      <c r="D528" s="85" t="n">
        <f aca="false">SRC_Cap!$O43</f>
        <v>0</v>
      </c>
      <c r="E528" s="85" t="n">
        <f aca="false">SRC_Cap!$K43</f>
        <v>0</v>
      </c>
    </row>
    <row r="529" customFormat="false" ht="15" hidden="false" customHeight="false" outlineLevel="0" collapsed="false">
      <c r="A529" s="85" t="str">
        <f aca="false">SRC_Cap!$A44&amp;""</f>
        <v/>
      </c>
      <c r="B529" s="54" t="s">
        <v>6247</v>
      </c>
      <c r="C529" s="53" t="n">
        <v>44</v>
      </c>
      <c r="D529" s="85" t="n">
        <f aca="false">SRC_Cap!$O44</f>
        <v>0</v>
      </c>
      <c r="E529" s="85" t="n">
        <f aca="false">SRC_Cap!$K44</f>
        <v>0</v>
      </c>
    </row>
    <row r="530" customFormat="false" ht="15" hidden="false" customHeight="false" outlineLevel="0" collapsed="false">
      <c r="A530" s="85" t="str">
        <f aca="false">SRC_Cap!$A45&amp;""</f>
        <v/>
      </c>
      <c r="B530" s="54" t="s">
        <v>6247</v>
      </c>
      <c r="C530" s="53" t="n">
        <v>45</v>
      </c>
      <c r="D530" s="85" t="n">
        <f aca="false">SRC_Cap!$O45</f>
        <v>0</v>
      </c>
      <c r="E530" s="85" t="n">
        <f aca="false">SRC_Cap!$K45</f>
        <v>0</v>
      </c>
    </row>
    <row r="531" customFormat="false" ht="15" hidden="false" customHeight="false" outlineLevel="0" collapsed="false">
      <c r="A531" s="85" t="str">
        <f aca="false">SRC_Cap!$A46&amp;""</f>
        <v/>
      </c>
      <c r="B531" s="54" t="s">
        <v>6247</v>
      </c>
      <c r="C531" s="53" t="n">
        <v>46</v>
      </c>
      <c r="D531" s="85" t="n">
        <f aca="false">SRC_Cap!$O46</f>
        <v>0</v>
      </c>
      <c r="E531" s="85" t="n">
        <f aca="false">SRC_Cap!$K46</f>
        <v>0</v>
      </c>
    </row>
    <row r="532" customFormat="false" ht="15" hidden="false" customHeight="false" outlineLevel="0" collapsed="false">
      <c r="A532" s="85" t="str">
        <f aca="false">SRC_Cap!$A47&amp;""</f>
        <v/>
      </c>
      <c r="B532" s="54" t="s">
        <v>6247</v>
      </c>
      <c r="C532" s="53" t="n">
        <v>47</v>
      </c>
      <c r="D532" s="85" t="n">
        <f aca="false">SRC_Cap!$O47</f>
        <v>0</v>
      </c>
      <c r="E532" s="85" t="n">
        <f aca="false">SRC_Cap!$K47</f>
        <v>0</v>
      </c>
    </row>
    <row r="533" customFormat="false" ht="15" hidden="false" customHeight="false" outlineLevel="0" collapsed="false">
      <c r="A533" s="85" t="str">
        <f aca="false">SRC_Cap!$A48&amp;""</f>
        <v/>
      </c>
      <c r="B533" s="54" t="s">
        <v>6247</v>
      </c>
      <c r="C533" s="53" t="n">
        <v>48</v>
      </c>
      <c r="D533" s="85" t="n">
        <f aca="false">SRC_Cap!$O48</f>
        <v>0</v>
      </c>
      <c r="E533" s="85" t="n">
        <f aca="false">SRC_Cap!$K48</f>
        <v>0</v>
      </c>
    </row>
    <row r="534" customFormat="false" ht="15" hidden="false" customHeight="false" outlineLevel="0" collapsed="false">
      <c r="A534" s="85" t="str">
        <f aca="false">SRC_Cap!$A49&amp;""</f>
        <v/>
      </c>
      <c r="B534" s="54" t="s">
        <v>6247</v>
      </c>
      <c r="C534" s="53" t="n">
        <v>49</v>
      </c>
      <c r="D534" s="85" t="n">
        <f aca="false">SRC_Cap!$O49</f>
        <v>0</v>
      </c>
      <c r="E534" s="85" t="n">
        <f aca="false">SRC_Cap!$K49</f>
        <v>0</v>
      </c>
    </row>
    <row r="535" customFormat="false" ht="15" hidden="false" customHeight="false" outlineLevel="0" collapsed="false">
      <c r="A535" s="85" t="str">
        <f aca="false">SRC_Cap!$A50&amp;""</f>
        <v/>
      </c>
      <c r="B535" s="54" t="s">
        <v>6247</v>
      </c>
      <c r="C535" s="53" t="n">
        <v>50</v>
      </c>
      <c r="D535" s="85" t="n">
        <f aca="false">SRC_Cap!$O50</f>
        <v>0</v>
      </c>
      <c r="E535" s="85" t="n">
        <f aca="false">SRC_Cap!$K50</f>
        <v>0</v>
      </c>
    </row>
    <row r="536" customFormat="false" ht="15" hidden="false" customHeight="false" outlineLevel="0" collapsed="false">
      <c r="A536" s="85" t="str">
        <f aca="false">SRC_Cap!$A51&amp;""</f>
        <v/>
      </c>
      <c r="B536" s="54" t="s">
        <v>6247</v>
      </c>
      <c r="C536" s="53" t="n">
        <v>51</v>
      </c>
      <c r="D536" s="85" t="n">
        <f aca="false">SRC_Cap!$O51</f>
        <v>0</v>
      </c>
      <c r="E536" s="85" t="n">
        <f aca="false">SRC_Cap!$K51</f>
        <v>0</v>
      </c>
    </row>
    <row r="537" customFormat="false" ht="15" hidden="false" customHeight="false" outlineLevel="0" collapsed="false">
      <c r="A537" s="85" t="str">
        <f aca="false">SRC_Cap!$A52&amp;""</f>
        <v/>
      </c>
      <c r="B537" s="54" t="s">
        <v>6247</v>
      </c>
      <c r="C537" s="53" t="n">
        <v>52</v>
      </c>
      <c r="D537" s="85" t="n">
        <f aca="false">SRC_Cap!$O52</f>
        <v>0</v>
      </c>
      <c r="E537" s="85" t="n">
        <f aca="false">SRC_Cap!$K52</f>
        <v>0</v>
      </c>
    </row>
    <row r="538" customFormat="false" ht="15" hidden="false" customHeight="false" outlineLevel="0" collapsed="false">
      <c r="A538" s="85" t="str">
        <f aca="false">SRC_Cap!$A53&amp;""</f>
        <v/>
      </c>
      <c r="B538" s="54" t="s">
        <v>6247</v>
      </c>
      <c r="C538" s="53" t="n">
        <v>53</v>
      </c>
      <c r="D538" s="85" t="n">
        <f aca="false">SRC_Cap!$O53</f>
        <v>0</v>
      </c>
      <c r="E538" s="85" t="n">
        <f aca="false">SRC_Cap!$K53</f>
        <v>0</v>
      </c>
    </row>
    <row r="539" customFormat="false" ht="15" hidden="false" customHeight="false" outlineLevel="0" collapsed="false">
      <c r="A539" s="85" t="str">
        <f aca="false">SRC_Cap!$A54&amp;""</f>
        <v/>
      </c>
      <c r="B539" s="54" t="s">
        <v>6247</v>
      </c>
      <c r="C539" s="53" t="n">
        <v>54</v>
      </c>
      <c r="D539" s="85" t="n">
        <f aca="false">SRC_Cap!$O54</f>
        <v>0</v>
      </c>
      <c r="E539" s="85" t="n">
        <f aca="false">SRC_Cap!$K54</f>
        <v>0</v>
      </c>
    </row>
    <row r="540" customFormat="false" ht="15" hidden="false" customHeight="false" outlineLevel="0" collapsed="false">
      <c r="A540" s="85" t="str">
        <f aca="false">SRC_Cap!$A55&amp;""</f>
        <v/>
      </c>
      <c r="B540" s="54" t="s">
        <v>6247</v>
      </c>
      <c r="C540" s="53" t="n">
        <v>55</v>
      </c>
      <c r="D540" s="85" t="n">
        <f aca="false">SRC_Cap!$O55</f>
        <v>0</v>
      </c>
      <c r="E540" s="85" t="n">
        <f aca="false">SRC_Cap!$K55</f>
        <v>0</v>
      </c>
    </row>
    <row r="541" customFormat="false" ht="15" hidden="false" customHeight="false" outlineLevel="0" collapsed="false">
      <c r="A541" s="85" t="str">
        <f aca="false">SRC_Cap!$A56&amp;""</f>
        <v/>
      </c>
      <c r="B541" s="54" t="s">
        <v>6247</v>
      </c>
      <c r="C541" s="53" t="n">
        <v>56</v>
      </c>
      <c r="D541" s="85" t="n">
        <f aca="false">SRC_Cap!$O56</f>
        <v>0</v>
      </c>
      <c r="E541" s="85" t="n">
        <f aca="false">SRC_Cap!$K56</f>
        <v>0</v>
      </c>
    </row>
    <row r="542" customFormat="false" ht="15" hidden="false" customHeight="false" outlineLevel="0" collapsed="false">
      <c r="A542" s="85" t="str">
        <f aca="false">SRC_Cap!$A57&amp;""</f>
        <v/>
      </c>
      <c r="B542" s="54" t="s">
        <v>6247</v>
      </c>
      <c r="C542" s="53" t="n">
        <v>57</v>
      </c>
      <c r="D542" s="85" t="n">
        <f aca="false">SRC_Cap!$O57</f>
        <v>0</v>
      </c>
      <c r="E542" s="85" t="n">
        <f aca="false">SRC_Cap!$K57</f>
        <v>0</v>
      </c>
    </row>
    <row r="543" customFormat="false" ht="15" hidden="false" customHeight="false" outlineLevel="0" collapsed="false">
      <c r="A543" s="85" t="str">
        <f aca="false">SRC_Cap!$A58&amp;""</f>
        <v/>
      </c>
      <c r="B543" s="54" t="s">
        <v>6247</v>
      </c>
      <c r="C543" s="53" t="n">
        <v>58</v>
      </c>
      <c r="D543" s="85" t="n">
        <f aca="false">SRC_Cap!$O58</f>
        <v>0</v>
      </c>
      <c r="E543" s="85" t="n">
        <f aca="false">SRC_Cap!$K58</f>
        <v>0</v>
      </c>
    </row>
    <row r="544" customFormat="false" ht="15" hidden="false" customHeight="false" outlineLevel="0" collapsed="false">
      <c r="A544" s="85" t="str">
        <f aca="false">SRC_Cap!$A59&amp;""</f>
        <v/>
      </c>
      <c r="B544" s="54" t="s">
        <v>6247</v>
      </c>
      <c r="C544" s="53" t="n">
        <v>59</v>
      </c>
      <c r="D544" s="85" t="n">
        <f aca="false">SRC_Cap!$O59</f>
        <v>0</v>
      </c>
      <c r="E544" s="85" t="n">
        <f aca="false">SRC_Cap!$K59</f>
        <v>0</v>
      </c>
    </row>
    <row r="545" customFormat="false" ht="15" hidden="false" customHeight="false" outlineLevel="0" collapsed="false">
      <c r="A545" s="85" t="str">
        <f aca="false">SRC_Cap!$A60&amp;""</f>
        <v/>
      </c>
      <c r="B545" s="54" t="s">
        <v>6247</v>
      </c>
      <c r="C545" s="53" t="n">
        <v>60</v>
      </c>
      <c r="D545" s="85" t="n">
        <f aca="false">SRC_Cap!$O60</f>
        <v>0</v>
      </c>
      <c r="E545" s="85" t="n">
        <f aca="false">SRC_Cap!$K60</f>
        <v>0</v>
      </c>
    </row>
    <row r="546" customFormat="false" ht="15" hidden="false" customHeight="false" outlineLevel="0" collapsed="false">
      <c r="A546" s="85" t="str">
        <f aca="false">SRC_Cap!$A61&amp;""</f>
        <v/>
      </c>
      <c r="B546" s="54" t="s">
        <v>6247</v>
      </c>
      <c r="C546" s="53" t="n">
        <v>61</v>
      </c>
      <c r="D546" s="85" t="n">
        <f aca="false">SRC_Cap!$O61</f>
        <v>0</v>
      </c>
      <c r="E546" s="85" t="n">
        <f aca="false">SRC_Cap!$K61</f>
        <v>0</v>
      </c>
    </row>
    <row r="547" customFormat="false" ht="15" hidden="false" customHeight="false" outlineLevel="0" collapsed="false">
      <c r="A547" s="85" t="str">
        <f aca="false">SRC_Cap!$A62&amp;""</f>
        <v/>
      </c>
      <c r="B547" s="54" t="s">
        <v>6247</v>
      </c>
      <c r="C547" s="53" t="n">
        <v>62</v>
      </c>
      <c r="D547" s="85" t="n">
        <f aca="false">SRC_Cap!$O62</f>
        <v>0</v>
      </c>
      <c r="E547" s="85" t="n">
        <f aca="false">SRC_Cap!$K62</f>
        <v>0</v>
      </c>
    </row>
    <row r="548" customFormat="false" ht="15" hidden="false" customHeight="false" outlineLevel="0" collapsed="false">
      <c r="A548" s="85" t="str">
        <f aca="false">SRC_Cap!$A63&amp;""</f>
        <v/>
      </c>
      <c r="B548" s="54" t="s">
        <v>6247</v>
      </c>
      <c r="C548" s="53" t="n">
        <v>63</v>
      </c>
      <c r="D548" s="85" t="n">
        <f aca="false">SRC_Cap!$O63</f>
        <v>0</v>
      </c>
      <c r="E548" s="85" t="n">
        <f aca="false">SRC_Cap!$K63</f>
        <v>0</v>
      </c>
    </row>
    <row r="549" customFormat="false" ht="15" hidden="false" customHeight="false" outlineLevel="0" collapsed="false">
      <c r="A549" s="85" t="str">
        <f aca="false">SRC_Cap!$A64&amp;""</f>
        <v/>
      </c>
      <c r="B549" s="54" t="s">
        <v>6247</v>
      </c>
      <c r="C549" s="53" t="n">
        <v>64</v>
      </c>
      <c r="D549" s="85" t="n">
        <f aca="false">SRC_Cap!$O64</f>
        <v>0</v>
      </c>
      <c r="E549" s="85" t="n">
        <f aca="false">SRC_Cap!$K64</f>
        <v>0</v>
      </c>
    </row>
    <row r="550" customFormat="false" ht="15" hidden="false" customHeight="false" outlineLevel="0" collapsed="false">
      <c r="A550" s="85" t="str">
        <f aca="false">SRC_Cap!$A65&amp;""</f>
        <v/>
      </c>
      <c r="B550" s="54" t="s">
        <v>6247</v>
      </c>
      <c r="C550" s="53" t="n">
        <v>65</v>
      </c>
      <c r="D550" s="85" t="n">
        <f aca="false">SRC_Cap!$O65</f>
        <v>0</v>
      </c>
      <c r="E550" s="85" t="n">
        <f aca="false">SRC_Cap!$K65</f>
        <v>0</v>
      </c>
    </row>
    <row r="551" customFormat="false" ht="15" hidden="false" customHeight="false" outlineLevel="0" collapsed="false">
      <c r="A551" s="85" t="str">
        <f aca="false">SRC_Cap!$A66&amp;""</f>
        <v/>
      </c>
      <c r="B551" s="54" t="s">
        <v>6247</v>
      </c>
      <c r="C551" s="53" t="n">
        <v>66</v>
      </c>
      <c r="D551" s="85" t="n">
        <f aca="false">SRC_Cap!$O66</f>
        <v>0</v>
      </c>
      <c r="E551" s="85" t="n">
        <f aca="false">SRC_Cap!$K66</f>
        <v>0</v>
      </c>
    </row>
    <row r="552" customFormat="false" ht="15" hidden="false" customHeight="false" outlineLevel="0" collapsed="false">
      <c r="A552" s="85" t="str">
        <f aca="false">SRC_Cap!$A67&amp;""</f>
        <v/>
      </c>
      <c r="B552" s="54" t="s">
        <v>6247</v>
      </c>
      <c r="C552" s="53" t="n">
        <v>67</v>
      </c>
      <c r="D552" s="85" t="n">
        <f aca="false">SRC_Cap!$O67</f>
        <v>0</v>
      </c>
      <c r="E552" s="85" t="n">
        <f aca="false">SRC_Cap!$K67</f>
        <v>0</v>
      </c>
    </row>
    <row r="553" customFormat="false" ht="15" hidden="false" customHeight="false" outlineLevel="0" collapsed="false">
      <c r="A553" s="85" t="str">
        <f aca="false">SRC_Cap!$A68&amp;""</f>
        <v/>
      </c>
      <c r="B553" s="54" t="s">
        <v>6247</v>
      </c>
      <c r="C553" s="53" t="n">
        <v>68</v>
      </c>
      <c r="D553" s="85" t="n">
        <f aca="false">SRC_Cap!$O68</f>
        <v>0</v>
      </c>
      <c r="E553" s="85" t="n">
        <f aca="false">SRC_Cap!$K68</f>
        <v>0</v>
      </c>
    </row>
    <row r="554" customFormat="false" ht="15" hidden="false" customHeight="false" outlineLevel="0" collapsed="false">
      <c r="A554" s="85" t="str">
        <f aca="false">SRC_Cap!$A69&amp;""</f>
        <v/>
      </c>
      <c r="B554" s="54" t="s">
        <v>6247</v>
      </c>
      <c r="C554" s="53" t="n">
        <v>69</v>
      </c>
      <c r="D554" s="85" t="n">
        <f aca="false">SRC_Cap!$O69</f>
        <v>0</v>
      </c>
      <c r="E554" s="85" t="n">
        <f aca="false">SRC_Cap!$K69</f>
        <v>0</v>
      </c>
    </row>
    <row r="555" customFormat="false" ht="15" hidden="false" customHeight="false" outlineLevel="0" collapsed="false">
      <c r="A555" s="85" t="str">
        <f aca="false">SRC_Cap!$A70&amp;""</f>
        <v/>
      </c>
      <c r="B555" s="54" t="s">
        <v>6247</v>
      </c>
      <c r="C555" s="53" t="n">
        <v>70</v>
      </c>
      <c r="D555" s="85" t="n">
        <f aca="false">SRC_Cap!$O70</f>
        <v>0</v>
      </c>
      <c r="E555" s="85" t="n">
        <f aca="false">SRC_Cap!$K70</f>
        <v>0</v>
      </c>
    </row>
    <row r="556" customFormat="false" ht="15" hidden="false" customHeight="false" outlineLevel="0" collapsed="false">
      <c r="A556" s="85" t="str">
        <f aca="false">SRC_Cap!$A71&amp;""</f>
        <v/>
      </c>
      <c r="B556" s="54" t="s">
        <v>6247</v>
      </c>
      <c r="C556" s="53" t="n">
        <v>71</v>
      </c>
      <c r="D556" s="85" t="n">
        <f aca="false">SRC_Cap!$O71</f>
        <v>0</v>
      </c>
      <c r="E556" s="85" t="n">
        <f aca="false">SRC_Cap!$K71</f>
        <v>0</v>
      </c>
    </row>
    <row r="557" customFormat="false" ht="15" hidden="false" customHeight="false" outlineLevel="0" collapsed="false">
      <c r="A557" s="85" t="str">
        <f aca="false">SRC_Cap!$A72&amp;""</f>
        <v/>
      </c>
      <c r="B557" s="54" t="s">
        <v>6247</v>
      </c>
      <c r="C557" s="53" t="n">
        <v>72</v>
      </c>
      <c r="D557" s="85" t="n">
        <f aca="false">SRC_Cap!$O72</f>
        <v>0</v>
      </c>
      <c r="E557" s="85" t="n">
        <f aca="false">SRC_Cap!$K72</f>
        <v>0</v>
      </c>
    </row>
    <row r="558" customFormat="false" ht="15" hidden="false" customHeight="false" outlineLevel="0" collapsed="false">
      <c r="A558" s="85" t="str">
        <f aca="false">SRC_Cap!$A73&amp;""</f>
        <v/>
      </c>
      <c r="B558" s="54" t="s">
        <v>6247</v>
      </c>
      <c r="C558" s="53" t="n">
        <v>73</v>
      </c>
      <c r="D558" s="85" t="n">
        <f aca="false">SRC_Cap!$O73</f>
        <v>0</v>
      </c>
      <c r="E558" s="85" t="n">
        <f aca="false">SRC_Cap!$K73</f>
        <v>0</v>
      </c>
    </row>
    <row r="559" customFormat="false" ht="15" hidden="false" customHeight="false" outlineLevel="0" collapsed="false">
      <c r="A559" s="85" t="str">
        <f aca="false">SRC_Cap!$A74&amp;""</f>
        <v/>
      </c>
      <c r="B559" s="54" t="s">
        <v>6247</v>
      </c>
      <c r="C559" s="53" t="n">
        <v>74</v>
      </c>
      <c r="D559" s="85" t="n">
        <f aca="false">SRC_Cap!$O74</f>
        <v>0</v>
      </c>
      <c r="E559" s="85" t="n">
        <f aca="false">SRC_Cap!$K74</f>
        <v>0</v>
      </c>
    </row>
    <row r="560" customFormat="false" ht="15" hidden="false" customHeight="false" outlineLevel="0" collapsed="false">
      <c r="A560" s="85" t="str">
        <f aca="false">SRC_Cap!$A75&amp;""</f>
        <v/>
      </c>
      <c r="B560" s="54" t="s">
        <v>6247</v>
      </c>
      <c r="C560" s="53" t="n">
        <v>75</v>
      </c>
      <c r="D560" s="85" t="n">
        <f aca="false">SRC_Cap!$O75</f>
        <v>0</v>
      </c>
      <c r="E560" s="85" t="n">
        <f aca="false">SRC_Cap!$K75</f>
        <v>0</v>
      </c>
    </row>
    <row r="561" customFormat="false" ht="15" hidden="false" customHeight="false" outlineLevel="0" collapsed="false">
      <c r="A561" s="85" t="str">
        <f aca="false">SRC_Harness!$A5&amp;""</f>
        <v>SRC_HAR_001</v>
      </c>
      <c r="B561" s="54" t="s">
        <v>6248</v>
      </c>
      <c r="C561" s="53" t="n">
        <v>5</v>
      </c>
      <c r="D561" s="85" t="str">
        <f aca="false">SRC_Harness!$O5</f>
        <v>Active</v>
      </c>
      <c r="E561" s="85" t="n">
        <f aca="false">SRC_Harness!$K5</f>
        <v>2</v>
      </c>
    </row>
    <row r="562" customFormat="false" ht="15" hidden="false" customHeight="false" outlineLevel="0" collapsed="false">
      <c r="A562" s="85" t="str">
        <f aca="false">SRC_Harness!$A6&amp;""</f>
        <v>SRC_HAR_002</v>
      </c>
      <c r="B562" s="54" t="s">
        <v>6248</v>
      </c>
      <c r="C562" s="53" t="n">
        <v>6</v>
      </c>
      <c r="D562" s="85" t="str">
        <f aca="false">SRC_Harness!$O6</f>
        <v>Active</v>
      </c>
      <c r="E562" s="85" t="n">
        <f aca="false">SRC_Harness!$K6</f>
        <v>2</v>
      </c>
    </row>
    <row r="563" customFormat="false" ht="15" hidden="false" customHeight="false" outlineLevel="0" collapsed="false">
      <c r="A563" s="85" t="str">
        <f aca="false">SRC_Harness!$A7&amp;""</f>
        <v>SRC_HAR_003</v>
      </c>
      <c r="B563" s="54" t="s">
        <v>6248</v>
      </c>
      <c r="C563" s="53" t="n">
        <v>7</v>
      </c>
      <c r="D563" s="85" t="str">
        <f aca="false">SRC_Harness!$O7</f>
        <v>Active</v>
      </c>
      <c r="E563" s="85" t="n">
        <f aca="false">SRC_Harness!$K7</f>
        <v>2</v>
      </c>
    </row>
    <row r="564" customFormat="false" ht="15" hidden="false" customHeight="false" outlineLevel="0" collapsed="false">
      <c r="A564" s="85" t="str">
        <f aca="false">SRC_Harness!$A8&amp;""</f>
        <v>SRC_HAR_004</v>
      </c>
      <c r="B564" s="54" t="s">
        <v>6248</v>
      </c>
      <c r="C564" s="53" t="n">
        <v>8</v>
      </c>
      <c r="D564" s="85" t="str">
        <f aca="false">SRC_Harness!$O8</f>
        <v>Active</v>
      </c>
      <c r="E564" s="85" t="n">
        <f aca="false">SRC_Harness!$K8</f>
        <v>2</v>
      </c>
    </row>
    <row r="565" customFormat="false" ht="15" hidden="false" customHeight="false" outlineLevel="0" collapsed="false">
      <c r="A565" s="85" t="str">
        <f aca="false">SRC_Harness!$A9&amp;""</f>
        <v>SRC_HAR_005</v>
      </c>
      <c r="B565" s="54" t="s">
        <v>6248</v>
      </c>
      <c r="C565" s="53" t="n">
        <v>9</v>
      </c>
      <c r="D565" s="85" t="str">
        <f aca="false">SRC_Harness!$O9</f>
        <v>Active</v>
      </c>
      <c r="E565" s="85" t="n">
        <f aca="false">SRC_Harness!$K9</f>
        <v>2</v>
      </c>
    </row>
    <row r="566" customFormat="false" ht="15" hidden="false" customHeight="false" outlineLevel="0" collapsed="false">
      <c r="A566" s="85" t="str">
        <f aca="false">SRC_Harness!$A10&amp;""</f>
        <v>SRC_HAR_006</v>
      </c>
      <c r="B566" s="54" t="s">
        <v>6248</v>
      </c>
      <c r="C566" s="53" t="n">
        <v>10</v>
      </c>
      <c r="D566" s="85" t="str">
        <f aca="false">SRC_Harness!$O10</f>
        <v>Active</v>
      </c>
      <c r="E566" s="85" t="n">
        <f aca="false">SRC_Harness!$K10</f>
        <v>2</v>
      </c>
    </row>
    <row r="567" customFormat="false" ht="15" hidden="false" customHeight="false" outlineLevel="0" collapsed="false">
      <c r="A567" s="85" t="str">
        <f aca="false">SRC_Harness!$A11&amp;""</f>
        <v>SRC_HAR_007</v>
      </c>
      <c r="B567" s="54" t="s">
        <v>6248</v>
      </c>
      <c r="C567" s="53" t="n">
        <v>11</v>
      </c>
      <c r="D567" s="85" t="str">
        <f aca="false">SRC_Harness!$O11</f>
        <v>Active</v>
      </c>
      <c r="E567" s="85" t="n">
        <f aca="false">SRC_Harness!$K11</f>
        <v>2</v>
      </c>
    </row>
    <row r="568" customFormat="false" ht="15" hidden="false" customHeight="false" outlineLevel="0" collapsed="false">
      <c r="A568" s="85" t="str">
        <f aca="false">SRC_Harness!$A12&amp;""</f>
        <v>SRC_HAR_008</v>
      </c>
      <c r="B568" s="54" t="s">
        <v>6248</v>
      </c>
      <c r="C568" s="53" t="n">
        <v>12</v>
      </c>
      <c r="D568" s="85" t="str">
        <f aca="false">SRC_Harness!$O12</f>
        <v>Active</v>
      </c>
      <c r="E568" s="85" t="n">
        <f aca="false">SRC_Harness!$K12</f>
        <v>2</v>
      </c>
    </row>
    <row r="569" customFormat="false" ht="15" hidden="false" customHeight="false" outlineLevel="0" collapsed="false">
      <c r="A569" s="85" t="str">
        <f aca="false">SRC_Harness!$A13&amp;""</f>
        <v>SRC_HAR_009</v>
      </c>
      <c r="B569" s="54" t="s">
        <v>6248</v>
      </c>
      <c r="C569" s="53" t="n">
        <v>13</v>
      </c>
      <c r="D569" s="85" t="str">
        <f aca="false">SRC_Harness!$O13</f>
        <v>Alt</v>
      </c>
      <c r="E569" s="85" t="n">
        <f aca="false">SRC_Harness!$K13</f>
        <v>2</v>
      </c>
    </row>
    <row r="570" customFormat="false" ht="15" hidden="false" customHeight="false" outlineLevel="0" collapsed="false">
      <c r="A570" s="85" t="str">
        <f aca="false">SRC_Harness!$A14&amp;""</f>
        <v>SRC_HAR_010</v>
      </c>
      <c r="B570" s="54" t="s">
        <v>6248</v>
      </c>
      <c r="C570" s="53" t="n">
        <v>14</v>
      </c>
      <c r="D570" s="85" t="str">
        <f aca="false">SRC_Harness!$O14</f>
        <v>Active</v>
      </c>
      <c r="E570" s="85" t="n">
        <f aca="false">SRC_Harness!$K14</f>
        <v>2</v>
      </c>
    </row>
    <row r="571" customFormat="false" ht="15" hidden="false" customHeight="false" outlineLevel="0" collapsed="false">
      <c r="A571" s="85" t="str">
        <f aca="false">SRC_Harness!$A15&amp;""</f>
        <v>SRC_HAR_011</v>
      </c>
      <c r="B571" s="54" t="s">
        <v>6248</v>
      </c>
      <c r="C571" s="53" t="n">
        <v>15</v>
      </c>
      <c r="D571" s="85" t="str">
        <f aca="false">SRC_Harness!$O15</f>
        <v>Active</v>
      </c>
      <c r="E571" s="85" t="n">
        <f aca="false">SRC_Harness!$K15</f>
        <v>2</v>
      </c>
    </row>
    <row r="572" customFormat="false" ht="15" hidden="false" customHeight="false" outlineLevel="0" collapsed="false">
      <c r="A572" s="85" t="str">
        <f aca="false">SRC_Harness!$A16&amp;""</f>
        <v>SRC_HAR_012</v>
      </c>
      <c r="B572" s="54" t="s">
        <v>6248</v>
      </c>
      <c r="C572" s="53" t="n">
        <v>16</v>
      </c>
      <c r="D572" s="85" t="str">
        <f aca="false">SRC_Harness!$O16</f>
        <v>Active</v>
      </c>
      <c r="E572" s="85" t="n">
        <f aca="false">SRC_Harness!$K16</f>
        <v>2</v>
      </c>
    </row>
    <row r="573" customFormat="false" ht="15" hidden="false" customHeight="false" outlineLevel="0" collapsed="false">
      <c r="A573" s="85" t="str">
        <f aca="false">SRC_Harness!$A17&amp;""</f>
        <v>SRC_HAR_013</v>
      </c>
      <c r="B573" s="54" t="s">
        <v>6248</v>
      </c>
      <c r="C573" s="53" t="n">
        <v>17</v>
      </c>
      <c r="D573" s="85" t="str">
        <f aca="false">SRC_Harness!$O17</f>
        <v>Active</v>
      </c>
      <c r="E573" s="85" t="n">
        <f aca="false">SRC_Harness!$K17</f>
        <v>2</v>
      </c>
    </row>
    <row r="574" customFormat="false" ht="15" hidden="false" customHeight="false" outlineLevel="0" collapsed="false">
      <c r="A574" s="85" t="str">
        <f aca="false">SRC_Harness!$A18&amp;""</f>
        <v>SRC_HAR_014</v>
      </c>
      <c r="B574" s="54" t="s">
        <v>6248</v>
      </c>
      <c r="C574" s="53" t="n">
        <v>18</v>
      </c>
      <c r="D574" s="85" t="str">
        <f aca="false">SRC_Harness!$O18</f>
        <v>Active</v>
      </c>
      <c r="E574" s="85" t="n">
        <f aca="false">SRC_Harness!$K18</f>
        <v>2</v>
      </c>
    </row>
    <row r="575" customFormat="false" ht="15" hidden="false" customHeight="false" outlineLevel="0" collapsed="false">
      <c r="A575" s="85" t="str">
        <f aca="false">SRC_Harness!$A19&amp;""</f>
        <v>SRC_HAR_015</v>
      </c>
      <c r="B575" s="54" t="s">
        <v>6248</v>
      </c>
      <c r="C575" s="53" t="n">
        <v>19</v>
      </c>
      <c r="D575" s="85" t="str">
        <f aca="false">SRC_Harness!$O19</f>
        <v>Active</v>
      </c>
      <c r="E575" s="85" t="n">
        <f aca="false">SRC_Harness!$K19</f>
        <v>2</v>
      </c>
    </row>
    <row r="576" customFormat="false" ht="15" hidden="false" customHeight="false" outlineLevel="0" collapsed="false">
      <c r="A576" s="85" t="str">
        <f aca="false">SRC_Harness!$A20&amp;""</f>
        <v/>
      </c>
      <c r="B576" s="54" t="s">
        <v>6248</v>
      </c>
      <c r="C576" s="53" t="n">
        <v>20</v>
      </c>
      <c r="D576" s="85" t="n">
        <f aca="false">SRC_Harness!$O20</f>
        <v>0</v>
      </c>
      <c r="E576" s="85" t="n">
        <f aca="false">SRC_Harness!$K20</f>
        <v>0</v>
      </c>
    </row>
    <row r="577" customFormat="false" ht="15" hidden="false" customHeight="false" outlineLevel="0" collapsed="false">
      <c r="A577" s="85" t="str">
        <f aca="false">SRC_Harness!$A21&amp;""</f>
        <v/>
      </c>
      <c r="B577" s="54" t="s">
        <v>6248</v>
      </c>
      <c r="C577" s="53" t="n">
        <v>21</v>
      </c>
      <c r="D577" s="85" t="n">
        <f aca="false">SRC_Harness!$O21</f>
        <v>0</v>
      </c>
      <c r="E577" s="85" t="n">
        <f aca="false">SRC_Harness!$K21</f>
        <v>0</v>
      </c>
    </row>
    <row r="578" customFormat="false" ht="15" hidden="false" customHeight="false" outlineLevel="0" collapsed="false">
      <c r="A578" s="85" t="str">
        <f aca="false">SRC_Harness!$A22&amp;""</f>
        <v/>
      </c>
      <c r="B578" s="54" t="s">
        <v>6248</v>
      </c>
      <c r="C578" s="53" t="n">
        <v>22</v>
      </c>
      <c r="D578" s="85" t="n">
        <f aca="false">SRC_Harness!$O22</f>
        <v>0</v>
      </c>
      <c r="E578" s="85" t="n">
        <f aca="false">SRC_Harness!$K22</f>
        <v>0</v>
      </c>
    </row>
    <row r="579" customFormat="false" ht="15" hidden="false" customHeight="false" outlineLevel="0" collapsed="false">
      <c r="A579" s="85" t="str">
        <f aca="false">SRC_Harness!$A23&amp;""</f>
        <v/>
      </c>
      <c r="B579" s="54" t="s">
        <v>6248</v>
      </c>
      <c r="C579" s="53" t="n">
        <v>23</v>
      </c>
      <c r="D579" s="85" t="n">
        <f aca="false">SRC_Harness!$O23</f>
        <v>0</v>
      </c>
      <c r="E579" s="85" t="n">
        <f aca="false">SRC_Harness!$K23</f>
        <v>0</v>
      </c>
    </row>
    <row r="580" customFormat="false" ht="15" hidden="false" customHeight="false" outlineLevel="0" collapsed="false">
      <c r="A580" s="85" t="str">
        <f aca="false">SRC_Harness!$A24&amp;""</f>
        <v/>
      </c>
      <c r="B580" s="54" t="s">
        <v>6248</v>
      </c>
      <c r="C580" s="53" t="n">
        <v>24</v>
      </c>
      <c r="D580" s="85" t="n">
        <f aca="false">SRC_Harness!$O24</f>
        <v>0</v>
      </c>
      <c r="E580" s="85" t="n">
        <f aca="false">SRC_Harness!$K24</f>
        <v>0</v>
      </c>
    </row>
    <row r="581" customFormat="false" ht="15" hidden="false" customHeight="false" outlineLevel="0" collapsed="false">
      <c r="A581" s="85" t="str">
        <f aca="false">SRC_Harness!$A25&amp;""</f>
        <v/>
      </c>
      <c r="B581" s="54" t="s">
        <v>6248</v>
      </c>
      <c r="C581" s="53" t="n">
        <v>25</v>
      </c>
      <c r="D581" s="85" t="n">
        <f aca="false">SRC_Harness!$O25</f>
        <v>0</v>
      </c>
      <c r="E581" s="85" t="n">
        <f aca="false">SRC_Harness!$K25</f>
        <v>0</v>
      </c>
    </row>
    <row r="582" customFormat="false" ht="15" hidden="false" customHeight="false" outlineLevel="0" collapsed="false">
      <c r="A582" s="85" t="str">
        <f aca="false">SRC_Harness!$A26&amp;""</f>
        <v/>
      </c>
      <c r="B582" s="54" t="s">
        <v>6248</v>
      </c>
      <c r="C582" s="53" t="n">
        <v>26</v>
      </c>
      <c r="D582" s="85" t="n">
        <f aca="false">SRC_Harness!$O26</f>
        <v>0</v>
      </c>
      <c r="E582" s="85" t="n">
        <f aca="false">SRC_Harness!$K26</f>
        <v>0</v>
      </c>
    </row>
    <row r="583" customFormat="false" ht="15" hidden="false" customHeight="false" outlineLevel="0" collapsed="false">
      <c r="A583" s="85" t="str">
        <f aca="false">SRC_Harness!$A27&amp;""</f>
        <v/>
      </c>
      <c r="B583" s="54" t="s">
        <v>6248</v>
      </c>
      <c r="C583" s="53" t="n">
        <v>27</v>
      </c>
      <c r="D583" s="85" t="n">
        <f aca="false">SRC_Harness!$O27</f>
        <v>0</v>
      </c>
      <c r="E583" s="85" t="n">
        <f aca="false">SRC_Harness!$K27</f>
        <v>0</v>
      </c>
    </row>
    <row r="584" customFormat="false" ht="15" hidden="false" customHeight="false" outlineLevel="0" collapsed="false">
      <c r="A584" s="85" t="str">
        <f aca="false">SRC_Harness!$A28&amp;""</f>
        <v/>
      </c>
      <c r="B584" s="54" t="s">
        <v>6248</v>
      </c>
      <c r="C584" s="53" t="n">
        <v>28</v>
      </c>
      <c r="D584" s="85" t="n">
        <f aca="false">SRC_Harness!$O28</f>
        <v>0</v>
      </c>
      <c r="E584" s="85" t="n">
        <f aca="false">SRC_Harness!$K28</f>
        <v>0</v>
      </c>
    </row>
    <row r="585" customFormat="false" ht="15" hidden="false" customHeight="false" outlineLevel="0" collapsed="false">
      <c r="A585" s="85" t="str">
        <f aca="false">SRC_Harness!$A29&amp;""</f>
        <v/>
      </c>
      <c r="B585" s="54" t="s">
        <v>6248</v>
      </c>
      <c r="C585" s="53" t="n">
        <v>29</v>
      </c>
      <c r="D585" s="85" t="n">
        <f aca="false">SRC_Harness!$O29</f>
        <v>0</v>
      </c>
      <c r="E585" s="85" t="n">
        <f aca="false">SRC_Harness!$K29</f>
        <v>0</v>
      </c>
    </row>
    <row r="586" customFormat="false" ht="15" hidden="false" customHeight="false" outlineLevel="0" collapsed="false">
      <c r="A586" s="85" t="str">
        <f aca="false">SRC_Harness!$A30&amp;""</f>
        <v/>
      </c>
      <c r="B586" s="54" t="s">
        <v>6248</v>
      </c>
      <c r="C586" s="53" t="n">
        <v>30</v>
      </c>
      <c r="D586" s="85" t="n">
        <f aca="false">SRC_Harness!$O30</f>
        <v>0</v>
      </c>
      <c r="E586" s="85" t="n">
        <f aca="false">SRC_Harness!$K30</f>
        <v>0</v>
      </c>
    </row>
    <row r="587" customFormat="false" ht="15" hidden="false" customHeight="false" outlineLevel="0" collapsed="false">
      <c r="A587" s="85" t="str">
        <f aca="false">SRC_Harness!$A31&amp;""</f>
        <v/>
      </c>
      <c r="B587" s="54" t="s">
        <v>6248</v>
      </c>
      <c r="C587" s="53" t="n">
        <v>31</v>
      </c>
      <c r="D587" s="85" t="n">
        <f aca="false">SRC_Harness!$O31</f>
        <v>0</v>
      </c>
      <c r="E587" s="85" t="n">
        <f aca="false">SRC_Harness!$K31</f>
        <v>0</v>
      </c>
    </row>
    <row r="588" customFormat="false" ht="15" hidden="false" customHeight="false" outlineLevel="0" collapsed="false">
      <c r="A588" s="85" t="str">
        <f aca="false">SRC_Harness!$A32&amp;""</f>
        <v/>
      </c>
      <c r="B588" s="54" t="s">
        <v>6248</v>
      </c>
      <c r="C588" s="53" t="n">
        <v>32</v>
      </c>
      <c r="D588" s="85" t="n">
        <f aca="false">SRC_Harness!$O32</f>
        <v>0</v>
      </c>
      <c r="E588" s="85" t="n">
        <f aca="false">SRC_Harness!$K32</f>
        <v>0</v>
      </c>
    </row>
    <row r="589" customFormat="false" ht="15" hidden="false" customHeight="false" outlineLevel="0" collapsed="false">
      <c r="A589" s="85" t="str">
        <f aca="false">SRC_Harness!$A33&amp;""</f>
        <v/>
      </c>
      <c r="B589" s="54" t="s">
        <v>6248</v>
      </c>
      <c r="C589" s="53" t="n">
        <v>33</v>
      </c>
      <c r="D589" s="85" t="n">
        <f aca="false">SRC_Harness!$O33</f>
        <v>0</v>
      </c>
      <c r="E589" s="85" t="n">
        <f aca="false">SRC_Harness!$K33</f>
        <v>0</v>
      </c>
    </row>
    <row r="590" customFormat="false" ht="15" hidden="false" customHeight="false" outlineLevel="0" collapsed="false">
      <c r="A590" s="85" t="str">
        <f aca="false">SRC_Harness!$A34&amp;""</f>
        <v/>
      </c>
      <c r="B590" s="54" t="s">
        <v>6248</v>
      </c>
      <c r="C590" s="53" t="n">
        <v>34</v>
      </c>
      <c r="D590" s="85" t="n">
        <f aca="false">SRC_Harness!$O34</f>
        <v>0</v>
      </c>
      <c r="E590" s="85" t="n">
        <f aca="false">SRC_Harness!$K34</f>
        <v>0</v>
      </c>
    </row>
    <row r="591" customFormat="false" ht="15" hidden="false" customHeight="false" outlineLevel="0" collapsed="false">
      <c r="A591" s="85" t="str">
        <f aca="false">SRC_Harness!$A35&amp;""</f>
        <v/>
      </c>
      <c r="B591" s="54" t="s">
        <v>6248</v>
      </c>
      <c r="C591" s="53" t="n">
        <v>35</v>
      </c>
      <c r="D591" s="85" t="n">
        <f aca="false">SRC_Harness!$O35</f>
        <v>0</v>
      </c>
      <c r="E591" s="85" t="n">
        <f aca="false">SRC_Harness!$K35</f>
        <v>0</v>
      </c>
    </row>
    <row r="592" customFormat="false" ht="15" hidden="false" customHeight="false" outlineLevel="0" collapsed="false">
      <c r="A592" s="85" t="str">
        <f aca="false">SRC_Harness!$A36&amp;""</f>
        <v/>
      </c>
      <c r="B592" s="54" t="s">
        <v>6248</v>
      </c>
      <c r="C592" s="53" t="n">
        <v>36</v>
      </c>
      <c r="D592" s="85" t="n">
        <f aca="false">SRC_Harness!$O36</f>
        <v>0</v>
      </c>
      <c r="E592" s="85" t="n">
        <f aca="false">SRC_Harness!$K36</f>
        <v>0</v>
      </c>
    </row>
    <row r="593" customFormat="false" ht="15" hidden="false" customHeight="false" outlineLevel="0" collapsed="false">
      <c r="A593" s="85" t="str">
        <f aca="false">SRC_Harness!$A37&amp;""</f>
        <v/>
      </c>
      <c r="B593" s="54" t="s">
        <v>6248</v>
      </c>
      <c r="C593" s="53" t="n">
        <v>37</v>
      </c>
      <c r="D593" s="85" t="n">
        <f aca="false">SRC_Harness!$O37</f>
        <v>0</v>
      </c>
      <c r="E593" s="85" t="n">
        <f aca="false">SRC_Harness!$K37</f>
        <v>0</v>
      </c>
    </row>
    <row r="594" customFormat="false" ht="15" hidden="false" customHeight="false" outlineLevel="0" collapsed="false">
      <c r="A594" s="85" t="str">
        <f aca="false">SRC_Harness!$A38&amp;""</f>
        <v/>
      </c>
      <c r="B594" s="54" t="s">
        <v>6248</v>
      </c>
      <c r="C594" s="53" t="n">
        <v>38</v>
      </c>
      <c r="D594" s="85" t="n">
        <f aca="false">SRC_Harness!$O38</f>
        <v>0</v>
      </c>
      <c r="E594" s="85" t="n">
        <f aca="false">SRC_Harness!$K38</f>
        <v>0</v>
      </c>
    </row>
    <row r="595" customFormat="false" ht="15" hidden="false" customHeight="false" outlineLevel="0" collapsed="false">
      <c r="A595" s="85" t="str">
        <f aca="false">SRC_Harness!$A39&amp;""</f>
        <v/>
      </c>
      <c r="B595" s="54" t="s">
        <v>6248</v>
      </c>
      <c r="C595" s="53" t="n">
        <v>39</v>
      </c>
      <c r="D595" s="85" t="n">
        <f aca="false">SRC_Harness!$O39</f>
        <v>0</v>
      </c>
      <c r="E595" s="85" t="n">
        <f aca="false">SRC_Harness!$K39</f>
        <v>0</v>
      </c>
    </row>
    <row r="596" customFormat="false" ht="15" hidden="false" customHeight="false" outlineLevel="0" collapsed="false">
      <c r="A596" s="85" t="str">
        <f aca="false">SRC_Harness!$A40&amp;""</f>
        <v/>
      </c>
      <c r="B596" s="54" t="s">
        <v>6248</v>
      </c>
      <c r="C596" s="53" t="n">
        <v>40</v>
      </c>
      <c r="D596" s="85" t="n">
        <f aca="false">SRC_Harness!$O40</f>
        <v>0</v>
      </c>
      <c r="E596" s="85" t="n">
        <f aca="false">SRC_Harness!$K40</f>
        <v>0</v>
      </c>
    </row>
    <row r="597" customFormat="false" ht="15" hidden="false" customHeight="false" outlineLevel="0" collapsed="false">
      <c r="A597" s="85" t="str">
        <f aca="false">SRC_Harness!$A41&amp;""</f>
        <v/>
      </c>
      <c r="B597" s="54" t="s">
        <v>6248</v>
      </c>
      <c r="C597" s="53" t="n">
        <v>41</v>
      </c>
      <c r="D597" s="85" t="n">
        <f aca="false">SRC_Harness!$O41</f>
        <v>0</v>
      </c>
      <c r="E597" s="85" t="n">
        <f aca="false">SRC_Harness!$K41</f>
        <v>0</v>
      </c>
    </row>
    <row r="598" customFormat="false" ht="15" hidden="false" customHeight="false" outlineLevel="0" collapsed="false">
      <c r="A598" s="85" t="str">
        <f aca="false">SRC_Harness!$A42&amp;""</f>
        <v/>
      </c>
      <c r="B598" s="54" t="s">
        <v>6248</v>
      </c>
      <c r="C598" s="53" t="n">
        <v>42</v>
      </c>
      <c r="D598" s="85" t="n">
        <f aca="false">SRC_Harness!$O42</f>
        <v>0</v>
      </c>
      <c r="E598" s="85" t="n">
        <f aca="false">SRC_Harness!$K42</f>
        <v>0</v>
      </c>
    </row>
    <row r="599" customFormat="false" ht="15" hidden="false" customHeight="false" outlineLevel="0" collapsed="false">
      <c r="A599" s="85" t="str">
        <f aca="false">SRC_Harness!$A43&amp;""</f>
        <v/>
      </c>
      <c r="B599" s="54" t="s">
        <v>6248</v>
      </c>
      <c r="C599" s="53" t="n">
        <v>43</v>
      </c>
      <c r="D599" s="85" t="n">
        <f aca="false">SRC_Harness!$O43</f>
        <v>0</v>
      </c>
      <c r="E599" s="85" t="n">
        <f aca="false">SRC_Harness!$K43</f>
        <v>0</v>
      </c>
    </row>
    <row r="600" customFormat="false" ht="15" hidden="false" customHeight="false" outlineLevel="0" collapsed="false">
      <c r="A600" s="85" t="str">
        <f aca="false">SRC_Harness!$A44&amp;""</f>
        <v/>
      </c>
      <c r="B600" s="54" t="s">
        <v>6248</v>
      </c>
      <c r="C600" s="53" t="n">
        <v>44</v>
      </c>
      <c r="D600" s="85" t="n">
        <f aca="false">SRC_Harness!$O44</f>
        <v>0</v>
      </c>
      <c r="E600" s="85" t="n">
        <f aca="false">SRC_Harness!$K44</f>
        <v>0</v>
      </c>
    </row>
    <row r="601" customFormat="false" ht="15" hidden="false" customHeight="false" outlineLevel="0" collapsed="false">
      <c r="A601" s="85" t="str">
        <f aca="false">SRC_Harness!$A45&amp;""</f>
        <v/>
      </c>
      <c r="B601" s="54" t="s">
        <v>6248</v>
      </c>
      <c r="C601" s="53" t="n">
        <v>45</v>
      </c>
      <c r="D601" s="85" t="n">
        <f aca="false">SRC_Harness!$O45</f>
        <v>0</v>
      </c>
      <c r="E601" s="85" t="n">
        <f aca="false">SRC_Harness!$K45</f>
        <v>0</v>
      </c>
    </row>
    <row r="602" customFormat="false" ht="15" hidden="false" customHeight="false" outlineLevel="0" collapsed="false">
      <c r="A602" s="85" t="str">
        <f aca="false">SRC_Harness!$A46&amp;""</f>
        <v/>
      </c>
      <c r="B602" s="54" t="s">
        <v>6248</v>
      </c>
      <c r="C602" s="53" t="n">
        <v>46</v>
      </c>
      <c r="D602" s="85" t="n">
        <f aca="false">SRC_Harness!$O46</f>
        <v>0</v>
      </c>
      <c r="E602" s="85" t="n">
        <f aca="false">SRC_Harness!$K46</f>
        <v>0</v>
      </c>
    </row>
    <row r="603" customFormat="false" ht="15" hidden="false" customHeight="false" outlineLevel="0" collapsed="false">
      <c r="A603" s="85" t="str">
        <f aca="false">SRC_Harness!$A47&amp;""</f>
        <v/>
      </c>
      <c r="B603" s="54" t="s">
        <v>6248</v>
      </c>
      <c r="C603" s="53" t="n">
        <v>47</v>
      </c>
      <c r="D603" s="85" t="n">
        <f aca="false">SRC_Harness!$O47</f>
        <v>0</v>
      </c>
      <c r="E603" s="85" t="n">
        <f aca="false">SRC_Harness!$K47</f>
        <v>0</v>
      </c>
    </row>
    <row r="604" customFormat="false" ht="15" hidden="false" customHeight="false" outlineLevel="0" collapsed="false">
      <c r="A604" s="85" t="str">
        <f aca="false">SRC_Harness!$A48&amp;""</f>
        <v/>
      </c>
      <c r="B604" s="54" t="s">
        <v>6248</v>
      </c>
      <c r="C604" s="53" t="n">
        <v>48</v>
      </c>
      <c r="D604" s="85" t="n">
        <f aca="false">SRC_Harness!$O48</f>
        <v>0</v>
      </c>
      <c r="E604" s="85" t="n">
        <f aca="false">SRC_Harness!$K48</f>
        <v>0</v>
      </c>
    </row>
    <row r="605" customFormat="false" ht="15" hidden="false" customHeight="false" outlineLevel="0" collapsed="false">
      <c r="A605" s="85" t="str">
        <f aca="false">SRC_Harness!$A49&amp;""</f>
        <v/>
      </c>
      <c r="B605" s="54" t="s">
        <v>6248</v>
      </c>
      <c r="C605" s="53" t="n">
        <v>49</v>
      </c>
      <c r="D605" s="85" t="n">
        <f aca="false">SRC_Harness!$O49</f>
        <v>0</v>
      </c>
      <c r="E605" s="85" t="n">
        <f aca="false">SRC_Harness!$K49</f>
        <v>0</v>
      </c>
    </row>
    <row r="606" customFormat="false" ht="15" hidden="false" customHeight="false" outlineLevel="0" collapsed="false">
      <c r="A606" s="85" t="str">
        <f aca="false">SRC_Harness!$A50&amp;""</f>
        <v/>
      </c>
      <c r="B606" s="54" t="s">
        <v>6248</v>
      </c>
      <c r="C606" s="53" t="n">
        <v>50</v>
      </c>
      <c r="D606" s="85" t="n">
        <f aca="false">SRC_Harness!$O50</f>
        <v>0</v>
      </c>
      <c r="E606" s="85" t="n">
        <f aca="false">SRC_Harness!$K50</f>
        <v>0</v>
      </c>
    </row>
    <row r="607" customFormat="false" ht="15" hidden="false" customHeight="false" outlineLevel="0" collapsed="false">
      <c r="A607" s="85" t="str">
        <f aca="false">SRC_Harness!$A51&amp;""</f>
        <v/>
      </c>
      <c r="B607" s="54" t="s">
        <v>6248</v>
      </c>
      <c r="C607" s="53" t="n">
        <v>51</v>
      </c>
      <c r="D607" s="85" t="n">
        <f aca="false">SRC_Harness!$O51</f>
        <v>0</v>
      </c>
      <c r="E607" s="85" t="n">
        <f aca="false">SRC_Harness!$K51</f>
        <v>0</v>
      </c>
    </row>
    <row r="608" customFormat="false" ht="15" hidden="false" customHeight="false" outlineLevel="0" collapsed="false">
      <c r="A608" s="85" t="str">
        <f aca="false">SRC_Harness!$A52&amp;""</f>
        <v/>
      </c>
      <c r="B608" s="54" t="s">
        <v>6248</v>
      </c>
      <c r="C608" s="53" t="n">
        <v>52</v>
      </c>
      <c r="D608" s="85" t="n">
        <f aca="false">SRC_Harness!$O52</f>
        <v>0</v>
      </c>
      <c r="E608" s="85" t="n">
        <f aca="false">SRC_Harness!$K52</f>
        <v>0</v>
      </c>
    </row>
    <row r="609" customFormat="false" ht="15" hidden="false" customHeight="false" outlineLevel="0" collapsed="false">
      <c r="A609" s="85" t="str">
        <f aca="false">SRC_Harness!$A53&amp;""</f>
        <v/>
      </c>
      <c r="B609" s="54" t="s">
        <v>6248</v>
      </c>
      <c r="C609" s="53" t="n">
        <v>53</v>
      </c>
      <c r="D609" s="85" t="n">
        <f aca="false">SRC_Harness!$O53</f>
        <v>0</v>
      </c>
      <c r="E609" s="85" t="n">
        <f aca="false">SRC_Harness!$K53</f>
        <v>0</v>
      </c>
    </row>
    <row r="610" customFormat="false" ht="15" hidden="false" customHeight="false" outlineLevel="0" collapsed="false">
      <c r="A610" s="85" t="str">
        <f aca="false">SRC_Harness!$A54&amp;""</f>
        <v/>
      </c>
      <c r="B610" s="54" t="s">
        <v>6248</v>
      </c>
      <c r="C610" s="53" t="n">
        <v>54</v>
      </c>
      <c r="D610" s="85" t="n">
        <f aca="false">SRC_Harness!$O54</f>
        <v>0</v>
      </c>
      <c r="E610" s="85" t="n">
        <f aca="false">SRC_Harness!$K54</f>
        <v>0</v>
      </c>
    </row>
    <row r="611" customFormat="false" ht="15" hidden="false" customHeight="false" outlineLevel="0" collapsed="false">
      <c r="A611" s="85" t="str">
        <f aca="false">SRC_Harness!$A55&amp;""</f>
        <v/>
      </c>
      <c r="B611" s="54" t="s">
        <v>6248</v>
      </c>
      <c r="C611" s="53" t="n">
        <v>55</v>
      </c>
      <c r="D611" s="85" t="n">
        <f aca="false">SRC_Harness!$O55</f>
        <v>0</v>
      </c>
      <c r="E611" s="85" t="n">
        <f aca="false">SRC_Harness!$K55</f>
        <v>0</v>
      </c>
    </row>
    <row r="612" customFormat="false" ht="15" hidden="false" customHeight="false" outlineLevel="0" collapsed="false">
      <c r="A612" s="85" t="str">
        <f aca="false">SRC_Harness!$A56&amp;""</f>
        <v/>
      </c>
      <c r="B612" s="54" t="s">
        <v>6248</v>
      </c>
      <c r="C612" s="53" t="n">
        <v>56</v>
      </c>
      <c r="D612" s="85" t="n">
        <f aca="false">SRC_Harness!$O56</f>
        <v>0</v>
      </c>
      <c r="E612" s="85" t="n">
        <f aca="false">SRC_Harness!$K56</f>
        <v>0</v>
      </c>
    </row>
    <row r="613" customFormat="false" ht="15" hidden="false" customHeight="false" outlineLevel="0" collapsed="false">
      <c r="A613" s="85" t="str">
        <f aca="false">SRC_Harness!$A57&amp;""</f>
        <v/>
      </c>
      <c r="B613" s="54" t="s">
        <v>6248</v>
      </c>
      <c r="C613" s="53" t="n">
        <v>57</v>
      </c>
      <c r="D613" s="85" t="n">
        <f aca="false">SRC_Harness!$O57</f>
        <v>0</v>
      </c>
      <c r="E613" s="85" t="n">
        <f aca="false">SRC_Harness!$K57</f>
        <v>0</v>
      </c>
    </row>
    <row r="614" customFormat="false" ht="15" hidden="false" customHeight="false" outlineLevel="0" collapsed="false">
      <c r="A614" s="85" t="str">
        <f aca="false">SRC_Harness!$A58&amp;""</f>
        <v/>
      </c>
      <c r="B614" s="54" t="s">
        <v>6248</v>
      </c>
      <c r="C614" s="53" t="n">
        <v>58</v>
      </c>
      <c r="D614" s="85" t="n">
        <f aca="false">SRC_Harness!$O58</f>
        <v>0</v>
      </c>
      <c r="E614" s="85" t="n">
        <f aca="false">SRC_Harness!$K58</f>
        <v>0</v>
      </c>
    </row>
    <row r="615" customFormat="false" ht="15" hidden="false" customHeight="false" outlineLevel="0" collapsed="false">
      <c r="A615" s="85" t="str">
        <f aca="false">SRC_Harness!$A59&amp;""</f>
        <v/>
      </c>
      <c r="B615" s="54" t="s">
        <v>6248</v>
      </c>
      <c r="C615" s="53" t="n">
        <v>59</v>
      </c>
      <c r="D615" s="85" t="n">
        <f aca="false">SRC_Harness!$O59</f>
        <v>0</v>
      </c>
      <c r="E615" s="85" t="n">
        <f aca="false">SRC_Harness!$K59</f>
        <v>0</v>
      </c>
    </row>
    <row r="616" customFormat="false" ht="15" hidden="false" customHeight="false" outlineLevel="0" collapsed="false">
      <c r="A616" s="85" t="str">
        <f aca="false">SRC_Harness!$A60&amp;""</f>
        <v/>
      </c>
      <c r="B616" s="54" t="s">
        <v>6248</v>
      </c>
      <c r="C616" s="53" t="n">
        <v>60</v>
      </c>
      <c r="D616" s="85" t="n">
        <f aca="false">SRC_Harness!$O60</f>
        <v>0</v>
      </c>
      <c r="E616" s="85" t="n">
        <f aca="false">SRC_Harness!$K60</f>
        <v>0</v>
      </c>
    </row>
    <row r="617" customFormat="false" ht="15" hidden="false" customHeight="false" outlineLevel="0" collapsed="false">
      <c r="A617" s="85" t="str">
        <f aca="false">SRC_Harness!$A61&amp;""</f>
        <v/>
      </c>
      <c r="B617" s="54" t="s">
        <v>6248</v>
      </c>
      <c r="C617" s="53" t="n">
        <v>61</v>
      </c>
      <c r="D617" s="85" t="n">
        <f aca="false">SRC_Harness!$O61</f>
        <v>0</v>
      </c>
      <c r="E617" s="85" t="n">
        <f aca="false">SRC_Harness!$K61</f>
        <v>0</v>
      </c>
    </row>
    <row r="618" customFormat="false" ht="15" hidden="false" customHeight="false" outlineLevel="0" collapsed="false">
      <c r="A618" s="85" t="str">
        <f aca="false">SRC_Harness!$A62&amp;""</f>
        <v/>
      </c>
      <c r="B618" s="54" t="s">
        <v>6248</v>
      </c>
      <c r="C618" s="53" t="n">
        <v>62</v>
      </c>
      <c r="D618" s="85" t="n">
        <f aca="false">SRC_Harness!$O62</f>
        <v>0</v>
      </c>
      <c r="E618" s="85" t="n">
        <f aca="false">SRC_Harness!$K62</f>
        <v>0</v>
      </c>
    </row>
    <row r="619" customFormat="false" ht="15" hidden="false" customHeight="false" outlineLevel="0" collapsed="false">
      <c r="A619" s="85" t="str">
        <f aca="false">SRC_Harness!$A63&amp;""</f>
        <v/>
      </c>
      <c r="B619" s="54" t="s">
        <v>6248</v>
      </c>
      <c r="C619" s="53" t="n">
        <v>63</v>
      </c>
      <c r="D619" s="85" t="n">
        <f aca="false">SRC_Harness!$O63</f>
        <v>0</v>
      </c>
      <c r="E619" s="85" t="n">
        <f aca="false">SRC_Harness!$K63</f>
        <v>0</v>
      </c>
    </row>
    <row r="620" customFormat="false" ht="15" hidden="false" customHeight="false" outlineLevel="0" collapsed="false">
      <c r="A620" s="85" t="str">
        <f aca="false">SRC_Harness!$A64&amp;""</f>
        <v/>
      </c>
      <c r="B620" s="54" t="s">
        <v>6248</v>
      </c>
      <c r="C620" s="53" t="n">
        <v>64</v>
      </c>
      <c r="D620" s="85" t="n">
        <f aca="false">SRC_Harness!$O64</f>
        <v>0</v>
      </c>
      <c r="E620" s="85" t="n">
        <f aca="false">SRC_Harness!$K64</f>
        <v>0</v>
      </c>
    </row>
    <row r="621" customFormat="false" ht="15" hidden="false" customHeight="false" outlineLevel="0" collapsed="false">
      <c r="A621" s="85" t="str">
        <f aca="false">SRC_Harness!$A65&amp;""</f>
        <v/>
      </c>
      <c r="B621" s="54" t="s">
        <v>6248</v>
      </c>
      <c r="C621" s="53" t="n">
        <v>65</v>
      </c>
      <c r="D621" s="85" t="n">
        <f aca="false">SRC_Harness!$O65</f>
        <v>0</v>
      </c>
      <c r="E621" s="85" t="n">
        <f aca="false">SRC_Harness!$K65</f>
        <v>0</v>
      </c>
    </row>
    <row r="622" customFormat="false" ht="15" hidden="false" customHeight="false" outlineLevel="0" collapsed="false">
      <c r="A622" s="85" t="str">
        <f aca="false">SRC_Harness!$A66&amp;""</f>
        <v/>
      </c>
      <c r="B622" s="54" t="s">
        <v>6248</v>
      </c>
      <c r="C622" s="53" t="n">
        <v>66</v>
      </c>
      <c r="D622" s="85" t="n">
        <f aca="false">SRC_Harness!$O66</f>
        <v>0</v>
      </c>
      <c r="E622" s="85" t="n">
        <f aca="false">SRC_Harness!$K66</f>
        <v>0</v>
      </c>
    </row>
    <row r="623" customFormat="false" ht="15" hidden="false" customHeight="false" outlineLevel="0" collapsed="false">
      <c r="A623" s="85" t="str">
        <f aca="false">SRC_Harness!$A67&amp;""</f>
        <v/>
      </c>
      <c r="B623" s="54" t="s">
        <v>6248</v>
      </c>
      <c r="C623" s="53" t="n">
        <v>67</v>
      </c>
      <c r="D623" s="85" t="n">
        <f aca="false">SRC_Harness!$O67</f>
        <v>0</v>
      </c>
      <c r="E623" s="85" t="n">
        <f aca="false">SRC_Harness!$K67</f>
        <v>0</v>
      </c>
    </row>
    <row r="624" customFormat="false" ht="15" hidden="false" customHeight="false" outlineLevel="0" collapsed="false">
      <c r="A624" s="85" t="str">
        <f aca="false">SRC_Harness!$A68&amp;""</f>
        <v/>
      </c>
      <c r="B624" s="54" t="s">
        <v>6248</v>
      </c>
      <c r="C624" s="53" t="n">
        <v>68</v>
      </c>
      <c r="D624" s="85" t="n">
        <f aca="false">SRC_Harness!$O68</f>
        <v>0</v>
      </c>
      <c r="E624" s="85" t="n">
        <f aca="false">SRC_Harness!$K68</f>
        <v>0</v>
      </c>
    </row>
    <row r="625" customFormat="false" ht="15" hidden="false" customHeight="false" outlineLevel="0" collapsed="false">
      <c r="A625" s="85" t="str">
        <f aca="false">SRC_Harness!$A69&amp;""</f>
        <v/>
      </c>
      <c r="B625" s="54" t="s">
        <v>6248</v>
      </c>
      <c r="C625" s="53" t="n">
        <v>69</v>
      </c>
      <c r="D625" s="85" t="n">
        <f aca="false">SRC_Harness!$O69</f>
        <v>0</v>
      </c>
      <c r="E625" s="85" t="n">
        <f aca="false">SRC_Harness!$K69</f>
        <v>0</v>
      </c>
    </row>
    <row r="626" customFormat="false" ht="15" hidden="false" customHeight="false" outlineLevel="0" collapsed="false">
      <c r="A626" s="85" t="str">
        <f aca="false">SRC_Demand!$A5&amp;""</f>
        <v>SRC_DEM_001</v>
      </c>
      <c r="B626" s="54" t="s">
        <v>6249</v>
      </c>
      <c r="C626" s="53" t="n">
        <v>5</v>
      </c>
      <c r="D626" s="85" t="str">
        <f aca="false">SRC_Demand!$O5</f>
        <v>Active</v>
      </c>
      <c r="E626" s="85" t="n">
        <f aca="false">SRC_Demand!$K5</f>
        <v>1</v>
      </c>
    </row>
    <row r="627" customFormat="false" ht="15" hidden="false" customHeight="false" outlineLevel="0" collapsed="false">
      <c r="A627" s="85" t="str">
        <f aca="false">SRC_Demand!$A6&amp;""</f>
        <v>SRC_DEM_002</v>
      </c>
      <c r="B627" s="54" t="s">
        <v>6249</v>
      </c>
      <c r="C627" s="53" t="n">
        <v>6</v>
      </c>
      <c r="D627" s="85" t="str">
        <f aca="false">SRC_Demand!$O6</f>
        <v>Active</v>
      </c>
      <c r="E627" s="85" t="n">
        <f aca="false">SRC_Demand!$K6</f>
        <v>1</v>
      </c>
    </row>
    <row r="628" customFormat="false" ht="15" hidden="false" customHeight="false" outlineLevel="0" collapsed="false">
      <c r="A628" s="85" t="str">
        <f aca="false">SRC_Demand!$A7&amp;""</f>
        <v>SRC_DEM_003</v>
      </c>
      <c r="B628" s="54" t="s">
        <v>6249</v>
      </c>
      <c r="C628" s="53" t="n">
        <v>7</v>
      </c>
      <c r="D628" s="85" t="str">
        <f aca="false">SRC_Demand!$O7</f>
        <v>Active</v>
      </c>
      <c r="E628" s="85" t="n">
        <f aca="false">SRC_Demand!$K7</f>
        <v>1</v>
      </c>
    </row>
    <row r="629" customFormat="false" ht="15" hidden="false" customHeight="false" outlineLevel="0" collapsed="false">
      <c r="A629" s="85" t="str">
        <f aca="false">SRC_Demand!$A8&amp;""</f>
        <v>SRC_DEM_004</v>
      </c>
      <c r="B629" s="54" t="s">
        <v>6249</v>
      </c>
      <c r="C629" s="53" t="n">
        <v>8</v>
      </c>
      <c r="D629" s="85" t="str">
        <f aca="false">SRC_Demand!$O8</f>
        <v>Active</v>
      </c>
      <c r="E629" s="85" t="n">
        <f aca="false">SRC_Demand!$K8</f>
        <v>2</v>
      </c>
    </row>
    <row r="630" customFormat="false" ht="15" hidden="false" customHeight="false" outlineLevel="0" collapsed="false">
      <c r="A630" s="85" t="str">
        <f aca="false">SRC_Demand!$A9&amp;""</f>
        <v>SRC_DEM_005</v>
      </c>
      <c r="B630" s="54" t="s">
        <v>6249</v>
      </c>
      <c r="C630" s="53" t="n">
        <v>9</v>
      </c>
      <c r="D630" s="85" t="str">
        <f aca="false">SRC_Demand!$O9</f>
        <v>Active</v>
      </c>
      <c r="E630" s="85" t="n">
        <f aca="false">SRC_Demand!$K9</f>
        <v>2</v>
      </c>
    </row>
    <row r="631" customFormat="false" ht="15" hidden="false" customHeight="false" outlineLevel="0" collapsed="false">
      <c r="A631" s="85" t="str">
        <f aca="false">SRC_Demand!$A10&amp;""</f>
        <v>SRC_DEM_006</v>
      </c>
      <c r="B631" s="54" t="s">
        <v>6249</v>
      </c>
      <c r="C631" s="53" t="n">
        <v>10</v>
      </c>
      <c r="D631" s="85" t="str">
        <f aca="false">SRC_Demand!$O10</f>
        <v>Active</v>
      </c>
      <c r="E631" s="85" t="n">
        <f aca="false">SRC_Demand!$K10</f>
        <v>2</v>
      </c>
    </row>
    <row r="632" customFormat="false" ht="15" hidden="false" customHeight="false" outlineLevel="0" collapsed="false">
      <c r="A632" s="85" t="str">
        <f aca="false">SRC_Demand!$A11&amp;""</f>
        <v>SRC_DEM_007</v>
      </c>
      <c r="B632" s="54" t="s">
        <v>6249</v>
      </c>
      <c r="C632" s="53" t="n">
        <v>11</v>
      </c>
      <c r="D632" s="85" t="str">
        <f aca="false">SRC_Demand!$O11</f>
        <v>Active</v>
      </c>
      <c r="E632" s="85" t="n">
        <f aca="false">SRC_Demand!$K11</f>
        <v>2</v>
      </c>
    </row>
    <row r="633" customFormat="false" ht="15" hidden="false" customHeight="false" outlineLevel="0" collapsed="false">
      <c r="A633" s="85" t="str">
        <f aca="false">SRC_Demand!$A12&amp;""</f>
        <v>SRC_DEM_008</v>
      </c>
      <c r="B633" s="54" t="s">
        <v>6249</v>
      </c>
      <c r="C633" s="53" t="n">
        <v>12</v>
      </c>
      <c r="D633" s="85" t="str">
        <f aca="false">SRC_Demand!$O12</f>
        <v>Active</v>
      </c>
      <c r="E633" s="85" t="n">
        <f aca="false">SRC_Demand!$K12</f>
        <v>2</v>
      </c>
    </row>
    <row r="634" customFormat="false" ht="15" hidden="false" customHeight="false" outlineLevel="0" collapsed="false">
      <c r="A634" s="85" t="str">
        <f aca="false">SRC_Demand!$A13&amp;""</f>
        <v>SRC_DEM_009</v>
      </c>
      <c r="B634" s="54" t="s">
        <v>6249</v>
      </c>
      <c r="C634" s="53" t="n">
        <v>13</v>
      </c>
      <c r="D634" s="85" t="str">
        <f aca="false">SRC_Demand!$O13</f>
        <v>Active</v>
      </c>
      <c r="E634" s="85" t="n">
        <f aca="false">SRC_Demand!$K13</f>
        <v>2</v>
      </c>
    </row>
    <row r="635" customFormat="false" ht="15" hidden="false" customHeight="false" outlineLevel="0" collapsed="false">
      <c r="A635" s="85" t="str">
        <f aca="false">SRC_Demand!$A14&amp;""</f>
        <v>SRC_DEM_010</v>
      </c>
      <c r="B635" s="54" t="s">
        <v>6249</v>
      </c>
      <c r="C635" s="53" t="n">
        <v>14</v>
      </c>
      <c r="D635" s="85" t="str">
        <f aca="false">SRC_Demand!$O14</f>
        <v>Active</v>
      </c>
      <c r="E635" s="85" t="n">
        <f aca="false">SRC_Demand!$K14</f>
        <v>2</v>
      </c>
    </row>
    <row r="636" customFormat="false" ht="15" hidden="false" customHeight="false" outlineLevel="0" collapsed="false">
      <c r="A636" s="85" t="str">
        <f aca="false">SRC_Demand!$A15&amp;""</f>
        <v>SRC_DEM_011</v>
      </c>
      <c r="B636" s="54" t="s">
        <v>6249</v>
      </c>
      <c r="C636" s="53" t="n">
        <v>15</v>
      </c>
      <c r="D636" s="85" t="str">
        <f aca="false">SRC_Demand!$O15</f>
        <v>Active</v>
      </c>
      <c r="E636" s="85" t="n">
        <f aca="false">SRC_Demand!$K15</f>
        <v>1</v>
      </c>
    </row>
    <row r="637" customFormat="false" ht="15" hidden="false" customHeight="false" outlineLevel="0" collapsed="false">
      <c r="A637" s="85" t="str">
        <f aca="false">SRC_Demand!$A16&amp;""</f>
        <v>SRC_DEM_012</v>
      </c>
      <c r="B637" s="54" t="s">
        <v>6249</v>
      </c>
      <c r="C637" s="53" t="n">
        <v>16</v>
      </c>
      <c r="D637" s="85" t="str">
        <f aca="false">SRC_Demand!$O16</f>
        <v>Active</v>
      </c>
      <c r="E637" s="85" t="n">
        <f aca="false">SRC_Demand!$K16</f>
        <v>2</v>
      </c>
    </row>
    <row r="638" customFormat="false" ht="15" hidden="false" customHeight="false" outlineLevel="0" collapsed="false">
      <c r="A638" s="85" t="str">
        <f aca="false">SRC_Demand!$A17&amp;""</f>
        <v>SRC_DEM_013</v>
      </c>
      <c r="B638" s="54" t="s">
        <v>6249</v>
      </c>
      <c r="C638" s="53" t="n">
        <v>17</v>
      </c>
      <c r="D638" s="85" t="str">
        <f aca="false">SRC_Demand!$O17</f>
        <v>Active</v>
      </c>
      <c r="E638" s="85" t="n">
        <f aca="false">SRC_Demand!$K17</f>
        <v>1</v>
      </c>
    </row>
    <row r="639" customFormat="false" ht="15" hidden="false" customHeight="false" outlineLevel="0" collapsed="false">
      <c r="A639" s="85" t="str">
        <f aca="false">SRC_Demand!$A18&amp;""</f>
        <v>SRC_DEM_014</v>
      </c>
      <c r="B639" s="54" t="s">
        <v>6249</v>
      </c>
      <c r="C639" s="53" t="n">
        <v>18</v>
      </c>
      <c r="D639" s="85" t="str">
        <f aca="false">SRC_Demand!$O18</f>
        <v>Active</v>
      </c>
      <c r="E639" s="85" t="n">
        <f aca="false">SRC_Demand!$K18</f>
        <v>1</v>
      </c>
    </row>
    <row r="640" customFormat="false" ht="15" hidden="false" customHeight="false" outlineLevel="0" collapsed="false">
      <c r="A640" s="85" t="str">
        <f aca="false">SRC_Demand!$A19&amp;""</f>
        <v>SRC_DEM_015</v>
      </c>
      <c r="B640" s="54" t="s">
        <v>6249</v>
      </c>
      <c r="C640" s="53" t="n">
        <v>19</v>
      </c>
      <c r="D640" s="85" t="str">
        <f aca="false">SRC_Demand!$O19</f>
        <v>Active</v>
      </c>
      <c r="E640" s="85" t="n">
        <f aca="false">SRC_Demand!$K19</f>
        <v>1</v>
      </c>
    </row>
    <row r="641" customFormat="false" ht="15" hidden="false" customHeight="false" outlineLevel="0" collapsed="false">
      <c r="A641" s="85" t="str">
        <f aca="false">SRC_Demand!$A20&amp;""</f>
        <v>SRC_DEM_016</v>
      </c>
      <c r="B641" s="54" t="s">
        <v>6249</v>
      </c>
      <c r="C641" s="53" t="n">
        <v>20</v>
      </c>
      <c r="D641" s="85" t="str">
        <f aca="false">SRC_Demand!$O20</f>
        <v>Active</v>
      </c>
      <c r="E641" s="85" t="n">
        <f aca="false">SRC_Demand!$K20</f>
        <v>1</v>
      </c>
    </row>
    <row r="642" customFormat="false" ht="15" hidden="false" customHeight="false" outlineLevel="0" collapsed="false">
      <c r="A642" s="85" t="str">
        <f aca="false">SRC_Demand!$A21&amp;""</f>
        <v>SRC_DEM_017</v>
      </c>
      <c r="B642" s="54" t="s">
        <v>6249</v>
      </c>
      <c r="C642" s="53" t="n">
        <v>21</v>
      </c>
      <c r="D642" s="85" t="str">
        <f aca="false">SRC_Demand!$O21</f>
        <v>Active</v>
      </c>
      <c r="E642" s="85" t="n">
        <f aca="false">SRC_Demand!$K21</f>
        <v>1</v>
      </c>
    </row>
    <row r="643" customFormat="false" ht="15" hidden="false" customHeight="false" outlineLevel="0" collapsed="false">
      <c r="A643" s="85" t="str">
        <f aca="false">SRC_Demand!$A22&amp;""</f>
        <v/>
      </c>
      <c r="B643" s="54" t="s">
        <v>6249</v>
      </c>
      <c r="C643" s="53" t="n">
        <v>22</v>
      </c>
      <c r="D643" s="85" t="n">
        <f aca="false">SRC_Demand!$O22</f>
        <v>0</v>
      </c>
      <c r="E643" s="85" t="n">
        <f aca="false">SRC_Demand!$K22</f>
        <v>0</v>
      </c>
    </row>
    <row r="644" customFormat="false" ht="15" hidden="false" customHeight="false" outlineLevel="0" collapsed="false">
      <c r="A644" s="85" t="str">
        <f aca="false">SRC_Demand!$A23&amp;""</f>
        <v/>
      </c>
      <c r="B644" s="54" t="s">
        <v>6249</v>
      </c>
      <c r="C644" s="53" t="n">
        <v>23</v>
      </c>
      <c r="D644" s="85" t="n">
        <f aca="false">SRC_Demand!$O23</f>
        <v>0</v>
      </c>
      <c r="E644" s="85" t="n">
        <f aca="false">SRC_Demand!$K23</f>
        <v>0</v>
      </c>
    </row>
    <row r="645" customFormat="false" ht="15" hidden="false" customHeight="false" outlineLevel="0" collapsed="false">
      <c r="A645" s="85" t="str">
        <f aca="false">SRC_Demand!$A24&amp;""</f>
        <v/>
      </c>
      <c r="B645" s="54" t="s">
        <v>6249</v>
      </c>
      <c r="C645" s="53" t="n">
        <v>24</v>
      </c>
      <c r="D645" s="85" t="n">
        <f aca="false">SRC_Demand!$O24</f>
        <v>0</v>
      </c>
      <c r="E645" s="85" t="n">
        <f aca="false">SRC_Demand!$K24</f>
        <v>0</v>
      </c>
    </row>
    <row r="646" customFormat="false" ht="15" hidden="false" customHeight="false" outlineLevel="0" collapsed="false">
      <c r="A646" s="85" t="str">
        <f aca="false">SRC_Demand!$A25&amp;""</f>
        <v/>
      </c>
      <c r="B646" s="54" t="s">
        <v>6249</v>
      </c>
      <c r="C646" s="53" t="n">
        <v>25</v>
      </c>
      <c r="D646" s="85" t="n">
        <f aca="false">SRC_Demand!$O25</f>
        <v>0</v>
      </c>
      <c r="E646" s="85" t="n">
        <f aca="false">SRC_Demand!$K25</f>
        <v>0</v>
      </c>
    </row>
    <row r="647" customFormat="false" ht="15" hidden="false" customHeight="false" outlineLevel="0" collapsed="false">
      <c r="A647" s="85" t="str">
        <f aca="false">SRC_Demand!$A26&amp;""</f>
        <v/>
      </c>
      <c r="B647" s="54" t="s">
        <v>6249</v>
      </c>
      <c r="C647" s="53" t="n">
        <v>26</v>
      </c>
      <c r="D647" s="85" t="n">
        <f aca="false">SRC_Demand!$O26</f>
        <v>0</v>
      </c>
      <c r="E647" s="85" t="n">
        <f aca="false">SRC_Demand!$K26</f>
        <v>0</v>
      </c>
    </row>
    <row r="648" customFormat="false" ht="15" hidden="false" customHeight="false" outlineLevel="0" collapsed="false">
      <c r="A648" s="85" t="str">
        <f aca="false">SRC_Demand!$A27&amp;""</f>
        <v/>
      </c>
      <c r="B648" s="54" t="s">
        <v>6249</v>
      </c>
      <c r="C648" s="53" t="n">
        <v>27</v>
      </c>
      <c r="D648" s="85" t="n">
        <f aca="false">SRC_Demand!$O27</f>
        <v>0</v>
      </c>
      <c r="E648" s="85" t="n">
        <f aca="false">SRC_Demand!$K27</f>
        <v>0</v>
      </c>
    </row>
    <row r="649" customFormat="false" ht="15" hidden="false" customHeight="false" outlineLevel="0" collapsed="false">
      <c r="A649" s="85" t="str">
        <f aca="false">SRC_Demand!$A28&amp;""</f>
        <v/>
      </c>
      <c r="B649" s="54" t="s">
        <v>6249</v>
      </c>
      <c r="C649" s="53" t="n">
        <v>28</v>
      </c>
      <c r="D649" s="85" t="n">
        <f aca="false">SRC_Demand!$O28</f>
        <v>0</v>
      </c>
      <c r="E649" s="85" t="n">
        <f aca="false">SRC_Demand!$K28</f>
        <v>0</v>
      </c>
    </row>
    <row r="650" customFormat="false" ht="15" hidden="false" customHeight="false" outlineLevel="0" collapsed="false">
      <c r="A650" s="85" t="str">
        <f aca="false">SRC_Demand!$A29&amp;""</f>
        <v/>
      </c>
      <c r="B650" s="54" t="s">
        <v>6249</v>
      </c>
      <c r="C650" s="53" t="n">
        <v>29</v>
      </c>
      <c r="D650" s="85" t="n">
        <f aca="false">SRC_Demand!$O29</f>
        <v>0</v>
      </c>
      <c r="E650" s="85" t="n">
        <f aca="false">SRC_Demand!$K29</f>
        <v>0</v>
      </c>
    </row>
    <row r="651" customFormat="false" ht="15" hidden="false" customHeight="false" outlineLevel="0" collapsed="false">
      <c r="A651" s="85" t="str">
        <f aca="false">SRC_Demand!$A30&amp;""</f>
        <v/>
      </c>
      <c r="B651" s="54" t="s">
        <v>6249</v>
      </c>
      <c r="C651" s="53" t="n">
        <v>30</v>
      </c>
      <c r="D651" s="85" t="n">
        <f aca="false">SRC_Demand!$O30</f>
        <v>0</v>
      </c>
      <c r="E651" s="85" t="n">
        <f aca="false">SRC_Demand!$K30</f>
        <v>0</v>
      </c>
    </row>
    <row r="652" customFormat="false" ht="15" hidden="false" customHeight="false" outlineLevel="0" collapsed="false">
      <c r="A652" s="85" t="str">
        <f aca="false">SRC_Demand!$A31&amp;""</f>
        <v/>
      </c>
      <c r="B652" s="54" t="s">
        <v>6249</v>
      </c>
      <c r="C652" s="53" t="n">
        <v>31</v>
      </c>
      <c r="D652" s="85" t="n">
        <f aca="false">SRC_Demand!$O31</f>
        <v>0</v>
      </c>
      <c r="E652" s="85" t="n">
        <f aca="false">SRC_Demand!$K31</f>
        <v>0</v>
      </c>
    </row>
    <row r="653" customFormat="false" ht="15" hidden="false" customHeight="false" outlineLevel="0" collapsed="false">
      <c r="A653" s="85" t="str">
        <f aca="false">SRC_Demand!$A32&amp;""</f>
        <v/>
      </c>
      <c r="B653" s="54" t="s">
        <v>6249</v>
      </c>
      <c r="C653" s="53" t="n">
        <v>32</v>
      </c>
      <c r="D653" s="85" t="n">
        <f aca="false">SRC_Demand!$O32</f>
        <v>0</v>
      </c>
      <c r="E653" s="85" t="n">
        <f aca="false">SRC_Demand!$K32</f>
        <v>0</v>
      </c>
    </row>
    <row r="654" customFormat="false" ht="15" hidden="false" customHeight="false" outlineLevel="0" collapsed="false">
      <c r="A654" s="85" t="str">
        <f aca="false">SRC_Demand!$A33&amp;""</f>
        <v/>
      </c>
      <c r="B654" s="54" t="s">
        <v>6249</v>
      </c>
      <c r="C654" s="53" t="n">
        <v>33</v>
      </c>
      <c r="D654" s="85" t="n">
        <f aca="false">SRC_Demand!$O33</f>
        <v>0</v>
      </c>
      <c r="E654" s="85" t="n">
        <f aca="false">SRC_Demand!$K33</f>
        <v>0</v>
      </c>
    </row>
    <row r="655" customFormat="false" ht="15" hidden="false" customHeight="false" outlineLevel="0" collapsed="false">
      <c r="A655" s="85" t="str">
        <f aca="false">SRC_Demand!$A34&amp;""</f>
        <v/>
      </c>
      <c r="B655" s="54" t="s">
        <v>6249</v>
      </c>
      <c r="C655" s="53" t="n">
        <v>34</v>
      </c>
      <c r="D655" s="85" t="n">
        <f aca="false">SRC_Demand!$O34</f>
        <v>0</v>
      </c>
      <c r="E655" s="85" t="n">
        <f aca="false">SRC_Demand!$K34</f>
        <v>0</v>
      </c>
    </row>
    <row r="656" customFormat="false" ht="15" hidden="false" customHeight="false" outlineLevel="0" collapsed="false">
      <c r="A656" s="85" t="str">
        <f aca="false">SRC_Demand!$A35&amp;""</f>
        <v/>
      </c>
      <c r="B656" s="54" t="s">
        <v>6249</v>
      </c>
      <c r="C656" s="53" t="n">
        <v>35</v>
      </c>
      <c r="D656" s="85" t="n">
        <f aca="false">SRC_Demand!$O35</f>
        <v>0</v>
      </c>
      <c r="E656" s="85" t="n">
        <f aca="false">SRC_Demand!$K35</f>
        <v>0</v>
      </c>
    </row>
    <row r="657" customFormat="false" ht="15" hidden="false" customHeight="false" outlineLevel="0" collapsed="false">
      <c r="A657" s="85" t="str">
        <f aca="false">SRC_Demand!$A36&amp;""</f>
        <v/>
      </c>
      <c r="B657" s="54" t="s">
        <v>6249</v>
      </c>
      <c r="C657" s="53" t="n">
        <v>36</v>
      </c>
      <c r="D657" s="85" t="n">
        <f aca="false">SRC_Demand!$O36</f>
        <v>0</v>
      </c>
      <c r="E657" s="85" t="n">
        <f aca="false">SRC_Demand!$K36</f>
        <v>0</v>
      </c>
    </row>
    <row r="658" customFormat="false" ht="15" hidden="false" customHeight="false" outlineLevel="0" collapsed="false">
      <c r="A658" s="85" t="str">
        <f aca="false">SRC_Demand!$A37&amp;""</f>
        <v/>
      </c>
      <c r="B658" s="54" t="s">
        <v>6249</v>
      </c>
      <c r="C658" s="53" t="n">
        <v>37</v>
      </c>
      <c r="D658" s="85" t="n">
        <f aca="false">SRC_Demand!$O37</f>
        <v>0</v>
      </c>
      <c r="E658" s="85" t="n">
        <f aca="false">SRC_Demand!$K37</f>
        <v>0</v>
      </c>
    </row>
    <row r="659" customFormat="false" ht="15" hidden="false" customHeight="false" outlineLevel="0" collapsed="false">
      <c r="A659" s="85" t="str">
        <f aca="false">SRC_Demand!$A38&amp;""</f>
        <v/>
      </c>
      <c r="B659" s="54" t="s">
        <v>6249</v>
      </c>
      <c r="C659" s="53" t="n">
        <v>38</v>
      </c>
      <c r="D659" s="85" t="n">
        <f aca="false">SRC_Demand!$O38</f>
        <v>0</v>
      </c>
      <c r="E659" s="85" t="n">
        <f aca="false">SRC_Demand!$K38</f>
        <v>0</v>
      </c>
    </row>
    <row r="660" customFormat="false" ht="15" hidden="false" customHeight="false" outlineLevel="0" collapsed="false">
      <c r="A660" s="85" t="str">
        <f aca="false">SRC_Demand!$A39&amp;""</f>
        <v/>
      </c>
      <c r="B660" s="54" t="s">
        <v>6249</v>
      </c>
      <c r="C660" s="53" t="n">
        <v>39</v>
      </c>
      <c r="D660" s="85" t="n">
        <f aca="false">SRC_Demand!$O39</f>
        <v>0</v>
      </c>
      <c r="E660" s="85" t="n">
        <f aca="false">SRC_Demand!$K39</f>
        <v>0</v>
      </c>
    </row>
    <row r="661" customFormat="false" ht="15" hidden="false" customHeight="false" outlineLevel="0" collapsed="false">
      <c r="A661" s="85" t="str">
        <f aca="false">SRC_Demand!$A40&amp;""</f>
        <v/>
      </c>
      <c r="B661" s="54" t="s">
        <v>6249</v>
      </c>
      <c r="C661" s="53" t="n">
        <v>40</v>
      </c>
      <c r="D661" s="85" t="n">
        <f aca="false">SRC_Demand!$O40</f>
        <v>0</v>
      </c>
      <c r="E661" s="85" t="n">
        <f aca="false">SRC_Demand!$K40</f>
        <v>0</v>
      </c>
    </row>
    <row r="662" customFormat="false" ht="15" hidden="false" customHeight="false" outlineLevel="0" collapsed="false">
      <c r="A662" s="85" t="str">
        <f aca="false">SRC_Demand!$A41&amp;""</f>
        <v/>
      </c>
      <c r="B662" s="54" t="s">
        <v>6249</v>
      </c>
      <c r="C662" s="53" t="n">
        <v>41</v>
      </c>
      <c r="D662" s="85" t="n">
        <f aca="false">SRC_Demand!$O41</f>
        <v>0</v>
      </c>
      <c r="E662" s="85" t="n">
        <f aca="false">SRC_Demand!$K41</f>
        <v>0</v>
      </c>
    </row>
    <row r="663" customFormat="false" ht="15" hidden="false" customHeight="false" outlineLevel="0" collapsed="false">
      <c r="A663" s="85" t="str">
        <f aca="false">SRC_Demand!$A42&amp;""</f>
        <v/>
      </c>
      <c r="B663" s="54" t="s">
        <v>6249</v>
      </c>
      <c r="C663" s="53" t="n">
        <v>42</v>
      </c>
      <c r="D663" s="85" t="n">
        <f aca="false">SRC_Demand!$O42</f>
        <v>0</v>
      </c>
      <c r="E663" s="85" t="n">
        <f aca="false">SRC_Demand!$K42</f>
        <v>0</v>
      </c>
    </row>
    <row r="664" customFormat="false" ht="15" hidden="false" customHeight="false" outlineLevel="0" collapsed="false">
      <c r="A664" s="85" t="str">
        <f aca="false">SRC_Demand!$A43&amp;""</f>
        <v/>
      </c>
      <c r="B664" s="54" t="s">
        <v>6249</v>
      </c>
      <c r="C664" s="53" t="n">
        <v>43</v>
      </c>
      <c r="D664" s="85" t="n">
        <f aca="false">SRC_Demand!$O43</f>
        <v>0</v>
      </c>
      <c r="E664" s="85" t="n">
        <f aca="false">SRC_Demand!$K43</f>
        <v>0</v>
      </c>
    </row>
    <row r="665" customFormat="false" ht="15" hidden="false" customHeight="false" outlineLevel="0" collapsed="false">
      <c r="A665" s="85" t="str">
        <f aca="false">SRC_Demand!$A44&amp;""</f>
        <v/>
      </c>
      <c r="B665" s="54" t="s">
        <v>6249</v>
      </c>
      <c r="C665" s="53" t="n">
        <v>44</v>
      </c>
      <c r="D665" s="85" t="n">
        <f aca="false">SRC_Demand!$O44</f>
        <v>0</v>
      </c>
      <c r="E665" s="85" t="n">
        <f aca="false">SRC_Demand!$K44</f>
        <v>0</v>
      </c>
    </row>
    <row r="666" customFormat="false" ht="15" hidden="false" customHeight="false" outlineLevel="0" collapsed="false">
      <c r="A666" s="85" t="str">
        <f aca="false">SRC_Demand!$A45&amp;""</f>
        <v/>
      </c>
      <c r="B666" s="54" t="s">
        <v>6249</v>
      </c>
      <c r="C666" s="53" t="n">
        <v>45</v>
      </c>
      <c r="D666" s="85" t="n">
        <f aca="false">SRC_Demand!$O45</f>
        <v>0</v>
      </c>
      <c r="E666" s="85" t="n">
        <f aca="false">SRC_Demand!$K45</f>
        <v>0</v>
      </c>
    </row>
    <row r="667" customFormat="false" ht="15" hidden="false" customHeight="false" outlineLevel="0" collapsed="false">
      <c r="A667" s="85" t="str">
        <f aca="false">SRC_Demand!$A46&amp;""</f>
        <v/>
      </c>
      <c r="B667" s="54" t="s">
        <v>6249</v>
      </c>
      <c r="C667" s="53" t="n">
        <v>46</v>
      </c>
      <c r="D667" s="85" t="n">
        <f aca="false">SRC_Demand!$O46</f>
        <v>0</v>
      </c>
      <c r="E667" s="85" t="n">
        <f aca="false">SRC_Demand!$K46</f>
        <v>0</v>
      </c>
    </row>
    <row r="668" customFormat="false" ht="15" hidden="false" customHeight="false" outlineLevel="0" collapsed="false">
      <c r="A668" s="85" t="str">
        <f aca="false">SRC_Demand!$A47&amp;""</f>
        <v/>
      </c>
      <c r="B668" s="54" t="s">
        <v>6249</v>
      </c>
      <c r="C668" s="53" t="n">
        <v>47</v>
      </c>
      <c r="D668" s="85" t="n">
        <f aca="false">SRC_Demand!$O47</f>
        <v>0</v>
      </c>
      <c r="E668" s="85" t="n">
        <f aca="false">SRC_Demand!$K47</f>
        <v>0</v>
      </c>
    </row>
    <row r="669" customFormat="false" ht="15" hidden="false" customHeight="false" outlineLevel="0" collapsed="false">
      <c r="A669" s="85" t="str">
        <f aca="false">SRC_Demand!$A48&amp;""</f>
        <v/>
      </c>
      <c r="B669" s="54" t="s">
        <v>6249</v>
      </c>
      <c r="C669" s="53" t="n">
        <v>48</v>
      </c>
      <c r="D669" s="85" t="n">
        <f aca="false">SRC_Demand!$O48</f>
        <v>0</v>
      </c>
      <c r="E669" s="85" t="n">
        <f aca="false">SRC_Demand!$K48</f>
        <v>0</v>
      </c>
    </row>
    <row r="670" customFormat="false" ht="15" hidden="false" customHeight="false" outlineLevel="0" collapsed="false">
      <c r="A670" s="85" t="str">
        <f aca="false">SRC_Demand!$A49&amp;""</f>
        <v/>
      </c>
      <c r="B670" s="54" t="s">
        <v>6249</v>
      </c>
      <c r="C670" s="53" t="n">
        <v>49</v>
      </c>
      <c r="D670" s="85" t="n">
        <f aca="false">SRC_Demand!$O49</f>
        <v>0</v>
      </c>
      <c r="E670" s="85" t="n">
        <f aca="false">SRC_Demand!$K49</f>
        <v>0</v>
      </c>
    </row>
    <row r="671" customFormat="false" ht="15" hidden="false" customHeight="false" outlineLevel="0" collapsed="false">
      <c r="A671" s="85" t="str">
        <f aca="false">SRC_Demand!$A50&amp;""</f>
        <v/>
      </c>
      <c r="B671" s="54" t="s">
        <v>6249</v>
      </c>
      <c r="C671" s="53" t="n">
        <v>50</v>
      </c>
      <c r="D671" s="85" t="n">
        <f aca="false">SRC_Demand!$O50</f>
        <v>0</v>
      </c>
      <c r="E671" s="85" t="n">
        <f aca="false">SRC_Demand!$K50</f>
        <v>0</v>
      </c>
    </row>
    <row r="672" customFormat="false" ht="15" hidden="false" customHeight="false" outlineLevel="0" collapsed="false">
      <c r="A672" s="85" t="str">
        <f aca="false">SRC_Demand!$A51&amp;""</f>
        <v/>
      </c>
      <c r="B672" s="54" t="s">
        <v>6249</v>
      </c>
      <c r="C672" s="53" t="n">
        <v>51</v>
      </c>
      <c r="D672" s="85" t="n">
        <f aca="false">SRC_Demand!$O51</f>
        <v>0</v>
      </c>
      <c r="E672" s="85" t="n">
        <f aca="false">SRC_Demand!$K51</f>
        <v>0</v>
      </c>
    </row>
    <row r="673" customFormat="false" ht="15" hidden="false" customHeight="false" outlineLevel="0" collapsed="false">
      <c r="A673" s="85" t="str">
        <f aca="false">SRC_Demand!$A52&amp;""</f>
        <v/>
      </c>
      <c r="B673" s="54" t="s">
        <v>6249</v>
      </c>
      <c r="C673" s="53" t="n">
        <v>52</v>
      </c>
      <c r="D673" s="85" t="n">
        <f aca="false">SRC_Demand!$O52</f>
        <v>0</v>
      </c>
      <c r="E673" s="85" t="n">
        <f aca="false">SRC_Demand!$K52</f>
        <v>0</v>
      </c>
    </row>
    <row r="674" customFormat="false" ht="15" hidden="false" customHeight="false" outlineLevel="0" collapsed="false">
      <c r="A674" s="85" t="str">
        <f aca="false">SRC_Demand!$A53&amp;""</f>
        <v/>
      </c>
      <c r="B674" s="54" t="s">
        <v>6249</v>
      </c>
      <c r="C674" s="53" t="n">
        <v>53</v>
      </c>
      <c r="D674" s="85" t="n">
        <f aca="false">SRC_Demand!$O53</f>
        <v>0</v>
      </c>
      <c r="E674" s="85" t="n">
        <f aca="false">SRC_Demand!$K53</f>
        <v>0</v>
      </c>
    </row>
    <row r="675" customFormat="false" ht="15" hidden="false" customHeight="false" outlineLevel="0" collapsed="false">
      <c r="A675" s="85" t="str">
        <f aca="false">SRC_Demand!$A54&amp;""</f>
        <v/>
      </c>
      <c r="B675" s="54" t="s">
        <v>6249</v>
      </c>
      <c r="C675" s="53" t="n">
        <v>54</v>
      </c>
      <c r="D675" s="85" t="n">
        <f aca="false">SRC_Demand!$O54</f>
        <v>0</v>
      </c>
      <c r="E675" s="85" t="n">
        <f aca="false">SRC_Demand!$K54</f>
        <v>0</v>
      </c>
    </row>
    <row r="676" customFormat="false" ht="15" hidden="false" customHeight="false" outlineLevel="0" collapsed="false">
      <c r="A676" s="85" t="str">
        <f aca="false">SRC_Demand!$A55&amp;""</f>
        <v/>
      </c>
      <c r="B676" s="54" t="s">
        <v>6249</v>
      </c>
      <c r="C676" s="53" t="n">
        <v>55</v>
      </c>
      <c r="D676" s="85" t="n">
        <f aca="false">SRC_Demand!$O55</f>
        <v>0</v>
      </c>
      <c r="E676" s="85" t="n">
        <f aca="false">SRC_Demand!$K55</f>
        <v>0</v>
      </c>
    </row>
    <row r="677" customFormat="false" ht="15" hidden="false" customHeight="false" outlineLevel="0" collapsed="false">
      <c r="A677" s="85" t="str">
        <f aca="false">SRC_Demand!$A56&amp;""</f>
        <v/>
      </c>
      <c r="B677" s="54" t="s">
        <v>6249</v>
      </c>
      <c r="C677" s="53" t="n">
        <v>56</v>
      </c>
      <c r="D677" s="85" t="n">
        <f aca="false">SRC_Demand!$O56</f>
        <v>0</v>
      </c>
      <c r="E677" s="85" t="n">
        <f aca="false">SRC_Demand!$K56</f>
        <v>0</v>
      </c>
    </row>
    <row r="678" customFormat="false" ht="15" hidden="false" customHeight="false" outlineLevel="0" collapsed="false">
      <c r="A678" s="85" t="str">
        <f aca="false">SRC_Demand!$A57&amp;""</f>
        <v/>
      </c>
      <c r="B678" s="54" t="s">
        <v>6249</v>
      </c>
      <c r="C678" s="53" t="n">
        <v>57</v>
      </c>
      <c r="D678" s="85" t="n">
        <f aca="false">SRC_Demand!$O57</f>
        <v>0</v>
      </c>
      <c r="E678" s="85" t="n">
        <f aca="false">SRC_Demand!$K57</f>
        <v>0</v>
      </c>
    </row>
    <row r="679" customFormat="false" ht="15" hidden="false" customHeight="false" outlineLevel="0" collapsed="false">
      <c r="A679" s="85" t="str">
        <f aca="false">SRC_Demand!$A58&amp;""</f>
        <v/>
      </c>
      <c r="B679" s="54" t="s">
        <v>6249</v>
      </c>
      <c r="C679" s="53" t="n">
        <v>58</v>
      </c>
      <c r="D679" s="85" t="n">
        <f aca="false">SRC_Demand!$O58</f>
        <v>0</v>
      </c>
      <c r="E679" s="85" t="n">
        <f aca="false">SRC_Demand!$K58</f>
        <v>0</v>
      </c>
    </row>
    <row r="680" customFormat="false" ht="15" hidden="false" customHeight="false" outlineLevel="0" collapsed="false">
      <c r="A680" s="85" t="str">
        <f aca="false">SRC_Demand!$A59&amp;""</f>
        <v/>
      </c>
      <c r="B680" s="54" t="s">
        <v>6249</v>
      </c>
      <c r="C680" s="53" t="n">
        <v>59</v>
      </c>
      <c r="D680" s="85" t="n">
        <f aca="false">SRC_Demand!$O59</f>
        <v>0</v>
      </c>
      <c r="E680" s="85" t="n">
        <f aca="false">SRC_Demand!$K59</f>
        <v>0</v>
      </c>
    </row>
    <row r="681" customFormat="false" ht="15" hidden="false" customHeight="false" outlineLevel="0" collapsed="false">
      <c r="A681" s="85" t="str">
        <f aca="false">SRC_Demand!$A60&amp;""</f>
        <v/>
      </c>
      <c r="B681" s="54" t="s">
        <v>6249</v>
      </c>
      <c r="C681" s="53" t="n">
        <v>60</v>
      </c>
      <c r="D681" s="85" t="n">
        <f aca="false">SRC_Demand!$O60</f>
        <v>0</v>
      </c>
      <c r="E681" s="85" t="n">
        <f aca="false">SRC_Demand!$K60</f>
        <v>0</v>
      </c>
    </row>
    <row r="682" customFormat="false" ht="15" hidden="false" customHeight="false" outlineLevel="0" collapsed="false">
      <c r="A682" s="85" t="str">
        <f aca="false">SRC_Demand!$A61&amp;""</f>
        <v/>
      </c>
      <c r="B682" s="54" t="s">
        <v>6249</v>
      </c>
      <c r="C682" s="53" t="n">
        <v>61</v>
      </c>
      <c r="D682" s="85" t="n">
        <f aca="false">SRC_Demand!$O61</f>
        <v>0</v>
      </c>
      <c r="E682" s="85" t="n">
        <f aca="false">SRC_Demand!$K61</f>
        <v>0</v>
      </c>
    </row>
    <row r="683" customFormat="false" ht="15" hidden="false" customHeight="false" outlineLevel="0" collapsed="false">
      <c r="A683" s="85" t="str">
        <f aca="false">SRC_Demand!$A62&amp;""</f>
        <v/>
      </c>
      <c r="B683" s="54" t="s">
        <v>6249</v>
      </c>
      <c r="C683" s="53" t="n">
        <v>62</v>
      </c>
      <c r="D683" s="85" t="n">
        <f aca="false">SRC_Demand!$O62</f>
        <v>0</v>
      </c>
      <c r="E683" s="85" t="n">
        <f aca="false">SRC_Demand!$K62</f>
        <v>0</v>
      </c>
    </row>
    <row r="684" customFormat="false" ht="15" hidden="false" customHeight="false" outlineLevel="0" collapsed="false">
      <c r="A684" s="85" t="str">
        <f aca="false">SRC_Demand!$A63&amp;""</f>
        <v/>
      </c>
      <c r="B684" s="54" t="s">
        <v>6249</v>
      </c>
      <c r="C684" s="53" t="n">
        <v>63</v>
      </c>
      <c r="D684" s="85" t="n">
        <f aca="false">SRC_Demand!$O63</f>
        <v>0</v>
      </c>
      <c r="E684" s="85" t="n">
        <f aca="false">SRC_Demand!$K63</f>
        <v>0</v>
      </c>
    </row>
    <row r="685" customFormat="false" ht="15" hidden="false" customHeight="false" outlineLevel="0" collapsed="false">
      <c r="A685" s="85" t="str">
        <f aca="false">SRC_Demand!$A64&amp;""</f>
        <v/>
      </c>
      <c r="B685" s="54" t="s">
        <v>6249</v>
      </c>
      <c r="C685" s="53" t="n">
        <v>64</v>
      </c>
      <c r="D685" s="85" t="n">
        <f aca="false">SRC_Demand!$O64</f>
        <v>0</v>
      </c>
      <c r="E685" s="85" t="n">
        <f aca="false">SRC_Demand!$K64</f>
        <v>0</v>
      </c>
    </row>
    <row r="686" customFormat="false" ht="15" hidden="false" customHeight="false" outlineLevel="0" collapsed="false">
      <c r="A686" s="85" t="str">
        <f aca="false">SRC_Demand!$A65&amp;""</f>
        <v/>
      </c>
      <c r="B686" s="54" t="s">
        <v>6249</v>
      </c>
      <c r="C686" s="53" t="n">
        <v>65</v>
      </c>
      <c r="D686" s="85" t="n">
        <f aca="false">SRC_Demand!$O65</f>
        <v>0</v>
      </c>
      <c r="E686" s="85" t="n">
        <f aca="false">SRC_Demand!$K65</f>
        <v>0</v>
      </c>
    </row>
    <row r="687" customFormat="false" ht="15" hidden="false" customHeight="false" outlineLevel="0" collapsed="false">
      <c r="A687" s="85" t="str">
        <f aca="false">SRC_Demand!$A66&amp;""</f>
        <v/>
      </c>
      <c r="B687" s="54" t="s">
        <v>6249</v>
      </c>
      <c r="C687" s="53" t="n">
        <v>66</v>
      </c>
      <c r="D687" s="85" t="n">
        <f aca="false">SRC_Demand!$O66</f>
        <v>0</v>
      </c>
      <c r="E687" s="85" t="n">
        <f aca="false">SRC_Demand!$K66</f>
        <v>0</v>
      </c>
    </row>
    <row r="688" customFormat="false" ht="15" hidden="false" customHeight="false" outlineLevel="0" collapsed="false">
      <c r="A688" s="85" t="str">
        <f aca="false">SRC_Demand!$A67&amp;""</f>
        <v/>
      </c>
      <c r="B688" s="54" t="s">
        <v>6249</v>
      </c>
      <c r="C688" s="53" t="n">
        <v>67</v>
      </c>
      <c r="D688" s="85" t="n">
        <f aca="false">SRC_Demand!$O67</f>
        <v>0</v>
      </c>
      <c r="E688" s="85" t="n">
        <f aca="false">SRC_Demand!$K67</f>
        <v>0</v>
      </c>
    </row>
    <row r="689" customFormat="false" ht="15" hidden="false" customHeight="false" outlineLevel="0" collapsed="false">
      <c r="A689" s="85" t="str">
        <f aca="false">SRC_Demand!$A68&amp;""</f>
        <v/>
      </c>
      <c r="B689" s="54" t="s">
        <v>6249</v>
      </c>
      <c r="C689" s="53" t="n">
        <v>68</v>
      </c>
      <c r="D689" s="85" t="n">
        <f aca="false">SRC_Demand!$O68</f>
        <v>0</v>
      </c>
      <c r="E689" s="85" t="n">
        <f aca="false">SRC_Demand!$K68</f>
        <v>0</v>
      </c>
    </row>
    <row r="690" customFormat="false" ht="15" hidden="false" customHeight="false" outlineLevel="0" collapsed="false">
      <c r="A690" s="85" t="str">
        <f aca="false">SRC_Demand!$A69&amp;""</f>
        <v/>
      </c>
      <c r="B690" s="54" t="s">
        <v>6249</v>
      </c>
      <c r="C690" s="53" t="n">
        <v>69</v>
      </c>
      <c r="D690" s="85" t="n">
        <f aca="false">SRC_Demand!$O69</f>
        <v>0</v>
      </c>
      <c r="E690" s="85" t="n">
        <f aca="false">SRC_Demand!$K69</f>
        <v>0</v>
      </c>
    </row>
    <row r="691" customFormat="false" ht="15" hidden="false" customHeight="false" outlineLevel="0" collapsed="false">
      <c r="A691" s="85" t="str">
        <f aca="false">SRC_Demand!$A70&amp;""</f>
        <v/>
      </c>
      <c r="B691" s="54" t="s">
        <v>6249</v>
      </c>
      <c r="C691" s="53" t="n">
        <v>70</v>
      </c>
      <c r="D691" s="85" t="n">
        <f aca="false">SRC_Demand!$O70</f>
        <v>0</v>
      </c>
      <c r="E691" s="85" t="n">
        <f aca="false">SRC_Demand!$K70</f>
        <v>0</v>
      </c>
    </row>
    <row r="692" customFormat="false" ht="15" hidden="false" customHeight="false" outlineLevel="0" collapsed="false">
      <c r="A692" s="85" t="str">
        <f aca="false">SRC_Demand!$A71&amp;""</f>
        <v/>
      </c>
      <c r="B692" s="54" t="s">
        <v>6249</v>
      </c>
      <c r="C692" s="53" t="n">
        <v>71</v>
      </c>
      <c r="D692" s="85" t="n">
        <f aca="false">SRC_Demand!$O71</f>
        <v>0</v>
      </c>
      <c r="E692" s="85" t="n">
        <f aca="false">SRC_Demand!$K71</f>
        <v>0</v>
      </c>
    </row>
    <row r="693" customFormat="false" ht="15" hidden="false" customHeight="false" outlineLevel="0" collapsed="false">
      <c r="A693" s="85" t="str">
        <f aca="false">Gov_Map!$H5&amp;""</f>
        <v>—</v>
      </c>
      <c r="B693" s="66" t="s">
        <v>6250</v>
      </c>
      <c r="C693" s="53" t="n">
        <v>5</v>
      </c>
      <c r="D693" s="53" t="s">
        <v>6251</v>
      </c>
      <c r="E693" s="53" t="s">
        <v>6251</v>
      </c>
    </row>
    <row r="694" customFormat="false" ht="15" hidden="false" customHeight="false" outlineLevel="0" collapsed="false">
      <c r="A694" s="85" t="str">
        <f aca="false">Gov_Map!$H6&amp;""</f>
        <v>—</v>
      </c>
      <c r="B694" s="66" t="s">
        <v>6250</v>
      </c>
      <c r="C694" s="53" t="n">
        <v>6</v>
      </c>
      <c r="D694" s="53" t="s">
        <v>6251</v>
      </c>
      <c r="E694" s="53" t="s">
        <v>6251</v>
      </c>
    </row>
    <row r="695" customFormat="false" ht="15" hidden="false" customHeight="false" outlineLevel="0" collapsed="false">
      <c r="A695" s="85" t="str">
        <f aca="false">Gov_Map!$H7&amp;""</f>
        <v>—</v>
      </c>
      <c r="B695" s="66" t="s">
        <v>6250</v>
      </c>
      <c r="C695" s="53" t="n">
        <v>7</v>
      </c>
      <c r="D695" s="53" t="s">
        <v>6251</v>
      </c>
      <c r="E695" s="53" t="s">
        <v>6251</v>
      </c>
    </row>
    <row r="696" customFormat="false" ht="15" hidden="false" customHeight="false" outlineLevel="0" collapsed="false">
      <c r="A696" s="85" t="str">
        <f aca="false">Gov_Map!$H8&amp;""</f>
        <v>—</v>
      </c>
      <c r="B696" s="66" t="s">
        <v>6250</v>
      </c>
      <c r="C696" s="53" t="n">
        <v>8</v>
      </c>
      <c r="D696" s="53" t="s">
        <v>6251</v>
      </c>
      <c r="E696" s="53" t="s">
        <v>6251</v>
      </c>
    </row>
    <row r="697" customFormat="false" ht="15" hidden="false" customHeight="false" outlineLevel="0" collapsed="false">
      <c r="A697" s="85" t="str">
        <f aca="false">Gov_Map!$H9&amp;""</f>
        <v>—</v>
      </c>
      <c r="B697" s="66" t="s">
        <v>6250</v>
      </c>
      <c r="C697" s="53" t="n">
        <v>9</v>
      </c>
      <c r="D697" s="53" t="s">
        <v>6251</v>
      </c>
      <c r="E697" s="53" t="s">
        <v>6251</v>
      </c>
    </row>
    <row r="698" customFormat="false" ht="15" hidden="false" customHeight="false" outlineLevel="0" collapsed="false">
      <c r="A698" s="85" t="str">
        <f aca="false">Gov_Map!$H10&amp;""</f>
        <v>—</v>
      </c>
      <c r="B698" s="66" t="s">
        <v>6250</v>
      </c>
      <c r="C698" s="53" t="n">
        <v>10</v>
      </c>
      <c r="D698" s="53" t="s">
        <v>6251</v>
      </c>
      <c r="E698" s="53" t="s">
        <v>6251</v>
      </c>
    </row>
    <row r="699" customFormat="false" ht="15" hidden="false" customHeight="false" outlineLevel="0" collapsed="false">
      <c r="A699" s="85" t="str">
        <f aca="false">Gov_Map!$H11&amp;""</f>
        <v>—</v>
      </c>
      <c r="B699" s="66" t="s">
        <v>6250</v>
      </c>
      <c r="C699" s="53" t="n">
        <v>11</v>
      </c>
      <c r="D699" s="53" t="s">
        <v>6251</v>
      </c>
      <c r="E699" s="53" t="s">
        <v>6251</v>
      </c>
    </row>
    <row r="700" customFormat="false" ht="15" hidden="false" customHeight="false" outlineLevel="0" collapsed="false">
      <c r="A700" s="85" t="str">
        <f aca="false">Gov_Map!$H12&amp;""</f>
        <v>—</v>
      </c>
      <c r="B700" s="66" t="s">
        <v>6250</v>
      </c>
      <c r="C700" s="53" t="n">
        <v>12</v>
      </c>
      <c r="D700" s="53" t="s">
        <v>6251</v>
      </c>
      <c r="E700" s="53" t="s">
        <v>6251</v>
      </c>
    </row>
    <row r="701" customFormat="false" ht="15" hidden="false" customHeight="false" outlineLevel="0" collapsed="false">
      <c r="A701" s="85" t="str">
        <f aca="false">Gov_Map!$H13&amp;""</f>
        <v>—</v>
      </c>
      <c r="B701" s="66" t="s">
        <v>6250</v>
      </c>
      <c r="C701" s="53" t="n">
        <v>13</v>
      </c>
      <c r="D701" s="53" t="s">
        <v>6251</v>
      </c>
      <c r="E701" s="53" t="s">
        <v>6251</v>
      </c>
    </row>
    <row r="702" customFormat="false" ht="15" hidden="false" customHeight="false" outlineLevel="0" collapsed="false">
      <c r="A702" s="85" t="str">
        <f aca="false">Gov_Map!$H14&amp;""</f>
        <v>SRC_DC_006</v>
      </c>
      <c r="B702" s="66" t="s">
        <v>6250</v>
      </c>
      <c r="C702" s="53" t="n">
        <v>14</v>
      </c>
      <c r="D702" s="53" t="s">
        <v>6251</v>
      </c>
      <c r="E702" s="53" t="s">
        <v>6251</v>
      </c>
    </row>
    <row r="703" customFormat="false" ht="15" hidden="false" customHeight="false" outlineLevel="0" collapsed="false">
      <c r="A703" s="85" t="str">
        <f aca="false">Gov_Map!$H15&amp;""</f>
        <v>SRC_DC_006</v>
      </c>
      <c r="B703" s="66" t="s">
        <v>6250</v>
      </c>
      <c r="C703" s="53" t="n">
        <v>15</v>
      </c>
      <c r="D703" s="53" t="s">
        <v>6251</v>
      </c>
      <c r="E703" s="53" t="s">
        <v>6251</v>
      </c>
    </row>
    <row r="704" customFormat="false" ht="15" hidden="false" customHeight="false" outlineLevel="0" collapsed="false">
      <c r="A704" s="85" t="str">
        <f aca="false">Gov_Map!$H16&amp;""</f>
        <v>SRC_DC_006</v>
      </c>
      <c r="B704" s="66" t="s">
        <v>6250</v>
      </c>
      <c r="C704" s="53" t="n">
        <v>16</v>
      </c>
      <c r="D704" s="53" t="s">
        <v>6251</v>
      </c>
      <c r="E704" s="53" t="s">
        <v>6251</v>
      </c>
    </row>
    <row r="705" customFormat="false" ht="15" hidden="false" customHeight="false" outlineLevel="0" collapsed="false">
      <c r="A705" s="85" t="str">
        <f aca="false">Gov_Map!$H17&amp;""</f>
        <v>SRC_DC_001</v>
      </c>
      <c r="B705" s="66" t="s">
        <v>6250</v>
      </c>
      <c r="C705" s="53" t="n">
        <v>17</v>
      </c>
      <c r="D705" s="53" t="s">
        <v>6251</v>
      </c>
      <c r="E705" s="53" t="s">
        <v>6251</v>
      </c>
    </row>
    <row r="706" customFormat="false" ht="15" hidden="false" customHeight="false" outlineLevel="0" collapsed="false">
      <c r="A706" s="85" t="str">
        <f aca="false">Gov_Map!$H18&amp;""</f>
        <v>SRC_DC_001</v>
      </c>
      <c r="B706" s="66" t="s">
        <v>6250</v>
      </c>
      <c r="C706" s="53" t="n">
        <v>18</v>
      </c>
      <c r="D706" s="53" t="s">
        <v>6251</v>
      </c>
      <c r="E706" s="53" t="s">
        <v>6251</v>
      </c>
    </row>
    <row r="707" customFormat="false" ht="15" hidden="false" customHeight="false" outlineLevel="0" collapsed="false">
      <c r="A707" s="85" t="str">
        <f aca="false">Gov_Map!$H19&amp;""</f>
        <v>SRC_DC_002</v>
      </c>
      <c r="B707" s="66" t="s">
        <v>6250</v>
      </c>
      <c r="C707" s="53" t="n">
        <v>19</v>
      </c>
      <c r="D707" s="53" t="s">
        <v>6251</v>
      </c>
      <c r="E707" s="53" t="s">
        <v>6251</v>
      </c>
    </row>
    <row r="708" customFormat="false" ht="15" hidden="false" customHeight="false" outlineLevel="0" collapsed="false">
      <c r="A708" s="85" t="str">
        <f aca="false">Gov_Map!$H20&amp;""</f>
        <v>—</v>
      </c>
      <c r="B708" s="66" t="s">
        <v>6250</v>
      </c>
      <c r="C708" s="53" t="n">
        <v>20</v>
      </c>
      <c r="D708" s="53" t="s">
        <v>6251</v>
      </c>
      <c r="E708" s="53" t="s">
        <v>6251</v>
      </c>
    </row>
    <row r="709" customFormat="false" ht="15" hidden="false" customHeight="false" outlineLevel="0" collapsed="false">
      <c r="A709" s="85" t="str">
        <f aca="false">Gov_Map!$H21&amp;""</f>
        <v>—</v>
      </c>
      <c r="B709" s="66" t="s">
        <v>6250</v>
      </c>
      <c r="C709" s="53" t="n">
        <v>21</v>
      </c>
      <c r="D709" s="53" t="s">
        <v>6251</v>
      </c>
      <c r="E709" s="53" t="s">
        <v>6251</v>
      </c>
    </row>
    <row r="710" customFormat="false" ht="15" hidden="false" customHeight="false" outlineLevel="0" collapsed="false">
      <c r="A710" s="85" t="str">
        <f aca="false">Gov_Map!$H22&amp;""</f>
        <v>—</v>
      </c>
      <c r="B710" s="66" t="s">
        <v>6250</v>
      </c>
      <c r="C710" s="53" t="n">
        <v>22</v>
      </c>
      <c r="D710" s="53" t="s">
        <v>6251</v>
      </c>
      <c r="E710" s="53" t="s">
        <v>6251</v>
      </c>
    </row>
    <row r="711" customFormat="false" ht="15" hidden="false" customHeight="false" outlineLevel="0" collapsed="false">
      <c r="A711" s="85" t="str">
        <f aca="false">Gov_Map!$H23&amp;""</f>
        <v>—</v>
      </c>
      <c r="B711" s="66" t="s">
        <v>6250</v>
      </c>
      <c r="C711" s="53" t="n">
        <v>23</v>
      </c>
      <c r="D711" s="53" t="s">
        <v>6251</v>
      </c>
      <c r="E711" s="53" t="s">
        <v>6251</v>
      </c>
    </row>
    <row r="712" customFormat="false" ht="15" hidden="false" customHeight="false" outlineLevel="0" collapsed="false">
      <c r="A712" s="85" t="str">
        <f aca="false">Gov_Map!$H24&amp;""</f>
        <v>—</v>
      </c>
      <c r="B712" s="66" t="s">
        <v>6250</v>
      </c>
      <c r="C712" s="53" t="n">
        <v>24</v>
      </c>
      <c r="D712" s="53" t="s">
        <v>6251</v>
      </c>
      <c r="E712" s="53" t="s">
        <v>6251</v>
      </c>
    </row>
    <row r="713" customFormat="false" ht="15" hidden="false" customHeight="false" outlineLevel="0" collapsed="false">
      <c r="A713" s="85" t="str">
        <f aca="false">Gov_Map!$H25&amp;""</f>
        <v>—</v>
      </c>
      <c r="B713" s="66" t="s">
        <v>6250</v>
      </c>
      <c r="C713" s="53" t="n">
        <v>25</v>
      </c>
      <c r="D713" s="53" t="s">
        <v>6251</v>
      </c>
      <c r="E713" s="53" t="s">
        <v>6251</v>
      </c>
    </row>
    <row r="714" customFormat="false" ht="15" hidden="false" customHeight="false" outlineLevel="0" collapsed="false">
      <c r="A714" s="85" t="str">
        <f aca="false">Gov_Map!$H26&amp;""</f>
        <v>—</v>
      </c>
      <c r="B714" s="66" t="s">
        <v>6250</v>
      </c>
      <c r="C714" s="53" t="n">
        <v>26</v>
      </c>
      <c r="D714" s="53" t="s">
        <v>6251</v>
      </c>
      <c r="E714" s="53" t="s">
        <v>6251</v>
      </c>
    </row>
    <row r="715" customFormat="false" ht="15" hidden="false" customHeight="false" outlineLevel="0" collapsed="false">
      <c r="A715" s="85" t="str">
        <f aca="false">Gov_Map!$H27&amp;""</f>
        <v>—</v>
      </c>
      <c r="B715" s="66" t="s">
        <v>6250</v>
      </c>
      <c r="C715" s="53" t="n">
        <v>27</v>
      </c>
      <c r="D715" s="53" t="s">
        <v>6251</v>
      </c>
      <c r="E715" s="53" t="s">
        <v>6251</v>
      </c>
    </row>
    <row r="716" customFormat="false" ht="15" hidden="false" customHeight="false" outlineLevel="0" collapsed="false">
      <c r="A716" s="85" t="str">
        <f aca="false">Gov_Map!$H28&amp;""</f>
        <v>—</v>
      </c>
      <c r="B716" s="66" t="s">
        <v>6250</v>
      </c>
      <c r="C716" s="53" t="n">
        <v>28</v>
      </c>
      <c r="D716" s="53" t="s">
        <v>6251</v>
      </c>
      <c r="E716" s="53" t="s">
        <v>6251</v>
      </c>
    </row>
    <row r="717" customFormat="false" ht="15" hidden="false" customHeight="false" outlineLevel="0" collapsed="false">
      <c r="A717" s="85" t="str">
        <f aca="false">Gov_Map!$H29&amp;""</f>
        <v>—</v>
      </c>
      <c r="B717" s="66" t="s">
        <v>6250</v>
      </c>
      <c r="C717" s="53" t="n">
        <v>29</v>
      </c>
      <c r="D717" s="53" t="s">
        <v>6251</v>
      </c>
      <c r="E717" s="53" t="s">
        <v>6251</v>
      </c>
    </row>
    <row r="718" customFormat="false" ht="15" hidden="false" customHeight="false" outlineLevel="0" collapsed="false">
      <c r="A718" s="85" t="str">
        <f aca="false">Gov_Map!$H30&amp;""</f>
        <v>—</v>
      </c>
      <c r="B718" s="66" t="s">
        <v>6250</v>
      </c>
      <c r="C718" s="53" t="n">
        <v>30</v>
      </c>
      <c r="D718" s="53" t="s">
        <v>6251</v>
      </c>
      <c r="E718" s="53" t="s">
        <v>6251</v>
      </c>
    </row>
    <row r="719" customFormat="false" ht="15" hidden="false" customHeight="false" outlineLevel="0" collapsed="false">
      <c r="A719" s="85" t="str">
        <f aca="false">Gov_Map!$H31&amp;""</f>
        <v>—</v>
      </c>
      <c r="B719" s="66" t="s">
        <v>6250</v>
      </c>
      <c r="C719" s="53" t="n">
        <v>31</v>
      </c>
      <c r="D719" s="53" t="s">
        <v>6251</v>
      </c>
      <c r="E719" s="53" t="s">
        <v>6251</v>
      </c>
    </row>
    <row r="720" customFormat="false" ht="15" hidden="false" customHeight="false" outlineLevel="0" collapsed="false">
      <c r="A720" s="85" t="str">
        <f aca="false">Gov_Map!$H32&amp;""</f>
        <v>—</v>
      </c>
      <c r="B720" s="66" t="s">
        <v>6250</v>
      </c>
      <c r="C720" s="53" t="n">
        <v>32</v>
      </c>
      <c r="D720" s="53" t="s">
        <v>6251</v>
      </c>
      <c r="E720" s="53" t="s">
        <v>6251</v>
      </c>
    </row>
    <row r="721" customFormat="false" ht="15" hidden="false" customHeight="false" outlineLevel="0" collapsed="false">
      <c r="A721" s="85" t="str">
        <f aca="false">Gov_Map!$H33&amp;""</f>
        <v>—</v>
      </c>
      <c r="B721" s="66" t="s">
        <v>6250</v>
      </c>
      <c r="C721" s="53" t="n">
        <v>33</v>
      </c>
      <c r="D721" s="53" t="s">
        <v>6251</v>
      </c>
      <c r="E721" s="53" t="s">
        <v>6251</v>
      </c>
    </row>
    <row r="722" customFormat="false" ht="15" hidden="false" customHeight="false" outlineLevel="0" collapsed="false">
      <c r="A722" s="85" t="str">
        <f aca="false">Gov_Map!$H34&amp;""</f>
        <v>—</v>
      </c>
      <c r="B722" s="66" t="s">
        <v>6250</v>
      </c>
      <c r="C722" s="53" t="n">
        <v>34</v>
      </c>
      <c r="D722" s="53" t="s">
        <v>6251</v>
      </c>
      <c r="E722" s="53" t="s">
        <v>6251</v>
      </c>
    </row>
    <row r="723" customFormat="false" ht="15" hidden="false" customHeight="false" outlineLevel="0" collapsed="false">
      <c r="A723" s="85" t="str">
        <f aca="false">Gov_Map!$H35&amp;""</f>
        <v>—</v>
      </c>
      <c r="B723" s="66" t="s">
        <v>6250</v>
      </c>
      <c r="C723" s="53" t="n">
        <v>35</v>
      </c>
      <c r="D723" s="53" t="s">
        <v>6251</v>
      </c>
      <c r="E723" s="53" t="s">
        <v>6251</v>
      </c>
    </row>
    <row r="724" customFormat="false" ht="15" hidden="false" customHeight="false" outlineLevel="0" collapsed="false">
      <c r="A724" s="85" t="str">
        <f aca="false">Gov_Map!$H36&amp;""</f>
        <v>—</v>
      </c>
      <c r="B724" s="66" t="s">
        <v>6250</v>
      </c>
      <c r="C724" s="53" t="n">
        <v>36</v>
      </c>
      <c r="D724" s="53" t="s">
        <v>6251</v>
      </c>
      <c r="E724" s="53" t="s">
        <v>6251</v>
      </c>
    </row>
    <row r="725" customFormat="false" ht="15" hidden="false" customHeight="false" outlineLevel="0" collapsed="false">
      <c r="A725" s="85" t="str">
        <f aca="false">Gov_Map!$H37&amp;""</f>
        <v>—</v>
      </c>
      <c r="B725" s="66" t="s">
        <v>6250</v>
      </c>
      <c r="C725" s="53" t="n">
        <v>37</v>
      </c>
      <c r="D725" s="53" t="s">
        <v>6251</v>
      </c>
      <c r="E725" s="53" t="s">
        <v>6251</v>
      </c>
    </row>
    <row r="726" customFormat="false" ht="15" hidden="false" customHeight="false" outlineLevel="0" collapsed="false">
      <c r="A726" s="85" t="str">
        <f aca="false">Gov_Map!$H38&amp;""</f>
        <v>—</v>
      </c>
      <c r="B726" s="66" t="s">
        <v>6250</v>
      </c>
      <c r="C726" s="53" t="n">
        <v>38</v>
      </c>
      <c r="D726" s="53" t="s">
        <v>6251</v>
      </c>
      <c r="E726" s="53" t="s">
        <v>6251</v>
      </c>
    </row>
    <row r="727" customFormat="false" ht="15" hidden="false" customHeight="false" outlineLevel="0" collapsed="false">
      <c r="A727" s="85" t="str">
        <f aca="false">Gov_Map!$H39&amp;""</f>
        <v>—</v>
      </c>
      <c r="B727" s="66" t="s">
        <v>6250</v>
      </c>
      <c r="C727" s="53" t="n">
        <v>39</v>
      </c>
      <c r="D727" s="53" t="s">
        <v>6251</v>
      </c>
      <c r="E727" s="53" t="s">
        <v>6251</v>
      </c>
    </row>
    <row r="728" customFormat="false" ht="15" hidden="false" customHeight="false" outlineLevel="0" collapsed="false">
      <c r="A728" s="85" t="str">
        <f aca="false">Gov_Map!$H40&amp;""</f>
        <v>—</v>
      </c>
      <c r="B728" s="66" t="s">
        <v>6250</v>
      </c>
      <c r="C728" s="53" t="n">
        <v>40</v>
      </c>
      <c r="D728" s="53" t="s">
        <v>6251</v>
      </c>
      <c r="E728" s="53" t="s">
        <v>6251</v>
      </c>
    </row>
    <row r="729" customFormat="false" ht="15" hidden="false" customHeight="false" outlineLevel="0" collapsed="false">
      <c r="A729" s="85" t="str">
        <f aca="false">Gov_Map!$H41&amp;""</f>
        <v>—</v>
      </c>
      <c r="B729" s="66" t="s">
        <v>6250</v>
      </c>
      <c r="C729" s="53" t="n">
        <v>41</v>
      </c>
      <c r="D729" s="53" t="s">
        <v>6251</v>
      </c>
      <c r="E729" s="53" t="s">
        <v>6251</v>
      </c>
    </row>
    <row r="730" customFormat="false" ht="15" hidden="false" customHeight="false" outlineLevel="0" collapsed="false">
      <c r="A730" s="85" t="str">
        <f aca="false">Gov_Map!$H42&amp;""</f>
        <v>—</v>
      </c>
      <c r="B730" s="66" t="s">
        <v>6250</v>
      </c>
      <c r="C730" s="53" t="n">
        <v>42</v>
      </c>
      <c r="D730" s="53" t="s">
        <v>6251</v>
      </c>
      <c r="E730" s="53" t="s">
        <v>6251</v>
      </c>
    </row>
    <row r="731" customFormat="false" ht="15" hidden="false" customHeight="false" outlineLevel="0" collapsed="false">
      <c r="A731" s="85" t="str">
        <f aca="false">Gov_Map!$H43&amp;""</f>
        <v>—</v>
      </c>
      <c r="B731" s="66" t="s">
        <v>6250</v>
      </c>
      <c r="C731" s="53" t="n">
        <v>43</v>
      </c>
      <c r="D731" s="53" t="s">
        <v>6251</v>
      </c>
      <c r="E731" s="53" t="s">
        <v>6251</v>
      </c>
    </row>
    <row r="732" customFormat="false" ht="15" hidden="false" customHeight="false" outlineLevel="0" collapsed="false">
      <c r="A732" s="85" t="str">
        <f aca="false">Gov_Map!$H44&amp;""</f>
        <v>—</v>
      </c>
      <c r="B732" s="66" t="s">
        <v>6250</v>
      </c>
      <c r="C732" s="53" t="n">
        <v>44</v>
      </c>
      <c r="D732" s="53" t="s">
        <v>6251</v>
      </c>
      <c r="E732" s="53" t="s">
        <v>6251</v>
      </c>
    </row>
    <row r="733" customFormat="false" ht="15" hidden="false" customHeight="false" outlineLevel="0" collapsed="false">
      <c r="A733" s="85" t="str">
        <f aca="false">Gov_Map!$H45&amp;""</f>
        <v>—</v>
      </c>
      <c r="B733" s="66" t="s">
        <v>6250</v>
      </c>
      <c r="C733" s="53" t="n">
        <v>45</v>
      </c>
      <c r="D733" s="53" t="s">
        <v>6251</v>
      </c>
      <c r="E733" s="53" t="s">
        <v>6251</v>
      </c>
    </row>
    <row r="734" customFormat="false" ht="15" hidden="false" customHeight="false" outlineLevel="0" collapsed="false">
      <c r="A734" s="85" t="str">
        <f aca="false">Gov_Map!$H46&amp;""</f>
        <v>—</v>
      </c>
      <c r="B734" s="66" t="s">
        <v>6250</v>
      </c>
      <c r="C734" s="53" t="n">
        <v>46</v>
      </c>
      <c r="D734" s="53" t="s">
        <v>6251</v>
      </c>
      <c r="E734" s="53" t="s">
        <v>6251</v>
      </c>
    </row>
    <row r="735" customFormat="false" ht="15" hidden="false" customHeight="false" outlineLevel="0" collapsed="false">
      <c r="A735" s="85" t="str">
        <f aca="false">Gov_Map!$H47&amp;""</f>
        <v>—</v>
      </c>
      <c r="B735" s="66" t="s">
        <v>6250</v>
      </c>
      <c r="C735" s="53" t="n">
        <v>47</v>
      </c>
      <c r="D735" s="53" t="s">
        <v>6251</v>
      </c>
      <c r="E735" s="53" t="s">
        <v>6251</v>
      </c>
    </row>
    <row r="736" customFormat="false" ht="15" hidden="false" customHeight="false" outlineLevel="0" collapsed="false">
      <c r="A736" s="85" t="str">
        <f aca="false">Gov_Map!$H48&amp;""</f>
        <v>—</v>
      </c>
      <c r="B736" s="66" t="s">
        <v>6250</v>
      </c>
      <c r="C736" s="53" t="n">
        <v>48</v>
      </c>
      <c r="D736" s="53" t="s">
        <v>6251</v>
      </c>
      <c r="E736" s="53" t="s">
        <v>6251</v>
      </c>
    </row>
    <row r="737" customFormat="false" ht="15" hidden="false" customHeight="false" outlineLevel="0" collapsed="false">
      <c r="A737" s="85" t="str">
        <f aca="false">Gov_Map!$H49&amp;""</f>
        <v>—</v>
      </c>
      <c r="B737" s="66" t="s">
        <v>6250</v>
      </c>
      <c r="C737" s="53" t="n">
        <v>49</v>
      </c>
      <c r="D737" s="53" t="s">
        <v>6251</v>
      </c>
      <c r="E737" s="53" t="s">
        <v>6251</v>
      </c>
    </row>
    <row r="738" customFormat="false" ht="15" hidden="false" customHeight="false" outlineLevel="0" collapsed="false">
      <c r="A738" s="85" t="str">
        <f aca="false">Gov_Map!$H50&amp;""</f>
        <v>—</v>
      </c>
      <c r="B738" s="66" t="s">
        <v>6250</v>
      </c>
      <c r="C738" s="53" t="n">
        <v>50</v>
      </c>
      <c r="D738" s="53" t="s">
        <v>6251</v>
      </c>
      <c r="E738" s="53" t="s">
        <v>6251</v>
      </c>
    </row>
    <row r="739" customFormat="false" ht="15" hidden="false" customHeight="false" outlineLevel="0" collapsed="false">
      <c r="A739" s="85" t="str">
        <f aca="false">Gov_Map!$H51&amp;""</f>
        <v>—</v>
      </c>
      <c r="B739" s="66" t="s">
        <v>6250</v>
      </c>
      <c r="C739" s="53" t="n">
        <v>51</v>
      </c>
      <c r="D739" s="53" t="s">
        <v>6251</v>
      </c>
      <c r="E739" s="53" t="s">
        <v>6251</v>
      </c>
    </row>
    <row r="740" customFormat="false" ht="15" hidden="false" customHeight="false" outlineLevel="0" collapsed="false">
      <c r="A740" s="85" t="str">
        <f aca="false">Gov_Map!$H52&amp;""</f>
        <v>—</v>
      </c>
      <c r="B740" s="66" t="s">
        <v>6250</v>
      </c>
      <c r="C740" s="53" t="n">
        <v>52</v>
      </c>
      <c r="D740" s="53" t="s">
        <v>6251</v>
      </c>
      <c r="E740" s="53" t="s">
        <v>6251</v>
      </c>
    </row>
    <row r="741" customFormat="false" ht="15" hidden="false" customHeight="false" outlineLevel="0" collapsed="false">
      <c r="A741" s="85" t="str">
        <f aca="false">Gov_Map!$H53&amp;""</f>
        <v>—</v>
      </c>
      <c r="B741" s="66" t="s">
        <v>6250</v>
      </c>
      <c r="C741" s="53" t="n">
        <v>53</v>
      </c>
      <c r="D741" s="53" t="s">
        <v>6251</v>
      </c>
      <c r="E741" s="53" t="s">
        <v>6251</v>
      </c>
    </row>
    <row r="742" customFormat="false" ht="15" hidden="false" customHeight="false" outlineLevel="0" collapsed="false">
      <c r="A742" s="85" t="str">
        <f aca="false">Gov_Map!$H54&amp;""</f>
        <v>—</v>
      </c>
      <c r="B742" s="66" t="s">
        <v>6250</v>
      </c>
      <c r="C742" s="53" t="n">
        <v>54</v>
      </c>
      <c r="D742" s="53" t="s">
        <v>6251</v>
      </c>
      <c r="E742" s="53" t="s">
        <v>6251</v>
      </c>
    </row>
    <row r="743" customFormat="false" ht="15" hidden="false" customHeight="false" outlineLevel="0" collapsed="false">
      <c r="A743" s="85" t="str">
        <f aca="false">Gov_Map!$H55&amp;""</f>
        <v>—</v>
      </c>
      <c r="B743" s="66" t="s">
        <v>6250</v>
      </c>
      <c r="C743" s="53" t="n">
        <v>55</v>
      </c>
      <c r="D743" s="53" t="s">
        <v>6251</v>
      </c>
      <c r="E743" s="53" t="s">
        <v>6251</v>
      </c>
    </row>
    <row r="744" customFormat="false" ht="15" hidden="false" customHeight="false" outlineLevel="0" collapsed="false">
      <c r="A744" s="85" t="str">
        <f aca="false">Gov_Map!$H56&amp;""</f>
        <v>—</v>
      </c>
      <c r="B744" s="66" t="s">
        <v>6250</v>
      </c>
      <c r="C744" s="53" t="n">
        <v>56</v>
      </c>
      <c r="D744" s="53" t="s">
        <v>6251</v>
      </c>
      <c r="E744" s="53" t="s">
        <v>6251</v>
      </c>
    </row>
    <row r="745" customFormat="false" ht="15" hidden="false" customHeight="false" outlineLevel="0" collapsed="false">
      <c r="A745" s="85" t="str">
        <f aca="false">Gov_Map!$H57&amp;""</f>
        <v>—</v>
      </c>
      <c r="B745" s="66" t="s">
        <v>6250</v>
      </c>
      <c r="C745" s="53" t="n">
        <v>57</v>
      </c>
      <c r="D745" s="53" t="s">
        <v>6251</v>
      </c>
      <c r="E745" s="53" t="s">
        <v>6251</v>
      </c>
    </row>
    <row r="746" customFormat="false" ht="15" hidden="false" customHeight="false" outlineLevel="0" collapsed="false">
      <c r="A746" s="85" t="str">
        <f aca="false">Gov_Map!$H58&amp;""</f>
        <v>—</v>
      </c>
      <c r="B746" s="66" t="s">
        <v>6250</v>
      </c>
      <c r="C746" s="53" t="n">
        <v>58</v>
      </c>
      <c r="D746" s="53" t="s">
        <v>6251</v>
      </c>
      <c r="E746" s="53" t="s">
        <v>6251</v>
      </c>
    </row>
    <row r="747" customFormat="false" ht="15" hidden="false" customHeight="false" outlineLevel="0" collapsed="false">
      <c r="A747" s="85" t="str">
        <f aca="false">Gov_Map!$H59&amp;""</f>
        <v>—</v>
      </c>
      <c r="B747" s="66" t="s">
        <v>6250</v>
      </c>
      <c r="C747" s="53" t="n">
        <v>59</v>
      </c>
      <c r="D747" s="53" t="s">
        <v>6251</v>
      </c>
      <c r="E747" s="53" t="s">
        <v>6251</v>
      </c>
    </row>
    <row r="748" customFormat="false" ht="15" hidden="false" customHeight="false" outlineLevel="0" collapsed="false">
      <c r="A748" s="85" t="str">
        <f aca="false">Gov_Map!$H60&amp;""</f>
        <v>—</v>
      </c>
      <c r="B748" s="66" t="s">
        <v>6250</v>
      </c>
      <c r="C748" s="53" t="n">
        <v>60</v>
      </c>
      <c r="D748" s="53" t="s">
        <v>6251</v>
      </c>
      <c r="E748" s="53" t="s">
        <v>6251</v>
      </c>
    </row>
    <row r="749" customFormat="false" ht="15" hidden="false" customHeight="false" outlineLevel="0" collapsed="false">
      <c r="A749" s="85" t="str">
        <f aca="false">Gov_Map!$H61&amp;""</f>
        <v>—</v>
      </c>
      <c r="B749" s="66" t="s">
        <v>6250</v>
      </c>
      <c r="C749" s="53" t="n">
        <v>61</v>
      </c>
      <c r="D749" s="53" t="s">
        <v>6251</v>
      </c>
      <c r="E749" s="53" t="s">
        <v>6251</v>
      </c>
    </row>
    <row r="750" customFormat="false" ht="15" hidden="false" customHeight="false" outlineLevel="0" collapsed="false">
      <c r="A750" s="85" t="str">
        <f aca="false">Gov_Map!$H62&amp;""</f>
        <v>SRC_DC_007</v>
      </c>
      <c r="B750" s="66" t="s">
        <v>6250</v>
      </c>
      <c r="C750" s="53" t="n">
        <v>62</v>
      </c>
      <c r="D750" s="53" t="s">
        <v>6251</v>
      </c>
      <c r="E750" s="53" t="s">
        <v>6251</v>
      </c>
    </row>
    <row r="751" customFormat="false" ht="15" hidden="false" customHeight="false" outlineLevel="0" collapsed="false">
      <c r="A751" s="85" t="str">
        <f aca="false">Gov_Map!$H63&amp;""</f>
        <v>SRC_DC_007</v>
      </c>
      <c r="B751" s="66" t="s">
        <v>6250</v>
      </c>
      <c r="C751" s="53" t="n">
        <v>63</v>
      </c>
      <c r="D751" s="53" t="s">
        <v>6251</v>
      </c>
      <c r="E751" s="53" t="s">
        <v>6251</v>
      </c>
    </row>
    <row r="752" customFormat="false" ht="15" hidden="false" customHeight="false" outlineLevel="0" collapsed="false">
      <c r="A752" s="85" t="str">
        <f aca="false">Gov_Map!$H64&amp;""</f>
        <v>SRC_DC_008</v>
      </c>
      <c r="B752" s="66" t="s">
        <v>6250</v>
      </c>
      <c r="C752" s="53" t="n">
        <v>64</v>
      </c>
      <c r="D752" s="53" t="s">
        <v>6251</v>
      </c>
      <c r="E752" s="53" t="s">
        <v>6251</v>
      </c>
    </row>
    <row r="753" customFormat="false" ht="15" hidden="false" customHeight="false" outlineLevel="0" collapsed="false">
      <c r="A753" s="85" t="str">
        <f aca="false">Gov_Map!$H65&amp;""</f>
        <v>—</v>
      </c>
      <c r="B753" s="66" t="s">
        <v>6250</v>
      </c>
      <c r="C753" s="53" t="n">
        <v>65</v>
      </c>
      <c r="D753" s="53" t="s">
        <v>6251</v>
      </c>
      <c r="E753" s="53" t="s">
        <v>6251</v>
      </c>
    </row>
    <row r="754" customFormat="false" ht="15" hidden="false" customHeight="false" outlineLevel="0" collapsed="false">
      <c r="A754" s="85" t="str">
        <f aca="false">Gov_Map!$H66&amp;""</f>
        <v>—</v>
      </c>
      <c r="B754" s="66" t="s">
        <v>6250</v>
      </c>
      <c r="C754" s="53" t="n">
        <v>66</v>
      </c>
      <c r="D754" s="53" t="s">
        <v>6251</v>
      </c>
      <c r="E754" s="53" t="s">
        <v>6251</v>
      </c>
    </row>
    <row r="755" customFormat="false" ht="15" hidden="false" customHeight="false" outlineLevel="0" collapsed="false">
      <c r="A755" s="85" t="str">
        <f aca="false">Gov_Map!$H67&amp;""</f>
        <v>—</v>
      </c>
      <c r="B755" s="66" t="s">
        <v>6250</v>
      </c>
      <c r="C755" s="53" t="n">
        <v>67</v>
      </c>
      <c r="D755" s="53" t="s">
        <v>6251</v>
      </c>
      <c r="E755" s="53" t="s">
        <v>6251</v>
      </c>
    </row>
    <row r="756" customFormat="false" ht="15" hidden="false" customHeight="false" outlineLevel="0" collapsed="false">
      <c r="A756" s="85" t="str">
        <f aca="false">Gov_Map!$H68&amp;""</f>
        <v>—</v>
      </c>
      <c r="B756" s="66" t="s">
        <v>6250</v>
      </c>
      <c r="C756" s="53" t="n">
        <v>68</v>
      </c>
      <c r="D756" s="53" t="s">
        <v>6251</v>
      </c>
      <c r="E756" s="53" t="s">
        <v>6251</v>
      </c>
    </row>
    <row r="757" customFormat="false" ht="15" hidden="false" customHeight="false" outlineLevel="0" collapsed="false">
      <c r="A757" s="85" t="str">
        <f aca="false">Gov_Map!$H69&amp;""</f>
        <v>—</v>
      </c>
      <c r="B757" s="66" t="s">
        <v>6250</v>
      </c>
      <c r="C757" s="53" t="n">
        <v>69</v>
      </c>
      <c r="D757" s="53" t="s">
        <v>6251</v>
      </c>
      <c r="E757" s="53" t="s">
        <v>6251</v>
      </c>
    </row>
    <row r="758" customFormat="false" ht="15" hidden="false" customHeight="false" outlineLevel="0" collapsed="false">
      <c r="A758" s="85" t="str">
        <f aca="false">Gov_Map!$H70&amp;""</f>
        <v>SRC_HW_047</v>
      </c>
      <c r="B758" s="66" t="s">
        <v>6250</v>
      </c>
      <c r="C758" s="53" t="n">
        <v>70</v>
      </c>
      <c r="D758" s="53" t="s">
        <v>6251</v>
      </c>
      <c r="E758" s="53" t="s">
        <v>6251</v>
      </c>
    </row>
    <row r="759" customFormat="false" ht="15" hidden="false" customHeight="false" outlineLevel="0" collapsed="false">
      <c r="A759" s="85" t="str">
        <f aca="false">Gov_Map!$H71&amp;""</f>
        <v>SRC_HW_047</v>
      </c>
      <c r="B759" s="66" t="s">
        <v>6250</v>
      </c>
      <c r="C759" s="53" t="n">
        <v>71</v>
      </c>
      <c r="D759" s="53" t="s">
        <v>6251</v>
      </c>
      <c r="E759" s="53" t="s">
        <v>6251</v>
      </c>
    </row>
    <row r="760" customFormat="false" ht="15" hidden="false" customHeight="false" outlineLevel="0" collapsed="false">
      <c r="A760" s="85" t="str">
        <f aca="false">Gov_Map!$H72&amp;""</f>
        <v>SRC_HW_047</v>
      </c>
      <c r="B760" s="66" t="s">
        <v>6250</v>
      </c>
      <c r="C760" s="53" t="n">
        <v>72</v>
      </c>
      <c r="D760" s="53" t="s">
        <v>6251</v>
      </c>
      <c r="E760" s="53" t="s">
        <v>6251</v>
      </c>
    </row>
    <row r="761" customFormat="false" ht="15" hidden="false" customHeight="false" outlineLevel="0" collapsed="false">
      <c r="A761" s="85" t="str">
        <f aca="false">Gov_Map!$H73&amp;""</f>
        <v>SRC_HW_061</v>
      </c>
      <c r="B761" s="66" t="s">
        <v>6250</v>
      </c>
      <c r="C761" s="53" t="n">
        <v>73</v>
      </c>
      <c r="D761" s="53" t="s">
        <v>6251</v>
      </c>
      <c r="E761" s="53" t="s">
        <v>6251</v>
      </c>
    </row>
    <row r="762" customFormat="false" ht="15" hidden="false" customHeight="false" outlineLevel="0" collapsed="false">
      <c r="A762" s="85" t="str">
        <f aca="false">Gov_Map!$H74&amp;""</f>
        <v>—</v>
      </c>
      <c r="B762" s="66" t="s">
        <v>6250</v>
      </c>
      <c r="C762" s="53" t="n">
        <v>74</v>
      </c>
      <c r="D762" s="53" t="s">
        <v>6251</v>
      </c>
      <c r="E762" s="53" t="s">
        <v>6251</v>
      </c>
    </row>
    <row r="763" customFormat="false" ht="15" hidden="false" customHeight="false" outlineLevel="0" collapsed="false">
      <c r="A763" s="85" t="str">
        <f aca="false">Gov_Map!$H75&amp;""</f>
        <v>SRC_HW_004</v>
      </c>
      <c r="B763" s="66" t="s">
        <v>6250</v>
      </c>
      <c r="C763" s="53" t="n">
        <v>75</v>
      </c>
      <c r="D763" s="53" t="s">
        <v>6251</v>
      </c>
      <c r="E763" s="53" t="s">
        <v>6251</v>
      </c>
    </row>
    <row r="764" customFormat="false" ht="15" hidden="false" customHeight="false" outlineLevel="0" collapsed="false">
      <c r="A764" s="85" t="str">
        <f aca="false">Gov_Map!$H76&amp;""</f>
        <v>SRC_HW_005</v>
      </c>
      <c r="B764" s="66" t="s">
        <v>6250</v>
      </c>
      <c r="C764" s="53" t="n">
        <v>76</v>
      </c>
      <c r="D764" s="53" t="s">
        <v>6251</v>
      </c>
      <c r="E764" s="53" t="s">
        <v>6251</v>
      </c>
    </row>
    <row r="765" customFormat="false" ht="15" hidden="false" customHeight="false" outlineLevel="0" collapsed="false">
      <c r="A765" s="85" t="str">
        <f aca="false">Gov_Map!$H77&amp;""</f>
        <v>SRC_HW_011</v>
      </c>
      <c r="B765" s="66" t="s">
        <v>6250</v>
      </c>
      <c r="C765" s="53" t="n">
        <v>77</v>
      </c>
      <c r="D765" s="53" t="s">
        <v>6251</v>
      </c>
      <c r="E765" s="53" t="s">
        <v>6251</v>
      </c>
    </row>
    <row r="766" customFormat="false" ht="15" hidden="false" customHeight="false" outlineLevel="0" collapsed="false">
      <c r="A766" s="85" t="str">
        <f aca="false">Gov_Map!$H78&amp;""</f>
        <v>—</v>
      </c>
      <c r="B766" s="66" t="s">
        <v>6250</v>
      </c>
      <c r="C766" s="53" t="n">
        <v>78</v>
      </c>
      <c r="D766" s="53" t="s">
        <v>6251</v>
      </c>
      <c r="E766" s="53" t="s">
        <v>6251</v>
      </c>
    </row>
    <row r="767" customFormat="false" ht="15" hidden="false" customHeight="false" outlineLevel="0" collapsed="false">
      <c r="A767" s="85" t="str">
        <f aca="false">Gov_Map!$H79&amp;""</f>
        <v>SRC_HW_001</v>
      </c>
      <c r="B767" s="66" t="s">
        <v>6250</v>
      </c>
      <c r="C767" s="53" t="n">
        <v>79</v>
      </c>
      <c r="D767" s="53" t="s">
        <v>6251</v>
      </c>
      <c r="E767" s="53" t="s">
        <v>6251</v>
      </c>
    </row>
    <row r="768" customFormat="false" ht="15" hidden="false" customHeight="false" outlineLevel="0" collapsed="false">
      <c r="A768" s="85" t="str">
        <f aca="false">Gov_Map!$H80&amp;""</f>
        <v>SRC_HW_004</v>
      </c>
      <c r="B768" s="66" t="s">
        <v>6250</v>
      </c>
      <c r="C768" s="53" t="n">
        <v>80</v>
      </c>
      <c r="D768" s="53" t="s">
        <v>6251</v>
      </c>
      <c r="E768" s="53" t="s">
        <v>6251</v>
      </c>
    </row>
    <row r="769" customFormat="false" ht="15" hidden="false" customHeight="false" outlineLevel="0" collapsed="false">
      <c r="A769" s="85" t="str">
        <f aca="false">Gov_Map!$H81&amp;""</f>
        <v>SRC_HW_005</v>
      </c>
      <c r="B769" s="66" t="s">
        <v>6250</v>
      </c>
      <c r="C769" s="53" t="n">
        <v>81</v>
      </c>
      <c r="D769" s="53" t="s">
        <v>6251</v>
      </c>
      <c r="E769" s="53" t="s">
        <v>6251</v>
      </c>
    </row>
    <row r="770" customFormat="false" ht="15" hidden="false" customHeight="false" outlineLevel="0" collapsed="false">
      <c r="A770" s="85" t="str">
        <f aca="false">Gov_Map!$H82&amp;""</f>
        <v>SRC_HW_014</v>
      </c>
      <c r="B770" s="66" t="s">
        <v>6250</v>
      </c>
      <c r="C770" s="53" t="n">
        <v>82</v>
      </c>
      <c r="D770" s="53" t="s">
        <v>6251</v>
      </c>
      <c r="E770" s="53" t="s">
        <v>6251</v>
      </c>
    </row>
    <row r="771" customFormat="false" ht="15" hidden="false" customHeight="false" outlineLevel="0" collapsed="false">
      <c r="A771" s="85" t="str">
        <f aca="false">Gov_Map!$H83&amp;""</f>
        <v>—</v>
      </c>
      <c r="B771" s="66" t="s">
        <v>6250</v>
      </c>
      <c r="C771" s="53" t="n">
        <v>83</v>
      </c>
      <c r="D771" s="53" t="s">
        <v>6251</v>
      </c>
      <c r="E771" s="53" t="s">
        <v>6251</v>
      </c>
    </row>
    <row r="772" customFormat="false" ht="15" hidden="false" customHeight="false" outlineLevel="0" collapsed="false">
      <c r="A772" s="85" t="str">
        <f aca="false">Gov_Map!$H84&amp;""</f>
        <v>—</v>
      </c>
      <c r="B772" s="66" t="s">
        <v>6250</v>
      </c>
      <c r="C772" s="53" t="n">
        <v>84</v>
      </c>
      <c r="D772" s="53" t="s">
        <v>6251</v>
      </c>
      <c r="E772" s="53" t="s">
        <v>6251</v>
      </c>
    </row>
    <row r="773" customFormat="false" ht="15" hidden="false" customHeight="false" outlineLevel="0" collapsed="false">
      <c r="A773" s="85" t="str">
        <f aca="false">Gov_Map!$H85&amp;""</f>
        <v>—</v>
      </c>
      <c r="B773" s="66" t="s">
        <v>6250</v>
      </c>
      <c r="C773" s="53" t="n">
        <v>85</v>
      </c>
      <c r="D773" s="53" t="s">
        <v>6251</v>
      </c>
      <c r="E773" s="53" t="s">
        <v>6251</v>
      </c>
    </row>
    <row r="774" customFormat="false" ht="15" hidden="false" customHeight="false" outlineLevel="0" collapsed="false">
      <c r="A774" s="85" t="str">
        <f aca="false">Gov_Map!$H86&amp;""</f>
        <v>SRC_HW_005</v>
      </c>
      <c r="B774" s="66" t="s">
        <v>6250</v>
      </c>
      <c r="C774" s="53" t="n">
        <v>86</v>
      </c>
      <c r="D774" s="53" t="s">
        <v>6251</v>
      </c>
      <c r="E774" s="53" t="s">
        <v>6251</v>
      </c>
    </row>
    <row r="775" customFormat="false" ht="15" hidden="false" customHeight="false" outlineLevel="0" collapsed="false">
      <c r="A775" s="85" t="str">
        <f aca="false">Gov_Map!$H87&amp;""</f>
        <v>SRC_HW_012</v>
      </c>
      <c r="B775" s="66" t="s">
        <v>6250</v>
      </c>
      <c r="C775" s="53" t="n">
        <v>87</v>
      </c>
      <c r="D775" s="53" t="s">
        <v>6251</v>
      </c>
      <c r="E775" s="53" t="s">
        <v>6251</v>
      </c>
    </row>
    <row r="776" customFormat="false" ht="15" hidden="false" customHeight="false" outlineLevel="0" collapsed="false">
      <c r="A776" s="85" t="str">
        <f aca="false">Gov_Map!$H88&amp;""</f>
        <v>—</v>
      </c>
      <c r="B776" s="66" t="s">
        <v>6250</v>
      </c>
      <c r="C776" s="53" t="n">
        <v>88</v>
      </c>
      <c r="D776" s="53" t="s">
        <v>6251</v>
      </c>
      <c r="E776" s="53" t="s">
        <v>6251</v>
      </c>
    </row>
    <row r="777" customFormat="false" ht="15" hidden="false" customHeight="false" outlineLevel="0" collapsed="false">
      <c r="A777" s="85" t="str">
        <f aca="false">Gov_Map!$H89&amp;""</f>
        <v>SRC_HW_003</v>
      </c>
      <c r="B777" s="66" t="s">
        <v>6250</v>
      </c>
      <c r="C777" s="53" t="n">
        <v>89</v>
      </c>
      <c r="D777" s="53" t="s">
        <v>6251</v>
      </c>
      <c r="E777" s="53" t="s">
        <v>6251</v>
      </c>
    </row>
    <row r="778" customFormat="false" ht="15" hidden="false" customHeight="false" outlineLevel="0" collapsed="false">
      <c r="A778" s="85" t="str">
        <f aca="false">Gov_Map!$H90&amp;""</f>
        <v>SRC_HW_006</v>
      </c>
      <c r="B778" s="66" t="s">
        <v>6250</v>
      </c>
      <c r="C778" s="53" t="n">
        <v>90</v>
      </c>
      <c r="D778" s="53" t="s">
        <v>6251</v>
      </c>
      <c r="E778" s="53" t="s">
        <v>6251</v>
      </c>
    </row>
    <row r="779" customFormat="false" ht="15" hidden="false" customHeight="false" outlineLevel="0" collapsed="false">
      <c r="A779" s="85" t="str">
        <f aca="false">Gov_Map!$H91&amp;""</f>
        <v>SRC_HW_052</v>
      </c>
      <c r="B779" s="66" t="s">
        <v>6250</v>
      </c>
      <c r="C779" s="53" t="n">
        <v>91</v>
      </c>
      <c r="D779" s="53" t="s">
        <v>6251</v>
      </c>
      <c r="E779" s="53" t="s">
        <v>6251</v>
      </c>
    </row>
    <row r="780" customFormat="false" ht="15" hidden="false" customHeight="false" outlineLevel="0" collapsed="false">
      <c r="A780" s="85" t="str">
        <f aca="false">Gov_Map!$H92&amp;""</f>
        <v>SRC_HW_015</v>
      </c>
      <c r="B780" s="66" t="s">
        <v>6250</v>
      </c>
      <c r="C780" s="53" t="n">
        <v>92</v>
      </c>
      <c r="D780" s="53" t="s">
        <v>6251</v>
      </c>
      <c r="E780" s="53" t="s">
        <v>6251</v>
      </c>
    </row>
    <row r="781" customFormat="false" ht="15" hidden="false" customHeight="false" outlineLevel="0" collapsed="false">
      <c r="A781" s="85" t="str">
        <f aca="false">Gov_Map!$H93&amp;""</f>
        <v>—</v>
      </c>
      <c r="B781" s="66" t="s">
        <v>6250</v>
      </c>
      <c r="C781" s="53" t="n">
        <v>93</v>
      </c>
      <c r="D781" s="53" t="s">
        <v>6251</v>
      </c>
      <c r="E781" s="53" t="s">
        <v>6251</v>
      </c>
    </row>
    <row r="782" customFormat="false" ht="15" hidden="false" customHeight="false" outlineLevel="0" collapsed="false">
      <c r="A782" s="85" t="str">
        <f aca="false">Gov_Map!$H94&amp;""</f>
        <v>SRC_HW_003</v>
      </c>
      <c r="B782" s="66" t="s">
        <v>6250</v>
      </c>
      <c r="C782" s="53" t="n">
        <v>94</v>
      </c>
      <c r="D782" s="53" t="s">
        <v>6251</v>
      </c>
      <c r="E782" s="53" t="s">
        <v>6251</v>
      </c>
    </row>
    <row r="783" customFormat="false" ht="15" hidden="false" customHeight="false" outlineLevel="0" collapsed="false">
      <c r="A783" s="85" t="str">
        <f aca="false">Gov_Map!$H95&amp;""</f>
        <v>SRC_HW_006</v>
      </c>
      <c r="B783" s="66" t="s">
        <v>6250</v>
      </c>
      <c r="C783" s="53" t="n">
        <v>95</v>
      </c>
      <c r="D783" s="53" t="s">
        <v>6251</v>
      </c>
      <c r="E783" s="53" t="s">
        <v>6251</v>
      </c>
    </row>
    <row r="784" customFormat="false" ht="15" hidden="false" customHeight="false" outlineLevel="0" collapsed="false">
      <c r="A784" s="85" t="str">
        <f aca="false">Gov_Map!$H96&amp;""</f>
        <v>SRC_HW_010</v>
      </c>
      <c r="B784" s="66" t="s">
        <v>6250</v>
      </c>
      <c r="C784" s="53" t="n">
        <v>96</v>
      </c>
      <c r="D784" s="53" t="s">
        <v>6251</v>
      </c>
      <c r="E784" s="53" t="s">
        <v>6251</v>
      </c>
    </row>
    <row r="785" customFormat="false" ht="15" hidden="false" customHeight="false" outlineLevel="0" collapsed="false">
      <c r="A785" s="85" t="str">
        <f aca="false">Gov_Map!$H97&amp;""</f>
        <v>SRC_HW_015</v>
      </c>
      <c r="B785" s="66" t="s">
        <v>6250</v>
      </c>
      <c r="C785" s="53" t="n">
        <v>97</v>
      </c>
      <c r="D785" s="53" t="s">
        <v>6251</v>
      </c>
      <c r="E785" s="53" t="s">
        <v>6251</v>
      </c>
    </row>
    <row r="786" customFormat="false" ht="15" hidden="false" customHeight="false" outlineLevel="0" collapsed="false">
      <c r="A786" s="85" t="str">
        <f aca="false">Gov_Map!$H98&amp;""</f>
        <v>—</v>
      </c>
      <c r="B786" s="66" t="s">
        <v>6250</v>
      </c>
      <c r="C786" s="53" t="n">
        <v>98</v>
      </c>
      <c r="D786" s="53" t="s">
        <v>6251</v>
      </c>
      <c r="E786" s="53" t="s">
        <v>6251</v>
      </c>
    </row>
    <row r="787" customFormat="false" ht="15" hidden="false" customHeight="false" outlineLevel="0" collapsed="false">
      <c r="A787" s="85" t="str">
        <f aca="false">Gov_Map!$H99&amp;""</f>
        <v>SRC_HW_003</v>
      </c>
      <c r="B787" s="66" t="s">
        <v>6250</v>
      </c>
      <c r="C787" s="53" t="n">
        <v>99</v>
      </c>
      <c r="D787" s="53" t="s">
        <v>6251</v>
      </c>
      <c r="E787" s="53" t="s">
        <v>6251</v>
      </c>
    </row>
    <row r="788" customFormat="false" ht="15" hidden="false" customHeight="false" outlineLevel="0" collapsed="false">
      <c r="A788" s="85" t="str">
        <f aca="false">Gov_Map!$H100&amp;""</f>
        <v>SRC_HW_006</v>
      </c>
      <c r="B788" s="66" t="s">
        <v>6250</v>
      </c>
      <c r="C788" s="53" t="n">
        <v>100</v>
      </c>
      <c r="D788" s="53" t="s">
        <v>6251</v>
      </c>
      <c r="E788" s="53" t="s">
        <v>6251</v>
      </c>
    </row>
    <row r="789" customFormat="false" ht="15" hidden="false" customHeight="false" outlineLevel="0" collapsed="false">
      <c r="A789" s="85" t="str">
        <f aca="false">Gov_Map!$H101&amp;""</f>
        <v>SRC_HW_007</v>
      </c>
      <c r="B789" s="66" t="s">
        <v>6250</v>
      </c>
      <c r="C789" s="53" t="n">
        <v>101</v>
      </c>
      <c r="D789" s="53" t="s">
        <v>6251</v>
      </c>
      <c r="E789" s="53" t="s">
        <v>6251</v>
      </c>
    </row>
    <row r="790" customFormat="false" ht="15" hidden="false" customHeight="false" outlineLevel="0" collapsed="false">
      <c r="A790" s="85" t="str">
        <f aca="false">Gov_Map!$H102&amp;""</f>
        <v>SRC_HW_017</v>
      </c>
      <c r="B790" s="66" t="s">
        <v>6250</v>
      </c>
      <c r="C790" s="53" t="n">
        <v>102</v>
      </c>
      <c r="D790" s="53" t="s">
        <v>6251</v>
      </c>
      <c r="E790" s="53" t="s">
        <v>6251</v>
      </c>
    </row>
    <row r="791" customFormat="false" ht="15" hidden="false" customHeight="false" outlineLevel="0" collapsed="false">
      <c r="A791" s="85" t="str">
        <f aca="false">Gov_Map!$H103&amp;""</f>
        <v>—</v>
      </c>
      <c r="B791" s="66" t="s">
        <v>6250</v>
      </c>
      <c r="C791" s="53" t="n">
        <v>103</v>
      </c>
      <c r="D791" s="53" t="s">
        <v>6251</v>
      </c>
      <c r="E791" s="53" t="s">
        <v>6251</v>
      </c>
    </row>
    <row r="792" customFormat="false" ht="15" hidden="false" customHeight="false" outlineLevel="0" collapsed="false">
      <c r="A792" s="85" t="str">
        <f aca="false">Gov_Map!$H104&amp;""</f>
        <v>SRC_HW_040</v>
      </c>
      <c r="B792" s="66" t="s">
        <v>6250</v>
      </c>
      <c r="C792" s="53" t="n">
        <v>104</v>
      </c>
      <c r="D792" s="53" t="s">
        <v>6251</v>
      </c>
      <c r="E792" s="53" t="s">
        <v>6251</v>
      </c>
    </row>
    <row r="793" customFormat="false" ht="15" hidden="false" customHeight="false" outlineLevel="0" collapsed="false">
      <c r="A793" s="85" t="str">
        <f aca="false">Gov_Map!$H105&amp;""</f>
        <v>SRC_HW_022</v>
      </c>
      <c r="B793" s="66" t="s">
        <v>6250</v>
      </c>
      <c r="C793" s="53" t="n">
        <v>105</v>
      </c>
      <c r="D793" s="53" t="s">
        <v>6251</v>
      </c>
      <c r="E793" s="53" t="s">
        <v>6251</v>
      </c>
    </row>
    <row r="794" customFormat="false" ht="15" hidden="false" customHeight="false" outlineLevel="0" collapsed="false">
      <c r="A794" s="85" t="str">
        <f aca="false">Gov_Map!$H106&amp;""</f>
        <v>SRC_HW_025</v>
      </c>
      <c r="B794" s="66" t="s">
        <v>6250</v>
      </c>
      <c r="C794" s="53" t="n">
        <v>106</v>
      </c>
      <c r="D794" s="53" t="s">
        <v>6251</v>
      </c>
      <c r="E794" s="53" t="s">
        <v>6251</v>
      </c>
    </row>
    <row r="795" customFormat="false" ht="15" hidden="false" customHeight="false" outlineLevel="0" collapsed="false">
      <c r="A795" s="85" t="str">
        <f aca="false">Gov_Map!$H107&amp;""</f>
        <v>SRC_HW_028</v>
      </c>
      <c r="B795" s="66" t="s">
        <v>6250</v>
      </c>
      <c r="C795" s="53" t="n">
        <v>107</v>
      </c>
      <c r="D795" s="53" t="s">
        <v>6251</v>
      </c>
      <c r="E795" s="53" t="s">
        <v>6251</v>
      </c>
    </row>
    <row r="796" customFormat="false" ht="15" hidden="false" customHeight="false" outlineLevel="0" collapsed="false">
      <c r="A796" s="85" t="str">
        <f aca="false">Gov_Map!$H108&amp;""</f>
        <v>SRC_HW_063</v>
      </c>
      <c r="B796" s="66" t="s">
        <v>6250</v>
      </c>
      <c r="C796" s="53" t="n">
        <v>108</v>
      </c>
      <c r="D796" s="53" t="s">
        <v>6251</v>
      </c>
      <c r="E796" s="53" t="s">
        <v>6251</v>
      </c>
    </row>
    <row r="797" customFormat="false" ht="15" hidden="false" customHeight="false" outlineLevel="0" collapsed="false">
      <c r="A797" s="85" t="str">
        <f aca="false">Gov_Map!$H109&amp;""</f>
        <v>—</v>
      </c>
      <c r="B797" s="66" t="s">
        <v>6250</v>
      </c>
      <c r="C797" s="53" t="n">
        <v>109</v>
      </c>
      <c r="D797" s="53" t="s">
        <v>6251</v>
      </c>
      <c r="E797" s="53" t="s">
        <v>6251</v>
      </c>
    </row>
    <row r="798" customFormat="false" ht="15" hidden="false" customHeight="false" outlineLevel="0" collapsed="false">
      <c r="A798" s="85" t="str">
        <f aca="false">Gov_Map!$H110&amp;""</f>
        <v>SRC_HW_022</v>
      </c>
      <c r="B798" s="66" t="s">
        <v>6250</v>
      </c>
      <c r="C798" s="53" t="n">
        <v>110</v>
      </c>
      <c r="D798" s="53" t="s">
        <v>6251</v>
      </c>
      <c r="E798" s="53" t="s">
        <v>6251</v>
      </c>
    </row>
    <row r="799" customFormat="false" ht="15" hidden="false" customHeight="false" outlineLevel="0" collapsed="false">
      <c r="A799" s="85" t="str">
        <f aca="false">Gov_Map!$H111&amp;""</f>
        <v>SRC_HW_025</v>
      </c>
      <c r="B799" s="66" t="s">
        <v>6250</v>
      </c>
      <c r="C799" s="53" t="n">
        <v>111</v>
      </c>
      <c r="D799" s="53" t="s">
        <v>6251</v>
      </c>
      <c r="E799" s="53" t="s">
        <v>6251</v>
      </c>
    </row>
    <row r="800" customFormat="false" ht="15" hidden="false" customHeight="false" outlineLevel="0" collapsed="false">
      <c r="A800" s="85" t="str">
        <f aca="false">Gov_Map!$H112&amp;""</f>
        <v>SRC_HW_027</v>
      </c>
      <c r="B800" s="66" t="s">
        <v>6250</v>
      </c>
      <c r="C800" s="53" t="n">
        <v>112</v>
      </c>
      <c r="D800" s="53" t="s">
        <v>6251</v>
      </c>
      <c r="E800" s="53" t="s">
        <v>6251</v>
      </c>
    </row>
    <row r="801" customFormat="false" ht="15" hidden="false" customHeight="false" outlineLevel="0" collapsed="false">
      <c r="A801" s="85" t="str">
        <f aca="false">Gov_Map!$H113&amp;""</f>
        <v>SRC_HW_063</v>
      </c>
      <c r="B801" s="66" t="s">
        <v>6250</v>
      </c>
      <c r="C801" s="53" t="n">
        <v>113</v>
      </c>
      <c r="D801" s="53" t="s">
        <v>6251</v>
      </c>
      <c r="E801" s="53" t="s">
        <v>6251</v>
      </c>
    </row>
    <row r="802" customFormat="false" ht="15" hidden="false" customHeight="false" outlineLevel="0" collapsed="false">
      <c r="A802" s="85" t="str">
        <f aca="false">Gov_Map!$H114&amp;""</f>
        <v>SRC_HW_020</v>
      </c>
      <c r="B802" s="66" t="s">
        <v>6250</v>
      </c>
      <c r="C802" s="53" t="n">
        <v>114</v>
      </c>
      <c r="D802" s="53" t="s">
        <v>6251</v>
      </c>
      <c r="E802" s="53" t="s">
        <v>6251</v>
      </c>
    </row>
    <row r="803" customFormat="false" ht="15" hidden="false" customHeight="false" outlineLevel="0" collapsed="false">
      <c r="A803" s="85" t="str">
        <f aca="false">Gov_Map!$H115&amp;""</f>
        <v>SRC_HW_041</v>
      </c>
      <c r="B803" s="66" t="s">
        <v>6250</v>
      </c>
      <c r="C803" s="53" t="n">
        <v>115</v>
      </c>
      <c r="D803" s="53" t="s">
        <v>6251</v>
      </c>
      <c r="E803" s="53" t="s">
        <v>6251</v>
      </c>
    </row>
    <row r="804" customFormat="false" ht="15" hidden="false" customHeight="false" outlineLevel="0" collapsed="false">
      <c r="A804" s="85" t="str">
        <f aca="false">Gov_Map!$H116&amp;""</f>
        <v>SRC_HW_026</v>
      </c>
      <c r="B804" s="66" t="s">
        <v>6250</v>
      </c>
      <c r="C804" s="53" t="n">
        <v>116</v>
      </c>
      <c r="D804" s="53" t="s">
        <v>6251</v>
      </c>
      <c r="E804" s="53" t="s">
        <v>6251</v>
      </c>
    </row>
    <row r="805" customFormat="false" ht="15" hidden="false" customHeight="false" outlineLevel="0" collapsed="false">
      <c r="A805" s="85" t="str">
        <f aca="false">Gov_Map!$H117&amp;""</f>
        <v>SRC_HW_029</v>
      </c>
      <c r="B805" s="66" t="s">
        <v>6250</v>
      </c>
      <c r="C805" s="53" t="n">
        <v>117</v>
      </c>
      <c r="D805" s="53" t="s">
        <v>6251</v>
      </c>
      <c r="E805" s="53" t="s">
        <v>6251</v>
      </c>
    </row>
    <row r="806" customFormat="false" ht="15" hidden="false" customHeight="false" outlineLevel="0" collapsed="false">
      <c r="A806" s="85" t="str">
        <f aca="false">Gov_Map!$H118&amp;""</f>
        <v>—</v>
      </c>
      <c r="B806" s="66" t="s">
        <v>6250</v>
      </c>
      <c r="C806" s="53" t="n">
        <v>118</v>
      </c>
      <c r="D806" s="53" t="s">
        <v>6251</v>
      </c>
      <c r="E806" s="53" t="s">
        <v>6251</v>
      </c>
    </row>
    <row r="807" customFormat="false" ht="15" hidden="false" customHeight="false" outlineLevel="0" collapsed="false">
      <c r="A807" s="85" t="str">
        <f aca="false">Gov_Map!$H119&amp;""</f>
        <v>SRC_HW_021</v>
      </c>
      <c r="B807" s="66" t="s">
        <v>6250</v>
      </c>
      <c r="C807" s="53" t="n">
        <v>119</v>
      </c>
      <c r="D807" s="53" t="s">
        <v>6251</v>
      </c>
      <c r="E807" s="53" t="s">
        <v>6251</v>
      </c>
    </row>
    <row r="808" customFormat="false" ht="15" hidden="false" customHeight="false" outlineLevel="0" collapsed="false">
      <c r="A808" s="85" t="str">
        <f aca="false">Gov_Map!$H120&amp;""</f>
        <v>SRC_HW_023</v>
      </c>
      <c r="B808" s="66" t="s">
        <v>6250</v>
      </c>
      <c r="C808" s="53" t="n">
        <v>120</v>
      </c>
      <c r="D808" s="53" t="s">
        <v>6251</v>
      </c>
      <c r="E808" s="53" t="s">
        <v>6251</v>
      </c>
    </row>
    <row r="809" customFormat="false" ht="15" hidden="false" customHeight="false" outlineLevel="0" collapsed="false">
      <c r="A809" s="85" t="str">
        <f aca="false">Gov_Map!$H121&amp;""</f>
        <v>SRC_HW_059</v>
      </c>
      <c r="B809" s="66" t="s">
        <v>6250</v>
      </c>
      <c r="C809" s="53" t="n">
        <v>121</v>
      </c>
      <c r="D809" s="53" t="s">
        <v>6251</v>
      </c>
      <c r="E809" s="53" t="s">
        <v>6251</v>
      </c>
    </row>
    <row r="810" customFormat="false" ht="15" hidden="false" customHeight="false" outlineLevel="0" collapsed="false">
      <c r="A810" s="85" t="str">
        <f aca="false">Gov_Map!$H122&amp;""</f>
        <v>SRC_HW_030</v>
      </c>
      <c r="B810" s="66" t="s">
        <v>6250</v>
      </c>
      <c r="C810" s="53" t="n">
        <v>122</v>
      </c>
      <c r="D810" s="53" t="s">
        <v>6251</v>
      </c>
      <c r="E810" s="53" t="s">
        <v>6251</v>
      </c>
    </row>
    <row r="811" customFormat="false" ht="15" hidden="false" customHeight="false" outlineLevel="0" collapsed="false">
      <c r="A811" s="85" t="str">
        <f aca="false">Gov_Map!$H123&amp;""</f>
        <v>SRC_HW_044</v>
      </c>
      <c r="B811" s="66" t="s">
        <v>6250</v>
      </c>
      <c r="C811" s="53" t="n">
        <v>123</v>
      </c>
      <c r="D811" s="53" t="s">
        <v>6251</v>
      </c>
      <c r="E811" s="53" t="s">
        <v>6251</v>
      </c>
    </row>
    <row r="812" customFormat="false" ht="15" hidden="false" customHeight="false" outlineLevel="0" collapsed="false">
      <c r="A812" s="85" t="str">
        <f aca="false">Gov_Map!$H124&amp;""</f>
        <v>SRC_HW_060</v>
      </c>
      <c r="B812" s="66" t="s">
        <v>6250</v>
      </c>
      <c r="C812" s="53" t="n">
        <v>124</v>
      </c>
      <c r="D812" s="53" t="s">
        <v>6251</v>
      </c>
      <c r="E812" s="53" t="s">
        <v>6251</v>
      </c>
    </row>
    <row r="813" customFormat="false" ht="15" hidden="false" customHeight="false" outlineLevel="0" collapsed="false">
      <c r="A813" s="85" t="str">
        <f aca="false">Gov_Map!$H125&amp;""</f>
        <v>SRC_HW_048</v>
      </c>
      <c r="B813" s="66" t="s">
        <v>6250</v>
      </c>
      <c r="C813" s="53" t="n">
        <v>125</v>
      </c>
      <c r="D813" s="53" t="s">
        <v>6251</v>
      </c>
      <c r="E813" s="53" t="s">
        <v>6251</v>
      </c>
    </row>
    <row r="814" customFormat="false" ht="15" hidden="false" customHeight="false" outlineLevel="0" collapsed="false">
      <c r="A814" s="85" t="str">
        <f aca="false">Gov_Map!$H126&amp;""</f>
        <v>SRC_HW_048</v>
      </c>
      <c r="B814" s="66" t="s">
        <v>6250</v>
      </c>
      <c r="C814" s="53" t="n">
        <v>126</v>
      </c>
      <c r="D814" s="53" t="s">
        <v>6251</v>
      </c>
      <c r="E814" s="53" t="s">
        <v>6251</v>
      </c>
    </row>
    <row r="815" customFormat="false" ht="15" hidden="false" customHeight="false" outlineLevel="0" collapsed="false">
      <c r="A815" s="85" t="str">
        <f aca="false">Gov_Map!$H127&amp;""</f>
        <v>SRC_HW_049</v>
      </c>
      <c r="B815" s="66" t="s">
        <v>6250</v>
      </c>
      <c r="C815" s="53" t="n">
        <v>127</v>
      </c>
      <c r="D815" s="53" t="s">
        <v>6251</v>
      </c>
      <c r="E815" s="53" t="s">
        <v>6251</v>
      </c>
    </row>
    <row r="816" customFormat="false" ht="15" hidden="false" customHeight="false" outlineLevel="0" collapsed="false">
      <c r="A816" s="85" t="str">
        <f aca="false">Gov_Map!$H128&amp;""</f>
        <v>—</v>
      </c>
      <c r="B816" s="66" t="s">
        <v>6250</v>
      </c>
      <c r="C816" s="53" t="n">
        <v>128</v>
      </c>
      <c r="D816" s="53" t="s">
        <v>6251</v>
      </c>
      <c r="E816" s="53" t="s">
        <v>6251</v>
      </c>
    </row>
    <row r="817" customFormat="false" ht="15" hidden="false" customHeight="false" outlineLevel="0" collapsed="false">
      <c r="A817" s="85" t="str">
        <f aca="false">Gov_Map!$H129&amp;""</f>
        <v>SRC_HW_053</v>
      </c>
      <c r="B817" s="66" t="s">
        <v>6250</v>
      </c>
      <c r="C817" s="53" t="n">
        <v>129</v>
      </c>
      <c r="D817" s="53" t="s">
        <v>6251</v>
      </c>
      <c r="E817" s="53" t="s">
        <v>6251</v>
      </c>
    </row>
    <row r="818" customFormat="false" ht="15" hidden="false" customHeight="false" outlineLevel="0" collapsed="false">
      <c r="A818" s="85" t="str">
        <f aca="false">Gov_Map!$H130&amp;""</f>
        <v>SRC_HW_047</v>
      </c>
      <c r="B818" s="66" t="s">
        <v>6250</v>
      </c>
      <c r="C818" s="53" t="n">
        <v>130</v>
      </c>
      <c r="D818" s="53" t="s">
        <v>6251</v>
      </c>
      <c r="E818" s="53" t="s">
        <v>6251</v>
      </c>
    </row>
    <row r="819" customFormat="false" ht="15" hidden="false" customHeight="false" outlineLevel="0" collapsed="false">
      <c r="A819" s="85" t="str">
        <f aca="false">Gov_Map!$H131&amp;""</f>
        <v>SRC_HW_047</v>
      </c>
      <c r="B819" s="66" t="s">
        <v>6250</v>
      </c>
      <c r="C819" s="53" t="n">
        <v>131</v>
      </c>
      <c r="D819" s="53" t="s">
        <v>6251</v>
      </c>
      <c r="E819" s="53" t="s">
        <v>6251</v>
      </c>
    </row>
    <row r="820" customFormat="false" ht="15" hidden="false" customHeight="false" outlineLevel="0" collapsed="false">
      <c r="A820" s="85" t="str">
        <f aca="false">Gov_Map!$H132&amp;""</f>
        <v>SRC_HW_047</v>
      </c>
      <c r="B820" s="66" t="s">
        <v>6250</v>
      </c>
      <c r="C820" s="53" t="n">
        <v>132</v>
      </c>
      <c r="D820" s="53" t="s">
        <v>6251</v>
      </c>
      <c r="E820" s="53" t="s">
        <v>6251</v>
      </c>
    </row>
    <row r="821" customFormat="false" ht="15" hidden="false" customHeight="false" outlineLevel="0" collapsed="false">
      <c r="A821" s="85" t="str">
        <f aca="false">Gov_Map!$H133&amp;""</f>
        <v>SRC_HW_062</v>
      </c>
      <c r="B821" s="66" t="s">
        <v>6250</v>
      </c>
      <c r="C821" s="53" t="n">
        <v>133</v>
      </c>
      <c r="D821" s="53" t="s">
        <v>6251</v>
      </c>
      <c r="E821" s="53" t="s">
        <v>6251</v>
      </c>
    </row>
    <row r="822" customFormat="false" ht="15" hidden="false" customHeight="false" outlineLevel="0" collapsed="false">
      <c r="A822" s="85" t="str">
        <f aca="false">Gov_Map!$H134&amp;""</f>
        <v>SRC_PERF_051</v>
      </c>
      <c r="B822" s="66" t="s">
        <v>6250</v>
      </c>
      <c r="C822" s="53" t="n">
        <v>134</v>
      </c>
      <c r="D822" s="53" t="s">
        <v>6251</v>
      </c>
      <c r="E822" s="53" t="s">
        <v>6251</v>
      </c>
    </row>
    <row r="823" customFormat="false" ht="15" hidden="false" customHeight="false" outlineLevel="0" collapsed="false">
      <c r="A823" s="85" t="str">
        <f aca="false">Gov_Map!$H135&amp;""</f>
        <v>SRC_PERF_008</v>
      </c>
      <c r="B823" s="66" t="s">
        <v>6250</v>
      </c>
      <c r="C823" s="53" t="n">
        <v>135</v>
      </c>
      <c r="D823" s="53" t="s">
        <v>6251</v>
      </c>
      <c r="E823" s="53" t="s">
        <v>6251</v>
      </c>
    </row>
    <row r="824" customFormat="false" ht="15" hidden="false" customHeight="false" outlineLevel="0" collapsed="false">
      <c r="A824" s="85" t="str">
        <f aca="false">Gov_Map!$H136&amp;""</f>
        <v>SRC_PERF_008</v>
      </c>
      <c r="B824" s="66" t="s">
        <v>6250</v>
      </c>
      <c r="C824" s="53" t="n">
        <v>136</v>
      </c>
      <c r="D824" s="53" t="s">
        <v>6251</v>
      </c>
      <c r="E824" s="53" t="s">
        <v>6251</v>
      </c>
    </row>
    <row r="825" customFormat="false" ht="15" hidden="false" customHeight="false" outlineLevel="0" collapsed="false">
      <c r="A825" s="85" t="str">
        <f aca="false">Gov_Map!$H137&amp;""</f>
        <v>SRC_PERF_008</v>
      </c>
      <c r="B825" s="66" t="s">
        <v>6250</v>
      </c>
      <c r="C825" s="53" t="n">
        <v>137</v>
      </c>
      <c r="D825" s="53" t="s">
        <v>6251</v>
      </c>
      <c r="E825" s="53" t="s">
        <v>6251</v>
      </c>
    </row>
    <row r="826" customFormat="false" ht="15" hidden="false" customHeight="false" outlineLevel="0" collapsed="false">
      <c r="A826" s="85" t="str">
        <f aca="false">Gov_Map!$H138&amp;""</f>
        <v>—</v>
      </c>
      <c r="B826" s="66" t="s">
        <v>6250</v>
      </c>
      <c r="C826" s="53" t="n">
        <v>138</v>
      </c>
      <c r="D826" s="53" t="s">
        <v>6251</v>
      </c>
      <c r="E826" s="53" t="s">
        <v>6251</v>
      </c>
    </row>
    <row r="827" customFormat="false" ht="15" hidden="false" customHeight="false" outlineLevel="0" collapsed="false">
      <c r="A827" s="85" t="str">
        <f aca="false">Gov_Map!$H139&amp;""</f>
        <v>SRC_HW_055</v>
      </c>
      <c r="B827" s="66" t="s">
        <v>6250</v>
      </c>
      <c r="C827" s="53" t="n">
        <v>139</v>
      </c>
      <c r="D827" s="53" t="s">
        <v>6251</v>
      </c>
      <c r="E827" s="53" t="s">
        <v>6251</v>
      </c>
    </row>
    <row r="828" customFormat="false" ht="15" hidden="false" customHeight="false" outlineLevel="0" collapsed="false">
      <c r="A828" s="85" t="str">
        <f aca="false">Gov_Map!$H140&amp;""</f>
        <v>SRC_HW_050</v>
      </c>
      <c r="B828" s="66" t="s">
        <v>6250</v>
      </c>
      <c r="C828" s="53" t="n">
        <v>140</v>
      </c>
      <c r="D828" s="53" t="s">
        <v>6251</v>
      </c>
      <c r="E828" s="53" t="s">
        <v>6251</v>
      </c>
    </row>
    <row r="829" customFormat="false" ht="15" hidden="false" customHeight="false" outlineLevel="0" collapsed="false">
      <c r="A829" s="85" t="str">
        <f aca="false">Gov_Map!$H141&amp;""</f>
        <v>SRC_HW_050</v>
      </c>
      <c r="B829" s="66" t="s">
        <v>6250</v>
      </c>
      <c r="C829" s="53" t="n">
        <v>141</v>
      </c>
      <c r="D829" s="53" t="s">
        <v>6251</v>
      </c>
      <c r="E829" s="53" t="s">
        <v>6251</v>
      </c>
    </row>
    <row r="830" customFormat="false" ht="15" hidden="false" customHeight="false" outlineLevel="0" collapsed="false">
      <c r="A830" s="85" t="str">
        <f aca="false">Gov_Map!$H142&amp;""</f>
        <v>SRC_HW_050</v>
      </c>
      <c r="B830" s="66" t="s">
        <v>6250</v>
      </c>
      <c r="C830" s="53" t="n">
        <v>142</v>
      </c>
      <c r="D830" s="53" t="s">
        <v>6251</v>
      </c>
      <c r="E830" s="53" t="s">
        <v>6251</v>
      </c>
    </row>
    <row r="831" customFormat="false" ht="15" hidden="false" customHeight="false" outlineLevel="0" collapsed="false">
      <c r="A831" s="85" t="str">
        <f aca="false">Gov_Map!$H143&amp;""</f>
        <v>SRC_HW_050</v>
      </c>
      <c r="B831" s="66" t="s">
        <v>6250</v>
      </c>
      <c r="C831" s="53" t="n">
        <v>143</v>
      </c>
      <c r="D831" s="53" t="s">
        <v>6251</v>
      </c>
      <c r="E831" s="53" t="s">
        <v>6251</v>
      </c>
    </row>
    <row r="832" customFormat="false" ht="15" hidden="false" customHeight="false" outlineLevel="0" collapsed="false">
      <c r="A832" s="85" t="str">
        <f aca="false">Gov_Map!$H144&amp;""</f>
        <v>—</v>
      </c>
      <c r="B832" s="66" t="s">
        <v>6250</v>
      </c>
      <c r="C832" s="53" t="n">
        <v>144</v>
      </c>
      <c r="D832" s="53" t="s">
        <v>6251</v>
      </c>
      <c r="E832" s="53" t="s">
        <v>6251</v>
      </c>
    </row>
    <row r="833" customFormat="false" ht="15" hidden="false" customHeight="false" outlineLevel="0" collapsed="false">
      <c r="A833" s="85" t="str">
        <f aca="false">Gov_Map!$H145&amp;""</f>
        <v>—</v>
      </c>
      <c r="B833" s="66" t="s">
        <v>6250</v>
      </c>
      <c r="C833" s="53" t="n">
        <v>145</v>
      </c>
      <c r="D833" s="53" t="s">
        <v>6251</v>
      </c>
      <c r="E833" s="53" t="s">
        <v>6251</v>
      </c>
    </row>
    <row r="834" customFormat="false" ht="15" hidden="false" customHeight="false" outlineLevel="0" collapsed="false">
      <c r="A834" s="85" t="str">
        <f aca="false">Gov_Map!$H146&amp;""</f>
        <v>—</v>
      </c>
      <c r="B834" s="66" t="s">
        <v>6250</v>
      </c>
      <c r="C834" s="53" t="n">
        <v>146</v>
      </c>
      <c r="D834" s="53" t="s">
        <v>6251</v>
      </c>
      <c r="E834" s="53" t="s">
        <v>6251</v>
      </c>
    </row>
    <row r="835" customFormat="false" ht="15" hidden="false" customHeight="false" outlineLevel="0" collapsed="false">
      <c r="A835" s="85" t="str">
        <f aca="false">Gov_Map!$H147&amp;""</f>
        <v>—</v>
      </c>
      <c r="B835" s="66" t="s">
        <v>6250</v>
      </c>
      <c r="C835" s="53" t="n">
        <v>147</v>
      </c>
      <c r="D835" s="53" t="s">
        <v>6251</v>
      </c>
      <c r="E835" s="53" t="s">
        <v>6251</v>
      </c>
    </row>
    <row r="836" customFormat="false" ht="15" hidden="false" customHeight="false" outlineLevel="0" collapsed="false">
      <c r="A836" s="85" t="str">
        <f aca="false">Gov_Map!$H148&amp;""</f>
        <v>—</v>
      </c>
      <c r="B836" s="66" t="s">
        <v>6250</v>
      </c>
      <c r="C836" s="53" t="n">
        <v>148</v>
      </c>
      <c r="D836" s="53" t="s">
        <v>6251</v>
      </c>
      <c r="E836" s="53" t="s">
        <v>6251</v>
      </c>
    </row>
    <row r="837" customFormat="false" ht="15" hidden="false" customHeight="false" outlineLevel="0" collapsed="false">
      <c r="A837" s="85" t="str">
        <f aca="false">Gov_Map!$H149&amp;""</f>
        <v>—</v>
      </c>
      <c r="B837" s="66" t="s">
        <v>6250</v>
      </c>
      <c r="C837" s="53" t="n">
        <v>149</v>
      </c>
      <c r="D837" s="53" t="s">
        <v>6251</v>
      </c>
      <c r="E837" s="53" t="s">
        <v>6251</v>
      </c>
    </row>
    <row r="838" customFormat="false" ht="15" hidden="false" customHeight="false" outlineLevel="0" collapsed="false">
      <c r="A838" s="85" t="str">
        <f aca="false">Gov_Map!$H150&amp;""</f>
        <v>SRC_PERF_007</v>
      </c>
      <c r="B838" s="66" t="s">
        <v>6250</v>
      </c>
      <c r="C838" s="53" t="n">
        <v>150</v>
      </c>
      <c r="D838" s="53" t="s">
        <v>6251</v>
      </c>
      <c r="E838" s="53" t="s">
        <v>6251</v>
      </c>
    </row>
    <row r="839" customFormat="false" ht="15" hidden="false" customHeight="false" outlineLevel="0" collapsed="false">
      <c r="A839" s="85" t="str">
        <f aca="false">Gov_Map!$H151&amp;""</f>
        <v>SRC_PERF_007</v>
      </c>
      <c r="B839" s="66" t="s">
        <v>6250</v>
      </c>
      <c r="C839" s="53" t="n">
        <v>151</v>
      </c>
      <c r="D839" s="53" t="s">
        <v>6251</v>
      </c>
      <c r="E839" s="53" t="s">
        <v>6251</v>
      </c>
    </row>
    <row r="840" customFormat="false" ht="15" hidden="false" customHeight="false" outlineLevel="0" collapsed="false">
      <c r="A840" s="85" t="str">
        <f aca="false">Gov_Map!$H152&amp;""</f>
        <v>SRC_PERF_007</v>
      </c>
      <c r="B840" s="66" t="s">
        <v>6250</v>
      </c>
      <c r="C840" s="53" t="n">
        <v>152</v>
      </c>
      <c r="D840" s="53" t="s">
        <v>6251</v>
      </c>
      <c r="E840" s="53" t="s">
        <v>6251</v>
      </c>
    </row>
    <row r="841" customFormat="false" ht="15" hidden="false" customHeight="false" outlineLevel="0" collapsed="false">
      <c r="A841" s="85" t="str">
        <f aca="false">Gov_Map!$H153&amp;""</f>
        <v>—</v>
      </c>
      <c r="B841" s="66" t="s">
        <v>6250</v>
      </c>
      <c r="C841" s="53" t="n">
        <v>153</v>
      </c>
      <c r="D841" s="53" t="s">
        <v>6251</v>
      </c>
      <c r="E841" s="53" t="s">
        <v>6251</v>
      </c>
    </row>
    <row r="842" customFormat="false" ht="15" hidden="false" customHeight="false" outlineLevel="0" collapsed="false">
      <c r="A842" s="85" t="str">
        <f aca="false">Gov_Map!$H154&amp;""</f>
        <v>SRC_HW_056</v>
      </c>
      <c r="B842" s="66" t="s">
        <v>6250</v>
      </c>
      <c r="C842" s="53" t="n">
        <v>154</v>
      </c>
      <c r="D842" s="53" t="s">
        <v>6251</v>
      </c>
      <c r="E842" s="53" t="s">
        <v>6251</v>
      </c>
    </row>
    <row r="843" customFormat="false" ht="15" hidden="false" customHeight="false" outlineLevel="0" collapsed="false">
      <c r="A843" s="85" t="str">
        <f aca="false">Gov_Map!$H155&amp;""</f>
        <v>SRC_HW_057</v>
      </c>
      <c r="B843" s="66" t="s">
        <v>6250</v>
      </c>
      <c r="C843" s="53" t="n">
        <v>155</v>
      </c>
      <c r="D843" s="53" t="s">
        <v>6251</v>
      </c>
      <c r="E843" s="53" t="s">
        <v>6251</v>
      </c>
    </row>
    <row r="844" customFormat="false" ht="15" hidden="false" customHeight="false" outlineLevel="0" collapsed="false">
      <c r="A844" s="85" t="str">
        <f aca="false">Gov_Map!$H156&amp;""</f>
        <v>SRC_HW_058</v>
      </c>
      <c r="B844" s="66" t="s">
        <v>6250</v>
      </c>
      <c r="C844" s="53" t="n">
        <v>156</v>
      </c>
      <c r="D844" s="53" t="s">
        <v>6251</v>
      </c>
      <c r="E844" s="53" t="s">
        <v>6251</v>
      </c>
    </row>
    <row r="845" customFormat="false" ht="15" hidden="false" customHeight="false" outlineLevel="0" collapsed="false">
      <c r="A845" s="85" t="str">
        <f aca="false">Gov_Map!$H157&amp;""</f>
        <v>SRC_HW_046</v>
      </c>
      <c r="B845" s="66" t="s">
        <v>6250</v>
      </c>
      <c r="C845" s="53" t="n">
        <v>157</v>
      </c>
      <c r="D845" s="53" t="s">
        <v>6251</v>
      </c>
      <c r="E845" s="53" t="s">
        <v>6251</v>
      </c>
    </row>
    <row r="846" customFormat="false" ht="15" hidden="false" customHeight="false" outlineLevel="0" collapsed="false">
      <c r="A846" s="85" t="str">
        <f aca="false">Gov_Map!$H158&amp;""</f>
        <v>—</v>
      </c>
      <c r="B846" s="66" t="s">
        <v>6250</v>
      </c>
      <c r="C846" s="53" t="n">
        <v>158</v>
      </c>
      <c r="D846" s="53" t="s">
        <v>6251</v>
      </c>
      <c r="E846" s="53" t="s">
        <v>6251</v>
      </c>
    </row>
    <row r="847" customFormat="false" ht="15" hidden="false" customHeight="false" outlineLevel="0" collapsed="false">
      <c r="A847" s="85" t="str">
        <f aca="false">Gov_Map!$H159&amp;""</f>
        <v>SRC_HW_032</v>
      </c>
      <c r="B847" s="66" t="s">
        <v>6250</v>
      </c>
      <c r="C847" s="53" t="n">
        <v>159</v>
      </c>
      <c r="D847" s="53" t="s">
        <v>6251</v>
      </c>
      <c r="E847" s="53" t="s">
        <v>6251</v>
      </c>
    </row>
    <row r="848" customFormat="false" ht="15" hidden="false" customHeight="false" outlineLevel="0" collapsed="false">
      <c r="A848" s="85" t="str">
        <f aca="false">Gov_Map!$H160&amp;""</f>
        <v>SRC_HW_033</v>
      </c>
      <c r="B848" s="66" t="s">
        <v>6250</v>
      </c>
      <c r="C848" s="53" t="n">
        <v>160</v>
      </c>
      <c r="D848" s="53" t="s">
        <v>6251</v>
      </c>
      <c r="E848" s="53" t="s">
        <v>6251</v>
      </c>
    </row>
    <row r="849" customFormat="false" ht="15" hidden="false" customHeight="false" outlineLevel="0" collapsed="false">
      <c r="A849" s="85" t="str">
        <f aca="false">Gov_Map!$H161&amp;""</f>
        <v>SRC_HW_033</v>
      </c>
      <c r="B849" s="66" t="s">
        <v>6250</v>
      </c>
      <c r="C849" s="53" t="n">
        <v>161</v>
      </c>
      <c r="D849" s="53" t="s">
        <v>6251</v>
      </c>
      <c r="E849" s="53" t="s">
        <v>6251</v>
      </c>
    </row>
    <row r="850" customFormat="false" ht="15" hidden="false" customHeight="false" outlineLevel="0" collapsed="false">
      <c r="A850" s="85" t="str">
        <f aca="false">Gov_Map!$H162&amp;""</f>
        <v>SRC_HW_034</v>
      </c>
      <c r="B850" s="66" t="s">
        <v>6250</v>
      </c>
      <c r="C850" s="53" t="n">
        <v>162</v>
      </c>
      <c r="D850" s="53" t="s">
        <v>6251</v>
      </c>
      <c r="E850" s="53" t="s">
        <v>6251</v>
      </c>
    </row>
    <row r="851" customFormat="false" ht="15" hidden="false" customHeight="false" outlineLevel="0" collapsed="false">
      <c r="A851" s="85" t="str">
        <f aca="false">Gov_Map!$H163&amp;""</f>
        <v>—</v>
      </c>
      <c r="B851" s="66" t="s">
        <v>6250</v>
      </c>
      <c r="C851" s="53" t="n">
        <v>163</v>
      </c>
      <c r="D851" s="53" t="s">
        <v>6251</v>
      </c>
      <c r="E851" s="53" t="s">
        <v>6251</v>
      </c>
    </row>
    <row r="852" customFormat="false" ht="15" hidden="false" customHeight="false" outlineLevel="0" collapsed="false">
      <c r="A852" s="85" t="str">
        <f aca="false">Gov_Map!$H164&amp;""</f>
        <v>SRC_HW_019</v>
      </c>
      <c r="B852" s="66" t="s">
        <v>6250</v>
      </c>
      <c r="C852" s="53" t="n">
        <v>164</v>
      </c>
      <c r="D852" s="53" t="s">
        <v>6251</v>
      </c>
      <c r="E852" s="53" t="s">
        <v>6251</v>
      </c>
    </row>
    <row r="853" customFormat="false" ht="15" hidden="false" customHeight="false" outlineLevel="0" collapsed="false">
      <c r="A853" s="85" t="str">
        <f aca="false">Gov_Map!$H165&amp;""</f>
        <v>SRC_HW_042</v>
      </c>
      <c r="B853" s="66" t="s">
        <v>6250</v>
      </c>
      <c r="C853" s="53" t="n">
        <v>165</v>
      </c>
      <c r="D853" s="53" t="s">
        <v>6251</v>
      </c>
      <c r="E853" s="53" t="s">
        <v>6251</v>
      </c>
    </row>
    <row r="854" customFormat="false" ht="15" hidden="false" customHeight="false" outlineLevel="0" collapsed="false">
      <c r="A854" s="85" t="str">
        <f aca="false">Gov_Map!$H166&amp;""</f>
        <v>SRC_HW_042</v>
      </c>
      <c r="B854" s="66" t="s">
        <v>6250</v>
      </c>
      <c r="C854" s="53" t="n">
        <v>166</v>
      </c>
      <c r="D854" s="53" t="s">
        <v>6251</v>
      </c>
      <c r="E854" s="53" t="s">
        <v>6251</v>
      </c>
    </row>
    <row r="855" customFormat="false" ht="15" hidden="false" customHeight="false" outlineLevel="0" collapsed="false">
      <c r="A855" s="85" t="str">
        <f aca="false">Gov_Map!$H167&amp;""</f>
        <v>SRC_HW_039</v>
      </c>
      <c r="B855" s="66" t="s">
        <v>6250</v>
      </c>
      <c r="C855" s="53" t="n">
        <v>167</v>
      </c>
      <c r="D855" s="53" t="s">
        <v>6251</v>
      </c>
      <c r="E855" s="53" t="s">
        <v>6251</v>
      </c>
    </row>
    <row r="856" customFormat="false" ht="15" hidden="false" customHeight="false" outlineLevel="0" collapsed="false">
      <c r="A856" s="85" t="str">
        <f aca="false">Gov_Map!$H168&amp;""</f>
        <v>—</v>
      </c>
      <c r="B856" s="66" t="s">
        <v>6250</v>
      </c>
      <c r="C856" s="53" t="n">
        <v>168</v>
      </c>
      <c r="D856" s="53" t="s">
        <v>6251</v>
      </c>
      <c r="E856" s="53" t="s">
        <v>6251</v>
      </c>
    </row>
    <row r="857" customFormat="false" ht="15" hidden="false" customHeight="false" outlineLevel="0" collapsed="false">
      <c r="A857" s="85" t="str">
        <f aca="false">Gov_Map!$H169&amp;""</f>
        <v>SRC_HW_040</v>
      </c>
      <c r="B857" s="66" t="s">
        <v>6250</v>
      </c>
      <c r="C857" s="53" t="n">
        <v>169</v>
      </c>
      <c r="D857" s="53" t="s">
        <v>6251</v>
      </c>
      <c r="E857" s="53" t="s">
        <v>6251</v>
      </c>
    </row>
    <row r="858" customFormat="false" ht="15" hidden="false" customHeight="false" outlineLevel="0" collapsed="false">
      <c r="A858" s="85" t="str">
        <f aca="false">Gov_Map!$H170&amp;""</f>
        <v>SRC_HW_043</v>
      </c>
      <c r="B858" s="66" t="s">
        <v>6250</v>
      </c>
      <c r="C858" s="53" t="n">
        <v>170</v>
      </c>
      <c r="D858" s="53" t="s">
        <v>6251</v>
      </c>
      <c r="E858" s="53" t="s">
        <v>6251</v>
      </c>
    </row>
    <row r="859" customFormat="false" ht="15" hidden="false" customHeight="false" outlineLevel="0" collapsed="false">
      <c r="A859" s="85" t="str">
        <f aca="false">Gov_Map!$H171&amp;""</f>
        <v>SRC_HW_043</v>
      </c>
      <c r="B859" s="66" t="s">
        <v>6250</v>
      </c>
      <c r="C859" s="53" t="n">
        <v>171</v>
      </c>
      <c r="D859" s="53" t="s">
        <v>6251</v>
      </c>
      <c r="E859" s="53" t="s">
        <v>6251</v>
      </c>
    </row>
    <row r="860" customFormat="false" ht="15" hidden="false" customHeight="false" outlineLevel="0" collapsed="false">
      <c r="A860" s="85" t="str">
        <f aca="false">Gov_Map!$H172&amp;""</f>
        <v>SRC_HW_038</v>
      </c>
      <c r="B860" s="66" t="s">
        <v>6250</v>
      </c>
      <c r="C860" s="53" t="n">
        <v>172</v>
      </c>
      <c r="D860" s="53" t="s">
        <v>6251</v>
      </c>
      <c r="E860" s="53" t="s">
        <v>6251</v>
      </c>
    </row>
    <row r="861" customFormat="false" ht="15" hidden="false" customHeight="false" outlineLevel="0" collapsed="false">
      <c r="A861" s="85" t="str">
        <f aca="false">Gov_Map!$H173&amp;""</f>
        <v>SRC_HW_063</v>
      </c>
      <c r="B861" s="66" t="s">
        <v>6250</v>
      </c>
      <c r="C861" s="53" t="n">
        <v>173</v>
      </c>
      <c r="D861" s="53" t="s">
        <v>6251</v>
      </c>
      <c r="E861" s="53" t="s">
        <v>6251</v>
      </c>
    </row>
    <row r="862" customFormat="false" ht="15" hidden="false" customHeight="false" outlineLevel="0" collapsed="false">
      <c r="A862" s="85" t="str">
        <f aca="false">Gov_Map!$H174&amp;""</f>
        <v>—</v>
      </c>
      <c r="B862" s="66" t="s">
        <v>6250</v>
      </c>
      <c r="C862" s="53" t="n">
        <v>174</v>
      </c>
      <c r="D862" s="53" t="s">
        <v>6251</v>
      </c>
      <c r="E862" s="53" t="s">
        <v>6251</v>
      </c>
    </row>
    <row r="863" customFormat="false" ht="15" hidden="false" customHeight="false" outlineLevel="0" collapsed="false">
      <c r="A863" s="85" t="str">
        <f aca="false">Gov_Map!$H175&amp;""</f>
        <v>SRC_HW_037</v>
      </c>
      <c r="B863" s="66" t="s">
        <v>6250</v>
      </c>
      <c r="C863" s="53" t="n">
        <v>175</v>
      </c>
      <c r="D863" s="53" t="s">
        <v>6251</v>
      </c>
      <c r="E863" s="53" t="s">
        <v>6251</v>
      </c>
    </row>
    <row r="864" customFormat="false" ht="15" hidden="false" customHeight="false" outlineLevel="0" collapsed="false">
      <c r="A864" s="85" t="str">
        <f aca="false">Gov_Map!$H176&amp;""</f>
        <v>—</v>
      </c>
      <c r="B864" s="66" t="s">
        <v>6250</v>
      </c>
      <c r="C864" s="53" t="n">
        <v>176</v>
      </c>
      <c r="D864" s="53" t="s">
        <v>6251</v>
      </c>
      <c r="E864" s="53" t="s">
        <v>6251</v>
      </c>
    </row>
    <row r="865" customFormat="false" ht="15" hidden="false" customHeight="false" outlineLevel="0" collapsed="false">
      <c r="A865" s="85" t="str">
        <f aca="false">Gov_Map!$H177&amp;""</f>
        <v>SRC_HW_037</v>
      </c>
      <c r="B865" s="66" t="s">
        <v>6250</v>
      </c>
      <c r="C865" s="53" t="n">
        <v>177</v>
      </c>
      <c r="D865" s="53" t="s">
        <v>6251</v>
      </c>
      <c r="E865" s="53" t="s">
        <v>6251</v>
      </c>
    </row>
    <row r="866" customFormat="false" ht="15" hidden="false" customHeight="false" outlineLevel="0" collapsed="false">
      <c r="A866" s="85" t="str">
        <f aca="false">Gov_Map!$H178&amp;""</f>
        <v>—</v>
      </c>
      <c r="B866" s="66" t="s">
        <v>6250</v>
      </c>
      <c r="C866" s="53" t="n">
        <v>178</v>
      </c>
      <c r="D866" s="53" t="s">
        <v>6251</v>
      </c>
      <c r="E866" s="53" t="s">
        <v>6251</v>
      </c>
    </row>
    <row r="867" customFormat="false" ht="15" hidden="false" customHeight="false" outlineLevel="0" collapsed="false">
      <c r="A867" s="85" t="str">
        <f aca="false">Gov_Map!$H179&amp;""</f>
        <v>SRC_MOD_005</v>
      </c>
      <c r="B867" s="66" t="s">
        <v>6250</v>
      </c>
      <c r="C867" s="53" t="n">
        <v>179</v>
      </c>
      <c r="D867" s="53" t="s">
        <v>6251</v>
      </c>
      <c r="E867" s="53" t="s">
        <v>6251</v>
      </c>
    </row>
    <row r="868" customFormat="false" ht="15" hidden="false" customHeight="false" outlineLevel="0" collapsed="false">
      <c r="A868" s="85" t="str">
        <f aca="false">Gov_Map!$H180&amp;""</f>
        <v>SRC_MOD_001</v>
      </c>
      <c r="B868" s="66" t="s">
        <v>6250</v>
      </c>
      <c r="C868" s="53" t="n">
        <v>180</v>
      </c>
      <c r="D868" s="53" t="s">
        <v>6251</v>
      </c>
      <c r="E868" s="53" t="s">
        <v>6251</v>
      </c>
    </row>
    <row r="869" customFormat="false" ht="15" hidden="false" customHeight="false" outlineLevel="0" collapsed="false">
      <c r="A869" s="85" t="str">
        <f aca="false">Gov_Map!$H181&amp;""</f>
        <v>SRC_MOD_006</v>
      </c>
      <c r="B869" s="66" t="s">
        <v>6250</v>
      </c>
      <c r="C869" s="53" t="n">
        <v>181</v>
      </c>
      <c r="D869" s="53" t="s">
        <v>6251</v>
      </c>
      <c r="E869" s="53" t="s">
        <v>6251</v>
      </c>
    </row>
    <row r="870" customFormat="false" ht="15" hidden="false" customHeight="false" outlineLevel="0" collapsed="false">
      <c r="A870" s="85" t="str">
        <f aca="false">Gov_Map!$H182&amp;""</f>
        <v>SRC_MOD_002</v>
      </c>
      <c r="B870" s="66" t="s">
        <v>6250</v>
      </c>
      <c r="C870" s="53" t="n">
        <v>182</v>
      </c>
      <c r="D870" s="53" t="s">
        <v>6251</v>
      </c>
      <c r="E870" s="53" t="s">
        <v>6251</v>
      </c>
    </row>
    <row r="871" customFormat="false" ht="15" hidden="false" customHeight="false" outlineLevel="0" collapsed="false">
      <c r="A871" s="85" t="str">
        <f aca="false">Gov_Map!$H183&amp;""</f>
        <v>SRC_MOD_007</v>
      </c>
      <c r="B871" s="66" t="s">
        <v>6250</v>
      </c>
      <c r="C871" s="53" t="n">
        <v>183</v>
      </c>
      <c r="D871" s="53" t="s">
        <v>6251</v>
      </c>
      <c r="E871" s="53" t="s">
        <v>6251</v>
      </c>
    </row>
    <row r="872" customFormat="false" ht="15" hidden="false" customHeight="false" outlineLevel="0" collapsed="false">
      <c r="A872" s="85" t="str">
        <f aca="false">Gov_Map!$H184&amp;""</f>
        <v>SRC_MOD_003</v>
      </c>
      <c r="B872" s="66" t="s">
        <v>6250</v>
      </c>
      <c r="C872" s="53" t="n">
        <v>184</v>
      </c>
      <c r="D872" s="53" t="s">
        <v>6251</v>
      </c>
      <c r="E872" s="53" t="s">
        <v>6251</v>
      </c>
    </row>
    <row r="873" customFormat="false" ht="15" hidden="false" customHeight="false" outlineLevel="0" collapsed="false">
      <c r="A873" s="85" t="str">
        <f aca="false">Gov_Map!$H185&amp;""</f>
        <v>SRC_MOD_009</v>
      </c>
      <c r="B873" s="66" t="s">
        <v>6250</v>
      </c>
      <c r="C873" s="53" t="n">
        <v>185</v>
      </c>
      <c r="D873" s="53" t="s">
        <v>6251</v>
      </c>
      <c r="E873" s="53" t="s">
        <v>6251</v>
      </c>
    </row>
    <row r="874" customFormat="false" ht="15" hidden="false" customHeight="false" outlineLevel="0" collapsed="false">
      <c r="A874" s="85" t="str">
        <f aca="false">Gov_Map!$H186&amp;""</f>
        <v>SRC_MOD_009</v>
      </c>
      <c r="B874" s="66" t="s">
        <v>6250</v>
      </c>
      <c r="C874" s="53" t="n">
        <v>186</v>
      </c>
      <c r="D874" s="53" t="s">
        <v>6251</v>
      </c>
      <c r="E874" s="53" t="s">
        <v>6251</v>
      </c>
    </row>
    <row r="875" customFormat="false" ht="15" hidden="false" customHeight="false" outlineLevel="0" collapsed="false">
      <c r="A875" s="85" t="str">
        <f aca="false">Gov_Map!$H187&amp;""</f>
        <v>SRC_MOD_010</v>
      </c>
      <c r="B875" s="66" t="s">
        <v>6250</v>
      </c>
      <c r="C875" s="53" t="n">
        <v>187</v>
      </c>
      <c r="D875" s="53" t="s">
        <v>6251</v>
      </c>
      <c r="E875" s="53" t="s">
        <v>6251</v>
      </c>
    </row>
    <row r="876" customFormat="false" ht="15" hidden="false" customHeight="false" outlineLevel="0" collapsed="false">
      <c r="A876" s="85" t="str">
        <f aca="false">Gov_Map!$H188&amp;""</f>
        <v>SRC_MOD_011</v>
      </c>
      <c r="B876" s="66" t="s">
        <v>6250</v>
      </c>
      <c r="C876" s="53" t="n">
        <v>188</v>
      </c>
      <c r="D876" s="53" t="s">
        <v>6251</v>
      </c>
      <c r="E876" s="53" t="s">
        <v>6251</v>
      </c>
    </row>
    <row r="877" customFormat="false" ht="15" hidden="false" customHeight="false" outlineLevel="0" collapsed="false">
      <c r="A877" s="85" t="str">
        <f aca="false">Gov_Map!$H189&amp;""</f>
        <v>SRC_MOD_012</v>
      </c>
      <c r="B877" s="66" t="s">
        <v>6250</v>
      </c>
      <c r="C877" s="53" t="n">
        <v>189</v>
      </c>
      <c r="D877" s="53" t="s">
        <v>6251</v>
      </c>
      <c r="E877" s="53" t="s">
        <v>6251</v>
      </c>
    </row>
    <row r="878" customFormat="false" ht="15" hidden="false" customHeight="false" outlineLevel="0" collapsed="false">
      <c r="A878" s="85" t="str">
        <f aca="false">Gov_Map!$H190&amp;""</f>
        <v>SRC_MOD_012</v>
      </c>
      <c r="B878" s="66" t="s">
        <v>6250</v>
      </c>
      <c r="C878" s="53" t="n">
        <v>190</v>
      </c>
      <c r="D878" s="53" t="s">
        <v>6251</v>
      </c>
      <c r="E878" s="53" t="s">
        <v>6251</v>
      </c>
    </row>
    <row r="879" customFormat="false" ht="15" hidden="false" customHeight="false" outlineLevel="0" collapsed="false">
      <c r="A879" s="85" t="str">
        <f aca="false">Gov_Map!$H191&amp;""</f>
        <v>SRC_MOD_013</v>
      </c>
      <c r="B879" s="66" t="s">
        <v>6250</v>
      </c>
      <c r="C879" s="53" t="n">
        <v>191</v>
      </c>
      <c r="D879" s="53" t="s">
        <v>6251</v>
      </c>
      <c r="E879" s="53" t="s">
        <v>6251</v>
      </c>
    </row>
    <row r="880" customFormat="false" ht="15" hidden="false" customHeight="false" outlineLevel="0" collapsed="false">
      <c r="A880" s="85" t="str">
        <f aca="false">Gov_Map!$H192&amp;""</f>
        <v>SRC_MOD_013</v>
      </c>
      <c r="B880" s="66" t="s">
        <v>6250</v>
      </c>
      <c r="C880" s="53" t="n">
        <v>192</v>
      </c>
      <c r="D880" s="53" t="s">
        <v>6251</v>
      </c>
      <c r="E880" s="53" t="s">
        <v>6251</v>
      </c>
    </row>
    <row r="881" customFormat="false" ht="15" hidden="false" customHeight="false" outlineLevel="0" collapsed="false">
      <c r="A881" s="85" t="str">
        <f aca="false">Gov_Map!$H193&amp;""</f>
        <v>SRC_MOD_014</v>
      </c>
      <c r="B881" s="66" t="s">
        <v>6250</v>
      </c>
      <c r="C881" s="53" t="n">
        <v>193</v>
      </c>
      <c r="D881" s="53" t="s">
        <v>6251</v>
      </c>
      <c r="E881" s="53" t="s">
        <v>6251</v>
      </c>
    </row>
    <row r="882" customFormat="false" ht="15" hidden="false" customHeight="false" outlineLevel="0" collapsed="false">
      <c r="A882" s="85" t="str">
        <f aca="false">Gov_Map!$H194&amp;""</f>
        <v>SRC_MOD_014</v>
      </c>
      <c r="B882" s="66" t="s">
        <v>6250</v>
      </c>
      <c r="C882" s="53" t="n">
        <v>194</v>
      </c>
      <c r="D882" s="53" t="s">
        <v>6251</v>
      </c>
      <c r="E882" s="53" t="s">
        <v>6251</v>
      </c>
    </row>
    <row r="883" customFormat="false" ht="15" hidden="false" customHeight="false" outlineLevel="0" collapsed="false">
      <c r="A883" s="85" t="str">
        <f aca="false">Gov_Map!$H195&amp;""</f>
        <v>SRC_MOD_015</v>
      </c>
      <c r="B883" s="66" t="s">
        <v>6250</v>
      </c>
      <c r="C883" s="53" t="n">
        <v>195</v>
      </c>
      <c r="D883" s="53" t="s">
        <v>6251</v>
      </c>
      <c r="E883" s="53" t="s">
        <v>6251</v>
      </c>
    </row>
    <row r="884" customFormat="false" ht="15" hidden="false" customHeight="false" outlineLevel="0" collapsed="false">
      <c r="A884" s="85" t="str">
        <f aca="false">Gov_Map!$H196&amp;""</f>
        <v>SRC_MOD_015</v>
      </c>
      <c r="B884" s="66" t="s">
        <v>6250</v>
      </c>
      <c r="C884" s="53" t="n">
        <v>196</v>
      </c>
      <c r="D884" s="53" t="s">
        <v>6251</v>
      </c>
      <c r="E884" s="53" t="s">
        <v>6251</v>
      </c>
    </row>
    <row r="885" customFormat="false" ht="15" hidden="false" customHeight="false" outlineLevel="0" collapsed="false">
      <c r="A885" s="85" t="str">
        <f aca="false">Gov_Map!$H197&amp;""</f>
        <v>SRC_MOD_016</v>
      </c>
      <c r="B885" s="66" t="s">
        <v>6250</v>
      </c>
      <c r="C885" s="53" t="n">
        <v>197</v>
      </c>
      <c r="D885" s="53" t="s">
        <v>6251</v>
      </c>
      <c r="E885" s="53" t="s">
        <v>6251</v>
      </c>
    </row>
    <row r="886" customFormat="false" ht="15" hidden="false" customHeight="false" outlineLevel="0" collapsed="false">
      <c r="A886" s="85" t="str">
        <f aca="false">Gov_Map!$H198&amp;""</f>
        <v>SRC_MOD_016</v>
      </c>
      <c r="B886" s="66" t="s">
        <v>6250</v>
      </c>
      <c r="C886" s="53" t="n">
        <v>198</v>
      </c>
      <c r="D886" s="53" t="s">
        <v>6251</v>
      </c>
      <c r="E886" s="53" t="s">
        <v>6251</v>
      </c>
    </row>
    <row r="887" customFormat="false" ht="15" hidden="false" customHeight="false" outlineLevel="0" collapsed="false">
      <c r="A887" s="85" t="str">
        <f aca="false">Gov_Map!$H199&amp;""</f>
        <v>SRC_MOD_017</v>
      </c>
      <c r="B887" s="66" t="s">
        <v>6250</v>
      </c>
      <c r="C887" s="53" t="n">
        <v>199</v>
      </c>
      <c r="D887" s="53" t="s">
        <v>6251</v>
      </c>
      <c r="E887" s="53" t="s">
        <v>6251</v>
      </c>
    </row>
    <row r="888" customFormat="false" ht="15" hidden="false" customHeight="false" outlineLevel="0" collapsed="false">
      <c r="A888" s="85" t="str">
        <f aca="false">Gov_Map!$H200&amp;""</f>
        <v>SRC_MOD_017</v>
      </c>
      <c r="B888" s="66" t="s">
        <v>6250</v>
      </c>
      <c r="C888" s="53" t="n">
        <v>200</v>
      </c>
      <c r="D888" s="53" t="s">
        <v>6251</v>
      </c>
      <c r="E888" s="53" t="s">
        <v>6251</v>
      </c>
    </row>
    <row r="889" customFormat="false" ht="15" hidden="false" customHeight="false" outlineLevel="0" collapsed="false">
      <c r="A889" s="85" t="str">
        <f aca="false">Gov_Map!$H201&amp;""</f>
        <v>SRC_MOD_004</v>
      </c>
      <c r="B889" s="66" t="s">
        <v>6250</v>
      </c>
      <c r="C889" s="53" t="n">
        <v>201</v>
      </c>
      <c r="D889" s="53" t="s">
        <v>6251</v>
      </c>
      <c r="E889" s="53" t="s">
        <v>6251</v>
      </c>
    </row>
    <row r="890" customFormat="false" ht="15" hidden="false" customHeight="false" outlineLevel="0" collapsed="false">
      <c r="A890" s="85" t="str">
        <f aca="false">Gov_Map!$H202&amp;""</f>
        <v>SRC_MOD_008</v>
      </c>
      <c r="B890" s="66" t="s">
        <v>6250</v>
      </c>
      <c r="C890" s="53" t="n">
        <v>202</v>
      </c>
      <c r="D890" s="53" t="s">
        <v>6251</v>
      </c>
      <c r="E890" s="53" t="s">
        <v>6251</v>
      </c>
    </row>
    <row r="891" customFormat="false" ht="15" hidden="false" customHeight="false" outlineLevel="0" collapsed="false">
      <c r="A891" s="85" t="str">
        <f aca="false">Gov_Map!$H203&amp;""</f>
        <v>SRC_MOD_052</v>
      </c>
      <c r="B891" s="66" t="s">
        <v>6250</v>
      </c>
      <c r="C891" s="53" t="n">
        <v>203</v>
      </c>
      <c r="D891" s="53" t="s">
        <v>6251</v>
      </c>
      <c r="E891" s="53" t="s">
        <v>6251</v>
      </c>
    </row>
    <row r="892" customFormat="false" ht="15" hidden="false" customHeight="false" outlineLevel="0" collapsed="false">
      <c r="A892" s="85" t="str">
        <f aca="false">Gov_Map!$H204&amp;""</f>
        <v>SRC_MOD_053</v>
      </c>
      <c r="B892" s="66" t="s">
        <v>6250</v>
      </c>
      <c r="C892" s="53" t="n">
        <v>204</v>
      </c>
      <c r="D892" s="53" t="s">
        <v>6251</v>
      </c>
      <c r="E892" s="53" t="s">
        <v>6251</v>
      </c>
    </row>
    <row r="893" customFormat="false" ht="15" hidden="false" customHeight="false" outlineLevel="0" collapsed="false">
      <c r="A893" s="85" t="str">
        <f aca="false">Gov_Map!$H205&amp;""</f>
        <v>SRC_MOD_018</v>
      </c>
      <c r="B893" s="66" t="s">
        <v>6250</v>
      </c>
      <c r="C893" s="53" t="n">
        <v>205</v>
      </c>
      <c r="D893" s="53" t="s">
        <v>6251</v>
      </c>
      <c r="E893" s="53" t="s">
        <v>6251</v>
      </c>
    </row>
    <row r="894" customFormat="false" ht="15" hidden="false" customHeight="false" outlineLevel="0" collapsed="false">
      <c r="A894" s="85" t="str">
        <f aca="false">Gov_Map!$H206&amp;""</f>
        <v>SRC_MOD_018</v>
      </c>
      <c r="B894" s="66" t="s">
        <v>6250</v>
      </c>
      <c r="C894" s="53" t="n">
        <v>206</v>
      </c>
      <c r="D894" s="53" t="s">
        <v>6251</v>
      </c>
      <c r="E894" s="53" t="s">
        <v>6251</v>
      </c>
    </row>
    <row r="895" customFormat="false" ht="15" hidden="false" customHeight="false" outlineLevel="0" collapsed="false">
      <c r="A895" s="85" t="str">
        <f aca="false">Gov_Map!$H207&amp;""</f>
        <v>—</v>
      </c>
      <c r="B895" s="66" t="s">
        <v>6250</v>
      </c>
      <c r="C895" s="53" t="n">
        <v>207</v>
      </c>
      <c r="D895" s="53" t="s">
        <v>6251</v>
      </c>
      <c r="E895" s="53" t="s">
        <v>6251</v>
      </c>
    </row>
    <row r="896" customFormat="false" ht="15" hidden="false" customHeight="false" outlineLevel="0" collapsed="false">
      <c r="A896" s="85" t="str">
        <f aca="false">Gov_Map!$H208&amp;""</f>
        <v>—</v>
      </c>
      <c r="B896" s="66" t="s">
        <v>6250</v>
      </c>
      <c r="C896" s="53" t="n">
        <v>208</v>
      </c>
      <c r="D896" s="53" t="s">
        <v>6251</v>
      </c>
      <c r="E896" s="53" t="s">
        <v>6251</v>
      </c>
    </row>
    <row r="897" customFormat="false" ht="15" hidden="false" customHeight="false" outlineLevel="0" collapsed="false">
      <c r="A897" s="85" t="str">
        <f aca="false">Gov_Map!$H209&amp;""</f>
        <v>—</v>
      </c>
      <c r="B897" s="66" t="s">
        <v>6250</v>
      </c>
      <c r="C897" s="53" t="n">
        <v>209</v>
      </c>
      <c r="D897" s="53" t="s">
        <v>6251</v>
      </c>
      <c r="E897" s="53" t="s">
        <v>6251</v>
      </c>
    </row>
    <row r="898" customFormat="false" ht="15" hidden="false" customHeight="false" outlineLevel="0" collapsed="false">
      <c r="A898" s="85" t="str">
        <f aca="false">Gov_Map!$H210&amp;""</f>
        <v>—</v>
      </c>
      <c r="B898" s="66" t="s">
        <v>6250</v>
      </c>
      <c r="C898" s="53" t="n">
        <v>210</v>
      </c>
      <c r="D898" s="53" t="s">
        <v>6251</v>
      </c>
      <c r="E898" s="53" t="s">
        <v>6251</v>
      </c>
    </row>
    <row r="899" customFormat="false" ht="15" hidden="false" customHeight="false" outlineLevel="0" collapsed="false">
      <c r="A899" s="85" t="str">
        <f aca="false">Gov_Map!$H211&amp;""</f>
        <v>—</v>
      </c>
      <c r="B899" s="66" t="s">
        <v>6250</v>
      </c>
      <c r="C899" s="53" t="n">
        <v>211</v>
      </c>
      <c r="D899" s="53" t="s">
        <v>6251</v>
      </c>
      <c r="E899" s="53" t="s">
        <v>6251</v>
      </c>
    </row>
    <row r="900" customFormat="false" ht="15" hidden="false" customHeight="false" outlineLevel="0" collapsed="false">
      <c r="A900" s="85" t="str">
        <f aca="false">Gov_Map!$H212&amp;""</f>
        <v>—</v>
      </c>
      <c r="B900" s="66" t="s">
        <v>6250</v>
      </c>
      <c r="C900" s="53" t="n">
        <v>212</v>
      </c>
      <c r="D900" s="53" t="s">
        <v>6251</v>
      </c>
      <c r="E900" s="53" t="s">
        <v>6251</v>
      </c>
    </row>
    <row r="901" customFormat="false" ht="15" hidden="false" customHeight="false" outlineLevel="0" collapsed="false">
      <c r="A901" s="85" t="str">
        <f aca="false">Gov_Map!$H213&amp;""</f>
        <v>—</v>
      </c>
      <c r="B901" s="66" t="s">
        <v>6250</v>
      </c>
      <c r="C901" s="53" t="n">
        <v>213</v>
      </c>
      <c r="D901" s="53" t="s">
        <v>6251</v>
      </c>
      <c r="E901" s="53" t="s">
        <v>6251</v>
      </c>
    </row>
    <row r="902" customFormat="false" ht="15" hidden="false" customHeight="false" outlineLevel="0" collapsed="false">
      <c r="A902" s="85" t="str">
        <f aca="false">Gov_Map!$H214&amp;""</f>
        <v>—</v>
      </c>
      <c r="B902" s="66" t="s">
        <v>6250</v>
      </c>
      <c r="C902" s="53" t="n">
        <v>214</v>
      </c>
      <c r="D902" s="53" t="s">
        <v>6251</v>
      </c>
      <c r="E902" s="53" t="s">
        <v>6251</v>
      </c>
    </row>
    <row r="903" customFormat="false" ht="15" hidden="false" customHeight="false" outlineLevel="0" collapsed="false">
      <c r="A903" s="85" t="str">
        <f aca="false">Gov_Map!$H215&amp;""</f>
        <v>—</v>
      </c>
      <c r="B903" s="66" t="s">
        <v>6250</v>
      </c>
      <c r="C903" s="53" t="n">
        <v>215</v>
      </c>
      <c r="D903" s="53" t="s">
        <v>6251</v>
      </c>
      <c r="E903" s="53" t="s">
        <v>6251</v>
      </c>
    </row>
    <row r="904" customFormat="false" ht="15" hidden="false" customHeight="false" outlineLevel="0" collapsed="false">
      <c r="A904" s="85" t="str">
        <f aca="false">Gov_Map!$H216&amp;""</f>
        <v>—</v>
      </c>
      <c r="B904" s="66" t="s">
        <v>6250</v>
      </c>
      <c r="C904" s="53" t="n">
        <v>216</v>
      </c>
      <c r="D904" s="53" t="s">
        <v>6251</v>
      </c>
      <c r="E904" s="53" t="s">
        <v>6251</v>
      </c>
    </row>
    <row r="905" customFormat="false" ht="15" hidden="false" customHeight="false" outlineLevel="0" collapsed="false">
      <c r="A905" s="85" t="str">
        <f aca="false">Gov_Map!$H217&amp;""</f>
        <v>—</v>
      </c>
      <c r="B905" s="66" t="s">
        <v>6250</v>
      </c>
      <c r="C905" s="53" t="n">
        <v>217</v>
      </c>
      <c r="D905" s="53" t="s">
        <v>6251</v>
      </c>
      <c r="E905" s="53" t="s">
        <v>6251</v>
      </c>
    </row>
    <row r="906" customFormat="false" ht="15" hidden="false" customHeight="false" outlineLevel="0" collapsed="false">
      <c r="A906" s="85" t="str">
        <f aca="false">Gov_Map!$H218&amp;""</f>
        <v>—</v>
      </c>
      <c r="B906" s="66" t="s">
        <v>6250</v>
      </c>
      <c r="C906" s="53" t="n">
        <v>218</v>
      </c>
      <c r="D906" s="53" t="s">
        <v>6251</v>
      </c>
      <c r="E906" s="53" t="s">
        <v>6251</v>
      </c>
    </row>
    <row r="907" customFormat="false" ht="15" hidden="false" customHeight="false" outlineLevel="0" collapsed="false">
      <c r="A907" s="85" t="str">
        <f aca="false">Gov_Map!$H219&amp;""</f>
        <v>—</v>
      </c>
      <c r="B907" s="66" t="s">
        <v>6250</v>
      </c>
      <c r="C907" s="53" t="n">
        <v>219</v>
      </c>
      <c r="D907" s="53" t="s">
        <v>6251</v>
      </c>
      <c r="E907" s="53" t="s">
        <v>6251</v>
      </c>
    </row>
    <row r="908" customFormat="false" ht="15" hidden="false" customHeight="false" outlineLevel="0" collapsed="false">
      <c r="A908" s="85" t="str">
        <f aca="false">Gov_Map!$H220&amp;""</f>
        <v>—</v>
      </c>
      <c r="B908" s="66" t="s">
        <v>6250</v>
      </c>
      <c r="C908" s="53" t="n">
        <v>220</v>
      </c>
      <c r="D908" s="53" t="s">
        <v>6251</v>
      </c>
      <c r="E908" s="53" t="s">
        <v>6251</v>
      </c>
    </row>
    <row r="909" customFormat="false" ht="15" hidden="false" customHeight="false" outlineLevel="0" collapsed="false">
      <c r="A909" s="85" t="str">
        <f aca="false">Gov_Map!$H221&amp;""</f>
        <v>—</v>
      </c>
      <c r="B909" s="66" t="s">
        <v>6250</v>
      </c>
      <c r="C909" s="53" t="n">
        <v>221</v>
      </c>
      <c r="D909" s="53" t="s">
        <v>6251</v>
      </c>
      <c r="E909" s="53" t="s">
        <v>6251</v>
      </c>
    </row>
    <row r="910" customFormat="false" ht="15" hidden="false" customHeight="false" outlineLevel="0" collapsed="false">
      <c r="A910" s="85" t="str">
        <f aca="false">Gov_Map!$H222&amp;""</f>
        <v>—</v>
      </c>
      <c r="B910" s="66" t="s">
        <v>6250</v>
      </c>
      <c r="C910" s="53" t="n">
        <v>222</v>
      </c>
      <c r="D910" s="53" t="s">
        <v>6251</v>
      </c>
      <c r="E910" s="53" t="s">
        <v>6251</v>
      </c>
    </row>
    <row r="911" customFormat="false" ht="15" hidden="false" customHeight="false" outlineLevel="0" collapsed="false">
      <c r="A911" s="85" t="str">
        <f aca="false">Gov_Map!$H223&amp;""</f>
        <v>—</v>
      </c>
      <c r="B911" s="66" t="s">
        <v>6250</v>
      </c>
      <c r="C911" s="53" t="n">
        <v>223</v>
      </c>
      <c r="D911" s="53" t="s">
        <v>6251</v>
      </c>
      <c r="E911" s="53" t="s">
        <v>6251</v>
      </c>
    </row>
    <row r="912" customFormat="false" ht="15" hidden="false" customHeight="false" outlineLevel="0" collapsed="false">
      <c r="A912" s="85" t="str">
        <f aca="false">Gov_Map!$H224&amp;""</f>
        <v>—</v>
      </c>
      <c r="B912" s="66" t="s">
        <v>6250</v>
      </c>
      <c r="C912" s="53" t="n">
        <v>224</v>
      </c>
      <c r="D912" s="53" t="s">
        <v>6251</v>
      </c>
      <c r="E912" s="53" t="s">
        <v>6251</v>
      </c>
    </row>
    <row r="913" customFormat="false" ht="15" hidden="false" customHeight="false" outlineLevel="0" collapsed="false">
      <c r="A913" s="85" t="str">
        <f aca="false">Gov_Map!$H225&amp;""</f>
        <v>—</v>
      </c>
      <c r="B913" s="66" t="s">
        <v>6250</v>
      </c>
      <c r="C913" s="53" t="n">
        <v>225</v>
      </c>
      <c r="D913" s="53" t="s">
        <v>6251</v>
      </c>
      <c r="E913" s="53" t="s">
        <v>6251</v>
      </c>
    </row>
    <row r="914" customFormat="false" ht="15" hidden="false" customHeight="false" outlineLevel="0" collapsed="false">
      <c r="A914" s="85" t="str">
        <f aca="false">Gov_Map!$H226&amp;""</f>
        <v>—</v>
      </c>
      <c r="B914" s="66" t="s">
        <v>6250</v>
      </c>
      <c r="C914" s="53" t="n">
        <v>226</v>
      </c>
      <c r="D914" s="53" t="s">
        <v>6251</v>
      </c>
      <c r="E914" s="53" t="s">
        <v>6251</v>
      </c>
    </row>
    <row r="915" customFormat="false" ht="15" hidden="false" customHeight="false" outlineLevel="0" collapsed="false">
      <c r="A915" s="85" t="str">
        <f aca="false">Gov_Map!$H227&amp;""</f>
        <v>—</v>
      </c>
      <c r="B915" s="66" t="s">
        <v>6250</v>
      </c>
      <c r="C915" s="53" t="n">
        <v>227</v>
      </c>
      <c r="D915" s="53" t="s">
        <v>6251</v>
      </c>
      <c r="E915" s="53" t="s">
        <v>6251</v>
      </c>
    </row>
    <row r="916" customFormat="false" ht="15" hidden="false" customHeight="false" outlineLevel="0" collapsed="false">
      <c r="A916" s="85" t="str">
        <f aca="false">Gov_Map!$H228&amp;""</f>
        <v>—</v>
      </c>
      <c r="B916" s="66" t="s">
        <v>6250</v>
      </c>
      <c r="C916" s="53" t="n">
        <v>228</v>
      </c>
      <c r="D916" s="53" t="s">
        <v>6251</v>
      </c>
      <c r="E916" s="53" t="s">
        <v>6251</v>
      </c>
    </row>
    <row r="917" customFormat="false" ht="15" hidden="false" customHeight="false" outlineLevel="0" collapsed="false">
      <c r="A917" s="85" t="str">
        <f aca="false">Gov_Map!$H229&amp;""</f>
        <v>—</v>
      </c>
      <c r="B917" s="66" t="s">
        <v>6250</v>
      </c>
      <c r="C917" s="53" t="n">
        <v>229</v>
      </c>
      <c r="D917" s="53" t="s">
        <v>6251</v>
      </c>
      <c r="E917" s="53" t="s">
        <v>6251</v>
      </c>
    </row>
    <row r="918" customFormat="false" ht="15" hidden="false" customHeight="false" outlineLevel="0" collapsed="false">
      <c r="A918" s="85" t="str">
        <f aca="false">Gov_Map!$H230&amp;""</f>
        <v>—</v>
      </c>
      <c r="B918" s="66" t="s">
        <v>6250</v>
      </c>
      <c r="C918" s="53" t="n">
        <v>230</v>
      </c>
      <c r="D918" s="53" t="s">
        <v>6251</v>
      </c>
      <c r="E918" s="53" t="s">
        <v>6251</v>
      </c>
    </row>
    <row r="919" customFormat="false" ht="15" hidden="false" customHeight="false" outlineLevel="0" collapsed="false">
      <c r="A919" s="85" t="str">
        <f aca="false">Gov_Map!$H231&amp;""</f>
        <v>SRC_PERF_035</v>
      </c>
      <c r="B919" s="66" t="s">
        <v>6250</v>
      </c>
      <c r="C919" s="53" t="n">
        <v>231</v>
      </c>
      <c r="D919" s="53" t="s">
        <v>6251</v>
      </c>
      <c r="E919" s="53" t="s">
        <v>6251</v>
      </c>
    </row>
    <row r="920" customFormat="false" ht="15" hidden="false" customHeight="false" outlineLevel="0" collapsed="false">
      <c r="A920" s="85" t="str">
        <f aca="false">Gov_Map!$H232&amp;""</f>
        <v>SRC_PERF_005</v>
      </c>
      <c r="B920" s="66" t="s">
        <v>6250</v>
      </c>
      <c r="C920" s="53" t="n">
        <v>232</v>
      </c>
      <c r="D920" s="53" t="s">
        <v>6251</v>
      </c>
      <c r="E920" s="53" t="s">
        <v>6251</v>
      </c>
    </row>
    <row r="921" customFormat="false" ht="15" hidden="false" customHeight="false" outlineLevel="0" collapsed="false">
      <c r="A921" s="85" t="str">
        <f aca="false">Gov_Map!$H233&amp;""</f>
        <v>—</v>
      </c>
      <c r="B921" s="66" t="s">
        <v>6250</v>
      </c>
      <c r="C921" s="53" t="n">
        <v>233</v>
      </c>
      <c r="D921" s="53" t="s">
        <v>6251</v>
      </c>
      <c r="E921" s="53" t="s">
        <v>6251</v>
      </c>
    </row>
    <row r="922" customFormat="false" ht="15" hidden="false" customHeight="false" outlineLevel="0" collapsed="false">
      <c r="A922" s="85" t="str">
        <f aca="false">Gov_Map!$H234&amp;""</f>
        <v>—</v>
      </c>
      <c r="B922" s="66" t="s">
        <v>6250</v>
      </c>
      <c r="C922" s="53" t="n">
        <v>234</v>
      </c>
      <c r="D922" s="53" t="s">
        <v>6251</v>
      </c>
      <c r="E922" s="53" t="s">
        <v>6251</v>
      </c>
    </row>
    <row r="923" customFormat="false" ht="15" hidden="false" customHeight="false" outlineLevel="0" collapsed="false">
      <c r="A923" s="85" t="str">
        <f aca="false">Gov_Map!$H235&amp;""</f>
        <v>—</v>
      </c>
      <c r="B923" s="66" t="s">
        <v>6250</v>
      </c>
      <c r="C923" s="53" t="n">
        <v>235</v>
      </c>
      <c r="D923" s="53" t="s">
        <v>6251</v>
      </c>
      <c r="E923" s="53" t="s">
        <v>6251</v>
      </c>
    </row>
    <row r="924" customFormat="false" ht="15" hidden="false" customHeight="false" outlineLevel="0" collapsed="false">
      <c r="A924" s="85" t="str">
        <f aca="false">Gov_Map!$H236&amp;""</f>
        <v>—</v>
      </c>
      <c r="B924" s="66" t="s">
        <v>6250</v>
      </c>
      <c r="C924" s="53" t="n">
        <v>236</v>
      </c>
      <c r="D924" s="53" t="s">
        <v>6251</v>
      </c>
      <c r="E924" s="53" t="s">
        <v>6251</v>
      </c>
    </row>
    <row r="925" customFormat="false" ht="15" hidden="false" customHeight="false" outlineLevel="0" collapsed="false">
      <c r="A925" s="85" t="str">
        <f aca="false">Gov_Map!$H237&amp;""</f>
        <v>—</v>
      </c>
      <c r="B925" s="66" t="s">
        <v>6250</v>
      </c>
      <c r="C925" s="53" t="n">
        <v>237</v>
      </c>
      <c r="D925" s="53" t="s">
        <v>6251</v>
      </c>
      <c r="E925" s="53" t="s">
        <v>6251</v>
      </c>
    </row>
    <row r="926" customFormat="false" ht="15" hidden="false" customHeight="false" outlineLevel="0" collapsed="false">
      <c r="A926" s="85" t="str">
        <f aca="false">Gov_Map!$H238&amp;""</f>
        <v>—</v>
      </c>
      <c r="B926" s="66" t="s">
        <v>6250</v>
      </c>
      <c r="C926" s="53" t="n">
        <v>238</v>
      </c>
      <c r="D926" s="53" t="s">
        <v>6251</v>
      </c>
      <c r="E926" s="53" t="s">
        <v>6251</v>
      </c>
    </row>
    <row r="927" customFormat="false" ht="15" hidden="false" customHeight="false" outlineLevel="0" collapsed="false">
      <c r="A927" s="85" t="str">
        <f aca="false">Gov_Map!$H239&amp;""</f>
        <v>—</v>
      </c>
      <c r="B927" s="66" t="s">
        <v>6250</v>
      </c>
      <c r="C927" s="53" t="n">
        <v>239</v>
      </c>
      <c r="D927" s="53" t="s">
        <v>6251</v>
      </c>
      <c r="E927" s="53" t="s">
        <v>6251</v>
      </c>
    </row>
    <row r="928" customFormat="false" ht="15" hidden="false" customHeight="false" outlineLevel="0" collapsed="false">
      <c r="A928" s="85" t="str">
        <f aca="false">Gov_Map!$H240&amp;""</f>
        <v>—</v>
      </c>
      <c r="B928" s="66" t="s">
        <v>6250</v>
      </c>
      <c r="C928" s="53" t="n">
        <v>240</v>
      </c>
      <c r="D928" s="53" t="s">
        <v>6251</v>
      </c>
      <c r="E928" s="53" t="s">
        <v>6251</v>
      </c>
    </row>
    <row r="929" customFormat="false" ht="15" hidden="false" customHeight="false" outlineLevel="0" collapsed="false">
      <c r="A929" s="85" t="str">
        <f aca="false">Gov_Map!$H241&amp;""</f>
        <v>—</v>
      </c>
      <c r="B929" s="66" t="s">
        <v>6250</v>
      </c>
      <c r="C929" s="53" t="n">
        <v>241</v>
      </c>
      <c r="D929" s="53" t="s">
        <v>6251</v>
      </c>
      <c r="E929" s="53" t="s">
        <v>6251</v>
      </c>
    </row>
    <row r="930" customFormat="false" ht="15" hidden="false" customHeight="false" outlineLevel="0" collapsed="false">
      <c r="A930" s="85" t="str">
        <f aca="false">Gov_Map!$H242&amp;""</f>
        <v>—</v>
      </c>
      <c r="B930" s="66" t="s">
        <v>6250</v>
      </c>
      <c r="C930" s="53" t="n">
        <v>242</v>
      </c>
      <c r="D930" s="53" t="s">
        <v>6251</v>
      </c>
      <c r="E930" s="53" t="s">
        <v>6251</v>
      </c>
    </row>
    <row r="931" customFormat="false" ht="15" hidden="false" customHeight="false" outlineLevel="0" collapsed="false">
      <c r="A931" s="85" t="str">
        <f aca="false">Gov_Map!$H243&amp;""</f>
        <v>SRC_PERF_018</v>
      </c>
      <c r="B931" s="66" t="s">
        <v>6250</v>
      </c>
      <c r="C931" s="53" t="n">
        <v>243</v>
      </c>
      <c r="D931" s="53" t="s">
        <v>6251</v>
      </c>
      <c r="E931" s="53" t="s">
        <v>6251</v>
      </c>
    </row>
    <row r="932" customFormat="false" ht="15" hidden="false" customHeight="false" outlineLevel="0" collapsed="false">
      <c r="A932" s="85" t="str">
        <f aca="false">Gov_Map!$H244&amp;""</f>
        <v>SRC_PERF_019</v>
      </c>
      <c r="B932" s="66" t="s">
        <v>6250</v>
      </c>
      <c r="C932" s="53" t="n">
        <v>244</v>
      </c>
      <c r="D932" s="53" t="s">
        <v>6251</v>
      </c>
      <c r="E932" s="53" t="s">
        <v>6251</v>
      </c>
    </row>
    <row r="933" customFormat="false" ht="15" hidden="false" customHeight="false" outlineLevel="0" collapsed="false">
      <c r="A933" s="85" t="str">
        <f aca="false">Gov_Map!$H245&amp;""</f>
        <v>SRC_PERF_020</v>
      </c>
      <c r="B933" s="66" t="s">
        <v>6250</v>
      </c>
      <c r="C933" s="53" t="n">
        <v>245</v>
      </c>
      <c r="D933" s="53" t="s">
        <v>6251</v>
      </c>
      <c r="E933" s="53" t="s">
        <v>6251</v>
      </c>
    </row>
    <row r="934" customFormat="false" ht="15" hidden="false" customHeight="false" outlineLevel="0" collapsed="false">
      <c r="A934" s="85" t="str">
        <f aca="false">Gov_Map!$H246&amp;""</f>
        <v>—</v>
      </c>
      <c r="B934" s="66" t="s">
        <v>6250</v>
      </c>
      <c r="C934" s="53" t="n">
        <v>246</v>
      </c>
      <c r="D934" s="53" t="s">
        <v>6251</v>
      </c>
      <c r="E934" s="53" t="s">
        <v>6251</v>
      </c>
    </row>
    <row r="935" customFormat="false" ht="15" hidden="false" customHeight="false" outlineLevel="0" collapsed="false">
      <c r="A935" s="85" t="str">
        <f aca="false">Gov_Map!$H247&amp;""</f>
        <v>—</v>
      </c>
      <c r="B935" s="66" t="s">
        <v>6250</v>
      </c>
      <c r="C935" s="53" t="n">
        <v>247</v>
      </c>
      <c r="D935" s="53" t="s">
        <v>6251</v>
      </c>
      <c r="E935" s="53" t="s">
        <v>6251</v>
      </c>
    </row>
    <row r="936" customFormat="false" ht="15" hidden="false" customHeight="false" outlineLevel="0" collapsed="false">
      <c r="A936" s="85" t="str">
        <f aca="false">Gov_Map!$H248&amp;""</f>
        <v>—</v>
      </c>
      <c r="B936" s="66" t="s">
        <v>6250</v>
      </c>
      <c r="C936" s="53" t="n">
        <v>248</v>
      </c>
      <c r="D936" s="53" t="s">
        <v>6251</v>
      </c>
      <c r="E936" s="53" t="s">
        <v>6251</v>
      </c>
    </row>
    <row r="937" customFormat="false" ht="15" hidden="false" customHeight="false" outlineLevel="0" collapsed="false">
      <c r="A937" s="85" t="str">
        <f aca="false">Gov_Map!$H249&amp;""</f>
        <v>—</v>
      </c>
      <c r="B937" s="66" t="s">
        <v>6250</v>
      </c>
      <c r="C937" s="53" t="n">
        <v>249</v>
      </c>
      <c r="D937" s="53" t="s">
        <v>6251</v>
      </c>
      <c r="E937" s="53" t="s">
        <v>6251</v>
      </c>
    </row>
    <row r="938" customFormat="false" ht="15" hidden="false" customHeight="false" outlineLevel="0" collapsed="false">
      <c r="A938" s="85" t="str">
        <f aca="false">Gov_Map!$H250&amp;""</f>
        <v>—</v>
      </c>
      <c r="B938" s="66" t="s">
        <v>6250</v>
      </c>
      <c r="C938" s="53" t="n">
        <v>250</v>
      </c>
      <c r="D938" s="53" t="s">
        <v>6251</v>
      </c>
      <c r="E938" s="53" t="s">
        <v>6251</v>
      </c>
    </row>
    <row r="939" customFormat="false" ht="15" hidden="false" customHeight="false" outlineLevel="0" collapsed="false">
      <c r="A939" s="85" t="str">
        <f aca="false">Gov_Map!$H251&amp;""</f>
        <v>—</v>
      </c>
      <c r="B939" s="66" t="s">
        <v>6250</v>
      </c>
      <c r="C939" s="53" t="n">
        <v>251</v>
      </c>
      <c r="D939" s="53" t="s">
        <v>6251</v>
      </c>
      <c r="E939" s="53" t="s">
        <v>6251</v>
      </c>
    </row>
    <row r="940" customFormat="false" ht="15" hidden="false" customHeight="false" outlineLevel="0" collapsed="false">
      <c r="A940" s="85" t="str">
        <f aca="false">Gov_Map!$H252&amp;""</f>
        <v>—</v>
      </c>
      <c r="B940" s="66" t="s">
        <v>6250</v>
      </c>
      <c r="C940" s="53" t="n">
        <v>252</v>
      </c>
      <c r="D940" s="53" t="s">
        <v>6251</v>
      </c>
      <c r="E940" s="53" t="s">
        <v>6251</v>
      </c>
    </row>
    <row r="941" customFormat="false" ht="15" hidden="false" customHeight="false" outlineLevel="0" collapsed="false">
      <c r="A941" s="85" t="str">
        <f aca="false">Gov_Map!$H253&amp;""</f>
        <v>—</v>
      </c>
      <c r="B941" s="66" t="s">
        <v>6250</v>
      </c>
      <c r="C941" s="53" t="n">
        <v>253</v>
      </c>
      <c r="D941" s="53" t="s">
        <v>6251</v>
      </c>
      <c r="E941" s="53" t="s">
        <v>6251</v>
      </c>
    </row>
    <row r="942" customFormat="false" ht="15" hidden="false" customHeight="false" outlineLevel="0" collapsed="false">
      <c r="A942" s="85" t="str">
        <f aca="false">Gov_Map!$H254&amp;""</f>
        <v>—</v>
      </c>
      <c r="B942" s="66" t="s">
        <v>6250</v>
      </c>
      <c r="C942" s="53" t="n">
        <v>254</v>
      </c>
      <c r="D942" s="53" t="s">
        <v>6251</v>
      </c>
      <c r="E942" s="53" t="s">
        <v>6251</v>
      </c>
    </row>
    <row r="943" customFormat="false" ht="15" hidden="false" customHeight="false" outlineLevel="0" collapsed="false">
      <c r="A943" s="85" t="str">
        <f aca="false">Gov_Map!$H255&amp;""</f>
        <v>—</v>
      </c>
      <c r="B943" s="66" t="s">
        <v>6250</v>
      </c>
      <c r="C943" s="53" t="n">
        <v>255</v>
      </c>
      <c r="D943" s="53" t="s">
        <v>6251</v>
      </c>
      <c r="E943" s="53" t="s">
        <v>6251</v>
      </c>
    </row>
    <row r="944" customFormat="false" ht="15" hidden="false" customHeight="false" outlineLevel="0" collapsed="false">
      <c r="A944" s="85" t="str">
        <f aca="false">Gov_Map!$H256&amp;""</f>
        <v>—</v>
      </c>
      <c r="B944" s="66" t="s">
        <v>6250</v>
      </c>
      <c r="C944" s="53" t="n">
        <v>256</v>
      </c>
      <c r="D944" s="53" t="s">
        <v>6251</v>
      </c>
      <c r="E944" s="53" t="s">
        <v>6251</v>
      </c>
    </row>
    <row r="945" customFormat="false" ht="15" hidden="false" customHeight="false" outlineLevel="0" collapsed="false">
      <c r="A945" s="85" t="str">
        <f aca="false">Gov_Map!$H257&amp;""</f>
        <v>—</v>
      </c>
      <c r="B945" s="66" t="s">
        <v>6250</v>
      </c>
      <c r="C945" s="53" t="n">
        <v>257</v>
      </c>
      <c r="D945" s="53" t="s">
        <v>6251</v>
      </c>
      <c r="E945" s="53" t="s">
        <v>6251</v>
      </c>
    </row>
    <row r="946" customFormat="false" ht="15" hidden="false" customHeight="false" outlineLevel="0" collapsed="false">
      <c r="A946" s="85" t="str">
        <f aca="false">Gov_Map!$H258&amp;""</f>
        <v>—</v>
      </c>
      <c r="B946" s="66" t="s">
        <v>6250</v>
      </c>
      <c r="C946" s="53" t="n">
        <v>258</v>
      </c>
      <c r="D946" s="53" t="s">
        <v>6251</v>
      </c>
      <c r="E946" s="53" t="s">
        <v>6251</v>
      </c>
    </row>
    <row r="947" customFormat="false" ht="15" hidden="false" customHeight="false" outlineLevel="0" collapsed="false">
      <c r="A947" s="85" t="str">
        <f aca="false">Gov_Map!$H259&amp;""</f>
        <v>—</v>
      </c>
      <c r="B947" s="66" t="s">
        <v>6250</v>
      </c>
      <c r="C947" s="53" t="n">
        <v>259</v>
      </c>
      <c r="D947" s="53" t="s">
        <v>6251</v>
      </c>
      <c r="E947" s="53" t="s">
        <v>6251</v>
      </c>
    </row>
    <row r="948" customFormat="false" ht="15" hidden="false" customHeight="false" outlineLevel="0" collapsed="false">
      <c r="A948" s="85" t="str">
        <f aca="false">Gov_Map!$H260&amp;""</f>
        <v>—</v>
      </c>
      <c r="B948" s="66" t="s">
        <v>6250</v>
      </c>
      <c r="C948" s="53" t="n">
        <v>260</v>
      </c>
      <c r="D948" s="53" t="s">
        <v>6251</v>
      </c>
      <c r="E948" s="53" t="s">
        <v>6251</v>
      </c>
    </row>
    <row r="949" customFormat="false" ht="15" hidden="false" customHeight="false" outlineLevel="0" collapsed="false">
      <c r="A949" s="85" t="str">
        <f aca="false">Gov_Map!$H261&amp;""</f>
        <v>—</v>
      </c>
      <c r="B949" s="66" t="s">
        <v>6250</v>
      </c>
      <c r="C949" s="53" t="n">
        <v>261</v>
      </c>
      <c r="D949" s="53" t="s">
        <v>6251</v>
      </c>
      <c r="E949" s="53" t="s">
        <v>6251</v>
      </c>
    </row>
    <row r="950" customFormat="false" ht="15" hidden="false" customHeight="false" outlineLevel="0" collapsed="false">
      <c r="A950" s="85" t="str">
        <f aca="false">Gov_Map!$H262&amp;""</f>
        <v>—</v>
      </c>
      <c r="B950" s="66" t="s">
        <v>6250</v>
      </c>
      <c r="C950" s="53" t="n">
        <v>262</v>
      </c>
      <c r="D950" s="53" t="s">
        <v>6251</v>
      </c>
      <c r="E950" s="53" t="s">
        <v>6251</v>
      </c>
    </row>
    <row r="951" customFormat="false" ht="15" hidden="false" customHeight="false" outlineLevel="0" collapsed="false">
      <c r="A951" s="85" t="str">
        <f aca="false">Gov_Map!$H263&amp;""</f>
        <v>—</v>
      </c>
      <c r="B951" s="66" t="s">
        <v>6250</v>
      </c>
      <c r="C951" s="53" t="n">
        <v>263</v>
      </c>
      <c r="D951" s="53" t="s">
        <v>6251</v>
      </c>
      <c r="E951" s="53" t="s">
        <v>6251</v>
      </c>
    </row>
    <row r="952" customFormat="false" ht="15" hidden="false" customHeight="false" outlineLevel="0" collapsed="false">
      <c r="A952" s="85" t="str">
        <f aca="false">Gov_Map!$H264&amp;""</f>
        <v>—</v>
      </c>
      <c r="B952" s="66" t="s">
        <v>6250</v>
      </c>
      <c r="C952" s="53" t="n">
        <v>264</v>
      </c>
      <c r="D952" s="53" t="s">
        <v>6251</v>
      </c>
      <c r="E952" s="53" t="s">
        <v>6251</v>
      </c>
    </row>
    <row r="953" customFormat="false" ht="15" hidden="false" customHeight="false" outlineLevel="0" collapsed="false">
      <c r="A953" s="85" t="str">
        <f aca="false">Gov_Map!$H265&amp;""</f>
        <v>—</v>
      </c>
      <c r="B953" s="66" t="s">
        <v>6250</v>
      </c>
      <c r="C953" s="53" t="n">
        <v>265</v>
      </c>
      <c r="D953" s="53" t="s">
        <v>6251</v>
      </c>
      <c r="E953" s="53" t="s">
        <v>6251</v>
      </c>
    </row>
    <row r="954" customFormat="false" ht="15" hidden="false" customHeight="false" outlineLevel="0" collapsed="false">
      <c r="A954" s="85" t="str">
        <f aca="false">Gov_Map!$H266&amp;""</f>
        <v>—</v>
      </c>
      <c r="B954" s="66" t="s">
        <v>6250</v>
      </c>
      <c r="C954" s="53" t="n">
        <v>266</v>
      </c>
      <c r="D954" s="53" t="s">
        <v>6251</v>
      </c>
      <c r="E954" s="53" t="s">
        <v>6251</v>
      </c>
    </row>
    <row r="955" customFormat="false" ht="15" hidden="false" customHeight="false" outlineLevel="0" collapsed="false">
      <c r="A955" s="85" t="str">
        <f aca="false">Gov_Map!$H267&amp;""</f>
        <v>—</v>
      </c>
      <c r="B955" s="66" t="s">
        <v>6250</v>
      </c>
      <c r="C955" s="53" t="n">
        <v>267</v>
      </c>
      <c r="D955" s="53" t="s">
        <v>6251</v>
      </c>
      <c r="E955" s="53" t="s">
        <v>6251</v>
      </c>
    </row>
    <row r="956" customFormat="false" ht="15" hidden="false" customHeight="false" outlineLevel="0" collapsed="false">
      <c r="A956" s="85" t="str">
        <f aca="false">Gov_Map!$H268&amp;""</f>
        <v>—</v>
      </c>
      <c r="B956" s="66" t="s">
        <v>6250</v>
      </c>
      <c r="C956" s="53" t="n">
        <v>268</v>
      </c>
      <c r="D956" s="53" t="s">
        <v>6251</v>
      </c>
      <c r="E956" s="53" t="s">
        <v>6251</v>
      </c>
    </row>
    <row r="957" customFormat="false" ht="15" hidden="false" customHeight="false" outlineLevel="0" collapsed="false">
      <c r="A957" s="85" t="str">
        <f aca="false">Gov_Map!$H269&amp;""</f>
        <v>—</v>
      </c>
      <c r="B957" s="66" t="s">
        <v>6250</v>
      </c>
      <c r="C957" s="53" t="n">
        <v>269</v>
      </c>
      <c r="D957" s="53" t="s">
        <v>6251</v>
      </c>
      <c r="E957" s="53" t="s">
        <v>6251</v>
      </c>
    </row>
    <row r="958" customFormat="false" ht="15" hidden="false" customHeight="false" outlineLevel="0" collapsed="false">
      <c r="A958" s="85" t="str">
        <f aca="false">Gov_Map!$H270&amp;""</f>
        <v>—</v>
      </c>
      <c r="B958" s="66" t="s">
        <v>6250</v>
      </c>
      <c r="C958" s="53" t="n">
        <v>270</v>
      </c>
      <c r="D958" s="53" t="s">
        <v>6251</v>
      </c>
      <c r="E958" s="53" t="s">
        <v>6251</v>
      </c>
    </row>
    <row r="959" customFormat="false" ht="15" hidden="false" customHeight="false" outlineLevel="0" collapsed="false">
      <c r="A959" s="85" t="str">
        <f aca="false">Gov_Map!$H271&amp;""</f>
        <v>—</v>
      </c>
      <c r="B959" s="66" t="s">
        <v>6250</v>
      </c>
      <c r="C959" s="53" t="n">
        <v>271</v>
      </c>
      <c r="D959" s="53" t="s">
        <v>6251</v>
      </c>
      <c r="E959" s="53" t="s">
        <v>6251</v>
      </c>
    </row>
    <row r="960" customFormat="false" ht="15" hidden="false" customHeight="false" outlineLevel="0" collapsed="false">
      <c r="A960" s="85" t="str">
        <f aca="false">Gov_Map!$H272&amp;""</f>
        <v>—</v>
      </c>
      <c r="B960" s="66" t="s">
        <v>6250</v>
      </c>
      <c r="C960" s="53" t="n">
        <v>272</v>
      </c>
      <c r="D960" s="53" t="s">
        <v>6251</v>
      </c>
      <c r="E960" s="53" t="s">
        <v>6251</v>
      </c>
    </row>
    <row r="961" customFormat="false" ht="15" hidden="false" customHeight="false" outlineLevel="0" collapsed="false">
      <c r="A961" s="85" t="str">
        <f aca="false">Gov_Map!$H273&amp;""</f>
        <v>—</v>
      </c>
      <c r="B961" s="66" t="s">
        <v>6250</v>
      </c>
      <c r="C961" s="53" t="n">
        <v>273</v>
      </c>
      <c r="D961" s="53" t="s">
        <v>6251</v>
      </c>
      <c r="E961" s="53" t="s">
        <v>6251</v>
      </c>
    </row>
    <row r="962" customFormat="false" ht="15" hidden="false" customHeight="false" outlineLevel="0" collapsed="false">
      <c r="A962" s="85" t="str">
        <f aca="false">Gov_Map!$H274&amp;""</f>
        <v>—</v>
      </c>
      <c r="B962" s="66" t="s">
        <v>6250</v>
      </c>
      <c r="C962" s="53" t="n">
        <v>274</v>
      </c>
      <c r="D962" s="53" t="s">
        <v>6251</v>
      </c>
      <c r="E962" s="53" t="s">
        <v>6251</v>
      </c>
    </row>
    <row r="963" customFormat="false" ht="15" hidden="false" customHeight="false" outlineLevel="0" collapsed="false">
      <c r="A963" s="85" t="str">
        <f aca="false">Gov_Map!$H275&amp;""</f>
        <v>—</v>
      </c>
      <c r="B963" s="66" t="s">
        <v>6250</v>
      </c>
      <c r="C963" s="53" t="n">
        <v>275</v>
      </c>
      <c r="D963" s="53" t="s">
        <v>6251</v>
      </c>
      <c r="E963" s="53" t="s">
        <v>6251</v>
      </c>
    </row>
    <row r="964" customFormat="false" ht="15" hidden="false" customHeight="false" outlineLevel="0" collapsed="false">
      <c r="A964" s="85" t="str">
        <f aca="false">Gov_Map!$H276&amp;""</f>
        <v>—</v>
      </c>
      <c r="B964" s="66" t="s">
        <v>6250</v>
      </c>
      <c r="C964" s="53" t="n">
        <v>276</v>
      </c>
      <c r="D964" s="53" t="s">
        <v>6251</v>
      </c>
      <c r="E964" s="53" t="s">
        <v>6251</v>
      </c>
    </row>
    <row r="965" customFormat="false" ht="15" hidden="false" customHeight="false" outlineLevel="0" collapsed="false">
      <c r="A965" s="85" t="str">
        <f aca="false">Gov_Map!$H277&amp;""</f>
        <v>—</v>
      </c>
      <c r="B965" s="66" t="s">
        <v>6250</v>
      </c>
      <c r="C965" s="53" t="n">
        <v>277</v>
      </c>
      <c r="D965" s="53" t="s">
        <v>6251</v>
      </c>
      <c r="E965" s="53" t="s">
        <v>6251</v>
      </c>
    </row>
    <row r="966" customFormat="false" ht="15" hidden="false" customHeight="false" outlineLevel="0" collapsed="false">
      <c r="A966" s="85" t="str">
        <f aca="false">Gov_Map!$H278&amp;""</f>
        <v>—</v>
      </c>
      <c r="B966" s="66" t="s">
        <v>6250</v>
      </c>
      <c r="C966" s="53" t="n">
        <v>278</v>
      </c>
      <c r="D966" s="53" t="s">
        <v>6251</v>
      </c>
      <c r="E966" s="53" t="s">
        <v>6251</v>
      </c>
    </row>
    <row r="967" customFormat="false" ht="15" hidden="false" customHeight="false" outlineLevel="0" collapsed="false">
      <c r="A967" s="85" t="str">
        <f aca="false">Gov_Map!$H279&amp;""</f>
        <v>—</v>
      </c>
      <c r="B967" s="66" t="s">
        <v>6250</v>
      </c>
      <c r="C967" s="53" t="n">
        <v>279</v>
      </c>
      <c r="D967" s="53" t="s">
        <v>6251</v>
      </c>
      <c r="E967" s="53" t="s">
        <v>6251</v>
      </c>
    </row>
    <row r="968" customFormat="false" ht="15" hidden="false" customHeight="false" outlineLevel="0" collapsed="false">
      <c r="A968" s="85" t="str">
        <f aca="false">Gov_Map!$H280&amp;""</f>
        <v>—</v>
      </c>
      <c r="B968" s="66" t="s">
        <v>6250</v>
      </c>
      <c r="C968" s="53" t="n">
        <v>280</v>
      </c>
      <c r="D968" s="53" t="s">
        <v>6251</v>
      </c>
      <c r="E968" s="53" t="s">
        <v>6251</v>
      </c>
    </row>
    <row r="969" customFormat="false" ht="15" hidden="false" customHeight="false" outlineLevel="0" collapsed="false">
      <c r="A969" s="85" t="str">
        <f aca="false">Gov_Map!$H281&amp;""</f>
        <v>—</v>
      </c>
      <c r="B969" s="66" t="s">
        <v>6250</v>
      </c>
      <c r="C969" s="53" t="n">
        <v>281</v>
      </c>
      <c r="D969" s="53" t="s">
        <v>6251</v>
      </c>
      <c r="E969" s="53" t="s">
        <v>6251</v>
      </c>
    </row>
    <row r="970" customFormat="false" ht="15" hidden="false" customHeight="false" outlineLevel="0" collapsed="false">
      <c r="A970" s="85" t="str">
        <f aca="false">Gov_Map!$H282&amp;""</f>
        <v>—</v>
      </c>
      <c r="B970" s="66" t="s">
        <v>6250</v>
      </c>
      <c r="C970" s="53" t="n">
        <v>282</v>
      </c>
      <c r="D970" s="53" t="s">
        <v>6251</v>
      </c>
      <c r="E970" s="53" t="s">
        <v>6251</v>
      </c>
    </row>
    <row r="971" customFormat="false" ht="15" hidden="false" customHeight="false" outlineLevel="0" collapsed="false">
      <c r="A971" s="85" t="str">
        <f aca="false">Gov_Map!$H283&amp;""</f>
        <v>—</v>
      </c>
      <c r="B971" s="66" t="s">
        <v>6250</v>
      </c>
      <c r="C971" s="53" t="n">
        <v>283</v>
      </c>
      <c r="D971" s="53" t="s">
        <v>6251</v>
      </c>
      <c r="E971" s="53" t="s">
        <v>6251</v>
      </c>
    </row>
    <row r="972" customFormat="false" ht="15" hidden="false" customHeight="false" outlineLevel="0" collapsed="false">
      <c r="A972" s="85" t="str">
        <f aca="false">Gov_Map!$H284&amp;""</f>
        <v>—</v>
      </c>
      <c r="B972" s="66" t="s">
        <v>6250</v>
      </c>
      <c r="C972" s="53" t="n">
        <v>284</v>
      </c>
      <c r="D972" s="53" t="s">
        <v>6251</v>
      </c>
      <c r="E972" s="53" t="s">
        <v>6251</v>
      </c>
    </row>
    <row r="973" customFormat="false" ht="15" hidden="false" customHeight="false" outlineLevel="0" collapsed="false">
      <c r="A973" s="85" t="str">
        <f aca="false">Gov_Map!$H285&amp;""</f>
        <v>—</v>
      </c>
      <c r="B973" s="66" t="s">
        <v>6250</v>
      </c>
      <c r="C973" s="53" t="n">
        <v>285</v>
      </c>
      <c r="D973" s="53" t="s">
        <v>6251</v>
      </c>
      <c r="E973" s="53" t="s">
        <v>6251</v>
      </c>
    </row>
    <row r="974" customFormat="false" ht="15" hidden="false" customHeight="false" outlineLevel="0" collapsed="false">
      <c r="A974" s="85" t="str">
        <f aca="false">Gov_Map!$H286&amp;""</f>
        <v>—</v>
      </c>
      <c r="B974" s="66" t="s">
        <v>6250</v>
      </c>
      <c r="C974" s="53" t="n">
        <v>286</v>
      </c>
      <c r="D974" s="53" t="s">
        <v>6251</v>
      </c>
      <c r="E974" s="53" t="s">
        <v>6251</v>
      </c>
    </row>
    <row r="975" customFormat="false" ht="15" hidden="false" customHeight="false" outlineLevel="0" collapsed="false">
      <c r="A975" s="85" t="str">
        <f aca="false">Gov_Map!$H287&amp;""</f>
        <v>—</v>
      </c>
      <c r="B975" s="66" t="s">
        <v>6250</v>
      </c>
      <c r="C975" s="53" t="n">
        <v>287</v>
      </c>
      <c r="D975" s="53" t="s">
        <v>6251</v>
      </c>
      <c r="E975" s="53" t="s">
        <v>6251</v>
      </c>
    </row>
    <row r="976" customFormat="false" ht="15" hidden="false" customHeight="false" outlineLevel="0" collapsed="false">
      <c r="A976" s="85" t="str">
        <f aca="false">Gov_Map!$H288&amp;""</f>
        <v>—</v>
      </c>
      <c r="B976" s="66" t="s">
        <v>6250</v>
      </c>
      <c r="C976" s="53" t="n">
        <v>288</v>
      </c>
      <c r="D976" s="53" t="s">
        <v>6251</v>
      </c>
      <c r="E976" s="53" t="s">
        <v>6251</v>
      </c>
    </row>
    <row r="977" customFormat="false" ht="15" hidden="false" customHeight="false" outlineLevel="0" collapsed="false">
      <c r="A977" s="85" t="str">
        <f aca="false">Gov_Map!$H289&amp;""</f>
        <v>—</v>
      </c>
      <c r="B977" s="66" t="s">
        <v>6250</v>
      </c>
      <c r="C977" s="53" t="n">
        <v>289</v>
      </c>
      <c r="D977" s="53" t="s">
        <v>6251</v>
      </c>
      <c r="E977" s="53" t="s">
        <v>6251</v>
      </c>
    </row>
    <row r="978" customFormat="false" ht="15" hidden="false" customHeight="false" outlineLevel="0" collapsed="false">
      <c r="A978" s="85" t="str">
        <f aca="false">Gov_Map!$H290&amp;""</f>
        <v>—</v>
      </c>
      <c r="B978" s="66" t="s">
        <v>6250</v>
      </c>
      <c r="C978" s="53" t="n">
        <v>290</v>
      </c>
      <c r="D978" s="53" t="s">
        <v>6251</v>
      </c>
      <c r="E978" s="53" t="s">
        <v>6251</v>
      </c>
    </row>
    <row r="979" customFormat="false" ht="15" hidden="false" customHeight="false" outlineLevel="0" collapsed="false">
      <c r="A979" s="85" t="str">
        <f aca="false">Gov_Map!$H291&amp;""</f>
        <v>—</v>
      </c>
      <c r="B979" s="66" t="s">
        <v>6250</v>
      </c>
      <c r="C979" s="53" t="n">
        <v>291</v>
      </c>
      <c r="D979" s="53" t="s">
        <v>6251</v>
      </c>
      <c r="E979" s="53" t="s">
        <v>6251</v>
      </c>
    </row>
    <row r="980" customFormat="false" ht="15" hidden="false" customHeight="false" outlineLevel="0" collapsed="false">
      <c r="A980" s="85" t="str">
        <f aca="false">Gov_Map!$H292&amp;""</f>
        <v>—</v>
      </c>
      <c r="B980" s="66" t="s">
        <v>6250</v>
      </c>
      <c r="C980" s="53" t="n">
        <v>292</v>
      </c>
      <c r="D980" s="53" t="s">
        <v>6251</v>
      </c>
      <c r="E980" s="53" t="s">
        <v>6251</v>
      </c>
    </row>
    <row r="981" customFormat="false" ht="15" hidden="false" customHeight="false" outlineLevel="0" collapsed="false">
      <c r="A981" s="85" t="str">
        <f aca="false">Gov_Map!$H293&amp;""</f>
        <v>—</v>
      </c>
      <c r="B981" s="66" t="s">
        <v>6250</v>
      </c>
      <c r="C981" s="53" t="n">
        <v>293</v>
      </c>
      <c r="D981" s="53" t="s">
        <v>6251</v>
      </c>
      <c r="E981" s="53" t="s">
        <v>6251</v>
      </c>
    </row>
    <row r="982" customFormat="false" ht="15" hidden="false" customHeight="false" outlineLevel="0" collapsed="false">
      <c r="A982" s="85" t="str">
        <f aca="false">Gov_Map!$H294&amp;""</f>
        <v>—</v>
      </c>
      <c r="B982" s="66" t="s">
        <v>6250</v>
      </c>
      <c r="C982" s="53" t="n">
        <v>294</v>
      </c>
      <c r="D982" s="53" t="s">
        <v>6251</v>
      </c>
      <c r="E982" s="53" t="s">
        <v>6251</v>
      </c>
    </row>
    <row r="983" customFormat="false" ht="15" hidden="false" customHeight="false" outlineLevel="0" collapsed="false">
      <c r="A983" s="85" t="str">
        <f aca="false">Gov_Map!$H295&amp;""</f>
        <v>—</v>
      </c>
      <c r="B983" s="66" t="s">
        <v>6250</v>
      </c>
      <c r="C983" s="53" t="n">
        <v>295</v>
      </c>
      <c r="D983" s="53" t="s">
        <v>6251</v>
      </c>
      <c r="E983" s="53" t="s">
        <v>6251</v>
      </c>
    </row>
    <row r="984" customFormat="false" ht="15" hidden="false" customHeight="false" outlineLevel="0" collapsed="false">
      <c r="A984" s="85" t="str">
        <f aca="false">Gov_Map!$H296&amp;""</f>
        <v>—</v>
      </c>
      <c r="B984" s="66" t="s">
        <v>6250</v>
      </c>
      <c r="C984" s="53" t="n">
        <v>296</v>
      </c>
      <c r="D984" s="53" t="s">
        <v>6251</v>
      </c>
      <c r="E984" s="53" t="s">
        <v>6251</v>
      </c>
    </row>
    <row r="985" customFormat="false" ht="15" hidden="false" customHeight="false" outlineLevel="0" collapsed="false">
      <c r="A985" s="85" t="str">
        <f aca="false">Gov_Map!$H297&amp;""</f>
        <v>—</v>
      </c>
      <c r="B985" s="66" t="s">
        <v>6250</v>
      </c>
      <c r="C985" s="53" t="n">
        <v>297</v>
      </c>
      <c r="D985" s="53" t="s">
        <v>6251</v>
      </c>
      <c r="E985" s="53" t="s">
        <v>6251</v>
      </c>
    </row>
    <row r="986" customFormat="false" ht="15" hidden="false" customHeight="false" outlineLevel="0" collapsed="false">
      <c r="A986" s="85" t="str">
        <f aca="false">Gov_Map!$H298&amp;""</f>
        <v>—</v>
      </c>
      <c r="B986" s="66" t="s">
        <v>6250</v>
      </c>
      <c r="C986" s="53" t="n">
        <v>298</v>
      </c>
      <c r="D986" s="53" t="s">
        <v>6251</v>
      </c>
      <c r="E986" s="53" t="s">
        <v>6251</v>
      </c>
    </row>
    <row r="987" customFormat="false" ht="15" hidden="false" customHeight="false" outlineLevel="0" collapsed="false">
      <c r="A987" s="85" t="str">
        <f aca="false">Gov_Map!$H299&amp;""</f>
        <v>—</v>
      </c>
      <c r="B987" s="66" t="s">
        <v>6250</v>
      </c>
      <c r="C987" s="53" t="n">
        <v>299</v>
      </c>
      <c r="D987" s="53" t="s">
        <v>6251</v>
      </c>
      <c r="E987" s="53" t="s">
        <v>6251</v>
      </c>
    </row>
    <row r="988" customFormat="false" ht="15" hidden="false" customHeight="false" outlineLevel="0" collapsed="false">
      <c r="A988" s="85" t="str">
        <f aca="false">Gov_Map!$H300&amp;""</f>
        <v>—</v>
      </c>
      <c r="B988" s="66" t="s">
        <v>6250</v>
      </c>
      <c r="C988" s="53" t="n">
        <v>300</v>
      </c>
      <c r="D988" s="53" t="s">
        <v>6251</v>
      </c>
      <c r="E988" s="53" t="s">
        <v>6251</v>
      </c>
    </row>
    <row r="989" customFormat="false" ht="15" hidden="false" customHeight="false" outlineLevel="0" collapsed="false">
      <c r="A989" s="85" t="str">
        <f aca="false">Gov_Map!$H301&amp;""</f>
        <v>—</v>
      </c>
      <c r="B989" s="66" t="s">
        <v>6250</v>
      </c>
      <c r="C989" s="53" t="n">
        <v>301</v>
      </c>
      <c r="D989" s="53" t="s">
        <v>6251</v>
      </c>
      <c r="E989" s="53" t="s">
        <v>6251</v>
      </c>
    </row>
    <row r="990" customFormat="false" ht="15" hidden="false" customHeight="false" outlineLevel="0" collapsed="false">
      <c r="A990" s="85" t="str">
        <f aca="false">Gov_Map!$H302&amp;""</f>
        <v>—</v>
      </c>
      <c r="B990" s="66" t="s">
        <v>6250</v>
      </c>
      <c r="C990" s="53" t="n">
        <v>302</v>
      </c>
      <c r="D990" s="53" t="s">
        <v>6251</v>
      </c>
      <c r="E990" s="53" t="s">
        <v>6251</v>
      </c>
    </row>
    <row r="991" customFormat="false" ht="15" hidden="false" customHeight="false" outlineLevel="0" collapsed="false">
      <c r="A991" s="85" t="str">
        <f aca="false">Gov_Map!$H303&amp;""</f>
        <v>—</v>
      </c>
      <c r="B991" s="66" t="s">
        <v>6250</v>
      </c>
      <c r="C991" s="53" t="n">
        <v>303</v>
      </c>
      <c r="D991" s="53" t="s">
        <v>6251</v>
      </c>
      <c r="E991" s="53" t="s">
        <v>6251</v>
      </c>
    </row>
    <row r="992" customFormat="false" ht="15" hidden="false" customHeight="false" outlineLevel="0" collapsed="false">
      <c r="A992" s="85" t="str">
        <f aca="false">Gov_Map!$H304&amp;""</f>
        <v>—</v>
      </c>
      <c r="B992" s="66" t="s">
        <v>6250</v>
      </c>
      <c r="C992" s="53" t="n">
        <v>304</v>
      </c>
      <c r="D992" s="53" t="s">
        <v>6251</v>
      </c>
      <c r="E992" s="53" t="s">
        <v>6251</v>
      </c>
    </row>
    <row r="993" customFormat="false" ht="15" hidden="false" customHeight="false" outlineLevel="0" collapsed="false">
      <c r="A993" s="85" t="str">
        <f aca="false">Gov_Map!$H305&amp;""</f>
        <v>—</v>
      </c>
      <c r="B993" s="66" t="s">
        <v>6250</v>
      </c>
      <c r="C993" s="53" t="n">
        <v>305</v>
      </c>
      <c r="D993" s="53" t="s">
        <v>6251</v>
      </c>
      <c r="E993" s="53" t="s">
        <v>6251</v>
      </c>
    </row>
    <row r="994" customFormat="false" ht="15" hidden="false" customHeight="false" outlineLevel="0" collapsed="false">
      <c r="A994" s="85" t="str">
        <f aca="false">Gov_Map!$H306&amp;""</f>
        <v>SRC_HAR_001</v>
      </c>
      <c r="B994" s="66" t="s">
        <v>6250</v>
      </c>
      <c r="C994" s="53" t="n">
        <v>306</v>
      </c>
      <c r="D994" s="53" t="s">
        <v>6251</v>
      </c>
      <c r="E994" s="53" t="s">
        <v>6251</v>
      </c>
    </row>
    <row r="995" customFormat="false" ht="15" hidden="false" customHeight="false" outlineLevel="0" collapsed="false">
      <c r="A995" s="85" t="str">
        <f aca="false">Gov_Map!$H307&amp;""</f>
        <v>SRC_HAR_002</v>
      </c>
      <c r="B995" s="66" t="s">
        <v>6250</v>
      </c>
      <c r="C995" s="53" t="n">
        <v>307</v>
      </c>
      <c r="D995" s="53" t="s">
        <v>6251</v>
      </c>
      <c r="E995" s="53" t="s">
        <v>6251</v>
      </c>
    </row>
    <row r="996" customFormat="false" ht="15" hidden="false" customHeight="false" outlineLevel="0" collapsed="false">
      <c r="A996" s="85" t="str">
        <f aca="false">Gov_Map!$H308&amp;""</f>
        <v>SRC_PERF_041</v>
      </c>
      <c r="B996" s="66" t="s">
        <v>6250</v>
      </c>
      <c r="C996" s="53" t="n">
        <v>308</v>
      </c>
      <c r="D996" s="53" t="s">
        <v>6251</v>
      </c>
      <c r="E996" s="53" t="s">
        <v>6251</v>
      </c>
    </row>
    <row r="997" customFormat="false" ht="15" hidden="false" customHeight="false" outlineLevel="0" collapsed="false">
      <c r="A997" s="85" t="str">
        <f aca="false">Gov_Map!$H309&amp;""</f>
        <v>—</v>
      </c>
      <c r="B997" s="66" t="s">
        <v>6250</v>
      </c>
      <c r="C997" s="53" t="n">
        <v>309</v>
      </c>
      <c r="D997" s="53" t="s">
        <v>6251</v>
      </c>
      <c r="E997" s="53" t="s">
        <v>6251</v>
      </c>
    </row>
    <row r="998" customFormat="false" ht="15" hidden="false" customHeight="false" outlineLevel="0" collapsed="false">
      <c r="A998" s="85" t="str">
        <f aca="false">Gov_Map!$H310&amp;""</f>
        <v>SRC_PERF_009</v>
      </c>
      <c r="B998" s="66" t="s">
        <v>6250</v>
      </c>
      <c r="C998" s="53" t="n">
        <v>310</v>
      </c>
      <c r="D998" s="53" t="s">
        <v>6251</v>
      </c>
      <c r="E998" s="53" t="s">
        <v>6251</v>
      </c>
    </row>
    <row r="999" customFormat="false" ht="15" hidden="false" customHeight="false" outlineLevel="0" collapsed="false">
      <c r="A999" s="85" t="str">
        <f aca="false">Gov_Map!$H311&amp;""</f>
        <v>SRC_PERF_009</v>
      </c>
      <c r="B999" s="66" t="s">
        <v>6250</v>
      </c>
      <c r="C999" s="53" t="n">
        <v>311</v>
      </c>
      <c r="D999" s="53" t="s">
        <v>6251</v>
      </c>
      <c r="E999" s="53" t="s">
        <v>6251</v>
      </c>
    </row>
    <row r="1000" customFormat="false" ht="15" hidden="false" customHeight="false" outlineLevel="0" collapsed="false">
      <c r="A1000" s="85" t="str">
        <f aca="false">Gov_Map!$H312&amp;""</f>
        <v>SRC_PERF_009</v>
      </c>
      <c r="B1000" s="66" t="s">
        <v>6250</v>
      </c>
      <c r="C1000" s="53" t="n">
        <v>312</v>
      </c>
      <c r="D1000" s="53" t="s">
        <v>6251</v>
      </c>
      <c r="E1000" s="53" t="s">
        <v>6251</v>
      </c>
    </row>
    <row r="1001" customFormat="false" ht="15" hidden="false" customHeight="false" outlineLevel="0" collapsed="false">
      <c r="A1001" s="85" t="str">
        <f aca="false">Gov_Map!$H313&amp;""</f>
        <v>SRC_PERF_009</v>
      </c>
      <c r="B1001" s="66" t="s">
        <v>6250</v>
      </c>
      <c r="C1001" s="53" t="n">
        <v>313</v>
      </c>
      <c r="D1001" s="53" t="s">
        <v>6251</v>
      </c>
      <c r="E1001" s="53" t="s">
        <v>6251</v>
      </c>
    </row>
    <row r="1002" customFormat="false" ht="15" hidden="false" customHeight="false" outlineLevel="0" collapsed="false">
      <c r="A1002" s="85" t="str">
        <f aca="false">Gov_Map!$H314&amp;""</f>
        <v>SRC_PERF_009</v>
      </c>
      <c r="B1002" s="66" t="s">
        <v>6250</v>
      </c>
      <c r="C1002" s="53" t="n">
        <v>314</v>
      </c>
      <c r="D1002" s="53" t="s">
        <v>6251</v>
      </c>
      <c r="E1002" s="53" t="s">
        <v>6251</v>
      </c>
    </row>
    <row r="1003" customFormat="false" ht="15" hidden="false" customHeight="false" outlineLevel="0" collapsed="false">
      <c r="A1003" s="85" t="str">
        <f aca="false">Gov_Map!$H315&amp;""</f>
        <v>SRC_PERF_010</v>
      </c>
      <c r="B1003" s="66" t="s">
        <v>6250</v>
      </c>
      <c r="C1003" s="53" t="n">
        <v>315</v>
      </c>
      <c r="D1003" s="53" t="s">
        <v>6251</v>
      </c>
      <c r="E1003" s="53" t="s">
        <v>6251</v>
      </c>
    </row>
    <row r="1004" customFormat="false" ht="15" hidden="false" customHeight="false" outlineLevel="0" collapsed="false">
      <c r="A1004" s="85" t="str">
        <f aca="false">Gov_Map!$H316&amp;""</f>
        <v>SRC_PERF_010</v>
      </c>
      <c r="B1004" s="66" t="s">
        <v>6250</v>
      </c>
      <c r="C1004" s="53" t="n">
        <v>316</v>
      </c>
      <c r="D1004" s="53" t="s">
        <v>6251</v>
      </c>
      <c r="E1004" s="53" t="s">
        <v>6251</v>
      </c>
    </row>
    <row r="1005" customFormat="false" ht="15" hidden="false" customHeight="false" outlineLevel="0" collapsed="false">
      <c r="A1005" s="85" t="str">
        <f aca="false">Gov_Map!$H317&amp;""</f>
        <v>SRC_PERF_010</v>
      </c>
      <c r="B1005" s="66" t="s">
        <v>6250</v>
      </c>
      <c r="C1005" s="53" t="n">
        <v>317</v>
      </c>
      <c r="D1005" s="53" t="s">
        <v>6251</v>
      </c>
      <c r="E1005" s="53" t="s">
        <v>6251</v>
      </c>
    </row>
    <row r="1006" customFormat="false" ht="15" hidden="false" customHeight="false" outlineLevel="0" collapsed="false">
      <c r="A1006" s="85" t="str">
        <f aca="false">Gov_Map!$H318&amp;""</f>
        <v>SRC_PERF_010</v>
      </c>
      <c r="B1006" s="66" t="s">
        <v>6250</v>
      </c>
      <c r="C1006" s="53" t="n">
        <v>318</v>
      </c>
      <c r="D1006" s="53" t="s">
        <v>6251</v>
      </c>
      <c r="E1006" s="53" t="s">
        <v>6251</v>
      </c>
    </row>
    <row r="1007" customFormat="false" ht="15" hidden="false" customHeight="false" outlineLevel="0" collapsed="false">
      <c r="A1007" s="85" t="str">
        <f aca="false">Gov_Map!$H319&amp;""</f>
        <v>SRC_PERF_010</v>
      </c>
      <c r="B1007" s="66" t="s">
        <v>6250</v>
      </c>
      <c r="C1007" s="53" t="n">
        <v>319</v>
      </c>
      <c r="D1007" s="53" t="s">
        <v>6251</v>
      </c>
      <c r="E1007" s="53" t="s">
        <v>6251</v>
      </c>
    </row>
    <row r="1008" customFormat="false" ht="15" hidden="false" customHeight="false" outlineLevel="0" collapsed="false">
      <c r="A1008" s="85" t="str">
        <f aca="false">Gov_Map!$H320&amp;""</f>
        <v>SRC_PERF_004</v>
      </c>
      <c r="B1008" s="66" t="s">
        <v>6250</v>
      </c>
      <c r="C1008" s="53" t="n">
        <v>320</v>
      </c>
      <c r="D1008" s="53" t="s">
        <v>6251</v>
      </c>
      <c r="E1008" s="53" t="s">
        <v>6251</v>
      </c>
    </row>
    <row r="1009" customFormat="false" ht="15" hidden="false" customHeight="false" outlineLevel="0" collapsed="false">
      <c r="A1009" s="85" t="str">
        <f aca="false">Gov_Map!$H321&amp;""</f>
        <v>SRC_PERF_004</v>
      </c>
      <c r="B1009" s="66" t="s">
        <v>6250</v>
      </c>
      <c r="C1009" s="53" t="n">
        <v>321</v>
      </c>
      <c r="D1009" s="53" t="s">
        <v>6251</v>
      </c>
      <c r="E1009" s="53" t="s">
        <v>6251</v>
      </c>
    </row>
    <row r="1010" customFormat="false" ht="15" hidden="false" customHeight="false" outlineLevel="0" collapsed="false">
      <c r="A1010" s="85" t="str">
        <f aca="false">Gov_Map!$H322&amp;""</f>
        <v>SRC_PERF_004</v>
      </c>
      <c r="B1010" s="66" t="s">
        <v>6250</v>
      </c>
      <c r="C1010" s="53" t="n">
        <v>322</v>
      </c>
      <c r="D1010" s="53" t="s">
        <v>6251</v>
      </c>
      <c r="E1010" s="53" t="s">
        <v>6251</v>
      </c>
    </row>
    <row r="1011" customFormat="false" ht="15" hidden="false" customHeight="false" outlineLevel="0" collapsed="false">
      <c r="A1011" s="85" t="str">
        <f aca="false">Gov_Map!$H323&amp;""</f>
        <v>SRC_PERF_004</v>
      </c>
      <c r="B1011" s="66" t="s">
        <v>6250</v>
      </c>
      <c r="C1011" s="53" t="n">
        <v>323</v>
      </c>
      <c r="D1011" s="53" t="s">
        <v>6251</v>
      </c>
      <c r="E1011" s="53" t="s">
        <v>6251</v>
      </c>
    </row>
    <row r="1012" customFormat="false" ht="15" hidden="false" customHeight="false" outlineLevel="0" collapsed="false">
      <c r="A1012" s="85" t="str">
        <f aca="false">Gov_Map!$H324&amp;""</f>
        <v>SRC_PERF_004</v>
      </c>
      <c r="B1012" s="66" t="s">
        <v>6250</v>
      </c>
      <c r="C1012" s="53" t="n">
        <v>324</v>
      </c>
      <c r="D1012" s="53" t="s">
        <v>6251</v>
      </c>
      <c r="E1012" s="53" t="s">
        <v>6251</v>
      </c>
    </row>
    <row r="1013" customFormat="false" ht="15" hidden="false" customHeight="false" outlineLevel="0" collapsed="false">
      <c r="A1013" s="85" t="str">
        <f aca="false">Gov_Map!$H325&amp;""</f>
        <v>SRC_PERF_001</v>
      </c>
      <c r="B1013" s="66" t="s">
        <v>6250</v>
      </c>
      <c r="C1013" s="53" t="n">
        <v>325</v>
      </c>
      <c r="D1013" s="53" t="s">
        <v>6251</v>
      </c>
      <c r="E1013" s="53" t="s">
        <v>6251</v>
      </c>
    </row>
    <row r="1014" customFormat="false" ht="15" hidden="false" customHeight="false" outlineLevel="0" collapsed="false">
      <c r="A1014" s="85" t="str">
        <f aca="false">Gov_Map!$H326&amp;""</f>
        <v>SRC_PERF_001</v>
      </c>
      <c r="B1014" s="66" t="s">
        <v>6250</v>
      </c>
      <c r="C1014" s="53" t="n">
        <v>326</v>
      </c>
      <c r="D1014" s="53" t="s">
        <v>6251</v>
      </c>
      <c r="E1014" s="53" t="s">
        <v>6251</v>
      </c>
    </row>
    <row r="1015" customFormat="false" ht="15" hidden="false" customHeight="false" outlineLevel="0" collapsed="false">
      <c r="A1015" s="85" t="str">
        <f aca="false">Gov_Map!$H327&amp;""</f>
        <v>SRC_PERF_001</v>
      </c>
      <c r="B1015" s="66" t="s">
        <v>6250</v>
      </c>
      <c r="C1015" s="53" t="n">
        <v>327</v>
      </c>
      <c r="D1015" s="53" t="s">
        <v>6251</v>
      </c>
      <c r="E1015" s="53" t="s">
        <v>6251</v>
      </c>
    </row>
    <row r="1016" customFormat="false" ht="15" hidden="false" customHeight="false" outlineLevel="0" collapsed="false">
      <c r="A1016" s="85" t="str">
        <f aca="false">Gov_Map!$H328&amp;""</f>
        <v>SRC_PERF_001</v>
      </c>
      <c r="B1016" s="66" t="s">
        <v>6250</v>
      </c>
      <c r="C1016" s="53" t="n">
        <v>328</v>
      </c>
      <c r="D1016" s="53" t="s">
        <v>6251</v>
      </c>
      <c r="E1016" s="53" t="s">
        <v>6251</v>
      </c>
    </row>
    <row r="1017" customFormat="false" ht="15" hidden="false" customHeight="false" outlineLevel="0" collapsed="false">
      <c r="A1017" s="85" t="str">
        <f aca="false">Gov_Map!$H329&amp;""</f>
        <v>SRC_PERF_001</v>
      </c>
      <c r="B1017" s="66" t="s">
        <v>6250</v>
      </c>
      <c r="C1017" s="53" t="n">
        <v>329</v>
      </c>
      <c r="D1017" s="53" t="s">
        <v>6251</v>
      </c>
      <c r="E1017" s="53" t="s">
        <v>6251</v>
      </c>
    </row>
    <row r="1018" customFormat="false" ht="15" hidden="false" customHeight="false" outlineLevel="0" collapsed="false">
      <c r="A1018" s="85" t="str">
        <f aca="false">Gov_Map!$H330&amp;""</f>
        <v>SRC_PERF_002</v>
      </c>
      <c r="B1018" s="66" t="s">
        <v>6250</v>
      </c>
      <c r="C1018" s="53" t="n">
        <v>330</v>
      </c>
      <c r="D1018" s="53" t="s">
        <v>6251</v>
      </c>
      <c r="E1018" s="53" t="s">
        <v>6251</v>
      </c>
    </row>
    <row r="1019" customFormat="false" ht="15" hidden="false" customHeight="false" outlineLevel="0" collapsed="false">
      <c r="A1019" s="85" t="str">
        <f aca="false">Gov_Map!$H331&amp;""</f>
        <v>SRC_PERF_002</v>
      </c>
      <c r="B1019" s="66" t="s">
        <v>6250</v>
      </c>
      <c r="C1019" s="53" t="n">
        <v>331</v>
      </c>
      <c r="D1019" s="53" t="s">
        <v>6251</v>
      </c>
      <c r="E1019" s="53" t="s">
        <v>6251</v>
      </c>
    </row>
    <row r="1020" customFormat="false" ht="15" hidden="false" customHeight="false" outlineLevel="0" collapsed="false">
      <c r="A1020" s="85" t="str">
        <f aca="false">Gov_Map!$H332&amp;""</f>
        <v>SRC_PERF_002</v>
      </c>
      <c r="B1020" s="66" t="s">
        <v>6250</v>
      </c>
      <c r="C1020" s="53" t="n">
        <v>332</v>
      </c>
      <c r="D1020" s="53" t="s">
        <v>6251</v>
      </c>
      <c r="E1020" s="53" t="s">
        <v>6251</v>
      </c>
    </row>
    <row r="1021" customFormat="false" ht="15" hidden="false" customHeight="false" outlineLevel="0" collapsed="false">
      <c r="A1021" s="85" t="str">
        <f aca="false">Gov_Map!$H333&amp;""</f>
        <v>SRC_PERF_002</v>
      </c>
      <c r="B1021" s="66" t="s">
        <v>6250</v>
      </c>
      <c r="C1021" s="53" t="n">
        <v>333</v>
      </c>
      <c r="D1021" s="53" t="s">
        <v>6251</v>
      </c>
      <c r="E1021" s="53" t="s">
        <v>6251</v>
      </c>
    </row>
    <row r="1022" customFormat="false" ht="15" hidden="false" customHeight="false" outlineLevel="0" collapsed="false">
      <c r="A1022" s="85" t="str">
        <f aca="false">Gov_Map!$H334&amp;""</f>
        <v>SRC_PERF_002</v>
      </c>
      <c r="B1022" s="66" t="s">
        <v>6250</v>
      </c>
      <c r="C1022" s="53" t="n">
        <v>334</v>
      </c>
      <c r="D1022" s="53" t="s">
        <v>6251</v>
      </c>
      <c r="E1022" s="53" t="s">
        <v>6251</v>
      </c>
    </row>
    <row r="1023" customFormat="false" ht="15" hidden="false" customHeight="false" outlineLevel="0" collapsed="false">
      <c r="A1023" s="85" t="str">
        <f aca="false">Gov_Map!$H335&amp;""</f>
        <v>SRC_PERF_014</v>
      </c>
      <c r="B1023" s="66" t="s">
        <v>6250</v>
      </c>
      <c r="C1023" s="53" t="n">
        <v>335</v>
      </c>
      <c r="D1023" s="53" t="s">
        <v>6251</v>
      </c>
      <c r="E1023" s="53" t="s">
        <v>6251</v>
      </c>
    </row>
    <row r="1024" customFormat="false" ht="15" hidden="false" customHeight="false" outlineLevel="0" collapsed="false">
      <c r="A1024" s="85" t="str">
        <f aca="false">Gov_Map!$H336&amp;""</f>
        <v>SRC_PERF_014</v>
      </c>
      <c r="B1024" s="66" t="s">
        <v>6250</v>
      </c>
      <c r="C1024" s="53" t="n">
        <v>336</v>
      </c>
      <c r="D1024" s="53" t="s">
        <v>6251</v>
      </c>
      <c r="E1024" s="53" t="s">
        <v>6251</v>
      </c>
    </row>
    <row r="1025" customFormat="false" ht="15" hidden="false" customHeight="false" outlineLevel="0" collapsed="false">
      <c r="A1025" s="85" t="str">
        <f aca="false">Gov_Map!$H337&amp;""</f>
        <v>SRC_PERF_014</v>
      </c>
      <c r="B1025" s="66" t="s">
        <v>6250</v>
      </c>
      <c r="C1025" s="53" t="n">
        <v>337</v>
      </c>
      <c r="D1025" s="53" t="s">
        <v>6251</v>
      </c>
      <c r="E1025" s="53" t="s">
        <v>6251</v>
      </c>
    </row>
    <row r="1026" customFormat="false" ht="15" hidden="false" customHeight="false" outlineLevel="0" collapsed="false">
      <c r="A1026" s="85" t="str">
        <f aca="false">Gov_Map!$H338&amp;""</f>
        <v>SRC_PERF_014</v>
      </c>
      <c r="B1026" s="66" t="s">
        <v>6250</v>
      </c>
      <c r="C1026" s="53" t="n">
        <v>338</v>
      </c>
      <c r="D1026" s="53" t="s">
        <v>6251</v>
      </c>
      <c r="E1026" s="53" t="s">
        <v>6251</v>
      </c>
    </row>
    <row r="1027" customFormat="false" ht="15" hidden="false" customHeight="false" outlineLevel="0" collapsed="false">
      <c r="A1027" s="85" t="str">
        <f aca="false">Gov_Map!$H339&amp;""</f>
        <v>SRC_PERF_014</v>
      </c>
      <c r="B1027" s="66" t="s">
        <v>6250</v>
      </c>
      <c r="C1027" s="53" t="n">
        <v>339</v>
      </c>
      <c r="D1027" s="53" t="s">
        <v>6251</v>
      </c>
      <c r="E1027" s="53" t="s">
        <v>6251</v>
      </c>
    </row>
    <row r="1028" customFormat="false" ht="15" hidden="false" customHeight="false" outlineLevel="0" collapsed="false">
      <c r="A1028" s="85" t="str">
        <f aca="false">Gov_Map!$H340&amp;""</f>
        <v>SRC_PERF_015</v>
      </c>
      <c r="B1028" s="66" t="s">
        <v>6250</v>
      </c>
      <c r="C1028" s="53" t="n">
        <v>340</v>
      </c>
      <c r="D1028" s="53" t="s">
        <v>6251</v>
      </c>
      <c r="E1028" s="53" t="s">
        <v>6251</v>
      </c>
    </row>
    <row r="1029" customFormat="false" ht="15" hidden="false" customHeight="false" outlineLevel="0" collapsed="false">
      <c r="A1029" s="85" t="str">
        <f aca="false">Gov_Map!$H341&amp;""</f>
        <v>SRC_PERF_015</v>
      </c>
      <c r="B1029" s="66" t="s">
        <v>6250</v>
      </c>
      <c r="C1029" s="53" t="n">
        <v>341</v>
      </c>
      <c r="D1029" s="53" t="s">
        <v>6251</v>
      </c>
      <c r="E1029" s="53" t="s">
        <v>6251</v>
      </c>
    </row>
    <row r="1030" customFormat="false" ht="15" hidden="false" customHeight="false" outlineLevel="0" collapsed="false">
      <c r="A1030" s="85" t="str">
        <f aca="false">Gov_Map!$H342&amp;""</f>
        <v>SRC_PERF_015</v>
      </c>
      <c r="B1030" s="66" t="s">
        <v>6250</v>
      </c>
      <c r="C1030" s="53" t="n">
        <v>342</v>
      </c>
      <c r="D1030" s="53" t="s">
        <v>6251</v>
      </c>
      <c r="E1030" s="53" t="s">
        <v>6251</v>
      </c>
    </row>
    <row r="1031" customFormat="false" ht="15" hidden="false" customHeight="false" outlineLevel="0" collapsed="false">
      <c r="A1031" s="85" t="str">
        <f aca="false">Gov_Map!$H343&amp;""</f>
        <v>SRC_PERF_015</v>
      </c>
      <c r="B1031" s="66" t="s">
        <v>6250</v>
      </c>
      <c r="C1031" s="53" t="n">
        <v>343</v>
      </c>
      <c r="D1031" s="53" t="s">
        <v>6251</v>
      </c>
      <c r="E1031" s="53" t="s">
        <v>6251</v>
      </c>
    </row>
    <row r="1032" customFormat="false" ht="15" hidden="false" customHeight="false" outlineLevel="0" collapsed="false">
      <c r="A1032" s="85" t="str">
        <f aca="false">Gov_Map!$H344&amp;""</f>
        <v>SRC_PERF_015</v>
      </c>
      <c r="B1032" s="66" t="s">
        <v>6250</v>
      </c>
      <c r="C1032" s="53" t="n">
        <v>344</v>
      </c>
      <c r="D1032" s="53" t="s">
        <v>6251</v>
      </c>
      <c r="E1032" s="53" t="s">
        <v>6251</v>
      </c>
    </row>
    <row r="1033" customFormat="false" ht="15" hidden="false" customHeight="false" outlineLevel="0" collapsed="false">
      <c r="A1033" s="85" t="str">
        <f aca="false">Gov_Map!$H345&amp;""</f>
        <v>SRC_PERF_042</v>
      </c>
      <c r="B1033" s="66" t="s">
        <v>6250</v>
      </c>
      <c r="C1033" s="53" t="n">
        <v>345</v>
      </c>
      <c r="D1033" s="53" t="s">
        <v>6251</v>
      </c>
      <c r="E1033" s="53" t="s">
        <v>6251</v>
      </c>
    </row>
    <row r="1034" customFormat="false" ht="15" hidden="false" customHeight="false" outlineLevel="0" collapsed="false">
      <c r="A1034" s="85" t="str">
        <f aca="false">Gov_Map!$H346&amp;""</f>
        <v>SRC_PERF_009</v>
      </c>
      <c r="B1034" s="66" t="s">
        <v>6250</v>
      </c>
      <c r="C1034" s="53" t="n">
        <v>346</v>
      </c>
      <c r="D1034" s="53" t="s">
        <v>6251</v>
      </c>
      <c r="E1034" s="53" t="s">
        <v>6251</v>
      </c>
    </row>
    <row r="1035" customFormat="false" ht="15" hidden="false" customHeight="false" outlineLevel="0" collapsed="false">
      <c r="A1035" s="85" t="str">
        <f aca="false">Gov_Map!$H347&amp;""</f>
        <v>SRC_PERF_009</v>
      </c>
      <c r="B1035" s="66" t="s">
        <v>6250</v>
      </c>
      <c r="C1035" s="53" t="n">
        <v>347</v>
      </c>
      <c r="D1035" s="53" t="s">
        <v>6251</v>
      </c>
      <c r="E1035" s="53" t="s">
        <v>6251</v>
      </c>
    </row>
    <row r="1036" customFormat="false" ht="15" hidden="false" customHeight="false" outlineLevel="0" collapsed="false">
      <c r="A1036" s="85" t="str">
        <f aca="false">Gov_Map!$H348&amp;""</f>
        <v>SRC_PERF_009</v>
      </c>
      <c r="B1036" s="66" t="s">
        <v>6250</v>
      </c>
      <c r="C1036" s="53" t="n">
        <v>348</v>
      </c>
      <c r="D1036" s="53" t="s">
        <v>6251</v>
      </c>
      <c r="E1036" s="53" t="s">
        <v>6251</v>
      </c>
    </row>
    <row r="1037" customFormat="false" ht="15" hidden="false" customHeight="false" outlineLevel="0" collapsed="false">
      <c r="A1037" s="85" t="str">
        <f aca="false">Gov_Map!$H349&amp;""</f>
        <v>SRC_PERF_009</v>
      </c>
      <c r="B1037" s="66" t="s">
        <v>6250</v>
      </c>
      <c r="C1037" s="53" t="n">
        <v>349</v>
      </c>
      <c r="D1037" s="53" t="s">
        <v>6251</v>
      </c>
      <c r="E1037" s="53" t="s">
        <v>6251</v>
      </c>
    </row>
    <row r="1038" customFormat="false" ht="15" hidden="false" customHeight="false" outlineLevel="0" collapsed="false">
      <c r="A1038" s="85" t="str">
        <f aca="false">Gov_Map!$H350&amp;""</f>
        <v>—</v>
      </c>
      <c r="B1038" s="66" t="s">
        <v>6250</v>
      </c>
      <c r="C1038" s="53" t="n">
        <v>350</v>
      </c>
      <c r="D1038" s="53" t="s">
        <v>6251</v>
      </c>
      <c r="E1038" s="53" t="s">
        <v>6251</v>
      </c>
    </row>
    <row r="1039" customFormat="false" ht="15" hidden="false" customHeight="false" outlineLevel="0" collapsed="false">
      <c r="A1039" s="85" t="str">
        <f aca="false">Gov_Map!$H351&amp;""</f>
        <v>—</v>
      </c>
      <c r="B1039" s="66" t="s">
        <v>6250</v>
      </c>
      <c r="C1039" s="53" t="n">
        <v>351</v>
      </c>
      <c r="D1039" s="53" t="s">
        <v>6251</v>
      </c>
      <c r="E1039" s="53" t="s">
        <v>6251</v>
      </c>
    </row>
    <row r="1040" customFormat="false" ht="15" hidden="false" customHeight="false" outlineLevel="0" collapsed="false">
      <c r="A1040" s="85" t="str">
        <f aca="false">Gov_Map!$H352&amp;""</f>
        <v>—</v>
      </c>
      <c r="B1040" s="66" t="s">
        <v>6250</v>
      </c>
      <c r="C1040" s="53" t="n">
        <v>352</v>
      </c>
      <c r="D1040" s="53" t="s">
        <v>6251</v>
      </c>
      <c r="E1040" s="53" t="s">
        <v>6251</v>
      </c>
    </row>
    <row r="1041" customFormat="false" ht="15" hidden="false" customHeight="false" outlineLevel="0" collapsed="false">
      <c r="A1041" s="85" t="str">
        <f aca="false">Gov_Map!$H353&amp;""</f>
        <v>—</v>
      </c>
      <c r="B1041" s="66" t="s">
        <v>6250</v>
      </c>
      <c r="C1041" s="53" t="n">
        <v>353</v>
      </c>
      <c r="D1041" s="53" t="s">
        <v>6251</v>
      </c>
      <c r="E1041" s="53" t="s">
        <v>6251</v>
      </c>
    </row>
    <row r="1042" customFormat="false" ht="15" hidden="false" customHeight="false" outlineLevel="0" collapsed="false">
      <c r="A1042" s="85" t="str">
        <f aca="false">Gov_Map!$H354&amp;""</f>
        <v>—</v>
      </c>
      <c r="B1042" s="66" t="s">
        <v>6250</v>
      </c>
      <c r="C1042" s="53" t="n">
        <v>354</v>
      </c>
      <c r="D1042" s="53" t="s">
        <v>6251</v>
      </c>
      <c r="E1042" s="53" t="s">
        <v>6251</v>
      </c>
    </row>
    <row r="1043" customFormat="false" ht="15" hidden="false" customHeight="false" outlineLevel="0" collapsed="false">
      <c r="A1043" s="85" t="str">
        <f aca="false">Gov_Map!$H355&amp;""</f>
        <v>—</v>
      </c>
      <c r="B1043" s="66" t="s">
        <v>6250</v>
      </c>
      <c r="C1043" s="53" t="n">
        <v>355</v>
      </c>
      <c r="D1043" s="53" t="s">
        <v>6251</v>
      </c>
      <c r="E1043" s="53" t="s">
        <v>6251</v>
      </c>
    </row>
    <row r="1044" customFormat="false" ht="15" hidden="false" customHeight="false" outlineLevel="0" collapsed="false">
      <c r="A1044" s="85" t="str">
        <f aca="false">Gov_Map!$H356&amp;""</f>
        <v>—</v>
      </c>
      <c r="B1044" s="66" t="s">
        <v>6250</v>
      </c>
      <c r="C1044" s="53" t="n">
        <v>356</v>
      </c>
      <c r="D1044" s="53" t="s">
        <v>6251</v>
      </c>
      <c r="E1044" s="53" t="s">
        <v>6251</v>
      </c>
    </row>
    <row r="1045" customFormat="false" ht="15" hidden="false" customHeight="false" outlineLevel="0" collapsed="false">
      <c r="A1045" s="85" t="str">
        <f aca="false">Gov_Map!$H357&amp;""</f>
        <v>—</v>
      </c>
      <c r="B1045" s="66" t="s">
        <v>6250</v>
      </c>
      <c r="C1045" s="53" t="n">
        <v>357</v>
      </c>
      <c r="D1045" s="53" t="s">
        <v>6251</v>
      </c>
      <c r="E1045" s="53" t="s">
        <v>6251</v>
      </c>
    </row>
    <row r="1046" customFormat="false" ht="15" hidden="false" customHeight="false" outlineLevel="0" collapsed="false">
      <c r="A1046" s="85" t="str">
        <f aca="false">Gov_Map!$H358&amp;""</f>
        <v>—</v>
      </c>
      <c r="B1046" s="66" t="s">
        <v>6250</v>
      </c>
      <c r="C1046" s="53" t="n">
        <v>358</v>
      </c>
      <c r="D1046" s="53" t="s">
        <v>6251</v>
      </c>
      <c r="E1046" s="53" t="s">
        <v>6251</v>
      </c>
    </row>
    <row r="1047" customFormat="false" ht="15" hidden="false" customHeight="false" outlineLevel="0" collapsed="false">
      <c r="A1047" s="85" t="str">
        <f aca="false">Gov_Map!$H359&amp;""</f>
        <v>—</v>
      </c>
      <c r="B1047" s="66" t="s">
        <v>6250</v>
      </c>
      <c r="C1047" s="53" t="n">
        <v>359</v>
      </c>
      <c r="D1047" s="53" t="s">
        <v>6251</v>
      </c>
      <c r="E1047" s="53" t="s">
        <v>6251</v>
      </c>
    </row>
    <row r="1048" customFormat="false" ht="15" hidden="false" customHeight="false" outlineLevel="0" collapsed="false">
      <c r="A1048" s="85" t="str">
        <f aca="false">Gov_Map!$H360&amp;""</f>
        <v>—</v>
      </c>
      <c r="B1048" s="66" t="s">
        <v>6250</v>
      </c>
      <c r="C1048" s="53" t="n">
        <v>360</v>
      </c>
      <c r="D1048" s="53" t="s">
        <v>6251</v>
      </c>
      <c r="E1048" s="53" t="s">
        <v>6251</v>
      </c>
    </row>
    <row r="1049" customFormat="false" ht="15" hidden="false" customHeight="false" outlineLevel="0" collapsed="false">
      <c r="A1049" s="85" t="str">
        <f aca="false">Gov_Map!$H361&amp;""</f>
        <v>SRC_MOD_020</v>
      </c>
      <c r="B1049" s="66" t="s">
        <v>6250</v>
      </c>
      <c r="C1049" s="53" t="n">
        <v>361</v>
      </c>
      <c r="D1049" s="53" t="s">
        <v>6251</v>
      </c>
      <c r="E1049" s="53" t="s">
        <v>6251</v>
      </c>
    </row>
    <row r="1050" customFormat="false" ht="15" hidden="false" customHeight="false" outlineLevel="0" collapsed="false">
      <c r="A1050" s="85" t="str">
        <f aca="false">Gov_Map!$H362&amp;""</f>
        <v>SRC_MOD_021</v>
      </c>
      <c r="B1050" s="66" t="s">
        <v>6250</v>
      </c>
      <c r="C1050" s="53" t="n">
        <v>362</v>
      </c>
      <c r="D1050" s="53" t="s">
        <v>6251</v>
      </c>
      <c r="E1050" s="53" t="s">
        <v>6251</v>
      </c>
    </row>
    <row r="1051" customFormat="false" ht="15" hidden="false" customHeight="false" outlineLevel="0" collapsed="false">
      <c r="A1051" s="85" t="str">
        <f aca="false">Gov_Map!$H363&amp;""</f>
        <v>SRC_MOD_022</v>
      </c>
      <c r="B1051" s="66" t="s">
        <v>6250</v>
      </c>
      <c r="C1051" s="53" t="n">
        <v>363</v>
      </c>
      <c r="D1051" s="53" t="s">
        <v>6251</v>
      </c>
      <c r="E1051" s="53" t="s">
        <v>6251</v>
      </c>
    </row>
    <row r="1052" customFormat="false" ht="15" hidden="false" customHeight="false" outlineLevel="0" collapsed="false">
      <c r="A1052" s="85" t="str">
        <f aca="false">Gov_Map!$H364&amp;""</f>
        <v>SRC_MOD_023</v>
      </c>
      <c r="B1052" s="66" t="s">
        <v>6250</v>
      </c>
      <c r="C1052" s="53" t="n">
        <v>364</v>
      </c>
      <c r="D1052" s="53" t="s">
        <v>6251</v>
      </c>
      <c r="E1052" s="53" t="s">
        <v>6251</v>
      </c>
    </row>
    <row r="1053" customFormat="false" ht="15" hidden="false" customHeight="false" outlineLevel="0" collapsed="false">
      <c r="A1053" s="85" t="str">
        <f aca="false">Gov_Map!$H365&amp;""</f>
        <v>SRC_MOD_024</v>
      </c>
      <c r="B1053" s="66" t="s">
        <v>6250</v>
      </c>
      <c r="C1053" s="53" t="n">
        <v>365</v>
      </c>
      <c r="D1053" s="53" t="s">
        <v>6251</v>
      </c>
      <c r="E1053" s="53" t="s">
        <v>6251</v>
      </c>
    </row>
    <row r="1054" customFormat="false" ht="15" hidden="false" customHeight="false" outlineLevel="0" collapsed="false">
      <c r="A1054" s="85" t="str">
        <f aca="false">Gov_Map!$H366&amp;""</f>
        <v>SRC_MOD_025</v>
      </c>
      <c r="B1054" s="66" t="s">
        <v>6250</v>
      </c>
      <c r="C1054" s="53" t="n">
        <v>366</v>
      </c>
      <c r="D1054" s="53" t="s">
        <v>6251</v>
      </c>
      <c r="E1054" s="53" t="s">
        <v>6251</v>
      </c>
    </row>
    <row r="1055" customFormat="false" ht="15" hidden="false" customHeight="false" outlineLevel="0" collapsed="false">
      <c r="A1055" s="85" t="str">
        <f aca="false">Gov_Map!$H367&amp;""</f>
        <v>SRC_MOD_026</v>
      </c>
      <c r="B1055" s="66" t="s">
        <v>6250</v>
      </c>
      <c r="C1055" s="53" t="n">
        <v>367</v>
      </c>
      <c r="D1055" s="53" t="s">
        <v>6251</v>
      </c>
      <c r="E1055" s="53" t="s">
        <v>6251</v>
      </c>
    </row>
    <row r="1056" customFormat="false" ht="15" hidden="false" customHeight="false" outlineLevel="0" collapsed="false">
      <c r="A1056" s="85" t="str">
        <f aca="false">Gov_Map!$H368&amp;""</f>
        <v>SRC_MOD_027</v>
      </c>
      <c r="B1056" s="66" t="s">
        <v>6250</v>
      </c>
      <c r="C1056" s="53" t="n">
        <v>368</v>
      </c>
      <c r="D1056" s="53" t="s">
        <v>6251</v>
      </c>
      <c r="E1056" s="53" t="s">
        <v>6251</v>
      </c>
    </row>
    <row r="1057" customFormat="false" ht="15" hidden="false" customHeight="false" outlineLevel="0" collapsed="false">
      <c r="A1057" s="85" t="str">
        <f aca="false">Gov_Map!$H369&amp;""</f>
        <v>SRC_MOD_028</v>
      </c>
      <c r="B1057" s="66" t="s">
        <v>6250</v>
      </c>
      <c r="C1057" s="53" t="n">
        <v>369</v>
      </c>
      <c r="D1057" s="53" t="s">
        <v>6251</v>
      </c>
      <c r="E1057" s="53" t="s">
        <v>6251</v>
      </c>
    </row>
    <row r="1058" customFormat="false" ht="15" hidden="false" customHeight="false" outlineLevel="0" collapsed="false">
      <c r="A1058" s="85" t="str">
        <f aca="false">Gov_Map!$H370&amp;""</f>
        <v>SRC_MOD_049</v>
      </c>
      <c r="B1058" s="66" t="s">
        <v>6250</v>
      </c>
      <c r="C1058" s="53" t="n">
        <v>370</v>
      </c>
      <c r="D1058" s="53" t="s">
        <v>6251</v>
      </c>
      <c r="E1058" s="53" t="s">
        <v>6251</v>
      </c>
    </row>
    <row r="1059" customFormat="false" ht="15" hidden="false" customHeight="false" outlineLevel="0" collapsed="false">
      <c r="A1059" s="85" t="str">
        <f aca="false">Gov_Map!$H371&amp;""</f>
        <v>SRC_PERF_029</v>
      </c>
      <c r="B1059" s="66" t="s">
        <v>6250</v>
      </c>
      <c r="C1059" s="53" t="n">
        <v>371</v>
      </c>
      <c r="D1059" s="53" t="s">
        <v>6251</v>
      </c>
      <c r="E1059" s="53" t="s">
        <v>6251</v>
      </c>
    </row>
    <row r="1060" customFormat="false" ht="15" hidden="false" customHeight="false" outlineLevel="0" collapsed="false">
      <c r="A1060" s="85" t="str">
        <f aca="false">Gov_Map!$H372&amp;""</f>
        <v>SRC_PERF_030</v>
      </c>
      <c r="B1060" s="66" t="s">
        <v>6250</v>
      </c>
      <c r="C1060" s="53" t="n">
        <v>372</v>
      </c>
      <c r="D1060" s="53" t="s">
        <v>6251</v>
      </c>
      <c r="E1060" s="53" t="s">
        <v>6251</v>
      </c>
    </row>
    <row r="1061" customFormat="false" ht="15" hidden="false" customHeight="false" outlineLevel="0" collapsed="false">
      <c r="A1061" s="85" t="str">
        <f aca="false">Gov_Map!$H373&amp;""</f>
        <v>—</v>
      </c>
      <c r="B1061" s="66" t="s">
        <v>6250</v>
      </c>
      <c r="C1061" s="53" t="n">
        <v>373</v>
      </c>
      <c r="D1061" s="53" t="s">
        <v>6251</v>
      </c>
      <c r="E1061" s="53" t="s">
        <v>6251</v>
      </c>
    </row>
    <row r="1062" customFormat="false" ht="15" hidden="false" customHeight="false" outlineLevel="0" collapsed="false">
      <c r="A1062" s="85" t="str">
        <f aca="false">Gov_Map!$H374&amp;""</f>
        <v>SRC_PERF_031</v>
      </c>
      <c r="B1062" s="66" t="s">
        <v>6250</v>
      </c>
      <c r="C1062" s="53" t="n">
        <v>374</v>
      </c>
      <c r="D1062" s="53" t="s">
        <v>6251</v>
      </c>
      <c r="E1062" s="53" t="s">
        <v>6251</v>
      </c>
    </row>
    <row r="1063" customFormat="false" ht="15" hidden="false" customHeight="false" outlineLevel="0" collapsed="false">
      <c r="A1063" s="85" t="str">
        <f aca="false">Gov_Map!$H375&amp;""</f>
        <v>SRC_PERF_031</v>
      </c>
      <c r="B1063" s="66" t="s">
        <v>6250</v>
      </c>
      <c r="C1063" s="53" t="n">
        <v>375</v>
      </c>
      <c r="D1063" s="53" t="s">
        <v>6251</v>
      </c>
      <c r="E1063" s="53" t="s">
        <v>6251</v>
      </c>
    </row>
    <row r="1064" customFormat="false" ht="15" hidden="false" customHeight="false" outlineLevel="0" collapsed="false">
      <c r="A1064" s="85" t="str">
        <f aca="false">Gov_Map!$H376&amp;""</f>
        <v>SRC_PERF_031</v>
      </c>
      <c r="B1064" s="66" t="s">
        <v>6250</v>
      </c>
      <c r="C1064" s="53" t="n">
        <v>376</v>
      </c>
      <c r="D1064" s="53" t="s">
        <v>6251</v>
      </c>
      <c r="E1064" s="53" t="s">
        <v>6251</v>
      </c>
    </row>
    <row r="1065" customFormat="false" ht="15" hidden="false" customHeight="false" outlineLevel="0" collapsed="false">
      <c r="A1065" s="85" t="str">
        <f aca="false">Gov_Map!$H377&amp;""</f>
        <v>SRC_PERF_032</v>
      </c>
      <c r="B1065" s="66" t="s">
        <v>6250</v>
      </c>
      <c r="C1065" s="53" t="n">
        <v>377</v>
      </c>
      <c r="D1065" s="53" t="s">
        <v>6251</v>
      </c>
      <c r="E1065" s="53" t="s">
        <v>6251</v>
      </c>
    </row>
    <row r="1066" customFormat="false" ht="15" hidden="false" customHeight="false" outlineLevel="0" collapsed="false">
      <c r="A1066" s="85" t="str">
        <f aca="false">Gov_Map!$H378&amp;""</f>
        <v>SRC_PERF_035</v>
      </c>
      <c r="B1066" s="66" t="s">
        <v>6250</v>
      </c>
      <c r="C1066" s="53" t="n">
        <v>378</v>
      </c>
      <c r="D1066" s="53" t="s">
        <v>6251</v>
      </c>
      <c r="E1066" s="53" t="s">
        <v>6251</v>
      </c>
    </row>
    <row r="1067" customFormat="false" ht="15" hidden="false" customHeight="false" outlineLevel="0" collapsed="false">
      <c r="A1067" s="85" t="str">
        <f aca="false">Gov_Map!$H379&amp;""</f>
        <v>SRC_PERF_035</v>
      </c>
      <c r="B1067" s="66" t="s">
        <v>6250</v>
      </c>
      <c r="C1067" s="53" t="n">
        <v>379</v>
      </c>
      <c r="D1067" s="53" t="s">
        <v>6251</v>
      </c>
      <c r="E1067" s="53" t="s">
        <v>6251</v>
      </c>
    </row>
    <row r="1068" customFormat="false" ht="15" hidden="false" customHeight="false" outlineLevel="0" collapsed="false">
      <c r="A1068" s="85" t="str">
        <f aca="false">Gov_Map!$H380&amp;""</f>
        <v>SRC_PERF_035</v>
      </c>
      <c r="B1068" s="66" t="s">
        <v>6250</v>
      </c>
      <c r="C1068" s="53" t="n">
        <v>380</v>
      </c>
      <c r="D1068" s="53" t="s">
        <v>6251</v>
      </c>
      <c r="E1068" s="53" t="s">
        <v>6251</v>
      </c>
    </row>
    <row r="1069" customFormat="false" ht="15" hidden="false" customHeight="false" outlineLevel="0" collapsed="false">
      <c r="A1069" s="85" t="str">
        <f aca="false">Gov_Map!$H381&amp;""</f>
        <v>SRC_PERF_035</v>
      </c>
      <c r="B1069" s="66" t="s">
        <v>6250</v>
      </c>
      <c r="C1069" s="53" t="n">
        <v>381</v>
      </c>
      <c r="D1069" s="53" t="s">
        <v>6251</v>
      </c>
      <c r="E1069" s="53" t="s">
        <v>6251</v>
      </c>
    </row>
    <row r="1070" customFormat="false" ht="15" hidden="false" customHeight="false" outlineLevel="0" collapsed="false">
      <c r="A1070" s="85" t="str">
        <f aca="false">Gov_Map!$H382&amp;""</f>
        <v>SRC_PERF_028</v>
      </c>
      <c r="B1070" s="66" t="s">
        <v>6250</v>
      </c>
      <c r="C1070" s="53" t="n">
        <v>382</v>
      </c>
      <c r="D1070" s="53" t="s">
        <v>6251</v>
      </c>
      <c r="E1070" s="53" t="s">
        <v>6251</v>
      </c>
    </row>
    <row r="1071" customFormat="false" ht="15" hidden="false" customHeight="false" outlineLevel="0" collapsed="false">
      <c r="A1071" s="85" t="str">
        <f aca="false">Gov_Map!$H383&amp;""</f>
        <v>SRC_PERF_025</v>
      </c>
      <c r="B1071" s="66" t="s">
        <v>6250</v>
      </c>
      <c r="C1071" s="53" t="n">
        <v>383</v>
      </c>
      <c r="D1071" s="53" t="s">
        <v>6251</v>
      </c>
      <c r="E1071" s="53" t="s">
        <v>6251</v>
      </c>
    </row>
    <row r="1072" customFormat="false" ht="15" hidden="false" customHeight="false" outlineLevel="0" collapsed="false">
      <c r="A1072" s="85" t="str">
        <f aca="false">Gov_Map!$H384&amp;""</f>
        <v>SRC_PERF_027</v>
      </c>
      <c r="B1072" s="66" t="s">
        <v>6250</v>
      </c>
      <c r="C1072" s="53" t="n">
        <v>384</v>
      </c>
      <c r="D1072" s="53" t="s">
        <v>6251</v>
      </c>
      <c r="E1072" s="53" t="s">
        <v>6251</v>
      </c>
    </row>
    <row r="1073" customFormat="false" ht="15" hidden="false" customHeight="false" outlineLevel="0" collapsed="false">
      <c r="A1073" s="85" t="str">
        <f aca="false">Gov_Map!$H385&amp;""</f>
        <v>SRC_PERF_026</v>
      </c>
      <c r="B1073" s="66" t="s">
        <v>6250</v>
      </c>
      <c r="C1073" s="53" t="n">
        <v>385</v>
      </c>
      <c r="D1073" s="53" t="s">
        <v>6251</v>
      </c>
      <c r="E1073" s="53" t="s">
        <v>6251</v>
      </c>
    </row>
    <row r="1074" customFormat="false" ht="15" hidden="false" customHeight="false" outlineLevel="0" collapsed="false">
      <c r="A1074" s="85" t="str">
        <f aca="false">Gov_Map!$H386&amp;""</f>
        <v>—</v>
      </c>
      <c r="B1074" s="66" t="s">
        <v>6250</v>
      </c>
      <c r="C1074" s="53" t="n">
        <v>386</v>
      </c>
      <c r="D1074" s="53" t="s">
        <v>6251</v>
      </c>
      <c r="E1074" s="53" t="s">
        <v>6251</v>
      </c>
    </row>
    <row r="1075" customFormat="false" ht="15" hidden="false" customHeight="false" outlineLevel="0" collapsed="false">
      <c r="A1075" s="85" t="str">
        <f aca="false">Gov_Map!$H387&amp;""</f>
        <v>SRC_HW_035</v>
      </c>
      <c r="B1075" s="66" t="s">
        <v>6250</v>
      </c>
      <c r="C1075" s="53" t="n">
        <v>387</v>
      </c>
      <c r="D1075" s="53" t="s">
        <v>6251</v>
      </c>
      <c r="E1075" s="53" t="s">
        <v>6251</v>
      </c>
    </row>
    <row r="1076" customFormat="false" ht="15" hidden="false" customHeight="false" outlineLevel="0" collapsed="false">
      <c r="A1076" s="85" t="str">
        <f aca="false">Gov_Map!$H388&amp;""</f>
        <v>—</v>
      </c>
      <c r="B1076" s="66" t="s">
        <v>6250</v>
      </c>
      <c r="C1076" s="53" t="n">
        <v>388</v>
      </c>
      <c r="D1076" s="53" t="s">
        <v>6251</v>
      </c>
      <c r="E1076" s="53" t="s">
        <v>6251</v>
      </c>
    </row>
    <row r="1077" customFormat="false" ht="15" hidden="false" customHeight="false" outlineLevel="0" collapsed="false">
      <c r="A1077" s="85" t="str">
        <f aca="false">Gov_Map!$H389&amp;""</f>
        <v>—</v>
      </c>
      <c r="B1077" s="66" t="s">
        <v>6250</v>
      </c>
      <c r="C1077" s="53" t="n">
        <v>389</v>
      </c>
      <c r="D1077" s="53" t="s">
        <v>6251</v>
      </c>
      <c r="E1077" s="53" t="s">
        <v>6251</v>
      </c>
    </row>
    <row r="1078" customFormat="false" ht="15" hidden="false" customHeight="false" outlineLevel="0" collapsed="false">
      <c r="A1078" s="85" t="str">
        <f aca="false">Gov_Map!$H390&amp;""</f>
        <v>—</v>
      </c>
      <c r="B1078" s="66" t="s">
        <v>6250</v>
      </c>
      <c r="C1078" s="53" t="n">
        <v>390</v>
      </c>
      <c r="D1078" s="53" t="s">
        <v>6251</v>
      </c>
      <c r="E1078" s="53" t="s">
        <v>6251</v>
      </c>
    </row>
    <row r="1079" customFormat="false" ht="15" hidden="false" customHeight="false" outlineLevel="0" collapsed="false">
      <c r="A1079" s="85" t="str">
        <f aca="false">Gov_Map!$H391&amp;""</f>
        <v>—</v>
      </c>
      <c r="B1079" s="66" t="s">
        <v>6250</v>
      </c>
      <c r="C1079" s="53" t="n">
        <v>391</v>
      </c>
      <c r="D1079" s="53" t="s">
        <v>6251</v>
      </c>
      <c r="E1079" s="53" t="s">
        <v>6251</v>
      </c>
    </row>
    <row r="1080" customFormat="false" ht="15" hidden="false" customHeight="false" outlineLevel="0" collapsed="false">
      <c r="A1080" s="85" t="str">
        <f aca="false">Gov_Map!$H392&amp;""</f>
        <v>—</v>
      </c>
      <c r="B1080" s="66" t="s">
        <v>6250</v>
      </c>
      <c r="C1080" s="53" t="n">
        <v>392</v>
      </c>
      <c r="D1080" s="53" t="s">
        <v>6251</v>
      </c>
      <c r="E1080" s="53" t="s">
        <v>6251</v>
      </c>
    </row>
    <row r="1081" customFormat="false" ht="15" hidden="false" customHeight="false" outlineLevel="0" collapsed="false">
      <c r="A1081" s="85" t="str">
        <f aca="false">Gov_Map!$H393&amp;""</f>
        <v>—</v>
      </c>
      <c r="B1081" s="66" t="s">
        <v>6250</v>
      </c>
      <c r="C1081" s="53" t="n">
        <v>393</v>
      </c>
      <c r="D1081" s="53" t="s">
        <v>6251</v>
      </c>
      <c r="E1081" s="53" t="s">
        <v>6251</v>
      </c>
    </row>
    <row r="1082" customFormat="false" ht="15" hidden="false" customHeight="false" outlineLevel="0" collapsed="false">
      <c r="A1082" s="85" t="str">
        <f aca="false">Gov_Map!$H394&amp;""</f>
        <v>—</v>
      </c>
      <c r="B1082" s="66" t="s">
        <v>6250</v>
      </c>
      <c r="C1082" s="53" t="n">
        <v>394</v>
      </c>
      <c r="D1082" s="53" t="s">
        <v>6251</v>
      </c>
      <c r="E1082" s="53" t="s">
        <v>6251</v>
      </c>
    </row>
    <row r="1083" customFormat="false" ht="15" hidden="false" customHeight="false" outlineLevel="0" collapsed="false">
      <c r="A1083" s="85" t="str">
        <f aca="false">Gov_Map!$H395&amp;""</f>
        <v>—</v>
      </c>
      <c r="B1083" s="66" t="s">
        <v>6250</v>
      </c>
      <c r="C1083" s="53" t="n">
        <v>395</v>
      </c>
      <c r="D1083" s="53" t="s">
        <v>6251</v>
      </c>
      <c r="E1083" s="53" t="s">
        <v>6251</v>
      </c>
    </row>
    <row r="1084" customFormat="false" ht="15" hidden="false" customHeight="false" outlineLevel="0" collapsed="false">
      <c r="A1084" s="85" t="str">
        <f aca="false">Gov_Map!$H396&amp;""</f>
        <v>—</v>
      </c>
      <c r="B1084" s="66" t="s">
        <v>6250</v>
      </c>
      <c r="C1084" s="53" t="n">
        <v>396</v>
      </c>
      <c r="D1084" s="53" t="s">
        <v>6251</v>
      </c>
      <c r="E1084" s="53" t="s">
        <v>6251</v>
      </c>
    </row>
    <row r="1085" customFormat="false" ht="15" hidden="false" customHeight="false" outlineLevel="0" collapsed="false">
      <c r="A1085" s="85" t="str">
        <f aca="false">Gov_Map!$H397&amp;""</f>
        <v>—</v>
      </c>
      <c r="B1085" s="66" t="s">
        <v>6250</v>
      </c>
      <c r="C1085" s="53" t="n">
        <v>397</v>
      </c>
      <c r="D1085" s="53" t="s">
        <v>6251</v>
      </c>
      <c r="E1085" s="53" t="s">
        <v>6251</v>
      </c>
    </row>
    <row r="1086" customFormat="false" ht="15" hidden="false" customHeight="false" outlineLevel="0" collapsed="false">
      <c r="A1086" s="85" t="str">
        <f aca="false">Gov_Map!$H398&amp;""</f>
        <v>—</v>
      </c>
      <c r="B1086" s="66" t="s">
        <v>6250</v>
      </c>
      <c r="C1086" s="53" t="n">
        <v>398</v>
      </c>
      <c r="D1086" s="53" t="s">
        <v>6251</v>
      </c>
      <c r="E1086" s="53" t="s">
        <v>6251</v>
      </c>
    </row>
    <row r="1087" customFormat="false" ht="15" hidden="false" customHeight="false" outlineLevel="0" collapsed="false">
      <c r="A1087" s="85" t="str">
        <f aca="false">Gov_Map!$H399&amp;""</f>
        <v>—</v>
      </c>
      <c r="B1087" s="66" t="s">
        <v>6250</v>
      </c>
      <c r="C1087" s="53" t="n">
        <v>399</v>
      </c>
      <c r="D1087" s="53" t="s">
        <v>6251</v>
      </c>
      <c r="E1087" s="53" t="s">
        <v>6251</v>
      </c>
    </row>
    <row r="1088" customFormat="false" ht="15" hidden="false" customHeight="false" outlineLevel="0" collapsed="false">
      <c r="A1088" s="85" t="str">
        <f aca="false">Gov_Map!$H400&amp;""</f>
        <v>—</v>
      </c>
      <c r="B1088" s="66" t="s">
        <v>6250</v>
      </c>
      <c r="C1088" s="53" t="n">
        <v>400</v>
      </c>
      <c r="D1088" s="53" t="s">
        <v>6251</v>
      </c>
      <c r="E1088" s="53" t="s">
        <v>6251</v>
      </c>
    </row>
    <row r="1089" customFormat="false" ht="15" hidden="false" customHeight="false" outlineLevel="0" collapsed="false">
      <c r="A1089" s="85" t="str">
        <f aca="false">Gov_Map!$H401&amp;""</f>
        <v>—</v>
      </c>
      <c r="B1089" s="66" t="s">
        <v>6250</v>
      </c>
      <c r="C1089" s="53" t="n">
        <v>401</v>
      </c>
      <c r="D1089" s="53" t="s">
        <v>6251</v>
      </c>
      <c r="E1089" s="53" t="s">
        <v>6251</v>
      </c>
    </row>
    <row r="1090" customFormat="false" ht="15" hidden="false" customHeight="false" outlineLevel="0" collapsed="false">
      <c r="A1090" s="85" t="str">
        <f aca="false">Gov_Map!$H402&amp;""</f>
        <v>—</v>
      </c>
      <c r="B1090" s="66" t="s">
        <v>6250</v>
      </c>
      <c r="C1090" s="53" t="n">
        <v>402</v>
      </c>
      <c r="D1090" s="53" t="s">
        <v>6251</v>
      </c>
      <c r="E1090" s="53" t="s">
        <v>6251</v>
      </c>
    </row>
    <row r="1091" customFormat="false" ht="15" hidden="false" customHeight="false" outlineLevel="0" collapsed="false">
      <c r="A1091" s="85" t="str">
        <f aca="false">Gov_Map!$H403&amp;""</f>
        <v>—</v>
      </c>
      <c r="B1091" s="66" t="s">
        <v>6250</v>
      </c>
      <c r="C1091" s="53" t="n">
        <v>403</v>
      </c>
      <c r="D1091" s="53" t="s">
        <v>6251</v>
      </c>
      <c r="E1091" s="53" t="s">
        <v>6251</v>
      </c>
    </row>
    <row r="1092" customFormat="false" ht="15" hidden="false" customHeight="false" outlineLevel="0" collapsed="false">
      <c r="A1092" s="85" t="str">
        <f aca="false">Gov_Map!$H404&amp;""</f>
        <v>—</v>
      </c>
      <c r="B1092" s="66" t="s">
        <v>6250</v>
      </c>
      <c r="C1092" s="53" t="n">
        <v>404</v>
      </c>
      <c r="D1092" s="53" t="s">
        <v>6251</v>
      </c>
      <c r="E1092" s="53" t="s">
        <v>6251</v>
      </c>
    </row>
    <row r="1093" customFormat="false" ht="15" hidden="false" customHeight="false" outlineLevel="0" collapsed="false">
      <c r="A1093" s="85" t="str">
        <f aca="false">Gov_Map!$H405&amp;""</f>
        <v>—</v>
      </c>
      <c r="B1093" s="66" t="s">
        <v>6250</v>
      </c>
      <c r="C1093" s="53" t="n">
        <v>405</v>
      </c>
      <c r="D1093" s="53" t="s">
        <v>6251</v>
      </c>
      <c r="E1093" s="53" t="s">
        <v>6251</v>
      </c>
    </row>
    <row r="1094" customFormat="false" ht="15" hidden="false" customHeight="false" outlineLevel="0" collapsed="false">
      <c r="A1094" s="85" t="str">
        <f aca="false">Gov_Map!$H406&amp;""</f>
        <v>—</v>
      </c>
      <c r="B1094" s="66" t="s">
        <v>6250</v>
      </c>
      <c r="C1094" s="53" t="n">
        <v>406</v>
      </c>
      <c r="D1094" s="53" t="s">
        <v>6251</v>
      </c>
      <c r="E1094" s="53" t="s">
        <v>6251</v>
      </c>
    </row>
    <row r="1095" customFormat="false" ht="15" hidden="false" customHeight="false" outlineLevel="0" collapsed="false">
      <c r="A1095" s="85" t="str">
        <f aca="false">Gov_Map!$H407&amp;""</f>
        <v>—</v>
      </c>
      <c r="B1095" s="66" t="s">
        <v>6250</v>
      </c>
      <c r="C1095" s="53" t="n">
        <v>407</v>
      </c>
      <c r="D1095" s="53" t="s">
        <v>6251</v>
      </c>
      <c r="E1095" s="53" t="s">
        <v>6251</v>
      </c>
    </row>
    <row r="1096" customFormat="false" ht="15" hidden="false" customHeight="false" outlineLevel="0" collapsed="false">
      <c r="A1096" s="85" t="str">
        <f aca="false">Gov_Map!$H408&amp;""</f>
        <v>—</v>
      </c>
      <c r="B1096" s="66" t="s">
        <v>6250</v>
      </c>
      <c r="C1096" s="53" t="n">
        <v>408</v>
      </c>
      <c r="D1096" s="53" t="s">
        <v>6251</v>
      </c>
      <c r="E1096" s="53" t="s">
        <v>6251</v>
      </c>
    </row>
    <row r="1097" customFormat="false" ht="15" hidden="false" customHeight="false" outlineLevel="0" collapsed="false">
      <c r="A1097" s="85" t="str">
        <f aca="false">Gov_Map!$H409&amp;""</f>
        <v>—</v>
      </c>
      <c r="B1097" s="66" t="s">
        <v>6250</v>
      </c>
      <c r="C1097" s="53" t="n">
        <v>409</v>
      </c>
      <c r="D1097" s="53" t="s">
        <v>6251</v>
      </c>
      <c r="E1097" s="53" t="s">
        <v>6251</v>
      </c>
    </row>
    <row r="1098" customFormat="false" ht="15" hidden="false" customHeight="false" outlineLevel="0" collapsed="false">
      <c r="A1098" s="85" t="str">
        <f aca="false">Gov_Map!$H410&amp;""</f>
        <v>—</v>
      </c>
      <c r="B1098" s="66" t="s">
        <v>6250</v>
      </c>
      <c r="C1098" s="53" t="n">
        <v>410</v>
      </c>
      <c r="D1098" s="53" t="s">
        <v>6251</v>
      </c>
      <c r="E1098" s="53" t="s">
        <v>6251</v>
      </c>
    </row>
    <row r="1099" customFormat="false" ht="15" hidden="false" customHeight="false" outlineLevel="0" collapsed="false">
      <c r="A1099" s="85" t="str">
        <f aca="false">Gov_Map!$H411&amp;""</f>
        <v>—</v>
      </c>
      <c r="B1099" s="66" t="s">
        <v>6250</v>
      </c>
      <c r="C1099" s="53" t="n">
        <v>411</v>
      </c>
      <c r="D1099" s="53" t="s">
        <v>6251</v>
      </c>
      <c r="E1099" s="53" t="s">
        <v>6251</v>
      </c>
    </row>
    <row r="1100" customFormat="false" ht="15" hidden="false" customHeight="false" outlineLevel="0" collapsed="false">
      <c r="A1100" s="85" t="str">
        <f aca="false">Gov_Map!$H412&amp;""</f>
        <v>—</v>
      </c>
      <c r="B1100" s="66" t="s">
        <v>6250</v>
      </c>
      <c r="C1100" s="53" t="n">
        <v>412</v>
      </c>
      <c r="D1100" s="53" t="s">
        <v>6251</v>
      </c>
      <c r="E1100" s="53" t="s">
        <v>6251</v>
      </c>
    </row>
    <row r="1101" customFormat="false" ht="15" hidden="false" customHeight="false" outlineLevel="0" collapsed="false">
      <c r="A1101" s="85" t="str">
        <f aca="false">Gov_Map!$H413&amp;""</f>
        <v>—</v>
      </c>
      <c r="B1101" s="66" t="s">
        <v>6250</v>
      </c>
      <c r="C1101" s="53" t="n">
        <v>413</v>
      </c>
      <c r="D1101" s="53" t="s">
        <v>6251</v>
      </c>
      <c r="E1101" s="53" t="s">
        <v>6251</v>
      </c>
    </row>
    <row r="1102" customFormat="false" ht="15" hidden="false" customHeight="false" outlineLevel="0" collapsed="false">
      <c r="A1102" s="85" t="str">
        <f aca="false">Gov_Map!$H414&amp;""</f>
        <v>—</v>
      </c>
      <c r="B1102" s="66" t="s">
        <v>6250</v>
      </c>
      <c r="C1102" s="53" t="n">
        <v>414</v>
      </c>
      <c r="D1102" s="53" t="s">
        <v>6251</v>
      </c>
      <c r="E1102" s="53" t="s">
        <v>6251</v>
      </c>
    </row>
    <row r="1103" customFormat="false" ht="15" hidden="false" customHeight="false" outlineLevel="0" collapsed="false">
      <c r="A1103" s="85" t="str">
        <f aca="false">Gov_Map!$H415&amp;""</f>
        <v>—</v>
      </c>
      <c r="B1103" s="66" t="s">
        <v>6250</v>
      </c>
      <c r="C1103" s="53" t="n">
        <v>415</v>
      </c>
      <c r="D1103" s="53" t="s">
        <v>6251</v>
      </c>
      <c r="E1103" s="53" t="s">
        <v>6251</v>
      </c>
    </row>
    <row r="1104" customFormat="false" ht="15" hidden="false" customHeight="false" outlineLevel="0" collapsed="false">
      <c r="A1104" s="85" t="str">
        <f aca="false">Gov_Map!$H416&amp;""</f>
        <v>—</v>
      </c>
      <c r="B1104" s="66" t="s">
        <v>6250</v>
      </c>
      <c r="C1104" s="53" t="n">
        <v>416</v>
      </c>
      <c r="D1104" s="53" t="s">
        <v>6251</v>
      </c>
      <c r="E1104" s="53" t="s">
        <v>6251</v>
      </c>
    </row>
    <row r="1105" customFormat="false" ht="15" hidden="false" customHeight="false" outlineLevel="0" collapsed="false">
      <c r="A1105" s="85" t="str">
        <f aca="false">Gov_Map!$H417&amp;""</f>
        <v>—</v>
      </c>
      <c r="B1105" s="66" t="s">
        <v>6250</v>
      </c>
      <c r="C1105" s="53" t="n">
        <v>417</v>
      </c>
      <c r="D1105" s="53" t="s">
        <v>6251</v>
      </c>
      <c r="E1105" s="53" t="s">
        <v>6251</v>
      </c>
    </row>
    <row r="1106" customFormat="false" ht="15" hidden="false" customHeight="false" outlineLevel="0" collapsed="false">
      <c r="A1106" s="85" t="str">
        <f aca="false">Gov_Map!$H418&amp;""</f>
        <v>—</v>
      </c>
      <c r="B1106" s="66" t="s">
        <v>6250</v>
      </c>
      <c r="C1106" s="53" t="n">
        <v>418</v>
      </c>
      <c r="D1106" s="53" t="s">
        <v>6251</v>
      </c>
      <c r="E1106" s="53" t="s">
        <v>6251</v>
      </c>
    </row>
    <row r="1107" customFormat="false" ht="15" hidden="false" customHeight="false" outlineLevel="0" collapsed="false">
      <c r="A1107" s="85" t="str">
        <f aca="false">Gov_Map!$H419&amp;""</f>
        <v>—</v>
      </c>
      <c r="B1107" s="66" t="s">
        <v>6250</v>
      </c>
      <c r="C1107" s="53" t="n">
        <v>419</v>
      </c>
      <c r="D1107" s="53" t="s">
        <v>6251</v>
      </c>
      <c r="E1107" s="53" t="s">
        <v>6251</v>
      </c>
    </row>
    <row r="1108" customFormat="false" ht="15" hidden="false" customHeight="false" outlineLevel="0" collapsed="false">
      <c r="A1108" s="85" t="str">
        <f aca="false">Gov_Map!$H420&amp;""</f>
        <v>—</v>
      </c>
      <c r="B1108" s="66" t="s">
        <v>6250</v>
      </c>
      <c r="C1108" s="53" t="n">
        <v>420</v>
      </c>
      <c r="D1108" s="53" t="s">
        <v>6251</v>
      </c>
      <c r="E1108" s="53" t="s">
        <v>6251</v>
      </c>
    </row>
    <row r="1109" customFormat="false" ht="15" hidden="false" customHeight="false" outlineLevel="0" collapsed="false">
      <c r="A1109" s="85" t="str">
        <f aca="false">Gov_Map!$H421&amp;""</f>
        <v>—</v>
      </c>
      <c r="B1109" s="66" t="s">
        <v>6250</v>
      </c>
      <c r="C1109" s="53" t="n">
        <v>421</v>
      </c>
      <c r="D1109" s="53" t="s">
        <v>6251</v>
      </c>
      <c r="E1109" s="53" t="s">
        <v>6251</v>
      </c>
    </row>
    <row r="1110" customFormat="false" ht="15" hidden="false" customHeight="false" outlineLevel="0" collapsed="false">
      <c r="A1110" s="85" t="str">
        <f aca="false">Gov_Map!$H422&amp;""</f>
        <v>—</v>
      </c>
      <c r="B1110" s="66" t="s">
        <v>6250</v>
      </c>
      <c r="C1110" s="53" t="n">
        <v>422</v>
      </c>
      <c r="D1110" s="53" t="s">
        <v>6251</v>
      </c>
      <c r="E1110" s="53" t="s">
        <v>6251</v>
      </c>
    </row>
    <row r="1111" customFormat="false" ht="15" hidden="false" customHeight="false" outlineLevel="0" collapsed="false">
      <c r="A1111" s="85" t="str">
        <f aca="false">Gov_Map!$H423&amp;""</f>
        <v>—</v>
      </c>
      <c r="B1111" s="66" t="s">
        <v>6250</v>
      </c>
      <c r="C1111" s="53" t="n">
        <v>423</v>
      </c>
      <c r="D1111" s="53" t="s">
        <v>6251</v>
      </c>
      <c r="E1111" s="53" t="s">
        <v>6251</v>
      </c>
    </row>
    <row r="1112" customFormat="false" ht="15" hidden="false" customHeight="false" outlineLevel="0" collapsed="false">
      <c r="A1112" s="85" t="str">
        <f aca="false">Gov_Map!$H424&amp;""</f>
        <v>—</v>
      </c>
      <c r="B1112" s="66" t="s">
        <v>6250</v>
      </c>
      <c r="C1112" s="53" t="n">
        <v>424</v>
      </c>
      <c r="D1112" s="53" t="s">
        <v>6251</v>
      </c>
      <c r="E1112" s="53" t="s">
        <v>6251</v>
      </c>
    </row>
    <row r="1113" customFormat="false" ht="15" hidden="false" customHeight="false" outlineLevel="0" collapsed="false">
      <c r="A1113" s="85" t="str">
        <f aca="false">Gov_Map!$H425&amp;""</f>
        <v>—</v>
      </c>
      <c r="B1113" s="66" t="s">
        <v>6250</v>
      </c>
      <c r="C1113" s="53" t="n">
        <v>425</v>
      </c>
      <c r="D1113" s="53" t="s">
        <v>6251</v>
      </c>
      <c r="E1113" s="53" t="s">
        <v>6251</v>
      </c>
    </row>
    <row r="1114" customFormat="false" ht="15" hidden="false" customHeight="false" outlineLevel="0" collapsed="false">
      <c r="A1114" s="85" t="str">
        <f aca="false">Gov_Map!$H426&amp;""</f>
        <v>—</v>
      </c>
      <c r="B1114" s="66" t="s">
        <v>6250</v>
      </c>
      <c r="C1114" s="53" t="n">
        <v>426</v>
      </c>
      <c r="D1114" s="53" t="s">
        <v>6251</v>
      </c>
      <c r="E1114" s="53" t="s">
        <v>6251</v>
      </c>
    </row>
    <row r="1115" customFormat="false" ht="15" hidden="false" customHeight="false" outlineLevel="0" collapsed="false">
      <c r="A1115" s="85" t="str">
        <f aca="false">Gov_Map!$H427&amp;""</f>
        <v>—</v>
      </c>
      <c r="B1115" s="66" t="s">
        <v>6250</v>
      </c>
      <c r="C1115" s="53" t="n">
        <v>427</v>
      </c>
      <c r="D1115" s="53" t="s">
        <v>6251</v>
      </c>
      <c r="E1115" s="53" t="s">
        <v>6251</v>
      </c>
    </row>
    <row r="1116" customFormat="false" ht="15" hidden="false" customHeight="false" outlineLevel="0" collapsed="false">
      <c r="A1116" s="85" t="str">
        <f aca="false">Gov_Map!$H428&amp;""</f>
        <v>—</v>
      </c>
      <c r="B1116" s="66" t="s">
        <v>6250</v>
      </c>
      <c r="C1116" s="53" t="n">
        <v>428</v>
      </c>
      <c r="D1116" s="53" t="s">
        <v>6251</v>
      </c>
      <c r="E1116" s="53" t="s">
        <v>6251</v>
      </c>
    </row>
    <row r="1117" customFormat="false" ht="15" hidden="false" customHeight="false" outlineLevel="0" collapsed="false">
      <c r="A1117" s="85" t="str">
        <f aca="false">Gov_Map!$H429&amp;""</f>
        <v>—</v>
      </c>
      <c r="B1117" s="66" t="s">
        <v>6250</v>
      </c>
      <c r="C1117" s="53" t="n">
        <v>429</v>
      </c>
      <c r="D1117" s="53" t="s">
        <v>6251</v>
      </c>
      <c r="E1117" s="53" t="s">
        <v>6251</v>
      </c>
    </row>
    <row r="1118" customFormat="false" ht="15" hidden="false" customHeight="false" outlineLevel="0" collapsed="false">
      <c r="A1118" s="85" t="str">
        <f aca="false">Gov_Map!$H430&amp;""</f>
        <v>—</v>
      </c>
      <c r="B1118" s="66" t="s">
        <v>6250</v>
      </c>
      <c r="C1118" s="53" t="n">
        <v>430</v>
      </c>
      <c r="D1118" s="53" t="s">
        <v>6251</v>
      </c>
      <c r="E1118" s="53" t="s">
        <v>6251</v>
      </c>
    </row>
    <row r="1119" customFormat="false" ht="15" hidden="false" customHeight="false" outlineLevel="0" collapsed="false">
      <c r="A1119" s="85" t="str">
        <f aca="false">Gov_Map!$H431&amp;""</f>
        <v>SRC_MOD_029</v>
      </c>
      <c r="B1119" s="66" t="s">
        <v>6250</v>
      </c>
      <c r="C1119" s="53" t="n">
        <v>431</v>
      </c>
      <c r="D1119" s="53" t="s">
        <v>6251</v>
      </c>
      <c r="E1119" s="53" t="s">
        <v>6251</v>
      </c>
    </row>
    <row r="1120" customFormat="false" ht="15" hidden="false" customHeight="false" outlineLevel="0" collapsed="false">
      <c r="A1120" s="85" t="str">
        <f aca="false">Gov_Map!$H432&amp;""</f>
        <v>SRC_MOD_030</v>
      </c>
      <c r="B1120" s="66" t="s">
        <v>6250</v>
      </c>
      <c r="C1120" s="53" t="n">
        <v>432</v>
      </c>
      <c r="D1120" s="53" t="s">
        <v>6251</v>
      </c>
      <c r="E1120" s="53" t="s">
        <v>6251</v>
      </c>
    </row>
    <row r="1121" customFormat="false" ht="15" hidden="false" customHeight="false" outlineLevel="0" collapsed="false">
      <c r="A1121" s="85" t="str">
        <f aca="false">Gov_Map!$H433&amp;""</f>
        <v>SRC_MOD_031</v>
      </c>
      <c r="B1121" s="66" t="s">
        <v>6250</v>
      </c>
      <c r="C1121" s="53" t="n">
        <v>433</v>
      </c>
      <c r="D1121" s="53" t="s">
        <v>6251</v>
      </c>
      <c r="E1121" s="53" t="s">
        <v>6251</v>
      </c>
    </row>
    <row r="1122" customFormat="false" ht="15" hidden="false" customHeight="false" outlineLevel="0" collapsed="false">
      <c r="A1122" s="85" t="str">
        <f aca="false">Gov_Map!$H434&amp;""</f>
        <v>SRC_MOD_031</v>
      </c>
      <c r="B1122" s="66" t="s">
        <v>6250</v>
      </c>
      <c r="C1122" s="53" t="n">
        <v>434</v>
      </c>
      <c r="D1122" s="53" t="s">
        <v>6251</v>
      </c>
      <c r="E1122" s="53" t="s">
        <v>6251</v>
      </c>
    </row>
    <row r="1123" customFormat="false" ht="15" hidden="false" customHeight="false" outlineLevel="0" collapsed="false">
      <c r="A1123" s="85" t="str">
        <f aca="false">Gov_Map!$H435&amp;""</f>
        <v>SRC_MOD_039</v>
      </c>
      <c r="B1123" s="66" t="s">
        <v>6250</v>
      </c>
      <c r="C1123" s="53" t="n">
        <v>435</v>
      </c>
      <c r="D1123" s="53" t="s">
        <v>6251</v>
      </c>
      <c r="E1123" s="53" t="s">
        <v>6251</v>
      </c>
    </row>
    <row r="1124" customFormat="false" ht="15" hidden="false" customHeight="false" outlineLevel="0" collapsed="false">
      <c r="A1124" s="85" t="str">
        <f aca="false">Gov_Map!$H436&amp;""</f>
        <v>SRC_MOD_040</v>
      </c>
      <c r="B1124" s="66" t="s">
        <v>6250</v>
      </c>
      <c r="C1124" s="53" t="n">
        <v>436</v>
      </c>
      <c r="D1124" s="53" t="s">
        <v>6251</v>
      </c>
      <c r="E1124" s="53" t="s">
        <v>6251</v>
      </c>
    </row>
    <row r="1125" customFormat="false" ht="15" hidden="false" customHeight="false" outlineLevel="0" collapsed="false">
      <c r="A1125" s="85" t="str">
        <f aca="false">Gov_Map!$H437&amp;""</f>
        <v>SRC_MOD_042</v>
      </c>
      <c r="B1125" s="66" t="s">
        <v>6250</v>
      </c>
      <c r="C1125" s="53" t="n">
        <v>437</v>
      </c>
      <c r="D1125" s="53" t="s">
        <v>6251</v>
      </c>
      <c r="E1125" s="53" t="s">
        <v>6251</v>
      </c>
    </row>
    <row r="1126" customFormat="false" ht="15" hidden="false" customHeight="false" outlineLevel="0" collapsed="false">
      <c r="A1126" s="85" t="str">
        <f aca="false">Gov_Map!$H438&amp;""</f>
        <v>SRC_MOD_036</v>
      </c>
      <c r="B1126" s="66" t="s">
        <v>6250</v>
      </c>
      <c r="C1126" s="53" t="n">
        <v>438</v>
      </c>
      <c r="D1126" s="53" t="s">
        <v>6251</v>
      </c>
      <c r="E1126" s="53" t="s">
        <v>6251</v>
      </c>
    </row>
    <row r="1127" customFormat="false" ht="15" hidden="false" customHeight="false" outlineLevel="0" collapsed="false">
      <c r="A1127" s="85" t="str">
        <f aca="false">Gov_Map!$H439&amp;""</f>
        <v>SRC_MOD_043</v>
      </c>
      <c r="B1127" s="66" t="s">
        <v>6250</v>
      </c>
      <c r="C1127" s="53" t="n">
        <v>439</v>
      </c>
      <c r="D1127" s="53" t="s">
        <v>6251</v>
      </c>
      <c r="E1127" s="53" t="s">
        <v>6251</v>
      </c>
    </row>
    <row r="1128" customFormat="false" ht="15" hidden="false" customHeight="false" outlineLevel="0" collapsed="false">
      <c r="A1128" s="85" t="str">
        <f aca="false">Gov_Map!$H440&amp;""</f>
        <v>—</v>
      </c>
      <c r="B1128" s="66" t="s">
        <v>6250</v>
      </c>
      <c r="C1128" s="53" t="n">
        <v>440</v>
      </c>
      <c r="D1128" s="53" t="s">
        <v>6251</v>
      </c>
      <c r="E1128" s="53" t="s">
        <v>6251</v>
      </c>
    </row>
    <row r="1129" customFormat="false" ht="15" hidden="false" customHeight="false" outlineLevel="0" collapsed="false">
      <c r="A1129" s="85" t="str">
        <f aca="false">Gov_Map!$H441&amp;""</f>
        <v>—</v>
      </c>
      <c r="B1129" s="66" t="s">
        <v>6250</v>
      </c>
      <c r="C1129" s="53" t="n">
        <v>441</v>
      </c>
      <c r="D1129" s="53" t="s">
        <v>6251</v>
      </c>
      <c r="E1129" s="53" t="s">
        <v>6251</v>
      </c>
    </row>
    <row r="1130" customFormat="false" ht="15" hidden="false" customHeight="false" outlineLevel="0" collapsed="false">
      <c r="A1130" s="85" t="str">
        <f aca="false">Gov_Map!$H442&amp;""</f>
        <v>—</v>
      </c>
      <c r="B1130" s="66" t="s">
        <v>6250</v>
      </c>
      <c r="C1130" s="53" t="n">
        <v>442</v>
      </c>
      <c r="D1130" s="53" t="s">
        <v>6251</v>
      </c>
      <c r="E1130" s="53" t="s">
        <v>6251</v>
      </c>
    </row>
    <row r="1131" customFormat="false" ht="15" hidden="false" customHeight="false" outlineLevel="0" collapsed="false">
      <c r="A1131" s="85" t="str">
        <f aca="false">Gov_Map!$H443&amp;""</f>
        <v>—</v>
      </c>
      <c r="B1131" s="66" t="s">
        <v>6250</v>
      </c>
      <c r="C1131" s="53" t="n">
        <v>443</v>
      </c>
      <c r="D1131" s="53" t="s">
        <v>6251</v>
      </c>
      <c r="E1131" s="53" t="s">
        <v>6251</v>
      </c>
    </row>
    <row r="1132" customFormat="false" ht="15" hidden="false" customHeight="false" outlineLevel="0" collapsed="false">
      <c r="A1132" s="85" t="str">
        <f aca="false">Gov_Map!$H444&amp;""</f>
        <v>—</v>
      </c>
      <c r="B1132" s="66" t="s">
        <v>6250</v>
      </c>
      <c r="C1132" s="53" t="n">
        <v>444</v>
      </c>
      <c r="D1132" s="53" t="s">
        <v>6251</v>
      </c>
      <c r="E1132" s="53" t="s">
        <v>6251</v>
      </c>
    </row>
    <row r="1133" customFormat="false" ht="15" hidden="false" customHeight="false" outlineLevel="0" collapsed="false">
      <c r="A1133" s="85" t="str">
        <f aca="false">Gov_Map!$H445&amp;""</f>
        <v>—</v>
      </c>
      <c r="B1133" s="66" t="s">
        <v>6250</v>
      </c>
      <c r="C1133" s="53" t="n">
        <v>445</v>
      </c>
      <c r="D1133" s="53" t="s">
        <v>6251</v>
      </c>
      <c r="E1133" s="53" t="s">
        <v>6251</v>
      </c>
    </row>
    <row r="1134" customFormat="false" ht="15" hidden="false" customHeight="false" outlineLevel="0" collapsed="false">
      <c r="A1134" s="85" t="str">
        <f aca="false">Gov_Map!$H446&amp;""</f>
        <v>—</v>
      </c>
      <c r="B1134" s="66" t="s">
        <v>6250</v>
      </c>
      <c r="C1134" s="53" t="n">
        <v>446</v>
      </c>
      <c r="D1134" s="53" t="s">
        <v>6251</v>
      </c>
      <c r="E1134" s="53" t="s">
        <v>6251</v>
      </c>
    </row>
    <row r="1135" customFormat="false" ht="15" hidden="false" customHeight="false" outlineLevel="0" collapsed="false">
      <c r="A1135" s="85" t="str">
        <f aca="false">Gov_Map!$H447&amp;""</f>
        <v>—</v>
      </c>
      <c r="B1135" s="66" t="s">
        <v>6250</v>
      </c>
      <c r="C1135" s="53" t="n">
        <v>447</v>
      </c>
      <c r="D1135" s="53" t="s">
        <v>6251</v>
      </c>
      <c r="E1135" s="53" t="s">
        <v>6251</v>
      </c>
    </row>
    <row r="1136" customFormat="false" ht="15" hidden="false" customHeight="false" outlineLevel="0" collapsed="false">
      <c r="A1136" s="85" t="str">
        <f aca="false">Gov_Map!$H448&amp;""</f>
        <v>—</v>
      </c>
      <c r="B1136" s="66" t="s">
        <v>6250</v>
      </c>
      <c r="C1136" s="53" t="n">
        <v>448</v>
      </c>
      <c r="D1136" s="53" t="s">
        <v>6251</v>
      </c>
      <c r="E1136" s="53" t="s">
        <v>6251</v>
      </c>
    </row>
    <row r="1137" customFormat="false" ht="15" hidden="false" customHeight="false" outlineLevel="0" collapsed="false">
      <c r="A1137" s="85" t="str">
        <f aca="false">Gov_Map!$H449&amp;""</f>
        <v>—</v>
      </c>
      <c r="B1137" s="66" t="s">
        <v>6250</v>
      </c>
      <c r="C1137" s="53" t="n">
        <v>449</v>
      </c>
      <c r="D1137" s="53" t="s">
        <v>6251</v>
      </c>
      <c r="E1137" s="53" t="s">
        <v>6251</v>
      </c>
    </row>
    <row r="1138" customFormat="false" ht="15" hidden="false" customHeight="false" outlineLevel="0" collapsed="false">
      <c r="A1138" s="85" t="str">
        <f aca="false">Gov_Map!$H450&amp;""</f>
        <v>—</v>
      </c>
      <c r="B1138" s="66" t="s">
        <v>6250</v>
      </c>
      <c r="C1138" s="53" t="n">
        <v>450</v>
      </c>
      <c r="D1138" s="53" t="s">
        <v>6251</v>
      </c>
      <c r="E1138" s="53" t="s">
        <v>6251</v>
      </c>
    </row>
    <row r="1139" customFormat="false" ht="15" hidden="false" customHeight="false" outlineLevel="0" collapsed="false">
      <c r="A1139" s="85" t="str">
        <f aca="false">Gov_Map!$H451&amp;""</f>
        <v>—</v>
      </c>
      <c r="B1139" s="66" t="s">
        <v>6250</v>
      </c>
      <c r="C1139" s="53" t="n">
        <v>451</v>
      </c>
      <c r="D1139" s="53" t="s">
        <v>6251</v>
      </c>
      <c r="E1139" s="53" t="s">
        <v>6251</v>
      </c>
    </row>
    <row r="1140" customFormat="false" ht="15" hidden="false" customHeight="false" outlineLevel="0" collapsed="false">
      <c r="A1140" s="85" t="str">
        <f aca="false">Gov_Map!$H452&amp;""</f>
        <v>—</v>
      </c>
      <c r="B1140" s="66" t="s">
        <v>6250</v>
      </c>
      <c r="C1140" s="53" t="n">
        <v>452</v>
      </c>
      <c r="D1140" s="53" t="s">
        <v>6251</v>
      </c>
      <c r="E1140" s="53" t="s">
        <v>6251</v>
      </c>
    </row>
    <row r="1141" customFormat="false" ht="15" hidden="false" customHeight="false" outlineLevel="0" collapsed="false">
      <c r="A1141" s="85" t="str">
        <f aca="false">Gov_Map!$H453&amp;""</f>
        <v>—</v>
      </c>
      <c r="B1141" s="66" t="s">
        <v>6250</v>
      </c>
      <c r="C1141" s="53" t="n">
        <v>453</v>
      </c>
      <c r="D1141" s="53" t="s">
        <v>6251</v>
      </c>
      <c r="E1141" s="53" t="s">
        <v>6251</v>
      </c>
    </row>
    <row r="1142" customFormat="false" ht="15" hidden="false" customHeight="false" outlineLevel="0" collapsed="false">
      <c r="A1142" s="85" t="str">
        <f aca="false">Gov_Map!$H454&amp;""</f>
        <v>—</v>
      </c>
      <c r="B1142" s="66" t="s">
        <v>6250</v>
      </c>
      <c r="C1142" s="53" t="n">
        <v>454</v>
      </c>
      <c r="D1142" s="53" t="s">
        <v>6251</v>
      </c>
      <c r="E1142" s="53" t="s">
        <v>6251</v>
      </c>
    </row>
    <row r="1143" customFormat="false" ht="15" hidden="false" customHeight="false" outlineLevel="0" collapsed="false">
      <c r="A1143" s="85" t="str">
        <f aca="false">Gov_Map!$H455&amp;""</f>
        <v>—</v>
      </c>
      <c r="B1143" s="66" t="s">
        <v>6250</v>
      </c>
      <c r="C1143" s="53" t="n">
        <v>455</v>
      </c>
      <c r="D1143" s="53" t="s">
        <v>6251</v>
      </c>
      <c r="E1143" s="53" t="s">
        <v>6251</v>
      </c>
    </row>
    <row r="1144" customFormat="false" ht="15" hidden="false" customHeight="false" outlineLevel="0" collapsed="false">
      <c r="A1144" s="85" t="str">
        <f aca="false">Gov_Map!$H456&amp;""</f>
        <v>—</v>
      </c>
      <c r="B1144" s="66" t="s">
        <v>6250</v>
      </c>
      <c r="C1144" s="53" t="n">
        <v>456</v>
      </c>
      <c r="D1144" s="53" t="s">
        <v>6251</v>
      </c>
      <c r="E1144" s="53" t="s">
        <v>6251</v>
      </c>
    </row>
    <row r="1145" customFormat="false" ht="15" hidden="false" customHeight="false" outlineLevel="0" collapsed="false">
      <c r="A1145" s="85" t="str">
        <f aca="false">Gov_Map!$H457&amp;""</f>
        <v>SRC_DEM_004</v>
      </c>
      <c r="B1145" s="66" t="s">
        <v>6250</v>
      </c>
      <c r="C1145" s="53" t="n">
        <v>457</v>
      </c>
      <c r="D1145" s="53" t="s">
        <v>6251</v>
      </c>
      <c r="E1145" s="53" t="s">
        <v>6251</v>
      </c>
    </row>
    <row r="1146" customFormat="false" ht="15" hidden="false" customHeight="false" outlineLevel="0" collapsed="false">
      <c r="A1146" s="85" t="str">
        <f aca="false">Gov_Map!$H458&amp;""</f>
        <v>—</v>
      </c>
      <c r="B1146" s="66" t="s">
        <v>6250</v>
      </c>
      <c r="C1146" s="53" t="n">
        <v>458</v>
      </c>
      <c r="D1146" s="53" t="s">
        <v>6251</v>
      </c>
      <c r="E1146" s="53" t="s">
        <v>6251</v>
      </c>
    </row>
    <row r="1147" customFormat="false" ht="15" hidden="false" customHeight="false" outlineLevel="0" collapsed="false">
      <c r="A1147" s="85" t="str">
        <f aca="false">Gov_Map!$H459&amp;""</f>
        <v>SRC_DEM_005</v>
      </c>
      <c r="B1147" s="66" t="s">
        <v>6250</v>
      </c>
      <c r="C1147" s="53" t="n">
        <v>459</v>
      </c>
      <c r="D1147" s="53" t="s">
        <v>6251</v>
      </c>
      <c r="E1147" s="53" t="s">
        <v>6251</v>
      </c>
    </row>
    <row r="1148" customFormat="false" ht="15" hidden="false" customHeight="false" outlineLevel="0" collapsed="false">
      <c r="A1148" s="85" t="str">
        <f aca="false">Gov_Map!$H460&amp;""</f>
        <v>—</v>
      </c>
      <c r="B1148" s="66" t="s">
        <v>6250</v>
      </c>
      <c r="C1148" s="53" t="n">
        <v>460</v>
      </c>
      <c r="D1148" s="53" t="s">
        <v>6251</v>
      </c>
      <c r="E1148" s="53" t="s">
        <v>6251</v>
      </c>
    </row>
    <row r="1149" customFormat="false" ht="15" hidden="false" customHeight="false" outlineLevel="0" collapsed="false">
      <c r="A1149" s="85" t="str">
        <f aca="false">Gov_Map!$H461&amp;""</f>
        <v>—</v>
      </c>
      <c r="B1149" s="66" t="s">
        <v>6250</v>
      </c>
      <c r="C1149" s="53" t="n">
        <v>461</v>
      </c>
      <c r="D1149" s="53" t="s">
        <v>6251</v>
      </c>
      <c r="E1149" s="53" t="s">
        <v>6251</v>
      </c>
    </row>
    <row r="1150" customFormat="false" ht="15" hidden="false" customHeight="false" outlineLevel="0" collapsed="false">
      <c r="A1150" s="85" t="str">
        <f aca="false">Gov_Map!$H462&amp;""</f>
        <v>—</v>
      </c>
      <c r="B1150" s="66" t="s">
        <v>6250</v>
      </c>
      <c r="C1150" s="53" t="n">
        <v>462</v>
      </c>
      <c r="D1150" s="53" t="s">
        <v>6251</v>
      </c>
      <c r="E1150" s="53" t="s">
        <v>6251</v>
      </c>
    </row>
    <row r="1151" customFormat="false" ht="15" hidden="false" customHeight="false" outlineLevel="0" collapsed="false">
      <c r="A1151" s="85" t="str">
        <f aca="false">Gov_Map!$H463&amp;""</f>
        <v>—</v>
      </c>
      <c r="B1151" s="66" t="s">
        <v>6250</v>
      </c>
      <c r="C1151" s="53" t="n">
        <v>463</v>
      </c>
      <c r="D1151" s="53" t="s">
        <v>6251</v>
      </c>
      <c r="E1151" s="53" t="s">
        <v>6251</v>
      </c>
    </row>
    <row r="1152" customFormat="false" ht="15" hidden="false" customHeight="false" outlineLevel="0" collapsed="false">
      <c r="A1152" s="85" t="str">
        <f aca="false">Gov_Map!$H464&amp;""</f>
        <v>—</v>
      </c>
      <c r="B1152" s="66" t="s">
        <v>6250</v>
      </c>
      <c r="C1152" s="53" t="n">
        <v>464</v>
      </c>
      <c r="D1152" s="53" t="s">
        <v>6251</v>
      </c>
      <c r="E1152" s="53" t="s">
        <v>6251</v>
      </c>
    </row>
    <row r="1153" customFormat="false" ht="15" hidden="false" customHeight="false" outlineLevel="0" collapsed="false">
      <c r="A1153" s="85" t="str">
        <f aca="false">Gov_Map!$H465&amp;""</f>
        <v>—</v>
      </c>
      <c r="B1153" s="66" t="s">
        <v>6250</v>
      </c>
      <c r="C1153" s="53" t="n">
        <v>465</v>
      </c>
      <c r="D1153" s="53" t="s">
        <v>6251</v>
      </c>
      <c r="E1153" s="53" t="s">
        <v>6251</v>
      </c>
    </row>
    <row r="1154" customFormat="false" ht="15" hidden="false" customHeight="false" outlineLevel="0" collapsed="false">
      <c r="A1154" s="85" t="str">
        <f aca="false">Gov_Map!$H466&amp;""</f>
        <v>—</v>
      </c>
      <c r="B1154" s="66" t="s">
        <v>6250</v>
      </c>
      <c r="C1154" s="53" t="n">
        <v>466</v>
      </c>
      <c r="D1154" s="53" t="s">
        <v>6251</v>
      </c>
      <c r="E1154" s="53" t="s">
        <v>6251</v>
      </c>
    </row>
    <row r="1155" customFormat="false" ht="15" hidden="false" customHeight="false" outlineLevel="0" collapsed="false">
      <c r="A1155" s="85" t="str">
        <f aca="false">Gov_Map!$H467&amp;""</f>
        <v>—</v>
      </c>
      <c r="B1155" s="66" t="s">
        <v>6250</v>
      </c>
      <c r="C1155" s="53" t="n">
        <v>467</v>
      </c>
      <c r="D1155" s="53" t="s">
        <v>6251</v>
      </c>
      <c r="E1155" s="53" t="s">
        <v>6251</v>
      </c>
    </row>
    <row r="1156" customFormat="false" ht="15" hidden="false" customHeight="false" outlineLevel="0" collapsed="false">
      <c r="A1156" s="85" t="str">
        <f aca="false">Gov_Map!$H468&amp;""</f>
        <v>—</v>
      </c>
      <c r="B1156" s="66" t="s">
        <v>6250</v>
      </c>
      <c r="C1156" s="53" t="n">
        <v>468</v>
      </c>
      <c r="D1156" s="53" t="s">
        <v>6251</v>
      </c>
      <c r="E1156" s="53" t="s">
        <v>6251</v>
      </c>
    </row>
    <row r="1157" customFormat="false" ht="15" hidden="false" customHeight="false" outlineLevel="0" collapsed="false">
      <c r="A1157" s="85" t="str">
        <f aca="false">Gov_Map!$H469&amp;""</f>
        <v>—</v>
      </c>
      <c r="B1157" s="66" t="s">
        <v>6250</v>
      </c>
      <c r="C1157" s="53" t="n">
        <v>469</v>
      </c>
      <c r="D1157" s="53" t="s">
        <v>6251</v>
      </c>
      <c r="E1157" s="53" t="s">
        <v>6251</v>
      </c>
    </row>
    <row r="1158" customFormat="false" ht="15" hidden="false" customHeight="false" outlineLevel="0" collapsed="false">
      <c r="A1158" s="85" t="str">
        <f aca="false">Gov_Map!$H470&amp;""</f>
        <v>—</v>
      </c>
      <c r="B1158" s="66" t="s">
        <v>6250</v>
      </c>
      <c r="C1158" s="53" t="n">
        <v>470</v>
      </c>
      <c r="D1158" s="53" t="s">
        <v>6251</v>
      </c>
      <c r="E1158" s="53" t="s">
        <v>6251</v>
      </c>
    </row>
    <row r="1159" customFormat="false" ht="15" hidden="false" customHeight="false" outlineLevel="0" collapsed="false">
      <c r="A1159" s="85" t="str">
        <f aca="false">Gov_Map!$H471&amp;""</f>
        <v>—</v>
      </c>
      <c r="B1159" s="66" t="s">
        <v>6250</v>
      </c>
      <c r="C1159" s="53" t="n">
        <v>471</v>
      </c>
      <c r="D1159" s="53" t="s">
        <v>6251</v>
      </c>
      <c r="E1159" s="53" t="s">
        <v>6251</v>
      </c>
    </row>
    <row r="1160" customFormat="false" ht="15" hidden="false" customHeight="false" outlineLevel="0" collapsed="false">
      <c r="A1160" s="85" t="str">
        <f aca="false">Gov_Map!$H472&amp;""</f>
        <v>—</v>
      </c>
      <c r="B1160" s="66" t="s">
        <v>6250</v>
      </c>
      <c r="C1160" s="53" t="n">
        <v>472</v>
      </c>
      <c r="D1160" s="53" t="s">
        <v>6251</v>
      </c>
      <c r="E1160" s="53" t="s">
        <v>6251</v>
      </c>
    </row>
    <row r="1161" customFormat="false" ht="15" hidden="false" customHeight="false" outlineLevel="0" collapsed="false">
      <c r="A1161" s="85" t="str">
        <f aca="false">Gov_Map!$H473&amp;""</f>
        <v>—</v>
      </c>
      <c r="B1161" s="66" t="s">
        <v>6250</v>
      </c>
      <c r="C1161" s="53" t="n">
        <v>473</v>
      </c>
      <c r="D1161" s="53" t="s">
        <v>6251</v>
      </c>
      <c r="E1161" s="53" t="s">
        <v>6251</v>
      </c>
    </row>
    <row r="1162" customFormat="false" ht="15" hidden="false" customHeight="false" outlineLevel="0" collapsed="false">
      <c r="A1162" s="85" t="str">
        <f aca="false">Gov_Map!$H474&amp;""</f>
        <v>—</v>
      </c>
      <c r="B1162" s="66" t="s">
        <v>6250</v>
      </c>
      <c r="C1162" s="53" t="n">
        <v>474</v>
      </c>
      <c r="D1162" s="53" t="s">
        <v>6251</v>
      </c>
      <c r="E1162" s="53" t="s">
        <v>6251</v>
      </c>
    </row>
    <row r="1163" customFormat="false" ht="15" hidden="false" customHeight="false" outlineLevel="0" collapsed="false">
      <c r="A1163" s="85" t="str">
        <f aca="false">Gov_Map!$H475&amp;""</f>
        <v>—</v>
      </c>
      <c r="B1163" s="66" t="s">
        <v>6250</v>
      </c>
      <c r="C1163" s="53" t="n">
        <v>475</v>
      </c>
      <c r="D1163" s="53" t="s">
        <v>6251</v>
      </c>
      <c r="E1163" s="53" t="s">
        <v>6251</v>
      </c>
    </row>
    <row r="1164" customFormat="false" ht="15" hidden="false" customHeight="false" outlineLevel="0" collapsed="false">
      <c r="A1164" s="85" t="str">
        <f aca="false">Gov_Map!$H476&amp;""</f>
        <v>—</v>
      </c>
      <c r="B1164" s="66" t="s">
        <v>6250</v>
      </c>
      <c r="C1164" s="53" t="n">
        <v>476</v>
      </c>
      <c r="D1164" s="53" t="s">
        <v>6251</v>
      </c>
      <c r="E1164" s="53" t="s">
        <v>6251</v>
      </c>
    </row>
    <row r="1165" customFormat="false" ht="15" hidden="false" customHeight="false" outlineLevel="0" collapsed="false">
      <c r="A1165" s="85" t="str">
        <f aca="false">Gov_Map!$H477&amp;""</f>
        <v>SRC_PRC_027</v>
      </c>
      <c r="B1165" s="66" t="s">
        <v>6250</v>
      </c>
      <c r="C1165" s="53" t="n">
        <v>477</v>
      </c>
      <c r="D1165" s="53" t="s">
        <v>6251</v>
      </c>
      <c r="E1165" s="53" t="s">
        <v>6251</v>
      </c>
    </row>
    <row r="1166" customFormat="false" ht="15" hidden="false" customHeight="false" outlineLevel="0" collapsed="false">
      <c r="A1166" s="85" t="str">
        <f aca="false">Gov_Map!$H478&amp;""</f>
        <v>—</v>
      </c>
      <c r="B1166" s="66" t="s">
        <v>6250</v>
      </c>
      <c r="C1166" s="53" t="n">
        <v>478</v>
      </c>
      <c r="D1166" s="53" t="s">
        <v>6251</v>
      </c>
      <c r="E1166" s="53" t="s">
        <v>6251</v>
      </c>
    </row>
    <row r="1167" customFormat="false" ht="15" hidden="false" customHeight="false" outlineLevel="0" collapsed="false">
      <c r="A1167" s="85" t="str">
        <f aca="false">Gov_Map!$H479&amp;""</f>
        <v>—</v>
      </c>
      <c r="B1167" s="66" t="s">
        <v>6250</v>
      </c>
      <c r="C1167" s="53" t="n">
        <v>479</v>
      </c>
      <c r="D1167" s="53" t="s">
        <v>6251</v>
      </c>
      <c r="E1167" s="53" t="s">
        <v>6251</v>
      </c>
    </row>
    <row r="1168" customFormat="false" ht="15" hidden="false" customHeight="false" outlineLevel="0" collapsed="false">
      <c r="A1168" s="85" t="str">
        <f aca="false">Gov_Map!$H480&amp;""</f>
        <v>—</v>
      </c>
      <c r="B1168" s="66" t="s">
        <v>6250</v>
      </c>
      <c r="C1168" s="53" t="n">
        <v>480</v>
      </c>
      <c r="D1168" s="53" t="s">
        <v>6251</v>
      </c>
      <c r="E1168" s="53" t="s">
        <v>6251</v>
      </c>
    </row>
    <row r="1169" customFormat="false" ht="15" hidden="false" customHeight="false" outlineLevel="0" collapsed="false">
      <c r="A1169" s="85" t="str">
        <f aca="false">Gov_Map!$H481&amp;""</f>
        <v>SRC_CAP_007</v>
      </c>
      <c r="B1169" s="66" t="s">
        <v>6250</v>
      </c>
      <c r="C1169" s="53" t="n">
        <v>481</v>
      </c>
      <c r="D1169" s="53" t="s">
        <v>6251</v>
      </c>
      <c r="E1169" s="53" t="s">
        <v>6251</v>
      </c>
    </row>
    <row r="1170" customFormat="false" ht="15" hidden="false" customHeight="false" outlineLevel="0" collapsed="false">
      <c r="A1170" s="85" t="str">
        <f aca="false">Gov_Map!$H482&amp;""</f>
        <v>SRC_CAP_006</v>
      </c>
      <c r="B1170" s="66" t="s">
        <v>6250</v>
      </c>
      <c r="C1170" s="53" t="n">
        <v>482</v>
      </c>
      <c r="D1170" s="53" t="s">
        <v>6251</v>
      </c>
      <c r="E1170" s="53" t="s">
        <v>6251</v>
      </c>
    </row>
    <row r="1171" customFormat="false" ht="15" hidden="false" customHeight="false" outlineLevel="0" collapsed="false">
      <c r="A1171" s="85" t="str">
        <f aca="false">Gov_Map!$H483&amp;""</f>
        <v>—</v>
      </c>
      <c r="B1171" s="66" t="s">
        <v>6250</v>
      </c>
      <c r="C1171" s="53" t="n">
        <v>483</v>
      </c>
      <c r="D1171" s="53" t="s">
        <v>6251</v>
      </c>
      <c r="E1171" s="53" t="s">
        <v>6251</v>
      </c>
    </row>
    <row r="1172" customFormat="false" ht="15" hidden="false" customHeight="false" outlineLevel="0" collapsed="false">
      <c r="A1172" s="85" t="str">
        <f aca="false">Gov_Map!$H484&amp;""</f>
        <v>—</v>
      </c>
      <c r="B1172" s="66" t="s">
        <v>6250</v>
      </c>
      <c r="C1172" s="53" t="n">
        <v>484</v>
      </c>
      <c r="D1172" s="53" t="s">
        <v>6251</v>
      </c>
      <c r="E1172" s="53" t="s">
        <v>6251</v>
      </c>
    </row>
    <row r="1173" customFormat="false" ht="15" hidden="false" customHeight="false" outlineLevel="0" collapsed="false">
      <c r="A1173" s="85" t="str">
        <f aca="false">Gov_Map!$H485&amp;""</f>
        <v>—</v>
      </c>
      <c r="B1173" s="66" t="s">
        <v>6250</v>
      </c>
      <c r="C1173" s="53" t="n">
        <v>485</v>
      </c>
      <c r="D1173" s="53" t="s">
        <v>6251</v>
      </c>
      <c r="E1173" s="53" t="s">
        <v>6251</v>
      </c>
    </row>
    <row r="1174" customFormat="false" ht="15" hidden="false" customHeight="false" outlineLevel="0" collapsed="false">
      <c r="A1174" s="85" t="str">
        <f aca="false">Gov_Map!$H486&amp;""</f>
        <v>—</v>
      </c>
      <c r="B1174" s="66" t="s">
        <v>6250</v>
      </c>
      <c r="C1174" s="53" t="n">
        <v>486</v>
      </c>
      <c r="D1174" s="53" t="s">
        <v>6251</v>
      </c>
      <c r="E1174" s="53" t="s">
        <v>6251</v>
      </c>
    </row>
    <row r="1175" customFormat="false" ht="15" hidden="false" customHeight="false" outlineLevel="0" collapsed="false">
      <c r="A1175" s="85" t="str">
        <f aca="false">Gov_Map!$H487&amp;""</f>
        <v>—</v>
      </c>
      <c r="B1175" s="66" t="s">
        <v>6250</v>
      </c>
      <c r="C1175" s="53" t="n">
        <v>487</v>
      </c>
      <c r="D1175" s="53" t="s">
        <v>6251</v>
      </c>
      <c r="E1175" s="53" t="s">
        <v>6251</v>
      </c>
    </row>
    <row r="1176" customFormat="false" ht="15" hidden="false" customHeight="false" outlineLevel="0" collapsed="false">
      <c r="A1176" s="85" t="str">
        <f aca="false">Gov_Map!$H488&amp;""</f>
        <v>—</v>
      </c>
      <c r="B1176" s="66" t="s">
        <v>6250</v>
      </c>
      <c r="C1176" s="53" t="n">
        <v>488</v>
      </c>
      <c r="D1176" s="53" t="s">
        <v>6251</v>
      </c>
      <c r="E1176" s="53" t="s">
        <v>6251</v>
      </c>
    </row>
    <row r="1177" customFormat="false" ht="15" hidden="false" customHeight="false" outlineLevel="0" collapsed="false">
      <c r="A1177" s="85" t="str">
        <f aca="false">Gov_Map!$H489&amp;""</f>
        <v>—</v>
      </c>
      <c r="B1177" s="66" t="s">
        <v>6250</v>
      </c>
      <c r="C1177" s="53" t="n">
        <v>489</v>
      </c>
      <c r="D1177" s="53" t="s">
        <v>6251</v>
      </c>
      <c r="E1177" s="53" t="s">
        <v>6251</v>
      </c>
    </row>
    <row r="1178" customFormat="false" ht="15" hidden="false" customHeight="false" outlineLevel="0" collapsed="false">
      <c r="A1178" s="85" t="str">
        <f aca="false">Gov_Map!$H490&amp;""</f>
        <v>—</v>
      </c>
      <c r="B1178" s="66" t="s">
        <v>6250</v>
      </c>
      <c r="C1178" s="53" t="n">
        <v>490</v>
      </c>
      <c r="D1178" s="53" t="s">
        <v>6251</v>
      </c>
      <c r="E1178" s="53" t="s">
        <v>6251</v>
      </c>
    </row>
    <row r="1179" customFormat="false" ht="15" hidden="false" customHeight="false" outlineLevel="0" collapsed="false">
      <c r="A1179" s="85" t="str">
        <f aca="false">Gov_Map!$H491&amp;""</f>
        <v>—</v>
      </c>
      <c r="B1179" s="66" t="s">
        <v>6250</v>
      </c>
      <c r="C1179" s="53" t="n">
        <v>491</v>
      </c>
      <c r="D1179" s="53" t="s">
        <v>6251</v>
      </c>
      <c r="E1179" s="53" t="s">
        <v>6251</v>
      </c>
    </row>
    <row r="1180" customFormat="false" ht="15" hidden="false" customHeight="false" outlineLevel="0" collapsed="false">
      <c r="A1180" s="85" t="str">
        <f aca="false">Gov_Map!$H492&amp;""</f>
        <v>SRC_HAR_003</v>
      </c>
      <c r="B1180" s="66" t="s">
        <v>6250</v>
      </c>
      <c r="C1180" s="53" t="n">
        <v>492</v>
      </c>
      <c r="D1180" s="53" t="s">
        <v>6251</v>
      </c>
      <c r="E1180" s="53" t="s">
        <v>6251</v>
      </c>
    </row>
    <row r="1181" customFormat="false" ht="15" hidden="false" customHeight="false" outlineLevel="0" collapsed="false">
      <c r="A1181" s="85" t="str">
        <f aca="false">Gov_Map!$H493&amp;""</f>
        <v>—</v>
      </c>
      <c r="B1181" s="66" t="s">
        <v>6250</v>
      </c>
      <c r="C1181" s="53" t="n">
        <v>493</v>
      </c>
      <c r="D1181" s="53" t="s">
        <v>6251</v>
      </c>
      <c r="E1181" s="53" t="s">
        <v>6251</v>
      </c>
    </row>
    <row r="1182" customFormat="false" ht="15" hidden="false" customHeight="false" outlineLevel="0" collapsed="false">
      <c r="A1182" s="85" t="str">
        <f aca="false">Gov_Map!$H494&amp;""</f>
        <v>—</v>
      </c>
      <c r="B1182" s="66" t="s">
        <v>6250</v>
      </c>
      <c r="C1182" s="53" t="n">
        <v>494</v>
      </c>
      <c r="D1182" s="53" t="s">
        <v>6251</v>
      </c>
      <c r="E1182" s="53" t="s">
        <v>6251</v>
      </c>
    </row>
    <row r="1183" customFormat="false" ht="15" hidden="false" customHeight="false" outlineLevel="0" collapsed="false">
      <c r="A1183" s="85" t="str">
        <f aca="false">Gov_Map!$H495&amp;""</f>
        <v>—</v>
      </c>
      <c r="B1183" s="66" t="s">
        <v>6250</v>
      </c>
      <c r="C1183" s="53" t="n">
        <v>495</v>
      </c>
      <c r="D1183" s="53" t="s">
        <v>6251</v>
      </c>
      <c r="E1183" s="53" t="s">
        <v>6251</v>
      </c>
    </row>
    <row r="1184" customFormat="false" ht="15" hidden="false" customHeight="false" outlineLevel="0" collapsed="false">
      <c r="A1184" s="85" t="str">
        <f aca="false">Gov_Map!$H496&amp;""</f>
        <v>—</v>
      </c>
      <c r="B1184" s="66" t="s">
        <v>6250</v>
      </c>
      <c r="C1184" s="53" t="n">
        <v>496</v>
      </c>
      <c r="D1184" s="53" t="s">
        <v>6251</v>
      </c>
      <c r="E1184" s="53" t="s">
        <v>6251</v>
      </c>
    </row>
    <row r="1185" customFormat="false" ht="15" hidden="false" customHeight="false" outlineLevel="0" collapsed="false">
      <c r="A1185" s="85" t="str">
        <f aca="false">Gov_Map!$H497&amp;""</f>
        <v>—</v>
      </c>
      <c r="B1185" s="66" t="s">
        <v>6250</v>
      </c>
      <c r="C1185" s="53" t="n">
        <v>497</v>
      </c>
      <c r="D1185" s="53" t="s">
        <v>6251</v>
      </c>
      <c r="E1185" s="53" t="s">
        <v>6251</v>
      </c>
    </row>
    <row r="1186" customFormat="false" ht="15" hidden="false" customHeight="false" outlineLevel="0" collapsed="false">
      <c r="A1186" s="85" t="str">
        <f aca="false">Gov_Map!$H498&amp;""</f>
        <v>—</v>
      </c>
      <c r="B1186" s="66" t="s">
        <v>6250</v>
      </c>
      <c r="C1186" s="53" t="n">
        <v>498</v>
      </c>
      <c r="D1186" s="53" t="s">
        <v>6251</v>
      </c>
      <c r="E1186" s="53" t="s">
        <v>6251</v>
      </c>
    </row>
    <row r="1187" customFormat="false" ht="15" hidden="false" customHeight="false" outlineLevel="0" collapsed="false">
      <c r="A1187" s="85" t="str">
        <f aca="false">Gov_Map!$H499&amp;""</f>
        <v>—</v>
      </c>
      <c r="B1187" s="66" t="s">
        <v>6250</v>
      </c>
      <c r="C1187" s="53" t="n">
        <v>499</v>
      </c>
      <c r="D1187" s="53" t="s">
        <v>6251</v>
      </c>
      <c r="E1187" s="53" t="s">
        <v>6251</v>
      </c>
    </row>
    <row r="1188" customFormat="false" ht="15" hidden="false" customHeight="false" outlineLevel="0" collapsed="false">
      <c r="A1188" s="85" t="str">
        <f aca="false">Gov_Map!$H500&amp;""</f>
        <v>—</v>
      </c>
      <c r="B1188" s="66" t="s">
        <v>6250</v>
      </c>
      <c r="C1188" s="53" t="n">
        <v>500</v>
      </c>
      <c r="D1188" s="53" t="s">
        <v>6251</v>
      </c>
      <c r="E1188" s="53" t="s">
        <v>6251</v>
      </c>
    </row>
    <row r="1189" customFormat="false" ht="15" hidden="false" customHeight="false" outlineLevel="0" collapsed="false">
      <c r="A1189" s="85" t="str">
        <f aca="false">Gov_Map!$H501&amp;""</f>
        <v>—</v>
      </c>
      <c r="B1189" s="66" t="s">
        <v>6250</v>
      </c>
      <c r="C1189" s="53" t="n">
        <v>501</v>
      </c>
      <c r="D1189" s="53" t="s">
        <v>6251</v>
      </c>
      <c r="E1189" s="53" t="s">
        <v>6251</v>
      </c>
    </row>
    <row r="1190" customFormat="false" ht="15" hidden="false" customHeight="false" outlineLevel="0" collapsed="false">
      <c r="A1190" s="85" t="str">
        <f aca="false">Gov_Map!$H502&amp;""</f>
        <v>SRC_HAR_002</v>
      </c>
      <c r="B1190" s="66" t="s">
        <v>6250</v>
      </c>
      <c r="C1190" s="53" t="n">
        <v>502</v>
      </c>
      <c r="D1190" s="53" t="s">
        <v>6251</v>
      </c>
      <c r="E1190" s="53" t="s">
        <v>6251</v>
      </c>
    </row>
    <row r="1191" customFormat="false" ht="15" hidden="false" customHeight="false" outlineLevel="0" collapsed="false">
      <c r="A1191" s="85" t="str">
        <f aca="false">Gov_Map!$H503&amp;""</f>
        <v>SRC_CAP_020</v>
      </c>
      <c r="B1191" s="66" t="s">
        <v>6250</v>
      </c>
      <c r="C1191" s="53" t="n">
        <v>503</v>
      </c>
      <c r="D1191" s="53" t="s">
        <v>6251</v>
      </c>
      <c r="E1191" s="53" t="s">
        <v>6251</v>
      </c>
    </row>
    <row r="1192" customFormat="false" ht="15" hidden="false" customHeight="false" outlineLevel="0" collapsed="false">
      <c r="A1192" s="85" t="str">
        <f aca="false">Gov_Map!$H504&amp;""</f>
        <v>SRC_CAP_020</v>
      </c>
      <c r="B1192" s="66" t="s">
        <v>6250</v>
      </c>
      <c r="C1192" s="53" t="n">
        <v>504</v>
      </c>
      <c r="D1192" s="53" t="s">
        <v>6251</v>
      </c>
      <c r="E1192" s="53" t="s">
        <v>6251</v>
      </c>
    </row>
    <row r="1193" customFormat="false" ht="15" hidden="false" customHeight="false" outlineLevel="0" collapsed="false">
      <c r="A1193" s="85" t="str">
        <f aca="false">Gov_Map!$H505&amp;""</f>
        <v>SRC_CAP_021</v>
      </c>
      <c r="B1193" s="66" t="s">
        <v>6250</v>
      </c>
      <c r="C1193" s="53" t="n">
        <v>505</v>
      </c>
      <c r="D1193" s="53" t="s">
        <v>6251</v>
      </c>
      <c r="E1193" s="53" t="s">
        <v>6251</v>
      </c>
    </row>
    <row r="1194" customFormat="false" ht="15" hidden="false" customHeight="false" outlineLevel="0" collapsed="false">
      <c r="A1194" s="85" t="str">
        <f aca="false">Gov_Map!$H506&amp;""</f>
        <v>SRC_CAP_012</v>
      </c>
      <c r="B1194" s="66" t="s">
        <v>6250</v>
      </c>
      <c r="C1194" s="53" t="n">
        <v>506</v>
      </c>
      <c r="D1194" s="53" t="s">
        <v>6251</v>
      </c>
      <c r="E1194" s="53" t="s">
        <v>6251</v>
      </c>
    </row>
    <row r="1195" customFormat="false" ht="15" hidden="false" customHeight="false" outlineLevel="0" collapsed="false">
      <c r="A1195" s="85" t="str">
        <f aca="false">Gov_Map!$H507&amp;""</f>
        <v>SRC_CAP_012</v>
      </c>
      <c r="B1195" s="66" t="s">
        <v>6250</v>
      </c>
      <c r="C1195" s="53" t="n">
        <v>507</v>
      </c>
      <c r="D1195" s="53" t="s">
        <v>6251</v>
      </c>
      <c r="E1195" s="53" t="s">
        <v>6251</v>
      </c>
    </row>
    <row r="1196" customFormat="false" ht="15" hidden="false" customHeight="false" outlineLevel="0" collapsed="false">
      <c r="A1196" s="85" t="str">
        <f aca="false">Gov_Map!$H508&amp;""</f>
        <v>—</v>
      </c>
      <c r="B1196" s="66" t="s">
        <v>6250</v>
      </c>
      <c r="C1196" s="53" t="n">
        <v>508</v>
      </c>
      <c r="D1196" s="53" t="s">
        <v>6251</v>
      </c>
      <c r="E1196" s="53" t="s">
        <v>6251</v>
      </c>
    </row>
    <row r="1197" customFormat="false" ht="15" hidden="false" customHeight="false" outlineLevel="0" collapsed="false">
      <c r="A1197" s="85" t="str">
        <f aca="false">Gov_Map!$H509&amp;""</f>
        <v>—</v>
      </c>
      <c r="B1197" s="66" t="s">
        <v>6250</v>
      </c>
      <c r="C1197" s="53" t="n">
        <v>509</v>
      </c>
      <c r="D1197" s="53" t="s">
        <v>6251</v>
      </c>
      <c r="E1197" s="53" t="s">
        <v>6251</v>
      </c>
    </row>
    <row r="1198" customFormat="false" ht="15" hidden="false" customHeight="false" outlineLevel="0" collapsed="false">
      <c r="A1198" s="85" t="str">
        <f aca="false">Gov_Map!$H510&amp;""</f>
        <v>—</v>
      </c>
      <c r="B1198" s="66" t="s">
        <v>6250</v>
      </c>
      <c r="C1198" s="53" t="n">
        <v>510</v>
      </c>
      <c r="D1198" s="53" t="s">
        <v>6251</v>
      </c>
      <c r="E1198" s="53" t="s">
        <v>6251</v>
      </c>
    </row>
    <row r="1199" customFormat="false" ht="15" hidden="false" customHeight="false" outlineLevel="0" collapsed="false">
      <c r="A1199" s="85" t="str">
        <f aca="false">Gov_Map!$H511&amp;""</f>
        <v>—</v>
      </c>
      <c r="B1199" s="66" t="s">
        <v>6250</v>
      </c>
      <c r="C1199" s="53" t="n">
        <v>511</v>
      </c>
      <c r="D1199" s="53" t="s">
        <v>6251</v>
      </c>
      <c r="E1199" s="53" t="s">
        <v>6251</v>
      </c>
    </row>
    <row r="1200" customFormat="false" ht="15" hidden="false" customHeight="false" outlineLevel="0" collapsed="false">
      <c r="A1200" s="85" t="str">
        <f aca="false">Gov_Map!$H512&amp;""</f>
        <v>SRC_HW_037</v>
      </c>
      <c r="B1200" s="66" t="s">
        <v>6250</v>
      </c>
      <c r="C1200" s="53" t="n">
        <v>512</v>
      </c>
      <c r="D1200" s="53" t="s">
        <v>6251</v>
      </c>
      <c r="E1200" s="53" t="s">
        <v>6251</v>
      </c>
    </row>
    <row r="1201" customFormat="false" ht="15" hidden="false" customHeight="false" outlineLevel="0" collapsed="false">
      <c r="A1201" s="85" t="str">
        <f aca="false">Gov_Map!$H513&amp;""</f>
        <v>—</v>
      </c>
      <c r="B1201" s="66" t="s">
        <v>6250</v>
      </c>
      <c r="C1201" s="53" t="n">
        <v>513</v>
      </c>
      <c r="D1201" s="53" t="s">
        <v>6251</v>
      </c>
      <c r="E1201" s="53" t="s">
        <v>6251</v>
      </c>
    </row>
    <row r="1202" customFormat="false" ht="15" hidden="false" customHeight="false" outlineLevel="0" collapsed="false">
      <c r="A1202" s="85" t="str">
        <f aca="false">Gov_Map!$H514&amp;""</f>
        <v>—</v>
      </c>
      <c r="B1202" s="66" t="s">
        <v>6250</v>
      </c>
      <c r="C1202" s="53" t="n">
        <v>514</v>
      </c>
      <c r="D1202" s="53" t="s">
        <v>6251</v>
      </c>
      <c r="E1202" s="53" t="s">
        <v>6251</v>
      </c>
    </row>
    <row r="1203" customFormat="false" ht="15" hidden="false" customHeight="false" outlineLevel="0" collapsed="false">
      <c r="A1203" s="85" t="str">
        <f aca="false">Gov_Map!$H515&amp;""</f>
        <v>SRC_MOD_046</v>
      </c>
      <c r="B1203" s="66" t="s">
        <v>6250</v>
      </c>
      <c r="C1203" s="53" t="n">
        <v>515</v>
      </c>
      <c r="D1203" s="53" t="s">
        <v>6251</v>
      </c>
      <c r="E1203" s="53" t="s">
        <v>6251</v>
      </c>
    </row>
    <row r="1204" customFormat="false" ht="15" hidden="false" customHeight="false" outlineLevel="0" collapsed="false">
      <c r="A1204" s="85" t="str">
        <f aca="false">Gov_Map!$H516&amp;""</f>
        <v>—</v>
      </c>
      <c r="B1204" s="66" t="s">
        <v>6250</v>
      </c>
      <c r="C1204" s="53" t="n">
        <v>516</v>
      </c>
      <c r="D1204" s="53" t="s">
        <v>6251</v>
      </c>
      <c r="E1204" s="53" t="s">
        <v>6251</v>
      </c>
    </row>
    <row r="1205" customFormat="false" ht="15" hidden="false" customHeight="false" outlineLevel="0" collapsed="false">
      <c r="A1205" s="85" t="str">
        <f aca="false">Gov_Map!$H517&amp;""</f>
        <v>—</v>
      </c>
      <c r="B1205" s="66" t="s">
        <v>6250</v>
      </c>
      <c r="C1205" s="53" t="n">
        <v>517</v>
      </c>
      <c r="D1205" s="53" t="s">
        <v>6251</v>
      </c>
      <c r="E1205" s="53" t="s">
        <v>6251</v>
      </c>
    </row>
    <row r="1206" customFormat="false" ht="15" hidden="false" customHeight="false" outlineLevel="0" collapsed="false">
      <c r="A1206" s="85" t="str">
        <f aca="false">Gov_Map!$H518&amp;""</f>
        <v>—</v>
      </c>
      <c r="B1206" s="66" t="s">
        <v>6250</v>
      </c>
      <c r="C1206" s="53" t="n">
        <v>518</v>
      </c>
      <c r="D1206" s="53" t="s">
        <v>6251</v>
      </c>
      <c r="E1206" s="53" t="s">
        <v>6251</v>
      </c>
    </row>
    <row r="1207" customFormat="false" ht="15" hidden="false" customHeight="false" outlineLevel="0" collapsed="false">
      <c r="A1207" s="85" t="str">
        <f aca="false">Gov_Map!$H519&amp;""</f>
        <v>—</v>
      </c>
      <c r="B1207" s="66" t="s">
        <v>6250</v>
      </c>
      <c r="C1207" s="53" t="n">
        <v>519</v>
      </c>
      <c r="D1207" s="53" t="s">
        <v>6251</v>
      </c>
      <c r="E1207" s="53" t="s">
        <v>6251</v>
      </c>
    </row>
    <row r="1208" customFormat="false" ht="15" hidden="false" customHeight="false" outlineLevel="0" collapsed="false">
      <c r="A1208" s="85" t="str">
        <f aca="false">Gov_Map!$H520&amp;""</f>
        <v>—</v>
      </c>
      <c r="B1208" s="66" t="s">
        <v>6250</v>
      </c>
      <c r="C1208" s="53" t="n">
        <v>520</v>
      </c>
      <c r="D1208" s="53" t="s">
        <v>6251</v>
      </c>
      <c r="E1208" s="53" t="s">
        <v>6251</v>
      </c>
    </row>
    <row r="1209" customFormat="false" ht="15" hidden="false" customHeight="false" outlineLevel="0" collapsed="false">
      <c r="A1209" s="85" t="str">
        <f aca="false">Gov_Map!$H521&amp;""</f>
        <v>—</v>
      </c>
      <c r="B1209" s="66" t="s">
        <v>6250</v>
      </c>
      <c r="C1209" s="53" t="n">
        <v>521</v>
      </c>
      <c r="D1209" s="53" t="s">
        <v>6251</v>
      </c>
      <c r="E1209" s="53" t="s">
        <v>6251</v>
      </c>
    </row>
    <row r="1210" customFormat="false" ht="15" hidden="false" customHeight="false" outlineLevel="0" collapsed="false">
      <c r="A1210" s="85" t="str">
        <f aca="false">Gov_Map!$H522&amp;""</f>
        <v>—</v>
      </c>
      <c r="B1210" s="66" t="s">
        <v>6250</v>
      </c>
      <c r="C1210" s="53" t="n">
        <v>522</v>
      </c>
      <c r="D1210" s="53" t="s">
        <v>6251</v>
      </c>
      <c r="E1210" s="53" t="s">
        <v>6251</v>
      </c>
    </row>
    <row r="1211" customFormat="false" ht="15" hidden="false" customHeight="false" outlineLevel="0" collapsed="false">
      <c r="A1211" s="85" t="str">
        <f aca="false">Gov_Map!$H523&amp;""</f>
        <v>SRC_PERF_036</v>
      </c>
      <c r="B1211" s="66" t="s">
        <v>6250</v>
      </c>
      <c r="C1211" s="53" t="n">
        <v>523</v>
      </c>
      <c r="D1211" s="53" t="s">
        <v>6251</v>
      </c>
      <c r="E1211" s="53" t="s">
        <v>6251</v>
      </c>
    </row>
    <row r="1212" customFormat="false" ht="15" hidden="false" customHeight="false" outlineLevel="0" collapsed="false">
      <c r="A1212" s="85" t="str">
        <f aca="false">Gov_Map!$H524&amp;""</f>
        <v>SRC_PERF_037</v>
      </c>
      <c r="B1212" s="66" t="s">
        <v>6250</v>
      </c>
      <c r="C1212" s="53" t="n">
        <v>524</v>
      </c>
      <c r="D1212" s="53" t="s">
        <v>6251</v>
      </c>
      <c r="E1212" s="53" t="s">
        <v>6251</v>
      </c>
    </row>
    <row r="1213" customFormat="false" ht="15" hidden="false" customHeight="false" outlineLevel="0" collapsed="false">
      <c r="A1213" s="85" t="str">
        <f aca="false">Gov_Map!$H525&amp;""</f>
        <v>—</v>
      </c>
      <c r="B1213" s="66" t="s">
        <v>6250</v>
      </c>
      <c r="C1213" s="53" t="n">
        <v>525</v>
      </c>
      <c r="D1213" s="53" t="s">
        <v>6251</v>
      </c>
      <c r="E1213" s="53" t="s">
        <v>6251</v>
      </c>
    </row>
    <row r="1214" customFormat="false" ht="15" hidden="false" customHeight="false" outlineLevel="0" collapsed="false">
      <c r="A1214" s="85" t="str">
        <f aca="false">Gov_Map!$H526&amp;""</f>
        <v>—</v>
      </c>
      <c r="B1214" s="66" t="s">
        <v>6250</v>
      </c>
      <c r="C1214" s="53" t="n">
        <v>526</v>
      </c>
      <c r="D1214" s="53" t="s">
        <v>6251</v>
      </c>
      <c r="E1214" s="53" t="s">
        <v>6251</v>
      </c>
    </row>
    <row r="1215" customFormat="false" ht="15" hidden="false" customHeight="false" outlineLevel="0" collapsed="false">
      <c r="A1215" s="85" t="str">
        <f aca="false">Gov_Map!$H527&amp;""</f>
        <v>—</v>
      </c>
      <c r="B1215" s="66" t="s">
        <v>6250</v>
      </c>
      <c r="C1215" s="53" t="n">
        <v>527</v>
      </c>
      <c r="D1215" s="53" t="s">
        <v>6251</v>
      </c>
      <c r="E1215" s="53" t="s">
        <v>6251</v>
      </c>
    </row>
    <row r="1216" customFormat="false" ht="15" hidden="false" customHeight="false" outlineLevel="0" collapsed="false">
      <c r="A1216" s="85" t="str">
        <f aca="false">Gov_Map!$H528&amp;""</f>
        <v>SRC_MOD_046</v>
      </c>
      <c r="B1216" s="66" t="s">
        <v>6250</v>
      </c>
      <c r="C1216" s="53" t="n">
        <v>528</v>
      </c>
      <c r="D1216" s="53" t="s">
        <v>6251</v>
      </c>
      <c r="E1216" s="53" t="s">
        <v>6251</v>
      </c>
    </row>
    <row r="1217" customFormat="false" ht="15" hidden="false" customHeight="false" outlineLevel="0" collapsed="false">
      <c r="A1217" s="85" t="str">
        <f aca="false">Gov_Map!$H529&amp;""</f>
        <v>—</v>
      </c>
      <c r="B1217" s="66" t="s">
        <v>6250</v>
      </c>
      <c r="C1217" s="53" t="n">
        <v>529</v>
      </c>
      <c r="D1217" s="53" t="s">
        <v>6251</v>
      </c>
      <c r="E1217" s="53" t="s">
        <v>6251</v>
      </c>
    </row>
    <row r="1218" customFormat="false" ht="15" hidden="false" customHeight="false" outlineLevel="0" collapsed="false">
      <c r="A1218" s="85" t="str">
        <f aca="false">Gov_Map!$H530&amp;""</f>
        <v>SRC_DEM_001</v>
      </c>
      <c r="B1218" s="66" t="s">
        <v>6250</v>
      </c>
      <c r="C1218" s="53" t="n">
        <v>530</v>
      </c>
      <c r="D1218" s="53" t="s">
        <v>6251</v>
      </c>
      <c r="E1218" s="53" t="s">
        <v>6251</v>
      </c>
    </row>
    <row r="1219" customFormat="false" ht="15" hidden="false" customHeight="false" outlineLevel="0" collapsed="false">
      <c r="A1219" s="85" t="str">
        <f aca="false">Gov_Map!$H531&amp;""</f>
        <v>—</v>
      </c>
      <c r="B1219" s="66" t="s">
        <v>6250</v>
      </c>
      <c r="C1219" s="53" t="n">
        <v>531</v>
      </c>
      <c r="D1219" s="53" t="s">
        <v>6251</v>
      </c>
      <c r="E1219" s="53" t="s">
        <v>6251</v>
      </c>
    </row>
    <row r="1220" customFormat="false" ht="15" hidden="false" customHeight="false" outlineLevel="0" collapsed="false">
      <c r="A1220" s="85" t="str">
        <f aca="false">Gov_Map!$H532&amp;""</f>
        <v>—</v>
      </c>
      <c r="B1220" s="66" t="s">
        <v>6250</v>
      </c>
      <c r="C1220" s="53" t="n">
        <v>532</v>
      </c>
      <c r="D1220" s="53" t="s">
        <v>6251</v>
      </c>
      <c r="E1220" s="53" t="s">
        <v>6251</v>
      </c>
    </row>
    <row r="1221" customFormat="false" ht="15" hidden="false" customHeight="false" outlineLevel="0" collapsed="false">
      <c r="A1221" s="85" t="str">
        <f aca="false">Gov_Map!$H533&amp;""</f>
        <v>—</v>
      </c>
      <c r="B1221" s="66" t="s">
        <v>6250</v>
      </c>
      <c r="C1221" s="53" t="n">
        <v>533</v>
      </c>
      <c r="D1221" s="53" t="s">
        <v>6251</v>
      </c>
      <c r="E1221" s="53" t="s">
        <v>6251</v>
      </c>
    </row>
    <row r="1222" customFormat="false" ht="15" hidden="false" customHeight="false" outlineLevel="0" collapsed="false">
      <c r="A1222" s="85" t="str">
        <f aca="false">Gov_Map!$H534&amp;""</f>
        <v>—</v>
      </c>
      <c r="B1222" s="66" t="s">
        <v>6250</v>
      </c>
      <c r="C1222" s="53" t="n">
        <v>534</v>
      </c>
      <c r="D1222" s="53" t="s">
        <v>6251</v>
      </c>
      <c r="E1222" s="53" t="s">
        <v>6251</v>
      </c>
    </row>
    <row r="1223" customFormat="false" ht="15" hidden="false" customHeight="false" outlineLevel="0" collapsed="false">
      <c r="A1223" s="85" t="str">
        <f aca="false">Gov_Map!$H535&amp;""</f>
        <v>—</v>
      </c>
      <c r="B1223" s="66" t="s">
        <v>6250</v>
      </c>
      <c r="C1223" s="53" t="n">
        <v>535</v>
      </c>
      <c r="D1223" s="53" t="s">
        <v>6251</v>
      </c>
      <c r="E1223" s="53" t="s">
        <v>6251</v>
      </c>
    </row>
    <row r="1224" customFormat="false" ht="15" hidden="false" customHeight="false" outlineLevel="0" collapsed="false">
      <c r="A1224" s="85" t="str">
        <f aca="false">Gov_Map!$H536&amp;""</f>
        <v>SRC_MOD_031</v>
      </c>
      <c r="B1224" s="66" t="s">
        <v>6250</v>
      </c>
      <c r="C1224" s="53" t="n">
        <v>536</v>
      </c>
      <c r="D1224" s="53" t="s">
        <v>6251</v>
      </c>
      <c r="E1224" s="53" t="s">
        <v>6251</v>
      </c>
    </row>
    <row r="1225" customFormat="false" ht="15" hidden="false" customHeight="false" outlineLevel="0" collapsed="false">
      <c r="A1225" s="85" t="str">
        <f aca="false">Gov_Map!$H537&amp;""</f>
        <v>—</v>
      </c>
      <c r="B1225" s="66" t="s">
        <v>6250</v>
      </c>
      <c r="C1225" s="53" t="n">
        <v>537</v>
      </c>
      <c r="D1225" s="53" t="s">
        <v>6251</v>
      </c>
      <c r="E1225" s="53" t="s">
        <v>6251</v>
      </c>
    </row>
    <row r="1226" customFormat="false" ht="15" hidden="false" customHeight="false" outlineLevel="0" collapsed="false">
      <c r="A1226" s="85" t="str">
        <f aca="false">Gov_Map!$H538&amp;""</f>
        <v>—</v>
      </c>
      <c r="B1226" s="66" t="s">
        <v>6250</v>
      </c>
      <c r="C1226" s="53" t="n">
        <v>538</v>
      </c>
      <c r="D1226" s="53" t="s">
        <v>6251</v>
      </c>
      <c r="E1226" s="53" t="s">
        <v>6251</v>
      </c>
    </row>
    <row r="1227" customFormat="false" ht="15" hidden="false" customHeight="false" outlineLevel="0" collapsed="false">
      <c r="A1227" s="85" t="str">
        <f aca="false">Gov_Map!$H539&amp;""</f>
        <v>—</v>
      </c>
      <c r="B1227" s="66" t="s">
        <v>6250</v>
      </c>
      <c r="C1227" s="53" t="n">
        <v>539</v>
      </c>
      <c r="D1227" s="53" t="s">
        <v>6251</v>
      </c>
      <c r="E1227" s="53" t="s">
        <v>6251</v>
      </c>
    </row>
    <row r="1228" customFormat="false" ht="15" hidden="false" customHeight="false" outlineLevel="0" collapsed="false">
      <c r="A1228" s="85" t="str">
        <f aca="false">Gov_Map!$H540&amp;""</f>
        <v>—</v>
      </c>
      <c r="B1228" s="66" t="s">
        <v>6250</v>
      </c>
      <c r="C1228" s="53" t="n">
        <v>540</v>
      </c>
      <c r="D1228" s="53" t="s">
        <v>6251</v>
      </c>
      <c r="E1228" s="53" t="s">
        <v>6251</v>
      </c>
    </row>
    <row r="1229" customFormat="false" ht="15" hidden="false" customHeight="false" outlineLevel="0" collapsed="false">
      <c r="A1229" s="85" t="str">
        <f aca="false">Gov_Map!$H541&amp;""</f>
        <v>—</v>
      </c>
      <c r="B1229" s="66" t="s">
        <v>6250</v>
      </c>
      <c r="C1229" s="53" t="n">
        <v>541</v>
      </c>
      <c r="D1229" s="53" t="s">
        <v>6251</v>
      </c>
      <c r="E1229" s="53" t="s">
        <v>6251</v>
      </c>
    </row>
    <row r="1230" customFormat="false" ht="15" hidden="false" customHeight="false" outlineLevel="0" collapsed="false">
      <c r="A1230" s="85" t="str">
        <f aca="false">Gov_Map!$H542&amp;""</f>
        <v>—</v>
      </c>
      <c r="B1230" s="66" t="s">
        <v>6250</v>
      </c>
      <c r="C1230" s="53" t="n">
        <v>542</v>
      </c>
      <c r="D1230" s="53" t="s">
        <v>6251</v>
      </c>
      <c r="E1230" s="53" t="s">
        <v>6251</v>
      </c>
    </row>
    <row r="1231" customFormat="false" ht="15" hidden="false" customHeight="false" outlineLevel="0" collapsed="false">
      <c r="A1231" s="85" t="str">
        <f aca="false">Gov_Map!$H543&amp;""</f>
        <v>—</v>
      </c>
      <c r="B1231" s="66" t="s">
        <v>6250</v>
      </c>
      <c r="C1231" s="53" t="n">
        <v>543</v>
      </c>
      <c r="D1231" s="53" t="s">
        <v>6251</v>
      </c>
      <c r="E1231" s="53" t="s">
        <v>6251</v>
      </c>
    </row>
    <row r="1232" customFormat="false" ht="15" hidden="false" customHeight="false" outlineLevel="0" collapsed="false">
      <c r="A1232" s="85" t="str">
        <f aca="false">Gov_Map!$H544&amp;""</f>
        <v>—</v>
      </c>
      <c r="B1232" s="66" t="s">
        <v>6250</v>
      </c>
      <c r="C1232" s="53" t="n">
        <v>544</v>
      </c>
      <c r="D1232" s="53" t="s">
        <v>6251</v>
      </c>
      <c r="E1232" s="53" t="s">
        <v>6251</v>
      </c>
    </row>
    <row r="1233" customFormat="false" ht="15" hidden="false" customHeight="false" outlineLevel="0" collapsed="false">
      <c r="A1233" s="85" t="str">
        <f aca="false">Gov_Map!$H545&amp;""</f>
        <v>—</v>
      </c>
      <c r="B1233" s="66" t="s">
        <v>6250</v>
      </c>
      <c r="C1233" s="53" t="n">
        <v>545</v>
      </c>
      <c r="D1233" s="53" t="s">
        <v>6251</v>
      </c>
      <c r="E1233" s="53" t="s">
        <v>6251</v>
      </c>
    </row>
    <row r="1234" customFormat="false" ht="15" hidden="false" customHeight="false" outlineLevel="0" collapsed="false">
      <c r="A1234" s="85" t="str">
        <f aca="false">Gov_Map!$H546&amp;""</f>
        <v>—</v>
      </c>
      <c r="B1234" s="66" t="s">
        <v>6250</v>
      </c>
      <c r="C1234" s="53" t="n">
        <v>546</v>
      </c>
      <c r="D1234" s="53" t="s">
        <v>6251</v>
      </c>
      <c r="E1234" s="53" t="s">
        <v>6251</v>
      </c>
    </row>
    <row r="1235" customFormat="false" ht="15" hidden="false" customHeight="false" outlineLevel="0" collapsed="false">
      <c r="A1235" s="85" t="str">
        <f aca="false">Gov_Map!$H547&amp;""</f>
        <v>—</v>
      </c>
      <c r="B1235" s="66" t="s">
        <v>6250</v>
      </c>
      <c r="C1235" s="53" t="n">
        <v>547</v>
      </c>
      <c r="D1235" s="53" t="s">
        <v>6251</v>
      </c>
      <c r="E1235" s="53" t="s">
        <v>6251</v>
      </c>
    </row>
    <row r="1236" customFormat="false" ht="15" hidden="false" customHeight="false" outlineLevel="0" collapsed="false">
      <c r="A1236" s="85" t="str">
        <f aca="false">Gov_Map!$H548&amp;""</f>
        <v>—</v>
      </c>
      <c r="B1236" s="66" t="s">
        <v>6250</v>
      </c>
      <c r="C1236" s="53" t="n">
        <v>548</v>
      </c>
      <c r="D1236" s="53" t="s">
        <v>6251</v>
      </c>
      <c r="E1236" s="53" t="s">
        <v>6251</v>
      </c>
    </row>
    <row r="1237" customFormat="false" ht="15" hidden="false" customHeight="false" outlineLevel="0" collapsed="false">
      <c r="A1237" s="85" t="str">
        <f aca="false">Gov_Map!$H549&amp;""</f>
        <v>SRC_MOD_034</v>
      </c>
      <c r="B1237" s="66" t="s">
        <v>6250</v>
      </c>
      <c r="C1237" s="53" t="n">
        <v>549</v>
      </c>
      <c r="D1237" s="53" t="s">
        <v>6251</v>
      </c>
      <c r="E1237" s="53" t="s">
        <v>6251</v>
      </c>
    </row>
    <row r="1238" customFormat="false" ht="15" hidden="false" customHeight="false" outlineLevel="0" collapsed="false">
      <c r="A1238" s="85" t="str">
        <f aca="false">Gov_Map!$H550&amp;""</f>
        <v>SRC_MOD_033</v>
      </c>
      <c r="B1238" s="66" t="s">
        <v>6250</v>
      </c>
      <c r="C1238" s="53" t="n">
        <v>550</v>
      </c>
      <c r="D1238" s="53" t="s">
        <v>6251</v>
      </c>
      <c r="E1238" s="53" t="s">
        <v>6251</v>
      </c>
    </row>
    <row r="1239" customFormat="false" ht="15" hidden="false" customHeight="false" outlineLevel="0" collapsed="false">
      <c r="A1239" s="85" t="str">
        <f aca="false">Gov_Map!$H551&amp;""</f>
        <v>SRC_MOD_033</v>
      </c>
      <c r="B1239" s="66" t="s">
        <v>6250</v>
      </c>
      <c r="C1239" s="53" t="n">
        <v>551</v>
      </c>
      <c r="D1239" s="53" t="s">
        <v>6251</v>
      </c>
      <c r="E1239" s="53" t="s">
        <v>6251</v>
      </c>
    </row>
    <row r="1240" customFormat="false" ht="15" hidden="false" customHeight="false" outlineLevel="0" collapsed="false">
      <c r="A1240" s="85" t="str">
        <f aca="false">Gov_Map!$H552&amp;""</f>
        <v>SRC_MOD_033</v>
      </c>
      <c r="B1240" s="66" t="s">
        <v>6250</v>
      </c>
      <c r="C1240" s="53" t="n">
        <v>552</v>
      </c>
      <c r="D1240" s="53" t="s">
        <v>6251</v>
      </c>
      <c r="E1240" s="53" t="s">
        <v>6251</v>
      </c>
    </row>
    <row r="1241" customFormat="false" ht="15" hidden="false" customHeight="false" outlineLevel="0" collapsed="false">
      <c r="A1241" s="85" t="str">
        <f aca="false">Gov_Map!$H553&amp;""</f>
        <v>—</v>
      </c>
      <c r="B1241" s="66" t="s">
        <v>6250</v>
      </c>
      <c r="C1241" s="53" t="n">
        <v>553</v>
      </c>
      <c r="D1241" s="53" t="s">
        <v>6251</v>
      </c>
      <c r="E1241" s="53" t="s">
        <v>6251</v>
      </c>
    </row>
    <row r="1242" customFormat="false" ht="15" hidden="false" customHeight="false" outlineLevel="0" collapsed="false">
      <c r="A1242" s="85" t="str">
        <f aca="false">Gov_Map!$H554&amp;""</f>
        <v>—</v>
      </c>
      <c r="B1242" s="66" t="s">
        <v>6250</v>
      </c>
      <c r="C1242" s="53" t="n">
        <v>554</v>
      </c>
      <c r="D1242" s="53" t="s">
        <v>6251</v>
      </c>
      <c r="E1242" s="53" t="s">
        <v>6251</v>
      </c>
    </row>
    <row r="1243" customFormat="false" ht="15" hidden="false" customHeight="false" outlineLevel="0" collapsed="false">
      <c r="A1243" s="85" t="str">
        <f aca="false">Gov_Map!$H555&amp;""</f>
        <v>—</v>
      </c>
      <c r="B1243" s="66" t="s">
        <v>6250</v>
      </c>
      <c r="C1243" s="53" t="n">
        <v>555</v>
      </c>
      <c r="D1243" s="53" t="s">
        <v>6251</v>
      </c>
      <c r="E1243" s="53" t="s">
        <v>6251</v>
      </c>
    </row>
    <row r="1244" customFormat="false" ht="15" hidden="false" customHeight="false" outlineLevel="0" collapsed="false">
      <c r="A1244" s="85" t="str">
        <f aca="false">Gov_Map!$H556&amp;""</f>
        <v>—</v>
      </c>
      <c r="B1244" s="66" t="s">
        <v>6250</v>
      </c>
      <c r="C1244" s="53" t="n">
        <v>556</v>
      </c>
      <c r="D1244" s="53" t="s">
        <v>6251</v>
      </c>
      <c r="E1244" s="53" t="s">
        <v>6251</v>
      </c>
    </row>
    <row r="1245" customFormat="false" ht="15" hidden="false" customHeight="false" outlineLevel="0" collapsed="false">
      <c r="A1245" s="85" t="str">
        <f aca="false">Gov_Map!$H557&amp;""</f>
        <v>—</v>
      </c>
      <c r="B1245" s="66" t="s">
        <v>6250</v>
      </c>
      <c r="C1245" s="53" t="n">
        <v>557</v>
      </c>
      <c r="D1245" s="53" t="s">
        <v>6251</v>
      </c>
      <c r="E1245" s="53" t="s">
        <v>6251</v>
      </c>
    </row>
    <row r="1246" customFormat="false" ht="15" hidden="false" customHeight="false" outlineLevel="0" collapsed="false">
      <c r="A1246" s="85" t="str">
        <f aca="false">Gov_Map!$H558&amp;""</f>
        <v>—</v>
      </c>
      <c r="B1246" s="66" t="s">
        <v>6250</v>
      </c>
      <c r="C1246" s="53" t="n">
        <v>558</v>
      </c>
      <c r="D1246" s="53" t="s">
        <v>6251</v>
      </c>
      <c r="E1246" s="53" t="s">
        <v>6251</v>
      </c>
    </row>
    <row r="1247" customFormat="false" ht="15" hidden="false" customHeight="false" outlineLevel="0" collapsed="false">
      <c r="A1247" s="85" t="str">
        <f aca="false">Gov_Map!$H559&amp;""</f>
        <v>—</v>
      </c>
      <c r="B1247" s="66" t="s">
        <v>6250</v>
      </c>
      <c r="C1247" s="53" t="n">
        <v>559</v>
      </c>
      <c r="D1247" s="53" t="s">
        <v>6251</v>
      </c>
      <c r="E1247" s="53" t="s">
        <v>6251</v>
      </c>
    </row>
    <row r="1248" customFormat="false" ht="15" hidden="false" customHeight="false" outlineLevel="0" collapsed="false">
      <c r="A1248" s="85" t="str">
        <f aca="false">Gov_Map!$H560&amp;""</f>
        <v>—</v>
      </c>
      <c r="B1248" s="66" t="s">
        <v>6250</v>
      </c>
      <c r="C1248" s="53" t="n">
        <v>560</v>
      </c>
      <c r="D1248" s="53" t="s">
        <v>6251</v>
      </c>
      <c r="E1248" s="53" t="s">
        <v>6251</v>
      </c>
    </row>
    <row r="1249" customFormat="false" ht="15" hidden="false" customHeight="false" outlineLevel="0" collapsed="false">
      <c r="A1249" s="85" t="str">
        <f aca="false">Gov_Map!$H561&amp;""</f>
        <v>—</v>
      </c>
      <c r="B1249" s="66" t="s">
        <v>6250</v>
      </c>
      <c r="C1249" s="53" t="n">
        <v>561</v>
      </c>
      <c r="D1249" s="53" t="s">
        <v>6251</v>
      </c>
      <c r="E1249" s="53" t="s">
        <v>6251</v>
      </c>
    </row>
    <row r="1250" customFormat="false" ht="15" hidden="false" customHeight="false" outlineLevel="0" collapsed="false">
      <c r="A1250" s="85" t="str">
        <f aca="false">Gov_Map!$H562&amp;""</f>
        <v>—</v>
      </c>
      <c r="B1250" s="66" t="s">
        <v>6250</v>
      </c>
      <c r="C1250" s="53" t="n">
        <v>562</v>
      </c>
      <c r="D1250" s="53" t="s">
        <v>6251</v>
      </c>
      <c r="E1250" s="53" t="s">
        <v>6251</v>
      </c>
    </row>
    <row r="1251" customFormat="false" ht="15" hidden="false" customHeight="false" outlineLevel="0" collapsed="false">
      <c r="A1251" s="85" t="str">
        <f aca="false">Gov_Map!$H563&amp;""</f>
        <v>—</v>
      </c>
      <c r="B1251" s="66" t="s">
        <v>6250</v>
      </c>
      <c r="C1251" s="53" t="n">
        <v>563</v>
      </c>
      <c r="D1251" s="53" t="s">
        <v>6251</v>
      </c>
      <c r="E1251" s="53" t="s">
        <v>6251</v>
      </c>
    </row>
    <row r="1252" customFormat="false" ht="15" hidden="false" customHeight="false" outlineLevel="0" collapsed="false">
      <c r="A1252" s="85" t="str">
        <f aca="false">Gov_Map!$H564&amp;""</f>
        <v>—</v>
      </c>
      <c r="B1252" s="66" t="s">
        <v>6250</v>
      </c>
      <c r="C1252" s="53" t="n">
        <v>564</v>
      </c>
      <c r="D1252" s="53" t="s">
        <v>6251</v>
      </c>
      <c r="E1252" s="53" t="s">
        <v>6251</v>
      </c>
    </row>
    <row r="1253" customFormat="false" ht="15" hidden="false" customHeight="false" outlineLevel="0" collapsed="false">
      <c r="A1253" s="85" t="str">
        <f aca="false">Gov_Map!$H565&amp;""</f>
        <v>—</v>
      </c>
      <c r="B1253" s="66" t="s">
        <v>6250</v>
      </c>
      <c r="C1253" s="53" t="n">
        <v>565</v>
      </c>
      <c r="D1253" s="53" t="s">
        <v>6251</v>
      </c>
      <c r="E1253" s="53" t="s">
        <v>6251</v>
      </c>
    </row>
    <row r="1254" customFormat="false" ht="15" hidden="false" customHeight="false" outlineLevel="0" collapsed="false">
      <c r="A1254" s="85" t="str">
        <f aca="false">Gov_Map!$H566&amp;""</f>
        <v>—</v>
      </c>
      <c r="B1254" s="66" t="s">
        <v>6250</v>
      </c>
      <c r="C1254" s="53" t="n">
        <v>566</v>
      </c>
      <c r="D1254" s="53" t="s">
        <v>6251</v>
      </c>
      <c r="E1254" s="53" t="s">
        <v>6251</v>
      </c>
    </row>
    <row r="1255" customFormat="false" ht="15" hidden="false" customHeight="false" outlineLevel="0" collapsed="false">
      <c r="A1255" s="85" t="str">
        <f aca="false">Gov_Map!$H567&amp;""</f>
        <v>—</v>
      </c>
      <c r="B1255" s="66" t="s">
        <v>6250</v>
      </c>
      <c r="C1255" s="53" t="n">
        <v>567</v>
      </c>
      <c r="D1255" s="53" t="s">
        <v>6251</v>
      </c>
      <c r="E1255" s="53" t="s">
        <v>6251</v>
      </c>
    </row>
    <row r="1256" customFormat="false" ht="15" hidden="false" customHeight="false" outlineLevel="0" collapsed="false">
      <c r="A1256" s="85" t="str">
        <f aca="false">Gov_Map!$H568&amp;""</f>
        <v>—</v>
      </c>
      <c r="B1256" s="66" t="s">
        <v>6250</v>
      </c>
      <c r="C1256" s="53" t="n">
        <v>568</v>
      </c>
      <c r="D1256" s="53" t="s">
        <v>6251</v>
      </c>
      <c r="E1256" s="53" t="s">
        <v>6251</v>
      </c>
    </row>
    <row r="1257" customFormat="false" ht="15" hidden="false" customHeight="false" outlineLevel="0" collapsed="false">
      <c r="A1257" s="85" t="str">
        <f aca="false">Gov_Map!$H569&amp;""</f>
        <v>—</v>
      </c>
      <c r="B1257" s="66" t="s">
        <v>6250</v>
      </c>
      <c r="C1257" s="53" t="n">
        <v>569</v>
      </c>
      <c r="D1257" s="53" t="s">
        <v>6251</v>
      </c>
      <c r="E1257" s="53" t="s">
        <v>6251</v>
      </c>
    </row>
    <row r="1258" customFormat="false" ht="15" hidden="false" customHeight="false" outlineLevel="0" collapsed="false">
      <c r="A1258" s="85" t="str">
        <f aca="false">Gov_Map!$H570&amp;""</f>
        <v>—</v>
      </c>
      <c r="B1258" s="66" t="s">
        <v>6250</v>
      </c>
      <c r="C1258" s="53" t="n">
        <v>570</v>
      </c>
      <c r="D1258" s="53" t="s">
        <v>6251</v>
      </c>
      <c r="E1258" s="53" t="s">
        <v>6251</v>
      </c>
    </row>
    <row r="1259" customFormat="false" ht="15" hidden="false" customHeight="false" outlineLevel="0" collapsed="false">
      <c r="A1259" s="85" t="str">
        <f aca="false">Gov_Map!$H571&amp;""</f>
        <v>—</v>
      </c>
      <c r="B1259" s="66" t="s">
        <v>6250</v>
      </c>
      <c r="C1259" s="53" t="n">
        <v>571</v>
      </c>
      <c r="D1259" s="53" t="s">
        <v>6251</v>
      </c>
      <c r="E1259" s="53" t="s">
        <v>6251</v>
      </c>
    </row>
    <row r="1260" customFormat="false" ht="15" hidden="false" customHeight="false" outlineLevel="0" collapsed="false">
      <c r="A1260" s="85" t="str">
        <f aca="false">Gov_Map!$H572&amp;""</f>
        <v>—</v>
      </c>
      <c r="B1260" s="66" t="s">
        <v>6250</v>
      </c>
      <c r="C1260" s="53" t="n">
        <v>572</v>
      </c>
      <c r="D1260" s="53" t="s">
        <v>6251</v>
      </c>
      <c r="E1260" s="53" t="s">
        <v>6251</v>
      </c>
    </row>
    <row r="1261" customFormat="false" ht="15" hidden="false" customHeight="false" outlineLevel="0" collapsed="false">
      <c r="A1261" s="85" t="str">
        <f aca="false">Gov_Map!$H573&amp;""</f>
        <v>—</v>
      </c>
      <c r="B1261" s="66" t="s">
        <v>6250</v>
      </c>
      <c r="C1261" s="53" t="n">
        <v>573</v>
      </c>
      <c r="D1261" s="53" t="s">
        <v>6251</v>
      </c>
      <c r="E1261" s="53" t="s">
        <v>6251</v>
      </c>
    </row>
    <row r="1262" customFormat="false" ht="15" hidden="false" customHeight="false" outlineLevel="0" collapsed="false">
      <c r="A1262" s="85" t="str">
        <f aca="false">Gov_Map!$H574&amp;""</f>
        <v>—</v>
      </c>
      <c r="B1262" s="66" t="s">
        <v>6250</v>
      </c>
      <c r="C1262" s="53" t="n">
        <v>574</v>
      </c>
      <c r="D1262" s="53" t="s">
        <v>6251</v>
      </c>
      <c r="E1262" s="53" t="s">
        <v>6251</v>
      </c>
    </row>
    <row r="1263" customFormat="false" ht="15" hidden="false" customHeight="false" outlineLevel="0" collapsed="false">
      <c r="A1263" s="85" t="str">
        <f aca="false">Gov_Map!$H575&amp;""</f>
        <v>SRC_MOD_028</v>
      </c>
      <c r="B1263" s="66" t="s">
        <v>6250</v>
      </c>
      <c r="C1263" s="53" t="n">
        <v>575</v>
      </c>
      <c r="D1263" s="53" t="s">
        <v>6251</v>
      </c>
      <c r="E1263" s="53" t="s">
        <v>6251</v>
      </c>
    </row>
    <row r="1264" customFormat="false" ht="15" hidden="false" customHeight="false" outlineLevel="0" collapsed="false">
      <c r="A1264" s="85" t="str">
        <f aca="false">Gov_Map!$H576&amp;""</f>
        <v>—</v>
      </c>
      <c r="B1264" s="66" t="s">
        <v>6250</v>
      </c>
      <c r="C1264" s="53" t="n">
        <v>576</v>
      </c>
      <c r="D1264" s="53" t="s">
        <v>6251</v>
      </c>
      <c r="E1264" s="53" t="s">
        <v>6251</v>
      </c>
    </row>
    <row r="1265" customFormat="false" ht="15" hidden="false" customHeight="false" outlineLevel="0" collapsed="false">
      <c r="A1265" s="85" t="str">
        <f aca="false">Gov_Map!$H577&amp;""</f>
        <v>—</v>
      </c>
      <c r="B1265" s="66" t="s">
        <v>6250</v>
      </c>
      <c r="C1265" s="53" t="n">
        <v>577</v>
      </c>
      <c r="D1265" s="53" t="s">
        <v>6251</v>
      </c>
      <c r="E1265" s="53" t="s">
        <v>6251</v>
      </c>
    </row>
    <row r="1266" customFormat="false" ht="15" hidden="false" customHeight="false" outlineLevel="0" collapsed="false">
      <c r="A1266" s="85" t="str">
        <f aca="false">Gov_Map!$H578&amp;""</f>
        <v>SRC_HW_055</v>
      </c>
      <c r="B1266" s="66" t="s">
        <v>6250</v>
      </c>
      <c r="C1266" s="53" t="n">
        <v>578</v>
      </c>
      <c r="D1266" s="53" t="s">
        <v>6251</v>
      </c>
      <c r="E1266" s="53" t="s">
        <v>6251</v>
      </c>
    </row>
    <row r="1267" customFormat="false" ht="15" hidden="false" customHeight="false" outlineLevel="0" collapsed="false">
      <c r="A1267" s="85" t="str">
        <f aca="false">Gov_Map!$H579&amp;""</f>
        <v>—</v>
      </c>
      <c r="B1267" s="66" t="s">
        <v>6250</v>
      </c>
      <c r="C1267" s="53" t="n">
        <v>579</v>
      </c>
      <c r="D1267" s="53" t="s">
        <v>6251</v>
      </c>
      <c r="E1267" s="53" t="s">
        <v>6251</v>
      </c>
    </row>
    <row r="1268" customFormat="false" ht="15" hidden="false" customHeight="false" outlineLevel="0" collapsed="false">
      <c r="A1268" s="85" t="str">
        <f aca="false">Gov_Map!$H580&amp;""</f>
        <v>—</v>
      </c>
      <c r="B1268" s="66" t="s">
        <v>6250</v>
      </c>
      <c r="C1268" s="53" t="n">
        <v>580</v>
      </c>
      <c r="D1268" s="53" t="s">
        <v>6251</v>
      </c>
      <c r="E1268" s="53" t="s">
        <v>6251</v>
      </c>
    </row>
    <row r="1269" customFormat="false" ht="15" hidden="false" customHeight="false" outlineLevel="0" collapsed="false">
      <c r="A1269" s="85" t="str">
        <f aca="false">Gov_Map!$H581&amp;""</f>
        <v>—</v>
      </c>
      <c r="B1269" s="66" t="s">
        <v>6250</v>
      </c>
      <c r="C1269" s="53" t="n">
        <v>581</v>
      </c>
      <c r="D1269" s="53" t="s">
        <v>6251</v>
      </c>
      <c r="E1269" s="53" t="s">
        <v>6251</v>
      </c>
    </row>
    <row r="1270" customFormat="false" ht="15" hidden="false" customHeight="false" outlineLevel="0" collapsed="false">
      <c r="A1270" s="85" t="str">
        <f aca="false">Gov_Map!$H582&amp;""</f>
        <v>—</v>
      </c>
      <c r="B1270" s="66" t="s">
        <v>6250</v>
      </c>
      <c r="C1270" s="53" t="n">
        <v>582</v>
      </c>
      <c r="D1270" s="53" t="s">
        <v>6251</v>
      </c>
      <c r="E1270" s="53" t="s">
        <v>6251</v>
      </c>
    </row>
    <row r="1271" customFormat="false" ht="15" hidden="false" customHeight="false" outlineLevel="0" collapsed="false">
      <c r="A1271" s="85" t="str">
        <f aca="false">Gov_Map!$H583&amp;""</f>
        <v>—</v>
      </c>
      <c r="B1271" s="66" t="s">
        <v>6250</v>
      </c>
      <c r="C1271" s="53" t="n">
        <v>583</v>
      </c>
      <c r="D1271" s="53" t="s">
        <v>6251</v>
      </c>
      <c r="E1271" s="53" t="s">
        <v>6251</v>
      </c>
    </row>
    <row r="1272" customFormat="false" ht="15" hidden="false" customHeight="false" outlineLevel="0" collapsed="false">
      <c r="A1272" s="85" t="str">
        <f aca="false">Gov_Map!$H584&amp;""</f>
        <v>—</v>
      </c>
      <c r="B1272" s="66" t="s">
        <v>6250</v>
      </c>
      <c r="C1272" s="53" t="n">
        <v>584</v>
      </c>
      <c r="D1272" s="53" t="s">
        <v>6251</v>
      </c>
      <c r="E1272" s="53" t="s">
        <v>6251</v>
      </c>
    </row>
    <row r="1273" customFormat="false" ht="15" hidden="false" customHeight="false" outlineLevel="0" collapsed="false">
      <c r="A1273" s="85" t="str">
        <f aca="false">Gov_Map!$H585&amp;""</f>
        <v>—</v>
      </c>
      <c r="B1273" s="66" t="s">
        <v>6250</v>
      </c>
      <c r="C1273" s="53" t="n">
        <v>585</v>
      </c>
      <c r="D1273" s="53" t="s">
        <v>6251</v>
      </c>
      <c r="E1273" s="53" t="s">
        <v>6251</v>
      </c>
    </row>
    <row r="1274" customFormat="false" ht="15" hidden="false" customHeight="false" outlineLevel="0" collapsed="false">
      <c r="A1274" s="85" t="str">
        <f aca="false">Gov_Map!$H586&amp;""</f>
        <v>—</v>
      </c>
      <c r="B1274" s="66" t="s">
        <v>6250</v>
      </c>
      <c r="C1274" s="53" t="n">
        <v>586</v>
      </c>
      <c r="D1274" s="53" t="s">
        <v>6251</v>
      </c>
      <c r="E1274" s="53" t="s">
        <v>6251</v>
      </c>
    </row>
    <row r="1275" customFormat="false" ht="15" hidden="false" customHeight="false" outlineLevel="0" collapsed="false">
      <c r="A1275" s="85" t="str">
        <f aca="false">Gov_Map!$H587&amp;""</f>
        <v>—</v>
      </c>
      <c r="B1275" s="66" t="s">
        <v>6250</v>
      </c>
      <c r="C1275" s="53" t="n">
        <v>587</v>
      </c>
      <c r="D1275" s="53" t="s">
        <v>6251</v>
      </c>
      <c r="E1275" s="53" t="s">
        <v>6251</v>
      </c>
    </row>
    <row r="1276" customFormat="false" ht="15" hidden="false" customHeight="false" outlineLevel="0" collapsed="false">
      <c r="A1276" s="85" t="str">
        <f aca="false">Gov_Map!$H588&amp;""</f>
        <v>SRC_DEM_010</v>
      </c>
      <c r="B1276" s="66" t="s">
        <v>6250</v>
      </c>
      <c r="C1276" s="53" t="n">
        <v>588</v>
      </c>
      <c r="D1276" s="53" t="s">
        <v>6251</v>
      </c>
      <c r="E1276" s="53" t="s">
        <v>6251</v>
      </c>
    </row>
    <row r="1277" customFormat="false" ht="15" hidden="false" customHeight="false" outlineLevel="0" collapsed="false">
      <c r="A1277" s="85" t="str">
        <f aca="false">Gov_Map!$H589&amp;""</f>
        <v>—</v>
      </c>
      <c r="B1277" s="66" t="s">
        <v>6250</v>
      </c>
      <c r="C1277" s="53" t="n">
        <v>589</v>
      </c>
      <c r="D1277" s="53" t="s">
        <v>6251</v>
      </c>
      <c r="E1277" s="53" t="s">
        <v>6251</v>
      </c>
    </row>
    <row r="1278" customFormat="false" ht="15" hidden="false" customHeight="false" outlineLevel="0" collapsed="false">
      <c r="A1278" s="85" t="str">
        <f aca="false">Gov_Map!$H590&amp;""</f>
        <v>SRC_DEM_012</v>
      </c>
      <c r="B1278" s="66" t="s">
        <v>6250</v>
      </c>
      <c r="C1278" s="53" t="n">
        <v>590</v>
      </c>
      <c r="D1278" s="53" t="s">
        <v>6251</v>
      </c>
      <c r="E1278" s="53" t="s">
        <v>6251</v>
      </c>
    </row>
    <row r="1279" customFormat="false" ht="15" hidden="false" customHeight="false" outlineLevel="0" collapsed="false">
      <c r="A1279" s="85" t="str">
        <f aca="false">Gov_Map!$H591&amp;""</f>
        <v>—</v>
      </c>
      <c r="B1279" s="66" t="s">
        <v>6250</v>
      </c>
      <c r="C1279" s="53" t="n">
        <v>591</v>
      </c>
      <c r="D1279" s="53" t="s">
        <v>6251</v>
      </c>
      <c r="E1279" s="53" t="s">
        <v>6251</v>
      </c>
    </row>
    <row r="1280" customFormat="false" ht="15" hidden="false" customHeight="false" outlineLevel="0" collapsed="false">
      <c r="A1280" s="85" t="str">
        <f aca="false">Gov_Map!$H592&amp;""</f>
        <v>SRC_DEM_005</v>
      </c>
      <c r="B1280" s="66" t="s">
        <v>6250</v>
      </c>
      <c r="C1280" s="53" t="n">
        <v>592</v>
      </c>
      <c r="D1280" s="53" t="s">
        <v>6251</v>
      </c>
      <c r="E1280" s="53" t="s">
        <v>6251</v>
      </c>
    </row>
    <row r="1281" customFormat="false" ht="15" hidden="false" customHeight="false" outlineLevel="0" collapsed="false">
      <c r="A1281" s="85" t="str">
        <f aca="false">Gov_Map!$H593&amp;""</f>
        <v>—</v>
      </c>
      <c r="B1281" s="66" t="s">
        <v>6250</v>
      </c>
      <c r="C1281" s="53" t="n">
        <v>593</v>
      </c>
      <c r="D1281" s="53" t="s">
        <v>6251</v>
      </c>
      <c r="E1281" s="53" t="s">
        <v>6251</v>
      </c>
    </row>
    <row r="1282" customFormat="false" ht="15" hidden="false" customHeight="false" outlineLevel="0" collapsed="false">
      <c r="A1282" s="85" t="str">
        <f aca="false">Gov_Map!$H594&amp;""</f>
        <v>—</v>
      </c>
      <c r="B1282" s="66" t="s">
        <v>6250</v>
      </c>
      <c r="C1282" s="53" t="n">
        <v>594</v>
      </c>
      <c r="D1282" s="53" t="s">
        <v>6251</v>
      </c>
      <c r="E1282" s="53" t="s">
        <v>6251</v>
      </c>
    </row>
    <row r="1283" customFormat="false" ht="15" hidden="false" customHeight="false" outlineLevel="0" collapsed="false">
      <c r="A1283" s="85" t="str">
        <f aca="false">Gov_Map!$H595&amp;""</f>
        <v>—</v>
      </c>
      <c r="B1283" s="66" t="s">
        <v>6250</v>
      </c>
      <c r="C1283" s="53" t="n">
        <v>595</v>
      </c>
      <c r="D1283" s="53" t="s">
        <v>6251</v>
      </c>
      <c r="E1283" s="53" t="s">
        <v>6251</v>
      </c>
    </row>
    <row r="1284" customFormat="false" ht="15" hidden="false" customHeight="false" outlineLevel="0" collapsed="false">
      <c r="A1284" s="85" t="str">
        <f aca="false">Gov_Map!$H596&amp;""</f>
        <v>—</v>
      </c>
      <c r="B1284" s="66" t="s">
        <v>6250</v>
      </c>
      <c r="C1284" s="53" t="n">
        <v>596</v>
      </c>
      <c r="D1284" s="53" t="s">
        <v>6251</v>
      </c>
      <c r="E1284" s="53" t="s">
        <v>6251</v>
      </c>
    </row>
    <row r="1285" customFormat="false" ht="15" hidden="false" customHeight="false" outlineLevel="0" collapsed="false">
      <c r="A1285" s="85" t="str">
        <f aca="false">Gov_Map!$H597&amp;""</f>
        <v>—</v>
      </c>
      <c r="B1285" s="66" t="s">
        <v>6250</v>
      </c>
      <c r="C1285" s="53" t="n">
        <v>597</v>
      </c>
      <c r="D1285" s="53" t="s">
        <v>6251</v>
      </c>
      <c r="E1285" s="53" t="s">
        <v>6251</v>
      </c>
    </row>
    <row r="1286" customFormat="false" ht="15" hidden="false" customHeight="false" outlineLevel="0" collapsed="false">
      <c r="A1286" s="85" t="str">
        <f aca="false">Gov_Map!$H598&amp;""</f>
        <v>—</v>
      </c>
      <c r="B1286" s="66" t="s">
        <v>6250</v>
      </c>
      <c r="C1286" s="53" t="n">
        <v>598</v>
      </c>
      <c r="D1286" s="53" t="s">
        <v>6251</v>
      </c>
      <c r="E1286" s="53" t="s">
        <v>6251</v>
      </c>
    </row>
    <row r="1287" customFormat="false" ht="15" hidden="false" customHeight="false" outlineLevel="0" collapsed="false">
      <c r="A1287" s="85" t="str">
        <f aca="false">Gov_Map!$H599&amp;""</f>
        <v>SRC_PERF_056</v>
      </c>
      <c r="B1287" s="66" t="s">
        <v>6250</v>
      </c>
      <c r="C1287" s="53" t="n">
        <v>599</v>
      </c>
      <c r="D1287" s="53" t="s">
        <v>6251</v>
      </c>
      <c r="E1287" s="53" t="s">
        <v>6251</v>
      </c>
    </row>
    <row r="1288" customFormat="false" ht="15" hidden="false" customHeight="false" outlineLevel="0" collapsed="false">
      <c r="A1288" s="85" t="str">
        <f aca="false">Gov_Map!$H600&amp;""</f>
        <v/>
      </c>
      <c r="B1288" s="66" t="s">
        <v>6250</v>
      </c>
      <c r="C1288" s="53" t="n">
        <v>600</v>
      </c>
      <c r="D1288" s="53" t="s">
        <v>6251</v>
      </c>
      <c r="E1288" s="53" t="s">
        <v>6251</v>
      </c>
    </row>
    <row r="1289" customFormat="false" ht="15" hidden="false" customHeight="false" outlineLevel="0" collapsed="false">
      <c r="A1289" s="85" t="str">
        <f aca="false">Gov_Map!$H601&amp;""</f>
        <v/>
      </c>
      <c r="B1289" s="66" t="s">
        <v>6250</v>
      </c>
      <c r="C1289" s="53" t="n">
        <v>601</v>
      </c>
      <c r="D1289" s="53" t="s">
        <v>6251</v>
      </c>
      <c r="E1289" s="53" t="s">
        <v>6251</v>
      </c>
    </row>
    <row r="1290" customFormat="false" ht="15" hidden="false" customHeight="false" outlineLevel="0" collapsed="false">
      <c r="A1290" s="85" t="str">
        <f aca="false">Gov_Map!$H602&amp;""</f>
        <v/>
      </c>
      <c r="B1290" s="66" t="s">
        <v>6250</v>
      </c>
      <c r="C1290" s="53" t="n">
        <v>602</v>
      </c>
      <c r="D1290" s="53" t="s">
        <v>6251</v>
      </c>
      <c r="E1290" s="53" t="s">
        <v>6251</v>
      </c>
    </row>
    <row r="1291" customFormat="false" ht="15" hidden="false" customHeight="false" outlineLevel="0" collapsed="false">
      <c r="A1291" s="85" t="str">
        <f aca="false">Gov_Map!$H603&amp;""</f>
        <v/>
      </c>
      <c r="B1291" s="66" t="s">
        <v>6250</v>
      </c>
      <c r="C1291" s="53" t="n">
        <v>603</v>
      </c>
      <c r="D1291" s="53" t="s">
        <v>6251</v>
      </c>
      <c r="E1291" s="53" t="s">
        <v>6251</v>
      </c>
    </row>
    <row r="1292" customFormat="false" ht="15" hidden="false" customHeight="false" outlineLevel="0" collapsed="false">
      <c r="A1292" s="85" t="str">
        <f aca="false">Gov_Map!$H604&amp;""</f>
        <v/>
      </c>
      <c r="B1292" s="66" t="s">
        <v>6250</v>
      </c>
      <c r="C1292" s="53" t="n">
        <v>604</v>
      </c>
      <c r="D1292" s="53" t="s">
        <v>6251</v>
      </c>
      <c r="E1292" s="53" t="s">
        <v>6251</v>
      </c>
    </row>
    <row r="1293" customFormat="false" ht="15" hidden="false" customHeight="false" outlineLevel="0" collapsed="false">
      <c r="A1293" s="85" t="str">
        <f aca="false">Gov_Map!$H605&amp;""</f>
        <v/>
      </c>
      <c r="B1293" s="66" t="s">
        <v>6250</v>
      </c>
      <c r="C1293" s="53" t="n">
        <v>605</v>
      </c>
      <c r="D1293" s="53" t="s">
        <v>6251</v>
      </c>
      <c r="E1293" s="53" t="s">
        <v>6251</v>
      </c>
    </row>
    <row r="1294" customFormat="false" ht="15" hidden="false" customHeight="false" outlineLevel="0" collapsed="false">
      <c r="A1294" s="85" t="str">
        <f aca="false">Gov_Map!$H606&amp;""</f>
        <v/>
      </c>
      <c r="B1294" s="66" t="s">
        <v>6250</v>
      </c>
      <c r="C1294" s="53" t="n">
        <v>606</v>
      </c>
      <c r="D1294" s="53" t="s">
        <v>6251</v>
      </c>
      <c r="E1294" s="53" t="s">
        <v>6251</v>
      </c>
    </row>
    <row r="1295" customFormat="false" ht="15" hidden="false" customHeight="false" outlineLevel="0" collapsed="false">
      <c r="A1295" s="85" t="str">
        <f aca="false">Gov_Map!$H607&amp;""</f>
        <v/>
      </c>
      <c r="B1295" s="66" t="s">
        <v>6250</v>
      </c>
      <c r="C1295" s="53" t="n">
        <v>607</v>
      </c>
      <c r="D1295" s="53" t="s">
        <v>6251</v>
      </c>
      <c r="E1295" s="53" t="s">
        <v>6251</v>
      </c>
    </row>
    <row r="1296" customFormat="false" ht="15" hidden="false" customHeight="false" outlineLevel="0" collapsed="false">
      <c r="A1296" s="85" t="str">
        <f aca="false">Gov_Map!$H608&amp;""</f>
        <v/>
      </c>
      <c r="B1296" s="66" t="s">
        <v>6250</v>
      </c>
      <c r="C1296" s="53" t="n">
        <v>608</v>
      </c>
      <c r="D1296" s="53" t="s">
        <v>6251</v>
      </c>
      <c r="E1296" s="53" t="s">
        <v>6251</v>
      </c>
    </row>
    <row r="1297" customFormat="false" ht="15" hidden="false" customHeight="false" outlineLevel="0" collapsed="false">
      <c r="A1297" s="85" t="str">
        <f aca="false">Gov_Map!$H609&amp;""</f>
        <v/>
      </c>
      <c r="B1297" s="66" t="s">
        <v>6250</v>
      </c>
      <c r="C1297" s="53" t="n">
        <v>609</v>
      </c>
      <c r="D1297" s="53" t="s">
        <v>6251</v>
      </c>
      <c r="E1297" s="53" t="s">
        <v>6251</v>
      </c>
    </row>
    <row r="1298" customFormat="false" ht="15" hidden="false" customHeight="false" outlineLevel="0" collapsed="false">
      <c r="A1298" s="85" t="str">
        <f aca="false">Gov_Map!$H610&amp;""</f>
        <v/>
      </c>
      <c r="B1298" s="66" t="s">
        <v>6250</v>
      </c>
      <c r="C1298" s="53" t="n">
        <v>610</v>
      </c>
      <c r="D1298" s="53" t="s">
        <v>6251</v>
      </c>
      <c r="E1298" s="53" t="s">
        <v>6251</v>
      </c>
    </row>
    <row r="1299" customFormat="false" ht="15" hidden="false" customHeight="false" outlineLevel="0" collapsed="false">
      <c r="A1299" s="85" t="str">
        <f aca="false">Gov_Map!$H611&amp;""</f>
        <v/>
      </c>
      <c r="B1299" s="66" t="s">
        <v>6250</v>
      </c>
      <c r="C1299" s="53" t="n">
        <v>611</v>
      </c>
      <c r="D1299" s="53" t="s">
        <v>6251</v>
      </c>
      <c r="E1299" s="53" t="s">
        <v>6251</v>
      </c>
    </row>
    <row r="1300" customFormat="false" ht="15" hidden="false" customHeight="false" outlineLevel="0" collapsed="false">
      <c r="A1300" s="85" t="str">
        <f aca="false">Gov_Map!$H612&amp;""</f>
        <v/>
      </c>
      <c r="B1300" s="66" t="s">
        <v>6250</v>
      </c>
      <c r="C1300" s="53" t="n">
        <v>612</v>
      </c>
      <c r="D1300" s="53" t="s">
        <v>6251</v>
      </c>
      <c r="E1300" s="53" t="s">
        <v>6251</v>
      </c>
    </row>
    <row r="1301" customFormat="false" ht="15" hidden="false" customHeight="false" outlineLevel="0" collapsed="false">
      <c r="A1301" s="85" t="str">
        <f aca="false">Gov_Map!$H613&amp;""</f>
        <v/>
      </c>
      <c r="B1301" s="66" t="s">
        <v>6250</v>
      </c>
      <c r="C1301" s="53" t="n">
        <v>613</v>
      </c>
      <c r="D1301" s="53" t="s">
        <v>6251</v>
      </c>
      <c r="E1301" s="53" t="s">
        <v>6251</v>
      </c>
    </row>
    <row r="1302" customFormat="false" ht="15" hidden="false" customHeight="false" outlineLevel="0" collapsed="false">
      <c r="A1302" s="85" t="str">
        <f aca="false">Gov_Map!$H614&amp;""</f>
        <v/>
      </c>
      <c r="B1302" s="66" t="s">
        <v>6250</v>
      </c>
      <c r="C1302" s="53" t="n">
        <v>614</v>
      </c>
      <c r="D1302" s="53" t="s">
        <v>6251</v>
      </c>
      <c r="E1302" s="53" t="s">
        <v>6251</v>
      </c>
    </row>
    <row r="1303" customFormat="false" ht="15" hidden="false" customHeight="false" outlineLevel="0" collapsed="false">
      <c r="A1303" s="85" t="str">
        <f aca="false">Gov_Map!$H615&amp;""</f>
        <v/>
      </c>
      <c r="B1303" s="66" t="s">
        <v>6250</v>
      </c>
      <c r="C1303" s="53" t="n">
        <v>615</v>
      </c>
      <c r="D1303" s="53" t="s">
        <v>6251</v>
      </c>
      <c r="E1303" s="53" t="s">
        <v>6251</v>
      </c>
    </row>
    <row r="1304" customFormat="false" ht="15" hidden="false" customHeight="false" outlineLevel="0" collapsed="false">
      <c r="A1304" s="85" t="str">
        <f aca="false">Gov_Map!$H616&amp;""</f>
        <v/>
      </c>
      <c r="B1304" s="66" t="s">
        <v>6250</v>
      </c>
      <c r="C1304" s="53" t="n">
        <v>616</v>
      </c>
      <c r="D1304" s="53" t="s">
        <v>6251</v>
      </c>
      <c r="E1304" s="53" t="s">
        <v>6251</v>
      </c>
    </row>
    <row r="1305" customFormat="false" ht="15" hidden="false" customHeight="false" outlineLevel="0" collapsed="false">
      <c r="A1305" s="85" t="str">
        <f aca="false">Gov_Map!$H617&amp;""</f>
        <v/>
      </c>
      <c r="B1305" s="66" t="s">
        <v>6250</v>
      </c>
      <c r="C1305" s="53" t="n">
        <v>617</v>
      </c>
      <c r="D1305" s="53" t="s">
        <v>6251</v>
      </c>
      <c r="E1305" s="53" t="s">
        <v>6251</v>
      </c>
    </row>
    <row r="1306" customFormat="false" ht="15" hidden="false" customHeight="false" outlineLevel="0" collapsed="false">
      <c r="A1306" s="85" t="str">
        <f aca="false">Gov_Map!$H618&amp;""</f>
        <v/>
      </c>
      <c r="B1306" s="66" t="s">
        <v>6250</v>
      </c>
      <c r="C1306" s="53" t="n">
        <v>618</v>
      </c>
      <c r="D1306" s="53" t="s">
        <v>6251</v>
      </c>
      <c r="E1306" s="53" t="s">
        <v>6251</v>
      </c>
    </row>
    <row r="1307" customFormat="false" ht="15" hidden="false" customHeight="false" outlineLevel="0" collapsed="false">
      <c r="A1307" s="85" t="str">
        <f aca="false">Gov_Map!$H619&amp;""</f>
        <v/>
      </c>
      <c r="B1307" s="66" t="s">
        <v>6250</v>
      </c>
      <c r="C1307" s="53" t="n">
        <v>619</v>
      </c>
      <c r="D1307" s="53" t="s">
        <v>6251</v>
      </c>
      <c r="E1307" s="53" t="s">
        <v>6251</v>
      </c>
    </row>
    <row r="1308" customFormat="false" ht="15" hidden="false" customHeight="false" outlineLevel="0" collapsed="false">
      <c r="A1308" s="85" t="str">
        <f aca="false">Gov_Map!$H620&amp;""</f>
        <v/>
      </c>
      <c r="B1308" s="66" t="s">
        <v>6250</v>
      </c>
      <c r="C1308" s="53" t="n">
        <v>620</v>
      </c>
      <c r="D1308" s="53" t="s">
        <v>6251</v>
      </c>
      <c r="E1308" s="53" t="s">
        <v>6251</v>
      </c>
    </row>
    <row r="1309" customFormat="false" ht="15" hidden="false" customHeight="false" outlineLevel="0" collapsed="false">
      <c r="A1309" s="85" t="str">
        <f aca="false">Gov_Map!$H621&amp;""</f>
        <v/>
      </c>
      <c r="B1309" s="66" t="s">
        <v>6250</v>
      </c>
      <c r="C1309" s="53" t="n">
        <v>621</v>
      </c>
      <c r="D1309" s="53" t="s">
        <v>6251</v>
      </c>
      <c r="E1309" s="53" t="s">
        <v>6251</v>
      </c>
    </row>
    <row r="1310" customFormat="false" ht="15" hidden="false" customHeight="false" outlineLevel="0" collapsed="false">
      <c r="A1310" s="85" t="str">
        <f aca="false">Gov_Map!$H622&amp;""</f>
        <v/>
      </c>
      <c r="B1310" s="66" t="s">
        <v>6250</v>
      </c>
      <c r="C1310" s="53" t="n">
        <v>622</v>
      </c>
      <c r="D1310" s="53" t="s">
        <v>6251</v>
      </c>
      <c r="E1310" s="53" t="s">
        <v>6251</v>
      </c>
    </row>
    <row r="1311" customFormat="false" ht="15" hidden="false" customHeight="false" outlineLevel="0" collapsed="false">
      <c r="A1311" s="85" t="str">
        <f aca="false">Gov_Map!$H623&amp;""</f>
        <v/>
      </c>
      <c r="B1311" s="66" t="s">
        <v>6250</v>
      </c>
      <c r="C1311" s="53" t="n">
        <v>623</v>
      </c>
      <c r="D1311" s="53" t="s">
        <v>6251</v>
      </c>
      <c r="E1311" s="53" t="s">
        <v>6251</v>
      </c>
    </row>
    <row r="1312" customFormat="false" ht="15" hidden="false" customHeight="false" outlineLevel="0" collapsed="false">
      <c r="A1312" s="85" t="str">
        <f aca="false">Gov_Map!$H624&amp;""</f>
        <v/>
      </c>
      <c r="B1312" s="66" t="s">
        <v>6250</v>
      </c>
      <c r="C1312" s="53" t="n">
        <v>624</v>
      </c>
      <c r="D1312" s="53" t="s">
        <v>6251</v>
      </c>
      <c r="E1312" s="53" t="s">
        <v>6251</v>
      </c>
    </row>
    <row r="1313" customFormat="false" ht="15" hidden="false" customHeight="false" outlineLevel="0" collapsed="false">
      <c r="A1313" s="85" t="str">
        <f aca="false">Gov_Map!$H625&amp;""</f>
        <v/>
      </c>
      <c r="B1313" s="66" t="s">
        <v>6250</v>
      </c>
      <c r="C1313" s="53" t="n">
        <v>625</v>
      </c>
      <c r="D1313" s="53" t="s">
        <v>6251</v>
      </c>
      <c r="E1313" s="53" t="s">
        <v>6251</v>
      </c>
    </row>
    <row r="1314" customFormat="false" ht="15" hidden="false" customHeight="false" outlineLevel="0" collapsed="false">
      <c r="A1314" s="85" t="str">
        <f aca="false">Gov_Map!$H626&amp;""</f>
        <v/>
      </c>
      <c r="B1314" s="66" t="s">
        <v>6250</v>
      </c>
      <c r="C1314" s="53" t="n">
        <v>626</v>
      </c>
      <c r="D1314" s="53" t="s">
        <v>6251</v>
      </c>
      <c r="E1314" s="53" t="s">
        <v>6251</v>
      </c>
    </row>
    <row r="1315" customFormat="false" ht="15" hidden="false" customHeight="false" outlineLevel="0" collapsed="false">
      <c r="A1315" s="85" t="str">
        <f aca="false">Gov_Map!$H627&amp;""</f>
        <v/>
      </c>
      <c r="B1315" s="66" t="s">
        <v>6250</v>
      </c>
      <c r="C1315" s="53" t="n">
        <v>627</v>
      </c>
      <c r="D1315" s="53" t="s">
        <v>6251</v>
      </c>
      <c r="E1315" s="53" t="s">
        <v>6251</v>
      </c>
    </row>
    <row r="1316" customFormat="false" ht="15" hidden="false" customHeight="false" outlineLevel="0" collapsed="false">
      <c r="A1316" s="85" t="str">
        <f aca="false">Gov_Map!$H628&amp;""</f>
        <v/>
      </c>
      <c r="B1316" s="66" t="s">
        <v>6250</v>
      </c>
      <c r="C1316" s="53" t="n">
        <v>628</v>
      </c>
      <c r="D1316" s="53" t="s">
        <v>6251</v>
      </c>
      <c r="E1316" s="53" t="s">
        <v>6251</v>
      </c>
    </row>
    <row r="1317" customFormat="false" ht="15" hidden="false" customHeight="false" outlineLevel="0" collapsed="false">
      <c r="A1317" s="85" t="str">
        <f aca="false">Gov_Map!$H629&amp;""</f>
        <v/>
      </c>
      <c r="B1317" s="66" t="s">
        <v>6250</v>
      </c>
      <c r="C1317" s="53" t="n">
        <v>629</v>
      </c>
      <c r="D1317" s="53" t="s">
        <v>6251</v>
      </c>
      <c r="E1317" s="53" t="s">
        <v>6251</v>
      </c>
    </row>
    <row r="1318" customFormat="false" ht="15" hidden="false" customHeight="false" outlineLevel="0" collapsed="false">
      <c r="A1318" s="85" t="str">
        <f aca="false">Gov_Map!$H630&amp;""</f>
        <v/>
      </c>
      <c r="B1318" s="66" t="s">
        <v>6250</v>
      </c>
      <c r="C1318" s="53" t="n">
        <v>630</v>
      </c>
      <c r="D1318" s="53" t="s">
        <v>6251</v>
      </c>
      <c r="E1318" s="53" t="s">
        <v>6251</v>
      </c>
    </row>
    <row r="1319" customFormat="false" ht="15" hidden="false" customHeight="false" outlineLevel="0" collapsed="false">
      <c r="A1319" s="85" t="str">
        <f aca="false">Gov_Map!$H631&amp;""</f>
        <v/>
      </c>
      <c r="B1319" s="66" t="s">
        <v>6250</v>
      </c>
      <c r="C1319" s="53" t="n">
        <v>631</v>
      </c>
      <c r="D1319" s="53" t="s">
        <v>6251</v>
      </c>
      <c r="E1319" s="53" t="s">
        <v>6251</v>
      </c>
    </row>
    <row r="1320" customFormat="false" ht="15" hidden="false" customHeight="false" outlineLevel="0" collapsed="false">
      <c r="A1320" s="85" t="str">
        <f aca="false">Gov_Map!$H632&amp;""</f>
        <v/>
      </c>
      <c r="B1320" s="66" t="s">
        <v>6250</v>
      </c>
      <c r="C1320" s="53" t="n">
        <v>632</v>
      </c>
      <c r="D1320" s="53" t="s">
        <v>6251</v>
      </c>
      <c r="E1320" s="53" t="s">
        <v>6251</v>
      </c>
    </row>
    <row r="1321" customFormat="false" ht="15" hidden="false" customHeight="false" outlineLevel="0" collapsed="false">
      <c r="A1321" s="85" t="str">
        <f aca="false">Gov_Map!$H633&amp;""</f>
        <v/>
      </c>
      <c r="B1321" s="66" t="s">
        <v>6250</v>
      </c>
      <c r="C1321" s="53" t="n">
        <v>633</v>
      </c>
      <c r="D1321" s="53" t="s">
        <v>6251</v>
      </c>
      <c r="E1321" s="53" t="s">
        <v>6251</v>
      </c>
    </row>
    <row r="1322" customFormat="false" ht="15" hidden="false" customHeight="false" outlineLevel="0" collapsed="false">
      <c r="A1322" s="85" t="str">
        <f aca="false">Gov_Map!$H634&amp;""</f>
        <v/>
      </c>
      <c r="B1322" s="66" t="s">
        <v>6250</v>
      </c>
      <c r="C1322" s="53" t="n">
        <v>634</v>
      </c>
      <c r="D1322" s="53" t="s">
        <v>6251</v>
      </c>
      <c r="E1322" s="53" t="s">
        <v>6251</v>
      </c>
    </row>
    <row r="1323" customFormat="false" ht="15" hidden="false" customHeight="false" outlineLevel="0" collapsed="false">
      <c r="A1323" s="85" t="str">
        <f aca="false">Gov_Map!$H635&amp;""</f>
        <v/>
      </c>
      <c r="B1323" s="66" t="s">
        <v>6250</v>
      </c>
      <c r="C1323" s="53" t="n">
        <v>635</v>
      </c>
      <c r="D1323" s="53" t="s">
        <v>6251</v>
      </c>
      <c r="E1323" s="53" t="s">
        <v>6251</v>
      </c>
    </row>
    <row r="1324" customFormat="false" ht="15" hidden="false" customHeight="false" outlineLevel="0" collapsed="false">
      <c r="A1324" s="85" t="str">
        <f aca="false">Gov_Map!$H636&amp;""</f>
        <v/>
      </c>
      <c r="B1324" s="66" t="s">
        <v>6250</v>
      </c>
      <c r="C1324" s="53" t="n">
        <v>636</v>
      </c>
      <c r="D1324" s="53" t="s">
        <v>6251</v>
      </c>
      <c r="E1324" s="53" t="s">
        <v>6251</v>
      </c>
    </row>
    <row r="1325" customFormat="false" ht="15" hidden="false" customHeight="false" outlineLevel="0" collapsed="false">
      <c r="A1325" s="85" t="str">
        <f aca="false">Gov_Map!$H637&amp;""</f>
        <v/>
      </c>
      <c r="B1325" s="66" t="s">
        <v>6250</v>
      </c>
      <c r="C1325" s="53" t="n">
        <v>637</v>
      </c>
      <c r="D1325" s="53" t="s">
        <v>6251</v>
      </c>
      <c r="E1325" s="53" t="s">
        <v>6251</v>
      </c>
    </row>
    <row r="1326" customFormat="false" ht="15" hidden="false" customHeight="false" outlineLevel="0" collapsed="false">
      <c r="A1326" s="85" t="str">
        <f aca="false">Gov_Map!$H638&amp;""</f>
        <v/>
      </c>
      <c r="B1326" s="66" t="s">
        <v>6250</v>
      </c>
      <c r="C1326" s="53" t="n">
        <v>638</v>
      </c>
      <c r="D1326" s="53" t="s">
        <v>6251</v>
      </c>
      <c r="E1326" s="53" t="s">
        <v>6251</v>
      </c>
    </row>
    <row r="1327" customFormat="false" ht="15" hidden="false" customHeight="false" outlineLevel="0" collapsed="false">
      <c r="A1327" s="85" t="str">
        <f aca="false">Gov_Map!$H639&amp;""</f>
        <v/>
      </c>
      <c r="B1327" s="66" t="s">
        <v>6250</v>
      </c>
      <c r="C1327" s="53" t="n">
        <v>639</v>
      </c>
      <c r="D1327" s="53" t="s">
        <v>6251</v>
      </c>
      <c r="E1327" s="53" t="s">
        <v>6251</v>
      </c>
    </row>
    <row r="1328" customFormat="false" ht="15" hidden="false" customHeight="false" outlineLevel="0" collapsed="false">
      <c r="A1328" s="85" t="str">
        <f aca="false">Gov_Map!$H640&amp;""</f>
        <v/>
      </c>
      <c r="B1328" s="66" t="s">
        <v>6250</v>
      </c>
      <c r="C1328" s="53" t="n">
        <v>640</v>
      </c>
      <c r="D1328" s="53" t="s">
        <v>6251</v>
      </c>
      <c r="E1328" s="53" t="s">
        <v>6251</v>
      </c>
    </row>
    <row r="1329" customFormat="false" ht="15" hidden="false" customHeight="false" outlineLevel="0" collapsed="false">
      <c r="A1329" s="85" t="str">
        <f aca="false">Gov_Map!$H641&amp;""</f>
        <v/>
      </c>
      <c r="B1329" s="66" t="s">
        <v>6250</v>
      </c>
      <c r="C1329" s="53" t="n">
        <v>641</v>
      </c>
      <c r="D1329" s="53" t="s">
        <v>6251</v>
      </c>
      <c r="E1329" s="53" t="s">
        <v>6251</v>
      </c>
    </row>
    <row r="1330" customFormat="false" ht="15" hidden="false" customHeight="false" outlineLevel="0" collapsed="false">
      <c r="A1330" s="85" t="str">
        <f aca="false">Gov_Map!$H642&amp;""</f>
        <v/>
      </c>
      <c r="B1330" s="66" t="s">
        <v>6250</v>
      </c>
      <c r="C1330" s="53" t="n">
        <v>642</v>
      </c>
      <c r="D1330" s="53" t="s">
        <v>6251</v>
      </c>
      <c r="E1330" s="53" t="s">
        <v>6251</v>
      </c>
    </row>
    <row r="1331" customFormat="false" ht="15" hidden="false" customHeight="false" outlineLevel="0" collapsed="false">
      <c r="A1331" s="85" t="str">
        <f aca="false">Gov_Map!$H643&amp;""</f>
        <v/>
      </c>
      <c r="B1331" s="66" t="s">
        <v>6250</v>
      </c>
      <c r="C1331" s="53" t="n">
        <v>643</v>
      </c>
      <c r="D1331" s="53" t="s">
        <v>6251</v>
      </c>
      <c r="E1331" s="53" t="s">
        <v>6251</v>
      </c>
    </row>
    <row r="1332" customFormat="false" ht="15" hidden="false" customHeight="false" outlineLevel="0" collapsed="false">
      <c r="A1332" s="85" t="str">
        <f aca="false">Gov_Map!$H644&amp;""</f>
        <v/>
      </c>
      <c r="B1332" s="66" t="s">
        <v>6250</v>
      </c>
      <c r="C1332" s="53" t="n">
        <v>644</v>
      </c>
      <c r="D1332" s="53" t="s">
        <v>6251</v>
      </c>
      <c r="E1332" s="53" t="s">
        <v>6251</v>
      </c>
    </row>
    <row r="1333" customFormat="false" ht="15" hidden="false" customHeight="false" outlineLevel="0" collapsed="false">
      <c r="A1333" s="85" t="str">
        <f aca="false">Gov_Map!$H645&amp;""</f>
        <v/>
      </c>
      <c r="B1333" s="66" t="s">
        <v>6250</v>
      </c>
      <c r="C1333" s="53" t="n">
        <v>645</v>
      </c>
      <c r="D1333" s="53" t="s">
        <v>6251</v>
      </c>
      <c r="E1333" s="53" t="s">
        <v>6251</v>
      </c>
    </row>
    <row r="1334" customFormat="false" ht="15" hidden="false" customHeight="false" outlineLevel="0" collapsed="false">
      <c r="A1334" s="85" t="str">
        <f aca="false">Gov_Map!$H646&amp;""</f>
        <v/>
      </c>
      <c r="B1334" s="66" t="s">
        <v>6250</v>
      </c>
      <c r="C1334" s="53" t="n">
        <v>646</v>
      </c>
      <c r="D1334" s="53" t="s">
        <v>6251</v>
      </c>
      <c r="E1334" s="53" t="s">
        <v>6251</v>
      </c>
    </row>
    <row r="1335" customFormat="false" ht="15" hidden="false" customHeight="false" outlineLevel="0" collapsed="false">
      <c r="A1335" s="85" t="str">
        <f aca="false">Gov_Map!$H647&amp;""</f>
        <v/>
      </c>
      <c r="B1335" s="66" t="s">
        <v>6250</v>
      </c>
      <c r="C1335" s="53" t="n">
        <v>647</v>
      </c>
      <c r="D1335" s="53" t="s">
        <v>6251</v>
      </c>
      <c r="E1335" s="53" t="s">
        <v>6251</v>
      </c>
    </row>
    <row r="1336" customFormat="false" ht="15" hidden="false" customHeight="false" outlineLevel="0" collapsed="false">
      <c r="A1336" s="85" t="str">
        <f aca="false">Gov_Map!$H648&amp;""</f>
        <v/>
      </c>
      <c r="B1336" s="66" t="s">
        <v>6250</v>
      </c>
      <c r="C1336" s="53" t="n">
        <v>648</v>
      </c>
      <c r="D1336" s="53" t="s">
        <v>6251</v>
      </c>
      <c r="E1336" s="53" t="s">
        <v>6251</v>
      </c>
    </row>
    <row r="1337" customFormat="false" ht="15" hidden="false" customHeight="false" outlineLevel="0" collapsed="false">
      <c r="A1337" s="85" t="str">
        <f aca="false">Gov_Map!$H649&amp;""</f>
        <v/>
      </c>
      <c r="B1337" s="66" t="s">
        <v>6250</v>
      </c>
      <c r="C1337" s="53" t="n">
        <v>649</v>
      </c>
      <c r="D1337" s="53" t="s">
        <v>6251</v>
      </c>
      <c r="E1337" s="53" t="s">
        <v>6251</v>
      </c>
    </row>
    <row r="1338" customFormat="false" ht="15" hidden="false" customHeight="false" outlineLevel="0" collapsed="false">
      <c r="A1338" s="85" t="str">
        <f aca="false">Gov_Map!$H650&amp;""</f>
        <v/>
      </c>
      <c r="B1338" s="66" t="s">
        <v>6250</v>
      </c>
      <c r="C1338" s="53" t="n">
        <v>650</v>
      </c>
      <c r="D1338" s="53" t="s">
        <v>6251</v>
      </c>
      <c r="E1338" s="53" t="s">
        <v>6251</v>
      </c>
    </row>
    <row r="1339" customFormat="false" ht="15" hidden="false" customHeight="false" outlineLevel="0" collapsed="false">
      <c r="A1339" s="85" t="str">
        <f aca="false">Gov_Map!$H651&amp;""</f>
        <v/>
      </c>
      <c r="B1339" s="66" t="s">
        <v>6250</v>
      </c>
      <c r="C1339" s="53" t="n">
        <v>651</v>
      </c>
      <c r="D1339" s="53" t="s">
        <v>6251</v>
      </c>
      <c r="E1339" s="53" t="s">
        <v>6251</v>
      </c>
    </row>
    <row r="1340" customFormat="false" ht="15" hidden="false" customHeight="false" outlineLevel="0" collapsed="false">
      <c r="A1340" s="85" t="str">
        <f aca="false">Gov_Map!$H652&amp;""</f>
        <v/>
      </c>
      <c r="B1340" s="66" t="s">
        <v>6250</v>
      </c>
      <c r="C1340" s="53" t="n">
        <v>652</v>
      </c>
      <c r="D1340" s="53" t="s">
        <v>6251</v>
      </c>
      <c r="E1340" s="53" t="s">
        <v>6251</v>
      </c>
    </row>
    <row r="1341" customFormat="false" ht="15" hidden="false" customHeight="false" outlineLevel="0" collapsed="false">
      <c r="A1341" s="85" t="str">
        <f aca="false">Gov_Map!$H653&amp;""</f>
        <v/>
      </c>
      <c r="B1341" s="66" t="s">
        <v>6250</v>
      </c>
      <c r="C1341" s="53" t="n">
        <v>653</v>
      </c>
      <c r="D1341" s="53" t="s">
        <v>6251</v>
      </c>
      <c r="E1341" s="53" t="s">
        <v>6251</v>
      </c>
    </row>
    <row r="1342" customFormat="false" ht="15" hidden="false" customHeight="false" outlineLevel="0" collapsed="false">
      <c r="A1342" s="85" t="str">
        <f aca="false">Gov_Map!$H654&amp;""</f>
        <v/>
      </c>
      <c r="B1342" s="66" t="s">
        <v>6250</v>
      </c>
      <c r="C1342" s="53" t="n">
        <v>654</v>
      </c>
      <c r="D1342" s="53" t="s">
        <v>6251</v>
      </c>
      <c r="E1342" s="53" t="s">
        <v>6251</v>
      </c>
    </row>
    <row r="1343" customFormat="false" ht="15" hidden="false" customHeight="false" outlineLevel="0" collapsed="false">
      <c r="A1343" s="85" t="str">
        <f aca="false">Gov_Map!$H655&amp;""</f>
        <v/>
      </c>
      <c r="B1343" s="66" t="s">
        <v>6250</v>
      </c>
      <c r="C1343" s="53" t="n">
        <v>655</v>
      </c>
      <c r="D1343" s="53" t="s">
        <v>6251</v>
      </c>
      <c r="E1343" s="53" t="s">
        <v>6251</v>
      </c>
    </row>
    <row r="1344" customFormat="false" ht="15" hidden="false" customHeight="false" outlineLevel="0" collapsed="false">
      <c r="A1344" s="85" t="str">
        <f aca="false">Gov_Map!$H656&amp;""</f>
        <v/>
      </c>
      <c r="B1344" s="66" t="s">
        <v>6250</v>
      </c>
      <c r="C1344" s="53" t="n">
        <v>656</v>
      </c>
      <c r="D1344" s="53" t="s">
        <v>6251</v>
      </c>
      <c r="E1344" s="53" t="s">
        <v>6251</v>
      </c>
    </row>
    <row r="1345" customFormat="false" ht="15" hidden="false" customHeight="false" outlineLevel="0" collapsed="false">
      <c r="A1345" s="85" t="str">
        <f aca="false">Gov_Map!$H657&amp;""</f>
        <v/>
      </c>
      <c r="B1345" s="66" t="s">
        <v>6250</v>
      </c>
      <c r="C1345" s="53" t="n">
        <v>657</v>
      </c>
      <c r="D1345" s="53" t="s">
        <v>6251</v>
      </c>
      <c r="E1345" s="53" t="s">
        <v>6251</v>
      </c>
    </row>
    <row r="1346" customFormat="false" ht="15" hidden="false" customHeight="false" outlineLevel="0" collapsed="false">
      <c r="A1346" s="85" t="str">
        <f aca="false">Gov_Map!$H658&amp;""</f>
        <v/>
      </c>
      <c r="B1346" s="66" t="s">
        <v>6250</v>
      </c>
      <c r="C1346" s="53" t="n">
        <v>658</v>
      </c>
      <c r="D1346" s="53" t="s">
        <v>6251</v>
      </c>
      <c r="E1346" s="53" t="s">
        <v>6251</v>
      </c>
    </row>
    <row r="1347" customFormat="false" ht="15" hidden="false" customHeight="false" outlineLevel="0" collapsed="false">
      <c r="A1347" s="85" t="str">
        <f aca="false">Gov_Map!$H659&amp;""</f>
        <v/>
      </c>
      <c r="B1347" s="66" t="s">
        <v>6250</v>
      </c>
      <c r="C1347" s="53" t="n">
        <v>659</v>
      </c>
      <c r="D1347" s="53" t="s">
        <v>6251</v>
      </c>
      <c r="E1347" s="53" t="s">
        <v>6251</v>
      </c>
    </row>
    <row r="1348" customFormat="false" ht="15" hidden="false" customHeight="false" outlineLevel="0" collapsed="false">
      <c r="A1348" s="85" t="str">
        <f aca="false">Gov_Map!$H660&amp;""</f>
        <v/>
      </c>
      <c r="B1348" s="66" t="s">
        <v>6250</v>
      </c>
      <c r="C1348" s="53" t="n">
        <v>660</v>
      </c>
      <c r="D1348" s="53" t="s">
        <v>6251</v>
      </c>
      <c r="E1348" s="53" t="s">
        <v>6251</v>
      </c>
    </row>
    <row r="1349" customFormat="false" ht="15" hidden="false" customHeight="false" outlineLevel="0" collapsed="false">
      <c r="A1349" s="85" t="str">
        <f aca="false">Gov_Map!$H661&amp;""</f>
        <v/>
      </c>
      <c r="B1349" s="66" t="s">
        <v>6250</v>
      </c>
      <c r="C1349" s="53" t="n">
        <v>661</v>
      </c>
      <c r="D1349" s="53" t="s">
        <v>6251</v>
      </c>
      <c r="E1349" s="53" t="s">
        <v>6251</v>
      </c>
    </row>
    <row r="1350" customFormat="false" ht="15" hidden="false" customHeight="false" outlineLevel="0" collapsed="false">
      <c r="A1350" s="85" t="str">
        <f aca="false">Gov_Map!$H662&amp;""</f>
        <v/>
      </c>
      <c r="B1350" s="66" t="s">
        <v>6250</v>
      </c>
      <c r="C1350" s="53" t="n">
        <v>662</v>
      </c>
      <c r="D1350" s="53" t="s">
        <v>6251</v>
      </c>
      <c r="E1350" s="53" t="s">
        <v>6251</v>
      </c>
    </row>
    <row r="1351" customFormat="false" ht="15" hidden="false" customHeight="false" outlineLevel="0" collapsed="false">
      <c r="A1351" s="85" t="str">
        <f aca="false">Gov_Map!$H663&amp;""</f>
        <v/>
      </c>
      <c r="B1351" s="66" t="s">
        <v>6250</v>
      </c>
      <c r="C1351" s="53" t="n">
        <v>663</v>
      </c>
      <c r="D1351" s="53" t="s">
        <v>6251</v>
      </c>
      <c r="E1351" s="53" t="s">
        <v>6251</v>
      </c>
    </row>
    <row r="1352" customFormat="false" ht="15" hidden="false" customHeight="false" outlineLevel="0" collapsed="false">
      <c r="A1352" s="85" t="str">
        <f aca="false">Gov_Map!$H664&amp;""</f>
        <v/>
      </c>
      <c r="B1352" s="66" t="s">
        <v>6250</v>
      </c>
      <c r="C1352" s="53" t="n">
        <v>664</v>
      </c>
      <c r="D1352" s="53" t="s">
        <v>6251</v>
      </c>
      <c r="E1352" s="53" t="s">
        <v>6251</v>
      </c>
    </row>
    <row r="1353" customFormat="false" ht="15" hidden="false" customHeight="false" outlineLevel="0" collapsed="false">
      <c r="A1353" s="85" t="str">
        <f aca="false">Gov_Map!$H665&amp;""</f>
        <v/>
      </c>
      <c r="B1353" s="66" t="s">
        <v>6250</v>
      </c>
      <c r="C1353" s="53" t="n">
        <v>665</v>
      </c>
      <c r="D1353" s="53" t="s">
        <v>6251</v>
      </c>
      <c r="E1353" s="53" t="s">
        <v>6251</v>
      </c>
    </row>
    <row r="1354" customFormat="false" ht="15" hidden="false" customHeight="false" outlineLevel="0" collapsed="false">
      <c r="A1354" s="85" t="str">
        <f aca="false">Gov_Map!$H666&amp;""</f>
        <v/>
      </c>
      <c r="B1354" s="66" t="s">
        <v>6250</v>
      </c>
      <c r="C1354" s="53" t="n">
        <v>666</v>
      </c>
      <c r="D1354" s="53" t="s">
        <v>6251</v>
      </c>
      <c r="E1354" s="53" t="s">
        <v>6251</v>
      </c>
    </row>
    <row r="1355" customFormat="false" ht="15" hidden="false" customHeight="false" outlineLevel="0" collapsed="false">
      <c r="A1355" s="85" t="str">
        <f aca="false">Gov_Map!$H667&amp;""</f>
        <v/>
      </c>
      <c r="B1355" s="66" t="s">
        <v>6250</v>
      </c>
      <c r="C1355" s="53" t="n">
        <v>667</v>
      </c>
      <c r="D1355" s="53" t="s">
        <v>6251</v>
      </c>
      <c r="E1355" s="53" t="s">
        <v>6251</v>
      </c>
    </row>
    <row r="1356" customFormat="false" ht="15" hidden="false" customHeight="false" outlineLevel="0" collapsed="false">
      <c r="A1356" s="85" t="str">
        <f aca="false">Gov_Map!$H668&amp;""</f>
        <v/>
      </c>
      <c r="B1356" s="66" t="s">
        <v>6250</v>
      </c>
      <c r="C1356" s="53" t="n">
        <v>668</v>
      </c>
      <c r="D1356" s="53" t="s">
        <v>6251</v>
      </c>
      <c r="E1356" s="53" t="s">
        <v>6251</v>
      </c>
    </row>
    <row r="1357" customFormat="false" ht="15" hidden="false" customHeight="false" outlineLevel="0" collapsed="false">
      <c r="A1357" s="85" t="str">
        <f aca="false">Gov_Map!$H669&amp;""</f>
        <v/>
      </c>
      <c r="B1357" s="66" t="s">
        <v>6250</v>
      </c>
      <c r="C1357" s="53" t="n">
        <v>669</v>
      </c>
      <c r="D1357" s="53" t="s">
        <v>6251</v>
      </c>
      <c r="E1357" s="53" t="s">
        <v>6251</v>
      </c>
    </row>
    <row r="1358" customFormat="false" ht="15" hidden="false" customHeight="false" outlineLevel="0" collapsed="false">
      <c r="A1358" s="85" t="str">
        <f aca="false">Gov_Map!$H670&amp;""</f>
        <v/>
      </c>
      <c r="B1358" s="66" t="s">
        <v>6250</v>
      </c>
      <c r="C1358" s="53" t="n">
        <v>670</v>
      </c>
      <c r="D1358" s="53" t="s">
        <v>6251</v>
      </c>
      <c r="E1358" s="53" t="s">
        <v>6251</v>
      </c>
    </row>
    <row r="1359" customFormat="false" ht="15" hidden="false" customHeight="false" outlineLevel="0" collapsed="false">
      <c r="A1359" s="85" t="str">
        <f aca="false">Gov_Map!$H671&amp;""</f>
        <v/>
      </c>
      <c r="B1359" s="66" t="s">
        <v>6250</v>
      </c>
      <c r="C1359" s="53" t="n">
        <v>671</v>
      </c>
      <c r="D1359" s="53" t="s">
        <v>6251</v>
      </c>
      <c r="E1359" s="53" t="s">
        <v>6251</v>
      </c>
    </row>
    <row r="1360" customFormat="false" ht="15" hidden="false" customHeight="false" outlineLevel="0" collapsed="false">
      <c r="A1360" s="85" t="str">
        <f aca="false">Gov_Map!$H672&amp;""</f>
        <v/>
      </c>
      <c r="B1360" s="66" t="s">
        <v>6250</v>
      </c>
      <c r="C1360" s="53" t="n">
        <v>672</v>
      </c>
      <c r="D1360" s="53" t="s">
        <v>6251</v>
      </c>
      <c r="E1360" s="53" t="s">
        <v>6251</v>
      </c>
    </row>
    <row r="1361" customFormat="false" ht="15" hidden="false" customHeight="false" outlineLevel="0" collapsed="false">
      <c r="A1361" s="85" t="str">
        <f aca="false">Gov_Map!$H673&amp;""</f>
        <v/>
      </c>
      <c r="B1361" s="66" t="s">
        <v>6250</v>
      </c>
      <c r="C1361" s="53" t="n">
        <v>673</v>
      </c>
      <c r="D1361" s="53" t="s">
        <v>6251</v>
      </c>
      <c r="E1361" s="53" t="s">
        <v>6251</v>
      </c>
    </row>
    <row r="1362" customFormat="false" ht="15" hidden="false" customHeight="false" outlineLevel="0" collapsed="false">
      <c r="A1362" s="85" t="str">
        <f aca="false">Gov_Map!$H674&amp;""</f>
        <v/>
      </c>
      <c r="B1362" s="66" t="s">
        <v>6250</v>
      </c>
      <c r="C1362" s="53" t="n">
        <v>674</v>
      </c>
      <c r="D1362" s="53" t="s">
        <v>6251</v>
      </c>
      <c r="E1362" s="53" t="s">
        <v>6251</v>
      </c>
    </row>
    <row r="1363" customFormat="false" ht="15" hidden="false" customHeight="false" outlineLevel="0" collapsed="false">
      <c r="A1363" s="85" t="str">
        <f aca="false">Gov_Map!$H675&amp;""</f>
        <v/>
      </c>
      <c r="B1363" s="66" t="s">
        <v>6250</v>
      </c>
      <c r="C1363" s="53" t="n">
        <v>675</v>
      </c>
      <c r="D1363" s="53" t="s">
        <v>6251</v>
      </c>
      <c r="E1363" s="53" t="s">
        <v>6251</v>
      </c>
    </row>
    <row r="1364" customFormat="false" ht="15" hidden="false" customHeight="false" outlineLevel="0" collapsed="false">
      <c r="A1364" s="85" t="str">
        <f aca="false">Gov_Map!$H676&amp;""</f>
        <v/>
      </c>
      <c r="B1364" s="66" t="s">
        <v>6250</v>
      </c>
      <c r="C1364" s="53" t="n">
        <v>676</v>
      </c>
      <c r="D1364" s="53" t="s">
        <v>6251</v>
      </c>
      <c r="E1364" s="53" t="s">
        <v>6251</v>
      </c>
    </row>
    <row r="1365" customFormat="false" ht="15" hidden="false" customHeight="false" outlineLevel="0" collapsed="false">
      <c r="A1365" s="85" t="str">
        <f aca="false">Gov_Map!$H677&amp;""</f>
        <v/>
      </c>
      <c r="B1365" s="66" t="s">
        <v>6250</v>
      </c>
      <c r="C1365" s="53" t="n">
        <v>677</v>
      </c>
      <c r="D1365" s="53" t="s">
        <v>6251</v>
      </c>
      <c r="E1365" s="53" t="s">
        <v>6251</v>
      </c>
    </row>
    <row r="1366" customFormat="false" ht="15" hidden="false" customHeight="false" outlineLevel="0" collapsed="false">
      <c r="A1366" s="85" t="str">
        <f aca="false">Gov_Map!$H678&amp;""</f>
        <v/>
      </c>
      <c r="B1366" s="66" t="s">
        <v>6250</v>
      </c>
      <c r="C1366" s="53" t="n">
        <v>678</v>
      </c>
      <c r="D1366" s="53" t="s">
        <v>6251</v>
      </c>
      <c r="E1366" s="53" t="s">
        <v>6251</v>
      </c>
    </row>
    <row r="1367" customFormat="false" ht="15" hidden="false" customHeight="false" outlineLevel="0" collapsed="false">
      <c r="A1367" s="85" t="str">
        <f aca="false">Gov_Map!$H679&amp;""</f>
        <v/>
      </c>
      <c r="B1367" s="66" t="s">
        <v>6250</v>
      </c>
      <c r="C1367" s="53" t="n">
        <v>679</v>
      </c>
      <c r="D1367" s="53" t="s">
        <v>6251</v>
      </c>
      <c r="E1367" s="53" t="s">
        <v>6251</v>
      </c>
    </row>
    <row r="1368" customFormat="false" ht="15" hidden="false" customHeight="false" outlineLevel="0" collapsed="false">
      <c r="A1368" s="85" t="str">
        <f aca="false">Gov_Map!$H680&amp;""</f>
        <v/>
      </c>
      <c r="B1368" s="66" t="s">
        <v>6250</v>
      </c>
      <c r="C1368" s="53" t="n">
        <v>680</v>
      </c>
      <c r="D1368" s="53" t="s">
        <v>6251</v>
      </c>
      <c r="E1368" s="53" t="s">
        <v>6251</v>
      </c>
    </row>
    <row r="1369" customFormat="false" ht="15" hidden="false" customHeight="false" outlineLevel="0" collapsed="false">
      <c r="A1369" s="85" t="str">
        <f aca="false">Gov_Map!$H681&amp;""</f>
        <v/>
      </c>
      <c r="B1369" s="66" t="s">
        <v>6250</v>
      </c>
      <c r="C1369" s="53" t="n">
        <v>681</v>
      </c>
      <c r="D1369" s="53" t="s">
        <v>6251</v>
      </c>
      <c r="E1369" s="53" t="s">
        <v>6251</v>
      </c>
    </row>
    <row r="1370" customFormat="false" ht="15" hidden="false" customHeight="false" outlineLevel="0" collapsed="false">
      <c r="A1370" s="85" t="str">
        <f aca="false">Gov_Map!$H682&amp;""</f>
        <v/>
      </c>
      <c r="B1370" s="66" t="s">
        <v>6250</v>
      </c>
      <c r="C1370" s="53" t="n">
        <v>682</v>
      </c>
      <c r="D1370" s="53" t="s">
        <v>6251</v>
      </c>
      <c r="E1370" s="53" t="s">
        <v>6251</v>
      </c>
    </row>
    <row r="1371" customFormat="false" ht="15" hidden="false" customHeight="false" outlineLevel="0" collapsed="false">
      <c r="A1371" s="85" t="str">
        <f aca="false">Gov_Map!$H683&amp;""</f>
        <v/>
      </c>
      <c r="B1371" s="66" t="s">
        <v>6250</v>
      </c>
      <c r="C1371" s="53" t="n">
        <v>683</v>
      </c>
      <c r="D1371" s="53" t="s">
        <v>6251</v>
      </c>
      <c r="E1371" s="53" t="s">
        <v>6251</v>
      </c>
    </row>
    <row r="1372" customFormat="false" ht="15" hidden="false" customHeight="false" outlineLevel="0" collapsed="false">
      <c r="A1372" s="85" t="str">
        <f aca="false">Gov_Map!$H684&amp;""</f>
        <v/>
      </c>
      <c r="B1372" s="66" t="s">
        <v>6250</v>
      </c>
      <c r="C1372" s="53" t="n">
        <v>684</v>
      </c>
      <c r="D1372" s="53" t="s">
        <v>6251</v>
      </c>
      <c r="E1372" s="53" t="s">
        <v>6251</v>
      </c>
    </row>
    <row r="1373" customFormat="false" ht="15" hidden="false" customHeight="false" outlineLevel="0" collapsed="false">
      <c r="A1373" s="85" t="str">
        <f aca="false">Gov_Map!$H685&amp;""</f>
        <v/>
      </c>
      <c r="B1373" s="66" t="s">
        <v>6250</v>
      </c>
      <c r="C1373" s="53" t="n">
        <v>685</v>
      </c>
      <c r="D1373" s="53" t="s">
        <v>6251</v>
      </c>
      <c r="E1373" s="53" t="s">
        <v>6251</v>
      </c>
    </row>
    <row r="1374" customFormat="false" ht="15" hidden="false" customHeight="false" outlineLevel="0" collapsed="false">
      <c r="A1374" s="85" t="str">
        <f aca="false">Gov_Map!$H686&amp;""</f>
        <v/>
      </c>
      <c r="B1374" s="66" t="s">
        <v>6250</v>
      </c>
      <c r="C1374" s="53" t="n">
        <v>686</v>
      </c>
      <c r="D1374" s="53" t="s">
        <v>6251</v>
      </c>
      <c r="E1374" s="53" t="s">
        <v>6251</v>
      </c>
    </row>
    <row r="1375" customFormat="false" ht="15" hidden="false" customHeight="false" outlineLevel="0" collapsed="false">
      <c r="A1375" s="85" t="str">
        <f aca="false">Gov_Map!$H687&amp;""</f>
        <v/>
      </c>
      <c r="B1375" s="66" t="s">
        <v>6250</v>
      </c>
      <c r="C1375" s="53" t="n">
        <v>687</v>
      </c>
      <c r="D1375" s="53" t="s">
        <v>6251</v>
      </c>
      <c r="E1375" s="53" t="s">
        <v>6251</v>
      </c>
    </row>
    <row r="1376" customFormat="false" ht="15" hidden="false" customHeight="false" outlineLevel="0" collapsed="false">
      <c r="A1376" s="85" t="str">
        <f aca="false">Gov_Map!$H688&amp;""</f>
        <v/>
      </c>
      <c r="B1376" s="66" t="s">
        <v>6250</v>
      </c>
      <c r="C1376" s="53" t="n">
        <v>688</v>
      </c>
      <c r="D1376" s="53" t="s">
        <v>6251</v>
      </c>
      <c r="E1376" s="53" t="s">
        <v>6251</v>
      </c>
    </row>
    <row r="1377" customFormat="false" ht="15" hidden="false" customHeight="false" outlineLevel="0" collapsed="false">
      <c r="A1377" s="85" t="str">
        <f aca="false">Gov_Map!$H689&amp;""</f>
        <v/>
      </c>
      <c r="B1377" s="66" t="s">
        <v>6250</v>
      </c>
      <c r="C1377" s="53" t="n">
        <v>689</v>
      </c>
      <c r="D1377" s="53" t="s">
        <v>6251</v>
      </c>
      <c r="E1377" s="53" t="s">
        <v>6251</v>
      </c>
    </row>
    <row r="1378" customFormat="false" ht="15" hidden="false" customHeight="false" outlineLevel="0" collapsed="false">
      <c r="A1378" s="85" t="str">
        <f aca="false">Gov_Map!$H690&amp;""</f>
        <v/>
      </c>
      <c r="B1378" s="66" t="s">
        <v>6250</v>
      </c>
      <c r="C1378" s="53" t="n">
        <v>690</v>
      </c>
      <c r="D1378" s="53" t="s">
        <v>6251</v>
      </c>
      <c r="E1378" s="53" t="s">
        <v>6251</v>
      </c>
    </row>
    <row r="1379" customFormat="false" ht="15" hidden="false" customHeight="false" outlineLevel="0" collapsed="false">
      <c r="A1379" s="85" t="str">
        <f aca="false">Gov_Map!$H691&amp;""</f>
        <v/>
      </c>
      <c r="B1379" s="66" t="s">
        <v>6250</v>
      </c>
      <c r="C1379" s="53" t="n">
        <v>691</v>
      </c>
      <c r="D1379" s="53" t="s">
        <v>6251</v>
      </c>
      <c r="E1379" s="53" t="s">
        <v>6251</v>
      </c>
    </row>
    <row r="1380" customFormat="false" ht="15" hidden="false" customHeight="false" outlineLevel="0" collapsed="false">
      <c r="A1380" s="85" t="str">
        <f aca="false">Gov_Map!$H692&amp;""</f>
        <v/>
      </c>
      <c r="B1380" s="66" t="s">
        <v>6250</v>
      </c>
      <c r="C1380" s="53" t="n">
        <v>692</v>
      </c>
      <c r="D1380" s="53" t="s">
        <v>6251</v>
      </c>
      <c r="E1380" s="53" t="s">
        <v>6251</v>
      </c>
    </row>
    <row r="1381" customFormat="false" ht="15" hidden="false" customHeight="false" outlineLevel="0" collapsed="false">
      <c r="A1381" s="85" t="str">
        <f aca="false">Gov_Map!$H693&amp;""</f>
        <v/>
      </c>
      <c r="B1381" s="66" t="s">
        <v>6250</v>
      </c>
      <c r="C1381" s="53" t="n">
        <v>693</v>
      </c>
      <c r="D1381" s="53" t="s">
        <v>6251</v>
      </c>
      <c r="E1381" s="53" t="s">
        <v>6251</v>
      </c>
    </row>
    <row r="1382" customFormat="false" ht="15" hidden="false" customHeight="false" outlineLevel="0" collapsed="false">
      <c r="A1382" s="85" t="str">
        <f aca="false">Gov_Map!$H694&amp;""</f>
        <v/>
      </c>
      <c r="B1382" s="66" t="s">
        <v>6250</v>
      </c>
      <c r="C1382" s="53" t="n">
        <v>694</v>
      </c>
      <c r="D1382" s="53" t="s">
        <v>6251</v>
      </c>
      <c r="E1382" s="53" t="s">
        <v>6251</v>
      </c>
    </row>
    <row r="1383" customFormat="false" ht="15" hidden="false" customHeight="false" outlineLevel="0" collapsed="false">
      <c r="A1383" s="85" t="str">
        <f aca="false">Gov_Map!$H695&amp;""</f>
        <v/>
      </c>
      <c r="B1383" s="66" t="s">
        <v>6250</v>
      </c>
      <c r="C1383" s="53" t="n">
        <v>695</v>
      </c>
      <c r="D1383" s="53" t="s">
        <v>6251</v>
      </c>
      <c r="E1383" s="53" t="s">
        <v>6251</v>
      </c>
    </row>
    <row r="1384" customFormat="false" ht="15" hidden="false" customHeight="false" outlineLevel="0" collapsed="false">
      <c r="A1384" s="85" t="str">
        <f aca="false">Gov_Map!$H696&amp;""</f>
        <v/>
      </c>
      <c r="B1384" s="66" t="s">
        <v>6250</v>
      </c>
      <c r="C1384" s="53" t="n">
        <v>696</v>
      </c>
      <c r="D1384" s="53" t="s">
        <v>6251</v>
      </c>
      <c r="E1384" s="53" t="s">
        <v>6251</v>
      </c>
    </row>
    <row r="1385" customFormat="false" ht="15" hidden="false" customHeight="false" outlineLevel="0" collapsed="false">
      <c r="A1385" s="85" t="str">
        <f aca="false">Gov_Map!$H697&amp;""</f>
        <v/>
      </c>
      <c r="B1385" s="66" t="s">
        <v>6250</v>
      </c>
      <c r="C1385" s="53" t="n">
        <v>697</v>
      </c>
      <c r="D1385" s="53" t="s">
        <v>6251</v>
      </c>
      <c r="E1385" s="53" t="s">
        <v>6251</v>
      </c>
    </row>
    <row r="1386" customFormat="false" ht="15" hidden="false" customHeight="false" outlineLevel="0" collapsed="false">
      <c r="A1386" s="85" t="str">
        <f aca="false">Gov_Map!$H698&amp;""</f>
        <v/>
      </c>
      <c r="B1386" s="66" t="s">
        <v>6250</v>
      </c>
      <c r="C1386" s="53" t="n">
        <v>698</v>
      </c>
      <c r="D1386" s="53" t="s">
        <v>6251</v>
      </c>
      <c r="E1386" s="53" t="s">
        <v>6251</v>
      </c>
    </row>
    <row r="1387" customFormat="false" ht="15" hidden="false" customHeight="false" outlineLevel="0" collapsed="false">
      <c r="A1387" s="85" t="str">
        <f aca="false">Gov_Map!$H699&amp;""</f>
        <v/>
      </c>
      <c r="B1387" s="66" t="s">
        <v>6250</v>
      </c>
      <c r="C1387" s="53" t="n">
        <v>699</v>
      </c>
      <c r="D1387" s="53" t="s">
        <v>6251</v>
      </c>
      <c r="E1387" s="53" t="s">
        <v>6251</v>
      </c>
    </row>
    <row r="1388" customFormat="false" ht="15" hidden="false" customHeight="false" outlineLevel="0" collapsed="false">
      <c r="A1388" s="85" t="str">
        <f aca="false">Gov_Map!$H700&amp;""</f>
        <v/>
      </c>
      <c r="B1388" s="66" t="s">
        <v>6250</v>
      </c>
      <c r="C1388" s="53" t="n">
        <v>700</v>
      </c>
      <c r="D1388" s="53" t="s">
        <v>6251</v>
      </c>
      <c r="E1388" s="53" t="s">
        <v>6251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6252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22" t="s">
        <v>564</v>
      </c>
      <c r="B3" s="12" t="s">
        <v>334</v>
      </c>
      <c r="C3" s="12" t="s">
        <v>6253</v>
      </c>
      <c r="D3" s="12" t="s">
        <v>65</v>
      </c>
      <c r="E3" s="12" t="s">
        <v>4419</v>
      </c>
      <c r="F3" s="12" t="s">
        <v>428</v>
      </c>
      <c r="G3" s="12" t="s">
        <v>6254</v>
      </c>
    </row>
    <row r="4" customFormat="false" ht="29.25" hidden="false" customHeight="true" outlineLevel="0" collapsed="false">
      <c r="A4" s="15" t="s">
        <v>4720</v>
      </c>
      <c r="B4" s="15" t="s">
        <v>6255</v>
      </c>
      <c r="C4" s="19" t="s">
        <v>6256</v>
      </c>
      <c r="D4" s="15" t="s">
        <v>113</v>
      </c>
      <c r="E4" s="15" t="s">
        <v>4874</v>
      </c>
      <c r="F4" s="6" t="s">
        <v>4875</v>
      </c>
      <c r="G4" s="20" t="s">
        <v>6257</v>
      </c>
    </row>
    <row r="5" customFormat="false" ht="15" hidden="false" customHeight="true" outlineLevel="0" collapsed="false">
      <c r="A5" s="15" t="s">
        <v>4729</v>
      </c>
      <c r="B5" s="15" t="s">
        <v>6258</v>
      </c>
      <c r="C5" s="19" t="s">
        <v>6259</v>
      </c>
      <c r="D5" s="15" t="s">
        <v>82</v>
      </c>
      <c r="E5" s="15" t="s">
        <v>4886</v>
      </c>
      <c r="F5" s="6" t="s">
        <v>4887</v>
      </c>
      <c r="G5" s="20" t="s">
        <v>6257</v>
      </c>
    </row>
    <row r="6" customFormat="false" ht="15" hidden="false" customHeight="true" outlineLevel="0" collapsed="false">
      <c r="A6" s="15" t="s">
        <v>4904</v>
      </c>
      <c r="B6" s="15" t="s">
        <v>6260</v>
      </c>
      <c r="C6" s="6" t="s">
        <v>6261</v>
      </c>
      <c r="D6" s="15" t="s">
        <v>183</v>
      </c>
      <c r="E6" s="15" t="s">
        <v>4900</v>
      </c>
      <c r="F6" s="6" t="s">
        <v>4909</v>
      </c>
      <c r="G6" s="20" t="s">
        <v>6257</v>
      </c>
    </row>
    <row r="7" customFormat="false" ht="15" hidden="false" customHeight="true" outlineLevel="0" collapsed="false">
      <c r="A7" s="15" t="s">
        <v>4920</v>
      </c>
      <c r="B7" s="15" t="s">
        <v>6262</v>
      </c>
      <c r="C7" s="6" t="s">
        <v>6263</v>
      </c>
      <c r="D7" s="15" t="s">
        <v>183</v>
      </c>
      <c r="E7" s="15" t="s">
        <v>4916</v>
      </c>
      <c r="F7" s="6" t="s">
        <v>4917</v>
      </c>
      <c r="G7" s="20" t="s">
        <v>6257</v>
      </c>
    </row>
    <row r="8" customFormat="false" ht="15" hidden="false" customHeight="true" outlineLevel="0" collapsed="false">
      <c r="A8" s="15" t="s">
        <v>4936</v>
      </c>
      <c r="B8" s="15" t="s">
        <v>6264</v>
      </c>
      <c r="C8" s="6" t="s">
        <v>6265</v>
      </c>
      <c r="D8" s="15" t="s">
        <v>183</v>
      </c>
      <c r="E8" s="15" t="s">
        <v>1190</v>
      </c>
      <c r="F8" s="6" t="s">
        <v>4933</v>
      </c>
      <c r="G8" s="20" t="s">
        <v>6257</v>
      </c>
    </row>
    <row r="9" customFormat="false" ht="15" hidden="false" customHeight="true" outlineLevel="0" collapsed="false">
      <c r="A9" s="15" t="s">
        <v>4943</v>
      </c>
      <c r="B9" s="15" t="s">
        <v>6266</v>
      </c>
      <c r="C9" s="6" t="s">
        <v>6267</v>
      </c>
      <c r="D9" s="15" t="s">
        <v>183</v>
      </c>
      <c r="E9" s="15" t="s">
        <v>1190</v>
      </c>
      <c r="F9" s="6" t="s">
        <v>4940</v>
      </c>
      <c r="G9" s="20" t="s">
        <v>6257</v>
      </c>
    </row>
    <row r="10" customFormat="false" ht="29.25" hidden="false" customHeight="true" outlineLevel="0" collapsed="false">
      <c r="A10" s="15" t="s">
        <v>4951</v>
      </c>
      <c r="B10" s="15" t="s">
        <v>6268</v>
      </c>
      <c r="C10" s="6" t="s">
        <v>6269</v>
      </c>
      <c r="D10" s="15" t="s">
        <v>183</v>
      </c>
      <c r="E10" s="15" t="s">
        <v>4886</v>
      </c>
      <c r="F10" s="6" t="s">
        <v>4956</v>
      </c>
      <c r="G10" s="20" t="s">
        <v>6257</v>
      </c>
    </row>
    <row r="11" customFormat="false" ht="15" hidden="false" customHeight="true" outlineLevel="0" collapsed="false">
      <c r="A11" s="15" t="s">
        <v>4973</v>
      </c>
      <c r="B11" s="15" t="s">
        <v>4967</v>
      </c>
      <c r="C11" s="6" t="s">
        <v>6270</v>
      </c>
      <c r="D11" s="15" t="s">
        <v>183</v>
      </c>
      <c r="E11" s="15" t="s">
        <v>1187</v>
      </c>
      <c r="F11" s="6" t="s">
        <v>6271</v>
      </c>
      <c r="G11" s="20" t="s">
        <v>6257</v>
      </c>
    </row>
    <row r="12" customFormat="false" ht="15" hidden="false" customHeight="true" outlineLevel="0" collapsed="false">
      <c r="A12" s="15" t="s">
        <v>4983</v>
      </c>
      <c r="B12" s="15" t="s">
        <v>6272</v>
      </c>
      <c r="C12" s="6" t="s">
        <v>6273</v>
      </c>
      <c r="D12" s="15" t="s">
        <v>183</v>
      </c>
      <c r="E12" s="15" t="s">
        <v>6274</v>
      </c>
      <c r="F12" s="6" t="s">
        <v>4979</v>
      </c>
      <c r="G12" s="20" t="s">
        <v>6257</v>
      </c>
    </row>
    <row r="13" customFormat="false" ht="15" hidden="false" customHeight="true" outlineLevel="0" collapsed="false">
      <c r="A13" s="15" t="s">
        <v>5215</v>
      </c>
      <c r="B13" s="20" t="s">
        <v>6275</v>
      </c>
      <c r="C13" s="6" t="s">
        <v>6276</v>
      </c>
      <c r="D13" s="15" t="s">
        <v>82</v>
      </c>
      <c r="E13" s="15" t="s">
        <v>4886</v>
      </c>
      <c r="F13" s="6" t="s">
        <v>5212</v>
      </c>
      <c r="G13" s="20" t="s">
        <v>6257</v>
      </c>
    </row>
    <row r="14" customFormat="false" ht="15" hidden="false" customHeight="true" outlineLevel="0" collapsed="false">
      <c r="A14" s="15" t="s">
        <v>5001</v>
      </c>
      <c r="B14" s="15" t="s">
        <v>6277</v>
      </c>
      <c r="C14" s="19" t="s">
        <v>6278</v>
      </c>
      <c r="D14" s="15" t="s">
        <v>183</v>
      </c>
      <c r="E14" s="15" t="s">
        <v>4886</v>
      </c>
      <c r="F14" s="6" t="s">
        <v>4998</v>
      </c>
      <c r="G14" s="20" t="s">
        <v>6279</v>
      </c>
    </row>
    <row r="15" customFormat="false" ht="29.25" hidden="false" customHeight="true" outlineLevel="0" collapsed="false">
      <c r="A15" s="15" t="s">
        <v>5227</v>
      </c>
      <c r="B15" s="20" t="s">
        <v>6280</v>
      </c>
      <c r="C15" s="6" t="s">
        <v>6281</v>
      </c>
      <c r="D15" s="15" t="s">
        <v>82</v>
      </c>
      <c r="E15" s="15" t="s">
        <v>4886</v>
      </c>
      <c r="F15" s="6" t="s">
        <v>5225</v>
      </c>
      <c r="G15" s="20" t="s">
        <v>6257</v>
      </c>
    </row>
    <row r="16" customFormat="false" ht="26.25" hidden="false" customHeight="true" outlineLevel="0" collapsed="false">
      <c r="A16" s="15" t="s">
        <v>5240</v>
      </c>
      <c r="B16" s="20" t="s">
        <v>6282</v>
      </c>
      <c r="C16" s="6" t="s">
        <v>6283</v>
      </c>
      <c r="D16" s="15" t="s">
        <v>113</v>
      </c>
      <c r="E16" s="15" t="s">
        <v>4978</v>
      </c>
      <c r="F16" s="6" t="s">
        <v>5237</v>
      </c>
      <c r="G16" s="20" t="s">
        <v>6284</v>
      </c>
    </row>
    <row r="17" customFormat="false" ht="15" hidden="false" customHeight="true" outlineLevel="0" collapsed="false">
      <c r="A17" s="15" t="s">
        <v>6285</v>
      </c>
      <c r="B17" s="15" t="s">
        <v>80</v>
      </c>
      <c r="C17" s="19" t="s">
        <v>6286</v>
      </c>
      <c r="D17" s="15" t="s">
        <v>82</v>
      </c>
      <c r="E17" s="15" t="s">
        <v>585</v>
      </c>
      <c r="F17" s="6" t="s">
        <v>6287</v>
      </c>
      <c r="G17" s="20" t="s">
        <v>6257</v>
      </c>
    </row>
    <row r="18" customFormat="false" ht="29.25" hidden="false" customHeight="true" outlineLevel="0" collapsed="false">
      <c r="A18" s="15" t="s">
        <v>5249</v>
      </c>
      <c r="B18" s="15" t="s">
        <v>6288</v>
      </c>
      <c r="C18" s="6" t="s">
        <v>6289</v>
      </c>
      <c r="D18" s="15" t="s">
        <v>113</v>
      </c>
      <c r="E18" s="15" t="s">
        <v>5005</v>
      </c>
      <c r="F18" s="6" t="s">
        <v>5247</v>
      </c>
      <c r="G18" s="20" t="s">
        <v>6290</v>
      </c>
    </row>
    <row r="19" customFormat="false" ht="15" hidden="false" customHeight="true" outlineLevel="0" collapsed="false">
      <c r="A19" s="15" t="s">
        <v>5264</v>
      </c>
      <c r="B19" s="20" t="s">
        <v>6291</v>
      </c>
      <c r="C19" s="19" t="s">
        <v>6292</v>
      </c>
      <c r="D19" s="15" t="s">
        <v>183</v>
      </c>
      <c r="E19" s="15" t="s">
        <v>5260</v>
      </c>
      <c r="F19" s="6" t="s">
        <v>5261</v>
      </c>
      <c r="G19" s="20" t="s">
        <v>6293</v>
      </c>
    </row>
    <row r="20" customFormat="false" ht="15" hidden="false" customHeight="true" outlineLevel="0" collapsed="false">
      <c r="A20" s="15" t="s">
        <v>5274</v>
      </c>
      <c r="B20" s="15" t="s">
        <v>6294</v>
      </c>
      <c r="C20" s="6" t="s">
        <v>6295</v>
      </c>
      <c r="D20" s="15" t="s">
        <v>183</v>
      </c>
      <c r="E20" s="15" t="s">
        <v>4978</v>
      </c>
      <c r="F20" s="6" t="s">
        <v>5270</v>
      </c>
      <c r="G20" s="20" t="s">
        <v>5269</v>
      </c>
    </row>
    <row r="21" customFormat="false" ht="15" hidden="false" customHeight="true" outlineLevel="0" collapsed="false">
      <c r="A21" s="15" t="s">
        <v>5824</v>
      </c>
      <c r="B21" s="15" t="s">
        <v>6296</v>
      </c>
      <c r="C21" s="6" t="s">
        <v>6297</v>
      </c>
      <c r="D21" s="15" t="s">
        <v>113</v>
      </c>
      <c r="E21" s="15" t="s">
        <v>4978</v>
      </c>
      <c r="F21" s="6" t="s">
        <v>5821</v>
      </c>
      <c r="G21" s="20" t="s">
        <v>6257</v>
      </c>
    </row>
    <row r="22" customFormat="false" ht="15" hidden="false" customHeight="true" outlineLevel="0" collapsed="false">
      <c r="A22" s="15" t="s">
        <v>5834</v>
      </c>
      <c r="B22" s="20" t="s">
        <v>6298</v>
      </c>
      <c r="C22" s="6" t="s">
        <v>6299</v>
      </c>
      <c r="D22" s="15" t="s">
        <v>256</v>
      </c>
      <c r="E22" s="15" t="s">
        <v>1187</v>
      </c>
      <c r="F22" s="6" t="s">
        <v>5830</v>
      </c>
      <c r="G22" s="20" t="s">
        <v>5829</v>
      </c>
    </row>
    <row r="23" customFormat="false" ht="54.75" hidden="false" customHeight="true" outlineLevel="0" collapsed="false">
      <c r="A23" s="6" t="s">
        <v>431</v>
      </c>
      <c r="B23" s="6" t="s">
        <v>6300</v>
      </c>
      <c r="C23" s="6" t="s">
        <v>6301</v>
      </c>
      <c r="D23" s="6" t="s">
        <v>6302</v>
      </c>
      <c r="E23" s="6" t="s">
        <v>4978</v>
      </c>
      <c r="F23" s="6" t="s">
        <v>5540</v>
      </c>
      <c r="G23" s="5" t="s">
        <v>6303</v>
      </c>
    </row>
    <row r="24" customFormat="false" ht="43.5" hidden="false" customHeight="true" outlineLevel="0" collapsed="false">
      <c r="A24" s="6" t="s">
        <v>430</v>
      </c>
      <c r="B24" s="6" t="s">
        <v>6304</v>
      </c>
      <c r="C24" s="6" t="s">
        <v>6305</v>
      </c>
      <c r="D24" s="6" t="s">
        <v>6306</v>
      </c>
      <c r="E24" s="6" t="s">
        <v>5554</v>
      </c>
      <c r="F24" s="6" t="s">
        <v>5555</v>
      </c>
      <c r="G24" s="5" t="s">
        <v>6307</v>
      </c>
    </row>
    <row r="25" customFormat="false" ht="29.25" hidden="false" customHeight="true" outlineLevel="0" collapsed="false">
      <c r="A25" s="6" t="s">
        <v>429</v>
      </c>
      <c r="B25" s="6" t="s">
        <v>6308</v>
      </c>
      <c r="C25" s="6" t="s">
        <v>6309</v>
      </c>
      <c r="D25" s="6" t="s">
        <v>6310</v>
      </c>
      <c r="E25" s="5" t="s">
        <v>6311</v>
      </c>
      <c r="F25" s="6" t="s">
        <v>5578</v>
      </c>
      <c r="G25" s="5" t="s">
        <v>6312</v>
      </c>
    </row>
    <row r="26" customFormat="false" ht="29.25" hidden="false" customHeight="true" outlineLevel="0" collapsed="false">
      <c r="A26" s="6" t="s">
        <v>432</v>
      </c>
      <c r="B26" s="6" t="s">
        <v>6313</v>
      </c>
      <c r="C26" s="6" t="s">
        <v>6314</v>
      </c>
      <c r="D26" s="6" t="s">
        <v>6315</v>
      </c>
      <c r="E26" s="6" t="s">
        <v>5600</v>
      </c>
      <c r="F26" s="6" t="s">
        <v>5601</v>
      </c>
      <c r="G26" s="5" t="s">
        <v>6316</v>
      </c>
    </row>
    <row r="27" customFormat="false" ht="29.25" hidden="false" customHeight="true" outlineLevel="0" collapsed="false">
      <c r="A27" s="6" t="s">
        <v>5614</v>
      </c>
      <c r="B27" s="6" t="s">
        <v>6317</v>
      </c>
      <c r="C27" s="6" t="s">
        <v>6318</v>
      </c>
      <c r="D27" s="6" t="s">
        <v>6315</v>
      </c>
      <c r="E27" s="6" t="s">
        <v>1190</v>
      </c>
      <c r="F27" s="6" t="s">
        <v>5611</v>
      </c>
      <c r="G27" s="5" t="s">
        <v>6319</v>
      </c>
    </row>
    <row r="28" customFormat="false" ht="29.25" hidden="false" customHeight="true" outlineLevel="0" collapsed="false">
      <c r="A28" s="6" t="s">
        <v>6085</v>
      </c>
      <c r="B28" s="6" t="s">
        <v>6320</v>
      </c>
      <c r="C28" s="6" t="s">
        <v>6321</v>
      </c>
      <c r="D28" s="6" t="s">
        <v>6322</v>
      </c>
      <c r="E28" s="6" t="s">
        <v>5402</v>
      </c>
      <c r="F28" s="6" t="s">
        <v>6082</v>
      </c>
      <c r="G28" s="5" t="s">
        <v>6323</v>
      </c>
    </row>
    <row r="29" customFormat="false" ht="54.75" hidden="false" customHeight="true" outlineLevel="0" collapsed="false">
      <c r="A29" s="6" t="s">
        <v>5625</v>
      </c>
      <c r="B29" s="6" t="s">
        <v>6324</v>
      </c>
      <c r="C29" s="6" t="s">
        <v>6325</v>
      </c>
      <c r="D29" s="6" t="s">
        <v>6326</v>
      </c>
      <c r="E29" s="6" t="s">
        <v>1187</v>
      </c>
      <c r="F29" s="6" t="s">
        <v>5622</v>
      </c>
      <c r="G29" s="5" t="s">
        <v>6327</v>
      </c>
    </row>
    <row r="30" customFormat="false" ht="29.25" hidden="false" customHeight="true" outlineLevel="0" collapsed="false">
      <c r="A30" s="6" t="s">
        <v>2538</v>
      </c>
      <c r="B30" s="6" t="s">
        <v>6328</v>
      </c>
      <c r="C30" s="6" t="s">
        <v>6329</v>
      </c>
      <c r="D30" s="6" t="s">
        <v>113</v>
      </c>
      <c r="E30" s="6" t="s">
        <v>4886</v>
      </c>
      <c r="F30" s="6" t="s">
        <v>5282</v>
      </c>
      <c r="G30" s="5" t="s">
        <v>6330</v>
      </c>
    </row>
    <row r="31" customFormat="false" ht="43.5" hidden="false" customHeight="true" outlineLevel="0" collapsed="false">
      <c r="A31" s="6" t="s">
        <v>5010</v>
      </c>
      <c r="B31" s="6" t="s">
        <v>6331</v>
      </c>
      <c r="C31" s="6" t="s">
        <v>6332</v>
      </c>
      <c r="D31" s="6" t="s">
        <v>6333</v>
      </c>
      <c r="E31" s="6" t="s">
        <v>5005</v>
      </c>
      <c r="F31" s="5" t="s">
        <v>5006</v>
      </c>
      <c r="G31" s="5" t="s">
        <v>6334</v>
      </c>
    </row>
    <row r="32" customFormat="false" ht="15" hidden="false" customHeight="true" outlineLevel="0" collapsed="false">
      <c r="A32" s="6" t="s">
        <v>5059</v>
      </c>
      <c r="B32" s="5" t="s">
        <v>6335</v>
      </c>
      <c r="C32" s="6" t="s">
        <v>6336</v>
      </c>
      <c r="D32" s="6" t="s">
        <v>82</v>
      </c>
      <c r="E32" s="6" t="s">
        <v>585</v>
      </c>
      <c r="F32" s="5" t="s">
        <v>5056</v>
      </c>
      <c r="G32" s="5" t="s">
        <v>6257</v>
      </c>
    </row>
    <row r="33" customFormat="false" ht="29.25" hidden="false" customHeight="true" outlineLevel="0" collapsed="false">
      <c r="A33" s="6" t="s">
        <v>5658</v>
      </c>
      <c r="B33" s="6" t="s">
        <v>6337</v>
      </c>
      <c r="C33" s="6" t="s">
        <v>6338</v>
      </c>
      <c r="D33" s="6" t="s">
        <v>6339</v>
      </c>
      <c r="E33" s="6" t="s">
        <v>5653</v>
      </c>
      <c r="F33" s="6" t="s">
        <v>5654</v>
      </c>
      <c r="G33" s="5" t="s">
        <v>6323</v>
      </c>
    </row>
    <row r="34" customFormat="false" ht="69" hidden="false" customHeight="true" outlineLevel="0" collapsed="false">
      <c r="A34" s="6" t="s">
        <v>2524</v>
      </c>
      <c r="B34" s="6" t="s">
        <v>6340</v>
      </c>
      <c r="C34" s="6" t="s">
        <v>6341</v>
      </c>
      <c r="D34" s="6" t="s">
        <v>6342</v>
      </c>
      <c r="E34" s="6" t="s">
        <v>5669</v>
      </c>
      <c r="F34" s="6" t="s">
        <v>6343</v>
      </c>
      <c r="G34" s="5" t="s">
        <v>6344</v>
      </c>
    </row>
    <row r="35" customFormat="false" ht="29.25" hidden="false" customHeight="true" outlineLevel="0" collapsed="false">
      <c r="A35" s="6" t="s">
        <v>5685</v>
      </c>
      <c r="B35" s="6" t="s">
        <v>6345</v>
      </c>
      <c r="C35" s="5" t="s">
        <v>6346</v>
      </c>
      <c r="D35" s="6" t="s">
        <v>113</v>
      </c>
      <c r="E35" s="6" t="s">
        <v>6347</v>
      </c>
      <c r="F35" s="6" t="s">
        <v>5682</v>
      </c>
      <c r="G35" s="5" t="s">
        <v>6327</v>
      </c>
    </row>
    <row r="36" customFormat="false" ht="29.25" hidden="false" customHeight="true" outlineLevel="0" collapsed="false">
      <c r="A36" s="6" t="s">
        <v>6348</v>
      </c>
      <c r="B36" s="6" t="s">
        <v>6349</v>
      </c>
      <c r="C36" s="6" t="s">
        <v>6350</v>
      </c>
      <c r="D36" s="6" t="s">
        <v>6351</v>
      </c>
      <c r="E36" s="6" t="s">
        <v>4916</v>
      </c>
      <c r="F36" s="6" t="s">
        <v>6352</v>
      </c>
      <c r="G36" s="5" t="s">
        <v>6353</v>
      </c>
    </row>
    <row r="37" customFormat="false" ht="29.25" hidden="false" customHeight="true" outlineLevel="0" collapsed="false">
      <c r="A37" s="6" t="s">
        <v>5389</v>
      </c>
      <c r="B37" s="6" t="s">
        <v>6354</v>
      </c>
      <c r="C37" s="6" t="s">
        <v>6355</v>
      </c>
      <c r="D37" s="6" t="s">
        <v>6356</v>
      </c>
      <c r="E37" s="6" t="s">
        <v>4900</v>
      </c>
      <c r="F37" s="6" t="s">
        <v>5385</v>
      </c>
      <c r="G37" s="5" t="s">
        <v>6357</v>
      </c>
    </row>
    <row r="38" customFormat="false" ht="29.25" hidden="false" customHeight="true" outlineLevel="0" collapsed="false">
      <c r="A38" s="6" t="s">
        <v>5078</v>
      </c>
      <c r="B38" s="6" t="s">
        <v>6358</v>
      </c>
      <c r="C38" s="6" t="s">
        <v>6359</v>
      </c>
      <c r="D38" s="6" t="s">
        <v>6333</v>
      </c>
      <c r="E38" s="6" t="s">
        <v>4886</v>
      </c>
      <c r="F38" s="6" t="s">
        <v>5074</v>
      </c>
      <c r="G38" s="5" t="s">
        <v>6360</v>
      </c>
    </row>
    <row r="39" customFormat="false" ht="29.25" hidden="false" customHeight="true" outlineLevel="0" collapsed="false">
      <c r="A39" s="6" t="s">
        <v>5711</v>
      </c>
      <c r="B39" s="6" t="s">
        <v>6361</v>
      </c>
      <c r="C39" s="6" t="s">
        <v>6362</v>
      </c>
      <c r="D39" s="6" t="s">
        <v>6363</v>
      </c>
      <c r="E39" s="6" t="s">
        <v>5707</v>
      </c>
      <c r="F39" s="6" t="s">
        <v>5708</v>
      </c>
      <c r="G39" s="5" t="s">
        <v>6257</v>
      </c>
    </row>
    <row r="40" customFormat="false" ht="57.75" hidden="false" customHeight="true" outlineLevel="0" collapsed="false">
      <c r="A40" s="6" t="s">
        <v>6152</v>
      </c>
      <c r="B40" s="6" t="s">
        <v>6364</v>
      </c>
      <c r="C40" s="5" t="s">
        <v>6365</v>
      </c>
      <c r="D40" s="6" t="s">
        <v>6366</v>
      </c>
      <c r="E40" s="6" t="s">
        <v>4916</v>
      </c>
      <c r="F40" s="6" t="s">
        <v>6149</v>
      </c>
      <c r="G40" s="5" t="s">
        <v>6327</v>
      </c>
    </row>
    <row r="41" customFormat="false" ht="29.25" hidden="false" customHeight="true" outlineLevel="0" collapsed="false">
      <c r="A41" s="6" t="s">
        <v>5407</v>
      </c>
      <c r="B41" s="6" t="s">
        <v>6367</v>
      </c>
      <c r="C41" s="6" t="s">
        <v>6368</v>
      </c>
      <c r="D41" s="6" t="s">
        <v>6369</v>
      </c>
      <c r="E41" s="6" t="s">
        <v>5402</v>
      </c>
      <c r="F41" s="6" t="s">
        <v>5403</v>
      </c>
      <c r="G41" s="5" t="s">
        <v>6327</v>
      </c>
    </row>
    <row r="42" customFormat="false" ht="43.5" hidden="false" customHeight="true" outlineLevel="0" collapsed="false">
      <c r="A42" s="6" t="s">
        <v>5418</v>
      </c>
      <c r="B42" s="6" t="s">
        <v>6370</v>
      </c>
      <c r="C42" s="6" t="s">
        <v>6371</v>
      </c>
      <c r="D42" s="6" t="s">
        <v>6372</v>
      </c>
      <c r="E42" s="6" t="s">
        <v>6373</v>
      </c>
      <c r="F42" s="6" t="s">
        <v>5415</v>
      </c>
      <c r="G42" s="5" t="s">
        <v>6374</v>
      </c>
    </row>
    <row r="43" customFormat="false" ht="29.25" hidden="false" customHeight="true" outlineLevel="0" collapsed="false">
      <c r="A43" s="6" t="s">
        <v>5430</v>
      </c>
      <c r="B43" s="6" t="s">
        <v>6375</v>
      </c>
      <c r="C43" s="6" t="s">
        <v>6376</v>
      </c>
      <c r="D43" s="6" t="s">
        <v>6377</v>
      </c>
      <c r="E43" s="6" t="s">
        <v>5426</v>
      </c>
      <c r="F43" s="6" t="s">
        <v>5427</v>
      </c>
      <c r="G43" s="5" t="s">
        <v>6327</v>
      </c>
    </row>
    <row r="44" customFormat="false" ht="40.5" hidden="false" customHeight="true" outlineLevel="0" collapsed="false">
      <c r="A44" s="6" t="s">
        <v>5438</v>
      </c>
      <c r="B44" s="6" t="s">
        <v>6378</v>
      </c>
      <c r="C44" s="5" t="s">
        <v>6379</v>
      </c>
      <c r="D44" s="6" t="s">
        <v>6380</v>
      </c>
      <c r="E44" s="6" t="s">
        <v>5434</v>
      </c>
      <c r="F44" s="6" t="s">
        <v>5435</v>
      </c>
      <c r="G44" s="5" t="s">
        <v>6381</v>
      </c>
    </row>
    <row r="45" customFormat="false" ht="29.25" hidden="false" customHeight="true" outlineLevel="0" collapsed="false">
      <c r="A45" s="6" t="s">
        <v>6382</v>
      </c>
      <c r="B45" s="6" t="s">
        <v>6383</v>
      </c>
      <c r="C45" s="6" t="s">
        <v>6384</v>
      </c>
      <c r="D45" s="6" t="s">
        <v>6385</v>
      </c>
      <c r="E45" s="6" t="s">
        <v>4886</v>
      </c>
      <c r="F45" s="6" t="s">
        <v>6386</v>
      </c>
      <c r="G45" s="5" t="s">
        <v>6387</v>
      </c>
    </row>
    <row r="46" customFormat="false" ht="29.25" hidden="false" customHeight="true" outlineLevel="0" collapsed="false">
      <c r="A46" s="6" t="s">
        <v>949</v>
      </c>
      <c r="B46" s="6" t="s">
        <v>6388</v>
      </c>
      <c r="C46" s="5" t="s">
        <v>6389</v>
      </c>
      <c r="D46" s="6" t="s">
        <v>6356</v>
      </c>
      <c r="E46" s="6" t="s">
        <v>5448</v>
      </c>
      <c r="F46" s="6" t="s">
        <v>5449</v>
      </c>
      <c r="G46" s="6" t="s">
        <v>6390</v>
      </c>
    </row>
    <row r="47" customFormat="false" ht="29.25" hidden="false" customHeight="true" outlineLevel="0" collapsed="false">
      <c r="A47" s="6" t="s">
        <v>5467</v>
      </c>
      <c r="B47" s="6" t="s">
        <v>6391</v>
      </c>
      <c r="C47" s="5" t="s">
        <v>6392</v>
      </c>
      <c r="D47" s="6" t="s">
        <v>6356</v>
      </c>
      <c r="E47" s="6" t="s">
        <v>1187</v>
      </c>
      <c r="F47" s="6" t="s">
        <v>5465</v>
      </c>
      <c r="G47" s="5" t="s">
        <v>6357</v>
      </c>
    </row>
    <row r="48" customFormat="false" ht="29.25" hidden="false" customHeight="true" outlineLevel="0" collapsed="false">
      <c r="A48" s="6" t="s">
        <v>5477</v>
      </c>
      <c r="B48" s="6" t="s">
        <v>6393</v>
      </c>
      <c r="C48" s="5" t="s">
        <v>6394</v>
      </c>
      <c r="D48" s="6" t="s">
        <v>6395</v>
      </c>
      <c r="E48" s="6" t="s">
        <v>5473</v>
      </c>
      <c r="F48" s="6" t="s">
        <v>5474</v>
      </c>
      <c r="G48" s="5" t="s">
        <v>6357</v>
      </c>
    </row>
    <row r="49" customFormat="false" ht="29.25" hidden="false" customHeight="true" outlineLevel="0" collapsed="false">
      <c r="A49" s="6" t="s">
        <v>5482</v>
      </c>
      <c r="B49" s="6" t="s">
        <v>6396</v>
      </c>
      <c r="C49" s="5" t="s">
        <v>6397</v>
      </c>
      <c r="D49" s="6" t="s">
        <v>6398</v>
      </c>
      <c r="E49" s="6" t="s">
        <v>5414</v>
      </c>
      <c r="F49" s="6" t="s">
        <v>5480</v>
      </c>
      <c r="G49" s="5" t="s">
        <v>6374</v>
      </c>
    </row>
    <row r="50" customFormat="false" ht="29.25" hidden="false" customHeight="true" outlineLevel="0" collapsed="false">
      <c r="A50" s="6" t="s">
        <v>5491</v>
      </c>
      <c r="B50" s="6" t="s">
        <v>6399</v>
      </c>
      <c r="C50" s="6" t="s">
        <v>6400</v>
      </c>
      <c r="D50" s="6" t="s">
        <v>6363</v>
      </c>
      <c r="E50" s="6" t="s">
        <v>5434</v>
      </c>
      <c r="F50" s="6" t="s">
        <v>5488</v>
      </c>
      <c r="G50" s="5" t="s">
        <v>6327</v>
      </c>
    </row>
    <row r="51" customFormat="false" ht="29.25" hidden="false" customHeight="true" outlineLevel="0" collapsed="false">
      <c r="A51" s="6" t="s">
        <v>5725</v>
      </c>
      <c r="B51" s="6" t="s">
        <v>6401</v>
      </c>
      <c r="C51" s="6" t="s">
        <v>6402</v>
      </c>
      <c r="D51" s="6" t="s">
        <v>6403</v>
      </c>
      <c r="E51" s="6" t="s">
        <v>6404</v>
      </c>
      <c r="F51" s="6" t="s">
        <v>5722</v>
      </c>
      <c r="G51" s="5" t="s">
        <v>6405</v>
      </c>
    </row>
    <row r="52" customFormat="false" ht="29.25" hidden="false" customHeight="true" outlineLevel="0" collapsed="false">
      <c r="A52" s="6" t="s">
        <v>5647</v>
      </c>
      <c r="B52" s="6" t="s">
        <v>6406</v>
      </c>
      <c r="C52" s="6" t="s">
        <v>6407</v>
      </c>
      <c r="D52" s="6" t="s">
        <v>6356</v>
      </c>
      <c r="E52" s="6" t="s">
        <v>5643</v>
      </c>
      <c r="F52" s="6" t="s">
        <v>5644</v>
      </c>
      <c r="G52" s="5" t="s">
        <v>6257</v>
      </c>
    </row>
    <row r="53" customFormat="false" ht="29.25" hidden="false" customHeight="true" outlineLevel="0" collapsed="false">
      <c r="A53" s="6" t="s">
        <v>5843</v>
      </c>
      <c r="B53" s="6" t="s">
        <v>6408</v>
      </c>
      <c r="C53" s="6" t="s">
        <v>6409</v>
      </c>
      <c r="D53" s="6" t="s">
        <v>113</v>
      </c>
      <c r="E53" s="6" t="s">
        <v>1178</v>
      </c>
      <c r="F53" s="6" t="s">
        <v>5840</v>
      </c>
      <c r="G53" s="5" t="s">
        <v>6327</v>
      </c>
    </row>
    <row r="54" customFormat="false" ht="72" hidden="false" customHeight="true" outlineLevel="0" collapsed="false">
      <c r="A54" s="6" t="s">
        <v>5874</v>
      </c>
      <c r="B54" s="6" t="s">
        <v>6410</v>
      </c>
      <c r="C54" s="6" t="s">
        <v>6411</v>
      </c>
      <c r="D54" s="6" t="s">
        <v>6412</v>
      </c>
      <c r="E54" s="6" t="s">
        <v>6413</v>
      </c>
      <c r="F54" s="6" t="s">
        <v>5871</v>
      </c>
      <c r="G54" s="5" t="s">
        <v>6414</v>
      </c>
    </row>
    <row r="55" customFormat="false" ht="29.25" hidden="false" customHeight="true" outlineLevel="0" collapsed="false">
      <c r="A55" s="6" t="s">
        <v>2578</v>
      </c>
      <c r="B55" s="6" t="s">
        <v>6415</v>
      </c>
      <c r="C55" s="6" t="s">
        <v>6416</v>
      </c>
      <c r="D55" s="6" t="s">
        <v>113</v>
      </c>
      <c r="E55" s="6" t="s">
        <v>1199</v>
      </c>
      <c r="F55" s="6" t="s">
        <v>5906</v>
      </c>
      <c r="G55" s="5" t="s">
        <v>6417</v>
      </c>
    </row>
    <row r="56" customFormat="false" ht="29.25" hidden="false" customHeight="true" outlineLevel="0" collapsed="false">
      <c r="A56" s="6" t="s">
        <v>5939</v>
      </c>
      <c r="B56" s="6" t="s">
        <v>6418</v>
      </c>
      <c r="C56" s="6" t="s">
        <v>6419</v>
      </c>
      <c r="D56" s="6" t="s">
        <v>113</v>
      </c>
      <c r="E56" s="6" t="s">
        <v>1199</v>
      </c>
      <c r="F56" s="6" t="s">
        <v>5936</v>
      </c>
      <c r="G56" s="5" t="s">
        <v>6307</v>
      </c>
    </row>
    <row r="57" customFormat="false" ht="43.5" hidden="false" customHeight="true" outlineLevel="0" collapsed="false">
      <c r="A57" s="6" t="s">
        <v>5961</v>
      </c>
      <c r="B57" s="6" t="s">
        <v>6420</v>
      </c>
      <c r="C57" s="6" t="s">
        <v>6421</v>
      </c>
      <c r="D57" s="6" t="s">
        <v>6422</v>
      </c>
      <c r="E57" s="6" t="s">
        <v>6413</v>
      </c>
      <c r="F57" s="6" t="s">
        <v>5958</v>
      </c>
      <c r="G57" s="5" t="s">
        <v>6423</v>
      </c>
    </row>
    <row r="58" customFormat="false" ht="54.75" hidden="false" customHeight="true" outlineLevel="0" collapsed="false">
      <c r="A58" s="6" t="s">
        <v>5998</v>
      </c>
      <c r="B58" s="6" t="s">
        <v>6424</v>
      </c>
      <c r="C58" s="6" t="s">
        <v>6425</v>
      </c>
      <c r="D58" s="6" t="s">
        <v>6426</v>
      </c>
      <c r="E58" s="6" t="s">
        <v>1187</v>
      </c>
      <c r="F58" s="6" t="s">
        <v>5995</v>
      </c>
      <c r="G58" s="5" t="s">
        <v>6427</v>
      </c>
    </row>
    <row r="59" customFormat="false" ht="29.25" hidden="false" customHeight="true" outlineLevel="0" collapsed="false">
      <c r="A59" s="6" t="s">
        <v>6024</v>
      </c>
      <c r="B59" s="6" t="s">
        <v>6428</v>
      </c>
      <c r="C59" s="6" t="s">
        <v>6429</v>
      </c>
      <c r="D59" s="6" t="s">
        <v>309</v>
      </c>
      <c r="E59" s="6" t="s">
        <v>1187</v>
      </c>
      <c r="F59" s="6" t="s">
        <v>6021</v>
      </c>
      <c r="G59" s="5" t="s">
        <v>6430</v>
      </c>
    </row>
    <row r="60" customFormat="false" ht="72" hidden="false" customHeight="true" outlineLevel="0" collapsed="false">
      <c r="A60" s="6" t="s">
        <v>6164</v>
      </c>
      <c r="B60" s="6" t="s">
        <v>6431</v>
      </c>
      <c r="C60" s="5" t="s">
        <v>6432</v>
      </c>
      <c r="D60" s="6" t="s">
        <v>6433</v>
      </c>
      <c r="E60" s="6" t="s">
        <v>4886</v>
      </c>
      <c r="F60" s="6" t="s">
        <v>6161</v>
      </c>
      <c r="G60" s="5" t="s">
        <v>6434</v>
      </c>
    </row>
    <row r="61" customFormat="false" ht="83.25" hidden="false" customHeight="true" outlineLevel="0" collapsed="false">
      <c r="A61" s="6" t="s">
        <v>1526</v>
      </c>
      <c r="B61" s="6" t="s">
        <v>6435</v>
      </c>
      <c r="C61" s="6" t="s">
        <v>6436</v>
      </c>
      <c r="D61" s="6" t="s">
        <v>6437</v>
      </c>
      <c r="E61" s="6" t="s">
        <v>1187</v>
      </c>
      <c r="F61" s="6" t="s">
        <v>6092</v>
      </c>
      <c r="G61" s="6" t="s">
        <v>6438</v>
      </c>
    </row>
    <row r="62" customFormat="false" ht="57.75" hidden="false" customHeight="true" outlineLevel="0" collapsed="false">
      <c r="A62" s="6" t="s">
        <v>1545</v>
      </c>
      <c r="B62" s="6" t="s">
        <v>6439</v>
      </c>
      <c r="C62" s="6" t="s">
        <v>6440</v>
      </c>
      <c r="D62" s="6" t="s">
        <v>6441</v>
      </c>
      <c r="E62" s="6" t="s">
        <v>6442</v>
      </c>
      <c r="F62" s="6" t="s">
        <v>6043</v>
      </c>
      <c r="G62" s="6" t="s">
        <v>6443</v>
      </c>
    </row>
    <row r="63" customFormat="false" ht="40.5" hidden="false" customHeight="true" outlineLevel="0" collapsed="false">
      <c r="A63" s="6" t="s">
        <v>6133</v>
      </c>
      <c r="B63" s="6" t="s">
        <v>6444</v>
      </c>
      <c r="C63" s="6" t="s">
        <v>6445</v>
      </c>
      <c r="D63" s="6" t="s">
        <v>6446</v>
      </c>
      <c r="E63" s="6" t="s">
        <v>1187</v>
      </c>
      <c r="F63" s="6" t="s">
        <v>6130</v>
      </c>
      <c r="G63" s="5" t="s">
        <v>6447</v>
      </c>
    </row>
    <row r="64" customFormat="false" ht="29.25" hidden="false" customHeight="true" outlineLevel="0" collapsed="false">
      <c r="A64" s="6" t="s">
        <v>6143</v>
      </c>
      <c r="B64" s="6" t="s">
        <v>6448</v>
      </c>
      <c r="C64" s="6" t="s">
        <v>6449</v>
      </c>
      <c r="D64" s="6" t="s">
        <v>6450</v>
      </c>
      <c r="E64" s="6" t="s">
        <v>1187</v>
      </c>
      <c r="F64" s="6" t="s">
        <v>6140</v>
      </c>
      <c r="G64" s="5" t="s">
        <v>6451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0" t="s">
        <v>6452</v>
      </c>
    </row>
    <row r="2" customFormat="false" ht="15" hidden="false" customHeight="true" outlineLevel="0" collapsed="false">
      <c r="A2" s="221" t="s">
        <v>6453</v>
      </c>
    </row>
    <row r="3" customFormat="false" ht="15" hidden="false" customHeight="true" outlineLevel="0" collapsed="false">
      <c r="A3" s="37" t="s">
        <v>6454</v>
      </c>
    </row>
    <row r="4" customFormat="false" ht="15" hidden="false" customHeight="true" outlineLevel="0" collapsed="false">
      <c r="A4" s="77" t="s">
        <v>564</v>
      </c>
      <c r="B4" s="211" t="s">
        <v>4419</v>
      </c>
      <c r="C4" s="211" t="s">
        <v>6455</v>
      </c>
      <c r="D4" s="211" t="s">
        <v>6456</v>
      </c>
      <c r="E4" s="211" t="s">
        <v>65</v>
      </c>
      <c r="F4" s="211" t="s">
        <v>6457</v>
      </c>
      <c r="G4" s="77" t="s">
        <v>6458</v>
      </c>
      <c r="H4" s="211" t="s">
        <v>6459</v>
      </c>
      <c r="I4" s="211" t="s">
        <v>6460</v>
      </c>
      <c r="J4" s="211" t="s">
        <v>6461</v>
      </c>
      <c r="K4" s="211" t="s">
        <v>4865</v>
      </c>
      <c r="L4" s="211" t="s">
        <v>6462</v>
      </c>
      <c r="M4" s="211" t="s">
        <v>6463</v>
      </c>
      <c r="N4" s="211" t="s">
        <v>4858</v>
      </c>
      <c r="O4" s="211" t="s">
        <v>6464</v>
      </c>
      <c r="P4" s="211" t="s">
        <v>4597</v>
      </c>
      <c r="Q4" s="211" t="s">
        <v>4855</v>
      </c>
    </row>
    <row r="5" customFormat="false" ht="30" hidden="false" customHeight="true" outlineLevel="0" collapsed="false">
      <c r="A5" s="214" t="s">
        <v>5094</v>
      </c>
      <c r="B5" s="214" t="s">
        <v>4480</v>
      </c>
      <c r="C5" s="223" t="s">
        <v>6465</v>
      </c>
      <c r="D5" s="214" t="s">
        <v>6466</v>
      </c>
      <c r="E5" s="214" t="s">
        <v>183</v>
      </c>
      <c r="F5" s="223" t="s">
        <v>6467</v>
      </c>
      <c r="G5" s="214" t="s">
        <v>6468</v>
      </c>
      <c r="H5" s="214" t="s">
        <v>6469</v>
      </c>
      <c r="I5" s="224" t="s">
        <v>6470</v>
      </c>
      <c r="J5" s="214" t="s">
        <v>6471</v>
      </c>
      <c r="K5" s="223" t="s">
        <v>6472</v>
      </c>
      <c r="L5" s="212" t="s">
        <v>6473</v>
      </c>
      <c r="M5" s="6" t="s">
        <v>6474</v>
      </c>
      <c r="N5" s="36" t="s">
        <v>585</v>
      </c>
      <c r="O5" s="36" t="s">
        <v>585</v>
      </c>
      <c r="P5" s="36" t="s">
        <v>585</v>
      </c>
      <c r="Q5" s="6" t="s">
        <v>585</v>
      </c>
    </row>
    <row r="6" customFormat="false" ht="30" hidden="false" customHeight="true" outlineLevel="0" collapsed="false">
      <c r="A6" s="214" t="s">
        <v>6475</v>
      </c>
      <c r="B6" s="214" t="s">
        <v>4480</v>
      </c>
      <c r="C6" s="223" t="s">
        <v>6476</v>
      </c>
      <c r="D6" s="214" t="s">
        <v>5389</v>
      </c>
      <c r="E6" s="214" t="s">
        <v>113</v>
      </c>
      <c r="F6" s="223" t="s">
        <v>6477</v>
      </c>
      <c r="G6" s="224" t="s">
        <v>6478</v>
      </c>
      <c r="H6" s="214" t="s">
        <v>6479</v>
      </c>
      <c r="I6" s="224" t="s">
        <v>6470</v>
      </c>
      <c r="J6" s="214" t="s">
        <v>6471</v>
      </c>
      <c r="K6" s="223"/>
      <c r="L6" s="212" t="s">
        <v>6473</v>
      </c>
      <c r="M6" s="6" t="s">
        <v>6480</v>
      </c>
      <c r="N6" s="36" t="s">
        <v>585</v>
      </c>
      <c r="O6" s="36" t="s">
        <v>585</v>
      </c>
      <c r="P6" s="36" t="s">
        <v>585</v>
      </c>
      <c r="Q6" s="6" t="s">
        <v>585</v>
      </c>
    </row>
    <row r="7" customFormat="false" ht="30" hidden="false" customHeight="true" outlineLevel="0" collapsed="false">
      <c r="A7" s="214" t="s">
        <v>6481</v>
      </c>
      <c r="B7" s="214" t="s">
        <v>4480</v>
      </c>
      <c r="C7" s="223" t="s">
        <v>6482</v>
      </c>
      <c r="D7" s="214" t="s">
        <v>5078</v>
      </c>
      <c r="E7" s="214" t="s">
        <v>183</v>
      </c>
      <c r="F7" s="223" t="s">
        <v>6483</v>
      </c>
      <c r="G7" s="224" t="s">
        <v>6478</v>
      </c>
      <c r="H7" s="214" t="s">
        <v>6484</v>
      </c>
      <c r="I7" s="224" t="s">
        <v>6470</v>
      </c>
      <c r="J7" s="214" t="s">
        <v>6471</v>
      </c>
      <c r="K7" s="223"/>
      <c r="L7" s="212" t="s">
        <v>6473</v>
      </c>
      <c r="M7" s="6" t="s">
        <v>6485</v>
      </c>
      <c r="N7" s="36" t="s">
        <v>585</v>
      </c>
      <c r="O7" s="36" t="s">
        <v>585</v>
      </c>
      <c r="P7" s="36" t="s">
        <v>585</v>
      </c>
      <c r="Q7" s="6" t="s">
        <v>585</v>
      </c>
    </row>
    <row r="8" customFormat="false" ht="30" hidden="false" customHeight="true" outlineLevel="0" collapsed="false">
      <c r="A8" s="214" t="s">
        <v>6486</v>
      </c>
      <c r="B8" s="214" t="s">
        <v>4480</v>
      </c>
      <c r="C8" s="225" t="s">
        <v>6487</v>
      </c>
      <c r="D8" s="214" t="s">
        <v>6152</v>
      </c>
      <c r="E8" s="214" t="s">
        <v>82</v>
      </c>
      <c r="F8" s="223" t="s">
        <v>6488</v>
      </c>
      <c r="G8" s="224" t="s">
        <v>6478</v>
      </c>
      <c r="H8" s="214" t="s">
        <v>6489</v>
      </c>
      <c r="I8" s="224" t="s">
        <v>6490</v>
      </c>
      <c r="J8" s="214" t="s">
        <v>6471</v>
      </c>
      <c r="K8" s="225" t="s">
        <v>6491</v>
      </c>
      <c r="L8" s="212" t="s">
        <v>6473</v>
      </c>
      <c r="M8" s="6" t="s">
        <v>6492</v>
      </c>
      <c r="N8" s="36" t="s">
        <v>585</v>
      </c>
      <c r="O8" s="36" t="s">
        <v>585</v>
      </c>
      <c r="P8" s="36" t="s">
        <v>585</v>
      </c>
      <c r="Q8" s="6" t="s">
        <v>585</v>
      </c>
    </row>
    <row r="9" customFormat="false" ht="30" hidden="false" customHeight="true" outlineLevel="0" collapsed="false">
      <c r="A9" s="214" t="s">
        <v>6493</v>
      </c>
      <c r="B9" s="214" t="s">
        <v>4480</v>
      </c>
      <c r="C9" s="223" t="s">
        <v>6494</v>
      </c>
      <c r="D9" s="214" t="s">
        <v>5438</v>
      </c>
      <c r="E9" s="214" t="s">
        <v>183</v>
      </c>
      <c r="F9" s="223" t="s">
        <v>6495</v>
      </c>
      <c r="G9" s="214" t="s">
        <v>585</v>
      </c>
      <c r="H9" s="214" t="s">
        <v>6496</v>
      </c>
      <c r="I9" s="224" t="s">
        <v>6497</v>
      </c>
      <c r="J9" s="214" t="s">
        <v>6471</v>
      </c>
      <c r="K9" s="225" t="s">
        <v>6498</v>
      </c>
      <c r="L9" s="212" t="s">
        <v>6473</v>
      </c>
      <c r="M9" s="6" t="s">
        <v>6499</v>
      </c>
      <c r="N9" s="36" t="s">
        <v>585</v>
      </c>
      <c r="O9" s="36" t="s">
        <v>585</v>
      </c>
      <c r="P9" s="36" t="s">
        <v>585</v>
      </c>
      <c r="Q9" s="6" t="s">
        <v>585</v>
      </c>
    </row>
    <row r="10" customFormat="false" ht="30" hidden="false" customHeight="true" outlineLevel="0" collapsed="false">
      <c r="A10" s="214" t="s">
        <v>6500</v>
      </c>
      <c r="B10" s="214" t="s">
        <v>4480</v>
      </c>
      <c r="C10" s="225" t="s">
        <v>6501</v>
      </c>
      <c r="D10" s="214" t="s">
        <v>5407</v>
      </c>
      <c r="E10" s="214" t="s">
        <v>82</v>
      </c>
      <c r="F10" s="223" t="s">
        <v>6502</v>
      </c>
      <c r="G10" s="214" t="s">
        <v>6503</v>
      </c>
      <c r="H10" s="224" t="s">
        <v>6504</v>
      </c>
      <c r="I10" s="224" t="s">
        <v>1193</v>
      </c>
      <c r="J10" s="214" t="s">
        <v>585</v>
      </c>
      <c r="K10" s="223" t="s">
        <v>6505</v>
      </c>
      <c r="L10" s="212" t="s">
        <v>6506</v>
      </c>
      <c r="M10" s="6" t="s">
        <v>4242</v>
      </c>
      <c r="N10" s="36" t="s">
        <v>585</v>
      </c>
      <c r="O10" s="36" t="s">
        <v>585</v>
      </c>
      <c r="P10" s="36" t="s">
        <v>585</v>
      </c>
      <c r="Q10" s="6" t="s">
        <v>585</v>
      </c>
    </row>
    <row r="11" customFormat="false" ht="30" hidden="false" customHeight="true" outlineLevel="0" collapsed="false">
      <c r="A11" s="214" t="s">
        <v>6507</v>
      </c>
      <c r="B11" s="214" t="s">
        <v>1199</v>
      </c>
      <c r="C11" s="225" t="s">
        <v>6508</v>
      </c>
      <c r="D11" s="214" t="s">
        <v>6509</v>
      </c>
      <c r="E11" s="214" t="s">
        <v>183</v>
      </c>
      <c r="F11" s="223" t="s">
        <v>6510</v>
      </c>
      <c r="G11" s="214" t="s">
        <v>6511</v>
      </c>
      <c r="H11" s="214" t="s">
        <v>6512</v>
      </c>
      <c r="I11" s="224" t="s">
        <v>6470</v>
      </c>
      <c r="J11" s="214" t="s">
        <v>6513</v>
      </c>
      <c r="K11" s="223" t="s">
        <v>6514</v>
      </c>
      <c r="L11" s="212" t="s">
        <v>6473</v>
      </c>
      <c r="M11" s="6" t="s">
        <v>6515</v>
      </c>
      <c r="N11" s="36" t="s">
        <v>585</v>
      </c>
      <c r="O11" s="36" t="s">
        <v>585</v>
      </c>
      <c r="P11" s="36" t="s">
        <v>585</v>
      </c>
      <c r="Q11" s="6" t="s">
        <v>585</v>
      </c>
    </row>
    <row r="12" customFormat="false" ht="30" hidden="false" customHeight="true" outlineLevel="0" collapsed="false">
      <c r="A12" s="214" t="s">
        <v>6516</v>
      </c>
      <c r="B12" s="214" t="s">
        <v>1199</v>
      </c>
      <c r="C12" s="225" t="s">
        <v>6517</v>
      </c>
      <c r="D12" s="214" t="s">
        <v>6382</v>
      </c>
      <c r="E12" s="214" t="s">
        <v>113</v>
      </c>
      <c r="F12" s="223" t="s">
        <v>6518</v>
      </c>
      <c r="G12" s="214" t="s">
        <v>6519</v>
      </c>
      <c r="H12" s="214" t="s">
        <v>188</v>
      </c>
      <c r="I12" s="224" t="s">
        <v>6520</v>
      </c>
      <c r="J12" s="214" t="s">
        <v>6471</v>
      </c>
      <c r="K12" s="225" t="s">
        <v>6521</v>
      </c>
      <c r="L12" s="212" t="s">
        <v>6473</v>
      </c>
      <c r="M12" s="6" t="s">
        <v>585</v>
      </c>
      <c r="N12" s="36" t="s">
        <v>585</v>
      </c>
      <c r="O12" s="36" t="s">
        <v>585</v>
      </c>
      <c r="P12" s="36" t="s">
        <v>585</v>
      </c>
      <c r="Q12" s="19" t="s">
        <v>6522</v>
      </c>
    </row>
    <row r="13" customFormat="false" ht="30" hidden="false" customHeight="true" outlineLevel="0" collapsed="false">
      <c r="A13" s="214" t="s">
        <v>6523</v>
      </c>
      <c r="B13" s="214" t="s">
        <v>1199</v>
      </c>
      <c r="C13" s="223" t="s">
        <v>6524</v>
      </c>
      <c r="D13" s="214" t="s">
        <v>5725</v>
      </c>
      <c r="E13" s="214" t="s">
        <v>82</v>
      </c>
      <c r="F13" s="223" t="s">
        <v>6525</v>
      </c>
      <c r="G13" s="214" t="s">
        <v>585</v>
      </c>
      <c r="H13" s="224" t="s">
        <v>6526</v>
      </c>
      <c r="I13" s="224" t="s">
        <v>6497</v>
      </c>
      <c r="J13" s="214" t="s">
        <v>6513</v>
      </c>
      <c r="K13" s="225" t="s">
        <v>6527</v>
      </c>
      <c r="L13" s="212" t="s">
        <v>6473</v>
      </c>
      <c r="M13" s="6" t="s">
        <v>6528</v>
      </c>
      <c r="N13" s="36" t="s">
        <v>585</v>
      </c>
      <c r="O13" s="36" t="s">
        <v>585</v>
      </c>
      <c r="P13" s="36" t="s">
        <v>585</v>
      </c>
      <c r="Q13" s="6" t="s">
        <v>585</v>
      </c>
    </row>
    <row r="14" customFormat="false" ht="30" hidden="false" customHeight="true" outlineLevel="0" collapsed="false">
      <c r="A14" s="214" t="s">
        <v>6529</v>
      </c>
      <c r="B14" s="214" t="s">
        <v>1199</v>
      </c>
      <c r="C14" s="223" t="s">
        <v>6530</v>
      </c>
      <c r="D14" s="214" t="s">
        <v>6164</v>
      </c>
      <c r="E14" s="214" t="s">
        <v>183</v>
      </c>
      <c r="F14" s="223" t="s">
        <v>6531</v>
      </c>
      <c r="G14" s="224" t="s">
        <v>6478</v>
      </c>
      <c r="H14" s="214" t="s">
        <v>6532</v>
      </c>
      <c r="I14" s="224" t="s">
        <v>6470</v>
      </c>
      <c r="J14" s="214" t="s">
        <v>6533</v>
      </c>
      <c r="K14" s="225" t="s">
        <v>6534</v>
      </c>
      <c r="L14" s="212" t="s">
        <v>6473</v>
      </c>
      <c r="M14" s="6" t="s">
        <v>6535</v>
      </c>
      <c r="N14" s="36" t="s">
        <v>585</v>
      </c>
      <c r="O14" s="36" t="s">
        <v>585</v>
      </c>
      <c r="P14" s="36" t="s">
        <v>585</v>
      </c>
      <c r="Q14" s="6" t="s">
        <v>585</v>
      </c>
    </row>
    <row r="15" customFormat="false" ht="30" hidden="false" customHeight="true" outlineLevel="0" collapsed="false">
      <c r="A15" s="214" t="s">
        <v>6536</v>
      </c>
      <c r="B15" s="214" t="s">
        <v>1199</v>
      </c>
      <c r="C15" s="223" t="s">
        <v>6537</v>
      </c>
      <c r="D15" s="214" t="s">
        <v>2578</v>
      </c>
      <c r="E15" s="214" t="s">
        <v>113</v>
      </c>
      <c r="F15" s="223" t="s">
        <v>6538</v>
      </c>
      <c r="G15" s="224" t="s">
        <v>6539</v>
      </c>
      <c r="H15" s="224" t="s">
        <v>6540</v>
      </c>
      <c r="I15" s="224" t="s">
        <v>6470</v>
      </c>
      <c r="J15" s="214" t="s">
        <v>6533</v>
      </c>
      <c r="K15" s="225" t="s">
        <v>6541</v>
      </c>
      <c r="L15" s="212" t="s">
        <v>6473</v>
      </c>
      <c r="M15" s="6" t="s">
        <v>6542</v>
      </c>
      <c r="N15" s="36" t="s">
        <v>585</v>
      </c>
      <c r="O15" s="36" t="s">
        <v>585</v>
      </c>
      <c r="P15" s="36" t="s">
        <v>585</v>
      </c>
      <c r="Q15" s="6" t="s">
        <v>585</v>
      </c>
    </row>
    <row r="16" customFormat="false" ht="30" hidden="false" customHeight="true" outlineLevel="0" collapsed="false">
      <c r="A16" s="214" t="s">
        <v>6543</v>
      </c>
      <c r="B16" s="214" t="s">
        <v>1199</v>
      </c>
      <c r="C16" s="225" t="s">
        <v>6544</v>
      </c>
      <c r="D16" s="214" t="s">
        <v>6545</v>
      </c>
      <c r="E16" s="214" t="s">
        <v>183</v>
      </c>
      <c r="F16" s="223" t="s">
        <v>6546</v>
      </c>
      <c r="G16" s="214" t="s">
        <v>585</v>
      </c>
      <c r="H16" s="224" t="s">
        <v>6547</v>
      </c>
      <c r="I16" s="224" t="s">
        <v>6497</v>
      </c>
      <c r="J16" s="214" t="s">
        <v>6533</v>
      </c>
      <c r="K16" s="225" t="s">
        <v>6548</v>
      </c>
      <c r="L16" s="212" t="s">
        <v>6473</v>
      </c>
      <c r="M16" s="6" t="s">
        <v>6549</v>
      </c>
      <c r="N16" s="36" t="s">
        <v>585</v>
      </c>
      <c r="O16" s="36" t="s">
        <v>585</v>
      </c>
      <c r="P16" s="36" t="s">
        <v>585</v>
      </c>
      <c r="Q16" s="6" t="s">
        <v>585</v>
      </c>
    </row>
    <row r="17" customFormat="false" ht="30" hidden="false" customHeight="true" outlineLevel="0" collapsed="false">
      <c r="A17" s="214" t="s">
        <v>6550</v>
      </c>
      <c r="B17" s="214" t="s">
        <v>1199</v>
      </c>
      <c r="C17" s="223" t="s">
        <v>6551</v>
      </c>
      <c r="D17" s="214" t="s">
        <v>5998</v>
      </c>
      <c r="E17" s="214" t="s">
        <v>309</v>
      </c>
      <c r="F17" s="223" t="s">
        <v>6552</v>
      </c>
      <c r="G17" s="214" t="s">
        <v>585</v>
      </c>
      <c r="H17" s="214" t="s">
        <v>6553</v>
      </c>
      <c r="I17" s="224" t="s">
        <v>6497</v>
      </c>
      <c r="J17" s="214" t="s">
        <v>6533</v>
      </c>
      <c r="K17" s="225" t="s">
        <v>6554</v>
      </c>
      <c r="L17" s="212" t="s">
        <v>6473</v>
      </c>
      <c r="M17" s="6" t="s">
        <v>6555</v>
      </c>
      <c r="N17" s="36" t="s">
        <v>585</v>
      </c>
      <c r="O17" s="36" t="s">
        <v>585</v>
      </c>
      <c r="P17" s="36" t="s">
        <v>585</v>
      </c>
      <c r="Q17" s="6" t="s">
        <v>585</v>
      </c>
    </row>
    <row r="18" customFormat="false" ht="30" hidden="false" customHeight="true" outlineLevel="0" collapsed="false">
      <c r="A18" s="214" t="s">
        <v>6556</v>
      </c>
      <c r="B18" s="214" t="s">
        <v>1199</v>
      </c>
      <c r="C18" s="223" t="s">
        <v>6557</v>
      </c>
      <c r="D18" s="214" t="s">
        <v>5874</v>
      </c>
      <c r="E18" s="214" t="s">
        <v>183</v>
      </c>
      <c r="F18" s="223" t="s">
        <v>6558</v>
      </c>
      <c r="G18" s="214" t="s">
        <v>585</v>
      </c>
      <c r="H18" s="224" t="s">
        <v>6559</v>
      </c>
      <c r="I18" s="224" t="s">
        <v>1193</v>
      </c>
      <c r="J18" s="214" t="s">
        <v>585</v>
      </c>
      <c r="K18" s="225" t="s">
        <v>6560</v>
      </c>
      <c r="L18" s="212" t="s">
        <v>6506</v>
      </c>
      <c r="M18" s="6" t="s">
        <v>6561</v>
      </c>
      <c r="N18" s="36" t="s">
        <v>585</v>
      </c>
      <c r="O18" s="36" t="s">
        <v>585</v>
      </c>
      <c r="P18" s="36" t="s">
        <v>585</v>
      </c>
      <c r="Q18" s="6" t="s">
        <v>585</v>
      </c>
    </row>
    <row r="19" customFormat="false" ht="30" hidden="false" customHeight="true" outlineLevel="0" collapsed="false">
      <c r="A19" s="214" t="s">
        <v>6562</v>
      </c>
      <c r="B19" s="214" t="s">
        <v>1199</v>
      </c>
      <c r="C19" s="223" t="s">
        <v>6563</v>
      </c>
      <c r="D19" s="214" t="s">
        <v>5961</v>
      </c>
      <c r="E19" s="214" t="s">
        <v>183</v>
      </c>
      <c r="F19" s="223" t="s">
        <v>6564</v>
      </c>
      <c r="G19" s="214" t="s">
        <v>585</v>
      </c>
      <c r="H19" s="224" t="s">
        <v>1215</v>
      </c>
      <c r="I19" s="224" t="s">
        <v>1193</v>
      </c>
      <c r="J19" s="214" t="s">
        <v>585</v>
      </c>
      <c r="K19" s="223"/>
      <c r="L19" s="212" t="s">
        <v>6506</v>
      </c>
      <c r="M19" s="6" t="s">
        <v>6565</v>
      </c>
      <c r="N19" s="36" t="s">
        <v>585</v>
      </c>
      <c r="O19" s="36" t="s">
        <v>585</v>
      </c>
      <c r="P19" s="36" t="s">
        <v>585</v>
      </c>
      <c r="Q19" s="6" t="s">
        <v>585</v>
      </c>
    </row>
    <row r="20" customFormat="false" ht="30" hidden="false" customHeight="true" outlineLevel="0" collapsed="false">
      <c r="A20" s="214" t="s">
        <v>6566</v>
      </c>
      <c r="B20" s="214" t="s">
        <v>1199</v>
      </c>
      <c r="C20" s="223" t="s">
        <v>6567</v>
      </c>
      <c r="D20" s="214" t="s">
        <v>1526</v>
      </c>
      <c r="E20" s="214" t="s">
        <v>6568</v>
      </c>
      <c r="F20" s="223" t="s">
        <v>6569</v>
      </c>
      <c r="G20" s="224" t="s">
        <v>6478</v>
      </c>
      <c r="H20" s="214" t="s">
        <v>6570</v>
      </c>
      <c r="I20" s="224" t="s">
        <v>6497</v>
      </c>
      <c r="J20" s="214" t="s">
        <v>6571</v>
      </c>
      <c r="K20" s="225" t="s">
        <v>6572</v>
      </c>
      <c r="L20" s="212" t="s">
        <v>6473</v>
      </c>
      <c r="M20" s="6" t="s">
        <v>6573</v>
      </c>
      <c r="N20" s="36" t="s">
        <v>585</v>
      </c>
      <c r="O20" s="36" t="s">
        <v>585</v>
      </c>
      <c r="P20" s="36" t="s">
        <v>585</v>
      </c>
      <c r="Q20" s="6" t="s">
        <v>585</v>
      </c>
    </row>
    <row r="21" customFormat="false" ht="30" hidden="false" customHeight="true" outlineLevel="0" collapsed="false">
      <c r="A21" s="214" t="s">
        <v>6574</v>
      </c>
      <c r="B21" s="214" t="s">
        <v>1199</v>
      </c>
      <c r="C21" s="223" t="s">
        <v>6575</v>
      </c>
      <c r="D21" s="214" t="s">
        <v>6085</v>
      </c>
      <c r="E21" s="214" t="s">
        <v>183</v>
      </c>
      <c r="F21" s="223" t="s">
        <v>6576</v>
      </c>
      <c r="G21" s="214" t="s">
        <v>585</v>
      </c>
      <c r="H21" s="214" t="s">
        <v>6577</v>
      </c>
      <c r="I21" s="224" t="s">
        <v>6497</v>
      </c>
      <c r="J21" s="214" t="s">
        <v>6571</v>
      </c>
      <c r="K21" s="223" t="s">
        <v>6578</v>
      </c>
      <c r="L21" s="212" t="s">
        <v>6473</v>
      </c>
      <c r="M21" s="6" t="s">
        <v>6579</v>
      </c>
      <c r="N21" s="36" t="s">
        <v>585</v>
      </c>
      <c r="O21" s="36" t="s">
        <v>585</v>
      </c>
      <c r="P21" s="36" t="s">
        <v>585</v>
      </c>
      <c r="Q21" s="6" t="s">
        <v>585</v>
      </c>
    </row>
    <row r="22" customFormat="false" ht="30" hidden="false" customHeight="true" outlineLevel="0" collapsed="false">
      <c r="A22" s="214" t="s">
        <v>6580</v>
      </c>
      <c r="B22" s="214" t="s">
        <v>1199</v>
      </c>
      <c r="C22" s="223" t="s">
        <v>6581</v>
      </c>
      <c r="D22" s="214" t="s">
        <v>1545</v>
      </c>
      <c r="E22" s="214" t="s">
        <v>309</v>
      </c>
      <c r="F22" s="223" t="s">
        <v>6582</v>
      </c>
      <c r="G22" s="214" t="s">
        <v>585</v>
      </c>
      <c r="H22" s="214" t="s">
        <v>6583</v>
      </c>
      <c r="I22" s="224" t="s">
        <v>6497</v>
      </c>
      <c r="J22" s="214" t="s">
        <v>6571</v>
      </c>
      <c r="K22" s="223" t="s">
        <v>6584</v>
      </c>
      <c r="L22" s="212" t="s">
        <v>6473</v>
      </c>
      <c r="M22" s="6" t="s">
        <v>6585</v>
      </c>
      <c r="N22" s="36" t="s">
        <v>585</v>
      </c>
      <c r="O22" s="36" t="s">
        <v>585</v>
      </c>
      <c r="P22" s="36" t="s">
        <v>585</v>
      </c>
      <c r="Q22" s="6" t="s">
        <v>585</v>
      </c>
    </row>
    <row r="23" customFormat="false" ht="30" hidden="false" customHeight="true" outlineLevel="0" collapsed="false">
      <c r="A23" s="214" t="s">
        <v>6586</v>
      </c>
      <c r="B23" s="214" t="s">
        <v>1199</v>
      </c>
      <c r="C23" s="223" t="s">
        <v>6587</v>
      </c>
      <c r="D23" s="214" t="s">
        <v>1545</v>
      </c>
      <c r="E23" s="214" t="s">
        <v>309</v>
      </c>
      <c r="F23" s="223" t="s">
        <v>6588</v>
      </c>
      <c r="G23" s="214" t="s">
        <v>585</v>
      </c>
      <c r="H23" s="214" t="s">
        <v>6589</v>
      </c>
      <c r="I23" s="224" t="s">
        <v>6470</v>
      </c>
      <c r="J23" s="214" t="s">
        <v>6571</v>
      </c>
      <c r="K23" s="223"/>
      <c r="L23" s="212" t="s">
        <v>6473</v>
      </c>
      <c r="M23" s="6" t="s">
        <v>6585</v>
      </c>
      <c r="N23" s="36" t="s">
        <v>585</v>
      </c>
      <c r="O23" s="36" t="s">
        <v>585</v>
      </c>
      <c r="P23" s="36" t="s">
        <v>585</v>
      </c>
      <c r="Q23" s="6" t="s">
        <v>585</v>
      </c>
    </row>
    <row r="24" customFormat="false" ht="30" hidden="false" customHeight="true" outlineLevel="0" collapsed="false">
      <c r="A24" s="214" t="s">
        <v>6590</v>
      </c>
      <c r="B24" s="214" t="s">
        <v>1199</v>
      </c>
      <c r="C24" s="223" t="s">
        <v>6591</v>
      </c>
      <c r="D24" s="214" t="s">
        <v>6143</v>
      </c>
      <c r="E24" s="214" t="s">
        <v>183</v>
      </c>
      <c r="F24" s="223" t="s">
        <v>6592</v>
      </c>
      <c r="G24" s="214" t="s">
        <v>6593</v>
      </c>
      <c r="H24" s="214" t="s">
        <v>6594</v>
      </c>
      <c r="I24" s="224" t="s">
        <v>1193</v>
      </c>
      <c r="J24" s="214" t="s">
        <v>585</v>
      </c>
      <c r="K24" s="225" t="s">
        <v>6595</v>
      </c>
      <c r="L24" s="212" t="s">
        <v>6506</v>
      </c>
      <c r="M24" s="6" t="s">
        <v>6137</v>
      </c>
      <c r="N24" s="36" t="s">
        <v>585</v>
      </c>
      <c r="O24" s="36" t="s">
        <v>585</v>
      </c>
      <c r="P24" s="36" t="s">
        <v>585</v>
      </c>
      <c r="Q24" s="6" t="s">
        <v>585</v>
      </c>
    </row>
    <row r="25" customFormat="false" ht="29.25" hidden="false" customHeight="true" outlineLevel="0" collapsed="false">
      <c r="A25" s="214" t="s">
        <v>6596</v>
      </c>
      <c r="B25" s="214" t="s">
        <v>4547</v>
      </c>
      <c r="C25" s="223" t="s">
        <v>6597</v>
      </c>
      <c r="D25" s="214" t="s">
        <v>4720</v>
      </c>
      <c r="E25" s="224" t="s">
        <v>6598</v>
      </c>
      <c r="F25" s="224" t="s">
        <v>6599</v>
      </c>
      <c r="G25" s="214" t="s">
        <v>585</v>
      </c>
      <c r="H25" s="214" t="s">
        <v>585</v>
      </c>
      <c r="I25" s="224" t="s">
        <v>6600</v>
      </c>
      <c r="J25" s="214" t="s">
        <v>6601</v>
      </c>
      <c r="K25" s="223" t="s">
        <v>6602</v>
      </c>
      <c r="L25" s="212" t="s">
        <v>6473</v>
      </c>
      <c r="M25" s="6" t="s">
        <v>2957</v>
      </c>
      <c r="N25" s="36" t="s">
        <v>585</v>
      </c>
      <c r="O25" s="36" t="s">
        <v>585</v>
      </c>
      <c r="P25" s="36" t="s">
        <v>6603</v>
      </c>
      <c r="Q25" s="212" t="s">
        <v>4876</v>
      </c>
    </row>
    <row r="26" customFormat="false" ht="29.25" hidden="false" customHeight="true" outlineLevel="0" collapsed="false">
      <c r="A26" s="214" t="s">
        <v>4890</v>
      </c>
      <c r="B26" s="214" t="s">
        <v>4547</v>
      </c>
      <c r="C26" s="223" t="s">
        <v>6604</v>
      </c>
      <c r="D26" s="214" t="s">
        <v>4729</v>
      </c>
      <c r="E26" s="224" t="s">
        <v>6598</v>
      </c>
      <c r="F26" s="224" t="s">
        <v>6599</v>
      </c>
      <c r="G26" s="214" t="s">
        <v>585</v>
      </c>
      <c r="H26" s="214" t="s">
        <v>585</v>
      </c>
      <c r="I26" s="224" t="s">
        <v>6600</v>
      </c>
      <c r="J26" s="214" t="s">
        <v>6601</v>
      </c>
      <c r="K26" s="223" t="s">
        <v>6602</v>
      </c>
      <c r="L26" s="212" t="s">
        <v>6473</v>
      </c>
      <c r="M26" s="6" t="s">
        <v>6605</v>
      </c>
      <c r="N26" s="36" t="s">
        <v>585</v>
      </c>
      <c r="O26" s="36" t="s">
        <v>585</v>
      </c>
      <c r="P26" s="36" t="s">
        <v>6603</v>
      </c>
      <c r="Q26" s="212" t="s">
        <v>4876</v>
      </c>
    </row>
    <row r="27" customFormat="false" ht="29.25" hidden="false" customHeight="true" outlineLevel="0" collapsed="false">
      <c r="A27" s="214" t="s">
        <v>6606</v>
      </c>
      <c r="B27" s="214" t="s">
        <v>4547</v>
      </c>
      <c r="C27" s="223" t="s">
        <v>6607</v>
      </c>
      <c r="D27" s="214" t="s">
        <v>4904</v>
      </c>
      <c r="E27" s="224" t="s">
        <v>6598</v>
      </c>
      <c r="F27" s="224" t="s">
        <v>6599</v>
      </c>
      <c r="G27" s="214" t="s">
        <v>585</v>
      </c>
      <c r="H27" s="214" t="s">
        <v>585</v>
      </c>
      <c r="I27" s="224" t="s">
        <v>6600</v>
      </c>
      <c r="J27" s="214" t="s">
        <v>6601</v>
      </c>
      <c r="K27" s="223" t="s">
        <v>6602</v>
      </c>
      <c r="L27" s="212" t="s">
        <v>6473</v>
      </c>
      <c r="M27" s="6" t="s">
        <v>6608</v>
      </c>
      <c r="N27" s="36" t="s">
        <v>585</v>
      </c>
      <c r="O27" s="36" t="s">
        <v>585</v>
      </c>
      <c r="P27" s="36" t="s">
        <v>6603</v>
      </c>
      <c r="Q27" s="212" t="s">
        <v>4876</v>
      </c>
    </row>
    <row r="28" customFormat="false" ht="29.25" hidden="false" customHeight="true" outlineLevel="0" collapsed="false">
      <c r="A28" s="214" t="s">
        <v>4924</v>
      </c>
      <c r="B28" s="214" t="s">
        <v>4547</v>
      </c>
      <c r="C28" s="223" t="s">
        <v>6609</v>
      </c>
      <c r="D28" s="214" t="s">
        <v>4920</v>
      </c>
      <c r="E28" s="224" t="s">
        <v>6598</v>
      </c>
      <c r="F28" s="224" t="s">
        <v>6599</v>
      </c>
      <c r="G28" s="214" t="s">
        <v>585</v>
      </c>
      <c r="H28" s="214" t="s">
        <v>585</v>
      </c>
      <c r="I28" s="224" t="s">
        <v>6600</v>
      </c>
      <c r="J28" s="214" t="s">
        <v>6601</v>
      </c>
      <c r="K28" s="223" t="s">
        <v>6602</v>
      </c>
      <c r="L28" s="212" t="s">
        <v>6473</v>
      </c>
      <c r="M28" s="6" t="s">
        <v>6610</v>
      </c>
      <c r="N28" s="36" t="s">
        <v>585</v>
      </c>
      <c r="O28" s="36" t="s">
        <v>585</v>
      </c>
      <c r="P28" s="36" t="s">
        <v>6603</v>
      </c>
      <c r="Q28" s="212" t="s">
        <v>4876</v>
      </c>
    </row>
    <row r="29" customFormat="false" ht="29.25" hidden="false" customHeight="true" outlineLevel="0" collapsed="false">
      <c r="A29" s="214" t="s">
        <v>4935</v>
      </c>
      <c r="B29" s="214" t="s">
        <v>4547</v>
      </c>
      <c r="C29" s="223" t="s">
        <v>6611</v>
      </c>
      <c r="D29" s="214" t="s">
        <v>4936</v>
      </c>
      <c r="E29" s="224" t="s">
        <v>6598</v>
      </c>
      <c r="F29" s="224" t="s">
        <v>6599</v>
      </c>
      <c r="G29" s="214" t="s">
        <v>585</v>
      </c>
      <c r="H29" s="214" t="s">
        <v>585</v>
      </c>
      <c r="I29" s="224" t="s">
        <v>6600</v>
      </c>
      <c r="J29" s="214" t="s">
        <v>6601</v>
      </c>
      <c r="K29" s="223" t="s">
        <v>6602</v>
      </c>
      <c r="L29" s="212" t="s">
        <v>6473</v>
      </c>
      <c r="M29" s="6" t="s">
        <v>4930</v>
      </c>
      <c r="N29" s="36" t="s">
        <v>585</v>
      </c>
      <c r="O29" s="36" t="s">
        <v>585</v>
      </c>
      <c r="P29" s="36" t="s">
        <v>6603</v>
      </c>
      <c r="Q29" s="212" t="s">
        <v>4876</v>
      </c>
    </row>
    <row r="30" customFormat="false" ht="29.25" hidden="false" customHeight="true" outlineLevel="0" collapsed="false">
      <c r="A30" s="214" t="s">
        <v>6612</v>
      </c>
      <c r="B30" s="214" t="s">
        <v>4547</v>
      </c>
      <c r="C30" s="223" t="s">
        <v>6613</v>
      </c>
      <c r="D30" s="214" t="s">
        <v>4943</v>
      </c>
      <c r="E30" s="224" t="s">
        <v>6598</v>
      </c>
      <c r="F30" s="224" t="s">
        <v>6599</v>
      </c>
      <c r="G30" s="214" t="s">
        <v>585</v>
      </c>
      <c r="H30" s="214" t="s">
        <v>585</v>
      </c>
      <c r="I30" s="224" t="s">
        <v>6600</v>
      </c>
      <c r="J30" s="214" t="s">
        <v>6601</v>
      </c>
      <c r="K30" s="223" t="s">
        <v>6602</v>
      </c>
      <c r="L30" s="212" t="s">
        <v>6473</v>
      </c>
      <c r="M30" s="6" t="s">
        <v>3014</v>
      </c>
      <c r="N30" s="36" t="s">
        <v>585</v>
      </c>
      <c r="O30" s="36" t="s">
        <v>585</v>
      </c>
      <c r="P30" s="36" t="s">
        <v>6603</v>
      </c>
      <c r="Q30" s="212" t="s">
        <v>4876</v>
      </c>
    </row>
    <row r="31" customFormat="false" ht="29.25" hidden="false" customHeight="true" outlineLevel="0" collapsed="false">
      <c r="A31" s="214" t="s">
        <v>4957</v>
      </c>
      <c r="B31" s="214" t="s">
        <v>4547</v>
      </c>
      <c r="C31" s="223" t="s">
        <v>6614</v>
      </c>
      <c r="D31" s="214" t="s">
        <v>4951</v>
      </c>
      <c r="E31" s="224" t="s">
        <v>6598</v>
      </c>
      <c r="F31" s="224" t="s">
        <v>6599</v>
      </c>
      <c r="G31" s="214" t="s">
        <v>585</v>
      </c>
      <c r="H31" s="214" t="s">
        <v>585</v>
      </c>
      <c r="I31" s="224" t="s">
        <v>6600</v>
      </c>
      <c r="J31" s="214" t="s">
        <v>6601</v>
      </c>
      <c r="K31" s="223" t="s">
        <v>6602</v>
      </c>
      <c r="L31" s="212" t="s">
        <v>6473</v>
      </c>
      <c r="M31" s="6" t="s">
        <v>6615</v>
      </c>
      <c r="N31" s="36" t="s">
        <v>585</v>
      </c>
      <c r="O31" s="36" t="s">
        <v>585</v>
      </c>
      <c r="P31" s="36" t="s">
        <v>6603</v>
      </c>
      <c r="Q31" s="212" t="s">
        <v>4876</v>
      </c>
    </row>
    <row r="32" customFormat="false" ht="29.25" hidden="false" customHeight="true" outlineLevel="0" collapsed="false">
      <c r="A32" s="214" t="s">
        <v>6616</v>
      </c>
      <c r="B32" s="214" t="s">
        <v>4547</v>
      </c>
      <c r="C32" s="223" t="s">
        <v>6617</v>
      </c>
      <c r="D32" s="214" t="s">
        <v>4973</v>
      </c>
      <c r="E32" s="224" t="s">
        <v>6598</v>
      </c>
      <c r="F32" s="224" t="s">
        <v>6599</v>
      </c>
      <c r="G32" s="214" t="s">
        <v>585</v>
      </c>
      <c r="H32" s="214" t="s">
        <v>585</v>
      </c>
      <c r="I32" s="224" t="s">
        <v>6600</v>
      </c>
      <c r="J32" s="214" t="s">
        <v>6601</v>
      </c>
      <c r="K32" s="223" t="s">
        <v>6602</v>
      </c>
      <c r="L32" s="212" t="s">
        <v>6473</v>
      </c>
      <c r="M32" s="6" t="s">
        <v>2968</v>
      </c>
      <c r="N32" s="36" t="s">
        <v>585</v>
      </c>
      <c r="O32" s="36" t="s">
        <v>585</v>
      </c>
      <c r="P32" s="36" t="s">
        <v>6603</v>
      </c>
      <c r="Q32" s="212" t="s">
        <v>4876</v>
      </c>
    </row>
    <row r="33" customFormat="false" ht="29.25" hidden="false" customHeight="true" outlineLevel="0" collapsed="false">
      <c r="A33" s="214" t="s">
        <v>4990</v>
      </c>
      <c r="B33" s="214" t="s">
        <v>4547</v>
      </c>
      <c r="C33" s="223" t="s">
        <v>6618</v>
      </c>
      <c r="D33" s="214" t="s">
        <v>4983</v>
      </c>
      <c r="E33" s="224" t="s">
        <v>6598</v>
      </c>
      <c r="F33" s="224" t="s">
        <v>6599</v>
      </c>
      <c r="G33" s="214" t="s">
        <v>585</v>
      </c>
      <c r="H33" s="214" t="s">
        <v>585</v>
      </c>
      <c r="I33" s="224" t="s">
        <v>6600</v>
      </c>
      <c r="J33" s="214" t="s">
        <v>6601</v>
      </c>
      <c r="K33" s="223" t="s">
        <v>6602</v>
      </c>
      <c r="L33" s="212" t="s">
        <v>6473</v>
      </c>
      <c r="M33" s="6" t="s">
        <v>6619</v>
      </c>
      <c r="N33" s="36" t="s">
        <v>585</v>
      </c>
      <c r="O33" s="36" t="s">
        <v>585</v>
      </c>
      <c r="P33" s="36" t="s">
        <v>6603</v>
      </c>
      <c r="Q33" s="212" t="s">
        <v>4980</v>
      </c>
    </row>
    <row r="34" customFormat="false" ht="29.25" hidden="false" customHeight="true" outlineLevel="0" collapsed="false">
      <c r="A34" s="214" t="s">
        <v>5000</v>
      </c>
      <c r="B34" s="214" t="s">
        <v>4547</v>
      </c>
      <c r="C34" s="223" t="s">
        <v>6620</v>
      </c>
      <c r="D34" s="214" t="s">
        <v>5001</v>
      </c>
      <c r="E34" s="224" t="s">
        <v>6598</v>
      </c>
      <c r="F34" s="224" t="s">
        <v>6599</v>
      </c>
      <c r="G34" s="214" t="s">
        <v>585</v>
      </c>
      <c r="H34" s="214" t="s">
        <v>585</v>
      </c>
      <c r="I34" s="224" t="s">
        <v>6600</v>
      </c>
      <c r="J34" s="214" t="s">
        <v>6601</v>
      </c>
      <c r="K34" s="223" t="s">
        <v>6602</v>
      </c>
      <c r="L34" s="212" t="s">
        <v>6473</v>
      </c>
      <c r="M34" s="6" t="s">
        <v>4996</v>
      </c>
      <c r="N34" s="36" t="s">
        <v>585</v>
      </c>
      <c r="O34" s="36" t="s">
        <v>585</v>
      </c>
      <c r="P34" s="36" t="s">
        <v>6603</v>
      </c>
      <c r="Q34" s="212" t="s">
        <v>4876</v>
      </c>
    </row>
    <row r="35" customFormat="false" ht="97.5" hidden="false" customHeight="true" outlineLevel="0" collapsed="false">
      <c r="A35" s="214" t="s">
        <v>5009</v>
      </c>
      <c r="B35" s="214" t="s">
        <v>4547</v>
      </c>
      <c r="C35" s="223" t="s">
        <v>6621</v>
      </c>
      <c r="D35" s="214" t="s">
        <v>5010</v>
      </c>
      <c r="E35" s="224" t="s">
        <v>6598</v>
      </c>
      <c r="F35" s="224" t="s">
        <v>6599</v>
      </c>
      <c r="G35" s="214" t="s">
        <v>585</v>
      </c>
      <c r="H35" s="214" t="s">
        <v>585</v>
      </c>
      <c r="I35" s="224" t="s">
        <v>6600</v>
      </c>
      <c r="J35" s="214" t="s">
        <v>6601</v>
      </c>
      <c r="K35" s="223" t="s">
        <v>6602</v>
      </c>
      <c r="L35" s="212" t="s">
        <v>6473</v>
      </c>
      <c r="M35" s="6" t="s">
        <v>6622</v>
      </c>
      <c r="N35" s="36" t="s">
        <v>585</v>
      </c>
      <c r="O35" s="36" t="s">
        <v>585</v>
      </c>
      <c r="P35" s="36" t="s">
        <v>6603</v>
      </c>
      <c r="Q35" s="212" t="s">
        <v>4876</v>
      </c>
    </row>
    <row r="36" customFormat="false" ht="29.25" hidden="false" customHeight="true" outlineLevel="0" collapsed="false">
      <c r="A36" s="214" t="s">
        <v>5058</v>
      </c>
      <c r="B36" s="214" t="s">
        <v>4547</v>
      </c>
      <c r="C36" s="223" t="s">
        <v>6623</v>
      </c>
      <c r="D36" s="214" t="s">
        <v>5059</v>
      </c>
      <c r="E36" s="224" t="s">
        <v>6598</v>
      </c>
      <c r="F36" s="224" t="s">
        <v>6599</v>
      </c>
      <c r="G36" s="214" t="s">
        <v>585</v>
      </c>
      <c r="H36" s="214" t="s">
        <v>585</v>
      </c>
      <c r="I36" s="224" t="s">
        <v>6600</v>
      </c>
      <c r="J36" s="214" t="s">
        <v>6601</v>
      </c>
      <c r="K36" s="223" t="s">
        <v>6602</v>
      </c>
      <c r="L36" s="212" t="s">
        <v>6473</v>
      </c>
      <c r="M36" s="6" t="s">
        <v>6624</v>
      </c>
      <c r="N36" s="36" t="s">
        <v>585</v>
      </c>
      <c r="O36" s="36" t="s">
        <v>585</v>
      </c>
      <c r="P36" s="36" t="s">
        <v>6603</v>
      </c>
      <c r="Q36" s="212" t="s">
        <v>4980</v>
      </c>
    </row>
    <row r="37" customFormat="false" ht="29.25" hidden="false" customHeight="true" outlineLevel="0" collapsed="false">
      <c r="A37" s="214" t="s">
        <v>6625</v>
      </c>
      <c r="B37" s="214" t="s">
        <v>4547</v>
      </c>
      <c r="C37" s="223" t="s">
        <v>6626</v>
      </c>
      <c r="D37" s="214" t="s">
        <v>5078</v>
      </c>
      <c r="E37" s="224" t="s">
        <v>6598</v>
      </c>
      <c r="F37" s="224" t="s">
        <v>6599</v>
      </c>
      <c r="G37" s="214" t="s">
        <v>585</v>
      </c>
      <c r="H37" s="214" t="s">
        <v>585</v>
      </c>
      <c r="I37" s="224" t="s">
        <v>6600</v>
      </c>
      <c r="J37" s="214" t="s">
        <v>6601</v>
      </c>
      <c r="K37" s="223" t="s">
        <v>6602</v>
      </c>
      <c r="L37" s="212" t="s">
        <v>6473</v>
      </c>
      <c r="M37" s="6" t="s">
        <v>6485</v>
      </c>
      <c r="N37" s="36" t="s">
        <v>585</v>
      </c>
      <c r="O37" s="36" t="s">
        <v>585</v>
      </c>
      <c r="P37" s="36" t="s">
        <v>6627</v>
      </c>
      <c r="Q37" s="212" t="s">
        <v>4876</v>
      </c>
    </row>
    <row r="38" customFormat="false" ht="29.25" hidden="false" customHeight="true" outlineLevel="0" collapsed="false">
      <c r="A38" s="214" t="s">
        <v>6628</v>
      </c>
      <c r="B38" s="214" t="s">
        <v>4547</v>
      </c>
      <c r="C38" s="223" t="s">
        <v>6629</v>
      </c>
      <c r="D38" s="214" t="s">
        <v>5094</v>
      </c>
      <c r="E38" s="224" t="s">
        <v>6598</v>
      </c>
      <c r="F38" s="224" t="s">
        <v>6599</v>
      </c>
      <c r="G38" s="214" t="s">
        <v>585</v>
      </c>
      <c r="H38" s="214" t="s">
        <v>585</v>
      </c>
      <c r="I38" s="224" t="s">
        <v>6600</v>
      </c>
      <c r="J38" s="214" t="s">
        <v>6601</v>
      </c>
      <c r="K38" s="223" t="s">
        <v>6602</v>
      </c>
      <c r="L38" s="212" t="s">
        <v>6473</v>
      </c>
      <c r="M38" s="6" t="s">
        <v>3040</v>
      </c>
      <c r="N38" s="36" t="s">
        <v>585</v>
      </c>
      <c r="O38" s="36" t="s">
        <v>585</v>
      </c>
      <c r="P38" s="36" t="s">
        <v>6603</v>
      </c>
      <c r="Q38" s="212" t="s">
        <v>4876</v>
      </c>
    </row>
    <row r="39" customFormat="false" ht="72" hidden="false" customHeight="true" outlineLevel="0" collapsed="false">
      <c r="A39" s="214" t="s">
        <v>5101</v>
      </c>
      <c r="B39" s="214" t="s">
        <v>4547</v>
      </c>
      <c r="C39" s="223" t="s">
        <v>6630</v>
      </c>
      <c r="D39" s="214" t="s">
        <v>5102</v>
      </c>
      <c r="E39" s="224" t="s">
        <v>6598</v>
      </c>
      <c r="F39" s="224" t="s">
        <v>6599</v>
      </c>
      <c r="G39" s="214" t="s">
        <v>585</v>
      </c>
      <c r="H39" s="214" t="s">
        <v>585</v>
      </c>
      <c r="I39" s="224" t="s">
        <v>6600</v>
      </c>
      <c r="J39" s="214" t="s">
        <v>6601</v>
      </c>
      <c r="K39" s="223" t="s">
        <v>6602</v>
      </c>
      <c r="L39" s="212" t="s">
        <v>6473</v>
      </c>
      <c r="M39" s="6" t="s">
        <v>6631</v>
      </c>
      <c r="N39" s="36" t="s">
        <v>585</v>
      </c>
      <c r="O39" s="36" t="s">
        <v>585</v>
      </c>
      <c r="P39" s="36" t="s">
        <v>6603</v>
      </c>
      <c r="Q39" s="212" t="s">
        <v>4876</v>
      </c>
    </row>
    <row r="40" customFormat="false" ht="29.25" hidden="false" customHeight="true" outlineLevel="0" collapsed="false">
      <c r="A40" s="214" t="s">
        <v>5146</v>
      </c>
      <c r="B40" s="214" t="s">
        <v>4547</v>
      </c>
      <c r="C40" s="223" t="s">
        <v>6632</v>
      </c>
      <c r="D40" s="214" t="s">
        <v>5147</v>
      </c>
      <c r="E40" s="224" t="s">
        <v>6598</v>
      </c>
      <c r="F40" s="224" t="s">
        <v>6599</v>
      </c>
      <c r="G40" s="214" t="s">
        <v>585</v>
      </c>
      <c r="H40" s="214" t="s">
        <v>585</v>
      </c>
      <c r="I40" s="224" t="s">
        <v>6600</v>
      </c>
      <c r="J40" s="214" t="s">
        <v>6601</v>
      </c>
      <c r="K40" s="223" t="s">
        <v>6602</v>
      </c>
      <c r="L40" s="212" t="s">
        <v>6473</v>
      </c>
      <c r="M40" s="6" t="s">
        <v>6633</v>
      </c>
      <c r="N40" s="36" t="s">
        <v>585</v>
      </c>
      <c r="O40" s="36" t="s">
        <v>585</v>
      </c>
      <c r="P40" s="36" t="s">
        <v>6603</v>
      </c>
      <c r="Q40" s="212" t="s">
        <v>4980</v>
      </c>
    </row>
    <row r="41" customFormat="false" ht="29.25" hidden="false" customHeight="true" outlineLevel="0" collapsed="false">
      <c r="A41" s="214" t="s">
        <v>5214</v>
      </c>
      <c r="B41" s="214" t="s">
        <v>4547</v>
      </c>
      <c r="C41" s="223" t="s">
        <v>6634</v>
      </c>
      <c r="D41" s="214" t="s">
        <v>5215</v>
      </c>
      <c r="E41" s="224" t="s">
        <v>6598</v>
      </c>
      <c r="F41" s="224" t="s">
        <v>6599</v>
      </c>
      <c r="G41" s="214" t="s">
        <v>585</v>
      </c>
      <c r="H41" s="214" t="s">
        <v>585</v>
      </c>
      <c r="I41" s="224" t="s">
        <v>6600</v>
      </c>
      <c r="J41" s="214" t="s">
        <v>6601</v>
      </c>
      <c r="K41" s="223" t="s">
        <v>6602</v>
      </c>
      <c r="L41" s="212" t="s">
        <v>6473</v>
      </c>
      <c r="M41" s="6" t="s">
        <v>6635</v>
      </c>
      <c r="N41" s="36" t="s">
        <v>585</v>
      </c>
      <c r="O41" s="36" t="s">
        <v>585</v>
      </c>
      <c r="P41" s="36" t="s">
        <v>6603</v>
      </c>
      <c r="Q41" s="212" t="s">
        <v>4876</v>
      </c>
    </row>
    <row r="42" customFormat="false" ht="29.25" hidden="false" customHeight="true" outlineLevel="0" collapsed="false">
      <c r="A42" s="214" t="s">
        <v>3678</v>
      </c>
      <c r="B42" s="214" t="s">
        <v>4547</v>
      </c>
      <c r="C42" s="223" t="s">
        <v>6636</v>
      </c>
      <c r="D42" s="214" t="s">
        <v>5227</v>
      </c>
      <c r="E42" s="224" t="s">
        <v>6598</v>
      </c>
      <c r="F42" s="224" t="s">
        <v>6599</v>
      </c>
      <c r="G42" s="214" t="s">
        <v>585</v>
      </c>
      <c r="H42" s="214" t="s">
        <v>585</v>
      </c>
      <c r="I42" s="224" t="s">
        <v>6600</v>
      </c>
      <c r="J42" s="214" t="s">
        <v>6601</v>
      </c>
      <c r="K42" s="223" t="s">
        <v>6602</v>
      </c>
      <c r="L42" s="212" t="s">
        <v>6473</v>
      </c>
      <c r="M42" s="6" t="s">
        <v>6637</v>
      </c>
      <c r="N42" s="36" t="s">
        <v>585</v>
      </c>
      <c r="O42" s="36" t="s">
        <v>585</v>
      </c>
      <c r="P42" s="36" t="s">
        <v>6603</v>
      </c>
      <c r="Q42" s="212" t="s">
        <v>4980</v>
      </c>
    </row>
    <row r="43" customFormat="false" ht="29.25" hidden="false" customHeight="true" outlineLevel="0" collapsed="false">
      <c r="A43" s="214" t="s">
        <v>3690</v>
      </c>
      <c r="B43" s="214" t="s">
        <v>4547</v>
      </c>
      <c r="C43" s="223" t="s">
        <v>6638</v>
      </c>
      <c r="D43" s="214" t="s">
        <v>5240</v>
      </c>
      <c r="E43" s="224" t="s">
        <v>6598</v>
      </c>
      <c r="F43" s="224" t="s">
        <v>6599</v>
      </c>
      <c r="G43" s="214" t="s">
        <v>585</v>
      </c>
      <c r="H43" s="214" t="s">
        <v>585</v>
      </c>
      <c r="I43" s="224" t="s">
        <v>6600</v>
      </c>
      <c r="J43" s="214" t="s">
        <v>6601</v>
      </c>
      <c r="K43" s="223" t="s">
        <v>6602</v>
      </c>
      <c r="L43" s="212" t="s">
        <v>6473</v>
      </c>
      <c r="M43" s="6" t="s">
        <v>6639</v>
      </c>
      <c r="N43" s="36" t="s">
        <v>585</v>
      </c>
      <c r="O43" s="36" t="s">
        <v>585</v>
      </c>
      <c r="P43" s="36" t="s">
        <v>6627</v>
      </c>
      <c r="Q43" s="212" t="s">
        <v>4980</v>
      </c>
    </row>
    <row r="44" customFormat="false" ht="29.25" hidden="false" customHeight="true" outlineLevel="0" collapsed="false">
      <c r="A44" s="214" t="s">
        <v>3702</v>
      </c>
      <c r="B44" s="214" t="s">
        <v>4547</v>
      </c>
      <c r="C44" s="223" t="s">
        <v>6640</v>
      </c>
      <c r="D44" s="214" t="s">
        <v>5249</v>
      </c>
      <c r="E44" s="224" t="s">
        <v>6598</v>
      </c>
      <c r="F44" s="224" t="s">
        <v>6599</v>
      </c>
      <c r="G44" s="214" t="s">
        <v>585</v>
      </c>
      <c r="H44" s="214" t="s">
        <v>585</v>
      </c>
      <c r="I44" s="224" t="s">
        <v>6600</v>
      </c>
      <c r="J44" s="214" t="s">
        <v>6601</v>
      </c>
      <c r="K44" s="223" t="s">
        <v>6602</v>
      </c>
      <c r="L44" s="212" t="s">
        <v>6473</v>
      </c>
      <c r="M44" s="6" t="s">
        <v>6641</v>
      </c>
      <c r="N44" s="36" t="s">
        <v>585</v>
      </c>
      <c r="O44" s="36" t="s">
        <v>585</v>
      </c>
      <c r="P44" s="36" t="s">
        <v>6627</v>
      </c>
      <c r="Q44" s="212" t="s">
        <v>4876</v>
      </c>
    </row>
    <row r="45" customFormat="false" ht="29.25" hidden="false" customHeight="true" outlineLevel="0" collapsed="false">
      <c r="A45" s="214" t="s">
        <v>5263</v>
      </c>
      <c r="B45" s="214" t="s">
        <v>4547</v>
      </c>
      <c r="C45" s="223" t="s">
        <v>6642</v>
      </c>
      <c r="D45" s="214" t="s">
        <v>5264</v>
      </c>
      <c r="E45" s="224" t="s">
        <v>6598</v>
      </c>
      <c r="F45" s="224" t="s">
        <v>6599</v>
      </c>
      <c r="G45" s="214" t="s">
        <v>585</v>
      </c>
      <c r="H45" s="214" t="s">
        <v>585</v>
      </c>
      <c r="I45" s="224" t="s">
        <v>6600</v>
      </c>
      <c r="J45" s="214" t="s">
        <v>6601</v>
      </c>
      <c r="K45" s="223" t="s">
        <v>6602</v>
      </c>
      <c r="L45" s="212" t="s">
        <v>6473</v>
      </c>
      <c r="M45" s="6" t="s">
        <v>6643</v>
      </c>
      <c r="N45" s="36" t="s">
        <v>585</v>
      </c>
      <c r="O45" s="36" t="s">
        <v>585</v>
      </c>
      <c r="P45" s="36" t="s">
        <v>6603</v>
      </c>
      <c r="Q45" s="212" t="s">
        <v>4876</v>
      </c>
    </row>
    <row r="46" customFormat="false" ht="29.25" hidden="false" customHeight="true" outlineLevel="0" collapsed="false">
      <c r="A46" s="214" t="s">
        <v>5273</v>
      </c>
      <c r="B46" s="214" t="s">
        <v>4547</v>
      </c>
      <c r="C46" s="223" t="s">
        <v>6644</v>
      </c>
      <c r="D46" s="214" t="s">
        <v>5274</v>
      </c>
      <c r="E46" s="224" t="s">
        <v>6598</v>
      </c>
      <c r="F46" s="224" t="s">
        <v>6599</v>
      </c>
      <c r="G46" s="214" t="s">
        <v>585</v>
      </c>
      <c r="H46" s="214" t="s">
        <v>585</v>
      </c>
      <c r="I46" s="224" t="s">
        <v>6600</v>
      </c>
      <c r="J46" s="214" t="s">
        <v>6601</v>
      </c>
      <c r="K46" s="223" t="s">
        <v>6602</v>
      </c>
      <c r="L46" s="212" t="s">
        <v>6473</v>
      </c>
      <c r="M46" s="6" t="s">
        <v>6645</v>
      </c>
      <c r="N46" s="36" t="s">
        <v>585</v>
      </c>
      <c r="O46" s="36" t="s">
        <v>585</v>
      </c>
      <c r="P46" s="36" t="s">
        <v>6627</v>
      </c>
      <c r="Q46" s="212" t="s">
        <v>4876</v>
      </c>
    </row>
    <row r="47" customFormat="false" ht="54.75" hidden="false" customHeight="true" outlineLevel="0" collapsed="false">
      <c r="A47" s="214" t="s">
        <v>5284</v>
      </c>
      <c r="B47" s="214" t="s">
        <v>4547</v>
      </c>
      <c r="C47" s="223" t="s">
        <v>6646</v>
      </c>
      <c r="D47" s="214" t="s">
        <v>2538</v>
      </c>
      <c r="E47" s="224" t="s">
        <v>6598</v>
      </c>
      <c r="F47" s="224" t="s">
        <v>6599</v>
      </c>
      <c r="G47" s="214" t="s">
        <v>585</v>
      </c>
      <c r="H47" s="214" t="s">
        <v>585</v>
      </c>
      <c r="I47" s="224" t="s">
        <v>6600</v>
      </c>
      <c r="J47" s="214" t="s">
        <v>6601</v>
      </c>
      <c r="K47" s="223" t="s">
        <v>6602</v>
      </c>
      <c r="L47" s="212" t="s">
        <v>6473</v>
      </c>
      <c r="M47" s="6" t="s">
        <v>6647</v>
      </c>
      <c r="N47" s="36" t="s">
        <v>585</v>
      </c>
      <c r="O47" s="36" t="s">
        <v>585</v>
      </c>
      <c r="P47" s="36" t="s">
        <v>6603</v>
      </c>
      <c r="Q47" s="212" t="s">
        <v>4876</v>
      </c>
    </row>
    <row r="48" customFormat="false" ht="168" hidden="false" customHeight="true" outlineLevel="0" collapsed="false">
      <c r="A48" s="214" t="s">
        <v>5313</v>
      </c>
      <c r="B48" s="214" t="s">
        <v>4547</v>
      </c>
      <c r="C48" s="223" t="s">
        <v>6648</v>
      </c>
      <c r="D48" s="214" t="s">
        <v>5308</v>
      </c>
      <c r="E48" s="224" t="s">
        <v>6598</v>
      </c>
      <c r="F48" s="224" t="s">
        <v>6599</v>
      </c>
      <c r="G48" s="214" t="s">
        <v>585</v>
      </c>
      <c r="H48" s="214" t="s">
        <v>585</v>
      </c>
      <c r="I48" s="224" t="s">
        <v>6600</v>
      </c>
      <c r="J48" s="214" t="s">
        <v>6601</v>
      </c>
      <c r="K48" s="223" t="s">
        <v>6602</v>
      </c>
      <c r="L48" s="212" t="s">
        <v>6473</v>
      </c>
      <c r="M48" s="6" t="s">
        <v>6649</v>
      </c>
      <c r="N48" s="36" t="s">
        <v>585</v>
      </c>
      <c r="O48" s="36" t="s">
        <v>585</v>
      </c>
      <c r="P48" s="36" t="s">
        <v>6603</v>
      </c>
      <c r="Q48" s="212" t="s">
        <v>4876</v>
      </c>
    </row>
    <row r="49" customFormat="false" ht="40.5" hidden="false" customHeight="true" outlineLevel="0" collapsed="false">
      <c r="A49" s="214" t="s">
        <v>6650</v>
      </c>
      <c r="B49" s="214" t="s">
        <v>4547</v>
      </c>
      <c r="C49" s="223" t="s">
        <v>6651</v>
      </c>
      <c r="D49" s="214" t="s">
        <v>5389</v>
      </c>
      <c r="E49" s="224" t="s">
        <v>6598</v>
      </c>
      <c r="F49" s="224" t="s">
        <v>6599</v>
      </c>
      <c r="G49" s="214" t="s">
        <v>585</v>
      </c>
      <c r="H49" s="214" t="s">
        <v>585</v>
      </c>
      <c r="I49" s="224" t="s">
        <v>6600</v>
      </c>
      <c r="J49" s="214" t="s">
        <v>6601</v>
      </c>
      <c r="K49" s="223" t="s">
        <v>6602</v>
      </c>
      <c r="L49" s="212" t="s">
        <v>6473</v>
      </c>
      <c r="M49" s="6" t="s">
        <v>6480</v>
      </c>
      <c r="N49" s="36" t="s">
        <v>585</v>
      </c>
      <c r="O49" s="36" t="s">
        <v>585</v>
      </c>
      <c r="P49" s="36" t="s">
        <v>6652</v>
      </c>
      <c r="Q49" s="212" t="s">
        <v>4876</v>
      </c>
    </row>
    <row r="50" customFormat="false" ht="29.25" hidden="false" customHeight="true" outlineLevel="0" collapsed="false">
      <c r="A50" s="214" t="s">
        <v>6653</v>
      </c>
      <c r="B50" s="214" t="s">
        <v>4547</v>
      </c>
      <c r="C50" s="223" t="s">
        <v>6654</v>
      </c>
      <c r="D50" s="214" t="s">
        <v>5407</v>
      </c>
      <c r="E50" s="224" t="s">
        <v>6598</v>
      </c>
      <c r="F50" s="224" t="s">
        <v>6599</v>
      </c>
      <c r="G50" s="214" t="s">
        <v>585</v>
      </c>
      <c r="H50" s="214" t="s">
        <v>585</v>
      </c>
      <c r="I50" s="224" t="s">
        <v>6600</v>
      </c>
      <c r="J50" s="214" t="s">
        <v>6601</v>
      </c>
      <c r="K50" s="223" t="s">
        <v>6602</v>
      </c>
      <c r="L50" s="212" t="s">
        <v>6473</v>
      </c>
      <c r="M50" s="6" t="s">
        <v>4242</v>
      </c>
      <c r="N50" s="36" t="s">
        <v>585</v>
      </c>
      <c r="O50" s="36" t="s">
        <v>585</v>
      </c>
      <c r="P50" s="36" t="s">
        <v>6652</v>
      </c>
      <c r="Q50" s="212" t="s">
        <v>4980</v>
      </c>
    </row>
    <row r="51" customFormat="false" ht="29.25" hidden="false" customHeight="true" outlineLevel="0" collapsed="false">
      <c r="A51" s="214" t="s">
        <v>5417</v>
      </c>
      <c r="B51" s="214" t="s">
        <v>4547</v>
      </c>
      <c r="C51" s="223" t="s">
        <v>6655</v>
      </c>
      <c r="D51" s="214" t="s">
        <v>5418</v>
      </c>
      <c r="E51" s="224" t="s">
        <v>6598</v>
      </c>
      <c r="F51" s="224" t="s">
        <v>6599</v>
      </c>
      <c r="G51" s="214" t="s">
        <v>585</v>
      </c>
      <c r="H51" s="214" t="s">
        <v>585</v>
      </c>
      <c r="I51" s="224" t="s">
        <v>6600</v>
      </c>
      <c r="J51" s="214" t="s">
        <v>6601</v>
      </c>
      <c r="K51" s="223" t="s">
        <v>6602</v>
      </c>
      <c r="L51" s="212" t="s">
        <v>6473</v>
      </c>
      <c r="M51" s="6" t="s">
        <v>2245</v>
      </c>
      <c r="N51" s="36" t="s">
        <v>585</v>
      </c>
      <c r="O51" s="36" t="s">
        <v>585</v>
      </c>
      <c r="P51" s="36" t="s">
        <v>6627</v>
      </c>
      <c r="Q51" s="212" t="s">
        <v>4876</v>
      </c>
    </row>
    <row r="52" customFormat="false" ht="29.25" hidden="false" customHeight="true" outlineLevel="0" collapsed="false">
      <c r="A52" s="214" t="s">
        <v>5429</v>
      </c>
      <c r="B52" s="214" t="s">
        <v>4547</v>
      </c>
      <c r="C52" s="223" t="s">
        <v>6656</v>
      </c>
      <c r="D52" s="214" t="s">
        <v>5430</v>
      </c>
      <c r="E52" s="224" t="s">
        <v>6598</v>
      </c>
      <c r="F52" s="224" t="s">
        <v>6599</v>
      </c>
      <c r="G52" s="214" t="s">
        <v>585</v>
      </c>
      <c r="H52" s="214" t="s">
        <v>585</v>
      </c>
      <c r="I52" s="224" t="s">
        <v>6600</v>
      </c>
      <c r="J52" s="214" t="s">
        <v>6601</v>
      </c>
      <c r="K52" s="223" t="s">
        <v>6602</v>
      </c>
      <c r="L52" s="212" t="s">
        <v>6473</v>
      </c>
      <c r="M52" s="6" t="s">
        <v>5421</v>
      </c>
      <c r="N52" s="36" t="s">
        <v>585</v>
      </c>
      <c r="O52" s="36" t="s">
        <v>585</v>
      </c>
      <c r="P52" s="36" t="s">
        <v>6627</v>
      </c>
      <c r="Q52" s="212" t="s">
        <v>4876</v>
      </c>
    </row>
    <row r="53" customFormat="false" ht="29.25" hidden="false" customHeight="true" outlineLevel="0" collapsed="false">
      <c r="A53" s="214" t="s">
        <v>6657</v>
      </c>
      <c r="B53" s="214" t="s">
        <v>4547</v>
      </c>
      <c r="C53" s="223" t="s">
        <v>6658</v>
      </c>
      <c r="D53" s="214" t="s">
        <v>5438</v>
      </c>
      <c r="E53" s="224" t="s">
        <v>6598</v>
      </c>
      <c r="F53" s="224" t="s">
        <v>6599</v>
      </c>
      <c r="G53" s="214" t="s">
        <v>585</v>
      </c>
      <c r="H53" s="214" t="s">
        <v>585</v>
      </c>
      <c r="I53" s="224" t="s">
        <v>6600</v>
      </c>
      <c r="J53" s="214" t="s">
        <v>6601</v>
      </c>
      <c r="K53" s="223" t="s">
        <v>6602</v>
      </c>
      <c r="L53" s="212" t="s">
        <v>6473</v>
      </c>
      <c r="M53" s="6" t="s">
        <v>6499</v>
      </c>
      <c r="N53" s="36" t="s">
        <v>585</v>
      </c>
      <c r="O53" s="36" t="s">
        <v>585</v>
      </c>
      <c r="P53" s="36" t="s">
        <v>6652</v>
      </c>
      <c r="Q53" s="212" t="s">
        <v>4876</v>
      </c>
    </row>
    <row r="54" customFormat="false" ht="40.5" hidden="false" customHeight="true" outlineLevel="0" collapsed="false">
      <c r="A54" s="214" t="s">
        <v>5451</v>
      </c>
      <c r="B54" s="214" t="s">
        <v>4547</v>
      </c>
      <c r="C54" s="223" t="s">
        <v>6659</v>
      </c>
      <c r="D54" s="214" t="s">
        <v>949</v>
      </c>
      <c r="E54" s="224" t="s">
        <v>6598</v>
      </c>
      <c r="F54" s="224" t="s">
        <v>6599</v>
      </c>
      <c r="G54" s="214" t="s">
        <v>585</v>
      </c>
      <c r="H54" s="214" t="s">
        <v>585</v>
      </c>
      <c r="I54" s="224" t="s">
        <v>6600</v>
      </c>
      <c r="J54" s="214" t="s">
        <v>6601</v>
      </c>
      <c r="K54" s="223" t="s">
        <v>6602</v>
      </c>
      <c r="L54" s="212" t="s">
        <v>6473</v>
      </c>
      <c r="M54" s="6" t="s">
        <v>6660</v>
      </c>
      <c r="N54" s="36" t="s">
        <v>585</v>
      </c>
      <c r="O54" s="36" t="s">
        <v>585</v>
      </c>
      <c r="P54" s="36" t="s">
        <v>6603</v>
      </c>
      <c r="Q54" s="212" t="s">
        <v>4876</v>
      </c>
    </row>
    <row r="55" customFormat="false" ht="29.25" hidden="false" customHeight="true" outlineLevel="0" collapsed="false">
      <c r="A55" s="214" t="s">
        <v>6661</v>
      </c>
      <c r="B55" s="214" t="s">
        <v>4547</v>
      </c>
      <c r="C55" s="223" t="s">
        <v>6662</v>
      </c>
      <c r="D55" s="214" t="s">
        <v>5467</v>
      </c>
      <c r="E55" s="224" t="s">
        <v>6598</v>
      </c>
      <c r="F55" s="224" t="s">
        <v>6599</v>
      </c>
      <c r="G55" s="214" t="s">
        <v>585</v>
      </c>
      <c r="H55" s="214" t="s">
        <v>585</v>
      </c>
      <c r="I55" s="224" t="s">
        <v>6600</v>
      </c>
      <c r="J55" s="214" t="s">
        <v>6601</v>
      </c>
      <c r="K55" s="223" t="s">
        <v>6602</v>
      </c>
      <c r="L55" s="212" t="s">
        <v>6473</v>
      </c>
      <c r="M55" s="6" t="s">
        <v>3804</v>
      </c>
      <c r="N55" s="36" t="s">
        <v>585</v>
      </c>
      <c r="O55" s="36" t="s">
        <v>585</v>
      </c>
      <c r="P55" s="36" t="s">
        <v>6652</v>
      </c>
      <c r="Q55" s="212" t="s">
        <v>4876</v>
      </c>
    </row>
    <row r="56" customFormat="false" ht="29.25" hidden="false" customHeight="true" outlineLevel="0" collapsed="false">
      <c r="A56" s="214" t="s">
        <v>6663</v>
      </c>
      <c r="B56" s="214" t="s">
        <v>4547</v>
      </c>
      <c r="C56" s="223" t="s">
        <v>6664</v>
      </c>
      <c r="D56" s="214" t="s">
        <v>5477</v>
      </c>
      <c r="E56" s="224" t="s">
        <v>6598</v>
      </c>
      <c r="F56" s="224" t="s">
        <v>6599</v>
      </c>
      <c r="G56" s="214" t="s">
        <v>585</v>
      </c>
      <c r="H56" s="214" t="s">
        <v>585</v>
      </c>
      <c r="I56" s="224" t="s">
        <v>6600</v>
      </c>
      <c r="J56" s="214" t="s">
        <v>6601</v>
      </c>
      <c r="K56" s="223" t="s">
        <v>6602</v>
      </c>
      <c r="L56" s="212" t="s">
        <v>6473</v>
      </c>
      <c r="M56" s="6" t="s">
        <v>5470</v>
      </c>
      <c r="N56" s="36" t="s">
        <v>585</v>
      </c>
      <c r="O56" s="36" t="s">
        <v>585</v>
      </c>
      <c r="P56" s="36" t="s">
        <v>6652</v>
      </c>
      <c r="Q56" s="212" t="s">
        <v>4876</v>
      </c>
    </row>
    <row r="57" customFormat="false" ht="29.25" hidden="false" customHeight="true" outlineLevel="0" collapsed="false">
      <c r="A57" s="214" t="s">
        <v>6665</v>
      </c>
      <c r="B57" s="214" t="s">
        <v>4547</v>
      </c>
      <c r="C57" s="223" t="s">
        <v>6666</v>
      </c>
      <c r="D57" s="214" t="s">
        <v>5482</v>
      </c>
      <c r="E57" s="224" t="s">
        <v>6598</v>
      </c>
      <c r="F57" s="224" t="s">
        <v>6599</v>
      </c>
      <c r="G57" s="214" t="s">
        <v>585</v>
      </c>
      <c r="H57" s="214" t="s">
        <v>585</v>
      </c>
      <c r="I57" s="224" t="s">
        <v>6600</v>
      </c>
      <c r="J57" s="214" t="s">
        <v>6601</v>
      </c>
      <c r="K57" s="223" t="s">
        <v>6602</v>
      </c>
      <c r="L57" s="212" t="s">
        <v>6473</v>
      </c>
      <c r="M57" s="6" t="s">
        <v>6667</v>
      </c>
      <c r="N57" s="36" t="s">
        <v>585</v>
      </c>
      <c r="O57" s="36" t="s">
        <v>585</v>
      </c>
      <c r="P57" s="36" t="s">
        <v>6627</v>
      </c>
      <c r="Q57" s="212" t="s">
        <v>4876</v>
      </c>
    </row>
    <row r="58" customFormat="false" ht="29.25" hidden="false" customHeight="true" outlineLevel="0" collapsed="false">
      <c r="A58" s="214" t="s">
        <v>6668</v>
      </c>
      <c r="B58" s="214" t="s">
        <v>4547</v>
      </c>
      <c r="C58" s="223" t="s">
        <v>6669</v>
      </c>
      <c r="D58" s="214" t="s">
        <v>5491</v>
      </c>
      <c r="E58" s="224" t="s">
        <v>6598</v>
      </c>
      <c r="F58" s="224" t="s">
        <v>6599</v>
      </c>
      <c r="G58" s="214" t="s">
        <v>585</v>
      </c>
      <c r="H58" s="214" t="s">
        <v>585</v>
      </c>
      <c r="I58" s="224" t="s">
        <v>6600</v>
      </c>
      <c r="J58" s="214" t="s">
        <v>6601</v>
      </c>
      <c r="K58" s="223" t="s">
        <v>6602</v>
      </c>
      <c r="L58" s="212" t="s">
        <v>6473</v>
      </c>
      <c r="M58" s="6" t="s">
        <v>6670</v>
      </c>
      <c r="N58" s="36" t="s">
        <v>585</v>
      </c>
      <c r="O58" s="36" t="s">
        <v>585</v>
      </c>
      <c r="P58" s="36" t="s">
        <v>6652</v>
      </c>
      <c r="Q58" s="212" t="s">
        <v>4876</v>
      </c>
    </row>
    <row r="59" customFormat="false" ht="29.25" hidden="false" customHeight="true" outlineLevel="0" collapsed="false">
      <c r="A59" s="214" t="s">
        <v>5542</v>
      </c>
      <c r="B59" s="214" t="s">
        <v>4547</v>
      </c>
      <c r="C59" s="223" t="s">
        <v>6671</v>
      </c>
      <c r="D59" s="214" t="s">
        <v>431</v>
      </c>
      <c r="E59" s="224" t="s">
        <v>6598</v>
      </c>
      <c r="F59" s="224" t="s">
        <v>6599</v>
      </c>
      <c r="G59" s="214" t="s">
        <v>585</v>
      </c>
      <c r="H59" s="214" t="s">
        <v>585</v>
      </c>
      <c r="I59" s="224" t="s">
        <v>6600</v>
      </c>
      <c r="J59" s="214" t="s">
        <v>6601</v>
      </c>
      <c r="K59" s="223" t="s">
        <v>6602</v>
      </c>
      <c r="L59" s="212" t="s">
        <v>6473</v>
      </c>
      <c r="M59" s="6" t="s">
        <v>6672</v>
      </c>
      <c r="N59" s="36" t="s">
        <v>585</v>
      </c>
      <c r="O59" s="36" t="s">
        <v>585</v>
      </c>
      <c r="P59" s="36" t="s">
        <v>6652</v>
      </c>
      <c r="Q59" s="212" t="s">
        <v>4876</v>
      </c>
    </row>
    <row r="60" customFormat="false" ht="43.5" hidden="false" customHeight="true" outlineLevel="0" collapsed="false">
      <c r="A60" s="214" t="s">
        <v>5557</v>
      </c>
      <c r="B60" s="214" t="s">
        <v>4547</v>
      </c>
      <c r="C60" s="223" t="s">
        <v>6673</v>
      </c>
      <c r="D60" s="214" t="s">
        <v>430</v>
      </c>
      <c r="E60" s="224" t="s">
        <v>6598</v>
      </c>
      <c r="F60" s="224" t="s">
        <v>6599</v>
      </c>
      <c r="G60" s="214" t="s">
        <v>585</v>
      </c>
      <c r="H60" s="214" t="s">
        <v>585</v>
      </c>
      <c r="I60" s="224" t="s">
        <v>6600</v>
      </c>
      <c r="J60" s="214" t="s">
        <v>6601</v>
      </c>
      <c r="K60" s="223" t="s">
        <v>6602</v>
      </c>
      <c r="L60" s="212" t="s">
        <v>6473</v>
      </c>
      <c r="M60" s="6" t="s">
        <v>6674</v>
      </c>
      <c r="N60" s="36" t="s">
        <v>585</v>
      </c>
      <c r="O60" s="36" t="s">
        <v>585</v>
      </c>
      <c r="P60" s="36" t="s">
        <v>6652</v>
      </c>
      <c r="Q60" s="212" t="s">
        <v>4876</v>
      </c>
    </row>
    <row r="61" customFormat="false" ht="43.5" hidden="false" customHeight="true" outlineLevel="0" collapsed="false">
      <c r="A61" s="214" t="s">
        <v>5592</v>
      </c>
      <c r="B61" s="214" t="s">
        <v>4547</v>
      </c>
      <c r="C61" s="223" t="s">
        <v>6675</v>
      </c>
      <c r="D61" s="214" t="s">
        <v>429</v>
      </c>
      <c r="E61" s="224" t="s">
        <v>6598</v>
      </c>
      <c r="F61" s="224" t="s">
        <v>6599</v>
      </c>
      <c r="G61" s="214" t="s">
        <v>585</v>
      </c>
      <c r="H61" s="214" t="s">
        <v>585</v>
      </c>
      <c r="I61" s="224" t="s">
        <v>6600</v>
      </c>
      <c r="J61" s="214" t="s">
        <v>6601</v>
      </c>
      <c r="K61" s="223" t="s">
        <v>6602</v>
      </c>
      <c r="L61" s="212" t="s">
        <v>6473</v>
      </c>
      <c r="M61" s="6" t="s">
        <v>6676</v>
      </c>
      <c r="N61" s="36" t="s">
        <v>585</v>
      </c>
      <c r="O61" s="36" t="s">
        <v>585</v>
      </c>
      <c r="P61" s="36" t="s">
        <v>6603</v>
      </c>
      <c r="Q61" s="212" t="s">
        <v>4876</v>
      </c>
    </row>
    <row r="62" customFormat="false" ht="29.25" hidden="false" customHeight="true" outlineLevel="0" collapsed="false">
      <c r="A62" s="214" t="s">
        <v>5603</v>
      </c>
      <c r="B62" s="214" t="s">
        <v>4547</v>
      </c>
      <c r="C62" s="223" t="s">
        <v>6677</v>
      </c>
      <c r="D62" s="214" t="s">
        <v>432</v>
      </c>
      <c r="E62" s="224" t="s">
        <v>6598</v>
      </c>
      <c r="F62" s="224" t="s">
        <v>6599</v>
      </c>
      <c r="G62" s="214" t="s">
        <v>585</v>
      </c>
      <c r="H62" s="214" t="s">
        <v>585</v>
      </c>
      <c r="I62" s="224" t="s">
        <v>6600</v>
      </c>
      <c r="J62" s="214" t="s">
        <v>6601</v>
      </c>
      <c r="K62" s="223" t="s">
        <v>6602</v>
      </c>
      <c r="L62" s="212" t="s">
        <v>6473</v>
      </c>
      <c r="M62" s="6" t="s">
        <v>6678</v>
      </c>
      <c r="N62" s="36" t="s">
        <v>585</v>
      </c>
      <c r="O62" s="36" t="s">
        <v>585</v>
      </c>
      <c r="P62" s="36" t="s">
        <v>6652</v>
      </c>
      <c r="Q62" s="212" t="s">
        <v>4876</v>
      </c>
    </row>
    <row r="63" customFormat="false" ht="29.25" hidden="false" customHeight="true" outlineLevel="0" collapsed="false">
      <c r="A63" s="214" t="s">
        <v>5613</v>
      </c>
      <c r="B63" s="214" t="s">
        <v>4547</v>
      </c>
      <c r="C63" s="223" t="s">
        <v>6679</v>
      </c>
      <c r="D63" s="214" t="s">
        <v>5614</v>
      </c>
      <c r="E63" s="224" t="s">
        <v>6598</v>
      </c>
      <c r="F63" s="224" t="s">
        <v>6599</v>
      </c>
      <c r="G63" s="214" t="s">
        <v>585</v>
      </c>
      <c r="H63" s="214" t="s">
        <v>585</v>
      </c>
      <c r="I63" s="224" t="s">
        <v>6600</v>
      </c>
      <c r="J63" s="214" t="s">
        <v>6601</v>
      </c>
      <c r="K63" s="223" t="s">
        <v>6602</v>
      </c>
      <c r="L63" s="212" t="s">
        <v>6473</v>
      </c>
      <c r="M63" s="6" t="s">
        <v>6680</v>
      </c>
      <c r="N63" s="36" t="s">
        <v>585</v>
      </c>
      <c r="O63" s="36" t="s">
        <v>585</v>
      </c>
      <c r="P63" s="36" t="s">
        <v>6652</v>
      </c>
      <c r="Q63" s="212" t="s">
        <v>4876</v>
      </c>
    </row>
    <row r="64" customFormat="false" ht="43.5" hidden="false" customHeight="true" outlineLevel="0" collapsed="false">
      <c r="A64" s="214" t="s">
        <v>5624</v>
      </c>
      <c r="B64" s="214" t="s">
        <v>4547</v>
      </c>
      <c r="C64" s="223" t="s">
        <v>6681</v>
      </c>
      <c r="D64" s="214" t="s">
        <v>5625</v>
      </c>
      <c r="E64" s="224" t="s">
        <v>6598</v>
      </c>
      <c r="F64" s="224" t="s">
        <v>6599</v>
      </c>
      <c r="G64" s="214" t="s">
        <v>585</v>
      </c>
      <c r="H64" s="214" t="s">
        <v>585</v>
      </c>
      <c r="I64" s="224" t="s">
        <v>6600</v>
      </c>
      <c r="J64" s="214" t="s">
        <v>6601</v>
      </c>
      <c r="K64" s="223" t="s">
        <v>6602</v>
      </c>
      <c r="L64" s="212" t="s">
        <v>6473</v>
      </c>
      <c r="M64" s="6" t="s">
        <v>6682</v>
      </c>
      <c r="N64" s="36" t="s">
        <v>585</v>
      </c>
      <c r="O64" s="36" t="s">
        <v>585</v>
      </c>
      <c r="P64" s="36" t="s">
        <v>6652</v>
      </c>
      <c r="Q64" s="212" t="s">
        <v>4980</v>
      </c>
    </row>
    <row r="65" customFormat="false" ht="29.25" hidden="false" customHeight="true" outlineLevel="0" collapsed="false">
      <c r="A65" s="214" t="s">
        <v>5646</v>
      </c>
      <c r="B65" s="214" t="s">
        <v>4547</v>
      </c>
      <c r="C65" s="223" t="s">
        <v>6683</v>
      </c>
      <c r="D65" s="214" t="s">
        <v>5647</v>
      </c>
      <c r="E65" s="224" t="s">
        <v>6598</v>
      </c>
      <c r="F65" s="224" t="s">
        <v>6599</v>
      </c>
      <c r="G65" s="214" t="s">
        <v>585</v>
      </c>
      <c r="H65" s="214" t="s">
        <v>585</v>
      </c>
      <c r="I65" s="224" t="s">
        <v>6600</v>
      </c>
      <c r="J65" s="214" t="s">
        <v>6601</v>
      </c>
      <c r="K65" s="223" t="s">
        <v>6602</v>
      </c>
      <c r="L65" s="212" t="s">
        <v>6473</v>
      </c>
      <c r="M65" s="6" t="s">
        <v>5639</v>
      </c>
      <c r="N65" s="36" t="s">
        <v>585</v>
      </c>
      <c r="O65" s="36" t="s">
        <v>585</v>
      </c>
      <c r="P65" s="36" t="s">
        <v>6603</v>
      </c>
      <c r="Q65" s="212" t="s">
        <v>4876</v>
      </c>
    </row>
    <row r="66" customFormat="false" ht="29.25" hidden="false" customHeight="true" outlineLevel="0" collapsed="false">
      <c r="A66" s="214" t="s">
        <v>5657</v>
      </c>
      <c r="B66" s="214" t="s">
        <v>4547</v>
      </c>
      <c r="C66" s="223" t="s">
        <v>6684</v>
      </c>
      <c r="D66" s="214" t="s">
        <v>5658</v>
      </c>
      <c r="E66" s="224" t="s">
        <v>6598</v>
      </c>
      <c r="F66" s="224" t="s">
        <v>6599</v>
      </c>
      <c r="G66" s="214" t="s">
        <v>585</v>
      </c>
      <c r="H66" s="214" t="s">
        <v>585</v>
      </c>
      <c r="I66" s="224" t="s">
        <v>6600</v>
      </c>
      <c r="J66" s="214" t="s">
        <v>6601</v>
      </c>
      <c r="K66" s="223" t="s">
        <v>6602</v>
      </c>
      <c r="L66" s="212" t="s">
        <v>6473</v>
      </c>
      <c r="M66" s="6" t="s">
        <v>6685</v>
      </c>
      <c r="N66" s="36" t="s">
        <v>585</v>
      </c>
      <c r="O66" s="36" t="s">
        <v>585</v>
      </c>
      <c r="P66" s="36" t="s">
        <v>6627</v>
      </c>
      <c r="Q66" s="212" t="s">
        <v>4876</v>
      </c>
    </row>
    <row r="67" customFormat="false" ht="29.25" hidden="false" customHeight="true" outlineLevel="0" collapsed="false">
      <c r="A67" s="214" t="s">
        <v>6686</v>
      </c>
      <c r="B67" s="214" t="s">
        <v>4547</v>
      </c>
      <c r="C67" s="223" t="s">
        <v>6687</v>
      </c>
      <c r="D67" s="214" t="s">
        <v>2524</v>
      </c>
      <c r="E67" s="224" t="s">
        <v>6598</v>
      </c>
      <c r="F67" s="224" t="s">
        <v>6599</v>
      </c>
      <c r="G67" s="214" t="s">
        <v>585</v>
      </c>
      <c r="H67" s="214" t="s">
        <v>585</v>
      </c>
      <c r="I67" s="224" t="s">
        <v>6600</v>
      </c>
      <c r="J67" s="214" t="s">
        <v>6601</v>
      </c>
      <c r="K67" s="223" t="s">
        <v>6602</v>
      </c>
      <c r="L67" s="212" t="s">
        <v>6473</v>
      </c>
      <c r="M67" s="6" t="s">
        <v>6688</v>
      </c>
      <c r="N67" s="36" t="s">
        <v>585</v>
      </c>
      <c r="O67" s="36" t="s">
        <v>585</v>
      </c>
      <c r="P67" s="36" t="s">
        <v>6627</v>
      </c>
      <c r="Q67" s="212" t="s">
        <v>4876</v>
      </c>
    </row>
    <row r="68" customFormat="false" ht="57.75" hidden="false" customHeight="true" outlineLevel="0" collapsed="false">
      <c r="A68" s="214" t="s">
        <v>5684</v>
      </c>
      <c r="B68" s="214" t="s">
        <v>4547</v>
      </c>
      <c r="C68" s="223" t="s">
        <v>6689</v>
      </c>
      <c r="D68" s="214" t="s">
        <v>5685</v>
      </c>
      <c r="E68" s="224" t="s">
        <v>6598</v>
      </c>
      <c r="F68" s="224" t="s">
        <v>6599</v>
      </c>
      <c r="G68" s="214" t="s">
        <v>585</v>
      </c>
      <c r="H68" s="214" t="s">
        <v>585</v>
      </c>
      <c r="I68" s="224" t="s">
        <v>6600</v>
      </c>
      <c r="J68" s="214" t="s">
        <v>6601</v>
      </c>
      <c r="K68" s="223" t="s">
        <v>6602</v>
      </c>
      <c r="L68" s="212" t="s">
        <v>6473</v>
      </c>
      <c r="M68" s="6" t="s">
        <v>6690</v>
      </c>
      <c r="N68" s="36" t="s">
        <v>585</v>
      </c>
      <c r="O68" s="36" t="s">
        <v>585</v>
      </c>
      <c r="P68" s="36" t="s">
        <v>6652</v>
      </c>
      <c r="Q68" s="212" t="s">
        <v>4980</v>
      </c>
    </row>
    <row r="69" customFormat="false" ht="29.25" hidden="false" customHeight="true" outlineLevel="0" collapsed="false">
      <c r="A69" s="214" t="s">
        <v>6691</v>
      </c>
      <c r="B69" s="214" t="s">
        <v>4547</v>
      </c>
      <c r="C69" s="223" t="s">
        <v>6692</v>
      </c>
      <c r="D69" s="214" t="s">
        <v>5711</v>
      </c>
      <c r="E69" s="224" t="s">
        <v>6598</v>
      </c>
      <c r="F69" s="224" t="s">
        <v>6599</v>
      </c>
      <c r="G69" s="214" t="s">
        <v>585</v>
      </c>
      <c r="H69" s="214" t="s">
        <v>585</v>
      </c>
      <c r="I69" s="224" t="s">
        <v>6600</v>
      </c>
      <c r="J69" s="214" t="s">
        <v>6601</v>
      </c>
      <c r="K69" s="223" t="s">
        <v>6602</v>
      </c>
      <c r="L69" s="212" t="s">
        <v>6473</v>
      </c>
      <c r="M69" s="6" t="s">
        <v>6693</v>
      </c>
      <c r="N69" s="36" t="s">
        <v>585</v>
      </c>
      <c r="O69" s="36" t="s">
        <v>585</v>
      </c>
      <c r="P69" s="36" t="s">
        <v>6603</v>
      </c>
      <c r="Q69" s="212" t="s">
        <v>4876</v>
      </c>
    </row>
    <row r="70" customFormat="false" ht="29.25" hidden="false" customHeight="true" outlineLevel="0" collapsed="false">
      <c r="A70" s="214" t="s">
        <v>6694</v>
      </c>
      <c r="B70" s="214" t="s">
        <v>4547</v>
      </c>
      <c r="C70" s="223" t="s">
        <v>6695</v>
      </c>
      <c r="D70" s="214" t="s">
        <v>5725</v>
      </c>
      <c r="E70" s="224" t="s">
        <v>6598</v>
      </c>
      <c r="F70" s="224" t="s">
        <v>6599</v>
      </c>
      <c r="G70" s="214" t="s">
        <v>585</v>
      </c>
      <c r="H70" s="214" t="s">
        <v>585</v>
      </c>
      <c r="I70" s="224" t="s">
        <v>6600</v>
      </c>
      <c r="J70" s="214" t="s">
        <v>6601</v>
      </c>
      <c r="K70" s="223" t="s">
        <v>6602</v>
      </c>
      <c r="L70" s="212" t="s">
        <v>6473</v>
      </c>
      <c r="M70" s="6" t="s">
        <v>6528</v>
      </c>
      <c r="N70" s="36" t="s">
        <v>585</v>
      </c>
      <c r="O70" s="36" t="s">
        <v>585</v>
      </c>
      <c r="P70" s="36" t="s">
        <v>6652</v>
      </c>
      <c r="Q70" s="212" t="s">
        <v>4876</v>
      </c>
    </row>
    <row r="71" customFormat="false" ht="83.25" hidden="false" customHeight="true" outlineLevel="0" collapsed="false">
      <c r="A71" s="214" t="s">
        <v>5164</v>
      </c>
      <c r="B71" s="214" t="s">
        <v>4547</v>
      </c>
      <c r="C71" s="223" t="s">
        <v>6696</v>
      </c>
      <c r="D71" s="214" t="s">
        <v>5157</v>
      </c>
      <c r="E71" s="224" t="s">
        <v>6697</v>
      </c>
      <c r="F71" s="224" t="s">
        <v>6599</v>
      </c>
      <c r="G71" s="214" t="s">
        <v>585</v>
      </c>
      <c r="H71" s="214" t="s">
        <v>585</v>
      </c>
      <c r="I71" s="224" t="s">
        <v>6698</v>
      </c>
      <c r="J71" s="214" t="s">
        <v>6601</v>
      </c>
      <c r="K71" s="223" t="s">
        <v>6699</v>
      </c>
      <c r="L71" s="212" t="s">
        <v>6473</v>
      </c>
      <c r="M71" s="6" t="s">
        <v>6700</v>
      </c>
      <c r="N71" s="36" t="s">
        <v>585</v>
      </c>
      <c r="O71" s="36" t="s">
        <v>585</v>
      </c>
      <c r="P71" s="36" t="s">
        <v>6603</v>
      </c>
      <c r="Q71" s="212" t="s">
        <v>6701</v>
      </c>
    </row>
    <row r="72" customFormat="false" ht="29.25" hidden="false" customHeight="true" outlineLevel="0" collapsed="false">
      <c r="A72" s="214" t="s">
        <v>5823</v>
      </c>
      <c r="B72" s="214" t="s">
        <v>6702</v>
      </c>
      <c r="C72" s="223" t="s">
        <v>6703</v>
      </c>
      <c r="D72" s="214" t="s">
        <v>5824</v>
      </c>
      <c r="E72" s="224" t="s">
        <v>6598</v>
      </c>
      <c r="F72" s="224" t="s">
        <v>6599</v>
      </c>
      <c r="G72" s="214" t="s">
        <v>585</v>
      </c>
      <c r="H72" s="214" t="s">
        <v>585</v>
      </c>
      <c r="I72" s="224" t="s">
        <v>6600</v>
      </c>
      <c r="J72" s="214" t="s">
        <v>6704</v>
      </c>
      <c r="K72" s="223" t="s">
        <v>6602</v>
      </c>
      <c r="L72" s="212" t="s">
        <v>6473</v>
      </c>
      <c r="M72" s="6" t="s">
        <v>2228</v>
      </c>
      <c r="N72" s="36" t="s">
        <v>585</v>
      </c>
      <c r="O72" s="36" t="s">
        <v>585</v>
      </c>
      <c r="P72" s="36" t="s">
        <v>6603</v>
      </c>
      <c r="Q72" s="212" t="s">
        <v>4876</v>
      </c>
    </row>
    <row r="73" customFormat="false" ht="29.25" hidden="false" customHeight="true" outlineLevel="0" collapsed="false">
      <c r="A73" s="214" t="s">
        <v>5833</v>
      </c>
      <c r="B73" s="214" t="s">
        <v>6702</v>
      </c>
      <c r="C73" s="223" t="s">
        <v>6705</v>
      </c>
      <c r="D73" s="214" t="s">
        <v>5834</v>
      </c>
      <c r="E73" s="224" t="s">
        <v>6598</v>
      </c>
      <c r="F73" s="224" t="s">
        <v>6599</v>
      </c>
      <c r="G73" s="214" t="s">
        <v>585</v>
      </c>
      <c r="H73" s="214" t="s">
        <v>585</v>
      </c>
      <c r="I73" s="224" t="s">
        <v>6600</v>
      </c>
      <c r="J73" s="214" t="s">
        <v>6704</v>
      </c>
      <c r="K73" s="223" t="s">
        <v>6602</v>
      </c>
      <c r="L73" s="212" t="s">
        <v>6473</v>
      </c>
      <c r="M73" s="6" t="s">
        <v>2235</v>
      </c>
      <c r="N73" s="36" t="s">
        <v>585</v>
      </c>
      <c r="O73" s="36" t="s">
        <v>585</v>
      </c>
      <c r="P73" s="36" t="s">
        <v>6627</v>
      </c>
      <c r="Q73" s="212" t="s">
        <v>4980</v>
      </c>
    </row>
    <row r="74" customFormat="false" ht="29.25" hidden="false" customHeight="true" outlineLevel="0" collapsed="false">
      <c r="A74" s="214" t="s">
        <v>6084</v>
      </c>
      <c r="B74" s="214" t="s">
        <v>6702</v>
      </c>
      <c r="C74" s="223" t="s">
        <v>6706</v>
      </c>
      <c r="D74" s="214" t="s">
        <v>6085</v>
      </c>
      <c r="E74" s="224" t="s">
        <v>6598</v>
      </c>
      <c r="F74" s="224" t="s">
        <v>6599</v>
      </c>
      <c r="G74" s="214" t="s">
        <v>585</v>
      </c>
      <c r="H74" s="214" t="s">
        <v>585</v>
      </c>
      <c r="I74" s="224" t="s">
        <v>6600</v>
      </c>
      <c r="J74" s="214" t="s">
        <v>6704</v>
      </c>
      <c r="K74" s="223" t="s">
        <v>6602</v>
      </c>
      <c r="L74" s="212" t="s">
        <v>6473</v>
      </c>
      <c r="M74" s="6" t="s">
        <v>6579</v>
      </c>
      <c r="N74" s="36" t="s">
        <v>585</v>
      </c>
      <c r="O74" s="36" t="s">
        <v>585</v>
      </c>
      <c r="P74" s="36" t="s">
        <v>6627</v>
      </c>
      <c r="Q74" s="212" t="s">
        <v>4876</v>
      </c>
    </row>
    <row r="75" customFormat="false" ht="29.25" hidden="false" customHeight="true" outlineLevel="0" collapsed="false">
      <c r="A75" s="214" t="s">
        <v>6151</v>
      </c>
      <c r="B75" s="214" t="s">
        <v>6702</v>
      </c>
      <c r="C75" s="223" t="s">
        <v>6707</v>
      </c>
      <c r="D75" s="214" t="s">
        <v>6152</v>
      </c>
      <c r="E75" s="224" t="s">
        <v>6598</v>
      </c>
      <c r="F75" s="224" t="s">
        <v>6599</v>
      </c>
      <c r="G75" s="214" t="s">
        <v>585</v>
      </c>
      <c r="H75" s="214" t="s">
        <v>585</v>
      </c>
      <c r="I75" s="224" t="s">
        <v>6600</v>
      </c>
      <c r="J75" s="214" t="s">
        <v>6704</v>
      </c>
      <c r="K75" s="223" t="s">
        <v>6602</v>
      </c>
      <c r="L75" s="212" t="s">
        <v>6473</v>
      </c>
      <c r="M75" s="6" t="s">
        <v>6492</v>
      </c>
      <c r="N75" s="36" t="s">
        <v>585</v>
      </c>
      <c r="O75" s="36" t="s">
        <v>585</v>
      </c>
      <c r="P75" s="36" t="s">
        <v>6652</v>
      </c>
      <c r="Q75" s="212" t="s">
        <v>4980</v>
      </c>
    </row>
    <row r="76" customFormat="false" ht="69" hidden="false" customHeight="true" outlineLevel="0" collapsed="false">
      <c r="A76" s="214" t="s">
        <v>5842</v>
      </c>
      <c r="B76" s="214" t="s">
        <v>6702</v>
      </c>
      <c r="C76" s="223" t="s">
        <v>6708</v>
      </c>
      <c r="D76" s="214" t="s">
        <v>5843</v>
      </c>
      <c r="E76" s="224" t="s">
        <v>6598</v>
      </c>
      <c r="F76" s="224" t="s">
        <v>6599</v>
      </c>
      <c r="G76" s="214" t="s">
        <v>585</v>
      </c>
      <c r="H76" s="214" t="s">
        <v>585</v>
      </c>
      <c r="I76" s="224" t="s">
        <v>6600</v>
      </c>
      <c r="J76" s="214" t="s">
        <v>6704</v>
      </c>
      <c r="K76" s="223" t="s">
        <v>6602</v>
      </c>
      <c r="L76" s="212" t="s">
        <v>6473</v>
      </c>
      <c r="M76" s="6" t="s">
        <v>6709</v>
      </c>
      <c r="N76" s="36" t="s">
        <v>585</v>
      </c>
      <c r="O76" s="36" t="s">
        <v>585</v>
      </c>
      <c r="P76" s="36" t="s">
        <v>6652</v>
      </c>
      <c r="Q76" s="212" t="s">
        <v>4876</v>
      </c>
    </row>
    <row r="77" customFormat="false" ht="69" hidden="false" customHeight="true" outlineLevel="0" collapsed="false">
      <c r="A77" s="214" t="s">
        <v>5873</v>
      </c>
      <c r="B77" s="214" t="s">
        <v>6702</v>
      </c>
      <c r="C77" s="223" t="s">
        <v>6710</v>
      </c>
      <c r="D77" s="214" t="s">
        <v>5874</v>
      </c>
      <c r="E77" s="224" t="s">
        <v>6598</v>
      </c>
      <c r="F77" s="224" t="s">
        <v>6599</v>
      </c>
      <c r="G77" s="214" t="s">
        <v>585</v>
      </c>
      <c r="H77" s="214" t="s">
        <v>585</v>
      </c>
      <c r="I77" s="224" t="s">
        <v>6600</v>
      </c>
      <c r="J77" s="214" t="s">
        <v>6704</v>
      </c>
      <c r="K77" s="223" t="s">
        <v>6602</v>
      </c>
      <c r="L77" s="212" t="s">
        <v>6473</v>
      </c>
      <c r="M77" s="6" t="s">
        <v>6561</v>
      </c>
      <c r="N77" s="36" t="s">
        <v>585</v>
      </c>
      <c r="O77" s="36" t="s">
        <v>585</v>
      </c>
      <c r="P77" s="36" t="s">
        <v>6627</v>
      </c>
      <c r="Q77" s="212" t="s">
        <v>4876</v>
      </c>
    </row>
    <row r="78" customFormat="false" ht="57.75" hidden="false" customHeight="true" outlineLevel="0" collapsed="false">
      <c r="A78" s="214" t="s">
        <v>5908</v>
      </c>
      <c r="B78" s="214" t="s">
        <v>6702</v>
      </c>
      <c r="C78" s="223" t="s">
        <v>6711</v>
      </c>
      <c r="D78" s="214" t="s">
        <v>2578</v>
      </c>
      <c r="E78" s="224" t="s">
        <v>6598</v>
      </c>
      <c r="F78" s="224" t="s">
        <v>6599</v>
      </c>
      <c r="G78" s="214" t="s">
        <v>585</v>
      </c>
      <c r="H78" s="214" t="s">
        <v>585</v>
      </c>
      <c r="I78" s="224" t="s">
        <v>6600</v>
      </c>
      <c r="J78" s="214" t="s">
        <v>6704</v>
      </c>
      <c r="K78" s="223" t="s">
        <v>6602</v>
      </c>
      <c r="L78" s="212" t="s">
        <v>6473</v>
      </c>
      <c r="M78" s="6" t="s">
        <v>6542</v>
      </c>
      <c r="N78" s="36" t="s">
        <v>585</v>
      </c>
      <c r="O78" s="36" t="s">
        <v>585</v>
      </c>
      <c r="P78" s="36" t="s">
        <v>6652</v>
      </c>
      <c r="Q78" s="212" t="s">
        <v>4876</v>
      </c>
    </row>
    <row r="79" customFormat="false" ht="43.5" hidden="false" customHeight="true" outlineLevel="0" collapsed="false">
      <c r="A79" s="214" t="s">
        <v>5938</v>
      </c>
      <c r="B79" s="214" t="s">
        <v>6702</v>
      </c>
      <c r="C79" s="223" t="s">
        <v>6712</v>
      </c>
      <c r="D79" s="214" t="s">
        <v>5939</v>
      </c>
      <c r="E79" s="224" t="s">
        <v>6598</v>
      </c>
      <c r="F79" s="224" t="s">
        <v>6599</v>
      </c>
      <c r="G79" s="214" t="s">
        <v>585</v>
      </c>
      <c r="H79" s="214" t="s">
        <v>585</v>
      </c>
      <c r="I79" s="224" t="s">
        <v>6600</v>
      </c>
      <c r="J79" s="214" t="s">
        <v>6704</v>
      </c>
      <c r="K79" s="223" t="s">
        <v>6602</v>
      </c>
      <c r="L79" s="212" t="s">
        <v>6473</v>
      </c>
      <c r="M79" s="6" t="s">
        <v>6713</v>
      </c>
      <c r="N79" s="36" t="s">
        <v>585</v>
      </c>
      <c r="O79" s="36" t="s">
        <v>585</v>
      </c>
      <c r="P79" s="36" t="s">
        <v>6652</v>
      </c>
      <c r="Q79" s="212" t="s">
        <v>4876</v>
      </c>
    </row>
    <row r="80" customFormat="false" ht="72" hidden="false" customHeight="true" outlineLevel="0" collapsed="false">
      <c r="A80" s="214" t="s">
        <v>5960</v>
      </c>
      <c r="B80" s="214" t="s">
        <v>6702</v>
      </c>
      <c r="C80" s="223" t="s">
        <v>6714</v>
      </c>
      <c r="D80" s="214" t="s">
        <v>5961</v>
      </c>
      <c r="E80" s="224" t="s">
        <v>6598</v>
      </c>
      <c r="F80" s="224" t="s">
        <v>6599</v>
      </c>
      <c r="G80" s="214" t="s">
        <v>585</v>
      </c>
      <c r="H80" s="214" t="s">
        <v>585</v>
      </c>
      <c r="I80" s="224" t="s">
        <v>6600</v>
      </c>
      <c r="J80" s="214" t="s">
        <v>6704</v>
      </c>
      <c r="K80" s="223" t="s">
        <v>6602</v>
      </c>
      <c r="L80" s="212" t="s">
        <v>6473</v>
      </c>
      <c r="M80" s="6" t="s">
        <v>6565</v>
      </c>
      <c r="N80" s="36" t="s">
        <v>585</v>
      </c>
      <c r="O80" s="36" t="s">
        <v>585</v>
      </c>
      <c r="P80" s="36" t="s">
        <v>6627</v>
      </c>
      <c r="Q80" s="212" t="s">
        <v>4876</v>
      </c>
    </row>
    <row r="81" customFormat="false" ht="54.75" hidden="false" customHeight="true" outlineLevel="0" collapsed="false">
      <c r="A81" s="214" t="s">
        <v>5997</v>
      </c>
      <c r="B81" s="214" t="s">
        <v>6702</v>
      </c>
      <c r="C81" s="223" t="s">
        <v>6715</v>
      </c>
      <c r="D81" s="214" t="s">
        <v>5998</v>
      </c>
      <c r="E81" s="224" t="s">
        <v>6598</v>
      </c>
      <c r="F81" s="224" t="s">
        <v>6599</v>
      </c>
      <c r="G81" s="214" t="s">
        <v>585</v>
      </c>
      <c r="H81" s="214" t="s">
        <v>585</v>
      </c>
      <c r="I81" s="224" t="s">
        <v>6600</v>
      </c>
      <c r="J81" s="214" t="s">
        <v>6704</v>
      </c>
      <c r="K81" s="223" t="s">
        <v>6602</v>
      </c>
      <c r="L81" s="212" t="s">
        <v>6473</v>
      </c>
      <c r="M81" s="6" t="s">
        <v>6555</v>
      </c>
      <c r="N81" s="36" t="s">
        <v>585</v>
      </c>
      <c r="O81" s="36" t="s">
        <v>585</v>
      </c>
      <c r="P81" s="36" t="s">
        <v>6627</v>
      </c>
      <c r="Q81" s="212" t="s">
        <v>4980</v>
      </c>
    </row>
    <row r="82" customFormat="false" ht="29.25" hidden="false" customHeight="true" outlineLevel="0" collapsed="false">
      <c r="A82" s="214" t="s">
        <v>6029</v>
      </c>
      <c r="B82" s="214" t="s">
        <v>6702</v>
      </c>
      <c r="C82" s="223" t="s">
        <v>6716</v>
      </c>
      <c r="D82" s="214" t="s">
        <v>6024</v>
      </c>
      <c r="E82" s="224" t="s">
        <v>6598</v>
      </c>
      <c r="F82" s="224" t="s">
        <v>6599</v>
      </c>
      <c r="G82" s="214" t="s">
        <v>585</v>
      </c>
      <c r="H82" s="214" t="s">
        <v>585</v>
      </c>
      <c r="I82" s="224" t="s">
        <v>6600</v>
      </c>
      <c r="J82" s="214" t="s">
        <v>6704</v>
      </c>
      <c r="K82" s="223" t="s">
        <v>6602</v>
      </c>
      <c r="L82" s="212" t="s">
        <v>6473</v>
      </c>
      <c r="M82" s="6" t="s">
        <v>6717</v>
      </c>
      <c r="N82" s="36" t="s">
        <v>585</v>
      </c>
      <c r="O82" s="36" t="s">
        <v>585</v>
      </c>
      <c r="P82" s="36" t="s">
        <v>6603</v>
      </c>
      <c r="Q82" s="212" t="s">
        <v>4980</v>
      </c>
    </row>
    <row r="83" customFormat="false" ht="43.5" hidden="false" customHeight="true" outlineLevel="0" collapsed="false">
      <c r="A83" s="214" t="s">
        <v>6163</v>
      </c>
      <c r="B83" s="214" t="s">
        <v>6702</v>
      </c>
      <c r="C83" s="223" t="s">
        <v>6718</v>
      </c>
      <c r="D83" s="214" t="s">
        <v>6164</v>
      </c>
      <c r="E83" s="224" t="s">
        <v>6598</v>
      </c>
      <c r="F83" s="224" t="s">
        <v>6599</v>
      </c>
      <c r="G83" s="214" t="s">
        <v>585</v>
      </c>
      <c r="H83" s="214" t="s">
        <v>585</v>
      </c>
      <c r="I83" s="224" t="s">
        <v>6600</v>
      </c>
      <c r="J83" s="214" t="s">
        <v>6704</v>
      </c>
      <c r="K83" s="223" t="s">
        <v>6602</v>
      </c>
      <c r="L83" s="212" t="s">
        <v>6473</v>
      </c>
      <c r="M83" s="6" t="s">
        <v>6535</v>
      </c>
      <c r="N83" s="36" t="s">
        <v>585</v>
      </c>
      <c r="O83" s="36" t="s">
        <v>585</v>
      </c>
      <c r="P83" s="36" t="s">
        <v>6627</v>
      </c>
      <c r="Q83" s="212" t="s">
        <v>4876</v>
      </c>
    </row>
    <row r="84" customFormat="false" ht="72" hidden="false" customHeight="true" outlineLevel="0" collapsed="false">
      <c r="A84" s="214" t="s">
        <v>6094</v>
      </c>
      <c r="B84" s="214" t="s">
        <v>6702</v>
      </c>
      <c r="C84" s="223" t="s">
        <v>6719</v>
      </c>
      <c r="D84" s="214" t="s">
        <v>1526</v>
      </c>
      <c r="E84" s="224" t="s">
        <v>6598</v>
      </c>
      <c r="F84" s="224" t="s">
        <v>6599</v>
      </c>
      <c r="G84" s="214" t="s">
        <v>585</v>
      </c>
      <c r="H84" s="214" t="s">
        <v>585</v>
      </c>
      <c r="I84" s="224" t="s">
        <v>6600</v>
      </c>
      <c r="J84" s="214" t="s">
        <v>6704</v>
      </c>
      <c r="K84" s="223" t="s">
        <v>6602</v>
      </c>
      <c r="L84" s="212" t="s">
        <v>6473</v>
      </c>
      <c r="M84" s="6" t="s">
        <v>6573</v>
      </c>
      <c r="N84" s="36" t="s">
        <v>585</v>
      </c>
      <c r="O84" s="36" t="s">
        <v>585</v>
      </c>
      <c r="P84" s="36" t="s">
        <v>6627</v>
      </c>
      <c r="Q84" s="212" t="s">
        <v>4876</v>
      </c>
    </row>
    <row r="85" customFormat="false" ht="72" hidden="false" customHeight="true" outlineLevel="0" collapsed="false">
      <c r="A85" s="214" t="s">
        <v>6045</v>
      </c>
      <c r="B85" s="214" t="s">
        <v>6702</v>
      </c>
      <c r="C85" s="223" t="s">
        <v>6720</v>
      </c>
      <c r="D85" s="214" t="s">
        <v>1545</v>
      </c>
      <c r="E85" s="224" t="s">
        <v>6598</v>
      </c>
      <c r="F85" s="224" t="s">
        <v>6599</v>
      </c>
      <c r="G85" s="214" t="s">
        <v>585</v>
      </c>
      <c r="H85" s="214" t="s">
        <v>585</v>
      </c>
      <c r="I85" s="224" t="s">
        <v>6600</v>
      </c>
      <c r="J85" s="214" t="s">
        <v>6704</v>
      </c>
      <c r="K85" s="223" t="s">
        <v>6602</v>
      </c>
      <c r="L85" s="212" t="s">
        <v>6473</v>
      </c>
      <c r="M85" s="6" t="s">
        <v>6585</v>
      </c>
      <c r="N85" s="36" t="s">
        <v>585</v>
      </c>
      <c r="O85" s="36" t="s">
        <v>585</v>
      </c>
      <c r="P85" s="36" t="s">
        <v>6627</v>
      </c>
      <c r="Q85" s="212" t="s">
        <v>4980</v>
      </c>
    </row>
    <row r="86" customFormat="false" ht="29.25" hidden="false" customHeight="true" outlineLevel="0" collapsed="false">
      <c r="A86" s="214" t="s">
        <v>6132</v>
      </c>
      <c r="B86" s="214" t="s">
        <v>6702</v>
      </c>
      <c r="C86" s="223" t="s">
        <v>6721</v>
      </c>
      <c r="D86" s="214" t="s">
        <v>6133</v>
      </c>
      <c r="E86" s="224" t="s">
        <v>6598</v>
      </c>
      <c r="F86" s="224" t="s">
        <v>6599</v>
      </c>
      <c r="G86" s="214" t="s">
        <v>585</v>
      </c>
      <c r="H86" s="214" t="s">
        <v>585</v>
      </c>
      <c r="I86" s="224" t="s">
        <v>6600</v>
      </c>
      <c r="J86" s="214" t="s">
        <v>6704</v>
      </c>
      <c r="K86" s="223" t="s">
        <v>6602</v>
      </c>
      <c r="L86" s="212" t="s">
        <v>6473</v>
      </c>
      <c r="M86" s="6" t="s">
        <v>6722</v>
      </c>
      <c r="N86" s="36" t="s">
        <v>585</v>
      </c>
      <c r="O86" s="36" t="s">
        <v>585</v>
      </c>
      <c r="P86" s="36" t="s">
        <v>6627</v>
      </c>
      <c r="Q86" s="212" t="s">
        <v>4980</v>
      </c>
    </row>
    <row r="87" customFormat="false" ht="29.25" hidden="false" customHeight="true" outlineLevel="0" collapsed="false">
      <c r="A87" s="214" t="s">
        <v>6142</v>
      </c>
      <c r="B87" s="214" t="s">
        <v>6702</v>
      </c>
      <c r="C87" s="223" t="s">
        <v>6723</v>
      </c>
      <c r="D87" s="214" t="s">
        <v>6143</v>
      </c>
      <c r="E87" s="224" t="s">
        <v>6598</v>
      </c>
      <c r="F87" s="224" t="s">
        <v>6599</v>
      </c>
      <c r="G87" s="214" t="s">
        <v>585</v>
      </c>
      <c r="H87" s="214" t="s">
        <v>585</v>
      </c>
      <c r="I87" s="224" t="s">
        <v>6600</v>
      </c>
      <c r="J87" s="214" t="s">
        <v>6704</v>
      </c>
      <c r="K87" s="223" t="s">
        <v>6602</v>
      </c>
      <c r="L87" s="212" t="s">
        <v>6473</v>
      </c>
      <c r="M87" s="6" t="s">
        <v>6137</v>
      </c>
      <c r="N87" s="36" t="s">
        <v>585</v>
      </c>
      <c r="O87" s="36" t="s">
        <v>585</v>
      </c>
      <c r="P87" s="36" t="s">
        <v>6627</v>
      </c>
      <c r="Q87" s="212" t="s">
        <v>4876</v>
      </c>
    </row>
    <row r="88" customFormat="false" ht="86.25" hidden="false" customHeight="true" outlineLevel="0" collapsed="false">
      <c r="A88" s="214" t="s">
        <v>5739</v>
      </c>
      <c r="B88" s="214" t="s">
        <v>6702</v>
      </c>
      <c r="C88" s="223" t="s">
        <v>6724</v>
      </c>
      <c r="D88" s="214" t="s">
        <v>5647</v>
      </c>
      <c r="E88" s="224" t="s">
        <v>6725</v>
      </c>
      <c r="F88" s="214" t="s">
        <v>6726</v>
      </c>
      <c r="G88" s="214" t="s">
        <v>585</v>
      </c>
      <c r="H88" s="214" t="s">
        <v>6727</v>
      </c>
      <c r="I88" s="224" t="s">
        <v>6728</v>
      </c>
      <c r="J88" s="214" t="s">
        <v>6704</v>
      </c>
      <c r="K88" s="223" t="s">
        <v>6729</v>
      </c>
      <c r="L88" s="212" t="s">
        <v>6473</v>
      </c>
      <c r="M88" s="6" t="s">
        <v>6730</v>
      </c>
      <c r="N88" s="36" t="s">
        <v>585</v>
      </c>
      <c r="O88" s="36" t="s">
        <v>585</v>
      </c>
      <c r="P88" s="36" t="s">
        <v>6652</v>
      </c>
      <c r="Q88" s="212" t="s">
        <v>4876</v>
      </c>
    </row>
    <row r="89" customFormat="false" ht="100.5" hidden="false" customHeight="true" outlineLevel="0" collapsed="false">
      <c r="A89" s="214" t="s">
        <v>5506</v>
      </c>
      <c r="B89" s="214" t="s">
        <v>6702</v>
      </c>
      <c r="C89" s="223" t="s">
        <v>6731</v>
      </c>
      <c r="D89" s="214" t="s">
        <v>5507</v>
      </c>
      <c r="E89" s="224" t="s">
        <v>6725</v>
      </c>
      <c r="F89" s="214" t="s">
        <v>6732</v>
      </c>
      <c r="G89" s="214" t="s">
        <v>6733</v>
      </c>
      <c r="H89" s="214" t="s">
        <v>6734</v>
      </c>
      <c r="I89" s="224" t="s">
        <v>6728</v>
      </c>
      <c r="J89" s="214" t="s">
        <v>6704</v>
      </c>
      <c r="K89" s="225" t="s">
        <v>6735</v>
      </c>
      <c r="L89" s="212" t="s">
        <v>6473</v>
      </c>
      <c r="M89" s="6" t="s">
        <v>6736</v>
      </c>
      <c r="N89" s="36" t="s">
        <v>585</v>
      </c>
      <c r="O89" s="36" t="s">
        <v>585</v>
      </c>
      <c r="P89" s="36" t="s">
        <v>6652</v>
      </c>
      <c r="Q89" s="212" t="s">
        <v>4876</v>
      </c>
    </row>
    <row r="90" customFormat="false" ht="15" hidden="false" customHeight="true" outlineLevel="0" collapsed="false">
      <c r="A90" s="214" t="s">
        <v>6188</v>
      </c>
      <c r="B90" s="214" t="s">
        <v>4711</v>
      </c>
      <c r="C90" s="223" t="s">
        <v>6737</v>
      </c>
      <c r="D90" s="214" t="s">
        <v>6738</v>
      </c>
      <c r="E90" s="224" t="s">
        <v>6739</v>
      </c>
      <c r="F90" s="214" t="s">
        <v>6740</v>
      </c>
      <c r="G90" s="214" t="s">
        <v>585</v>
      </c>
      <c r="H90" s="214" t="s">
        <v>6741</v>
      </c>
      <c r="I90" s="224" t="s">
        <v>6742</v>
      </c>
      <c r="J90" s="214" t="s">
        <v>6743</v>
      </c>
      <c r="K90" s="223" t="s">
        <v>6744</v>
      </c>
      <c r="L90" s="212" t="s">
        <v>6473</v>
      </c>
      <c r="M90" s="6" t="s">
        <v>4364</v>
      </c>
      <c r="N90" s="36" t="s">
        <v>585</v>
      </c>
      <c r="O90" s="36" t="s">
        <v>6745</v>
      </c>
      <c r="P90" s="36" t="s">
        <v>6627</v>
      </c>
      <c r="Q90" s="212" t="s">
        <v>4876</v>
      </c>
    </row>
    <row r="91" customFormat="false" ht="39" hidden="false" customHeight="true" outlineLevel="0" collapsed="false">
      <c r="A91" s="214" t="s">
        <v>6746</v>
      </c>
      <c r="B91" s="214" t="s">
        <v>4711</v>
      </c>
      <c r="C91" s="223" t="s">
        <v>6747</v>
      </c>
      <c r="D91" s="214" t="s">
        <v>6748</v>
      </c>
      <c r="E91" s="224" t="s">
        <v>6739</v>
      </c>
      <c r="F91" s="224" t="s">
        <v>6749</v>
      </c>
      <c r="G91" s="214" t="s">
        <v>585</v>
      </c>
      <c r="H91" s="214" t="s">
        <v>6750</v>
      </c>
      <c r="I91" s="224" t="s">
        <v>6742</v>
      </c>
      <c r="J91" s="214" t="s">
        <v>6743</v>
      </c>
      <c r="K91" s="225" t="s">
        <v>6751</v>
      </c>
      <c r="L91" s="212" t="s">
        <v>6473</v>
      </c>
      <c r="M91" s="6" t="s">
        <v>6192</v>
      </c>
      <c r="N91" s="36" t="s">
        <v>585</v>
      </c>
      <c r="O91" s="36" t="s">
        <v>6745</v>
      </c>
      <c r="P91" s="36" t="s">
        <v>6627</v>
      </c>
      <c r="Q91" s="212" t="s">
        <v>4876</v>
      </c>
    </row>
    <row r="92" customFormat="false" ht="15" hidden="false" customHeight="true" outlineLevel="0" collapsed="false">
      <c r="A92" s="214" t="s">
        <v>6205</v>
      </c>
      <c r="B92" s="214" t="s">
        <v>4711</v>
      </c>
      <c r="C92" s="223" t="s">
        <v>6752</v>
      </c>
      <c r="D92" s="214" t="s">
        <v>6753</v>
      </c>
      <c r="E92" s="224" t="s">
        <v>6739</v>
      </c>
      <c r="F92" s="214" t="s">
        <v>6740</v>
      </c>
      <c r="G92" s="214" t="s">
        <v>585</v>
      </c>
      <c r="H92" s="214" t="s">
        <v>6754</v>
      </c>
      <c r="I92" s="224" t="s">
        <v>6742</v>
      </c>
      <c r="J92" s="214" t="s">
        <v>6743</v>
      </c>
      <c r="K92" s="225" t="s">
        <v>6755</v>
      </c>
      <c r="L92" s="212" t="s">
        <v>6473</v>
      </c>
      <c r="M92" s="6" t="s">
        <v>4371</v>
      </c>
      <c r="N92" s="36" t="s">
        <v>585</v>
      </c>
      <c r="O92" s="36" t="s">
        <v>6745</v>
      </c>
      <c r="P92" s="36" t="s">
        <v>6627</v>
      </c>
      <c r="Q92" s="212" t="s">
        <v>4876</v>
      </c>
    </row>
    <row r="93" customFormat="false" ht="26.25" hidden="false" customHeight="true" outlineLevel="0" collapsed="false">
      <c r="A93" s="214" t="s">
        <v>6756</v>
      </c>
      <c r="B93" s="214" t="s">
        <v>4711</v>
      </c>
      <c r="C93" s="225" t="s">
        <v>6757</v>
      </c>
      <c r="D93" s="214" t="s">
        <v>6758</v>
      </c>
      <c r="E93" s="224" t="s">
        <v>6739</v>
      </c>
      <c r="F93" s="214" t="s">
        <v>6759</v>
      </c>
      <c r="G93" s="214" t="s">
        <v>585</v>
      </c>
      <c r="H93" s="214" t="s">
        <v>6760</v>
      </c>
      <c r="I93" s="224" t="s">
        <v>6742</v>
      </c>
      <c r="J93" s="214" t="s">
        <v>6743</v>
      </c>
      <c r="K93" s="225" t="s">
        <v>6761</v>
      </c>
      <c r="L93" s="212" t="s">
        <v>6473</v>
      </c>
      <c r="M93" s="6" t="s">
        <v>2373</v>
      </c>
      <c r="N93" s="36" t="s">
        <v>585</v>
      </c>
      <c r="O93" s="36" t="s">
        <v>6745</v>
      </c>
      <c r="P93" s="36" t="s">
        <v>6627</v>
      </c>
      <c r="Q93" s="212" t="s">
        <v>4980</v>
      </c>
    </row>
    <row r="94" customFormat="false" ht="51.75" hidden="false" customHeight="true" outlineLevel="0" collapsed="false">
      <c r="A94" s="214" t="s">
        <v>6762</v>
      </c>
      <c r="B94" s="214" t="s">
        <v>4724</v>
      </c>
      <c r="C94" s="223" t="s">
        <v>6763</v>
      </c>
      <c r="D94" s="214" t="s">
        <v>6764</v>
      </c>
      <c r="E94" s="224" t="s">
        <v>6765</v>
      </c>
      <c r="F94" s="214" t="s">
        <v>6766</v>
      </c>
      <c r="G94" s="214" t="s">
        <v>6767</v>
      </c>
      <c r="H94" s="214" t="s">
        <v>6768</v>
      </c>
      <c r="I94" s="224" t="s">
        <v>6769</v>
      </c>
      <c r="J94" s="214" t="s">
        <v>6770</v>
      </c>
      <c r="K94" s="225" t="s">
        <v>6771</v>
      </c>
      <c r="L94" s="212" t="s">
        <v>6473</v>
      </c>
      <c r="M94" s="6" t="s">
        <v>3256</v>
      </c>
      <c r="N94" s="36" t="s">
        <v>585</v>
      </c>
      <c r="O94" s="36" t="s">
        <v>6772</v>
      </c>
      <c r="P94" s="36" t="s">
        <v>6652</v>
      </c>
      <c r="Q94" s="212" t="s">
        <v>4876</v>
      </c>
    </row>
    <row r="95" customFormat="false" ht="51.75" hidden="false" customHeight="true" outlineLevel="0" collapsed="false">
      <c r="A95" s="214" t="s">
        <v>6773</v>
      </c>
      <c r="B95" s="214" t="s">
        <v>4724</v>
      </c>
      <c r="C95" s="223" t="s">
        <v>6774</v>
      </c>
      <c r="D95" s="214" t="s">
        <v>6764</v>
      </c>
      <c r="E95" s="224" t="s">
        <v>6765</v>
      </c>
      <c r="F95" s="214" t="s">
        <v>6775</v>
      </c>
      <c r="G95" s="214" t="s">
        <v>6776</v>
      </c>
      <c r="H95" s="214" t="s">
        <v>6777</v>
      </c>
      <c r="I95" s="224" t="s">
        <v>6769</v>
      </c>
      <c r="J95" s="214" t="s">
        <v>6770</v>
      </c>
      <c r="K95" s="225" t="s">
        <v>6771</v>
      </c>
      <c r="L95" s="212" t="s">
        <v>6473</v>
      </c>
      <c r="M95" s="6" t="s">
        <v>3253</v>
      </c>
      <c r="N95" s="36" t="s">
        <v>585</v>
      </c>
      <c r="O95" s="36" t="s">
        <v>6772</v>
      </c>
      <c r="P95" s="36" t="s">
        <v>6652</v>
      </c>
      <c r="Q95" s="212" t="s">
        <v>4876</v>
      </c>
    </row>
    <row r="96" customFormat="false" ht="51.75" hidden="false" customHeight="true" outlineLevel="0" collapsed="false">
      <c r="A96" s="214" t="s">
        <v>6778</v>
      </c>
      <c r="B96" s="214" t="s">
        <v>4724</v>
      </c>
      <c r="C96" s="223" t="s">
        <v>6779</v>
      </c>
      <c r="D96" s="214" t="s">
        <v>6780</v>
      </c>
      <c r="E96" s="224" t="s">
        <v>6765</v>
      </c>
      <c r="F96" s="214" t="s">
        <v>6781</v>
      </c>
      <c r="G96" s="214" t="s">
        <v>6782</v>
      </c>
      <c r="H96" s="214" t="s">
        <v>6783</v>
      </c>
      <c r="I96" s="224" t="s">
        <v>6769</v>
      </c>
      <c r="J96" s="214" t="s">
        <v>6770</v>
      </c>
      <c r="K96" s="225" t="s">
        <v>6784</v>
      </c>
      <c r="L96" s="212" t="s">
        <v>6473</v>
      </c>
      <c r="M96" s="6" t="s">
        <v>3258</v>
      </c>
      <c r="N96" s="36" t="s">
        <v>585</v>
      </c>
      <c r="O96" s="36" t="s">
        <v>6772</v>
      </c>
      <c r="P96" s="36" t="s">
        <v>6652</v>
      </c>
      <c r="Q96" s="212" t="s">
        <v>4876</v>
      </c>
    </row>
    <row r="97" customFormat="false" ht="51.75" hidden="false" customHeight="true" outlineLevel="0" collapsed="false">
      <c r="A97" s="214" t="s">
        <v>6785</v>
      </c>
      <c r="B97" s="214" t="s">
        <v>4724</v>
      </c>
      <c r="C97" s="223" t="s">
        <v>6786</v>
      </c>
      <c r="D97" s="214" t="s">
        <v>6780</v>
      </c>
      <c r="E97" s="224" t="s">
        <v>6765</v>
      </c>
      <c r="F97" s="214" t="s">
        <v>6787</v>
      </c>
      <c r="G97" s="214" t="s">
        <v>6788</v>
      </c>
      <c r="H97" s="214" t="s">
        <v>6789</v>
      </c>
      <c r="I97" s="224" t="s">
        <v>6769</v>
      </c>
      <c r="J97" s="214" t="s">
        <v>6770</v>
      </c>
      <c r="K97" s="225" t="s">
        <v>6790</v>
      </c>
      <c r="L97" s="212" t="s">
        <v>6473</v>
      </c>
      <c r="M97" s="6" t="s">
        <v>3262</v>
      </c>
      <c r="N97" s="36" t="s">
        <v>585</v>
      </c>
      <c r="O97" s="36" t="s">
        <v>6772</v>
      </c>
      <c r="P97" s="36" t="s">
        <v>6652</v>
      </c>
      <c r="Q97" s="212" t="s">
        <v>4876</v>
      </c>
    </row>
    <row r="98" customFormat="false" ht="51.75" hidden="false" customHeight="true" outlineLevel="0" collapsed="false">
      <c r="A98" s="214" t="s">
        <v>6791</v>
      </c>
      <c r="B98" s="214" t="s">
        <v>4724</v>
      </c>
      <c r="C98" s="223" t="s">
        <v>6792</v>
      </c>
      <c r="D98" s="214" t="s">
        <v>6780</v>
      </c>
      <c r="E98" s="224" t="s">
        <v>6765</v>
      </c>
      <c r="F98" s="214" t="s">
        <v>6793</v>
      </c>
      <c r="G98" s="214" t="s">
        <v>6794</v>
      </c>
      <c r="H98" s="214" t="s">
        <v>6795</v>
      </c>
      <c r="I98" s="224" t="s">
        <v>6769</v>
      </c>
      <c r="J98" s="214" t="s">
        <v>6770</v>
      </c>
      <c r="K98" s="225" t="s">
        <v>6796</v>
      </c>
      <c r="L98" s="212" t="s">
        <v>6473</v>
      </c>
      <c r="M98" s="6" t="s">
        <v>3265</v>
      </c>
      <c r="N98" s="36" t="s">
        <v>585</v>
      </c>
      <c r="O98" s="36" t="s">
        <v>6772</v>
      </c>
      <c r="P98" s="36" t="s">
        <v>6652</v>
      </c>
      <c r="Q98" s="212" t="s">
        <v>4876</v>
      </c>
    </row>
    <row r="99" customFormat="false" ht="39" hidden="false" customHeight="true" outlineLevel="0" collapsed="false">
      <c r="A99" s="214" t="s">
        <v>6797</v>
      </c>
      <c r="B99" s="214" t="s">
        <v>4724</v>
      </c>
      <c r="C99" s="223" t="s">
        <v>6798</v>
      </c>
      <c r="D99" s="214" t="s">
        <v>5517</v>
      </c>
      <c r="E99" s="224" t="s">
        <v>6765</v>
      </c>
      <c r="F99" s="214" t="s">
        <v>6799</v>
      </c>
      <c r="G99" s="214" t="s">
        <v>6800</v>
      </c>
      <c r="H99" s="214" t="s">
        <v>6801</v>
      </c>
      <c r="I99" s="224" t="s">
        <v>6769</v>
      </c>
      <c r="J99" s="214" t="s">
        <v>6770</v>
      </c>
      <c r="K99" s="225" t="s">
        <v>6802</v>
      </c>
      <c r="L99" s="212" t="s">
        <v>6473</v>
      </c>
      <c r="M99" s="6" t="s">
        <v>3267</v>
      </c>
      <c r="N99" s="36" t="s">
        <v>585</v>
      </c>
      <c r="O99" s="36" t="s">
        <v>6772</v>
      </c>
      <c r="P99" s="36" t="s">
        <v>6652</v>
      </c>
      <c r="Q99" s="212" t="s">
        <v>4876</v>
      </c>
    </row>
    <row r="100" customFormat="false" ht="51.75" hidden="false" customHeight="true" outlineLevel="0" collapsed="false">
      <c r="A100" s="214" t="s">
        <v>6803</v>
      </c>
      <c r="B100" s="214" t="s">
        <v>4724</v>
      </c>
      <c r="C100" s="223" t="s">
        <v>6804</v>
      </c>
      <c r="D100" s="214" t="s">
        <v>6780</v>
      </c>
      <c r="E100" s="224" t="s">
        <v>6765</v>
      </c>
      <c r="F100" s="214" t="s">
        <v>6805</v>
      </c>
      <c r="G100" s="214" t="s">
        <v>6806</v>
      </c>
      <c r="H100" s="214" t="s">
        <v>6807</v>
      </c>
      <c r="I100" s="224" t="s">
        <v>6769</v>
      </c>
      <c r="J100" s="214" t="s">
        <v>6770</v>
      </c>
      <c r="K100" s="225" t="s">
        <v>6808</v>
      </c>
      <c r="L100" s="212" t="s">
        <v>6473</v>
      </c>
      <c r="M100" s="6" t="s">
        <v>3270</v>
      </c>
      <c r="N100" s="36" t="s">
        <v>585</v>
      </c>
      <c r="O100" s="36" t="s">
        <v>6772</v>
      </c>
      <c r="P100" s="36" t="s">
        <v>6652</v>
      </c>
      <c r="Q100" s="212" t="s">
        <v>4876</v>
      </c>
    </row>
    <row r="101" customFormat="false" ht="51.75" hidden="false" customHeight="true" outlineLevel="0" collapsed="false">
      <c r="A101" s="214" t="s">
        <v>6809</v>
      </c>
      <c r="B101" s="214" t="s">
        <v>4724</v>
      </c>
      <c r="C101" s="223" t="s">
        <v>6810</v>
      </c>
      <c r="D101" s="214" t="s">
        <v>6780</v>
      </c>
      <c r="E101" s="224" t="s">
        <v>6765</v>
      </c>
      <c r="F101" s="214" t="s">
        <v>6811</v>
      </c>
      <c r="G101" s="214" t="s">
        <v>6812</v>
      </c>
      <c r="H101" s="214" t="s">
        <v>6813</v>
      </c>
      <c r="I101" s="224" t="s">
        <v>6769</v>
      </c>
      <c r="J101" s="214" t="s">
        <v>6770</v>
      </c>
      <c r="K101" s="225" t="s">
        <v>6814</v>
      </c>
      <c r="L101" s="212" t="s">
        <v>6473</v>
      </c>
      <c r="M101" s="6" t="s">
        <v>3274</v>
      </c>
      <c r="N101" s="36" t="s">
        <v>585</v>
      </c>
      <c r="O101" s="36" t="s">
        <v>6772</v>
      </c>
      <c r="P101" s="36" t="s">
        <v>6652</v>
      </c>
      <c r="Q101" s="212" t="s">
        <v>4876</v>
      </c>
    </row>
    <row r="102" customFormat="false" ht="51.75" hidden="false" customHeight="true" outlineLevel="0" collapsed="false">
      <c r="A102" s="214" t="s">
        <v>6815</v>
      </c>
      <c r="B102" s="214" t="s">
        <v>4724</v>
      </c>
      <c r="C102" s="223" t="s">
        <v>6816</v>
      </c>
      <c r="D102" s="214" t="s">
        <v>6780</v>
      </c>
      <c r="E102" s="224" t="s">
        <v>6765</v>
      </c>
      <c r="F102" s="214" t="s">
        <v>6817</v>
      </c>
      <c r="G102" s="214" t="s">
        <v>6818</v>
      </c>
      <c r="H102" s="214" t="s">
        <v>6819</v>
      </c>
      <c r="I102" s="224" t="s">
        <v>6769</v>
      </c>
      <c r="J102" s="214" t="s">
        <v>6770</v>
      </c>
      <c r="K102" s="225" t="s">
        <v>6820</v>
      </c>
      <c r="L102" s="212" t="s">
        <v>6473</v>
      </c>
      <c r="M102" s="6" t="s">
        <v>3278</v>
      </c>
      <c r="N102" s="36" t="s">
        <v>585</v>
      </c>
      <c r="O102" s="36" t="s">
        <v>6772</v>
      </c>
      <c r="P102" s="36" t="s">
        <v>6652</v>
      </c>
      <c r="Q102" s="212" t="s">
        <v>4876</v>
      </c>
    </row>
    <row r="103" customFormat="false" ht="39" hidden="false" customHeight="true" outlineLevel="0" collapsed="false">
      <c r="A103" s="214" t="s">
        <v>6821</v>
      </c>
      <c r="B103" s="214" t="s">
        <v>4724</v>
      </c>
      <c r="C103" s="223" t="s">
        <v>6822</v>
      </c>
      <c r="D103" s="214" t="s">
        <v>6780</v>
      </c>
      <c r="E103" s="224" t="s">
        <v>6765</v>
      </c>
      <c r="F103" s="214" t="s">
        <v>6823</v>
      </c>
      <c r="G103" s="214" t="s">
        <v>6824</v>
      </c>
      <c r="H103" s="214" t="s">
        <v>6825</v>
      </c>
      <c r="I103" s="224" t="s">
        <v>6769</v>
      </c>
      <c r="J103" s="214" t="s">
        <v>6770</v>
      </c>
      <c r="K103" s="225" t="s">
        <v>6826</v>
      </c>
      <c r="L103" s="212" t="s">
        <v>6473</v>
      </c>
      <c r="M103" s="6" t="s">
        <v>3287</v>
      </c>
      <c r="N103" s="36" t="s">
        <v>585</v>
      </c>
      <c r="O103" s="36" t="s">
        <v>6772</v>
      </c>
      <c r="P103" s="36" t="s">
        <v>6652</v>
      </c>
      <c r="Q103" s="212" t="s">
        <v>4876</v>
      </c>
    </row>
    <row r="104" customFormat="false" ht="51.75" hidden="false" customHeight="true" outlineLevel="0" collapsed="false">
      <c r="A104" s="214" t="s">
        <v>6827</v>
      </c>
      <c r="B104" s="214" t="s">
        <v>4724</v>
      </c>
      <c r="C104" s="223" t="s">
        <v>6828</v>
      </c>
      <c r="D104" s="214" t="s">
        <v>6780</v>
      </c>
      <c r="E104" s="224" t="s">
        <v>6765</v>
      </c>
      <c r="F104" s="214" t="s">
        <v>6829</v>
      </c>
      <c r="G104" s="214" t="s">
        <v>6830</v>
      </c>
      <c r="H104" s="214" t="s">
        <v>6831</v>
      </c>
      <c r="I104" s="224" t="s">
        <v>6769</v>
      </c>
      <c r="J104" s="214" t="s">
        <v>6770</v>
      </c>
      <c r="K104" s="225" t="s">
        <v>6832</v>
      </c>
      <c r="L104" s="212" t="s">
        <v>6473</v>
      </c>
      <c r="M104" s="6" t="s">
        <v>3291</v>
      </c>
      <c r="N104" s="36" t="s">
        <v>585</v>
      </c>
      <c r="O104" s="36" t="s">
        <v>6772</v>
      </c>
      <c r="P104" s="36" t="s">
        <v>6652</v>
      </c>
      <c r="Q104" s="212" t="s">
        <v>4876</v>
      </c>
    </row>
    <row r="105" customFormat="false" ht="64.5" hidden="false" customHeight="true" outlineLevel="0" collapsed="false">
      <c r="A105" s="214" t="s">
        <v>6833</v>
      </c>
      <c r="B105" s="214" t="s">
        <v>4724</v>
      </c>
      <c r="C105" s="223" t="s">
        <v>6834</v>
      </c>
      <c r="D105" s="214" t="s">
        <v>6835</v>
      </c>
      <c r="E105" s="224" t="s">
        <v>6765</v>
      </c>
      <c r="F105" s="214" t="s">
        <v>6836</v>
      </c>
      <c r="G105" s="214" t="s">
        <v>6837</v>
      </c>
      <c r="H105" s="224" t="s">
        <v>6838</v>
      </c>
      <c r="I105" s="224" t="s">
        <v>6769</v>
      </c>
      <c r="J105" s="214" t="s">
        <v>6770</v>
      </c>
      <c r="K105" s="225" t="s">
        <v>6839</v>
      </c>
      <c r="L105" s="212" t="s">
        <v>6473</v>
      </c>
      <c r="M105" s="6" t="s">
        <v>2957</v>
      </c>
      <c r="N105" s="36" t="s">
        <v>585</v>
      </c>
      <c r="O105" s="36" t="s">
        <v>6772</v>
      </c>
      <c r="P105" s="36" t="s">
        <v>6652</v>
      </c>
      <c r="Q105" s="212" t="s">
        <v>4876</v>
      </c>
    </row>
    <row r="106" customFormat="false" ht="50.25" hidden="false" customHeight="true" outlineLevel="0" collapsed="false">
      <c r="A106" s="214" t="s">
        <v>6840</v>
      </c>
      <c r="B106" s="214" t="s">
        <v>4724</v>
      </c>
      <c r="C106" s="223" t="s">
        <v>6841</v>
      </c>
      <c r="D106" s="214" t="s">
        <v>6842</v>
      </c>
      <c r="E106" s="224" t="s">
        <v>6765</v>
      </c>
      <c r="F106" s="214" t="s">
        <v>6843</v>
      </c>
      <c r="G106" s="214" t="s">
        <v>6844</v>
      </c>
      <c r="H106" s="214" t="s">
        <v>6845</v>
      </c>
      <c r="I106" s="224" t="s">
        <v>6769</v>
      </c>
      <c r="J106" s="214" t="s">
        <v>6770</v>
      </c>
      <c r="K106" s="225" t="s">
        <v>6846</v>
      </c>
      <c r="L106" s="212" t="s">
        <v>6473</v>
      </c>
      <c r="M106" s="6" t="s">
        <v>3044</v>
      </c>
      <c r="N106" s="36" t="s">
        <v>585</v>
      </c>
      <c r="O106" s="36" t="s">
        <v>6772</v>
      </c>
      <c r="P106" s="36" t="s">
        <v>6652</v>
      </c>
      <c r="Q106" s="212" t="s">
        <v>4876</v>
      </c>
    </row>
    <row r="107" customFormat="false" ht="51.75" hidden="false" customHeight="true" outlineLevel="0" collapsed="false">
      <c r="A107" s="214" t="s">
        <v>6847</v>
      </c>
      <c r="B107" s="214" t="s">
        <v>4724</v>
      </c>
      <c r="C107" s="223" t="s">
        <v>6848</v>
      </c>
      <c r="D107" s="214" t="s">
        <v>6849</v>
      </c>
      <c r="E107" s="224" t="s">
        <v>6765</v>
      </c>
      <c r="F107" s="214" t="s">
        <v>6850</v>
      </c>
      <c r="G107" s="214" t="s">
        <v>6851</v>
      </c>
      <c r="H107" s="214" t="s">
        <v>6852</v>
      </c>
      <c r="I107" s="224" t="s">
        <v>6769</v>
      </c>
      <c r="J107" s="214" t="s">
        <v>6770</v>
      </c>
      <c r="K107" s="225" t="s">
        <v>6853</v>
      </c>
      <c r="L107" s="212" t="s">
        <v>6473</v>
      </c>
      <c r="M107" s="6" t="s">
        <v>3046</v>
      </c>
      <c r="N107" s="36" t="s">
        <v>585</v>
      </c>
      <c r="O107" s="36" t="s">
        <v>6772</v>
      </c>
      <c r="P107" s="36" t="s">
        <v>6652</v>
      </c>
      <c r="Q107" s="212" t="s">
        <v>4876</v>
      </c>
    </row>
    <row r="108" customFormat="false" ht="77.25" hidden="false" customHeight="true" outlineLevel="0" collapsed="false">
      <c r="A108" s="214" t="s">
        <v>6854</v>
      </c>
      <c r="B108" s="214" t="s">
        <v>4724</v>
      </c>
      <c r="C108" s="223" t="s">
        <v>6855</v>
      </c>
      <c r="D108" s="214" t="s">
        <v>6856</v>
      </c>
      <c r="E108" s="224" t="s">
        <v>6765</v>
      </c>
      <c r="F108" s="214" t="s">
        <v>6857</v>
      </c>
      <c r="G108" s="214" t="s">
        <v>6858</v>
      </c>
      <c r="H108" s="214" t="s">
        <v>6859</v>
      </c>
      <c r="I108" s="224" t="s">
        <v>6769</v>
      </c>
      <c r="J108" s="214" t="s">
        <v>6770</v>
      </c>
      <c r="K108" s="225" t="s">
        <v>6860</v>
      </c>
      <c r="L108" s="212" t="s">
        <v>6473</v>
      </c>
      <c r="M108" s="6" t="s">
        <v>3040</v>
      </c>
      <c r="N108" s="36" t="s">
        <v>585</v>
      </c>
      <c r="O108" s="36" t="s">
        <v>6772</v>
      </c>
      <c r="P108" s="36" t="s">
        <v>6652</v>
      </c>
      <c r="Q108" s="212" t="s">
        <v>4876</v>
      </c>
    </row>
    <row r="109" customFormat="false" ht="50.25" hidden="false" customHeight="true" outlineLevel="0" collapsed="false">
      <c r="A109" s="214" t="s">
        <v>6861</v>
      </c>
      <c r="B109" s="214" t="s">
        <v>4724</v>
      </c>
      <c r="C109" s="223" t="s">
        <v>6862</v>
      </c>
      <c r="D109" s="214" t="s">
        <v>6842</v>
      </c>
      <c r="E109" s="224" t="s">
        <v>6765</v>
      </c>
      <c r="F109" s="214" t="s">
        <v>6863</v>
      </c>
      <c r="G109" s="214" t="s">
        <v>6864</v>
      </c>
      <c r="H109" s="214" t="s">
        <v>6865</v>
      </c>
      <c r="I109" s="224" t="s">
        <v>6769</v>
      </c>
      <c r="J109" s="214" t="s">
        <v>6770</v>
      </c>
      <c r="K109" s="225" t="s">
        <v>6866</v>
      </c>
      <c r="L109" s="212" t="s">
        <v>6473</v>
      </c>
      <c r="M109" s="6" t="s">
        <v>3221</v>
      </c>
      <c r="N109" s="36" t="s">
        <v>585</v>
      </c>
      <c r="O109" s="36" t="s">
        <v>6772</v>
      </c>
      <c r="P109" s="36" t="s">
        <v>6652</v>
      </c>
      <c r="Q109" s="212" t="s">
        <v>4876</v>
      </c>
    </row>
    <row r="110" customFormat="false" ht="64.5" hidden="false" customHeight="true" outlineLevel="0" collapsed="false">
      <c r="A110" s="214" t="s">
        <v>6867</v>
      </c>
      <c r="B110" s="214" t="s">
        <v>4724</v>
      </c>
      <c r="C110" s="223" t="s">
        <v>6868</v>
      </c>
      <c r="D110" s="214" t="s">
        <v>6869</v>
      </c>
      <c r="E110" s="224" t="s">
        <v>6765</v>
      </c>
      <c r="F110" s="214" t="s">
        <v>6870</v>
      </c>
      <c r="G110" s="214" t="s">
        <v>6871</v>
      </c>
      <c r="H110" s="214" t="s">
        <v>6872</v>
      </c>
      <c r="I110" s="224" t="s">
        <v>6769</v>
      </c>
      <c r="J110" s="214" t="s">
        <v>6770</v>
      </c>
      <c r="K110" s="225" t="s">
        <v>6873</v>
      </c>
      <c r="L110" s="212" t="s">
        <v>6473</v>
      </c>
      <c r="M110" s="6" t="s">
        <v>2933</v>
      </c>
      <c r="N110" s="36" t="s">
        <v>585</v>
      </c>
      <c r="O110" s="36" t="s">
        <v>6772</v>
      </c>
      <c r="P110" s="36" t="s">
        <v>6652</v>
      </c>
      <c r="Q110" s="212" t="s">
        <v>4876</v>
      </c>
    </row>
    <row r="111" customFormat="false" ht="77.25" hidden="false" customHeight="true" outlineLevel="0" collapsed="false">
      <c r="A111" s="214" t="s">
        <v>6874</v>
      </c>
      <c r="B111" s="214" t="s">
        <v>4724</v>
      </c>
      <c r="C111" s="223" t="s">
        <v>6875</v>
      </c>
      <c r="D111" s="214" t="s">
        <v>6876</v>
      </c>
      <c r="E111" s="224" t="s">
        <v>6765</v>
      </c>
      <c r="F111" s="224" t="s">
        <v>6877</v>
      </c>
      <c r="G111" s="224" t="s">
        <v>6878</v>
      </c>
      <c r="H111" s="214" t="s">
        <v>6879</v>
      </c>
      <c r="I111" s="224" t="s">
        <v>6769</v>
      </c>
      <c r="J111" s="214" t="s">
        <v>6770</v>
      </c>
      <c r="K111" s="225" t="s">
        <v>6880</v>
      </c>
      <c r="L111" s="212" t="s">
        <v>6473</v>
      </c>
      <c r="M111" s="6" t="s">
        <v>4142</v>
      </c>
      <c r="N111" s="36" t="s">
        <v>585</v>
      </c>
      <c r="O111" s="36" t="s">
        <v>6772</v>
      </c>
      <c r="P111" s="36" t="s">
        <v>6652</v>
      </c>
      <c r="Q111" s="212" t="s">
        <v>4876</v>
      </c>
    </row>
    <row r="112" customFormat="false" ht="39" hidden="false" customHeight="true" outlineLevel="0" collapsed="false">
      <c r="A112" s="214" t="s">
        <v>6881</v>
      </c>
      <c r="B112" s="214" t="s">
        <v>4724</v>
      </c>
      <c r="C112" s="223" t="s">
        <v>6882</v>
      </c>
      <c r="D112" s="214" t="s">
        <v>6876</v>
      </c>
      <c r="E112" s="224" t="s">
        <v>6765</v>
      </c>
      <c r="F112" s="214" t="s">
        <v>6883</v>
      </c>
      <c r="G112" s="214" t="s">
        <v>6884</v>
      </c>
      <c r="H112" s="224" t="s">
        <v>6885</v>
      </c>
      <c r="I112" s="224" t="s">
        <v>6769</v>
      </c>
      <c r="J112" s="214" t="s">
        <v>6770</v>
      </c>
      <c r="K112" s="225" t="s">
        <v>6886</v>
      </c>
      <c r="L112" s="212" t="s">
        <v>6473</v>
      </c>
      <c r="M112" s="6" t="s">
        <v>4147</v>
      </c>
      <c r="N112" s="36" t="s">
        <v>585</v>
      </c>
      <c r="O112" s="36" t="s">
        <v>6772</v>
      </c>
      <c r="P112" s="36" t="s">
        <v>6652</v>
      </c>
      <c r="Q112" s="212" t="s">
        <v>4876</v>
      </c>
    </row>
    <row r="113" customFormat="false" ht="77.25" hidden="false" customHeight="true" outlineLevel="0" collapsed="false">
      <c r="A113" s="214" t="s">
        <v>6887</v>
      </c>
      <c r="B113" s="214" t="s">
        <v>4724</v>
      </c>
      <c r="C113" s="223" t="s">
        <v>6888</v>
      </c>
      <c r="D113" s="214" t="s">
        <v>6889</v>
      </c>
      <c r="E113" s="224" t="s">
        <v>6765</v>
      </c>
      <c r="F113" s="214" t="s">
        <v>6890</v>
      </c>
      <c r="G113" s="214" t="s">
        <v>6891</v>
      </c>
      <c r="H113" s="214" t="s">
        <v>6891</v>
      </c>
      <c r="I113" s="224" t="s">
        <v>6769</v>
      </c>
      <c r="J113" s="214" t="s">
        <v>6770</v>
      </c>
      <c r="K113" s="225" t="s">
        <v>6892</v>
      </c>
      <c r="L113" s="212" t="s">
        <v>6473</v>
      </c>
      <c r="M113" s="6" t="s">
        <v>6019</v>
      </c>
      <c r="N113" s="36" t="s">
        <v>585</v>
      </c>
      <c r="O113" s="36" t="s">
        <v>6772</v>
      </c>
      <c r="P113" s="36" t="s">
        <v>6652</v>
      </c>
      <c r="Q113" s="212" t="s">
        <v>4980</v>
      </c>
    </row>
    <row r="114" customFormat="false" ht="37.5" hidden="false" customHeight="true" outlineLevel="0" collapsed="false">
      <c r="A114" s="214" t="s">
        <v>6893</v>
      </c>
      <c r="B114" s="214" t="s">
        <v>4724</v>
      </c>
      <c r="C114" s="223" t="s">
        <v>6894</v>
      </c>
      <c r="D114" s="214" t="s">
        <v>6889</v>
      </c>
      <c r="E114" s="224" t="s">
        <v>6765</v>
      </c>
      <c r="F114" s="214" t="s">
        <v>6895</v>
      </c>
      <c r="G114" s="214" t="s">
        <v>6896</v>
      </c>
      <c r="H114" s="214" t="s">
        <v>6896</v>
      </c>
      <c r="I114" s="224" t="s">
        <v>6769</v>
      </c>
      <c r="J114" s="214" t="s">
        <v>6770</v>
      </c>
      <c r="K114" s="225" t="s">
        <v>6897</v>
      </c>
      <c r="L114" s="212" t="s">
        <v>6473</v>
      </c>
      <c r="M114" s="6" t="s">
        <v>6034</v>
      </c>
      <c r="N114" s="36" t="s">
        <v>585</v>
      </c>
      <c r="O114" s="36" t="s">
        <v>6772</v>
      </c>
      <c r="P114" s="36" t="s">
        <v>6652</v>
      </c>
      <c r="Q114" s="212" t="s">
        <v>4980</v>
      </c>
    </row>
    <row r="115" customFormat="false" ht="51.75" hidden="false" customHeight="true" outlineLevel="0" collapsed="false">
      <c r="A115" s="214" t="s">
        <v>6898</v>
      </c>
      <c r="B115" s="214" t="s">
        <v>4724</v>
      </c>
      <c r="C115" s="225" t="s">
        <v>6899</v>
      </c>
      <c r="D115" s="214" t="s">
        <v>6900</v>
      </c>
      <c r="E115" s="224" t="s">
        <v>6765</v>
      </c>
      <c r="F115" s="214" t="s">
        <v>6901</v>
      </c>
      <c r="G115" s="224" t="s">
        <v>6902</v>
      </c>
      <c r="H115" s="214" t="s">
        <v>6903</v>
      </c>
      <c r="I115" s="224" t="s">
        <v>6769</v>
      </c>
      <c r="J115" s="214" t="s">
        <v>6770</v>
      </c>
      <c r="K115" s="225" t="s">
        <v>6904</v>
      </c>
      <c r="L115" s="212" t="s">
        <v>6473</v>
      </c>
      <c r="M115" s="6" t="s">
        <v>2373</v>
      </c>
      <c r="N115" s="36" t="s">
        <v>585</v>
      </c>
      <c r="O115" s="36" t="s">
        <v>6772</v>
      </c>
      <c r="P115" s="36" t="s">
        <v>6652</v>
      </c>
      <c r="Q115" s="212" t="s">
        <v>4980</v>
      </c>
    </row>
    <row r="116" customFormat="false" ht="64.5" hidden="false" customHeight="true" outlineLevel="0" collapsed="false">
      <c r="A116" s="214" t="s">
        <v>6905</v>
      </c>
      <c r="B116" s="214" t="s">
        <v>4724</v>
      </c>
      <c r="C116" s="223" t="s">
        <v>6906</v>
      </c>
      <c r="D116" s="214" t="s">
        <v>6907</v>
      </c>
      <c r="E116" s="224" t="s">
        <v>6765</v>
      </c>
      <c r="F116" s="224" t="s">
        <v>6908</v>
      </c>
      <c r="G116" s="214" t="s">
        <v>6909</v>
      </c>
      <c r="H116" s="214" t="s">
        <v>6910</v>
      </c>
      <c r="I116" s="224" t="s">
        <v>6911</v>
      </c>
      <c r="J116" s="214" t="s">
        <v>6770</v>
      </c>
      <c r="K116" s="225" t="s">
        <v>6912</v>
      </c>
      <c r="L116" s="212" t="s">
        <v>6473</v>
      </c>
      <c r="M116" s="6" t="s">
        <v>6192</v>
      </c>
      <c r="N116" s="36" t="s">
        <v>585</v>
      </c>
      <c r="O116" s="36" t="s">
        <v>6772</v>
      </c>
      <c r="P116" s="36" t="s">
        <v>6652</v>
      </c>
      <c r="Q116" s="36" t="s">
        <v>183</v>
      </c>
    </row>
    <row r="117" customFormat="false" ht="77.25" hidden="false" customHeight="true" outlineLevel="0" collapsed="false">
      <c r="A117" s="214" t="s">
        <v>6913</v>
      </c>
      <c r="B117" s="214" t="s">
        <v>4724</v>
      </c>
      <c r="C117" s="223" t="s">
        <v>6914</v>
      </c>
      <c r="D117" s="214" t="s">
        <v>6915</v>
      </c>
      <c r="E117" s="224" t="s">
        <v>6765</v>
      </c>
      <c r="F117" s="214" t="s">
        <v>6916</v>
      </c>
      <c r="G117" s="214" t="s">
        <v>6917</v>
      </c>
      <c r="H117" s="214" t="s">
        <v>6918</v>
      </c>
      <c r="I117" s="224" t="s">
        <v>6919</v>
      </c>
      <c r="J117" s="214" t="s">
        <v>6770</v>
      </c>
      <c r="K117" s="225" t="s">
        <v>6920</v>
      </c>
      <c r="L117" s="212" t="s">
        <v>6473</v>
      </c>
      <c r="M117" s="6" t="s">
        <v>2968</v>
      </c>
      <c r="N117" s="36" t="s">
        <v>585</v>
      </c>
      <c r="O117" s="36" t="s">
        <v>6921</v>
      </c>
      <c r="P117" s="36" t="s">
        <v>6652</v>
      </c>
      <c r="Q117" s="212" t="s">
        <v>4876</v>
      </c>
    </row>
    <row r="118" customFormat="false" ht="64.5" hidden="false" customHeight="true" outlineLevel="0" collapsed="false">
      <c r="A118" s="214" t="s">
        <v>5206</v>
      </c>
      <c r="B118" s="214" t="s">
        <v>4724</v>
      </c>
      <c r="C118" s="223" t="s">
        <v>6922</v>
      </c>
      <c r="D118" s="214" t="s">
        <v>6923</v>
      </c>
      <c r="E118" s="224" t="s">
        <v>6765</v>
      </c>
      <c r="F118" s="224" t="s">
        <v>5207</v>
      </c>
      <c r="G118" s="214" t="s">
        <v>585</v>
      </c>
      <c r="H118" s="214" t="s">
        <v>6924</v>
      </c>
      <c r="I118" s="224" t="s">
        <v>6925</v>
      </c>
      <c r="J118" s="214" t="s">
        <v>6770</v>
      </c>
      <c r="K118" s="225" t="s">
        <v>6926</v>
      </c>
      <c r="L118" s="212" t="s">
        <v>6473</v>
      </c>
      <c r="M118" s="6" t="s">
        <v>5201</v>
      </c>
      <c r="N118" s="36" t="s">
        <v>585</v>
      </c>
      <c r="O118" s="36" t="s">
        <v>585</v>
      </c>
      <c r="P118" s="36" t="s">
        <v>6652</v>
      </c>
      <c r="Q118" s="212" t="s">
        <v>4876</v>
      </c>
    </row>
    <row r="119" customFormat="false" ht="64.5" hidden="false" customHeight="true" outlineLevel="0" collapsed="false">
      <c r="A119" s="214" t="s">
        <v>6927</v>
      </c>
      <c r="B119" s="214" t="s">
        <v>4724</v>
      </c>
      <c r="C119" s="223" t="s">
        <v>6928</v>
      </c>
      <c r="D119" s="214" t="s">
        <v>6929</v>
      </c>
      <c r="E119" s="224" t="s">
        <v>6765</v>
      </c>
      <c r="F119" s="214" t="s">
        <v>6930</v>
      </c>
      <c r="G119" s="214" t="s">
        <v>6931</v>
      </c>
      <c r="H119" s="214" t="s">
        <v>6932</v>
      </c>
      <c r="I119" s="224" t="s">
        <v>6933</v>
      </c>
      <c r="J119" s="214" t="s">
        <v>6770</v>
      </c>
      <c r="K119" s="225" t="s">
        <v>6934</v>
      </c>
      <c r="L119" s="212" t="s">
        <v>6473</v>
      </c>
      <c r="M119" s="6" t="s">
        <v>2945</v>
      </c>
      <c r="N119" s="36" t="s">
        <v>585</v>
      </c>
      <c r="O119" s="36" t="s">
        <v>6935</v>
      </c>
      <c r="P119" s="36" t="s">
        <v>6652</v>
      </c>
      <c r="Q119" s="212" t="s">
        <v>4876</v>
      </c>
    </row>
    <row r="120" customFormat="false" ht="64.5" hidden="false" customHeight="true" outlineLevel="0" collapsed="false">
      <c r="A120" s="214" t="s">
        <v>6936</v>
      </c>
      <c r="B120" s="214" t="s">
        <v>4745</v>
      </c>
      <c r="C120" s="223" t="s">
        <v>6937</v>
      </c>
      <c r="D120" s="214" t="s">
        <v>6938</v>
      </c>
      <c r="E120" s="224" t="s">
        <v>6939</v>
      </c>
      <c r="F120" s="214" t="s">
        <v>6940</v>
      </c>
      <c r="G120" s="214" t="s">
        <v>6941</v>
      </c>
      <c r="H120" s="224" t="s">
        <v>6942</v>
      </c>
      <c r="I120" s="224" t="s">
        <v>6943</v>
      </c>
      <c r="J120" s="214" t="s">
        <v>6770</v>
      </c>
      <c r="K120" s="225" t="s">
        <v>6944</v>
      </c>
      <c r="L120" s="212" t="s">
        <v>6473</v>
      </c>
      <c r="M120" s="6" t="s">
        <v>2987</v>
      </c>
      <c r="N120" s="36" t="s">
        <v>585</v>
      </c>
      <c r="O120" s="36" t="s">
        <v>585</v>
      </c>
      <c r="P120" s="36" t="s">
        <v>6627</v>
      </c>
      <c r="Q120" s="212" t="s">
        <v>4876</v>
      </c>
    </row>
    <row r="121" customFormat="false" ht="64.5" hidden="false" customHeight="true" outlineLevel="0" collapsed="false">
      <c r="A121" s="214" t="s">
        <v>6945</v>
      </c>
      <c r="B121" s="214" t="s">
        <v>4724</v>
      </c>
      <c r="C121" s="223" t="s">
        <v>6946</v>
      </c>
      <c r="D121" s="224" t="s">
        <v>6947</v>
      </c>
      <c r="E121" s="224" t="s">
        <v>6939</v>
      </c>
      <c r="F121" s="214" t="s">
        <v>6948</v>
      </c>
      <c r="G121" s="214" t="s">
        <v>6941</v>
      </c>
      <c r="H121" s="224" t="s">
        <v>6949</v>
      </c>
      <c r="I121" s="224" t="s">
        <v>6950</v>
      </c>
      <c r="J121" s="214" t="s">
        <v>6770</v>
      </c>
      <c r="K121" s="225" t="s">
        <v>6951</v>
      </c>
      <c r="L121" s="212" t="s">
        <v>6473</v>
      </c>
      <c r="M121" s="6" t="s">
        <v>2987</v>
      </c>
      <c r="N121" s="36" t="s">
        <v>585</v>
      </c>
      <c r="O121" s="36" t="s">
        <v>6772</v>
      </c>
      <c r="P121" s="36" t="s">
        <v>6627</v>
      </c>
      <c r="Q121" s="212" t="s">
        <v>6952</v>
      </c>
    </row>
    <row r="122" customFormat="false" ht="90" hidden="false" customHeight="true" outlineLevel="0" collapsed="false">
      <c r="A122" s="214" t="s">
        <v>6953</v>
      </c>
      <c r="B122" s="214" t="s">
        <v>4724</v>
      </c>
      <c r="C122" s="223" t="s">
        <v>6954</v>
      </c>
      <c r="D122" s="214" t="s">
        <v>6955</v>
      </c>
      <c r="E122" s="224" t="s">
        <v>6939</v>
      </c>
      <c r="F122" s="214" t="s">
        <v>6956</v>
      </c>
      <c r="G122" s="214" t="s">
        <v>6957</v>
      </c>
      <c r="H122" s="224" t="s">
        <v>6958</v>
      </c>
      <c r="I122" s="224" t="s">
        <v>6950</v>
      </c>
      <c r="J122" s="214" t="s">
        <v>6770</v>
      </c>
      <c r="K122" s="225" t="s">
        <v>6959</v>
      </c>
      <c r="L122" s="212" t="s">
        <v>6473</v>
      </c>
      <c r="M122" s="6" t="s">
        <v>2947</v>
      </c>
      <c r="N122" s="36" t="s">
        <v>585</v>
      </c>
      <c r="O122" s="36" t="s">
        <v>6772</v>
      </c>
      <c r="P122" s="36" t="s">
        <v>6627</v>
      </c>
      <c r="Q122" s="36" t="s">
        <v>6960</v>
      </c>
    </row>
    <row r="123" customFormat="false" ht="90" hidden="false" customHeight="true" outlineLevel="0" collapsed="false">
      <c r="A123" s="214" t="s">
        <v>6961</v>
      </c>
      <c r="B123" s="214" t="s">
        <v>4724</v>
      </c>
      <c r="C123" s="223" t="s">
        <v>6962</v>
      </c>
      <c r="D123" s="214" t="s">
        <v>6963</v>
      </c>
      <c r="E123" s="224" t="s">
        <v>6939</v>
      </c>
      <c r="F123" s="214" t="s">
        <v>6964</v>
      </c>
      <c r="G123" s="214" t="s">
        <v>6965</v>
      </c>
      <c r="H123" s="224" t="s">
        <v>6966</v>
      </c>
      <c r="I123" s="224" t="s">
        <v>6950</v>
      </c>
      <c r="J123" s="214" t="s">
        <v>6770</v>
      </c>
      <c r="K123" s="225" t="s">
        <v>6967</v>
      </c>
      <c r="L123" s="212" t="s">
        <v>6473</v>
      </c>
      <c r="M123" s="6" t="s">
        <v>2991</v>
      </c>
      <c r="N123" s="36" t="s">
        <v>585</v>
      </c>
      <c r="O123" s="36" t="s">
        <v>6772</v>
      </c>
      <c r="P123" s="36" t="s">
        <v>6627</v>
      </c>
      <c r="Q123" s="36" t="s">
        <v>6968</v>
      </c>
    </row>
    <row r="124" customFormat="false" ht="101.25" hidden="false" customHeight="true" outlineLevel="0" collapsed="false">
      <c r="A124" s="214" t="s">
        <v>6969</v>
      </c>
      <c r="B124" s="214" t="s">
        <v>4724</v>
      </c>
      <c r="C124" s="223" t="s">
        <v>6970</v>
      </c>
      <c r="D124" s="214" t="s">
        <v>6955</v>
      </c>
      <c r="E124" s="224" t="s">
        <v>6939</v>
      </c>
      <c r="F124" s="214" t="s">
        <v>6971</v>
      </c>
      <c r="G124" s="214" t="s">
        <v>6972</v>
      </c>
      <c r="H124" s="224" t="s">
        <v>6973</v>
      </c>
      <c r="I124" s="224" t="s">
        <v>6950</v>
      </c>
      <c r="J124" s="214" t="s">
        <v>6770</v>
      </c>
      <c r="K124" s="225" t="s">
        <v>6974</v>
      </c>
      <c r="L124" s="212" t="s">
        <v>6473</v>
      </c>
      <c r="M124" s="6" t="s">
        <v>3014</v>
      </c>
      <c r="N124" s="36" t="s">
        <v>585</v>
      </c>
      <c r="O124" s="36" t="s">
        <v>6772</v>
      </c>
      <c r="P124" s="36" t="s">
        <v>6627</v>
      </c>
      <c r="Q124" s="36" t="s">
        <v>6975</v>
      </c>
    </row>
    <row r="125" customFormat="false" ht="115.5" hidden="false" customHeight="true" outlineLevel="0" collapsed="false">
      <c r="A125" s="214" t="s">
        <v>6976</v>
      </c>
      <c r="B125" s="214" t="s">
        <v>4724</v>
      </c>
      <c r="C125" s="223" t="s">
        <v>6977</v>
      </c>
      <c r="D125" s="214" t="s">
        <v>6978</v>
      </c>
      <c r="E125" s="224" t="s">
        <v>6939</v>
      </c>
      <c r="F125" s="214" t="s">
        <v>6979</v>
      </c>
      <c r="G125" s="214" t="s">
        <v>6980</v>
      </c>
      <c r="H125" s="224" t="s">
        <v>6981</v>
      </c>
      <c r="I125" s="224" t="s">
        <v>6950</v>
      </c>
      <c r="J125" s="214" t="s">
        <v>6770</v>
      </c>
      <c r="K125" s="225" t="s">
        <v>6982</v>
      </c>
      <c r="L125" s="212" t="s">
        <v>6473</v>
      </c>
      <c r="M125" s="6" t="s">
        <v>2996</v>
      </c>
      <c r="N125" s="36" t="s">
        <v>585</v>
      </c>
      <c r="O125" s="36" t="s">
        <v>6772</v>
      </c>
      <c r="P125" s="36" t="s">
        <v>6627</v>
      </c>
      <c r="Q125" s="36" t="s">
        <v>6983</v>
      </c>
    </row>
    <row r="126" customFormat="false" ht="115.5" hidden="false" customHeight="true" outlineLevel="0" collapsed="false">
      <c r="A126" s="214" t="s">
        <v>6984</v>
      </c>
      <c r="B126" s="214" t="s">
        <v>4724</v>
      </c>
      <c r="C126" s="223" t="s">
        <v>6985</v>
      </c>
      <c r="D126" s="214" t="s">
        <v>6986</v>
      </c>
      <c r="E126" s="224" t="s">
        <v>6939</v>
      </c>
      <c r="F126" s="214" t="s">
        <v>6987</v>
      </c>
      <c r="G126" s="214" t="s">
        <v>6988</v>
      </c>
      <c r="H126" s="224" t="s">
        <v>6989</v>
      </c>
      <c r="I126" s="224" t="s">
        <v>6990</v>
      </c>
      <c r="J126" s="214" t="s">
        <v>6770</v>
      </c>
      <c r="K126" s="225" t="s">
        <v>6991</v>
      </c>
      <c r="L126" s="212" t="s">
        <v>6473</v>
      </c>
      <c r="M126" s="6" t="s">
        <v>3519</v>
      </c>
      <c r="N126" s="36" t="s">
        <v>585</v>
      </c>
      <c r="O126" s="36" t="s">
        <v>6772</v>
      </c>
      <c r="P126" s="36" t="s">
        <v>6627</v>
      </c>
      <c r="Q126" s="212" t="s">
        <v>4876</v>
      </c>
    </row>
    <row r="127" customFormat="false" ht="115.5" hidden="false" customHeight="true" outlineLevel="0" collapsed="false">
      <c r="A127" s="214" t="s">
        <v>6992</v>
      </c>
      <c r="B127" s="214" t="s">
        <v>4724</v>
      </c>
      <c r="C127" s="223" t="s">
        <v>6993</v>
      </c>
      <c r="D127" s="214" t="s">
        <v>6986</v>
      </c>
      <c r="E127" s="224" t="s">
        <v>6939</v>
      </c>
      <c r="F127" s="214" t="s">
        <v>6994</v>
      </c>
      <c r="G127" s="214" t="s">
        <v>6995</v>
      </c>
      <c r="H127" s="224" t="s">
        <v>6996</v>
      </c>
      <c r="I127" s="224" t="s">
        <v>6990</v>
      </c>
      <c r="J127" s="214" t="s">
        <v>6770</v>
      </c>
      <c r="K127" s="225" t="s">
        <v>6997</v>
      </c>
      <c r="L127" s="212" t="s">
        <v>6473</v>
      </c>
      <c r="M127" s="6" t="s">
        <v>3528</v>
      </c>
      <c r="N127" s="36" t="s">
        <v>585</v>
      </c>
      <c r="O127" s="36" t="s">
        <v>6772</v>
      </c>
      <c r="P127" s="36" t="s">
        <v>6627</v>
      </c>
      <c r="Q127" s="212" t="s">
        <v>6998</v>
      </c>
    </row>
    <row r="128" customFormat="false" ht="77.25" hidden="false" customHeight="true" outlineLevel="0" collapsed="false">
      <c r="A128" s="214" t="s">
        <v>6999</v>
      </c>
      <c r="B128" s="214" t="s">
        <v>4724</v>
      </c>
      <c r="C128" s="223" t="s">
        <v>7000</v>
      </c>
      <c r="D128" s="214" t="s">
        <v>7001</v>
      </c>
      <c r="E128" s="224" t="s">
        <v>6939</v>
      </c>
      <c r="F128" s="214" t="s">
        <v>7002</v>
      </c>
      <c r="G128" s="214" t="s">
        <v>585</v>
      </c>
      <c r="H128" s="214" t="s">
        <v>7003</v>
      </c>
      <c r="I128" s="224" t="s">
        <v>7004</v>
      </c>
      <c r="J128" s="214" t="s">
        <v>6770</v>
      </c>
      <c r="K128" s="225" t="s">
        <v>7005</v>
      </c>
      <c r="L128" s="212" t="s">
        <v>6473</v>
      </c>
      <c r="M128" s="6" t="s">
        <v>7006</v>
      </c>
      <c r="N128" s="36" t="s">
        <v>585</v>
      </c>
      <c r="O128" s="36" t="s">
        <v>585</v>
      </c>
      <c r="P128" s="36" t="s">
        <v>6627</v>
      </c>
      <c r="Q128" s="212" t="s">
        <v>4876</v>
      </c>
    </row>
    <row r="129" customFormat="false" ht="64.5" hidden="false" customHeight="true" outlineLevel="0" collapsed="false">
      <c r="A129" s="214" t="s">
        <v>5519</v>
      </c>
      <c r="B129" s="214" t="s">
        <v>4724</v>
      </c>
      <c r="C129" s="223" t="s">
        <v>7007</v>
      </c>
      <c r="D129" s="214" t="s">
        <v>7008</v>
      </c>
      <c r="E129" s="224" t="s">
        <v>6765</v>
      </c>
      <c r="F129" s="214" t="s">
        <v>7009</v>
      </c>
      <c r="G129" s="214" t="s">
        <v>7010</v>
      </c>
      <c r="H129" s="214" t="s">
        <v>7011</v>
      </c>
      <c r="I129" s="224" t="s">
        <v>7012</v>
      </c>
      <c r="J129" s="214" t="s">
        <v>6770</v>
      </c>
      <c r="K129" s="225" t="s">
        <v>7013</v>
      </c>
      <c r="L129" s="212" t="s">
        <v>6473</v>
      </c>
      <c r="M129" s="6" t="s">
        <v>7014</v>
      </c>
      <c r="N129" s="36" t="s">
        <v>585</v>
      </c>
      <c r="O129" s="36" t="s">
        <v>7015</v>
      </c>
      <c r="P129" s="36" t="s">
        <v>6652</v>
      </c>
      <c r="Q129" s="212" t="s">
        <v>4876</v>
      </c>
    </row>
    <row r="130" customFormat="false" ht="112.5" hidden="false" customHeight="true" outlineLevel="0" collapsed="false">
      <c r="A130" s="214" t="s">
        <v>5184</v>
      </c>
      <c r="B130" s="214" t="s">
        <v>4724</v>
      </c>
      <c r="C130" s="223" t="s">
        <v>7016</v>
      </c>
      <c r="D130" s="214" t="s">
        <v>7017</v>
      </c>
      <c r="E130" s="224" t="s">
        <v>6765</v>
      </c>
      <c r="F130" s="214" t="s">
        <v>7018</v>
      </c>
      <c r="G130" s="214" t="s">
        <v>7019</v>
      </c>
      <c r="H130" s="214" t="s">
        <v>7020</v>
      </c>
      <c r="I130" s="224" t="s">
        <v>7021</v>
      </c>
      <c r="J130" s="214" t="s">
        <v>6770</v>
      </c>
      <c r="K130" s="225" t="s">
        <v>7022</v>
      </c>
      <c r="L130" s="212" t="s">
        <v>6473</v>
      </c>
      <c r="M130" s="6" t="s">
        <v>7023</v>
      </c>
      <c r="N130" s="36" t="s">
        <v>7024</v>
      </c>
      <c r="O130" s="36" t="s">
        <v>7025</v>
      </c>
      <c r="P130" s="36" t="s">
        <v>6652</v>
      </c>
      <c r="Q130" s="212" t="s">
        <v>4876</v>
      </c>
    </row>
    <row r="131" customFormat="false" ht="51.75" hidden="false" customHeight="true" outlineLevel="0" collapsed="false">
      <c r="A131" s="214" t="s">
        <v>5198</v>
      </c>
      <c r="B131" s="214" t="s">
        <v>4724</v>
      </c>
      <c r="C131" s="223" t="s">
        <v>7026</v>
      </c>
      <c r="D131" s="214" t="s">
        <v>7027</v>
      </c>
      <c r="E131" s="224" t="s">
        <v>6765</v>
      </c>
      <c r="F131" s="214" t="s">
        <v>7028</v>
      </c>
      <c r="G131" s="214" t="s">
        <v>585</v>
      </c>
      <c r="H131" s="214" t="s">
        <v>7029</v>
      </c>
      <c r="I131" s="224" t="s">
        <v>7030</v>
      </c>
      <c r="J131" s="214" t="s">
        <v>6770</v>
      </c>
      <c r="K131" s="225" t="s">
        <v>7031</v>
      </c>
      <c r="L131" s="212" t="s">
        <v>6473</v>
      </c>
      <c r="M131" s="6" t="s">
        <v>3049</v>
      </c>
      <c r="N131" s="36" t="s">
        <v>585</v>
      </c>
      <c r="O131" s="36" t="s">
        <v>7032</v>
      </c>
      <c r="P131" s="36" t="s">
        <v>6652</v>
      </c>
      <c r="Q131" s="212" t="s">
        <v>4876</v>
      </c>
    </row>
    <row r="132" customFormat="false" ht="64.5" hidden="false" customHeight="true" outlineLevel="0" collapsed="false">
      <c r="A132" s="214" t="s">
        <v>7033</v>
      </c>
      <c r="B132" s="214" t="s">
        <v>4724</v>
      </c>
      <c r="C132" s="223" t="s">
        <v>7034</v>
      </c>
      <c r="D132" s="214" t="s">
        <v>7035</v>
      </c>
      <c r="E132" s="224" t="s">
        <v>6765</v>
      </c>
      <c r="F132" s="214" t="s">
        <v>7036</v>
      </c>
      <c r="G132" s="214" t="s">
        <v>7037</v>
      </c>
      <c r="H132" s="224" t="s">
        <v>7038</v>
      </c>
      <c r="I132" s="224" t="s">
        <v>7039</v>
      </c>
      <c r="J132" s="214" t="s">
        <v>6770</v>
      </c>
      <c r="K132" s="225" t="s">
        <v>7040</v>
      </c>
      <c r="L132" s="212" t="s">
        <v>6473</v>
      </c>
      <c r="M132" s="6" t="s">
        <v>585</v>
      </c>
      <c r="N132" s="36" t="s">
        <v>585</v>
      </c>
      <c r="O132" s="212" t="s">
        <v>7041</v>
      </c>
      <c r="P132" s="36" t="s">
        <v>82</v>
      </c>
      <c r="Q132" s="212" t="s">
        <v>7042</v>
      </c>
    </row>
    <row r="133" customFormat="false" ht="39" hidden="false" customHeight="true" outlineLevel="0" collapsed="false">
      <c r="A133" s="214" t="s">
        <v>7043</v>
      </c>
      <c r="B133" s="214" t="s">
        <v>4724</v>
      </c>
      <c r="C133" s="223" t="s">
        <v>7044</v>
      </c>
      <c r="D133" s="214" t="s">
        <v>7035</v>
      </c>
      <c r="E133" s="224" t="s">
        <v>6765</v>
      </c>
      <c r="F133" s="214" t="s">
        <v>7045</v>
      </c>
      <c r="G133" s="214" t="s">
        <v>7046</v>
      </c>
      <c r="H133" s="224" t="s">
        <v>7038</v>
      </c>
      <c r="I133" s="224" t="s">
        <v>7039</v>
      </c>
      <c r="J133" s="214" t="s">
        <v>6770</v>
      </c>
      <c r="K133" s="225" t="s">
        <v>7047</v>
      </c>
      <c r="L133" s="212" t="s">
        <v>6473</v>
      </c>
      <c r="M133" s="6" t="s">
        <v>585</v>
      </c>
      <c r="N133" s="36" t="s">
        <v>585</v>
      </c>
      <c r="O133" s="212" t="s">
        <v>7041</v>
      </c>
      <c r="P133" s="36" t="s">
        <v>82</v>
      </c>
      <c r="Q133" s="212" t="s">
        <v>7042</v>
      </c>
    </row>
    <row r="134" customFormat="false" ht="51.75" hidden="false" customHeight="true" outlineLevel="0" collapsed="false">
      <c r="A134" s="214" t="s">
        <v>7048</v>
      </c>
      <c r="B134" s="214" t="s">
        <v>4724</v>
      </c>
      <c r="C134" s="223" t="s">
        <v>7049</v>
      </c>
      <c r="D134" s="214" t="s">
        <v>7050</v>
      </c>
      <c r="E134" s="224" t="s">
        <v>6765</v>
      </c>
      <c r="F134" s="214" t="s">
        <v>7051</v>
      </c>
      <c r="G134" s="214" t="s">
        <v>7052</v>
      </c>
      <c r="H134" s="214" t="s">
        <v>7053</v>
      </c>
      <c r="I134" s="224" t="s">
        <v>7054</v>
      </c>
      <c r="J134" s="214" t="s">
        <v>6770</v>
      </c>
      <c r="K134" s="225" t="s">
        <v>7055</v>
      </c>
      <c r="L134" s="212" t="s">
        <v>6473</v>
      </c>
      <c r="M134" s="6" t="s">
        <v>585</v>
      </c>
      <c r="N134" s="36" t="s">
        <v>585</v>
      </c>
      <c r="O134" s="36" t="s">
        <v>585</v>
      </c>
      <c r="P134" s="36" t="s">
        <v>82</v>
      </c>
      <c r="Q134" s="212" t="s">
        <v>4876</v>
      </c>
    </row>
    <row r="135" customFormat="false" ht="39" hidden="false" customHeight="true" outlineLevel="0" collapsed="false">
      <c r="A135" s="214" t="s">
        <v>7056</v>
      </c>
      <c r="B135" s="214" t="s">
        <v>4724</v>
      </c>
      <c r="C135" s="223" t="s">
        <v>7057</v>
      </c>
      <c r="D135" s="214" t="s">
        <v>7035</v>
      </c>
      <c r="E135" s="224" t="s">
        <v>6765</v>
      </c>
      <c r="F135" s="214" t="s">
        <v>7058</v>
      </c>
      <c r="G135" s="214" t="s">
        <v>7059</v>
      </c>
      <c r="H135" s="214" t="s">
        <v>7060</v>
      </c>
      <c r="I135" s="224" t="s">
        <v>7061</v>
      </c>
      <c r="J135" s="214" t="s">
        <v>6770</v>
      </c>
      <c r="K135" s="225" t="s">
        <v>7062</v>
      </c>
      <c r="L135" s="212" t="s">
        <v>6473</v>
      </c>
      <c r="M135" s="6" t="s">
        <v>585</v>
      </c>
      <c r="N135" s="36" t="s">
        <v>585</v>
      </c>
      <c r="O135" s="212" t="s">
        <v>7063</v>
      </c>
      <c r="P135" s="36" t="s">
        <v>82</v>
      </c>
      <c r="Q135" s="212" t="s">
        <v>7042</v>
      </c>
    </row>
    <row r="136" customFormat="false" ht="51.75" hidden="false" customHeight="true" outlineLevel="0" collapsed="false">
      <c r="A136" s="214" t="s">
        <v>7064</v>
      </c>
      <c r="B136" s="214" t="s">
        <v>4724</v>
      </c>
      <c r="C136" s="223" t="s">
        <v>7065</v>
      </c>
      <c r="D136" s="214" t="s">
        <v>7035</v>
      </c>
      <c r="E136" s="224" t="s">
        <v>6765</v>
      </c>
      <c r="F136" s="214" t="s">
        <v>7066</v>
      </c>
      <c r="G136" s="214" t="s">
        <v>7067</v>
      </c>
      <c r="H136" s="224" t="s">
        <v>7068</v>
      </c>
      <c r="I136" s="224" t="s">
        <v>7069</v>
      </c>
      <c r="J136" s="214" t="s">
        <v>6770</v>
      </c>
      <c r="K136" s="225" t="s">
        <v>7070</v>
      </c>
      <c r="L136" s="212" t="s">
        <v>6473</v>
      </c>
      <c r="M136" s="6" t="s">
        <v>585</v>
      </c>
      <c r="N136" s="36" t="s">
        <v>585</v>
      </c>
      <c r="O136" s="36" t="s">
        <v>585</v>
      </c>
      <c r="P136" s="36" t="s">
        <v>585</v>
      </c>
      <c r="Q136" s="212" t="s">
        <v>7042</v>
      </c>
    </row>
    <row r="137" customFormat="false" ht="51.75" hidden="false" customHeight="true" outlineLevel="0" collapsed="false">
      <c r="A137" s="214" t="s">
        <v>7071</v>
      </c>
      <c r="B137" s="214" t="s">
        <v>4724</v>
      </c>
      <c r="C137" s="223" t="s">
        <v>7072</v>
      </c>
      <c r="D137" s="214" t="s">
        <v>7073</v>
      </c>
      <c r="E137" s="224" t="s">
        <v>6765</v>
      </c>
      <c r="F137" s="214" t="s">
        <v>7074</v>
      </c>
      <c r="G137" s="214" t="s">
        <v>7075</v>
      </c>
      <c r="H137" s="214" t="s">
        <v>585</v>
      </c>
      <c r="I137" s="224" t="s">
        <v>7069</v>
      </c>
      <c r="J137" s="214" t="s">
        <v>6770</v>
      </c>
      <c r="K137" s="225" t="s">
        <v>7076</v>
      </c>
      <c r="L137" s="212" t="s">
        <v>6473</v>
      </c>
      <c r="M137" s="6" t="s">
        <v>585</v>
      </c>
      <c r="N137" s="36" t="s">
        <v>585</v>
      </c>
      <c r="O137" s="36" t="s">
        <v>585</v>
      </c>
      <c r="P137" s="36" t="s">
        <v>82</v>
      </c>
      <c r="Q137" s="212" t="s">
        <v>4876</v>
      </c>
    </row>
    <row r="138" customFormat="false" ht="26.25" hidden="false" customHeight="true" outlineLevel="0" collapsed="false">
      <c r="A138" s="214" t="s">
        <v>7077</v>
      </c>
      <c r="B138" s="214" t="s">
        <v>4724</v>
      </c>
      <c r="C138" s="223" t="s">
        <v>7078</v>
      </c>
      <c r="D138" s="214" t="s">
        <v>7079</v>
      </c>
      <c r="E138" s="224" t="s">
        <v>7080</v>
      </c>
      <c r="F138" s="214" t="s">
        <v>7081</v>
      </c>
      <c r="G138" s="214" t="s">
        <v>585</v>
      </c>
      <c r="H138" s="214" t="s">
        <v>585</v>
      </c>
      <c r="I138" s="224" t="s">
        <v>7082</v>
      </c>
      <c r="J138" s="214" t="s">
        <v>6770</v>
      </c>
      <c r="K138" s="225" t="s">
        <v>7083</v>
      </c>
      <c r="L138" s="212" t="s">
        <v>6473</v>
      </c>
      <c r="M138" s="6" t="s">
        <v>585</v>
      </c>
      <c r="N138" s="36" t="s">
        <v>585</v>
      </c>
      <c r="O138" s="36" t="s">
        <v>585</v>
      </c>
      <c r="P138" s="36" t="s">
        <v>6603</v>
      </c>
      <c r="Q138" s="212" t="s">
        <v>4876</v>
      </c>
    </row>
    <row r="139" customFormat="false" ht="51.75" hidden="false" customHeight="true" outlineLevel="0" collapsed="false">
      <c r="A139" s="214" t="s">
        <v>7084</v>
      </c>
      <c r="B139" s="214" t="s">
        <v>4724</v>
      </c>
      <c r="C139" s="223" t="s">
        <v>7085</v>
      </c>
      <c r="D139" s="214" t="s">
        <v>7086</v>
      </c>
      <c r="E139" s="224" t="s">
        <v>7087</v>
      </c>
      <c r="F139" s="214" t="s">
        <v>7088</v>
      </c>
      <c r="G139" s="214" t="s">
        <v>585</v>
      </c>
      <c r="H139" s="214" t="s">
        <v>585</v>
      </c>
      <c r="I139" s="224" t="s">
        <v>7089</v>
      </c>
      <c r="J139" s="214" t="s">
        <v>6770</v>
      </c>
      <c r="K139" s="225" t="s">
        <v>7090</v>
      </c>
      <c r="L139" s="212" t="s">
        <v>6473</v>
      </c>
      <c r="M139" s="6" t="s">
        <v>585</v>
      </c>
      <c r="N139" s="36" t="s">
        <v>585</v>
      </c>
      <c r="O139" s="36" t="s">
        <v>585</v>
      </c>
      <c r="P139" s="36" t="s">
        <v>6603</v>
      </c>
      <c r="Q139" s="212" t="s">
        <v>4876</v>
      </c>
    </row>
    <row r="140" customFormat="false" ht="26.25" hidden="false" customHeight="true" outlineLevel="0" collapsed="false">
      <c r="A140" s="214" t="s">
        <v>7091</v>
      </c>
      <c r="B140" s="214" t="s">
        <v>4724</v>
      </c>
      <c r="C140" s="223" t="s">
        <v>7092</v>
      </c>
      <c r="D140" s="214" t="s">
        <v>7093</v>
      </c>
      <c r="E140" s="224" t="s">
        <v>6939</v>
      </c>
      <c r="F140" s="214" t="s">
        <v>7094</v>
      </c>
      <c r="G140" s="214" t="s">
        <v>7095</v>
      </c>
      <c r="H140" s="214" t="s">
        <v>7096</v>
      </c>
      <c r="I140" s="224" t="s">
        <v>7097</v>
      </c>
      <c r="J140" s="214" t="s">
        <v>6770</v>
      </c>
      <c r="K140" s="225" t="s">
        <v>7098</v>
      </c>
      <c r="L140" s="212" t="s">
        <v>6473</v>
      </c>
      <c r="M140" s="6" t="s">
        <v>585</v>
      </c>
      <c r="N140" s="36" t="s">
        <v>585</v>
      </c>
      <c r="O140" s="36" t="s">
        <v>7099</v>
      </c>
      <c r="P140" s="36" t="s">
        <v>82</v>
      </c>
      <c r="Q140" s="212" t="s">
        <v>4980</v>
      </c>
    </row>
    <row r="141" customFormat="false" ht="51.75" hidden="false" customHeight="true" outlineLevel="0" collapsed="false">
      <c r="A141" s="214" t="s">
        <v>7100</v>
      </c>
      <c r="B141" s="214" t="s">
        <v>4724</v>
      </c>
      <c r="C141" s="223" t="s">
        <v>7101</v>
      </c>
      <c r="D141" s="214" t="s">
        <v>7102</v>
      </c>
      <c r="E141" s="224" t="s">
        <v>6765</v>
      </c>
      <c r="F141" s="214" t="s">
        <v>7103</v>
      </c>
      <c r="G141" s="224" t="s">
        <v>7104</v>
      </c>
      <c r="H141" s="224" t="s">
        <v>7105</v>
      </c>
      <c r="I141" s="224" t="s">
        <v>7106</v>
      </c>
      <c r="J141" s="214" t="s">
        <v>6770</v>
      </c>
      <c r="K141" s="225" t="s">
        <v>7107</v>
      </c>
      <c r="L141" s="212" t="s">
        <v>6473</v>
      </c>
      <c r="M141" s="6" t="s">
        <v>585</v>
      </c>
      <c r="N141" s="36" t="s">
        <v>585</v>
      </c>
      <c r="O141" s="36" t="s">
        <v>7108</v>
      </c>
      <c r="P141" s="36" t="s">
        <v>585</v>
      </c>
      <c r="Q141" s="212" t="s">
        <v>4876</v>
      </c>
    </row>
    <row r="142" customFormat="false" ht="51.75" hidden="false" customHeight="true" outlineLevel="0" collapsed="false">
      <c r="A142" s="214" t="s">
        <v>7109</v>
      </c>
      <c r="B142" s="214" t="s">
        <v>4724</v>
      </c>
      <c r="C142" s="223" t="s">
        <v>7110</v>
      </c>
      <c r="D142" s="214" t="s">
        <v>7111</v>
      </c>
      <c r="E142" s="224" t="s">
        <v>6765</v>
      </c>
      <c r="F142" s="214" t="s">
        <v>7112</v>
      </c>
      <c r="G142" s="214" t="s">
        <v>7113</v>
      </c>
      <c r="H142" s="224" t="s">
        <v>7114</v>
      </c>
      <c r="I142" s="224" t="s">
        <v>7115</v>
      </c>
      <c r="J142" s="214" t="s">
        <v>6770</v>
      </c>
      <c r="K142" s="225" t="s">
        <v>7116</v>
      </c>
      <c r="L142" s="212" t="s">
        <v>6473</v>
      </c>
      <c r="M142" s="6" t="s">
        <v>585</v>
      </c>
      <c r="N142" s="36" t="s">
        <v>585</v>
      </c>
      <c r="O142" s="212" t="s">
        <v>7117</v>
      </c>
      <c r="P142" s="36" t="s">
        <v>256</v>
      </c>
      <c r="Q142" s="212" t="s">
        <v>4876</v>
      </c>
    </row>
    <row r="143" customFormat="false" ht="64.5" hidden="false" customHeight="true" outlineLevel="0" collapsed="false">
      <c r="A143" s="214" t="s">
        <v>7118</v>
      </c>
      <c r="B143" s="214" t="s">
        <v>4724</v>
      </c>
      <c r="C143" s="223" t="s">
        <v>7119</v>
      </c>
      <c r="D143" s="214" t="s">
        <v>7120</v>
      </c>
      <c r="E143" s="224" t="s">
        <v>6939</v>
      </c>
      <c r="F143" s="214" t="s">
        <v>7121</v>
      </c>
      <c r="G143" s="214" t="s">
        <v>7122</v>
      </c>
      <c r="H143" s="214" t="s">
        <v>7123</v>
      </c>
      <c r="I143" s="224" t="s">
        <v>7124</v>
      </c>
      <c r="J143" s="214" t="s">
        <v>6770</v>
      </c>
      <c r="K143" s="225" t="s">
        <v>7125</v>
      </c>
      <c r="L143" s="212" t="s">
        <v>6473</v>
      </c>
      <c r="M143" s="6" t="s">
        <v>2996</v>
      </c>
      <c r="N143" s="36" t="s">
        <v>585</v>
      </c>
      <c r="O143" s="36" t="s">
        <v>7126</v>
      </c>
      <c r="P143" s="36" t="s">
        <v>256</v>
      </c>
      <c r="Q143" s="212" t="s">
        <v>4980</v>
      </c>
    </row>
    <row r="144" customFormat="false" ht="26.25" hidden="false" customHeight="true" outlineLevel="0" collapsed="false">
      <c r="A144" s="214" t="s">
        <v>7127</v>
      </c>
      <c r="B144" s="214" t="s">
        <v>4724</v>
      </c>
      <c r="C144" s="223" t="s">
        <v>7128</v>
      </c>
      <c r="D144" s="214" t="s">
        <v>7129</v>
      </c>
      <c r="E144" s="224" t="s">
        <v>6765</v>
      </c>
      <c r="F144" s="214" t="s">
        <v>7130</v>
      </c>
      <c r="G144" s="214" t="s">
        <v>7131</v>
      </c>
      <c r="H144" s="224" t="s">
        <v>7132</v>
      </c>
      <c r="I144" s="224" t="s">
        <v>7133</v>
      </c>
      <c r="J144" s="214" t="s">
        <v>6770</v>
      </c>
      <c r="K144" s="225" t="s">
        <v>7134</v>
      </c>
      <c r="L144" s="212" t="s">
        <v>6473</v>
      </c>
      <c r="M144" s="6" t="s">
        <v>585</v>
      </c>
      <c r="N144" s="36" t="s">
        <v>585</v>
      </c>
      <c r="O144" s="36" t="s">
        <v>585</v>
      </c>
      <c r="P144" s="36" t="s">
        <v>585</v>
      </c>
      <c r="Q144" s="212" t="s">
        <v>4980</v>
      </c>
    </row>
    <row r="145" customFormat="false" ht="77.25" hidden="false" customHeight="true" outlineLevel="0" collapsed="false">
      <c r="A145" s="214" t="s">
        <v>7135</v>
      </c>
      <c r="B145" s="214" t="s">
        <v>4724</v>
      </c>
      <c r="C145" s="225" t="s">
        <v>7136</v>
      </c>
      <c r="D145" s="224" t="s">
        <v>7137</v>
      </c>
      <c r="E145" s="224" t="s">
        <v>7138</v>
      </c>
      <c r="F145" s="214" t="s">
        <v>7139</v>
      </c>
      <c r="G145" s="214" t="s">
        <v>7140</v>
      </c>
      <c r="H145" s="224" t="s">
        <v>7141</v>
      </c>
      <c r="I145" s="224" t="s">
        <v>7142</v>
      </c>
      <c r="J145" s="214" t="s">
        <v>6770</v>
      </c>
      <c r="K145" s="225" t="s">
        <v>7143</v>
      </c>
      <c r="L145" s="212" t="s">
        <v>6473</v>
      </c>
      <c r="M145" s="6" t="s">
        <v>585</v>
      </c>
      <c r="N145" s="36" t="s">
        <v>585</v>
      </c>
      <c r="O145" s="36" t="s">
        <v>585</v>
      </c>
      <c r="P145" s="36" t="s">
        <v>585</v>
      </c>
      <c r="Q145" s="36" t="s">
        <v>585</v>
      </c>
    </row>
    <row r="146" customFormat="false" ht="26.25" hidden="false" customHeight="true" outlineLevel="0" collapsed="false">
      <c r="A146" s="214" t="s">
        <v>7144</v>
      </c>
      <c r="B146" s="214" t="s">
        <v>4724</v>
      </c>
      <c r="C146" s="223" t="s">
        <v>7145</v>
      </c>
      <c r="D146" s="214" t="s">
        <v>7050</v>
      </c>
      <c r="E146" s="224" t="s">
        <v>6765</v>
      </c>
      <c r="F146" s="214" t="s">
        <v>7146</v>
      </c>
      <c r="G146" s="214" t="s">
        <v>7147</v>
      </c>
      <c r="H146" s="224" t="s">
        <v>7148</v>
      </c>
      <c r="I146" s="224" t="s">
        <v>7149</v>
      </c>
      <c r="J146" s="214" t="s">
        <v>6770</v>
      </c>
      <c r="K146" s="225" t="s">
        <v>7150</v>
      </c>
      <c r="L146" s="212" t="s">
        <v>6473</v>
      </c>
      <c r="M146" s="6" t="s">
        <v>585</v>
      </c>
      <c r="N146" s="36" t="s">
        <v>585</v>
      </c>
      <c r="O146" s="36" t="s">
        <v>585</v>
      </c>
      <c r="P146" s="36" t="s">
        <v>585</v>
      </c>
      <c r="Q146" s="36" t="s">
        <v>585</v>
      </c>
    </row>
    <row r="147" customFormat="false" ht="39" hidden="false" customHeight="true" outlineLevel="0" collapsed="false">
      <c r="A147" s="214" t="s">
        <v>7151</v>
      </c>
      <c r="B147" s="214" t="s">
        <v>4724</v>
      </c>
      <c r="C147" s="223" t="s">
        <v>7152</v>
      </c>
      <c r="D147" s="224" t="s">
        <v>7153</v>
      </c>
      <c r="E147" s="214" t="s">
        <v>585</v>
      </c>
      <c r="F147" s="214" t="s">
        <v>7154</v>
      </c>
      <c r="G147" s="214" t="s">
        <v>585</v>
      </c>
      <c r="H147" s="214" t="s">
        <v>585</v>
      </c>
      <c r="I147" s="224" t="s">
        <v>7155</v>
      </c>
      <c r="J147" s="214" t="s">
        <v>6770</v>
      </c>
      <c r="K147" s="225" t="s">
        <v>7156</v>
      </c>
      <c r="L147" s="212" t="s">
        <v>6473</v>
      </c>
      <c r="M147" s="6" t="s">
        <v>585</v>
      </c>
      <c r="N147" s="36" t="s">
        <v>585</v>
      </c>
      <c r="O147" s="36" t="s">
        <v>585</v>
      </c>
      <c r="P147" s="36" t="s">
        <v>585</v>
      </c>
      <c r="Q147" s="36" t="s">
        <v>585</v>
      </c>
    </row>
    <row r="148" customFormat="false" ht="64.5" hidden="false" customHeight="true" outlineLevel="0" collapsed="false">
      <c r="A148" s="214" t="s">
        <v>7157</v>
      </c>
      <c r="B148" s="214" t="s">
        <v>4724</v>
      </c>
      <c r="C148" s="223" t="s">
        <v>7158</v>
      </c>
      <c r="D148" s="214" t="s">
        <v>6842</v>
      </c>
      <c r="E148" s="224" t="s">
        <v>6765</v>
      </c>
      <c r="F148" s="214" t="s">
        <v>7159</v>
      </c>
      <c r="G148" s="214" t="s">
        <v>7160</v>
      </c>
      <c r="H148" s="214" t="s">
        <v>7161</v>
      </c>
      <c r="I148" s="224" t="s">
        <v>7162</v>
      </c>
      <c r="J148" s="214" t="s">
        <v>6770</v>
      </c>
      <c r="K148" s="225" t="s">
        <v>7163</v>
      </c>
      <c r="L148" s="212" t="s">
        <v>6473</v>
      </c>
      <c r="M148" s="6" t="s">
        <v>3042</v>
      </c>
      <c r="N148" s="36" t="s">
        <v>585</v>
      </c>
      <c r="O148" s="36" t="s">
        <v>585</v>
      </c>
      <c r="P148" s="36" t="s">
        <v>6652</v>
      </c>
      <c r="Q148" s="212" t="s">
        <v>4876</v>
      </c>
    </row>
    <row r="149" customFormat="false" ht="39" hidden="false" customHeight="true" outlineLevel="0" collapsed="false">
      <c r="A149" s="214" t="s">
        <v>7164</v>
      </c>
      <c r="B149" s="214" t="s">
        <v>4724</v>
      </c>
      <c r="C149" s="223" t="s">
        <v>7165</v>
      </c>
      <c r="D149" s="214" t="s">
        <v>7166</v>
      </c>
      <c r="E149" s="224" t="s">
        <v>6765</v>
      </c>
      <c r="F149" s="214" t="s">
        <v>7167</v>
      </c>
      <c r="G149" s="214" t="s">
        <v>7168</v>
      </c>
      <c r="H149" s="214" t="s">
        <v>7169</v>
      </c>
      <c r="I149" s="224" t="s">
        <v>7162</v>
      </c>
      <c r="J149" s="214" t="s">
        <v>6770</v>
      </c>
      <c r="K149" s="225" t="s">
        <v>7170</v>
      </c>
      <c r="L149" s="212" t="s">
        <v>6473</v>
      </c>
      <c r="M149" s="6" t="s">
        <v>3064</v>
      </c>
      <c r="N149" s="36" t="s">
        <v>585</v>
      </c>
      <c r="O149" s="36" t="s">
        <v>585</v>
      </c>
      <c r="P149" s="36" t="s">
        <v>6652</v>
      </c>
      <c r="Q149" s="212" t="s">
        <v>4876</v>
      </c>
    </row>
    <row r="150" customFormat="false" ht="77.25" hidden="false" customHeight="true" outlineLevel="0" collapsed="false">
      <c r="A150" s="214" t="s">
        <v>7171</v>
      </c>
      <c r="B150" s="214" t="s">
        <v>4724</v>
      </c>
      <c r="C150" s="223" t="s">
        <v>7172</v>
      </c>
      <c r="D150" s="214" t="s">
        <v>6835</v>
      </c>
      <c r="E150" s="224" t="s">
        <v>6765</v>
      </c>
      <c r="F150" s="214" t="s">
        <v>7173</v>
      </c>
      <c r="G150" s="214" t="s">
        <v>7174</v>
      </c>
      <c r="H150" s="214" t="s">
        <v>7175</v>
      </c>
      <c r="I150" s="224" t="s">
        <v>7162</v>
      </c>
      <c r="J150" s="214" t="s">
        <v>6770</v>
      </c>
      <c r="K150" s="225" t="s">
        <v>7176</v>
      </c>
      <c r="L150" s="212" t="s">
        <v>6473</v>
      </c>
      <c r="M150" s="6" t="s">
        <v>3119</v>
      </c>
      <c r="N150" s="36" t="s">
        <v>585</v>
      </c>
      <c r="O150" s="36" t="s">
        <v>585</v>
      </c>
      <c r="P150" s="36" t="s">
        <v>6652</v>
      </c>
      <c r="Q150" s="212" t="s">
        <v>4876</v>
      </c>
    </row>
    <row r="151" customFormat="false" ht="64.5" hidden="false" customHeight="true" outlineLevel="0" collapsed="false">
      <c r="A151" s="214" t="s">
        <v>7177</v>
      </c>
      <c r="B151" s="214" t="s">
        <v>4724</v>
      </c>
      <c r="C151" s="223" t="s">
        <v>7178</v>
      </c>
      <c r="D151" s="214" t="s">
        <v>6915</v>
      </c>
      <c r="E151" s="224" t="s">
        <v>6765</v>
      </c>
      <c r="F151" s="214" t="s">
        <v>7179</v>
      </c>
      <c r="G151" s="214" t="s">
        <v>7180</v>
      </c>
      <c r="H151" s="214" t="s">
        <v>7181</v>
      </c>
      <c r="I151" s="224" t="s">
        <v>7182</v>
      </c>
      <c r="J151" s="214" t="s">
        <v>6770</v>
      </c>
      <c r="K151" s="225" t="s">
        <v>7183</v>
      </c>
      <c r="L151" s="212" t="s">
        <v>6473</v>
      </c>
      <c r="M151" s="6" t="s">
        <v>2950</v>
      </c>
      <c r="N151" s="36" t="s">
        <v>585</v>
      </c>
      <c r="O151" s="212" t="s">
        <v>7184</v>
      </c>
      <c r="P151" s="36" t="s">
        <v>6652</v>
      </c>
      <c r="Q151" s="212" t="s">
        <v>4876</v>
      </c>
    </row>
    <row r="152" customFormat="false" ht="64.5" hidden="false" customHeight="true" outlineLevel="0" collapsed="false">
      <c r="A152" s="214" t="s">
        <v>7185</v>
      </c>
      <c r="B152" s="214" t="s">
        <v>4724</v>
      </c>
      <c r="C152" s="223" t="s">
        <v>7186</v>
      </c>
      <c r="D152" s="224" t="s">
        <v>7187</v>
      </c>
      <c r="E152" s="224" t="s">
        <v>7138</v>
      </c>
      <c r="F152" s="214" t="s">
        <v>7188</v>
      </c>
      <c r="G152" s="214" t="s">
        <v>7189</v>
      </c>
      <c r="H152" s="214" t="s">
        <v>7190</v>
      </c>
      <c r="I152" s="224" t="s">
        <v>7191</v>
      </c>
      <c r="J152" s="214" t="s">
        <v>6770</v>
      </c>
      <c r="K152" s="225" t="s">
        <v>7192</v>
      </c>
      <c r="L152" s="212" t="s">
        <v>6473</v>
      </c>
      <c r="M152" s="6" t="s">
        <v>585</v>
      </c>
      <c r="N152" s="36" t="s">
        <v>585</v>
      </c>
      <c r="O152" s="36" t="s">
        <v>7032</v>
      </c>
      <c r="P152" s="36" t="s">
        <v>78</v>
      </c>
      <c r="Q152" s="36" t="s">
        <v>585</v>
      </c>
    </row>
    <row r="153" customFormat="false" ht="126.75" hidden="false" customHeight="true" outlineLevel="0" collapsed="false">
      <c r="A153" s="214" t="s">
        <v>7193</v>
      </c>
      <c r="B153" s="214" t="s">
        <v>4745</v>
      </c>
      <c r="C153" s="223" t="s">
        <v>7194</v>
      </c>
      <c r="D153" s="224" t="s">
        <v>7195</v>
      </c>
      <c r="E153" s="224" t="s">
        <v>7138</v>
      </c>
      <c r="F153" s="214" t="s">
        <v>7196</v>
      </c>
      <c r="G153" s="214" t="s">
        <v>7197</v>
      </c>
      <c r="H153" s="224" t="s">
        <v>7198</v>
      </c>
      <c r="I153" s="224" t="s">
        <v>7199</v>
      </c>
      <c r="J153" s="214" t="s">
        <v>6770</v>
      </c>
      <c r="K153" s="225" t="s">
        <v>7200</v>
      </c>
      <c r="L153" s="212" t="s">
        <v>6473</v>
      </c>
      <c r="M153" s="6" t="s">
        <v>585</v>
      </c>
      <c r="N153" s="36" t="s">
        <v>585</v>
      </c>
      <c r="O153" s="36" t="s">
        <v>585</v>
      </c>
      <c r="P153" s="36" t="s">
        <v>78</v>
      </c>
      <c r="Q153" s="36" t="s">
        <v>585</v>
      </c>
    </row>
    <row r="154" customFormat="false" ht="101.25" hidden="false" customHeight="true" outlineLevel="0" collapsed="false">
      <c r="A154" s="214" t="s">
        <v>7201</v>
      </c>
      <c r="B154" s="214" t="s">
        <v>4745</v>
      </c>
      <c r="C154" s="223" t="s">
        <v>7202</v>
      </c>
      <c r="D154" s="214" t="s">
        <v>7203</v>
      </c>
      <c r="E154" s="224" t="s">
        <v>6765</v>
      </c>
      <c r="F154" s="214" t="s">
        <v>7204</v>
      </c>
      <c r="G154" s="214" t="s">
        <v>7205</v>
      </c>
      <c r="H154" s="214" t="s">
        <v>7206</v>
      </c>
      <c r="I154" s="224" t="s">
        <v>7207</v>
      </c>
      <c r="J154" s="214" t="s">
        <v>6770</v>
      </c>
      <c r="K154" s="225" t="s">
        <v>7208</v>
      </c>
      <c r="L154" s="212" t="s">
        <v>6473</v>
      </c>
      <c r="M154" s="6" t="s">
        <v>585</v>
      </c>
      <c r="N154" s="36" t="s">
        <v>585</v>
      </c>
      <c r="O154" s="36" t="s">
        <v>585</v>
      </c>
      <c r="P154" s="36" t="s">
        <v>82</v>
      </c>
      <c r="Q154" s="212" t="s">
        <v>4980</v>
      </c>
    </row>
    <row r="155" customFormat="false" ht="102.75" hidden="false" customHeight="true" outlineLevel="0" collapsed="false">
      <c r="A155" s="214" t="s">
        <v>7209</v>
      </c>
      <c r="B155" s="214" t="s">
        <v>4745</v>
      </c>
      <c r="C155" s="223" t="s">
        <v>7210</v>
      </c>
      <c r="D155" s="224" t="s">
        <v>7211</v>
      </c>
      <c r="E155" s="224" t="s">
        <v>7138</v>
      </c>
      <c r="F155" s="214" t="s">
        <v>7212</v>
      </c>
      <c r="G155" s="214" t="s">
        <v>7213</v>
      </c>
      <c r="H155" s="224" t="s">
        <v>7214</v>
      </c>
      <c r="I155" s="224" t="s">
        <v>7215</v>
      </c>
      <c r="J155" s="214" t="s">
        <v>6770</v>
      </c>
      <c r="K155" s="225" t="s">
        <v>7216</v>
      </c>
      <c r="L155" s="212" t="s">
        <v>6473</v>
      </c>
      <c r="M155" s="6" t="s">
        <v>585</v>
      </c>
      <c r="N155" s="36" t="s">
        <v>585</v>
      </c>
      <c r="O155" s="36" t="s">
        <v>585</v>
      </c>
      <c r="P155" s="36" t="s">
        <v>78</v>
      </c>
      <c r="Q155" s="212" t="s">
        <v>7217</v>
      </c>
    </row>
    <row r="156" customFormat="false" ht="90" hidden="false" customHeight="true" outlineLevel="0" collapsed="false">
      <c r="A156" s="214" t="s">
        <v>7218</v>
      </c>
      <c r="B156" s="214" t="s">
        <v>4745</v>
      </c>
      <c r="C156" s="223" t="s">
        <v>7219</v>
      </c>
      <c r="D156" s="214" t="s">
        <v>7220</v>
      </c>
      <c r="E156" s="224" t="s">
        <v>6765</v>
      </c>
      <c r="F156" s="214" t="s">
        <v>7221</v>
      </c>
      <c r="G156" s="214" t="s">
        <v>7222</v>
      </c>
      <c r="H156" s="224" t="s">
        <v>7223</v>
      </c>
      <c r="I156" s="224" t="s">
        <v>7224</v>
      </c>
      <c r="J156" s="214" t="s">
        <v>6770</v>
      </c>
      <c r="K156" s="225" t="s">
        <v>7225</v>
      </c>
      <c r="L156" s="212" t="s">
        <v>6473</v>
      </c>
      <c r="M156" s="6" t="s">
        <v>585</v>
      </c>
      <c r="N156" s="36" t="s">
        <v>585</v>
      </c>
      <c r="O156" s="36" t="s">
        <v>585</v>
      </c>
      <c r="P156" s="36" t="s">
        <v>82</v>
      </c>
      <c r="Q156" s="212" t="s">
        <v>4980</v>
      </c>
    </row>
    <row r="157" customFormat="false" ht="64.5" hidden="false" customHeight="true" outlineLevel="0" collapsed="false">
      <c r="A157" s="214" t="s">
        <v>7226</v>
      </c>
      <c r="B157" s="214" t="s">
        <v>4745</v>
      </c>
      <c r="C157" s="223" t="s">
        <v>7227</v>
      </c>
      <c r="D157" s="224" t="s">
        <v>7228</v>
      </c>
      <c r="E157" s="224" t="s">
        <v>7080</v>
      </c>
      <c r="F157" s="214" t="s">
        <v>7229</v>
      </c>
      <c r="G157" s="214" t="s">
        <v>7230</v>
      </c>
      <c r="H157" s="214" t="s">
        <v>7231</v>
      </c>
      <c r="I157" s="224" t="s">
        <v>7224</v>
      </c>
      <c r="J157" s="214" t="s">
        <v>6770</v>
      </c>
      <c r="K157" s="225" t="s">
        <v>7232</v>
      </c>
      <c r="L157" s="212" t="s">
        <v>6473</v>
      </c>
      <c r="M157" s="6" t="s">
        <v>585</v>
      </c>
      <c r="N157" s="36" t="s">
        <v>585</v>
      </c>
      <c r="O157" s="36" t="s">
        <v>585</v>
      </c>
      <c r="P157" s="36" t="s">
        <v>82</v>
      </c>
      <c r="Q157" s="212" t="s">
        <v>7233</v>
      </c>
    </row>
    <row r="158" customFormat="false" ht="125.25" hidden="false" customHeight="true" outlineLevel="0" collapsed="false">
      <c r="A158" s="214" t="s">
        <v>7234</v>
      </c>
      <c r="B158" s="214" t="s">
        <v>4745</v>
      </c>
      <c r="C158" s="223" t="s">
        <v>7235</v>
      </c>
      <c r="D158" s="214" t="s">
        <v>7236</v>
      </c>
      <c r="E158" s="224" t="s">
        <v>7138</v>
      </c>
      <c r="F158" s="214" t="s">
        <v>7237</v>
      </c>
      <c r="G158" s="214" t="s">
        <v>7238</v>
      </c>
      <c r="H158" s="224" t="s">
        <v>7239</v>
      </c>
      <c r="I158" s="224" t="s">
        <v>7240</v>
      </c>
      <c r="J158" s="214" t="s">
        <v>6770</v>
      </c>
      <c r="K158" s="225" t="s">
        <v>7241</v>
      </c>
      <c r="L158" s="212" t="s">
        <v>6473</v>
      </c>
      <c r="M158" s="6" t="s">
        <v>585</v>
      </c>
      <c r="N158" s="36" t="s">
        <v>585</v>
      </c>
      <c r="O158" s="36" t="s">
        <v>585</v>
      </c>
      <c r="P158" s="36" t="s">
        <v>78</v>
      </c>
      <c r="Q158" s="36" t="s">
        <v>585</v>
      </c>
    </row>
    <row r="159" customFormat="false" ht="141" hidden="false" customHeight="true" outlineLevel="0" collapsed="false">
      <c r="A159" s="214" t="s">
        <v>7242</v>
      </c>
      <c r="B159" s="214" t="s">
        <v>4745</v>
      </c>
      <c r="C159" s="223" t="s">
        <v>7243</v>
      </c>
      <c r="D159" s="214" t="s">
        <v>7244</v>
      </c>
      <c r="E159" s="224" t="s">
        <v>7245</v>
      </c>
      <c r="F159" s="214" t="s">
        <v>7246</v>
      </c>
      <c r="G159" s="214" t="s">
        <v>7247</v>
      </c>
      <c r="H159" s="214" t="s">
        <v>7248</v>
      </c>
      <c r="I159" s="224" t="s">
        <v>7249</v>
      </c>
      <c r="J159" s="214" t="s">
        <v>6770</v>
      </c>
      <c r="K159" s="225" t="s">
        <v>7250</v>
      </c>
      <c r="L159" s="212" t="s">
        <v>6473</v>
      </c>
      <c r="M159" s="6" t="s">
        <v>585</v>
      </c>
      <c r="N159" s="36" t="s">
        <v>585</v>
      </c>
      <c r="O159" s="212" t="s">
        <v>7251</v>
      </c>
      <c r="P159" s="36" t="s">
        <v>82</v>
      </c>
      <c r="Q159" s="212" t="s">
        <v>7252</v>
      </c>
    </row>
    <row r="160" customFormat="false" ht="51.75" hidden="false" customHeight="true" outlineLevel="0" collapsed="false">
      <c r="A160" s="214" t="s">
        <v>7253</v>
      </c>
      <c r="B160" s="214" t="s">
        <v>4745</v>
      </c>
      <c r="C160" s="223" t="s">
        <v>7254</v>
      </c>
      <c r="D160" s="214" t="s">
        <v>7255</v>
      </c>
      <c r="E160" s="224" t="s">
        <v>7256</v>
      </c>
      <c r="F160" s="214" t="s">
        <v>7257</v>
      </c>
      <c r="G160" s="214" t="s">
        <v>7258</v>
      </c>
      <c r="H160" s="214" t="s">
        <v>7259</v>
      </c>
      <c r="I160" s="224" t="s">
        <v>7260</v>
      </c>
      <c r="J160" s="214" t="s">
        <v>4781</v>
      </c>
      <c r="K160" s="225" t="s">
        <v>7261</v>
      </c>
      <c r="L160" s="212" t="s">
        <v>6473</v>
      </c>
      <c r="M160" s="6" t="s">
        <v>585</v>
      </c>
      <c r="N160" s="36" t="s">
        <v>585</v>
      </c>
      <c r="O160" s="36" t="s">
        <v>585</v>
      </c>
      <c r="P160" s="36" t="s">
        <v>82</v>
      </c>
      <c r="Q160" s="212" t="s">
        <v>4980</v>
      </c>
    </row>
    <row r="161" customFormat="false" ht="51.75" hidden="false" customHeight="true" outlineLevel="0" collapsed="false">
      <c r="A161" s="214" t="s">
        <v>7262</v>
      </c>
      <c r="B161" s="214" t="s">
        <v>4745</v>
      </c>
      <c r="C161" s="223" t="s">
        <v>7263</v>
      </c>
      <c r="D161" s="214" t="s">
        <v>7255</v>
      </c>
      <c r="E161" s="224" t="s">
        <v>7256</v>
      </c>
      <c r="F161" s="214" t="s">
        <v>7264</v>
      </c>
      <c r="G161" s="224" t="s">
        <v>7265</v>
      </c>
      <c r="H161" s="224" t="s">
        <v>7266</v>
      </c>
      <c r="I161" s="224" t="s">
        <v>7267</v>
      </c>
      <c r="J161" s="214" t="s">
        <v>4781</v>
      </c>
      <c r="K161" s="225" t="s">
        <v>7268</v>
      </c>
      <c r="L161" s="212" t="s">
        <v>6473</v>
      </c>
      <c r="M161" s="6" t="s">
        <v>585</v>
      </c>
      <c r="N161" s="36" t="s">
        <v>585</v>
      </c>
      <c r="O161" s="36" t="s">
        <v>585</v>
      </c>
      <c r="P161" s="36" t="s">
        <v>82</v>
      </c>
      <c r="Q161" s="212" t="s">
        <v>7269</v>
      </c>
    </row>
    <row r="162" customFormat="false" ht="39" hidden="false" customHeight="true" outlineLevel="0" collapsed="false">
      <c r="A162" s="214" t="s">
        <v>7270</v>
      </c>
      <c r="B162" s="214" t="s">
        <v>4745</v>
      </c>
      <c r="C162" s="225" t="s">
        <v>7271</v>
      </c>
      <c r="D162" s="214" t="s">
        <v>7255</v>
      </c>
      <c r="E162" s="224" t="s">
        <v>7256</v>
      </c>
      <c r="F162" s="214" t="s">
        <v>7272</v>
      </c>
      <c r="G162" s="224" t="s">
        <v>7273</v>
      </c>
      <c r="H162" s="224" t="s">
        <v>7274</v>
      </c>
      <c r="I162" s="224" t="s">
        <v>7275</v>
      </c>
      <c r="J162" s="214" t="s">
        <v>4781</v>
      </c>
      <c r="K162" s="225" t="s">
        <v>7276</v>
      </c>
      <c r="L162" s="212" t="s">
        <v>6473</v>
      </c>
      <c r="M162" s="6" t="s">
        <v>585</v>
      </c>
      <c r="N162" s="36" t="s">
        <v>585</v>
      </c>
      <c r="O162" s="36" t="s">
        <v>585</v>
      </c>
      <c r="P162" s="36" t="s">
        <v>82</v>
      </c>
      <c r="Q162" s="212" t="s">
        <v>4980</v>
      </c>
    </row>
    <row r="163" customFormat="false" ht="51.75" hidden="false" customHeight="true" outlineLevel="0" collapsed="false">
      <c r="A163" s="214" t="s">
        <v>7277</v>
      </c>
      <c r="B163" s="214" t="s">
        <v>4745</v>
      </c>
      <c r="C163" s="223" t="s">
        <v>7278</v>
      </c>
      <c r="D163" s="214" t="s">
        <v>7255</v>
      </c>
      <c r="E163" s="224" t="s">
        <v>7256</v>
      </c>
      <c r="F163" s="214" t="s">
        <v>7279</v>
      </c>
      <c r="G163" s="224" t="s">
        <v>7280</v>
      </c>
      <c r="H163" s="224" t="s">
        <v>7281</v>
      </c>
      <c r="I163" s="224" t="s">
        <v>7282</v>
      </c>
      <c r="J163" s="214" t="s">
        <v>4781</v>
      </c>
      <c r="K163" s="225" t="s">
        <v>7283</v>
      </c>
      <c r="L163" s="212" t="s">
        <v>6473</v>
      </c>
      <c r="M163" s="6" t="s">
        <v>585</v>
      </c>
      <c r="N163" s="36" t="s">
        <v>585</v>
      </c>
      <c r="O163" s="36" t="s">
        <v>585</v>
      </c>
      <c r="P163" s="36" t="s">
        <v>82</v>
      </c>
      <c r="Q163" s="212" t="s">
        <v>4980</v>
      </c>
    </row>
    <row r="164" customFormat="false" ht="51.75" hidden="false" customHeight="true" outlineLevel="0" collapsed="false">
      <c r="A164" s="214" t="s">
        <v>7284</v>
      </c>
      <c r="B164" s="214" t="s">
        <v>4745</v>
      </c>
      <c r="C164" s="223" t="s">
        <v>7285</v>
      </c>
      <c r="D164" s="214" t="s">
        <v>7255</v>
      </c>
      <c r="E164" s="224" t="s">
        <v>7256</v>
      </c>
      <c r="F164" s="214" t="s">
        <v>7286</v>
      </c>
      <c r="G164" s="224" t="s">
        <v>7287</v>
      </c>
      <c r="H164" s="224" t="s">
        <v>7288</v>
      </c>
      <c r="I164" s="224" t="s">
        <v>7289</v>
      </c>
      <c r="J164" s="214" t="s">
        <v>4781</v>
      </c>
      <c r="K164" s="225" t="s">
        <v>7290</v>
      </c>
      <c r="L164" s="212" t="s">
        <v>6473</v>
      </c>
      <c r="M164" s="6" t="s">
        <v>585</v>
      </c>
      <c r="N164" s="36" t="s">
        <v>585</v>
      </c>
      <c r="O164" s="36" t="s">
        <v>585</v>
      </c>
      <c r="P164" s="36" t="s">
        <v>82</v>
      </c>
      <c r="Q164" s="212" t="s">
        <v>4980</v>
      </c>
    </row>
    <row r="165" customFormat="false" ht="51.75" hidden="false" customHeight="true" outlineLevel="0" collapsed="false">
      <c r="A165" s="214" t="s">
        <v>7291</v>
      </c>
      <c r="B165" s="214" t="s">
        <v>4745</v>
      </c>
      <c r="C165" s="223" t="s">
        <v>7292</v>
      </c>
      <c r="D165" s="214" t="s">
        <v>7255</v>
      </c>
      <c r="E165" s="224" t="s">
        <v>7256</v>
      </c>
      <c r="F165" s="214" t="s">
        <v>7293</v>
      </c>
      <c r="G165" s="224" t="s">
        <v>7294</v>
      </c>
      <c r="H165" s="224" t="s">
        <v>7295</v>
      </c>
      <c r="I165" s="224" t="s">
        <v>7296</v>
      </c>
      <c r="J165" s="214" t="s">
        <v>4781</v>
      </c>
      <c r="K165" s="225" t="s">
        <v>7297</v>
      </c>
      <c r="L165" s="212" t="s">
        <v>6473</v>
      </c>
      <c r="M165" s="6" t="s">
        <v>585</v>
      </c>
      <c r="N165" s="36" t="s">
        <v>585</v>
      </c>
      <c r="O165" s="36" t="s">
        <v>7298</v>
      </c>
      <c r="P165" s="36" t="s">
        <v>82</v>
      </c>
      <c r="Q165" s="212" t="s">
        <v>4980</v>
      </c>
    </row>
    <row r="166" customFormat="false" ht="51.75" hidden="false" customHeight="true" outlineLevel="0" collapsed="false">
      <c r="A166" s="214" t="s">
        <v>7299</v>
      </c>
      <c r="B166" s="214" t="s">
        <v>4745</v>
      </c>
      <c r="C166" s="225" t="s">
        <v>7300</v>
      </c>
      <c r="D166" s="214" t="s">
        <v>7255</v>
      </c>
      <c r="E166" s="224" t="s">
        <v>7256</v>
      </c>
      <c r="F166" s="214" t="s">
        <v>7301</v>
      </c>
      <c r="G166" s="224" t="s">
        <v>7302</v>
      </c>
      <c r="H166" s="224" t="s">
        <v>7303</v>
      </c>
      <c r="I166" s="224" t="s">
        <v>7304</v>
      </c>
      <c r="J166" s="214" t="s">
        <v>4781</v>
      </c>
      <c r="K166" s="225" t="s">
        <v>7305</v>
      </c>
      <c r="L166" s="212" t="s">
        <v>6473</v>
      </c>
      <c r="M166" s="6" t="s">
        <v>585</v>
      </c>
      <c r="N166" s="36" t="s">
        <v>585</v>
      </c>
      <c r="O166" s="36" t="s">
        <v>585</v>
      </c>
      <c r="P166" s="36" t="s">
        <v>82</v>
      </c>
      <c r="Q166" s="212" t="s">
        <v>4980</v>
      </c>
    </row>
    <row r="167" customFormat="false" ht="51.75" hidden="false" customHeight="true" outlineLevel="0" collapsed="false">
      <c r="A167" s="214" t="s">
        <v>7306</v>
      </c>
      <c r="B167" s="214" t="s">
        <v>4745</v>
      </c>
      <c r="C167" s="225" t="s">
        <v>7307</v>
      </c>
      <c r="D167" s="214" t="s">
        <v>7255</v>
      </c>
      <c r="E167" s="224" t="s">
        <v>7256</v>
      </c>
      <c r="F167" s="214" t="s">
        <v>7308</v>
      </c>
      <c r="G167" s="214" t="s">
        <v>7309</v>
      </c>
      <c r="H167" s="224" t="s">
        <v>7310</v>
      </c>
      <c r="I167" s="224" t="s">
        <v>7311</v>
      </c>
      <c r="J167" s="214" t="s">
        <v>4781</v>
      </c>
      <c r="K167" s="225" t="s">
        <v>7312</v>
      </c>
      <c r="L167" s="212" t="s">
        <v>6473</v>
      </c>
      <c r="M167" s="6" t="s">
        <v>585</v>
      </c>
      <c r="N167" s="36" t="s">
        <v>585</v>
      </c>
      <c r="O167" s="36" t="s">
        <v>585</v>
      </c>
      <c r="P167" s="36" t="s">
        <v>82</v>
      </c>
      <c r="Q167" s="212" t="s">
        <v>4980</v>
      </c>
    </row>
    <row r="168" customFormat="false" ht="77.25" hidden="false" customHeight="true" outlineLevel="0" collapsed="false">
      <c r="A168" s="214" t="s">
        <v>7313</v>
      </c>
      <c r="B168" s="214" t="s">
        <v>4745</v>
      </c>
      <c r="C168" s="223" t="s">
        <v>7314</v>
      </c>
      <c r="D168" s="214" t="s">
        <v>7255</v>
      </c>
      <c r="E168" s="224" t="s">
        <v>7256</v>
      </c>
      <c r="F168" s="214" t="s">
        <v>7315</v>
      </c>
      <c r="G168" s="214" t="s">
        <v>7316</v>
      </c>
      <c r="H168" s="214" t="s">
        <v>7317</v>
      </c>
      <c r="I168" s="224" t="s">
        <v>7318</v>
      </c>
      <c r="J168" s="214" t="s">
        <v>4781</v>
      </c>
      <c r="K168" s="225" t="s">
        <v>7319</v>
      </c>
      <c r="L168" s="212" t="s">
        <v>6473</v>
      </c>
      <c r="M168" s="6" t="s">
        <v>585</v>
      </c>
      <c r="N168" s="36" t="s">
        <v>5790</v>
      </c>
      <c r="O168" s="36" t="s">
        <v>7320</v>
      </c>
      <c r="P168" s="36" t="s">
        <v>82</v>
      </c>
      <c r="Q168" s="212" t="s">
        <v>7321</v>
      </c>
    </row>
    <row r="169" customFormat="false" ht="115.5" hidden="false" customHeight="true" outlineLevel="0" collapsed="false">
      <c r="A169" s="214" t="s">
        <v>5790</v>
      </c>
      <c r="B169" s="214" t="s">
        <v>4745</v>
      </c>
      <c r="C169" s="223" t="s">
        <v>7322</v>
      </c>
      <c r="D169" s="214" t="s">
        <v>7323</v>
      </c>
      <c r="E169" s="224" t="s">
        <v>6765</v>
      </c>
      <c r="F169" s="214" t="s">
        <v>7315</v>
      </c>
      <c r="G169" s="214" t="s">
        <v>7324</v>
      </c>
      <c r="H169" s="214" t="s">
        <v>7325</v>
      </c>
      <c r="I169" s="214" t="s">
        <v>7326</v>
      </c>
      <c r="J169" s="214" t="s">
        <v>4802</v>
      </c>
      <c r="K169" s="225" t="s">
        <v>7327</v>
      </c>
      <c r="L169" s="212" t="s">
        <v>6473</v>
      </c>
      <c r="M169" s="6" t="s">
        <v>7328</v>
      </c>
      <c r="N169" s="36" t="s">
        <v>585</v>
      </c>
      <c r="O169" s="36" t="s">
        <v>7329</v>
      </c>
      <c r="P169" s="36" t="s">
        <v>6652</v>
      </c>
      <c r="Q169" s="212" t="s">
        <v>4876</v>
      </c>
    </row>
    <row r="170" customFormat="false" ht="115.5" hidden="false" customHeight="true" outlineLevel="0" collapsed="false">
      <c r="A170" s="214" t="s">
        <v>7330</v>
      </c>
      <c r="B170" s="214" t="s">
        <v>4745</v>
      </c>
      <c r="C170" s="225" t="s">
        <v>7331</v>
      </c>
      <c r="D170" s="224" t="s">
        <v>7332</v>
      </c>
      <c r="E170" s="224" t="s">
        <v>7256</v>
      </c>
      <c r="F170" s="214" t="s">
        <v>7333</v>
      </c>
      <c r="G170" s="214" t="s">
        <v>7334</v>
      </c>
      <c r="H170" s="224" t="s">
        <v>7335</v>
      </c>
      <c r="I170" s="214" t="s">
        <v>7336</v>
      </c>
      <c r="J170" s="214" t="s">
        <v>4809</v>
      </c>
      <c r="K170" s="225" t="s">
        <v>7337</v>
      </c>
      <c r="L170" s="212" t="s">
        <v>6473</v>
      </c>
      <c r="M170" s="6" t="s">
        <v>585</v>
      </c>
      <c r="N170" s="36" t="s">
        <v>585</v>
      </c>
      <c r="O170" s="36" t="s">
        <v>7338</v>
      </c>
      <c r="P170" s="36" t="s">
        <v>82</v>
      </c>
      <c r="Q170" s="212" t="s">
        <v>7339</v>
      </c>
    </row>
    <row r="171" customFormat="false" ht="153.75" hidden="false" customHeight="true" outlineLevel="0" collapsed="false">
      <c r="A171" s="214" t="s">
        <v>6224</v>
      </c>
      <c r="B171" s="214" t="s">
        <v>4831</v>
      </c>
      <c r="C171" s="223" t="s">
        <v>7340</v>
      </c>
      <c r="D171" s="214" t="s">
        <v>7341</v>
      </c>
      <c r="E171" s="226" t="s">
        <v>6765</v>
      </c>
      <c r="F171" s="214" t="s">
        <v>7342</v>
      </c>
      <c r="G171" s="214" t="s">
        <v>7343</v>
      </c>
      <c r="H171" s="226" t="s">
        <v>7344</v>
      </c>
      <c r="I171" s="226" t="s">
        <v>7345</v>
      </c>
      <c r="J171" s="214" t="s">
        <v>4837</v>
      </c>
      <c r="K171" s="227" t="s">
        <v>7346</v>
      </c>
      <c r="L171" s="190" t="s">
        <v>6473</v>
      </c>
      <c r="M171" s="6" t="s">
        <v>7347</v>
      </c>
      <c r="N171" s="36" t="s">
        <v>585</v>
      </c>
      <c r="O171" s="36" t="s">
        <v>7348</v>
      </c>
      <c r="P171" s="36" t="s">
        <v>6652</v>
      </c>
      <c r="Q171" s="190" t="s">
        <v>4876</v>
      </c>
    </row>
    <row r="172" customFormat="false" ht="264" hidden="false" customHeight="true" outlineLevel="0" collapsed="false">
      <c r="A172" s="214" t="s">
        <v>5527</v>
      </c>
      <c r="B172" s="214" t="s">
        <v>4831</v>
      </c>
      <c r="C172" s="223" t="s">
        <v>7349</v>
      </c>
      <c r="D172" s="214" t="s">
        <v>7350</v>
      </c>
      <c r="E172" s="226" t="s">
        <v>6765</v>
      </c>
      <c r="F172" s="214" t="s">
        <v>7351</v>
      </c>
      <c r="G172" s="214" t="s">
        <v>7352</v>
      </c>
      <c r="H172" s="214" t="s">
        <v>7353</v>
      </c>
      <c r="I172" s="226" t="s">
        <v>7354</v>
      </c>
      <c r="J172" s="214" t="s">
        <v>4837</v>
      </c>
      <c r="K172" s="227" t="s">
        <v>7355</v>
      </c>
      <c r="L172" s="190" t="s">
        <v>6473</v>
      </c>
      <c r="M172" s="6" t="s">
        <v>2281</v>
      </c>
      <c r="N172" s="36" t="s">
        <v>585</v>
      </c>
      <c r="O172" s="36" t="s">
        <v>7356</v>
      </c>
      <c r="P172" s="36" t="s">
        <v>6652</v>
      </c>
      <c r="Q172" s="190" t="s">
        <v>4980</v>
      </c>
    </row>
    <row r="173" customFormat="false" ht="80.25" hidden="false" customHeight="true" outlineLevel="0" collapsed="false">
      <c r="A173" s="214" t="s">
        <v>7357</v>
      </c>
      <c r="B173" s="214" t="s">
        <v>4831</v>
      </c>
      <c r="C173" s="223" t="s">
        <v>7358</v>
      </c>
      <c r="D173" s="214" t="s">
        <v>7359</v>
      </c>
      <c r="E173" s="226" t="s">
        <v>6765</v>
      </c>
      <c r="F173" s="214" t="s">
        <v>7360</v>
      </c>
      <c r="G173" s="214" t="s">
        <v>7361</v>
      </c>
      <c r="H173" s="214" t="s">
        <v>7362</v>
      </c>
      <c r="I173" s="226" t="s">
        <v>7363</v>
      </c>
      <c r="J173" s="214" t="s">
        <v>4837</v>
      </c>
      <c r="K173" s="227" t="s">
        <v>7364</v>
      </c>
      <c r="L173" s="190" t="s">
        <v>6473</v>
      </c>
      <c r="M173" s="6" t="s">
        <v>4242</v>
      </c>
      <c r="N173" s="36" t="s">
        <v>585</v>
      </c>
      <c r="O173" s="190" t="s">
        <v>7365</v>
      </c>
      <c r="P173" s="36" t="s">
        <v>6652</v>
      </c>
      <c r="Q173" s="190" t="s">
        <v>4980</v>
      </c>
    </row>
    <row r="174" customFormat="false" ht="29.25" hidden="false" customHeight="true" outlineLevel="0" collapsed="false">
      <c r="A174" s="214" t="s">
        <v>7366</v>
      </c>
      <c r="B174" s="214" t="s">
        <v>4831</v>
      </c>
      <c r="C174" s="227" t="s">
        <v>7367</v>
      </c>
      <c r="D174" s="214" t="s">
        <v>7368</v>
      </c>
      <c r="E174" s="226" t="s">
        <v>7256</v>
      </c>
      <c r="F174" s="214" t="s">
        <v>7369</v>
      </c>
      <c r="G174" s="214" t="s">
        <v>7370</v>
      </c>
      <c r="H174" s="226" t="s">
        <v>7371</v>
      </c>
      <c r="I174" s="226" t="s">
        <v>7372</v>
      </c>
      <c r="J174" s="214" t="s">
        <v>4837</v>
      </c>
      <c r="K174" s="227" t="s">
        <v>7373</v>
      </c>
      <c r="L174" s="190" t="s">
        <v>6473</v>
      </c>
      <c r="M174" s="6" t="s">
        <v>585</v>
      </c>
      <c r="N174" s="36" t="s">
        <v>585</v>
      </c>
      <c r="O174" s="190" t="s">
        <v>2774</v>
      </c>
      <c r="P174" s="36" t="s">
        <v>6603</v>
      </c>
      <c r="Q174" s="190" t="s">
        <v>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2026-10-07T14:38:05Z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