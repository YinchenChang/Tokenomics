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拆解" sheetId="1" state="visible" r:id="rId3"/>
    <sheet name="輸入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<sst xmlns="http://schemas.openxmlformats.org/spreadsheetml/2006/main" count="155" uniqueCount="109">
  <si>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帳缺口拆解（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）：模型付費 </t>
    </r>
    <r>
      <rPr>
        <sz val="11"/>
        <color theme="1"/>
        <rFont val="Calibri"/>
        <family val="2"/>
        <charset val="1"/>
      </rPr>
      <t xml:space="preserve">token ÷ </t>
    </r>
    <r>
      <rPr>
        <sz val="11"/>
        <color theme="1"/>
        <rFont val="Noto Sans CJK SC"/>
        <family val="2"/>
      </rPr>
      <t xml:space="preserve">需求面付費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路線＝</t>
    </r>
    <r>
      <rPr>
        <sz val="11"/>
        <color theme="1"/>
        <rFont val="Calibri"/>
        <family val="2"/>
        <charset val="1"/>
      </rPr>
      <t xml:space="preserve">P×Q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所用口徑；支出路線＝</t>
    </r>
    <r>
      <rPr>
        <sz val="11"/>
        <color theme="1"/>
        <rFont val="Calibri"/>
        <family val="2"/>
        <charset val="1"/>
      </rPr>
      <t xml:space="preserve">L1_TokLedger_2026Q2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</si>
  <si>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起點</t>
    </r>
  </si>
  <si>
    <t xml:space="preserve">值</t>
  </si>
  <si>
    <t xml:space="preserve">說明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</si>
  <si>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混合付費產能（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組合）</t>
    </r>
  </si>
  <si>
    <r>
      <rPr>
        <sz val="11"/>
        <color theme="1"/>
        <rFont val="Calibri"/>
        <family val="2"/>
        <charset val="1"/>
      </rPr>
      <t xml:space="preserve">M tok/GW/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</si>
  <si>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路線模型付費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</si>
  <si>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Calibri"/>
        <family val="2"/>
        <charset val="1"/>
      </rPr>
      <t xml:space="preserve">M tok/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</si>
  <si>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需求面付費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現值）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</si>
  <si>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帳（起點）</t>
    </r>
  </si>
  <si>
    <t xml:space="preserve">x</t>
  </si>
  <si>
    <r>
      <rPr>
        <sz val="11"/>
        <color theme="1"/>
        <rFont val="Noto Sans CJK SC"/>
        <family val="2"/>
      </rPr>
      <t xml:space="preserve">支出路線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帳（</t>
    </r>
    <r>
      <rPr>
        <sz val="11"/>
        <color theme="1"/>
        <rFont val="Calibri"/>
        <family val="2"/>
        <charset val="1"/>
      </rPr>
      <t xml:space="preserve">TK L1_TokLedger_2026Q2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</si>
  <si>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；對照 </t>
    </r>
    <r>
      <rPr>
        <sz val="11"/>
        <color theme="1"/>
        <rFont val="Calibri"/>
        <family val="2"/>
        <charset val="1"/>
      </rPr>
      <t xml:space="preserve">TK 3.019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</si>
  <si>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L1_TokLedger_GW25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</si>
  <si>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TK 1.520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</si>
  <si>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情境（逐項只改一個因子，其餘取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現值）</t>
    </r>
  </si>
  <si>
    <t xml:space="preserve">低</t>
  </si>
  <si>
    <t xml:space="preserve">基準</t>
  </si>
  <si>
    <t xml:space="preserve">高</t>
  </si>
  <si>
    <r>
      <rPr>
        <sz val="11"/>
        <color theme="1"/>
        <rFont val="Calibri"/>
        <family val="2"/>
        <charset val="1"/>
      </rPr>
      <t xml:space="preserve">D1 API </t>
    </r>
    <r>
      <rPr>
        <sz val="11"/>
        <color theme="1"/>
        <rFont val="Noto Sans CJK SC"/>
        <family val="2"/>
      </rPr>
      <t xml:space="preserve">季平均倍數：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</si>
  <si>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表示完全閉合</t>
    </r>
  </si>
  <si>
    <r>
      <rPr>
        <sz val="11"/>
        <color theme="1"/>
        <rFont val="Calibri"/>
        <family val="2"/>
        <charset val="1"/>
      </rPr>
      <t xml:space="preserve">D2 Codex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外：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</t>
    </r>
  </si>
  <si>
    <r>
      <rPr>
        <sz val="11"/>
        <color theme="1"/>
        <rFont val="Calibri"/>
        <family val="2"/>
        <charset val="1"/>
      </rPr>
      <t xml:space="preserve">D3 </t>
    </r>
    <r>
      <rPr>
        <sz val="11"/>
        <color theme="1"/>
        <rFont val="Noto Sans CJK SC"/>
        <family val="2"/>
      </rPr>
      <t xml:space="preserve">每則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</t>
    </r>
  </si>
  <si>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服務比例：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</si>
  <si>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產能實現率：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</si>
  <si>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組合（全部因子同時取同一端）</t>
    </r>
  </si>
  <si>
    <t xml:space="preserve">全取「不利閉合」端</t>
  </si>
  <si>
    <t xml:space="preserve">全取基準</t>
  </si>
  <si>
    <t xml:space="preserve">全取「利於閉合」端</t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</si>
  <si>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</t>
    </r>
  </si>
  <si>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組合；端點同向，範圍偏寬</t>
    </r>
  </si>
  <si>
    <r>
      <rPr>
        <sz val="11"/>
        <color theme="1"/>
        <rFont val="Noto Sans CJK SC"/>
        <family val="2"/>
      </rPr>
      <t xml:space="preserve">支出路線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帳（</t>
    </r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不適用；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同比例套用）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</si>
  <si>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必須為真：其他因子取基準時，單一因子要多大才閉合（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路線＝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</si>
  <si>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t xml:space="preserve">所需值</t>
  </si>
  <si>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外（</t>
    </r>
    <r>
      <rPr>
        <sz val="11"/>
        <color theme="1"/>
        <rFont val="Calibri"/>
        <family val="2"/>
        <charset val="1"/>
      </rPr>
      <t xml:space="preserve">T tok/</t>
    </r>
    <r>
      <rPr>
        <sz val="11"/>
        <color theme="1"/>
        <rFont val="Noto Sans CJK SC"/>
        <family val="2"/>
      </rPr>
      <t xml:space="preserve">日）</t>
    </r>
  </si>
  <si>
    <t xml:space="preserve">其他因子取基準</t>
  </si>
  <si>
    <r>
      <rPr>
        <sz val="11"/>
        <color theme="1"/>
        <rFont val="Noto Sans CJK SC"/>
        <family val="2"/>
      </rPr>
      <t xml:space="preserve">所需每則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</si>
  <si>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季平均倍數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</si>
  <si>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P×Q </t>
    </r>
    <r>
      <rPr>
        <b val="true"/>
        <sz val="11"/>
        <rFont val="Noto Sans CJK SC"/>
        <family val="2"/>
      </rPr>
      <t xml:space="preserve">讀法的影響（若誤差全在產能側，第一年營收 </t>
    </r>
    <r>
      <rPr>
        <b val="true"/>
        <sz val="11"/>
        <rFont val="Cambria"/>
        <family val="0"/>
        <charset val="1"/>
      </rPr>
      <t xml:space="preserve">÷ token </t>
    </r>
    <r>
      <rPr>
        <b val="true"/>
        <sz val="11"/>
        <rFont val="Noto Sans CJK SC"/>
        <family val="2"/>
      </rPr>
      <t xml:space="preserve">帳）</t>
    </r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</si>
  <si>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現讀法</t>
    </r>
  </si>
  <si>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路線起點</t>
    </r>
  </si>
  <si>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路線基準組合</t>
    </r>
  </si>
  <si>
    <r>
      <rPr>
        <sz val="11"/>
        <color theme="1"/>
        <rFont val="Calibri"/>
        <family val="2"/>
        <charset val="1"/>
      </rPr>
      <t xml:space="preserve">L1_RevGW_PQ_VR200 49.51 $B </t>
    </r>
    <r>
      <rPr>
        <sz val="11"/>
        <color theme="1"/>
        <rFont val="Noto Sans CJK SC"/>
        <family val="2"/>
      </rPr>
      <t xml:space="preserve">的折算</t>
    </r>
  </si>
  <si>
    <t xml:space="preserve">項目</t>
  </si>
  <si>
    <t xml:space="preserve">單位</t>
  </si>
  <si>
    <t xml:space="preserve">標記</t>
  </si>
  <si>
    <r>
      <rPr>
        <b val="true"/>
        <sz val="11"/>
        <rFont val="Noto Sans CJK SC"/>
        <family val="2"/>
      </rPr>
      <t xml:space="preserve">依據（</t>
    </r>
    <r>
      <rPr>
        <b val="true"/>
        <sz val="11"/>
        <rFont val="Cambria"/>
        <family val="0"/>
        <charset val="1"/>
      </rPr>
      <t xml:space="preserve">TK v21.2 </t>
    </r>
    <r>
      <rPr>
        <b val="true"/>
        <sz val="11"/>
        <rFont val="Noto Sans CJK SC"/>
        <family val="2"/>
      </rPr>
      <t xml:space="preserve">名稱或外部來源）</t>
    </r>
  </si>
  <si>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季平均上線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中占比＋晚）</t>
    </r>
  </si>
  <si>
    <t xml:space="preserve">GW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</si>
  <si>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J7</t>
    </r>
    <r>
      <rPr>
        <sz val="11"/>
        <color theme="1"/>
        <rFont val="Noto Sans CJK SC"/>
        <family val="2"/>
      </rPr>
      <t xml:space="preserve">，下界）</t>
    </r>
  </si>
  <si>
    <r>
      <rPr>
        <sz val="11"/>
        <color theme="1"/>
        <rFont val="Calibri"/>
        <family val="2"/>
        <charset val="1"/>
      </rPr>
      <t xml:space="preserve">PR #162 </t>
    </r>
    <r>
      <rPr>
        <sz val="11"/>
        <color theme="1"/>
        <rFont val="Noto Sans CJK SC"/>
        <family val="2"/>
      </rPr>
      <t xml:space="preserve">結果頁；區間 </t>
    </r>
    <r>
      <rPr>
        <sz val="11"/>
        <color theme="1"/>
        <rFont val="Calibri"/>
        <family val="2"/>
        <charset val="1"/>
      </rPr>
      <t xml:space="preserve">2.21–2.85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</si>
  <si>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</si>
  <si>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CFO</t>
    </r>
  </si>
  <si>
    <t xml:space="preserve">SRC_DEM_009</t>
  </si>
  <si>
    <r>
      <rPr>
        <sz val="11"/>
        <color theme="1"/>
        <rFont val="Noto Sans CJK SC"/>
        <family val="2"/>
      </rPr>
      <t xml:space="preserve">對外服務占機隊 </t>
    </r>
    <r>
      <rPr>
        <sz val="11"/>
        <color theme="1"/>
        <rFont val="Calibri"/>
        <family val="2"/>
        <charset val="1"/>
      </rPr>
      <t xml:space="preserve">B4_Serve</t>
    </r>
  </si>
  <si>
    <t xml:space="preserve">Derived</t>
  </si>
  <si>
    <t xml:space="preserve">Cap_In C28</t>
  </si>
  <si>
    <r>
      <rPr>
        <sz val="11"/>
        <color theme="1"/>
        <rFont val="Noto Sans CJK SC"/>
        <family val="2"/>
      </rPr>
      <t xml:space="preserve">免費占服務算力 </t>
    </r>
    <r>
      <rPr>
        <sz val="11"/>
        <color theme="1"/>
        <rFont val="Calibri"/>
        <family val="2"/>
        <charset val="1"/>
      </rPr>
      <t xml:space="preserve">IF_FreeShare</t>
    </r>
  </si>
  <si>
    <t xml:space="preserve">Interested-party</t>
  </si>
  <si>
    <t xml:space="preserve">Interface C149</t>
  </si>
  <si>
    <r>
      <rPr>
        <sz val="11"/>
        <color theme="1"/>
        <rFont val="Noto Sans CJK SC"/>
        <family val="2"/>
      </rPr>
      <t xml:space="preserve">實際利用率 </t>
    </r>
    <r>
      <rPr>
        <sz val="11"/>
        <color theme="1"/>
        <rFont val="Calibri"/>
        <family val="2"/>
        <charset val="1"/>
      </rPr>
      <t xml:space="preserve">AL_UtilActual</t>
    </r>
  </si>
  <si>
    <t xml:space="preserve">Assumed</t>
  </si>
  <si>
    <t xml:space="preserve">Alloc_In C24</t>
  </si>
  <si>
    <r>
      <rPr>
        <sz val="11"/>
        <color theme="1"/>
        <rFont val="Noto Sans CJK SC"/>
        <family val="2"/>
      </rPr>
      <t xml:space="preserve">生產折減 </t>
    </r>
    <r>
      <rPr>
        <sz val="11"/>
        <color theme="1"/>
        <rFont val="Calibri"/>
        <family val="2"/>
        <charset val="1"/>
      </rPr>
      <t xml:space="preserve">CTL_ProdDerate</t>
    </r>
  </si>
  <si>
    <t xml:space="preserve">Serving C28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</si>
  <si>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付費產能 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IF_TokGWPaidMix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欄）</t>
    </r>
  </si>
  <si>
    <t xml:space="preserve">Interface C361:Q361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</si>
  <si>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付費產能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欄）</t>
    </r>
  </si>
  <si>
    <t xml:space="preserve">同上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</si>
  <si>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付費產能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</si>
  <si>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付費產能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</si>
  <si>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服務世代組合 </t>
    </r>
    <r>
      <rPr>
        <sz val="11"/>
        <color theme="1"/>
        <rFont val="Calibri"/>
        <family val="2"/>
        <charset val="1"/>
      </rPr>
      <t xml:space="preserve">Hopper</t>
    </r>
  </si>
  <si>
    <t xml:space="preserve">Cap_In D211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</si>
  <si>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服務世代組合 </t>
    </r>
    <r>
      <rPr>
        <sz val="11"/>
        <color theme="1"/>
        <rFont val="Calibri"/>
        <family val="2"/>
        <charset val="1"/>
      </rPr>
      <t xml:space="preserve">GB200</t>
    </r>
  </si>
  <si>
    <t xml:space="preserve">Cap_In D212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</si>
  <si>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服務世代組合 </t>
    </r>
    <r>
      <rPr>
        <sz val="11"/>
        <color theme="1"/>
        <rFont val="Calibri"/>
        <family val="2"/>
        <charset val="1"/>
      </rPr>
      <t xml:space="preserve">GB300</t>
    </r>
  </si>
  <si>
    <t xml:space="preserve">Cap_In D213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</si>
  <si>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服務世代組合 </t>
    </r>
    <r>
      <rPr>
        <sz val="11"/>
        <color theme="1"/>
        <rFont val="Calibri"/>
        <family val="2"/>
        <charset val="1"/>
      </rPr>
      <t xml:space="preserve">VR200</t>
    </r>
  </si>
  <si>
    <t xml:space="preserve">Cap_In D214</t>
  </si>
  <si>
    <r>
      <rPr>
        <sz val="11"/>
        <color theme="1"/>
        <rFont val="Noto Sans CJK SC"/>
        <family val="2"/>
      </rPr>
      <t xml:space="preserve">支出路線模型付費 </t>
    </r>
    <r>
      <rPr>
        <sz val="11"/>
        <color theme="1"/>
        <rFont val="Calibri"/>
        <family val="2"/>
        <charset val="1"/>
      </rPr>
      <t xml:space="preserve">token 2026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Cap_In E222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</si>
  <si>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L1_TokLedger_2026Q2 </t>
    </r>
    <r>
      <rPr>
        <sz val="11"/>
        <color theme="1"/>
        <rFont val="Noto Sans CJK SC"/>
        <family val="2"/>
      </rPr>
      <t xml:space="preserve">分子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</si>
  <si>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API token 2026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Cap_In E196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億／分 時點值年化）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</si>
  <si>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</si>
  <si>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SRC_DEM_011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時點）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</si>
  <si>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每日則數 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Cap_In E197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</si>
  <si>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日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</si>
  <si>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（出處待補）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</si>
  <si>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PR #160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3.6B </t>
    </r>
    <r>
      <rPr>
        <sz val="11"/>
        <color theme="1"/>
        <rFont val="Noto Sans CJK SC"/>
        <family val="2"/>
      </rPr>
      <t xml:space="preserve">未找到出處；最近可核實 </t>
    </r>
    <r>
      <rPr>
        <sz val="11"/>
        <color theme="1"/>
        <rFont val="Calibri"/>
        <family val="2"/>
        <charset val="1"/>
      </rPr>
      <t xml:space="preserve">3.0B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2025-08</t>
    </r>
    <r>
      <rPr>
        <sz val="11"/>
        <color theme="1"/>
        <rFont val="Noto Sans CJK SC"/>
        <family val="2"/>
      </rPr>
      <t xml:space="preserve">，全產品含企業）</t>
    </r>
  </si>
  <si>
    <r>
      <rPr>
        <sz val="11"/>
        <color theme="1"/>
        <rFont val="Noto Sans CJK SC"/>
        <family val="2"/>
      </rPr>
      <t xml:space="preserve">每則 </t>
    </r>
    <r>
      <rPr>
        <sz val="11"/>
        <color theme="1"/>
        <rFont val="Calibri"/>
        <family val="2"/>
        <charset val="1"/>
      </rPr>
      <t xml:space="preserve">token AL_TokPerPrompt</t>
    </r>
  </si>
  <si>
    <t xml:space="preserve">tok</t>
  </si>
  <si>
    <r>
      <rPr>
        <sz val="11"/>
        <color theme="1"/>
        <rFont val="Calibri"/>
        <family val="2"/>
        <charset val="1"/>
      </rPr>
      <t xml:space="preserve">Alloc_In C15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2,000–11,000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</si>
  <si>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ChatGPT token </t>
    </r>
    <r>
      <rPr>
        <sz val="11"/>
        <color theme="1"/>
        <rFont val="Noto Sans CJK SC"/>
        <family val="2"/>
      </rPr>
      <t xml:space="preserve">免費占比 </t>
    </r>
    <r>
      <rPr>
        <sz val="11"/>
        <color theme="1"/>
        <rFont val="Calibri"/>
        <family val="2"/>
        <charset val="1"/>
      </rPr>
      <t xml:space="preserve">AL_FreeShare</t>
    </r>
  </si>
  <si>
    <t xml:space="preserve">Alloc_In C16</t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</si>
  <si>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 AL_DPaid</t>
    </r>
  </si>
  <si>
    <t xml:space="preserve">Alloc C9</t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</si>
  <si>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模型付費 </t>
    </r>
    <r>
      <rPr>
        <sz val="11"/>
        <color theme="1"/>
        <rFont val="Calibri"/>
        <family val="2"/>
        <charset val="1"/>
      </rPr>
      <t xml:space="preserve">token L1_TokPaid_GW25</t>
    </r>
  </si>
  <si>
    <t xml:space="preserve">Cap_In C334</t>
  </si>
  <si>
    <t xml:space="preserve">候選因子（情境；低／基準／高）</t>
  </si>
  <si>
    <t xml:space="preserve">依據</t>
  </si>
  <si>
    <r>
      <rPr>
        <sz val="11"/>
        <color theme="1"/>
        <rFont val="Calibri"/>
        <family val="2"/>
        <charset val="1"/>
      </rPr>
      <t xml:space="preserve">D1 API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季平均 </t>
    </r>
    <r>
      <rPr>
        <sz val="11"/>
        <color theme="1"/>
        <rFont val="Calibri"/>
        <family val="2"/>
        <charset val="1"/>
      </rPr>
      <t xml:space="preserve">÷ 3 </t>
    </r>
    <r>
      <rPr>
        <sz val="11"/>
        <color theme="1"/>
        <rFont val="Noto Sans CJK SC"/>
        <family val="2"/>
      </rPr>
      <t xml:space="preserve">月底時點值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</si>
  <si>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每分鐘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2026-03 150 </t>
    </r>
    <r>
      <rPr>
        <sz val="11"/>
        <color theme="1"/>
        <rFont val="Noto Sans CJK SC"/>
        <family val="2"/>
      </rPr>
      <t xml:space="preserve">億（約 </t>
    </r>
    <r>
      <rPr>
        <sz val="11"/>
        <color theme="1"/>
        <rFont val="Calibri"/>
        <family val="2"/>
        <charset val="1"/>
      </rPr>
      <t xml:space="preserve">5.8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倍，月增約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中點晚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個月，若續增約 </t>
    </r>
    <r>
      <rPr>
        <sz val="11"/>
        <color theme="1"/>
        <rFont val="Calibri"/>
        <family val="2"/>
        <charset val="1"/>
      </rPr>
      <t xml:space="preserve">1.27</t>
    </r>
    <r>
      <rPr>
        <sz val="11"/>
        <color theme="1"/>
        <rFont val="Noto Sans CJK SC"/>
        <family val="2"/>
      </rPr>
      <t xml:space="preserve">；低＝持平</t>
    </r>
  </si>
  <si>
    <r>
      <rPr>
        <sz val="11"/>
        <color theme="1"/>
        <rFont val="Calibri"/>
        <family val="2"/>
        <charset val="1"/>
      </rPr>
      <t xml:space="preserve">D2 Codex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外的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 tok/</t>
    </r>
    <r>
      <rPr>
        <sz val="11"/>
        <color theme="1"/>
        <rFont val="Noto Sans CJK SC"/>
        <family val="2"/>
      </rPr>
      <t xml:space="preserve">日）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</si>
  <si>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2025-10 GPT-5-Codex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2T</t>
    </r>
    <r>
      <rPr>
        <sz val="11"/>
        <color theme="1"/>
        <rFont val="Noto Sans CJK SC"/>
        <family val="2"/>
      </rPr>
      <t xml:space="preserve">／日（全通路，</t>
    </r>
    <r>
      <rPr>
        <sz val="11"/>
        <color theme="1"/>
        <rFont val="Calibri"/>
        <family val="2"/>
        <charset val="1"/>
      </rPr>
      <t xml:space="preserve">SRC_DEM_088</t>
    </r>
    <r>
      <rPr>
        <sz val="11"/>
        <color theme="1"/>
        <rFont val="Noto Sans CJK SC"/>
        <family val="2"/>
      </rPr>
      <t xml:space="preserve">）；週活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 → </t>
    </r>
    <r>
      <rPr>
        <sz val="11"/>
        <color theme="1"/>
        <rFont val="Calibri"/>
        <family val="2"/>
        <charset val="1"/>
      </rPr>
      <t xml:space="preserve">03 160 </t>
    </r>
    <r>
      <rPr>
        <sz val="11"/>
        <color theme="1"/>
        <rFont val="Noto Sans CJK SC"/>
        <family val="2"/>
      </rPr>
      <t xml:space="preserve">萬 → 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月增 </t>
    </r>
    <r>
      <rPr>
        <sz val="11"/>
        <color theme="1"/>
        <rFont val="Calibri"/>
        <family val="2"/>
        <charset val="1"/>
      </rPr>
      <t xml:space="preserve">70%+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初）；在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外的比例未知</t>
    </r>
  </si>
  <si>
    <r>
      <rPr>
        <sz val="11"/>
        <color theme="1"/>
        <rFont val="Calibri"/>
        <family val="2"/>
        <charset val="1"/>
      </rPr>
      <t xml:space="preserve">D3 </t>
    </r>
    <r>
      <rPr>
        <sz val="11"/>
        <color theme="1"/>
        <rFont val="Noto Sans CJK SC"/>
        <family val="2"/>
      </rPr>
      <t xml:space="preserve">每則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</si>
  <si>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2,000–11,000</t>
    </r>
    <r>
      <rPr>
        <sz val="11"/>
        <color theme="1"/>
        <rFont val="Noto Sans CJK SC"/>
        <family val="2"/>
      </rPr>
      <t xml:space="preserve">；推理預設化與上下文累積偏高</t>
    </r>
  </si>
  <si>
    <r>
      <rPr>
        <sz val="11"/>
        <color theme="1"/>
        <rFont val="Calibri"/>
        <family val="2"/>
        <charset val="1"/>
      </rPr>
      <t xml:space="preserve">S1 2026 </t>
    </r>
    <r>
      <rPr>
        <sz val="11"/>
        <color theme="1"/>
        <rFont val="Noto Sans CJK SC"/>
        <family val="2"/>
      </rPr>
      <t xml:space="preserve">新增上線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中對外服務的比例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</si>
  <si>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兩站可能供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訓練；高＝與既有機隊同 </t>
    </r>
    <r>
      <rPr>
        <sz val="11"/>
        <color theme="1"/>
        <rFont val="Calibri"/>
        <family val="2"/>
        <charset val="1"/>
      </rPr>
      <t xml:space="preserve">0.41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</si>
  <si>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世代產能實現率（爬坡、軟體成熟度）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</si>
  <si>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：無量測；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已知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模型值約為實測 </t>
    </r>
    <r>
      <rPr>
        <sz val="11"/>
        <color theme="1"/>
        <rFont val="Calibri"/>
        <family val="2"/>
        <charset val="1"/>
      </rPr>
      <t xml:space="preserve">0.27 </t>
    </r>
    <r>
      <rPr>
        <sz val="11"/>
        <color theme="1"/>
        <rFont val="Noto Sans CJK SC"/>
        <family val="2"/>
      </rPr>
      <t xml:space="preserve">倍（反向，未校準）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</si>
</sst>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E+00"/>
    <numFmt numFmtId="166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16"/>
    <col collapsed="false" customWidth="true" hidden="false" outlineLevel="0" max="5" min="5" style="0" width="36"/>
  </cols>
  <sheetData>
    <row r="1" customFormat="false" ht="17.15" hidden="false" customHeight="false" outlineLevel="0" collapsed="false">
      <c r="A1" s="0" t="s">
        <v>0</v>
      </c>
    </row>
    <row r="3" customFormat="false" ht="17.15" hidden="false" customHeight="false" outlineLevel="0" collapsed="false">
      <c r="A3" s="1" t="s">
        <v>1</v>
      </c>
      <c r="B3" s="2" t="s">
        <v>2</v>
      </c>
      <c r="C3" s="2" t="s">
        <v>3</v>
      </c>
      <c r="D3" s="1"/>
      <c r="E3" s="1"/>
    </row>
    <row r="4" customFormat="false" ht="17.15" hidden="false" customHeight="false" outlineLevel="0" collapsed="false">
      <c r="A4" s="3" t="s">
        <v>4</v>
      </c>
      <c r="B4" s="4" t="n">
        <f aca="false">輸入!$B$12*輸入!$B$8+輸入!$B$13*輸入!$B$9+輸入!$B$14*輸入!$B$10+輸入!$B$15*輸入!$B$11</f>
        <v>115966241659.343</v>
      </c>
      <c r="C4" s="5" t="s">
        <v>5</v>
      </c>
    </row>
    <row r="5" customFormat="false" ht="17.15" hidden="false" customHeight="false" outlineLevel="0" collapsed="false">
      <c r="A5" s="0" t="s">
        <v>6</v>
      </c>
      <c r="B5" s="4" t="n">
        <f aca="false">輸入!$B$2*輸入!$B$4*(1-輸入!$B$5)*B4*輸入!$B$6*輸入!$B$7</f>
        <v>20937645324.9462</v>
      </c>
      <c r="C5" s="5" t="s">
        <v>7</v>
      </c>
    </row>
    <row r="6" customFormat="false" ht="17.15" hidden="false" customHeight="false" outlineLevel="0" collapsed="false">
      <c r="A6" s="3" t="s">
        <v>8</v>
      </c>
      <c r="B6" s="4" t="n">
        <f aca="false">輸入!$B$17+輸入!$B$18*1000000000*輸入!$B$19*365/1000000*(1-輸入!$B$20)</f>
        <v>9986400000</v>
      </c>
      <c r="C6" s="5" t="s">
        <v>7</v>
      </c>
    </row>
    <row r="7" customFormat="false" ht="17.15" hidden="false" customHeight="false" outlineLevel="0" collapsed="false">
      <c r="A7" s="0" t="s">
        <v>9</v>
      </c>
      <c r="B7" s="6" t="n">
        <f aca="false">B5/B6</f>
        <v>2.09661593015964</v>
      </c>
      <c r="C7" s="5" t="s">
        <v>10</v>
      </c>
    </row>
    <row r="8" customFormat="false" ht="17.15" hidden="false" customHeight="false" outlineLevel="0" collapsed="false">
      <c r="A8" s="3" t="s">
        <v>11</v>
      </c>
      <c r="B8" s="6" t="n">
        <f aca="false">輸入!$B$16/B6</f>
        <v>3.01947256066794</v>
      </c>
      <c r="C8" s="5" t="s">
        <v>12</v>
      </c>
    </row>
    <row r="9" customFormat="false" ht="17.15" hidden="false" customHeight="false" outlineLevel="0" collapsed="false">
      <c r="A9" s="3" t="s">
        <v>13</v>
      </c>
      <c r="B9" s="6" t="n">
        <f aca="false">輸入!$B$22/輸入!$B$21</f>
        <v>1.51998877687236</v>
      </c>
      <c r="C9" s="5" t="s">
        <v>14</v>
      </c>
    </row>
    <row r="11" customFormat="false" ht="17.15" hidden="false" customHeight="false" outlineLevel="0" collapsed="false">
      <c r="A11" s="1" t="s">
        <v>15</v>
      </c>
      <c r="B11" s="2" t="s">
        <v>16</v>
      </c>
      <c r="C11" s="2" t="s">
        <v>17</v>
      </c>
      <c r="D11" s="2" t="s">
        <v>18</v>
      </c>
      <c r="E11" s="2" t="s">
        <v>3</v>
      </c>
    </row>
    <row r="12" customFormat="false" ht="17.15" hidden="false" customHeight="false" outlineLevel="0" collapsed="false">
      <c r="A12" s="0" t="s">
        <v>19</v>
      </c>
      <c r="B12" s="6" t="n">
        <f aca="false">((輸入!$B$3*輸入!$B$4+(輸入!$B$2-輸入!$B$3)*輸入!$B$4)*(1-輸入!$B$5)*(輸入!$B$12*輸入!$B$8+(輸入!$B$13*輸入!$B$9+輸入!$B$14*輸入!$B$10+輸入!$B$15*輸入!$B$11)*1)*輸入!$B$6*輸入!$B$7)/(輸入!$B$17*輸入!$B$25+0*1000000000000*365/1000000+輸入!$B$18*1000000000*輸入!$B$19*365/1000000*(1-輸入!$B$20))</f>
        <v>2.09661593015964</v>
      </c>
      <c r="C12" s="6" t="n">
        <f aca="false">((輸入!$B$3*輸入!$B$4+(輸入!$B$2-輸入!$B$3)*輸入!$B$4)*(1-輸入!$B$5)*(輸入!$B$12*輸入!$B$8+(輸入!$B$13*輸入!$B$9+輸入!$B$14*輸入!$B$10+輸入!$B$15*輸入!$B$11)*1)*輸入!$B$6*輸入!$B$7)/(輸入!$B$17*輸入!$C$25+0*1000000000000*365/1000000+輸入!$B$18*1000000000*輸入!$B$19*365/1000000*(1-輸入!$B$20))</f>
        <v>1.87462130226038</v>
      </c>
      <c r="D12" s="6" t="n">
        <f aca="false">((輸入!$B$3*輸入!$B$4+(輸入!$B$2-輸入!$B$3)*輸入!$B$4)*(1-輸入!$B$5)*(輸入!$B$12*輸入!$B$8+(輸入!$B$13*輸入!$B$9+輸入!$B$14*輸入!$B$10+輸入!$B$15*輸入!$B$11)*1)*輸入!$B$6*輸入!$B$7)/(輸入!$B$17*輸入!$D$25+0*1000000000000*365/1000000+輸入!$B$18*1000000000*輸入!$B$19*365/1000000*(1-輸入!$B$20))</f>
        <v>1.64270938857868</v>
      </c>
      <c r="E12" s="3" t="s">
        <v>20</v>
      </c>
    </row>
    <row r="13" customFormat="false" ht="17.15" hidden="false" customHeight="false" outlineLevel="0" collapsed="false">
      <c r="A13" s="0" t="s">
        <v>21</v>
      </c>
      <c r="B13" s="6" t="n">
        <f aca="false">((輸入!$B$3*輸入!$B$4+(輸入!$B$2-輸入!$B$3)*輸入!$B$4)*(1-輸入!$B$5)*(輸入!$B$12*輸入!$B$8+(輸入!$B$13*輸入!$B$9+輸入!$B$14*輸入!$B$10+輸入!$B$15*輸入!$B$11)*1)*輸入!$B$6*輸入!$B$7)/(輸入!$B$17*1+輸入!$B$26*1000000000000*365/1000000+輸入!$B$18*1000000000*輸入!$B$19*365/1000000*(1-輸入!$B$20))</f>
        <v>1.95379468151116</v>
      </c>
      <c r="C13" s="6" t="n">
        <f aca="false">((輸入!$B$3*輸入!$B$4+(輸入!$B$2-輸入!$B$3)*輸入!$B$4)*(1-輸入!$B$5)*(輸入!$B$12*輸入!$B$8+(輸入!$B$13*輸入!$B$9+輸入!$B$14*輸入!$B$10+輸入!$B$15*輸入!$B$11)*1)*輸入!$B$6*輸入!$B$7)/(輸入!$B$17*1+輸入!$C$26*1000000000000*365/1000000+輸入!$B$18*1000000000*輸入!$B$19*365/1000000*(1-輸入!$B$20))</f>
        <v>1.62226843464841</v>
      </c>
      <c r="D13" s="6" t="n">
        <f aca="false">((輸入!$B$3*輸入!$B$4+(輸入!$B$2-輸入!$B$3)*輸入!$B$4)*(1-輸入!$B$5)*(輸入!$B$12*輸入!$B$8+(輸入!$B$13*輸入!$B$9+輸入!$B$14*輸入!$B$10+輸入!$B$15*輸入!$B$11)*1)*輸入!$B$6*輸入!$B$7)/(輸入!$B$17*1+輸入!$D$26*1000000000000*365/1000000+輸入!$B$18*1000000000*輸入!$B$19*365/1000000*(1-輸入!$B$20))</f>
        <v>1.0955579039184</v>
      </c>
      <c r="E13" s="3" t="s">
        <v>20</v>
      </c>
    </row>
    <row r="14" customFormat="false" ht="17.15" hidden="false" customHeight="false" outlineLevel="0" collapsed="false">
      <c r="A14" s="0" t="s">
        <v>22</v>
      </c>
      <c r="B14" s="6" t="n">
        <f aca="false">((輸入!$B$3*輸入!$B$4+(輸入!$B$2-輸入!$B$3)*輸入!$B$4)*(1-輸入!$B$5)*(輸入!$B$12*輸入!$B$8+(輸入!$B$13*輸入!$B$9+輸入!$B$14*輸入!$B$10+輸入!$B$15*輸入!$B$11)*1)*輸入!$B$6*輸入!$B$7)/(輸入!$B$17*1+0*1000000000000*365/1000000+輸入!$B$18*1000000000*輸入!$B$27*365/1000000*(1-輸入!$B$20))</f>
        <v>2.09661593015964</v>
      </c>
      <c r="C14" s="6" t="n">
        <f aca="false">((輸入!$B$3*輸入!$B$4+(輸入!$B$2-輸入!$B$3)*輸入!$B$4)*(1-輸入!$B$5)*(輸入!$B$12*輸入!$B$8+(輸入!$B$13*輸入!$B$9+輸入!$B$14*輸入!$B$10+輸入!$B$15*輸入!$B$11)*1)*輸入!$B$6*輸入!$B$7)/(輸入!$B$17*1+0*1000000000000*365/1000000+輸入!$B$18*1000000000*輸入!$C$27*365/1000000*(1-輸入!$B$20))</f>
        <v>1.89693822252539</v>
      </c>
      <c r="D14" s="6" t="n">
        <f aca="false">((輸入!$B$3*輸入!$B$4+(輸入!$B$2-輸入!$B$3)*輸入!$B$4)*(1-輸入!$B$5)*(輸入!$B$12*輸入!$B$8+(輸入!$B$13*輸入!$B$9+輸入!$B$14*輸入!$B$10+輸入!$B$15*輸入!$B$11)*1)*輸入!$B$6*輸入!$B$7)/(輸入!$B$17*1+0*1000000000000*365/1000000+輸入!$B$18*1000000000*輸入!$D$27*365/1000000*(1-輸入!$B$20))</f>
        <v>1.53214241050127</v>
      </c>
      <c r="E14" s="3" t="s">
        <v>20</v>
      </c>
    </row>
    <row r="15" customFormat="false" ht="17.15" hidden="false" customHeight="false" outlineLevel="0" collapsed="false">
      <c r="A15" s="0" t="s">
        <v>23</v>
      </c>
      <c r="B15" s="6" t="n">
        <f aca="false">((輸入!$B$3*輸入!$B$4+(輸入!$B$2-輸入!$B$3)*輸入!$B$28)*(1-輸入!$B$5)*(輸入!$B$12*輸入!$B$8+(輸入!$B$13*輸入!$B$9+輸入!$B$14*輸入!$B$10+輸入!$B$15*輸入!$B$11)*1)*輸入!$B$6*輸入!$B$7)/(輸入!$B$17*1+0*1000000000000*365/1000000+輸入!$B$18*1000000000*輸入!$B$19*365/1000000*(1-輸入!$B$20))</f>
        <v>1.70238045611253</v>
      </c>
      <c r="C15" s="6" t="n">
        <f aca="false">((輸入!$B$3*輸入!$B$4+(輸入!$B$2-輸入!$B$3)*輸入!$C$28)*(1-輸入!$B$5)*(輸入!$B$12*輸入!$B$8+(輸入!$B$13*輸入!$B$9+輸入!$B$14*輸入!$B$10+輸入!$B$15*輸入!$B$11)*1)*輸入!$B$6*輸入!$B$7)/(輸入!$B$17*1+0*1000000000000*365/1000000+輸入!$B$18*1000000000*輸入!$B$19*365/1000000*(1-輸入!$B$20))</f>
        <v>1.89469044345258</v>
      </c>
      <c r="D15" s="6" t="n">
        <f aca="false">((輸入!$B$3*輸入!$B$4+(輸入!$B$2-輸入!$B$3)*輸入!$D$28)*(1-輸入!$B$5)*(輸入!$B$12*輸入!$B$8+(輸入!$B$13*輸入!$B$9+輸入!$B$14*輸入!$B$10+輸入!$B$15*輸入!$B$11)*1)*輸入!$B$6*輸入!$B$7)/(輸入!$B$17*1+0*1000000000000*365/1000000+輸入!$B$18*1000000000*輸入!$B$19*365/1000000*(1-輸入!$B$20))</f>
        <v>2.09661593015964</v>
      </c>
      <c r="E15" s="3" t="s">
        <v>20</v>
      </c>
    </row>
    <row r="16" customFormat="false" ht="17.15" hidden="false" customHeight="false" outlineLevel="0" collapsed="false">
      <c r="A16" s="0" t="s">
        <v>24</v>
      </c>
      <c r="B16" s="6" t="n">
        <f aca="false">((輸入!$B$3*輸入!$B$4+(輸入!$B$2-輸入!$B$3)*輸入!$B$4)*(1-輸入!$B$5)*(輸入!$B$12*輸入!$B$8+(輸入!$B$13*輸入!$B$9+輸入!$B$14*輸入!$B$10+輸入!$B$15*輸入!$B$11)*輸入!$B$29)*輸入!$B$6*輸入!$B$7)/(輸入!$B$17*1+0*1000000000000*365/1000000+輸入!$B$18*1000000000*輸入!$B$19*365/1000000*(1-輸入!$B$20))</f>
        <v>1.30500769736522</v>
      </c>
      <c r="C16" s="6" t="n">
        <f aca="false">((輸入!$B$3*輸入!$B$4+(輸入!$B$2-輸入!$B$3)*輸入!$B$4)*(1-輸入!$B$5)*(輸入!$B$12*輸入!$B$8+(輸入!$B$13*輸入!$B$9+輸入!$B$14*輸入!$B$10+輸入!$B$15*輸入!$B$11)*輸入!$C$29)*輸入!$B$6*輸入!$B$7)/(輸入!$B$17*1+0*1000000000000*365/1000000+輸入!$B$18*1000000000*輸入!$B$19*365/1000000*(1-輸入!$B$20))</f>
        <v>1.70081181376243</v>
      </c>
      <c r="D16" s="6" t="n">
        <f aca="false">((輸入!$B$3*輸入!$B$4+(輸入!$B$2-輸入!$B$3)*輸入!$B$4)*(1-輸入!$B$5)*(輸入!$B$12*輸入!$B$8+(輸入!$B$13*輸入!$B$9+輸入!$B$14*輸入!$B$10+輸入!$B$15*輸入!$B$11)*輸入!$D$29)*輸入!$B$6*輸入!$B$7)/(輸入!$B$17*1+0*1000000000000*365/1000000+輸入!$B$18*1000000000*輸入!$B$19*365/1000000*(1-輸入!$B$20))</f>
        <v>2.09661593015964</v>
      </c>
      <c r="E16" s="3" t="s">
        <v>20</v>
      </c>
    </row>
    <row r="18" customFormat="false" ht="17.15" hidden="false" customHeight="false" outlineLevel="0" collapsed="false">
      <c r="A18" s="1" t="s">
        <v>25</v>
      </c>
      <c r="B18" s="2" t="s">
        <v>26</v>
      </c>
      <c r="C18" s="2" t="s">
        <v>27</v>
      </c>
      <c r="D18" s="2" t="s">
        <v>28</v>
      </c>
      <c r="E18" s="2" t="s">
        <v>3</v>
      </c>
    </row>
    <row r="19" customFormat="false" ht="17.15" hidden="false" customHeight="false" outlineLevel="0" collapsed="false">
      <c r="A19" s="0" t="s">
        <v>29</v>
      </c>
      <c r="B19" s="6" t="n">
        <f aca="false">((輸入!$B$3*輸入!$B$4+(輸入!$B$2-輸入!$B$3)*輸入!$D$28)*(1-輸入!$B$5)*(輸入!$B$12*輸入!$B$8+(輸入!$B$13*輸入!$B$9+輸入!$B$14*輸入!$B$10+輸入!$B$15*輸入!$B$11)*輸入!$D$29)*輸入!$B$6*輸入!$B$7)/(輸入!$B$17*輸入!$B$25+輸入!$B$26*1000000000000*365/1000000+輸入!$B$18*1000000000*輸入!$B$27*365/1000000*(1-輸入!$B$20))</f>
        <v>1.95379468151116</v>
      </c>
      <c r="C19" s="6" t="n">
        <f aca="false">((輸入!$B$3*輸入!$B$4+(輸入!$B$2-輸入!$B$3)*輸入!$C$28)*(1-輸入!$B$5)*(輸入!$B$12*輸入!$B$8+(輸入!$B$13*輸入!$B$9+輸入!$B$14*輸入!$B$10+輸入!$B$15*輸入!$B$11)*輸入!$C$29)*輸入!$B$6*輸入!$B$7)/(輸入!$B$17*輸入!$C$25+輸入!$C$26*1000000000000*365/1000000+輸入!$B$18*1000000000*輸入!$C$27*365/1000000*(1-輸入!$B$20))</f>
        <v>1.01380164705551</v>
      </c>
      <c r="D19" s="6" t="n">
        <f aca="false">((輸入!$B$3*輸入!$B$4+(輸入!$B$2-輸入!$B$3)*輸入!$B$28)*(1-輸入!$B$5)*(輸入!$B$12*輸入!$B$8+(輸入!$B$13*輸入!$B$9+輸入!$B$14*輸入!$B$10+輸入!$B$15*輸入!$B$11)*輸入!$B$29)*輸入!$B$6*輸入!$B$7)/(輸入!$B$17*輸入!$D$25+輸入!$D$26*1000000000000*365/1000000+輸入!$B$18*1000000000*輸入!$D$27*365/1000000*(1-輸入!$B$20))</f>
        <v>0.41416068461437</v>
      </c>
      <c r="E19" s="5" t="s">
        <v>30</v>
      </c>
    </row>
    <row r="20" customFormat="false" ht="17.15" hidden="false" customHeight="false" outlineLevel="0" collapsed="false">
      <c r="A20" s="3" t="s">
        <v>31</v>
      </c>
      <c r="B20" s="6" t="n">
        <f aca="false">輸入!$B$16*((輸入!$B$12*輸入!$B$8+(輸入!$B$13*輸入!$B$9+輸入!$B$14*輸入!$B$10+輸入!$B$15*輸入!$B$11)*輸入!$D$29)/B4)/(輸入!$B$17*輸入!$B$25+輸入!$B$26*1000000000000*365/1000000+輸入!$B$18*1000000000*輸入!$B$27*365/1000000*(1-輸入!$B$20))</f>
        <v>2.81378641893307</v>
      </c>
      <c r="C20" s="6" t="n">
        <f aca="false">輸入!$B$16*((輸入!$B$12*輸入!$B$8+(輸入!$B$13*輸入!$B$9+輸入!$B$14*輸入!$B$10+輸入!$B$15*輸入!$B$11)*輸入!$C$29)/B4)/(輸入!$B$17*輸入!$C$25+輸入!$C$26*1000000000000*365/1000000+輸入!$B$18*1000000000*輸入!$C$27*365/1000000*(1-輸入!$B$20))</f>
        <v>1.61564453223606</v>
      </c>
      <c r="D20" s="6" t="n">
        <f aca="false">輸入!$B$16*((輸入!$B$12*輸入!$B$8+(輸入!$B$13*輸入!$B$9+輸入!$B$14*輸入!$B$10+輸入!$B$15*輸入!$B$11)*輸入!$B$29)/B4)/(輸入!$B$17*輸入!$D$25+輸入!$D$26*1000000000000*365/1000000+輸入!$B$18*1000000000*輸入!$D$27*365/1000000*(1-輸入!$B$20))</f>
        <v>0.734587159063273</v>
      </c>
    </row>
    <row r="22" customFormat="false" ht="17.15" hidden="false" customHeight="false" outlineLevel="0" collapsed="false">
      <c r="A22" s="1" t="s">
        <v>32</v>
      </c>
      <c r="B22" s="2" t="s">
        <v>33</v>
      </c>
      <c r="C22" s="2" t="s">
        <v>3</v>
      </c>
      <c r="D22" s="1"/>
      <c r="E22" s="1"/>
    </row>
    <row r="23" customFormat="false" ht="17.15" hidden="false" customHeight="false" outlineLevel="0" collapsed="false">
      <c r="A23" s="3" t="s">
        <v>34</v>
      </c>
      <c r="B23" s="6" t="n">
        <f aca="false">(((輸入!$B$3*輸入!$B$4+(輸入!$B$2-輸入!$B$3)*輸入!$C$28)*(1-輸入!$B$5)*(輸入!$B$12*輸入!$B$8+(輸入!$B$13*輸入!$B$9+輸入!$B$14*輸入!$B$10+輸入!$B$15*輸入!$B$11)*輸入!$C$29)*輸入!$B$6*輸入!$B$7)-(輸入!$B$17*輸入!$C$25+0*1000000000000*365/1000000+輸入!$B$18*1000000000*輸入!$C$27*365/1000000*(1-輸入!$B$20)))/(1000000000000*365/1000000)</f>
        <v>8.5724923198627</v>
      </c>
      <c r="C23" s="3" t="s">
        <v>35</v>
      </c>
    </row>
    <row r="24" customFormat="false" ht="17.15" hidden="false" customHeight="false" outlineLevel="0" collapsed="false">
      <c r="A24" s="3" t="s">
        <v>36</v>
      </c>
      <c r="B24" s="6" t="n">
        <f aca="false">(((輸入!$B$3*輸入!$B$4+(輸入!$B$2-輸入!$B$3)*輸入!$C$28)*(1-輸入!$B$5)*(輸入!$B$12*輸入!$B$8+(輸入!$B$13*輸入!$B$9+輸入!$B$14*輸入!$B$10+輸入!$B$15*輸入!$B$11)*輸入!$C$29)*輸入!$B$6*輸入!$B$7)-輸入!$B$17*輸入!$C$25-輸入!$C$26*1000000000000*365/1000000)/(輸入!$B$18*1000000000*365/1000000*(1-輸入!$B$20))</f>
        <v>6397.56411101576</v>
      </c>
    </row>
    <row r="25" customFormat="false" ht="17.15" hidden="false" customHeight="false" outlineLevel="0" collapsed="false">
      <c r="A25" s="3" t="s">
        <v>37</v>
      </c>
      <c r="B25" s="6" t="n">
        <f aca="false">(((輸入!$B$3*輸入!$B$4+(輸入!$B$2-輸入!$B$3)*輸入!$C$28)*(1-輸入!$B$5)*(輸入!$B$12*輸入!$B$8+(輸入!$B$13*輸入!$B$9+輸入!$B$14*輸入!$B$10+輸入!$B$15*輸入!$B$11)*輸入!$C$29)*輸入!$B$6*輸入!$B$7)-輸入!$C$26*1000000000000*365/1000000-輸入!$B$18*1000000000*輸入!$C$27*365/1000000*(1-輸入!$B$20))/輸入!$B$17</f>
        <v>1.17650427406772</v>
      </c>
    </row>
    <row r="27" customFormat="false" ht="17.15" hidden="false" customHeight="false" outlineLevel="0" collapsed="false">
      <c r="A27" s="1" t="s">
        <v>38</v>
      </c>
      <c r="B27" s="1" t="s">
        <v>39</v>
      </c>
      <c r="C27" s="1" t="s">
        <v>40</v>
      </c>
      <c r="D27" s="1" t="s">
        <v>41</v>
      </c>
      <c r="E27" s="1"/>
    </row>
    <row r="28" customFormat="false" ht="17.15" hidden="false" customHeight="false" outlineLevel="0" collapsed="false">
      <c r="A28" s="0" t="s">
        <v>42</v>
      </c>
      <c r="B28" s="6" t="n">
        <f aca="false">49.51/B8</f>
        <v>16.3969034343693</v>
      </c>
      <c r="C28" s="6" t="n">
        <f aca="false">49.51/B7</f>
        <v>23.6142439288966</v>
      </c>
      <c r="D28" s="6" t="n">
        <f aca="false">49.51/C19</f>
        <v>48.8359829990382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5" style="0" width="80"/>
  </cols>
  <sheetData>
    <row r="1" customFormat="false" ht="17.15" hidden="false" customHeight="false" outlineLevel="0" collapsed="false">
      <c r="A1" s="2" t="s">
        <v>43</v>
      </c>
      <c r="B1" s="2" t="s">
        <v>2</v>
      </c>
      <c r="C1" s="2" t="s">
        <v>44</v>
      </c>
      <c r="D1" s="2" t="s">
        <v>45</v>
      </c>
      <c r="E1" s="2" t="s">
        <v>46</v>
      </c>
    </row>
    <row r="2" customFormat="false" ht="17.15" hidden="false" customHeight="false" outlineLevel="0" collapsed="false">
      <c r="A2" s="0" t="s">
        <v>47</v>
      </c>
      <c r="B2" s="7" t="n">
        <v>2.34</v>
      </c>
      <c r="C2" s="5" t="s">
        <v>48</v>
      </c>
      <c r="D2" s="5" t="s">
        <v>49</v>
      </c>
      <c r="E2" s="5" t="s">
        <v>50</v>
      </c>
    </row>
    <row r="3" customFormat="false" ht="17.15" hidden="false" customHeight="false" outlineLevel="0" collapsed="false">
      <c r="A3" s="0" t="s">
        <v>51</v>
      </c>
      <c r="B3" s="7" t="n">
        <v>1.9</v>
      </c>
      <c r="C3" s="5" t="s">
        <v>48</v>
      </c>
      <c r="D3" s="5" t="s">
        <v>52</v>
      </c>
      <c r="E3" s="5" t="s">
        <v>53</v>
      </c>
    </row>
    <row r="4" customFormat="false" ht="17.15" hidden="false" customHeight="false" outlineLevel="0" collapsed="false">
      <c r="A4" s="3" t="s">
        <v>54</v>
      </c>
      <c r="B4" s="7" t="n">
        <v>0.41</v>
      </c>
      <c r="C4" s="5" t="s">
        <v>10</v>
      </c>
      <c r="D4" s="5" t="s">
        <v>55</v>
      </c>
      <c r="E4" s="5" t="s">
        <v>56</v>
      </c>
    </row>
    <row r="5" customFormat="false" ht="17.15" hidden="false" customHeight="false" outlineLevel="0" collapsed="false">
      <c r="A5" s="3" t="s">
        <v>57</v>
      </c>
      <c r="B5" s="7" t="n">
        <v>0.46</v>
      </c>
      <c r="C5" s="5" t="s">
        <v>10</v>
      </c>
      <c r="D5" s="5" t="s">
        <v>58</v>
      </c>
      <c r="E5" s="5" t="s">
        <v>59</v>
      </c>
    </row>
    <row r="6" customFormat="false" ht="17.15" hidden="false" customHeight="false" outlineLevel="0" collapsed="false">
      <c r="A6" s="3" t="s">
        <v>60</v>
      </c>
      <c r="B6" s="7" t="n">
        <v>0.41</v>
      </c>
      <c r="C6" s="5" t="s">
        <v>10</v>
      </c>
      <c r="D6" s="5" t="s">
        <v>61</v>
      </c>
      <c r="E6" s="5" t="s">
        <v>62</v>
      </c>
    </row>
    <row r="7" customFormat="false" ht="17.15" hidden="false" customHeight="false" outlineLevel="0" collapsed="false">
      <c r="A7" s="3" t="s">
        <v>63</v>
      </c>
      <c r="B7" s="7" t="n">
        <v>0.85</v>
      </c>
      <c r="C7" s="5" t="s">
        <v>10</v>
      </c>
      <c r="D7" s="5" t="s">
        <v>55</v>
      </c>
      <c r="E7" s="5" t="s">
        <v>64</v>
      </c>
    </row>
    <row r="8" customFormat="false" ht="17.15" hidden="false" customHeight="false" outlineLevel="0" collapsed="false">
      <c r="A8" s="3" t="s">
        <v>65</v>
      </c>
      <c r="B8" s="7" t="n">
        <v>26017336543.4207</v>
      </c>
      <c r="C8" s="5" t="s">
        <v>5</v>
      </c>
      <c r="D8" s="5" t="s">
        <v>55</v>
      </c>
      <c r="E8" s="5" t="s">
        <v>66</v>
      </c>
    </row>
    <row r="9" customFormat="false" ht="17.15" hidden="false" customHeight="false" outlineLevel="0" collapsed="false">
      <c r="A9" s="3" t="s">
        <v>67</v>
      </c>
      <c r="B9" s="7" t="n">
        <v>128013563494.827</v>
      </c>
      <c r="C9" s="5" t="s">
        <v>5</v>
      </c>
      <c r="D9" s="5" t="s">
        <v>55</v>
      </c>
      <c r="E9" s="3" t="s">
        <v>68</v>
      </c>
    </row>
    <row r="10" customFormat="false" ht="17.15" hidden="false" customHeight="false" outlineLevel="0" collapsed="false">
      <c r="A10" s="3" t="s">
        <v>69</v>
      </c>
      <c r="B10" s="7" t="n">
        <v>156016123358.035</v>
      </c>
      <c r="C10" s="5" t="s">
        <v>5</v>
      </c>
      <c r="D10" s="5" t="s">
        <v>55</v>
      </c>
      <c r="E10" s="3" t="s">
        <v>68</v>
      </c>
    </row>
    <row r="11" customFormat="false" ht="17.15" hidden="false" customHeight="false" outlineLevel="0" collapsed="false">
      <c r="A11" s="3" t="s">
        <v>70</v>
      </c>
      <c r="B11" s="7" t="n">
        <v>257035462226.142</v>
      </c>
      <c r="C11" s="5" t="s">
        <v>5</v>
      </c>
      <c r="D11" s="5" t="s">
        <v>55</v>
      </c>
      <c r="E11" s="3" t="s">
        <v>68</v>
      </c>
    </row>
    <row r="12" customFormat="false" ht="17.15" hidden="false" customHeight="false" outlineLevel="0" collapsed="false">
      <c r="A12" s="0" t="s">
        <v>71</v>
      </c>
      <c r="B12" s="7" t="n">
        <v>0.25</v>
      </c>
      <c r="C12" s="5" t="s">
        <v>10</v>
      </c>
      <c r="D12" s="5" t="s">
        <v>61</v>
      </c>
      <c r="E12" s="5" t="s">
        <v>72</v>
      </c>
    </row>
    <row r="13" customFormat="false" ht="17.15" hidden="false" customHeight="false" outlineLevel="0" collapsed="false">
      <c r="A13" s="0" t="s">
        <v>73</v>
      </c>
      <c r="B13" s="7" t="n">
        <v>0.45</v>
      </c>
      <c r="C13" s="5" t="s">
        <v>10</v>
      </c>
      <c r="D13" s="5" t="s">
        <v>61</v>
      </c>
      <c r="E13" s="5" t="s">
        <v>74</v>
      </c>
    </row>
    <row r="14" customFormat="false" ht="17.15" hidden="false" customHeight="false" outlineLevel="0" collapsed="false">
      <c r="A14" s="0" t="s">
        <v>75</v>
      </c>
      <c r="B14" s="7" t="n">
        <v>0.25</v>
      </c>
      <c r="C14" s="5" t="s">
        <v>10</v>
      </c>
      <c r="D14" s="5" t="s">
        <v>61</v>
      </c>
      <c r="E14" s="5" t="s">
        <v>76</v>
      </c>
    </row>
    <row r="15" customFormat="false" ht="17.15" hidden="false" customHeight="false" outlineLevel="0" collapsed="false">
      <c r="A15" s="0" t="s">
        <v>77</v>
      </c>
      <c r="B15" s="7" t="n">
        <v>0.05</v>
      </c>
      <c r="C15" s="5" t="s">
        <v>10</v>
      </c>
      <c r="D15" s="5" t="s">
        <v>61</v>
      </c>
      <c r="E15" s="5" t="s">
        <v>78</v>
      </c>
    </row>
    <row r="16" customFormat="false" ht="17.15" hidden="false" customHeight="false" outlineLevel="0" collapsed="false">
      <c r="A16" s="3" t="s">
        <v>79</v>
      </c>
      <c r="B16" s="7" t="n">
        <v>30153660779.8543</v>
      </c>
      <c r="C16" s="5" t="s">
        <v>7</v>
      </c>
      <c r="D16" s="5" t="s">
        <v>55</v>
      </c>
      <c r="E16" s="5" t="s">
        <v>80</v>
      </c>
    </row>
    <row r="17" customFormat="false" ht="17.15" hidden="false" customHeight="false" outlineLevel="0" collapsed="false">
      <c r="A17" s="3" t="s">
        <v>81</v>
      </c>
      <c r="B17" s="7" t="n">
        <v>7884000000</v>
      </c>
      <c r="C17" s="5" t="s">
        <v>7</v>
      </c>
      <c r="D17" s="5" t="s">
        <v>82</v>
      </c>
      <c r="E17" s="5" t="s">
        <v>83</v>
      </c>
    </row>
    <row r="18" customFormat="false" ht="17.15" hidden="false" customHeight="false" outlineLevel="0" collapsed="false">
      <c r="A18" s="0" t="s">
        <v>84</v>
      </c>
      <c r="B18" s="7" t="n">
        <v>3.6</v>
      </c>
      <c r="C18" s="5" t="s">
        <v>85</v>
      </c>
      <c r="D18" s="5" t="s">
        <v>86</v>
      </c>
      <c r="E18" s="5" t="s">
        <v>87</v>
      </c>
    </row>
    <row r="19" customFormat="false" ht="17.15" hidden="false" customHeight="false" outlineLevel="0" collapsed="false">
      <c r="A19" s="3" t="s">
        <v>88</v>
      </c>
      <c r="B19" s="7" t="n">
        <v>4000</v>
      </c>
      <c r="C19" s="5" t="s">
        <v>89</v>
      </c>
      <c r="D19" s="5" t="s">
        <v>61</v>
      </c>
      <c r="E19" s="5" t="s">
        <v>90</v>
      </c>
    </row>
    <row r="20" customFormat="false" ht="17.15" hidden="false" customHeight="false" outlineLevel="0" collapsed="false">
      <c r="A20" s="0" t="s">
        <v>91</v>
      </c>
      <c r="B20" s="7" t="n">
        <v>0.6</v>
      </c>
      <c r="C20" s="5" t="s">
        <v>10</v>
      </c>
      <c r="D20" s="5" t="s">
        <v>61</v>
      </c>
      <c r="E20" s="5" t="s">
        <v>92</v>
      </c>
    </row>
    <row r="21" customFormat="false" ht="17.15" hidden="false" customHeight="false" outlineLevel="0" collapsed="false">
      <c r="A21" s="3" t="s">
        <v>93</v>
      </c>
      <c r="B21" s="7" t="n">
        <v>3825200000</v>
      </c>
      <c r="C21" s="5" t="s">
        <v>7</v>
      </c>
      <c r="D21" s="5" t="s">
        <v>55</v>
      </c>
      <c r="E21" s="5" t="s">
        <v>94</v>
      </c>
    </row>
    <row r="22" customFormat="false" ht="17.15" hidden="false" customHeight="false" outlineLevel="0" collapsed="false">
      <c r="A22" s="0" t="s">
        <v>95</v>
      </c>
      <c r="B22" s="7" t="n">
        <v>5814261069.29217</v>
      </c>
      <c r="C22" s="5" t="s">
        <v>7</v>
      </c>
      <c r="D22" s="5" t="s">
        <v>55</v>
      </c>
      <c r="E22" s="5" t="s">
        <v>96</v>
      </c>
    </row>
    <row r="24" customFormat="false" ht="15" hidden="false" customHeight="false" outlineLevel="0" collapsed="false">
      <c r="A24" s="2" t="s">
        <v>97</v>
      </c>
      <c r="B24" s="2" t="s">
        <v>16</v>
      </c>
      <c r="C24" s="2" t="s">
        <v>17</v>
      </c>
      <c r="D24" s="2" t="s">
        <v>18</v>
      </c>
      <c r="E24" s="2" t="s">
        <v>98</v>
      </c>
    </row>
    <row r="25" customFormat="false" ht="17.15" hidden="false" customHeight="false" outlineLevel="0" collapsed="false">
      <c r="A25" s="0" t="s">
        <v>99</v>
      </c>
      <c r="B25" s="7" t="n">
        <v>1</v>
      </c>
      <c r="C25" s="7" t="n">
        <v>1.15</v>
      </c>
      <c r="D25" s="7" t="n">
        <v>1.35</v>
      </c>
      <c r="E25" s="5" t="s">
        <v>100</v>
      </c>
    </row>
    <row r="26" customFormat="false" ht="17.15" hidden="false" customHeight="false" outlineLevel="0" collapsed="false">
      <c r="A26" s="0" t="s">
        <v>101</v>
      </c>
      <c r="B26" s="7" t="n">
        <v>2</v>
      </c>
      <c r="C26" s="7" t="n">
        <v>8</v>
      </c>
      <c r="D26" s="7" t="n">
        <v>25</v>
      </c>
      <c r="E26" s="5" t="s">
        <v>102</v>
      </c>
    </row>
    <row r="27" customFormat="false" ht="17.15" hidden="false" customHeight="false" outlineLevel="0" collapsed="false">
      <c r="A27" s="0" t="s">
        <v>103</v>
      </c>
      <c r="B27" s="7" t="n">
        <v>4000</v>
      </c>
      <c r="C27" s="7" t="n">
        <v>6000</v>
      </c>
      <c r="D27" s="7" t="n">
        <v>11000</v>
      </c>
      <c r="E27" s="5" t="s">
        <v>104</v>
      </c>
    </row>
    <row r="28" customFormat="false" ht="17.15" hidden="false" customHeight="false" outlineLevel="0" collapsed="false">
      <c r="A28" s="0" t="s">
        <v>105</v>
      </c>
      <c r="B28" s="7" t="n">
        <v>0</v>
      </c>
      <c r="C28" s="7" t="n">
        <v>0.2</v>
      </c>
      <c r="D28" s="7" t="n">
        <v>0.41</v>
      </c>
      <c r="E28" s="5" t="s">
        <v>106</v>
      </c>
    </row>
    <row r="29" customFormat="false" ht="17.15" hidden="false" customHeight="false" outlineLevel="0" collapsed="false">
      <c r="A29" s="0" t="s">
        <v>107</v>
      </c>
      <c r="B29" s="7" t="n">
        <v>0.6</v>
      </c>
      <c r="C29" s="7" t="n">
        <v>0.8</v>
      </c>
      <c r="D29" s="7" t="n">
        <v>1</v>
      </c>
      <c r="E29" s="5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2026-10-24T07:52:14Z</dcterms:created>
  <dc:creator>openpyxl</dc:creator>
  <dc:description/>
  <dc:language>en-US</dc:language>
  <cp:lastModifiedBy/>
  <dcterms:modified xsi:type="dcterms:W3CDTF">2026-10-24T07:52:14Z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