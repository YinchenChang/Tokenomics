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定義" sheetId="1" state="visible" r:id="rId3"/>
    <sheet name="證據" sheetId="2" state="visible" r:id="rId4"/>
    <sheet name="建議區間" sheetId="3" state="visible" r:id="rId5"/>
    <sheet name="待判斷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<sst xmlns="http://schemas.openxmlformats.org/spreadsheetml/2006/main" count="679" uniqueCount="486">
  <si>
    <r>
      <rPr>
        <b val="true"/>
        <sz val="13"/>
        <rFont val="WenQuanYi Zen Hei"/>
        <family val="2"/>
      </rPr>
      <t xml:space="preserve">三個輸入的精確定義（對照 </t>
    </r>
    <r>
      <rPr>
        <b val="true"/>
        <sz val="13"/>
        <rFont val="Cambria"/>
        <family val="0"/>
        <charset val="1"/>
      </rPr>
      <t xml:space="preserve">model/20261023_Tokenomics_v20.1.xlsx</t>
    </r>
    <r>
      <rPr>
        <b val="true"/>
        <sz val="13"/>
        <rFont val="WenQuanYi Zen Hei"/>
        <family val="2"/>
      </rPr>
      <t xml:space="preserve">）</t>
    </r>
  </si>
  <si>
    <t xml:space="preserve">項目</t>
  </si>
  <si>
    <r>
      <rPr>
        <b val="true"/>
        <sz val="11"/>
        <rFont val="Cambria"/>
        <family val="0"/>
        <charset val="1"/>
      </rPr>
      <t xml:space="preserve">AL_UtilActual</t>
    </r>
    <r>
      <rPr>
        <b val="true"/>
        <sz val="11"/>
        <rFont val="WenQuanYi Zen Hei"/>
        <family val="2"/>
      </rPr>
      <t xml:space="preserve">（實際利用率）</t>
    </r>
  </si>
  <si>
    <r>
      <rPr>
        <b val="true"/>
        <sz val="11"/>
        <rFont val="Cambria"/>
        <family val="0"/>
        <charset val="1"/>
      </rPr>
      <t xml:space="preserve">B4_Serve</t>
    </r>
    <r>
      <rPr>
        <b val="true"/>
        <sz val="11"/>
        <rFont val="WenQuanYi Zen Hei"/>
        <family val="2"/>
      </rPr>
      <t xml:space="preserve">（對外服務占機隊）</t>
    </r>
  </si>
  <si>
    <r>
      <rPr>
        <b val="true"/>
        <sz val="11"/>
        <rFont val="Cambria"/>
        <family val="0"/>
        <charset val="1"/>
      </rPr>
      <t xml:space="preserve">B4_Free</t>
    </r>
    <r>
      <rPr>
        <b val="true"/>
        <sz val="11"/>
        <rFont val="WenQuanYi Zen Hei"/>
        <family val="2"/>
      </rPr>
      <t xml:space="preserve">（免費占服務）</t>
    </r>
  </si>
  <si>
    <r>
      <rPr>
        <b val="true"/>
        <sz val="11"/>
        <rFont val="WenQuanYi Zen Hei"/>
        <family val="2"/>
      </rPr>
      <t xml:space="preserve">儲存格 </t>
    </r>
    <r>
      <rPr>
        <b val="true"/>
        <sz val="11"/>
        <rFont val="Cambria"/>
        <family val="0"/>
        <charset val="1"/>
      </rPr>
      <t xml:space="preserve">/ </t>
    </r>
    <r>
      <rPr>
        <b val="true"/>
        <sz val="11"/>
        <rFont val="WenQuanYi Zen Hei"/>
        <family val="2"/>
      </rPr>
      <t xml:space="preserve">名稱</t>
    </r>
  </si>
  <si>
    <r>
      <rPr>
        <sz val="11"/>
        <color theme="1"/>
        <rFont val="Calibri"/>
        <family val="2"/>
        <charset val="1"/>
      </rPr>
      <t xml:space="preserve">Alloc_In!C24:E24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Interface IF_UtilActual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C354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</si>
  <si>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Cap_In!C28:E28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Interface IF_ServeShare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C148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</si>
  <si>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Cap_In!C29:E29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Interface IF_FreeShare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C149</t>
    </r>
    <r>
      <rPr>
        <sz val="11"/>
        <color theme="1"/>
        <rFont val="WenQuanYi Zen Hei"/>
        <family val="2"/>
      </rPr>
      <t xml:space="preserve">）</t>
    </r>
  </si>
  <si>
    <t xml:space="preserve">現值（基準）</t>
  </si>
  <si>
    <t xml:space="preserve">現區間（低）</t>
  </si>
  <si>
    <t xml:space="preserve">現區間（高）</t>
  </si>
  <si>
    <t xml:space="preserve">現有標記</t>
  </si>
  <si>
    <t xml:space="preserve">Assumed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</si>
  <si>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</si>
  <si>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t xml:space="preserve">Interested-party</t>
  </si>
  <si>
    <t xml:space="preserve">一句話定義</t>
  </si>
  <si>
    <r>
      <rPr>
        <sz val="11"/>
        <color theme="1"/>
        <rFont val="WenQuanYi Zen Hei"/>
        <family val="2"/>
      </rPr>
      <t xml:space="preserve">推論服務機隊在整段營運期間（含尖峰、離峰、為尖峰預留的閒置、多模型分散部署、故障與路由不均）的「時間平均實際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同硬體在服務延遲目標（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WenQuanYi Zen Hei"/>
        <family val="2"/>
      </rPr>
      <t xml:space="preserve">）下可達的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理論產能」。</t>
    </r>
  </si>
  <si>
    <r>
      <rPr>
        <sz val="11"/>
        <color theme="1"/>
        <rFont val="WenQuanYi Zen Hei"/>
        <family val="2"/>
      </rPr>
      <t xml:space="preserve">模型商機隊算力中，用於對外推論服務（付費＋免費）的比例；現值以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的「推論支出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（推論＋訓練支出）」代替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比。</t>
    </r>
  </si>
  <si>
    <r>
      <rPr>
        <sz val="11"/>
        <color theme="1"/>
        <rFont val="WenQuanYi Zen Hei"/>
        <family val="2"/>
      </rPr>
      <t xml:space="preserve">對外推論服務中，免費用戶推論所占的比例；現值以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WenQuanYi Zen Hei"/>
        <family val="2"/>
      </rPr>
      <t xml:space="preserve">「非付費用戶推論支出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推論支出」代替。</t>
    </r>
  </si>
  <si>
    <t xml:space="preserve">分子</t>
  </si>
  <si>
    <r>
      <rPr>
        <sz val="11"/>
        <color theme="1"/>
        <rFont val="WenQuanYi Zen Hei"/>
        <family val="2"/>
      </rPr>
      <t xml:space="preserve">期間內實際產出的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吞吐（模型內為「平均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吞吐」）</t>
    </r>
  </si>
  <si>
    <r>
      <rPr>
        <sz val="11"/>
        <color theme="1"/>
        <rFont val="WenQuanYi Zen Hei"/>
        <family val="2"/>
      </rPr>
      <t xml:space="preserve">用於對外服務的算力（現以支出 </t>
    </r>
    <r>
      <rPr>
        <sz val="11"/>
        <color theme="1"/>
        <rFont val="Calibri"/>
        <family val="2"/>
        <charset val="1"/>
      </rPr>
      <t xml:space="preserve">$8.4B </t>
    </r>
    <r>
      <rPr>
        <sz val="11"/>
        <color theme="1"/>
        <rFont val="WenQuanYi Zen Hei"/>
        <family val="2"/>
      </rPr>
      <t xml:space="preserve">代）</t>
    </r>
  </si>
  <si>
    <r>
      <rPr>
        <sz val="11"/>
        <color theme="1"/>
        <rFont val="WenQuanYi Zen Hei"/>
        <family val="2"/>
      </rPr>
      <t xml:space="preserve">免費用戶推論算力（現以支出 </t>
    </r>
    <r>
      <rPr>
        <sz val="11"/>
        <color theme="1"/>
        <rFont val="Calibri"/>
        <family val="2"/>
        <charset val="1"/>
      </rPr>
      <t xml:space="preserve">$3.9B </t>
    </r>
    <r>
      <rPr>
        <sz val="11"/>
        <color theme="1"/>
        <rFont val="WenQuanYi Zen Hei"/>
        <family val="2"/>
      </rPr>
      <t xml:space="preserve">代）</t>
    </r>
  </si>
  <si>
    <t xml:space="preserve">分母</t>
  </si>
  <si>
    <r>
      <rPr>
        <sz val="11"/>
        <color theme="1"/>
        <rFont val="WenQuanYi Zen Hei"/>
        <family val="2"/>
      </rPr>
      <t xml:space="preserve">同批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SLO </t>
    </r>
    <r>
      <rPr>
        <sz val="11"/>
        <color theme="1"/>
        <rFont val="WenQuanYi Zen Hei"/>
        <family val="2"/>
      </rPr>
      <t xml:space="preserve">下的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WenQuanYi Zen Hei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Perf </t>
    </r>
    <r>
      <rPr>
        <sz val="11"/>
        <color theme="1"/>
        <rFont val="WenQuanYi Zen Hei"/>
        <family val="2"/>
      </rPr>
      <t xml:space="preserve">頁的 </t>
    </r>
    <r>
      <rPr>
        <sz val="11"/>
        <color theme="1"/>
        <rFont val="Calibri"/>
        <family val="2"/>
        <charset val="1"/>
      </rPr>
      <t xml:space="preserve">roofline </t>
    </r>
    <r>
      <rPr>
        <sz val="11"/>
        <color theme="1"/>
        <rFont val="WenQuanYi Zen Hei"/>
        <family val="2"/>
      </rPr>
      <t xml:space="preserve">吞吐，尚未乘 </t>
    </r>
    <r>
      <rPr>
        <sz val="11"/>
        <color theme="1"/>
        <rFont val="Calibri"/>
        <family val="2"/>
        <charset val="1"/>
      </rPr>
      <t xml:space="preserve">IF_Util 0.6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</si>
  <si>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全部算力＝研發（預訓練、後訓練／</t>
    </r>
    <r>
      <rPr>
        <sz val="11"/>
        <color theme="1"/>
        <rFont val="Calibri"/>
        <family val="2"/>
        <charset val="1"/>
      </rPr>
      <t xml:space="preserve">RL</t>
    </r>
    <r>
      <rPr>
        <sz val="11"/>
        <color theme="1"/>
        <rFont val="WenQuanYi Zen Hei"/>
        <family val="2"/>
      </rPr>
      <t xml:space="preserve">、實驗、合成資料、評測）＋推論（現以 </t>
    </r>
    <r>
      <rPr>
        <sz val="11"/>
        <color theme="1"/>
        <rFont val="Calibri"/>
        <family val="2"/>
        <charset val="1"/>
      </rPr>
      <t xml:space="preserve">$8.4B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$12B </t>
    </r>
    <r>
      <rPr>
        <sz val="11"/>
        <color theme="1"/>
        <rFont val="WenQuanYi Zen Hei"/>
        <family val="2"/>
      </rPr>
      <t xml:space="preserve">代）</t>
    </r>
  </si>
  <si>
    <t xml:space="preserve">全部對外推論（付費＋免費）</t>
  </si>
  <si>
    <t xml:space="preserve">口徑</t>
  </si>
  <si>
    <r>
      <rPr>
        <sz val="11"/>
        <color theme="1"/>
        <rFont val="WenQuanYi Zen Hei"/>
        <family val="2"/>
      </rPr>
      <t xml:space="preserve">營運口徑，無單位（</t>
    </r>
    <r>
      <rPr>
        <sz val="11"/>
        <color theme="1"/>
        <rFont val="Calibri"/>
        <family val="2"/>
        <charset val="1"/>
      </rPr>
      <t xml:space="preserve">0–1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</si>
  <si>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支出口徑（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），不是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口徑；模型把它直接乘在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L1_ServeGW_GW25 = AL_FleetGW25 × B4_Serve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</si>
  <si>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支出口徑；與 </t>
    </r>
    <r>
      <rPr>
        <sz val="11"/>
        <color theme="1"/>
        <rFont val="Calibri"/>
        <family val="2"/>
        <charset val="1"/>
      </rPr>
      <t xml:space="preserve">Alloc_In C16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口徑免費占比（</t>
    </r>
    <r>
      <rPr>
        <sz val="11"/>
        <color theme="1"/>
        <rFont val="Calibri"/>
        <family val="2"/>
        <charset val="1"/>
      </rPr>
      <t xml:space="preserve">AL_FreeShare</t>
    </r>
    <r>
      <rPr>
        <sz val="11"/>
        <color theme="1"/>
        <rFont val="WenQuanYi Zen Hei"/>
        <family val="2"/>
      </rPr>
      <t xml:space="preserve">）尚未對齊（</t>
    </r>
    <r>
      <rPr>
        <sz val="11"/>
        <color theme="1"/>
        <rFont val="Calibri"/>
        <family val="2"/>
        <charset val="1"/>
      </rPr>
      <t xml:space="preserve">Decisions SL46-28</t>
    </r>
    <r>
      <rPr>
        <sz val="11"/>
        <color theme="1"/>
        <rFont val="WenQuanYi Zen Hei"/>
        <family val="2"/>
      </rPr>
      <t xml:space="preserve">）</t>
    </r>
  </si>
  <si>
    <t xml:space="preserve">模型如何使用</t>
  </si>
  <si>
    <r>
      <rPr>
        <sz val="11"/>
        <color theme="1"/>
        <rFont val="Calibri"/>
        <family val="2"/>
        <charset val="1"/>
      </rPr>
      <t xml:space="preserve">Cap_In </t>
    </r>
    <r>
      <rPr>
        <sz val="11"/>
        <color theme="1"/>
        <rFont val="WenQuanYi Zen Hei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218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255 </t>
    </r>
    <r>
      <rPr>
        <sz val="11"/>
        <color theme="1"/>
        <rFont val="WenQuanYi Zen Hei"/>
        <family val="2"/>
      </rPr>
      <t xml:space="preserve">列：有效利用率 </t>
    </r>
    <r>
      <rPr>
        <sz val="11"/>
        <color theme="1"/>
        <rFont val="Calibri"/>
        <family val="2"/>
        <charset val="1"/>
      </rPr>
      <t xml:space="preserve">= AL_UtilActual × CTL_ProdDerate(0.85) ÷ IF_Util(0.6)</t>
    </r>
    <r>
      <rPr>
        <sz val="11"/>
        <color theme="1"/>
        <rFont val="WenQuanYi Zen Hei"/>
        <family val="2"/>
      </rPr>
      <t xml:space="preserve">；基準 </t>
    </r>
    <r>
      <rPr>
        <sz val="11"/>
        <color theme="1"/>
        <rFont val="Calibri"/>
        <family val="2"/>
        <charset val="1"/>
      </rPr>
      <t xml:space="preserve">0.41×0.85=0.3485</t>
    </r>
    <r>
      <rPr>
        <sz val="11"/>
        <color theme="1"/>
        <rFont val="WenQuanYi Zen Hei"/>
        <family val="2"/>
      </rPr>
      <t xml:space="preserve">；任何「真實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WenQuanYi Zen Hei"/>
        <family val="2"/>
      </rPr>
      <t xml:space="preserve">」換算都乘它</t>
    </r>
  </si>
  <si>
    <r>
      <rPr>
        <sz val="11"/>
        <color theme="1"/>
        <rFont val="Calibri"/>
        <family val="2"/>
        <charset val="1"/>
      </rPr>
      <t xml:space="preserve">IF_ServeShare → 2025 </t>
    </r>
    <r>
      <rPr>
        <sz val="11"/>
        <color theme="1"/>
        <rFont val="WenQuanYi Zen Hei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；付費機隊占比 </t>
    </r>
    <r>
      <rPr>
        <sz val="11"/>
        <color theme="1"/>
        <rFont val="Calibri"/>
        <family val="2"/>
        <charset val="1"/>
      </rPr>
      <t xml:space="preserve">= B4_Serve × (1 − B4_Free) = 0.2214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Decisions SL52-06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</si>
  <si>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IF_FreeShare</t>
    </r>
    <r>
      <rPr>
        <sz val="11"/>
        <color theme="1"/>
        <rFont val="WenQuanYi Zen Hei"/>
        <family val="2"/>
      </rPr>
      <t xml:space="preserve">；付費機隊占比 </t>
    </r>
    <r>
      <rPr>
        <sz val="11"/>
        <color theme="1"/>
        <rFont val="Calibri"/>
        <family val="2"/>
        <charset val="1"/>
      </rPr>
      <t xml:space="preserve">(1 − B4_Free)</t>
    </r>
  </si>
  <si>
    <t xml:space="preserve">不等於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</si>
  <si>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分配率（被指派給服務的比例）；</t>
    </r>
    <r>
      <rPr>
        <sz val="11"/>
        <color theme="1"/>
        <rFont val="Calibri"/>
        <family val="2"/>
        <charset val="1"/>
      </rPr>
      <t xml:space="preserve">MFU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FLOPs ÷ </t>
    </r>
    <r>
      <rPr>
        <sz val="11"/>
        <color theme="1"/>
        <rFont val="WenQuanYi Zen Hei"/>
        <family val="2"/>
      </rPr>
      <t xml:space="preserve">峰值 </t>
    </r>
    <r>
      <rPr>
        <sz val="11"/>
        <color theme="1"/>
        <rFont val="Calibri"/>
        <family val="2"/>
        <charset val="1"/>
      </rPr>
      <t xml:space="preserve">FLOPs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nvidia-smi GPU-util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SM </t>
    </r>
    <r>
      <rPr>
        <sz val="11"/>
        <color theme="1"/>
        <rFont val="WenQuanYi Zen Hei"/>
        <family val="2"/>
      </rPr>
      <t xml:space="preserve">有活動的時間比）；訂閱／帳號利用率；</t>
    </r>
    <r>
      <rPr>
        <sz val="11"/>
        <color theme="1"/>
        <rFont val="Calibri"/>
        <family val="2"/>
        <charset val="1"/>
      </rPr>
      <t xml:space="preserve">Serving!C17 IF_Util 0.6</t>
    </r>
    <r>
      <rPr>
        <sz val="11"/>
        <color theme="1"/>
        <rFont val="WenQuanYi Zen Hei"/>
        <family val="2"/>
      </rPr>
      <t xml:space="preserve">（基準測試到穩態的假設）；</t>
    </r>
    <r>
      <rPr>
        <sz val="11"/>
        <color theme="1"/>
        <rFont val="Calibri"/>
        <family val="2"/>
        <charset val="1"/>
      </rPr>
      <t xml:space="preserve">Serving!C28 </t>
    </r>
    <r>
      <rPr>
        <sz val="11"/>
        <color theme="1"/>
        <rFont val="WenQuanYi Zen Hei"/>
        <family val="2"/>
      </rPr>
      <t xml:space="preserve">生產折減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WenQuanYi Zen Hei"/>
        <family val="2"/>
      </rPr>
      <t xml:space="preserve">（另乘）</t>
    </r>
  </si>
  <si>
    <r>
      <rPr>
        <sz val="11"/>
        <color theme="1"/>
        <rFont val="WenQuanYi Zen Hei"/>
        <family val="2"/>
      </rPr>
      <t xml:space="preserve">用戶數占比；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占比（需再換算雲端加價、利用率、世代）</t>
    </r>
  </si>
  <si>
    <r>
      <rPr>
        <sz val="11"/>
        <color theme="1"/>
        <rFont val="WenQuanYi Zen Hei"/>
        <family val="2"/>
      </rPr>
      <t xml:space="preserve">免費用戶數占比（約 </t>
    </r>
    <r>
      <rPr>
        <sz val="11"/>
        <color theme="1"/>
        <rFont val="Calibri"/>
        <family val="2"/>
        <charset val="1"/>
      </rPr>
      <t xml:space="preserve">81%–95%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占比；訊息占比</t>
    </r>
  </si>
  <si>
    <t xml:space="preserve">證據轉換原則</t>
  </si>
  <si>
    <r>
      <rPr>
        <sz val="11"/>
        <color theme="1"/>
        <rFont val="WenQuanYi Zen Hei"/>
        <family val="2"/>
      </rPr>
      <t xml:space="preserve">尖峰／平均比 → 時間平均負載；再乘「尖峰時段實際滿載度」；請求率不等於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吞吐，標「口徑不同」</t>
    </r>
  </si>
  <si>
    <r>
      <rPr>
        <sz val="11"/>
        <color theme="1"/>
        <rFont val="WenQuanYi Zen Hei"/>
        <family val="2"/>
      </rPr>
      <t xml:space="preserve">只有支出口徑證據可直接用；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口徑證據未找到</t>
    </r>
  </si>
  <si>
    <r>
      <rPr>
        <sz val="11"/>
        <color theme="1"/>
        <rFont val="WenQuanYi Zen Hei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WenQuanYi Zen Hei"/>
        <family val="2"/>
      </rPr>
      <t xml:space="preserve">單一來源（未能核對原文）</t>
    </r>
  </si>
  <si>
    <t xml:space="preserve">注意</t>
  </si>
  <si>
    <r>
      <rPr>
        <sz val="11"/>
        <color theme="1"/>
        <rFont val="WenQuanYi Zen Hei"/>
        <family val="2"/>
      </rPr>
      <t xml:space="preserve">模型另有 </t>
    </r>
    <r>
      <rPr>
        <sz val="11"/>
        <color theme="1"/>
        <rFont val="Calibri"/>
        <family val="2"/>
        <charset val="1"/>
      </rPr>
      <t xml:space="preserve">IF_Util = Serving!C17 = 0.6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CTL_ProdDerate = 0.85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）。本段只查 </t>
    </r>
    <r>
      <rPr>
        <sz val="11"/>
        <color theme="1"/>
        <rFont val="Calibri"/>
        <family val="2"/>
        <charset val="1"/>
      </rPr>
      <t xml:space="preserve">AL_UtilActual</t>
    </r>
    <r>
      <rPr>
        <sz val="11"/>
        <color theme="1"/>
        <rFont val="WenQuanYi Zen Hei"/>
        <family val="2"/>
      </rPr>
      <t xml:space="preserve">；兩者是否與下列證據重複計入，見「待判斷」</t>
    </r>
    <r>
      <rPr>
        <sz val="11"/>
        <color theme="1"/>
        <rFont val="Calibri"/>
        <family val="2"/>
        <charset val="1"/>
      </rPr>
      <t xml:space="preserve">J3</t>
    </r>
    <r>
      <rPr>
        <sz val="11"/>
        <color theme="1"/>
        <rFont val="WenQuanYi Zen Hei"/>
        <family val="2"/>
      </rPr>
      <t xml:space="preserve">。</t>
    </r>
  </si>
  <si>
    <t xml:space="preserve">證據表（每筆對應定義；口徑不同者寫換算或「口徑不同，只作參考」）</t>
  </si>
  <si>
    <t xml:space="preserve">編號</t>
  </si>
  <si>
    <t xml:space="preserve">變數</t>
  </si>
  <si>
    <r>
      <rPr>
        <b val="true"/>
        <sz val="11"/>
        <rFont val="WenQuanYi Zen Hei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URL</t>
    </r>
    <r>
      <rPr>
        <b val="true"/>
        <sz val="11"/>
        <rFont val="WenQuanYi Zen Hei"/>
        <family val="2"/>
      </rPr>
      <t xml:space="preserve">、日期）</t>
    </r>
  </si>
  <si>
    <t xml:space="preserve">原文關鍵句（逐字／轉述）</t>
  </si>
  <si>
    <t xml:space="preserve">數字</t>
  </si>
  <si>
    <t xml:space="preserve">量測口徑（分子／分母）</t>
  </si>
  <si>
    <t xml:space="preserve">與定義差異／換算</t>
  </si>
  <si>
    <t xml:space="preserve">標籤與來源誘因</t>
  </si>
  <si>
    <t xml:space="preserve">讀取狀態</t>
  </si>
  <si>
    <t xml:space="preserve">採用度</t>
  </si>
  <si>
    <r>
      <rPr>
        <b val="true"/>
        <sz val="11"/>
        <rFont val="Cambria"/>
        <family val="0"/>
        <charset val="1"/>
      </rPr>
      <t xml:space="preserve">A. AL_UtilActual</t>
    </r>
    <r>
      <rPr>
        <b val="true"/>
        <sz val="11"/>
        <rFont val="WenQuanYi Zen Hei"/>
        <family val="2"/>
      </rPr>
      <t xml:space="preserve">（來源：利用率證據</t>
    </r>
    <r>
      <rPr>
        <b val="true"/>
        <sz val="11"/>
        <rFont val="Cambria"/>
        <family val="0"/>
        <charset val="1"/>
      </rPr>
      <t xml:space="preserve">_</t>
    </r>
    <r>
      <rPr>
        <b val="true"/>
        <sz val="11"/>
        <rFont val="WenQuanYi Zen Hei"/>
        <family val="2"/>
      </rPr>
      <t xml:space="preserve">原稿</t>
    </r>
    <r>
      <rPr>
        <b val="true"/>
        <sz val="11"/>
        <rFont val="Cambria"/>
        <family val="0"/>
        <charset val="1"/>
      </rPr>
      <t xml:space="preserve">.md</t>
    </r>
    <r>
      <rPr>
        <b val="true"/>
        <sz val="11"/>
        <rFont val="WenQuanYi Zen Hei"/>
        <family val="2"/>
      </rPr>
      <t xml:space="preserve">，子代理蒐集，主代理整合）</t>
    </r>
  </si>
  <si>
    <t xml:space="preserve">U1</t>
  </si>
  <si>
    <t xml:space="preserve">AL_UtilActual</t>
  </si>
  <si>
    <r>
      <rPr>
        <sz val="11"/>
        <color theme="1"/>
        <rFont val="Calibri"/>
        <family val="2"/>
        <charset val="1"/>
      </rPr>
      <t xml:space="preserve">https://arxiv.org/html/2408.00741v1 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DynamoLLM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Illinois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Microsoft Azure Research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HPCA 2025</t>
    </r>
    <r>
      <rPr>
        <sz val="11"/>
        <color theme="1"/>
        <rFont val="WenQuanYi Zen Hei"/>
        <family val="2"/>
      </rPr>
      <t xml:space="preserve">；已讀原文）</t>
    </r>
  </si>
  <si>
    <r>
      <rPr>
        <sz val="11"/>
        <color theme="1"/>
        <rFont val="Calibri"/>
        <family val="2"/>
        <charset val="1"/>
      </rPr>
      <t xml:space="preserve">"The peak load of Conversation is 1.7× and 3.3× higher than its average and valley loads, respectively." "The peak load of Coding is 2.8× and 34.6× higher than its average and valley loads"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"provision the static number of instances to handle their peak load resulting in heavy underutilization"</t>
    </r>
  </si>
  <si>
    <r>
      <rPr>
        <sz val="11"/>
        <color theme="1"/>
        <rFont val="Calibri"/>
        <family val="2"/>
        <charset val="1"/>
      </rPr>
      <t xml:space="preserve">Conversation </t>
    </r>
    <r>
      <rPr>
        <sz val="11"/>
        <color theme="1"/>
        <rFont val="WenQuanYi Zen Hei"/>
        <family val="2"/>
      </rPr>
      <t xml:space="preserve">平均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尖峰≈</t>
    </r>
    <r>
      <rPr>
        <sz val="11"/>
        <color theme="1"/>
        <rFont val="Calibri"/>
        <family val="2"/>
        <charset val="1"/>
      </rPr>
      <t xml:space="preserve">1/1.7=0.59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Coding≈1/2.8=0.36</t>
    </r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</si>
  <si>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WenQuanYi Zen Hei"/>
        <family val="2"/>
      </rPr>
      <t xml:space="preserve">生產 </t>
    </r>
    <r>
      <rPr>
        <sz val="11"/>
        <color theme="1"/>
        <rFont val="Calibri"/>
        <family val="2"/>
        <charset val="1"/>
      </rPr>
      <t xml:space="preserve">trace </t>
    </r>
    <r>
      <rPr>
        <sz val="11"/>
        <color theme="1"/>
        <rFont val="WenQuanYi Zen Hei"/>
        <family val="2"/>
      </rPr>
      <t xml:space="preserve">的請求負載（非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吞吐、非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利用率）；</t>
    </r>
    <r>
      <rPr>
        <sz val="11"/>
        <color theme="1"/>
        <rFont val="Calibri"/>
        <family val="2"/>
        <charset val="1"/>
      </rPr>
      <t xml:space="preserve">baseline </t>
    </r>
    <r>
      <rPr>
        <sz val="11"/>
        <color theme="1"/>
        <rFont val="WenQuanYi Zen Hei"/>
        <family val="2"/>
      </rPr>
      <t xml:space="preserve">為尖峰配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台 </t>
    </r>
    <r>
      <rPr>
        <sz val="11"/>
        <color theme="1"/>
        <rFont val="Calibri"/>
        <family val="2"/>
        <charset val="1"/>
      </rPr>
      <t xml:space="preserve">H100</t>
    </r>
  </si>
  <si>
    <r>
      <rPr>
        <sz val="11"/>
        <color theme="1"/>
        <rFont val="WenQuanYi Zen Hei"/>
        <family val="2"/>
      </rPr>
      <t xml:space="preserve">若依尖峰靜態配置且尖峰滿載，時間平均負載即 </t>
    </r>
    <r>
      <rPr>
        <sz val="11"/>
        <color theme="1"/>
        <rFont val="Calibri"/>
        <family val="2"/>
        <charset val="1"/>
      </rPr>
      <t xml:space="preserve">0.36–0.59</t>
    </r>
    <r>
      <rPr>
        <sz val="11"/>
        <color theme="1"/>
        <rFont val="WenQuanYi Zen Hei"/>
        <family val="2"/>
      </rPr>
      <t xml:space="preserve">；須再乘尖峰實際滿載度。論文未給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利用率百分比</t>
    </r>
  </si>
  <si>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自身 </t>
    </r>
    <r>
      <rPr>
        <sz val="11"/>
        <color theme="1"/>
        <rFont val="Calibri"/>
        <family val="2"/>
        <charset val="1"/>
      </rPr>
      <t xml:space="preserve">trace</t>
    </r>
    <r>
      <rPr>
        <sz val="11"/>
        <color theme="1"/>
        <rFont val="WenQuanYi Zen Hei"/>
        <family val="2"/>
      </rPr>
      <t xml:space="preserve">，學術發表）；誘因：論文主張動態調整省能，傾向強調閒置</t>
    </r>
  </si>
  <si>
    <t xml:space="preserve">已讀原文</t>
  </si>
  <si>
    <t xml:space="preserve">採用（換算主依據）</t>
  </si>
  <si>
    <t xml:space="preserve">U2</t>
  </si>
  <si>
    <r>
      <rPr>
        <sz val="11"/>
        <color theme="1"/>
        <rFont val="Calibri"/>
        <family val="2"/>
        <charset val="1"/>
      </rPr>
      <t xml:space="preserve">https://arxiv.org/html/2505.09999v2 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ServeGen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Alibaba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NSDI'26</t>
    </r>
    <r>
      <rPr>
        <sz val="11"/>
        <color theme="1"/>
        <rFont val="WenQuanYi Zen Hei"/>
        <family val="2"/>
      </rPr>
      <t xml:space="preserve">；已讀前 </t>
    </r>
    <r>
      <rPr>
        <sz val="11"/>
        <color theme="1"/>
        <rFont val="Calibri"/>
        <family val="2"/>
        <charset val="1"/>
      </rPr>
      <t xml:space="preserve">100k </t>
    </r>
    <r>
      <rPr>
        <sz val="11"/>
        <color theme="1"/>
        <rFont val="WenQuanYi Zen Hei"/>
        <family val="2"/>
      </rPr>
      <t xml:space="preserve">字元）</t>
    </r>
  </si>
  <si>
    <t xml:space="preserve">"the load peaks during the afternoons while dropping significantly in the early mornings"</t>
  </si>
  <si>
    <r>
      <rPr>
        <sz val="11"/>
        <color theme="1"/>
        <rFont val="WenQuanYi Zen Hei"/>
        <family val="2"/>
      </rPr>
      <t xml:space="preserve">無明確尖谷比；輸入長度日內最多 </t>
    </r>
    <r>
      <rPr>
        <sz val="11"/>
        <color theme="1"/>
        <rFont val="Calibri"/>
        <family val="2"/>
        <charset val="1"/>
      </rPr>
      <t xml:space="preserve">1.63×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"ServeGen avoids 50% under-provisioning"</t>
    </r>
  </si>
  <si>
    <r>
      <rPr>
        <sz val="11"/>
        <color theme="1"/>
        <rFont val="Calibri"/>
        <family val="2"/>
        <charset val="1"/>
      </rPr>
      <t xml:space="preserve">Alibaba Model Studio</t>
    </r>
    <r>
      <rPr>
        <sz val="11"/>
        <color theme="1"/>
        <rFont val="WenQuanYi Zen Hei"/>
        <family val="2"/>
      </rPr>
      <t xml:space="preserve">（百煉）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模型、數十億請求、四個月</t>
    </r>
  </si>
  <si>
    <t xml:space="preserve">只有定性日內波動，無利用率；可佐證日週期存在</t>
  </si>
  <si>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WenQuanYi Zen Hei"/>
        <family val="2"/>
      </rPr>
      <t xml:space="preserve">（廠商自家量測）；誘因：推銷工作負載生成器</t>
    </r>
  </si>
  <si>
    <t xml:space="preserve">參考</t>
  </si>
  <si>
    <t xml:space="preserve">U3</t>
  </si>
  <si>
    <r>
      <rPr>
        <sz val="11"/>
        <color theme="1"/>
        <rFont val="Calibri"/>
        <family val="2"/>
        <charset val="1"/>
      </rPr>
      <t xml:space="preserve">https://arxiv.org/html/2401.17644v5 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BurstGPT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HKBU </t>
    </r>
    <r>
      <rPr>
        <sz val="11"/>
        <color theme="1"/>
        <rFont val="WenQuanYi Zen Hei"/>
        <family val="2"/>
      </rPr>
      <t xml:space="preserve">等；已讀）</t>
    </r>
  </si>
  <si>
    <r>
      <rPr>
        <sz val="11"/>
        <color theme="1"/>
        <rFont val="Calibri"/>
        <family val="2"/>
        <charset val="1"/>
      </rPr>
      <t xml:space="preserve">"conversation volumes ... exhibit periodic highs during working hours and lows during night hours"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"peak during weekdays and diminish during weekends"</t>
    </r>
  </si>
  <si>
    <r>
      <rPr>
        <sz val="11"/>
        <color theme="1"/>
        <rFont val="WenQuanYi Zen Hei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0.019 RPS</t>
    </r>
    <r>
      <rPr>
        <sz val="11"/>
        <color theme="1"/>
        <rFont val="WenQuanYi Zen Hei"/>
        <family val="2"/>
      </rPr>
      <t xml:space="preserve">（對話）、</t>
    </r>
    <r>
      <rPr>
        <sz val="11"/>
        <color theme="1"/>
        <rFont val="Calibri"/>
        <family val="2"/>
        <charset val="1"/>
      </rPr>
      <t xml:space="preserve">0.21 RPS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WenQuanYi Zen Hei"/>
        <family val="2"/>
      </rPr>
      <t xml:space="preserve">）；無尖谷比；無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利用率</t>
    </r>
  </si>
  <si>
    <r>
      <rPr>
        <sz val="11"/>
        <color theme="1"/>
        <rFont val="WenQuanYi Zen Hei"/>
        <family val="2"/>
      </rPr>
      <t xml:space="preserve">區域 </t>
    </r>
    <r>
      <rPr>
        <sz val="11"/>
        <color theme="1"/>
        <rFont val="Calibri"/>
        <family val="2"/>
        <charset val="1"/>
      </rPr>
      <t xml:space="preserve">Azure OpenAI GPT </t>
    </r>
    <r>
      <rPr>
        <sz val="11"/>
        <color theme="1"/>
        <rFont val="WenQuanYi Zen Hei"/>
        <family val="2"/>
      </rPr>
      <t xml:space="preserve">服務，</t>
    </r>
    <r>
      <rPr>
        <sz val="11"/>
        <color theme="1"/>
        <rFont val="Calibri"/>
        <family val="2"/>
        <charset val="1"/>
      </rPr>
      <t xml:space="preserve">10.31M </t>
    </r>
    <r>
      <rPr>
        <sz val="11"/>
        <color theme="1"/>
        <rFont val="WenQuanYi Zen Hei"/>
        <family val="2"/>
      </rPr>
      <t xml:space="preserve">筆、</t>
    </r>
    <r>
      <rPr>
        <sz val="11"/>
        <color theme="1"/>
        <rFont val="Calibri"/>
        <family val="2"/>
        <charset val="1"/>
      </rPr>
      <t xml:space="preserve">213 </t>
    </r>
    <r>
      <rPr>
        <sz val="11"/>
        <color theme="1"/>
        <rFont val="WenQuanYi Zen Hei"/>
        <family val="2"/>
      </rPr>
      <t xml:space="preserve">天</t>
    </r>
  </si>
  <si>
    <t xml:space="preserve">僅定性日／週週期；口徑不同，只作參考</t>
  </si>
  <si>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WenQuanYi Zen Hei"/>
        <family val="2"/>
      </rPr>
      <t xml:space="preserve">（學術）；樣本為單一區域服務</t>
    </r>
  </si>
  <si>
    <t xml:space="preserve">U4</t>
  </si>
  <si>
    <r>
      <rPr>
        <sz val="11"/>
        <color theme="1"/>
        <rFont val="Calibri"/>
        <family val="2"/>
        <charset val="1"/>
      </rPr>
      <t xml:space="preserve">https://github.com/deepseek-ai/open-infra-index/blob/main/202502OpenSourceWeek/day_6_one_more_thing_deepseekV3R1_inference_system_overview.md 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DeepSeek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WenQuanYi Zen Hei"/>
        <family val="2"/>
      </rPr>
      <t xml:space="preserve">；已讀原文，</t>
    </r>
    <r>
      <rPr>
        <sz val="11"/>
        <color theme="1"/>
        <rFont val="Calibri"/>
        <family val="2"/>
        <charset val="1"/>
      </rPr>
      <t xml:space="preserve">WebFetch </t>
    </r>
    <r>
      <rPr>
        <sz val="11"/>
        <color theme="1"/>
        <rFont val="WenQuanYi Zen Hei"/>
        <family val="2"/>
      </rPr>
      <t xml:space="preserve">摘錄）</t>
    </r>
  </si>
  <si>
    <r>
      <rPr>
        <sz val="11"/>
        <color theme="1"/>
        <rFont val="Calibri"/>
        <family val="2"/>
        <charset val="1"/>
      </rPr>
      <t xml:space="preserve">"deploy inference services across all nodes during peak daytime hours"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"During low-load nighttime periods, we reduce inference nodes and allocate resources to research and training."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"combined peak node occupancy ... reached 278, with an average occupancy of 226.75 nodes"</t>
    </r>
  </si>
  <si>
    <r>
      <rPr>
        <sz val="11"/>
        <color theme="1"/>
        <rFont val="WenQuanYi Zen Hei"/>
        <family val="2"/>
      </rPr>
      <t xml:space="preserve">尖峰 </t>
    </r>
    <r>
      <rPr>
        <sz val="11"/>
        <color theme="1"/>
        <rFont val="Calibri"/>
        <family val="2"/>
        <charset val="1"/>
      </rPr>
      <t xml:space="preserve">278 </t>
    </r>
    <r>
      <rPr>
        <sz val="11"/>
        <color theme="1"/>
        <rFont val="WenQuanYi Zen Hei"/>
        <family val="2"/>
      </rPr>
      <t xml:space="preserve">節點、均值 </t>
    </r>
    <r>
      <rPr>
        <sz val="11"/>
        <color theme="1"/>
        <rFont val="Calibri"/>
        <family val="2"/>
        <charset val="1"/>
      </rPr>
      <t xml:space="preserve">226.75</t>
    </r>
    <r>
      <rPr>
        <sz val="11"/>
        <color theme="1"/>
        <rFont val="WenQuanYi Zen Hei"/>
        <family val="2"/>
      </rPr>
      <t xml:space="preserve">（只引用不重算）</t>
    </r>
  </si>
  <si>
    <r>
      <rPr>
        <sz val="11"/>
        <color theme="1"/>
        <rFont val="WenQuanYi Zen Hei"/>
        <family val="2"/>
      </rPr>
      <t xml:space="preserve">節點數（每節點 </t>
    </r>
    <r>
      <rPr>
        <sz val="11"/>
        <color theme="1"/>
        <rFont val="Calibri"/>
        <family val="2"/>
        <charset val="1"/>
      </rPr>
      <t xml:space="preserve">8×H800</t>
    </r>
    <r>
      <rPr>
        <sz val="11"/>
        <color theme="1"/>
        <rFont val="WenQuanYi Zen Hei"/>
        <family val="2"/>
      </rPr>
      <t xml:space="preserve">），非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吞吐</t>
    </r>
  </si>
  <si>
    <t xml:space="preserve">這是「機隊在離峰縮減」之後的節點占用；顯示離峰把閒置轉去訓練，所以服務機隊的閒置被隱藏。節點內利用率未揭露。口徑不同，只作參考</t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</si>
  <si>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自述，且為「理論」利潤率文（其並說實際收入低於理論），誘因為展示效率</t>
    </r>
  </si>
  <si>
    <r>
      <rPr>
        <sz val="11"/>
        <color theme="1"/>
        <rFont val="WenQuanYi Zen Hei"/>
        <family val="2"/>
      </rPr>
      <t xml:space="preserve">參考（已有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WenQuanYi Zen Hei"/>
        <family val="2"/>
      </rPr>
      <t xml:space="preserve">推導）</t>
    </r>
  </si>
  <si>
    <t xml:space="preserve">U5</t>
  </si>
  <si>
    <r>
      <rPr>
        <sz val="11"/>
        <color theme="1"/>
        <rFont val="Calibri"/>
        <family val="2"/>
        <charset val="1"/>
      </rPr>
      <t xml:space="preserve">Aegaeon </t>
    </r>
    <r>
      <rPr>
        <sz val="11"/>
        <color theme="1"/>
        <rFont val="WenQuanYi Zen Hei"/>
        <family val="2"/>
      </rPr>
      <t xml:space="preserve">論文（</t>
    </r>
    <r>
      <rPr>
        <sz val="11"/>
        <color theme="1"/>
        <rFont val="Calibri"/>
        <family val="2"/>
        <charset val="1"/>
      </rPr>
      <t xml:space="preserve">Peking Univ.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Alibaba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SOSP 2025</t>
    </r>
    <r>
      <rPr>
        <sz val="11"/>
        <color theme="1"/>
        <rFont val="WenQuanYi Zen Hei"/>
        <family val="2"/>
      </rPr>
      <t xml:space="preserve">）。原論文 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WenQuanYi Zen Hei"/>
        <family val="2"/>
      </rPr>
      <t xml:space="preserve">未取得；</t>
    </r>
    <r>
      <rPr>
        <sz val="11"/>
        <color theme="1"/>
        <rFont val="Calibri"/>
        <family val="2"/>
        <charset val="1"/>
      </rPr>
      <t xml:space="preserve">WebFetch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WenQuanYi Zen Hei"/>
        <family val="2"/>
      </rPr>
      <t xml:space="preserve">頁僅得標題與 </t>
    </r>
    <r>
      <rPr>
        <sz val="11"/>
        <color theme="1"/>
        <rFont val="Calibri"/>
        <family val="2"/>
        <charset val="1"/>
      </rPr>
      <t xml:space="preserve">1,192→213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17.7%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1.35% </t>
    </r>
    <r>
      <rPr>
        <sz val="11"/>
        <color theme="1"/>
        <rFont val="WenQuanYi Zen Hei"/>
        <family val="2"/>
      </rPr>
      <t xml:space="preserve">來自 </t>
    </r>
    <r>
      <rPr>
        <sz val="11"/>
        <color theme="1"/>
        <rFont val="Calibri"/>
        <family val="2"/>
        <charset val="1"/>
      </rPr>
      <t xml:space="preserve">WebSearch </t>
    </r>
    <r>
      <rPr>
        <sz val="11"/>
        <color theme="1"/>
        <rFont val="WenQuanYi Zen Hei"/>
        <family val="2"/>
      </rPr>
      <t xml:space="preserve">摘要（引述 </t>
    </r>
    <r>
      <rPr>
        <sz val="11"/>
        <color theme="1"/>
        <rFont val="Calibri"/>
        <family val="2"/>
        <charset val="1"/>
      </rPr>
      <t xml:space="preserve">Register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Tom's Hardware </t>
    </r>
    <r>
      <rPr>
        <sz val="11"/>
        <color theme="1"/>
        <rFont val="WenQuanYi Zen Hei"/>
        <family val="2"/>
      </rPr>
      <t xml:space="preserve">等）。僅搜尋摘要，未讀原文</t>
    </r>
  </si>
  <si>
    <r>
      <rPr>
        <sz val="11"/>
        <color theme="1"/>
        <rFont val="WenQuanYi Zen Hei"/>
        <family val="2"/>
      </rPr>
      <t xml:space="preserve">轉述：模型長尾（</t>
    </r>
    <r>
      <rPr>
        <sz val="11"/>
        <color theme="1"/>
        <rFont val="Calibri"/>
        <family val="2"/>
        <charset val="1"/>
      </rPr>
      <t xml:space="preserve">&gt;90% </t>
    </r>
    <r>
      <rPr>
        <sz val="11"/>
        <color theme="1"/>
        <rFont val="WenQuanYi Zen Hei"/>
        <family val="2"/>
      </rPr>
      <t xml:space="preserve">為低頻模型），專屬實例「</t>
    </r>
    <r>
      <rPr>
        <sz val="11"/>
        <color theme="1"/>
        <rFont val="Calibri"/>
        <family val="2"/>
        <charset val="1"/>
      </rPr>
      <t xml:space="preserve">holding 17.7 percent of GPUs to serve only 1.35 percent</t>
    </r>
    <r>
      <rPr>
        <sz val="11"/>
        <color theme="1"/>
        <rFont val="WenQuanYi Zen Hei"/>
        <family val="2"/>
      </rPr>
      <t xml:space="preserve">」的請求</t>
    </r>
  </si>
  <si>
    <r>
      <rPr>
        <sz val="11"/>
        <color theme="1"/>
        <rFont val="Calibri"/>
        <family val="2"/>
        <charset val="1"/>
      </rPr>
      <t xml:space="preserve">17.7% GPU </t>
    </r>
    <r>
      <rPr>
        <sz val="11"/>
        <color theme="1"/>
        <rFont val="WenQuanYi Zen Hei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1.35% </t>
    </r>
    <r>
      <rPr>
        <sz val="11"/>
        <color theme="1"/>
        <rFont val="WenQuanYi Zen Hei"/>
        <family val="2"/>
      </rPr>
      <t xml:space="preserve">請求；</t>
    </r>
    <r>
      <rPr>
        <sz val="11"/>
        <color theme="1"/>
        <rFont val="Calibri"/>
        <family val="2"/>
        <charset val="1"/>
      </rPr>
      <t xml:space="preserve">H20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1,192 </t>
    </r>
    <r>
      <rPr>
        <sz val="11"/>
        <color theme="1"/>
        <rFont val="WenQuanYi Zen Hei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213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-82%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goodput </t>
    </r>
    <r>
      <rPr>
        <sz val="11"/>
        <color theme="1"/>
        <rFont val="WenQuanYi Zen Hei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9×</t>
    </r>
  </si>
  <si>
    <r>
      <rPr>
        <sz val="11"/>
        <color theme="1"/>
        <rFont val="Calibri"/>
        <family val="2"/>
        <charset val="1"/>
      </rPr>
      <t xml:space="preserve">Model Studio </t>
    </r>
    <r>
      <rPr>
        <sz val="11"/>
        <color theme="1"/>
        <rFont val="WenQuanYi Zen Hei"/>
        <family val="2"/>
      </rPr>
      <t xml:space="preserve">的多模型市集；</t>
    </r>
    <r>
      <rPr>
        <sz val="11"/>
        <color theme="1"/>
        <rFont val="Calibri"/>
        <family val="2"/>
        <charset val="1"/>
      </rPr>
      <t xml:space="preserve">beta </t>
    </r>
    <r>
      <rPr>
        <sz val="11"/>
        <color theme="1"/>
        <rFont val="WenQuanYi Zen Hei"/>
        <family val="2"/>
      </rPr>
      <t xml:space="preserve">逾三個月</t>
    </r>
  </si>
  <si>
    <r>
      <rPr>
        <sz val="11"/>
        <color theme="1"/>
        <rFont val="WenQuanYi Zen Hei"/>
        <family val="2"/>
      </rPr>
      <t xml:space="preserve">這是「多模型分散部署」的浪費，不是整機隊平均利用率；</t>
    </r>
    <r>
      <rPr>
        <sz val="11"/>
        <color theme="1"/>
        <rFont val="Calibri"/>
        <family val="2"/>
        <charset val="1"/>
      </rPr>
      <t xml:space="preserve">82% </t>
    </r>
    <r>
      <rPr>
        <sz val="11"/>
        <color theme="1"/>
        <rFont val="WenQuanYi Zen Hei"/>
        <family val="2"/>
      </rPr>
      <t xml:space="preserve">節省僅對長尾模型池成立，不可外推到全機隊。口徑不同，只作參考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</si>
  <si>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Alibaba </t>
    </r>
    <r>
      <rPr>
        <sz val="11"/>
        <color theme="1"/>
        <rFont val="WenQuanYi Zen Hei"/>
        <family val="2"/>
      </rPr>
      <t xml:space="preserve">自家；共同作者含 </t>
    </r>
    <r>
      <rPr>
        <sz val="11"/>
        <color theme="1"/>
        <rFont val="Calibri"/>
        <family val="2"/>
        <charset val="1"/>
      </rPr>
      <t xml:space="preserve">Alibaba CTO</t>
    </r>
    <r>
      <rPr>
        <sz val="11"/>
        <color theme="1"/>
        <rFont val="WenQuanYi Zen Hei"/>
        <family val="2"/>
      </rPr>
      <t xml:space="preserve">）；誘因：推銷系統</t>
    </r>
  </si>
  <si>
    <t xml:space="preserve">僅搜尋摘要，未讀原文</t>
  </si>
  <si>
    <t xml:space="preserve">U6</t>
  </si>
  <si>
    <r>
      <rPr>
        <sz val="11"/>
        <color theme="1"/>
        <rFont val="Calibri"/>
        <family val="2"/>
        <charset val="1"/>
      </rPr>
      <t xml:space="preserve">https://arxiv.org/abs/2407.00079 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Mooncake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Kimi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FAST 2025</t>
    </r>
    <r>
      <rPr>
        <sz val="11"/>
        <color theme="1"/>
        <rFont val="WenQuanYi Zen Hei"/>
        <family val="2"/>
      </rPr>
      <t xml:space="preserve">；已讀 </t>
    </r>
    <r>
      <rPr>
        <sz val="11"/>
        <color theme="1"/>
        <rFont val="Calibri"/>
        <family val="2"/>
        <charset val="1"/>
      </rPr>
      <t xml:space="preserve">arXiv </t>
    </r>
    <r>
      <rPr>
        <sz val="11"/>
        <color theme="1"/>
        <rFont val="WenQuanYi Zen Hei"/>
        <family val="2"/>
      </rPr>
      <t xml:space="preserve">摘要）</t>
    </r>
  </si>
  <si>
    <r>
      <rPr>
        <sz val="11"/>
        <color theme="1"/>
        <rFont val="WenQuanYi Zen Hei"/>
        <family val="2"/>
      </rPr>
      <t xml:space="preserve">摘要：真實負載下 </t>
    </r>
    <r>
      <rPr>
        <sz val="11"/>
        <color theme="1"/>
        <rFont val="Calibri"/>
        <family val="2"/>
        <charset val="1"/>
      </rPr>
      <t xml:space="preserve">Kimi </t>
    </r>
    <r>
      <rPr>
        <sz val="11"/>
        <color theme="1"/>
        <rFont val="WenQuanYi Zen Hei"/>
        <family val="2"/>
      </rPr>
      <t xml:space="preserve">多處理 </t>
    </r>
    <r>
      <rPr>
        <sz val="11"/>
        <color theme="1"/>
        <rFont val="Calibri"/>
        <family val="2"/>
        <charset val="1"/>
      </rPr>
      <t xml:space="preserve">75% </t>
    </r>
    <r>
      <rPr>
        <sz val="11"/>
        <color theme="1"/>
        <rFont val="WenQuanYi Zen Hei"/>
        <family val="2"/>
      </rPr>
      <t xml:space="preserve">請求（</t>
    </r>
    <r>
      <rPr>
        <sz val="11"/>
        <color theme="1"/>
        <rFont val="Calibri"/>
        <family val="2"/>
        <charset val="1"/>
      </rPr>
      <t xml:space="preserve">v1 </t>
    </r>
    <r>
      <rPr>
        <sz val="11"/>
        <color theme="1"/>
        <rFont val="WenQuanYi Zen Hei"/>
        <family val="2"/>
      </rPr>
      <t xml:space="preserve">時期；</t>
    </r>
    <r>
      <rPr>
        <sz val="11"/>
        <color theme="1"/>
        <rFont val="Calibri"/>
        <family val="2"/>
        <charset val="1"/>
      </rPr>
      <t xml:space="preserve">FAST </t>
    </r>
    <r>
      <rPr>
        <sz val="11"/>
        <color theme="1"/>
        <rFont val="WenQuanYi Zen Hei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115%/107%</t>
    </r>
    <r>
      <rPr>
        <sz val="11"/>
        <color theme="1"/>
        <rFont val="WenQuanYi Zen Hei"/>
        <family val="2"/>
      </rPr>
      <t xml:space="preserve">，僅搜尋摘要）；論文面對「</t>
    </r>
    <r>
      <rPr>
        <sz val="11"/>
        <color theme="1"/>
        <rFont val="Calibri"/>
        <family val="2"/>
        <charset val="1"/>
      </rPr>
      <t xml:space="preserve">highly overloaded scenarios</t>
    </r>
    <r>
      <rPr>
        <sz val="11"/>
        <color theme="1"/>
        <rFont val="WenQuanYi Zen Hei"/>
        <family val="2"/>
      </rPr>
      <t xml:space="preserve">」並採預測式提前拒絕</t>
    </r>
  </si>
  <si>
    <t xml:space="preserve">無利用率數字</t>
  </si>
  <si>
    <t xml:space="preserve">效能比較，非機隊利用率</t>
  </si>
  <si>
    <r>
      <rPr>
        <sz val="11"/>
        <color theme="1"/>
        <rFont val="WenQuanYi Zen Hei"/>
        <family val="2"/>
      </rPr>
      <t xml:space="preserve">只顯示 </t>
    </r>
    <r>
      <rPr>
        <sz val="11"/>
        <color theme="1"/>
        <rFont val="Calibri"/>
        <family val="2"/>
        <charset val="1"/>
      </rPr>
      <t xml:space="preserve">Kimi </t>
    </r>
    <r>
      <rPr>
        <sz val="11"/>
        <color theme="1"/>
        <rFont val="WenQuanYi Zen Hei"/>
        <family val="2"/>
      </rPr>
      <t xml:space="preserve">在過載下運作（尖峰滿載的旁證），無法換算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</si>
  <si>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Moonshot </t>
    </r>
    <r>
      <rPr>
        <sz val="11"/>
        <color theme="1"/>
        <rFont val="WenQuanYi Zen Hei"/>
        <family val="2"/>
      </rPr>
      <t xml:space="preserve">自家）</t>
    </r>
  </si>
  <si>
    <t xml:space="preserve">不採用</t>
  </si>
  <si>
    <t xml:space="preserve">U7</t>
  </si>
  <si>
    <r>
      <rPr>
        <sz val="11"/>
        <color theme="1"/>
        <rFont val="Calibri"/>
        <family val="2"/>
        <charset val="1"/>
      </rPr>
      <t xml:space="preserve">https://arxiv.org/abs/2311.18677 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Splitwise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2023-11</t>
    </r>
    <r>
      <rPr>
        <sz val="11"/>
        <color theme="1"/>
        <rFont val="WenQuanYi Zen Hei"/>
        <family val="2"/>
      </rPr>
      <t xml:space="preserve">；僅讀摘要，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WenQuanYi Zen Hei"/>
        <family val="2"/>
      </rPr>
      <t xml:space="preserve">為壓縮碼無法解析）</t>
    </r>
  </si>
  <si>
    <r>
      <rPr>
        <sz val="11"/>
        <color theme="1"/>
        <rFont val="WenQuanYi Zen Hei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token generation phase "underutilizes compute resources"</t>
    </r>
  </si>
  <si>
    <r>
      <rPr>
        <sz val="11"/>
        <color theme="1"/>
        <rFont val="Calibri"/>
        <family val="2"/>
        <charset val="1"/>
      </rPr>
      <t xml:space="preserve">1.4× </t>
    </r>
    <r>
      <rPr>
        <sz val="11"/>
        <color theme="1"/>
        <rFont val="WenQuanYi Zen Hei"/>
        <family val="2"/>
      </rPr>
      <t xml:space="preserve">吞吐／</t>
    </r>
    <r>
      <rPr>
        <sz val="11"/>
        <color theme="1"/>
        <rFont val="Calibri"/>
        <family val="2"/>
        <charset val="1"/>
      </rPr>
      <t xml:space="preserve">-20% </t>
    </r>
    <r>
      <rPr>
        <sz val="11"/>
        <color theme="1"/>
        <rFont val="WenQuanYi Zen Hei"/>
        <family val="2"/>
      </rPr>
      <t xml:space="preserve">成本</t>
    </r>
  </si>
  <si>
    <t xml:space="preserve">單機階段分離</t>
  </si>
  <si>
    <r>
      <rPr>
        <sz val="11"/>
        <color theme="1"/>
        <rFont val="WenQuanYi Zen Hei"/>
        <family val="2"/>
      </rPr>
      <t xml:space="preserve">與機隊時間平均利用率無關；內文是否有 </t>
    </r>
    <r>
      <rPr>
        <sz val="11"/>
        <color theme="1"/>
        <rFont val="Calibri"/>
        <family val="2"/>
        <charset val="1"/>
      </rPr>
      <t xml:space="preserve">diurnal </t>
    </r>
    <r>
      <rPr>
        <sz val="11"/>
        <color theme="1"/>
        <rFont val="WenQuanYi Zen Hei"/>
        <family val="2"/>
      </rPr>
      <t xml:space="preserve">數字未能核實</t>
    </r>
  </si>
  <si>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WenQuanYi Zen Hei"/>
        <family val="2"/>
      </rPr>
      <t xml:space="preserve">學術；本題不可用</t>
    </r>
  </si>
  <si>
    <t xml:space="preserve">U8</t>
  </si>
  <si>
    <r>
      <rPr>
        <sz val="11"/>
        <color theme="1"/>
        <rFont val="Calibri"/>
        <family val="2"/>
        <charset val="1"/>
      </rPr>
      <t xml:space="preserve">Cast AI 2026 State of Kubernetes Optimization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cast.ai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itbrief.co.uk</t>
    </r>
    <r>
      <rPr>
        <sz val="11"/>
        <color theme="1"/>
        <rFont val="WenQuanYi Zen Hei"/>
        <family val="2"/>
      </rPr>
      <t xml:space="preserve">）。原頁 </t>
    </r>
    <r>
      <rPr>
        <sz val="11"/>
        <color theme="1"/>
        <rFont val="Calibri"/>
        <family val="2"/>
        <charset val="1"/>
      </rPr>
      <t xml:space="preserve">WebFetch </t>
    </r>
    <r>
      <rPr>
        <sz val="11"/>
        <color theme="1"/>
        <rFont val="WenQuanYi Zen Hei"/>
        <family val="2"/>
      </rPr>
      <t xml:space="preserve">連線失敗（</t>
    </r>
    <r>
      <rPr>
        <sz val="11"/>
        <color theme="1"/>
        <rFont val="Calibri"/>
        <family val="2"/>
        <charset val="1"/>
      </rPr>
      <t xml:space="preserve">ENOTFOUND</t>
    </r>
    <r>
      <rPr>
        <sz val="11"/>
        <color theme="1"/>
        <rFont val="WenQuanYi Zen Hei"/>
        <family val="2"/>
      </rPr>
      <t xml:space="preserve">）；僅搜尋摘要，未讀原文</t>
    </r>
  </si>
  <si>
    <r>
      <rPr>
        <sz val="11"/>
        <color theme="1"/>
        <rFont val="WenQuanYi Zen Hei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23,000 </t>
    </r>
    <r>
      <rPr>
        <sz val="11"/>
        <color theme="1"/>
        <rFont val="WenQuanYi Zen Hei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K8s </t>
    </r>
    <r>
      <rPr>
        <sz val="11"/>
        <color theme="1"/>
        <rFont val="WenQuanYi Zen Hei"/>
        <family val="2"/>
      </rPr>
      <t xml:space="preserve">叢集平均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利用率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CPU 8%</t>
    </r>
    <r>
      <rPr>
        <sz val="11"/>
        <color theme="1"/>
        <rFont val="WenQuanYi Zen Hei"/>
        <family val="2"/>
      </rPr>
      <t xml:space="preserve">、記憶體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WenQuanYi Zen Hei"/>
        <family val="2"/>
      </rPr>
      <t xml:space="preserve">；資料至 </t>
    </r>
    <r>
      <rPr>
        <sz val="11"/>
        <color theme="1"/>
        <rFont val="Calibri"/>
        <family val="2"/>
        <charset val="1"/>
      </rPr>
      <t xml:space="preserve">2026-04</t>
    </r>
  </si>
  <si>
    <t xml:space="preserve">5%</t>
  </si>
  <si>
    <r>
      <rPr>
        <sz val="11"/>
        <color theme="1"/>
        <rFont val="WenQuanYi Zen Hei"/>
        <family val="2"/>
      </rPr>
      <t xml:space="preserve">企業 </t>
    </r>
    <r>
      <rPr>
        <sz val="11"/>
        <color theme="1"/>
        <rFont val="Calibri"/>
        <family val="2"/>
        <charset val="1"/>
      </rPr>
      <t xml:space="preserve">Kubernetes </t>
    </r>
    <r>
      <rPr>
        <sz val="11"/>
        <color theme="1"/>
        <rFont val="WenQuanYi Zen Hei"/>
        <family val="2"/>
      </rPr>
      <t xml:space="preserve">叢集，被指派資源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實際使用</t>
    </r>
  </si>
  <si>
    <r>
      <rPr>
        <sz val="11"/>
        <color theme="1"/>
        <rFont val="WenQuanYi Zen Hei"/>
        <family val="2"/>
      </rPr>
      <t xml:space="preserve">口徑差異極大（含自建、閒置、非推論、請求量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使用量）；不可換算，只作參考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</si>
  <si>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Cast AI </t>
    </r>
    <r>
      <rPr>
        <sz val="11"/>
        <color theme="1"/>
        <rFont val="WenQuanYi Zen Hei"/>
        <family val="2"/>
      </rPr>
      <t xml:space="preserve">販售最佳化軟體</t>
    </r>
  </si>
  <si>
    <t xml:space="preserve">不採用（口徑差大）</t>
  </si>
  <si>
    <t xml:space="preserve">U9</t>
  </si>
  <si>
    <r>
      <rPr>
        <sz val="11"/>
        <color theme="1"/>
        <rFont val="Calibri"/>
        <family val="2"/>
        <charset val="1"/>
      </rPr>
      <t xml:space="preserve">CoreWeave Q2 2026 </t>
    </r>
    <r>
      <rPr>
        <sz val="11"/>
        <color theme="1"/>
        <rFont val="WenQuanYi Zen Hei"/>
        <family val="2"/>
      </rPr>
      <t xml:space="preserve">電話會議（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WenQuanYi Zen Hei"/>
        <family val="2"/>
      </rPr>
      <t xml:space="preserve">）；僅搜尋摘要（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WenQuanYi Zen Hei"/>
        <family val="2"/>
      </rPr>
      <t xml:space="preserve">），未讀原文</t>
    </r>
  </si>
  <si>
    <r>
      <rPr>
        <sz val="11"/>
        <color theme="1"/>
        <rFont val="WenQuanYi Zen Hei"/>
        <family val="2"/>
      </rPr>
      <t xml:space="preserve">轉述：近期容量「</t>
    </r>
    <r>
      <rPr>
        <sz val="11"/>
        <color theme="1"/>
        <rFont val="Calibri"/>
        <family val="2"/>
        <charset val="1"/>
      </rPr>
      <t xml:space="preserve">effectively sold out</t>
    </r>
    <r>
      <rPr>
        <sz val="11"/>
        <color theme="1"/>
        <rFont val="WenQuanYi Zen Hei"/>
        <family val="2"/>
      </rPr>
      <t xml:space="preserve">」；舊世代價格持平或更高</t>
    </r>
  </si>
  <si>
    <r>
      <rPr>
        <sz val="11"/>
        <color theme="1"/>
        <rFont val="WenQuanYi Zen Hei"/>
        <family val="2"/>
      </rPr>
      <t xml:space="preserve">無利用率百分比；</t>
    </r>
    <r>
      <rPr>
        <sz val="11"/>
        <color theme="1"/>
        <rFont val="Calibri"/>
        <family val="2"/>
        <charset val="1"/>
      </rPr>
      <t xml:space="preserve">backlog $104B</t>
    </r>
  </si>
  <si>
    <t xml:space="preserve">出租／合約承諾，非使用率</t>
  </si>
  <si>
    <r>
      <rPr>
        <sz val="11"/>
        <color theme="1"/>
        <rFont val="WenQuanYi Zen Hei"/>
        <family val="2"/>
      </rPr>
      <t xml:space="preserve">「已售出」≠ 客戶端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利用率；合約容量被預訂但客戶端可能閒置。口徑不同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</si>
  <si>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（出租方）；</t>
    </r>
    <r>
      <rPr>
        <sz val="11"/>
        <color theme="1"/>
        <rFont val="Calibri"/>
        <family val="2"/>
        <charset val="1"/>
      </rPr>
      <t xml:space="preserve">Nebius </t>
    </r>
    <r>
      <rPr>
        <sz val="11"/>
        <color theme="1"/>
        <rFont val="WenQuanYi Zen Hei"/>
        <family val="2"/>
      </rPr>
      <t xml:space="preserve">同樣是 </t>
    </r>
    <r>
      <rPr>
        <sz val="11"/>
        <color theme="1"/>
        <rFont val="Calibri"/>
        <family val="2"/>
        <charset val="1"/>
      </rPr>
      <t xml:space="preserve">sold-out </t>
    </r>
    <r>
      <rPr>
        <sz val="11"/>
        <color theme="1"/>
        <rFont val="WenQuanYi Zen Hei"/>
        <family val="2"/>
      </rPr>
      <t xml:space="preserve">敘述（僅搜尋摘要）</t>
    </r>
  </si>
  <si>
    <t xml:space="preserve">U10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</si>
  <si>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WenQuanYi Zen Hei"/>
        <family val="2"/>
      </rPr>
      <t xml:space="preserve">管理層「</t>
    </r>
    <r>
      <rPr>
        <sz val="11"/>
        <color theme="1"/>
        <rFont val="Calibri"/>
        <family val="2"/>
        <charset val="1"/>
      </rPr>
      <t xml:space="preserve">compute constrained</t>
    </r>
    <r>
      <rPr>
        <sz val="11"/>
        <color theme="1"/>
        <rFont val="WenQuanYi Zen Hei"/>
        <family val="2"/>
      </rPr>
      <t xml:space="preserve">」說法（</t>
    </r>
    <r>
      <rPr>
        <sz val="11"/>
        <color theme="1"/>
        <rFont val="Calibri"/>
        <family val="2"/>
        <charset val="1"/>
      </rPr>
      <t xml:space="preserve">Tech Brew 2026-04-14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Quartz </t>
    </r>
    <r>
      <rPr>
        <sz val="11"/>
        <color theme="1"/>
        <rFont val="WenQuanYi Zen Hei"/>
        <family val="2"/>
      </rPr>
      <t xml:space="preserve">等二手報導；僅搜尋摘要）</t>
    </r>
  </si>
  <si>
    <r>
      <rPr>
        <sz val="11"/>
        <color theme="1"/>
        <rFont val="WenQuanYi Zen Hei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Amodei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compute-constrained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Friar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"there's not a lot of compute in 2026"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WenQuanYi Zen Hei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WenQuanYi Zen Hei"/>
        <family val="2"/>
      </rPr>
      <t xml:space="preserve">在平日尖峰時段收緊用量上限</t>
    </r>
  </si>
  <si>
    <t xml:space="preserve">無</t>
  </si>
  <si>
    <t xml:space="preserve">定性</t>
  </si>
  <si>
    <t xml:space="preserve">顯示尖峰時段滿載且被配給，離峰仍有餘裕，與尖離峰比方向一致；無法量化</t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</si>
  <si>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（募資與議價誘因）</t>
    </r>
  </si>
  <si>
    <t xml:space="preserve">U11</t>
  </si>
  <si>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docs/evidence/20261021_token</t>
    </r>
    <r>
      <rPr>
        <sz val="11"/>
        <color theme="1"/>
        <rFont val="WenQuanYi Zen Hei"/>
        <family val="2"/>
      </rPr>
      <t xml:space="preserve">帳閉合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WenQuanYi Zen Hei"/>
        <family val="2"/>
      </rPr>
      <t xml:space="preserve">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WenQuanYi Zen Hei"/>
        <family val="2"/>
      </rPr>
      <t xml:space="preserve">吞吐實測查證</t>
    </r>
    <r>
      <rPr>
        <sz val="11"/>
        <color theme="1"/>
        <rFont val="Calibri"/>
        <family val="2"/>
        <charset val="1"/>
      </rPr>
      <t xml:space="preserve">.md </t>
    </r>
    <r>
      <rPr>
        <sz val="11"/>
        <color theme="1"/>
        <rFont val="WenQuanYi Zen Hei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5.1 </t>
    </r>
    <r>
      <rPr>
        <sz val="11"/>
        <color theme="1"/>
        <rFont val="WenQuanYi Zen Hei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原文自行推算，本段只引用）</t>
    </r>
  </si>
  <si>
    <t xml:space="preserve">—</t>
  </si>
  <si>
    <r>
      <rPr>
        <sz val="11"/>
        <color theme="1"/>
        <rFont val="WenQuanYi Zen Hei"/>
        <family val="2"/>
      </rPr>
      <t xml:space="preserve">輸出日均／服務期間速率 ≈ </t>
    </r>
    <r>
      <rPr>
        <sz val="11"/>
        <color theme="1"/>
        <rFont val="Calibri"/>
        <family val="2"/>
        <charset val="1"/>
      </rPr>
      <t xml:space="preserve">0.58</t>
    </r>
    <r>
      <rPr>
        <sz val="11"/>
        <color theme="1"/>
        <rFont val="WenQuanYi Zen Hei"/>
        <family val="2"/>
      </rPr>
      <t xml:space="preserve">；輸入 ≈ </t>
    </r>
    <r>
      <rPr>
        <sz val="11"/>
        <color theme="1"/>
        <rFont val="Calibri"/>
        <family val="2"/>
        <charset val="1"/>
      </rPr>
      <t xml:space="preserve">0.42</t>
    </r>
    <r>
      <rPr>
        <sz val="11"/>
        <color theme="1"/>
        <rFont val="WenQuanYi Zen Hei"/>
        <family val="2"/>
      </rPr>
      <t xml:space="preserve">（每節點）；節點數均值／尖峰 </t>
    </r>
    <r>
      <rPr>
        <sz val="11"/>
        <color theme="1"/>
        <rFont val="Calibri"/>
        <family val="2"/>
        <charset val="1"/>
      </rPr>
      <t xml:space="preserve">= 226.75/278 = 0.82</t>
    </r>
  </si>
  <si>
    <r>
      <rPr>
        <sz val="11"/>
        <color theme="1"/>
        <rFont val="WenQuanYi Zen Hei"/>
        <family val="2"/>
      </rPr>
      <t xml:space="preserve">分子：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小時平均每節點吞吐；分母：揭露的服務期間每節點速率（不是 </t>
    </r>
    <r>
      <rPr>
        <sz val="11"/>
        <color theme="1"/>
        <rFont val="Calibri"/>
        <family val="2"/>
        <charset val="1"/>
      </rPr>
      <t xml:space="preserve">SLO </t>
    </r>
    <r>
      <rPr>
        <sz val="11"/>
        <color theme="1"/>
        <rFont val="WenQuanYi Zen Hei"/>
        <family val="2"/>
      </rPr>
      <t xml:space="preserve">理論產能）</t>
    </r>
  </si>
  <si>
    <r>
      <rPr>
        <sz val="11"/>
        <color theme="1"/>
        <rFont val="WenQuanYi Zen Hei"/>
        <family val="2"/>
      </rPr>
      <t xml:space="preserve">分母是 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自己的服務期間速率，低於理論產能，故對本定義是上限參考；且節點數已隨負載調度</t>
    </r>
  </si>
  <si>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[Interested-party] DeepSeek </t>
    </r>
    <r>
      <rPr>
        <sz val="11"/>
        <color theme="1"/>
        <rFont val="WenQuanYi Zen Hei"/>
        <family val="2"/>
      </rPr>
      <t xml:space="preserve">自揭</t>
    </r>
  </si>
  <si>
    <t xml:space="preserve">已讀（前案）</t>
  </si>
  <si>
    <t xml:space="preserve">參考（上限）</t>
  </si>
  <si>
    <r>
      <rPr>
        <b val="true"/>
        <sz val="11"/>
        <rFont val="Cambria"/>
        <family val="0"/>
        <charset val="1"/>
      </rPr>
      <t xml:space="preserve">B. B4_Serve</t>
    </r>
    <r>
      <rPr>
        <b val="true"/>
        <sz val="11"/>
        <rFont val="WenQuanYi Zen Hei"/>
        <family val="2"/>
      </rPr>
      <t xml:space="preserve">（來源：服務占比證據</t>
    </r>
    <r>
      <rPr>
        <b val="true"/>
        <sz val="11"/>
        <rFont val="Cambria"/>
        <family val="0"/>
        <charset val="1"/>
      </rPr>
      <t xml:space="preserve">_</t>
    </r>
    <r>
      <rPr>
        <b val="true"/>
        <sz val="11"/>
        <rFont val="WenQuanYi Zen Hei"/>
        <family val="2"/>
      </rPr>
      <t xml:space="preserve">原稿</t>
    </r>
    <r>
      <rPr>
        <b val="true"/>
        <sz val="11"/>
        <rFont val="Cambria"/>
        <family val="0"/>
        <charset val="1"/>
      </rPr>
      <t xml:space="preserve">.md</t>
    </r>
    <r>
      <rPr>
        <b val="true"/>
        <sz val="11"/>
        <rFont val="WenQuanYi Zen Hei"/>
        <family val="2"/>
      </rPr>
      <t xml:space="preserve">）</t>
    </r>
  </si>
  <si>
    <t xml:space="preserve">S1</t>
  </si>
  <si>
    <t xml:space="preserve">B4_Serve</t>
  </si>
  <si>
    <r>
      <rPr>
        <sz val="11"/>
        <color theme="1"/>
        <rFont val="Calibri"/>
        <family val="2"/>
        <charset val="1"/>
      </rPr>
      <t xml:space="preserve">Epoch AI Data Insight, "Most of OpenAI's 2024 compute went to experiments", https://epoch.ai/data-insights/openai-compute-spend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2025-10-10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CSV 2025-11-17 </t>
    </r>
    <r>
      <rPr>
        <sz val="11"/>
        <color theme="1"/>
        <rFont val="WenQuanYi Zen Hei"/>
        <family val="2"/>
      </rPr>
      <t xml:space="preserve">更新）</t>
    </r>
  </si>
  <si>
    <r>
      <rPr>
        <sz val="11"/>
        <color theme="1"/>
        <rFont val="WenQuanYi Zen Hei"/>
        <family val="2"/>
      </rPr>
      <t xml:space="preserve">轉述：報導稱訓練算力 </t>
    </r>
    <r>
      <rPr>
        <sz val="11"/>
        <color theme="1"/>
        <rFont val="Calibri"/>
        <family val="2"/>
        <charset val="1"/>
      </rPr>
      <t xml:space="preserve">$3B</t>
    </r>
    <r>
      <rPr>
        <sz val="11"/>
        <color theme="1"/>
        <rFont val="WenQuanYi Zen Hei"/>
        <family val="2"/>
      </rPr>
      <t xml:space="preserve">、推論 </t>
    </r>
    <r>
      <rPr>
        <sz val="11"/>
        <color theme="1"/>
        <rFont val="Calibri"/>
        <family val="2"/>
        <charset val="1"/>
      </rPr>
      <t xml:space="preserve">$1.8B</t>
    </r>
    <r>
      <rPr>
        <sz val="11"/>
        <color theme="1"/>
        <rFont val="WenQuanYi Zen Hei"/>
        <family val="2"/>
      </rPr>
      <t xml:space="preserve">、研究算力 </t>
    </r>
    <r>
      <rPr>
        <sz val="11"/>
        <color theme="1"/>
        <rFont val="Calibri"/>
        <family val="2"/>
        <charset val="1"/>
      </rPr>
      <t xml:space="preserve">$1B</t>
    </r>
    <r>
      <rPr>
        <sz val="11"/>
        <color theme="1"/>
        <rFont val="WenQuanYi Zen Hei"/>
        <family val="2"/>
      </rPr>
      <t xml:space="preserve">（分多年攤提，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假設兩年→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$2B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"the majority of OpenAI's R&amp;D compute in 2024 was likely allocated to research, experimental training runs"</t>
    </r>
    <r>
      <rPr>
        <sz val="11"/>
        <color theme="1"/>
        <rFont val="WenQuanYi Zen Hei"/>
        <family val="2"/>
      </rPr>
      <t xml:space="preserve">；頁面稱數字</t>
    </r>
    <r>
      <rPr>
        <sz val="11"/>
        <color theme="1"/>
        <rFont val="Calibri"/>
        <family val="2"/>
        <charset val="1"/>
      </rPr>
      <t xml:space="preserve">"should not be considered completely reliable"</t>
    </r>
    <r>
      <rPr>
        <sz val="11"/>
        <color theme="1"/>
        <rFont val="WenQuanYi Zen Hei"/>
        <family val="2"/>
      </rPr>
      <t xml:space="preserve">（依 </t>
    </r>
    <r>
      <rPr>
        <sz val="11"/>
        <color theme="1"/>
        <rFont val="Calibri"/>
        <family val="2"/>
        <charset val="1"/>
      </rPr>
      <t xml:space="preserve">2024-09 </t>
    </r>
    <r>
      <rPr>
        <sz val="11"/>
        <color theme="1"/>
        <rFont val="WenQuanYi Zen Hei"/>
        <family val="2"/>
      </rPr>
      <t xml:space="preserve">投資人文件，含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預測）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</si>
  <si>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$5B</t>
    </r>
    <r>
      <rPr>
        <sz val="11"/>
        <color theme="1"/>
        <rFont val="WenQuanYi Zen Hei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$3B</t>
    </r>
    <r>
      <rPr>
        <sz val="11"/>
        <color theme="1"/>
        <rFont val="WenQuanYi Zen Hei"/>
        <family val="2"/>
      </rPr>
      <t xml:space="preserve">＋研究 </t>
    </r>
    <r>
      <rPr>
        <sz val="11"/>
        <color theme="1"/>
        <rFont val="Calibri"/>
        <family val="2"/>
        <charset val="1"/>
      </rPr>
      <t xml:space="preserve">$2B</t>
    </r>
    <r>
      <rPr>
        <sz val="11"/>
        <color theme="1"/>
        <rFont val="WenQuanYi Zen Hei"/>
        <family val="2"/>
      </rPr>
      <t xml:space="preserve">），推論 </t>
    </r>
    <r>
      <rPr>
        <sz val="11"/>
        <color theme="1"/>
        <rFont val="Calibri"/>
        <family val="2"/>
        <charset val="1"/>
      </rPr>
      <t xml:space="preserve">$1.8B</t>
    </r>
    <r>
      <rPr>
        <sz val="11"/>
        <color theme="1"/>
        <rFont val="WenQuanYi Zen Hei"/>
        <family val="2"/>
      </rPr>
      <t xml:space="preserve">（頁面小計約 </t>
    </r>
    <r>
      <rPr>
        <sz val="11"/>
        <color theme="1"/>
        <rFont val="Calibri"/>
        <family val="2"/>
        <charset val="1"/>
      </rPr>
      <t xml:space="preserve">$2B</t>
    </r>
    <r>
      <rPr>
        <sz val="11"/>
        <color theme="1"/>
        <rFont val="WenQuanYi Zen Hei"/>
        <family val="2"/>
      </rPr>
      <t xml:space="preserve">／總約 </t>
    </r>
    <r>
      <rPr>
        <sz val="11"/>
        <color theme="1"/>
        <rFont val="Calibri"/>
        <family val="2"/>
        <charset val="1"/>
      </rPr>
      <t xml:space="preserve">$7B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推論不含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自行承擔之授權模型推論成本</t>
    </r>
  </si>
  <si>
    <t xml:space="preserve">見數字欄</t>
  </si>
  <si>
    <r>
      <rPr>
        <sz val="11"/>
        <color theme="1"/>
        <rFont val="WenQuanYi Zen Hei"/>
        <family val="2"/>
      </rPr>
      <t xml:space="preserve">支出口徑，分母含研究、實驗、訓練。算得 </t>
    </r>
    <r>
      <rPr>
        <sz val="11"/>
        <color theme="1"/>
        <rFont val="Calibri"/>
        <family val="2"/>
        <charset val="1"/>
      </rPr>
      <t xml:space="preserve">Serve = 1.8÷6.8 ≈ 0.26</t>
    </r>
    <r>
      <rPr>
        <sz val="11"/>
        <color theme="1"/>
        <rFont val="WenQuanYi Zen Hei"/>
        <family val="2"/>
      </rPr>
      <t xml:space="preserve">（用 </t>
    </r>
    <r>
      <rPr>
        <sz val="11"/>
        <color theme="1"/>
        <rFont val="Calibri"/>
        <family val="2"/>
        <charset val="1"/>
      </rPr>
      <t xml:space="preserve">$2B </t>
    </r>
    <r>
      <rPr>
        <sz val="11"/>
        <color theme="1"/>
        <rFont val="WenQuanYi Zen Hei"/>
        <family val="2"/>
      </rPr>
      <t xml:space="preserve">則 </t>
    </r>
    <r>
      <rPr>
        <sz val="11"/>
        <color theme="1"/>
        <rFont val="Calibri"/>
        <family val="2"/>
        <charset val="1"/>
      </rPr>
      <t xml:space="preserve">0.29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低於現值 </t>
    </r>
    <r>
      <rPr>
        <sz val="11"/>
        <color theme="1"/>
        <rFont val="Calibri"/>
        <family val="2"/>
        <charset val="1"/>
      </rPr>
      <t xml:space="preserve">0.41</t>
    </r>
    <r>
      <rPr>
        <sz val="11"/>
        <color theme="1"/>
        <rFont val="WenQuanYi Zen Hei"/>
        <family val="2"/>
      </rPr>
      <t xml:space="preserve">；年份不同、且推論多數由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另計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</si>
  <si>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（來自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給投資人文件，經媒體再經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推估）；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募資有誘因</t>
    </r>
  </si>
  <si>
    <r>
      <rPr>
        <sz val="11"/>
        <color theme="1"/>
        <rFont val="WenQuanYi Zen Hei"/>
        <family val="2"/>
      </rPr>
      <t xml:space="preserve">採用（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下緣）</t>
    </r>
  </si>
  <si>
    <t xml:space="preserve">S2</t>
  </si>
  <si>
    <r>
      <rPr>
        <sz val="11"/>
        <color theme="1"/>
        <rFont val="Calibri"/>
        <family val="2"/>
        <charset val="1"/>
      </rPr>
      <t xml:space="preserve">Epoch AI Gradient Update, "Final training runs account for a minority of R&amp;D compute spending", https://epoch.ai/gradient-updates/r-and-d-vs-training-compute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2026-03-23</t>
    </r>
  </si>
  <si>
    <t xml:space="preserve">"for all three companies, final training runs account for a minority of R&amp;D compute spending"</t>
  </si>
  <si>
    <r>
      <rPr>
        <sz val="11"/>
        <color theme="1"/>
        <rFont val="Calibri"/>
        <family val="2"/>
        <charset val="1"/>
      </rPr>
      <t xml:space="preserve">OpenAI 2024 </t>
    </r>
    <r>
      <rPr>
        <sz val="11"/>
        <color theme="1"/>
        <rFont val="WenQuanYi Zen Hei"/>
        <family val="2"/>
      </rPr>
      <t xml:space="preserve">最終訓練約 </t>
    </r>
    <r>
      <rPr>
        <sz val="11"/>
        <color theme="1"/>
        <rFont val="Calibri"/>
        <family val="2"/>
        <charset val="1"/>
      </rPr>
      <t xml:space="preserve">$0.5B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9.6%</t>
    </r>
    <r>
      <rPr>
        <sz val="11"/>
        <color theme="1"/>
        <rFont val="WenQuanYi Zen Hei"/>
        <family val="2"/>
      </rPr>
      <t xml:space="preserve">）占 </t>
    </r>
    <r>
      <rPr>
        <sz val="11"/>
        <color theme="1"/>
        <rFont val="Calibri"/>
        <family val="2"/>
        <charset val="1"/>
      </rPr>
      <t xml:space="preserve">R&amp;D $5B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MiniMax 22.6%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Z.ai 12.3%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WenQuanYi Zen Hei"/>
        <family val="2"/>
      </rPr>
      <t xml:space="preserve">文件）</t>
    </r>
  </si>
  <si>
    <r>
      <rPr>
        <sz val="11"/>
        <color theme="1"/>
        <rFont val="WenQuanYi Zen Hei"/>
        <family val="2"/>
      </rPr>
      <t xml:space="preserve">不直接給 </t>
    </r>
    <r>
      <rPr>
        <sz val="11"/>
        <color theme="1"/>
        <rFont val="Calibri"/>
        <family val="2"/>
        <charset val="1"/>
      </rPr>
      <t xml:space="preserve">Serve</t>
    </r>
    <r>
      <rPr>
        <sz val="11"/>
        <color theme="1"/>
        <rFont val="WenQuanYi Zen Hei"/>
        <family val="2"/>
      </rPr>
      <t xml:space="preserve">。用途：說明分母「研發」中絕大部分是實驗／研究，不是已發布模型的訓練，故 </t>
    </r>
    <r>
      <rPr>
        <sz val="11"/>
        <color theme="1"/>
        <rFont val="Calibri"/>
        <family val="2"/>
        <charset val="1"/>
      </rPr>
      <t xml:space="preserve">Serve </t>
    </r>
    <r>
      <rPr>
        <sz val="11"/>
        <color theme="1"/>
        <rFont val="WenQuanYi Zen Hei"/>
        <family val="2"/>
      </rPr>
      <t xml:space="preserve">的分母不可只用訓練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</si>
  <si>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推估，基礎為 </t>
    </r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WenQuanYi Zen Hei"/>
        <family val="2"/>
      </rPr>
      <t xml:space="preserve">文件）；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無商業誘因</t>
    </r>
  </si>
  <si>
    <r>
      <rPr>
        <sz val="11"/>
        <color theme="1"/>
        <rFont val="WenQuanYi Zen Hei"/>
        <family val="2"/>
      </rPr>
      <t xml:space="preserve">已讀原文（全文無 </t>
    </r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WenQuanYi Zen Hei"/>
        <family val="2"/>
      </rPr>
      <t xml:space="preserve">數字）</t>
    </r>
  </si>
  <si>
    <t xml:space="preserve">參考（分母定義）</t>
  </si>
  <si>
    <t xml:space="preserve">S3</t>
  </si>
  <si>
    <r>
      <rPr>
        <sz val="11"/>
        <color theme="1"/>
        <rFont val="Calibri"/>
        <family val="2"/>
        <charset val="1"/>
      </rPr>
      <t xml:space="preserve">Epoch AI, "AI chip users explorer", https://epoch.ai/latest/introducing-the-ai-chip-users-explorer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2026-09-09</t>
    </r>
  </si>
  <si>
    <r>
      <rPr>
        <sz val="11"/>
        <color theme="1"/>
        <rFont val="Calibri"/>
        <family val="2"/>
        <charset val="1"/>
      </rPr>
      <t xml:space="preserve">"was divided roughly evenly between R&amp;D and inference"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2025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引 </t>
    </r>
    <r>
      <rPr>
        <sz val="11"/>
        <color theme="1"/>
        <rFont val="Calibri"/>
        <family val="2"/>
        <charset val="1"/>
      </rPr>
      <t xml:space="preserve">reported figures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"a higher share went to R&amp;D in 2024"</t>
    </r>
  </si>
  <si>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WenQuanYi Zen Hei"/>
        <family val="2"/>
      </rPr>
      <t xml:space="preserve">研發：推論 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WenQuanYi Zen Hei"/>
        <family val="2"/>
      </rPr>
      <t xml:space="preserve">（無精確百分比）</t>
    </r>
  </si>
  <si>
    <r>
      <rPr>
        <sz val="11"/>
        <color theme="1"/>
        <rFont val="WenQuanYi Zen Hei"/>
        <family val="2"/>
      </rPr>
      <t xml:space="preserve">支出口徑，分母＝研發＋推論，與定義最接近。</t>
    </r>
    <r>
      <rPr>
        <sz val="11"/>
        <color theme="1"/>
        <rFont val="Calibri"/>
        <family val="2"/>
        <charset val="1"/>
      </rPr>
      <t xml:space="preserve">Serve ≈ 0.50</t>
    </r>
    <r>
      <rPr>
        <sz val="11"/>
        <color theme="1"/>
        <rFont val="WenQuanYi Zen Hei"/>
        <family val="2"/>
      </rPr>
      <t xml:space="preserve">（約）。與現值 </t>
    </r>
    <r>
      <rPr>
        <sz val="11"/>
        <color theme="1"/>
        <rFont val="Calibri"/>
        <family val="2"/>
        <charset val="1"/>
      </rPr>
      <t xml:space="preserve">0.41 </t>
    </r>
    <r>
      <rPr>
        <sz val="11"/>
        <color theme="1"/>
        <rFont val="WenQuanYi Zen Hei"/>
        <family val="2"/>
      </rPr>
      <t xml:space="preserve">相比偏高；現值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億訓練之口徑可能含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抵扣額度或不含研究，需確認</t>
    </r>
  </si>
  <si>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引報導）；無明顯誘因</t>
    </r>
  </si>
  <si>
    <t xml:space="preserve">已讀原文（無表格數字）</t>
  </si>
  <si>
    <r>
      <rPr>
        <sz val="11"/>
        <color theme="1"/>
        <rFont val="WenQuanYi Zen Hei"/>
        <family val="2"/>
      </rPr>
      <t xml:space="preserve">採用（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主依據）</t>
    </r>
  </si>
  <si>
    <t xml:space="preserve">S4</t>
  </si>
  <si>
    <r>
      <rPr>
        <sz val="11"/>
        <color theme="1"/>
        <rFont val="Calibri"/>
        <family val="2"/>
        <charset val="1"/>
      </rPr>
      <t xml:space="preserve">Epoch AI Data Insight, "company spending breakdown", https://epoch.ai/data-insights/company-spending-breakdown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2026-02-04</t>
    </r>
    <r>
      <rPr>
        <sz val="11"/>
        <color theme="1"/>
        <rFont val="WenQuanYi Zen Hei"/>
        <family val="2"/>
      </rPr>
      <t xml:space="preserve">（獨立查核確認頁面日期）</t>
    </r>
  </si>
  <si>
    <r>
      <rPr>
        <sz val="11"/>
        <color theme="1"/>
        <rFont val="Calibri"/>
        <family val="2"/>
        <charset val="1"/>
      </rPr>
      <t xml:space="preserve">"Anthropic spent $4.1B training its models in 2025"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"the $4.5B of revenue involved $2.7B in inference compute expense"</t>
    </r>
  </si>
  <si>
    <r>
      <rPr>
        <sz val="11"/>
        <color theme="1"/>
        <rFont val="Calibri"/>
        <family val="2"/>
        <charset val="1"/>
      </rPr>
      <t xml:space="preserve">Anthropic 2025</t>
    </r>
    <r>
      <rPr>
        <sz val="11"/>
        <color theme="1"/>
        <rFont val="WenQuanYi Zen Hei"/>
        <family val="2"/>
      </rPr>
      <t xml:space="preserve">：研發算力 </t>
    </r>
    <r>
      <rPr>
        <sz val="11"/>
        <color theme="1"/>
        <rFont val="Calibri"/>
        <family val="2"/>
        <charset val="1"/>
      </rPr>
      <t xml:space="preserve">$4.1B</t>
    </r>
    <r>
      <rPr>
        <sz val="11"/>
        <color theme="1"/>
        <rFont val="WenQuanYi Zen Hei"/>
        <family val="2"/>
      </rPr>
      <t xml:space="preserve">，推論算力 </t>
    </r>
    <r>
      <rPr>
        <sz val="11"/>
        <color theme="1"/>
        <rFont val="Calibri"/>
        <family val="2"/>
        <charset val="1"/>
      </rPr>
      <t xml:space="preserve">$2.7B</t>
    </r>
    <r>
      <rPr>
        <sz val="11"/>
        <color theme="1"/>
        <rFont val="WenQuanYi Zen Hei"/>
        <family val="2"/>
      </rPr>
      <t xml:space="preserve">（由毛利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WenQuanYi Zen Hei"/>
        <family val="2"/>
      </rPr>
      <t xml:space="preserve">反推，非直接揭露）；</t>
    </r>
    <r>
      <rPr>
        <sz val="11"/>
        <color theme="1"/>
        <rFont val="Calibri"/>
        <family val="2"/>
        <charset val="1"/>
      </rPr>
      <t xml:space="preserve">Z.ai 2025H1 </t>
    </r>
    <r>
      <rPr>
        <sz val="11"/>
        <color theme="1"/>
        <rFont val="WenQuanYi Zen Hei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$183M</t>
    </r>
    <r>
      <rPr>
        <sz val="11"/>
        <color theme="1"/>
        <rFont val="WenQuanYi Zen Hei"/>
        <family val="2"/>
      </rPr>
      <t xml:space="preserve">／推論 </t>
    </r>
    <r>
      <rPr>
        <sz val="11"/>
        <color theme="1"/>
        <rFont val="Calibri"/>
        <family val="2"/>
        <charset val="1"/>
      </rPr>
      <t xml:space="preserve">$9M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MiniMax 2025Q1–Q3 </t>
    </r>
    <r>
      <rPr>
        <sz val="11"/>
        <color theme="1"/>
        <rFont val="WenQuanYi Zen Hei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$142M</t>
    </r>
    <r>
      <rPr>
        <sz val="11"/>
        <color theme="1"/>
        <rFont val="WenQuanYi Zen Hei"/>
        <family val="2"/>
      </rPr>
      <t xml:space="preserve">／推論 </t>
    </r>
    <r>
      <rPr>
        <sz val="11"/>
        <color theme="1"/>
        <rFont val="Calibri"/>
        <family val="2"/>
        <charset val="1"/>
      </rPr>
      <t xml:space="preserve">$38M</t>
    </r>
  </si>
  <si>
    <r>
      <rPr>
        <sz val="11"/>
        <color theme="1"/>
        <rFont val="Calibri"/>
        <family val="2"/>
        <charset val="1"/>
      </rPr>
      <t xml:space="preserve">Anthropic Serve = 2.7÷(4.1+2.7) = 0.40</t>
    </r>
    <r>
      <rPr>
        <sz val="11"/>
        <color theme="1"/>
        <rFont val="WenQuanYi Zen Hei"/>
        <family val="2"/>
      </rPr>
      <t xml:space="preserve">（我算）；</t>
    </r>
    <r>
      <rPr>
        <sz val="11"/>
        <color theme="1"/>
        <rFont val="Calibri"/>
        <family val="2"/>
        <charset val="1"/>
      </rPr>
      <t xml:space="preserve">Z.ai 0.05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MiniMax 0.21</t>
    </r>
    <r>
      <rPr>
        <sz val="11"/>
        <color theme="1"/>
        <rFont val="WenQuanYi Zen Hei"/>
        <family val="2"/>
      </rPr>
      <t xml:space="preserve">。中國兩家為第三方算力服務費且營收小，不適用大廠機隊。頁面稱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WenQuanYi Zen Hei"/>
        <family val="2"/>
      </rPr>
      <t xml:space="preserve">數字</t>
    </r>
    <r>
      <rPr>
        <sz val="11"/>
        <color theme="1"/>
        <rFont val="Calibri"/>
        <family val="2"/>
        <charset val="1"/>
      </rPr>
      <t xml:space="preserve">"somewhat speculative"</t>
    </r>
    <r>
      <rPr>
        <sz val="11"/>
        <color theme="1"/>
        <rFont val="WenQuanYi Zen Hei"/>
        <family val="2"/>
      </rPr>
      <t xml:space="preserve">；頁面「</t>
    </r>
    <r>
      <rPr>
        <sz val="11"/>
        <color theme="1"/>
        <rFont val="Calibri"/>
        <family val="2"/>
        <charset val="1"/>
      </rPr>
      <t xml:space="preserve">54%–62%</t>
    </r>
    <r>
      <rPr>
        <sz val="11"/>
        <color theme="1"/>
        <rFont val="WenQuanYi Zen Hei"/>
        <family val="2"/>
      </rPr>
      <t xml:space="preserve">」與表內合計不吻合，已註記</t>
    </r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</si>
  <si>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WenQuanYi Zen Hei"/>
        <family val="2"/>
      </rPr>
      <t xml:space="preserve">報導＋毛利反推）；</t>
    </r>
    <r>
      <rPr>
        <sz val="11"/>
        <color theme="1"/>
        <rFont val="Calibri"/>
        <family val="2"/>
        <charset val="1"/>
      </rPr>
      <t xml:space="preserve">Z.ai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MiniMax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WenQuanYi Zen Hei"/>
        <family val="2"/>
      </rPr>
      <t xml:space="preserve">文件）但口徑為服務費</t>
    </r>
  </si>
  <si>
    <r>
      <rPr>
        <sz val="11"/>
        <color theme="1"/>
        <rFont val="WenQuanYi Zen Hei"/>
        <family val="2"/>
      </rPr>
      <t xml:space="preserve">採用（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WenQuanYi Zen Hei"/>
        <family val="2"/>
      </rPr>
      <t xml:space="preserve">對照）</t>
    </r>
  </si>
  <si>
    <t xml:space="preserve">S5</t>
  </si>
  <si>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WenQuanYi Zen Hei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Register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secondary </t>
    </r>
    <r>
      <rPr>
        <sz val="11"/>
        <color theme="1"/>
        <rFont val="WenQuanYi Zen Hei"/>
        <family val="2"/>
      </rPr>
      <t xml:space="preserve">轉述；</t>
    </r>
    <r>
      <rPr>
        <sz val="11"/>
        <color theme="1"/>
        <rFont val="Calibri"/>
        <family val="2"/>
        <charset val="1"/>
      </rPr>
      <t xml:space="preserve">https://www.theregister.com/2025/11/12/openai_spending_report/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2025-11-12</t>
    </r>
  </si>
  <si>
    <r>
      <rPr>
        <sz val="11"/>
        <color theme="1"/>
        <rFont val="WenQuanYi Zen Hei"/>
        <family val="2"/>
      </rPr>
      <t xml:space="preserve">轉述（</t>
    </r>
    <r>
      <rPr>
        <sz val="11"/>
        <color theme="1"/>
        <rFont val="Calibri"/>
        <family val="2"/>
        <charset val="1"/>
      </rPr>
      <t xml:space="preserve">Register</t>
    </r>
    <r>
      <rPr>
        <sz val="11"/>
        <color theme="1"/>
        <rFont val="WenQuanYi Zen Hei"/>
        <family val="2"/>
      </rPr>
      <t xml:space="preserve">）：洩漏之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文件顯示 </t>
    </r>
    <r>
      <rPr>
        <sz val="11"/>
        <color theme="1"/>
        <rFont val="Calibri"/>
        <family val="2"/>
        <charset val="1"/>
      </rPr>
      <t xml:space="preserve">OpenAI 2024 </t>
    </r>
    <r>
      <rPr>
        <sz val="11"/>
        <color theme="1"/>
        <rFont val="WenQuanYi Zen Hei"/>
        <family val="2"/>
      </rPr>
      <t xml:space="preserve">全年對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推論支出 </t>
    </r>
    <r>
      <rPr>
        <sz val="11"/>
        <color theme="1"/>
        <rFont val="Calibri"/>
        <family val="2"/>
        <charset val="1"/>
      </rPr>
      <t xml:space="preserve">$3.7B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$8.7B</t>
    </r>
    <r>
      <rPr>
        <sz val="11"/>
        <color theme="1"/>
        <rFont val="WenQuanYi Zen Hei"/>
        <family val="2"/>
      </rPr>
      <t xml:space="preserve">；自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起付給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算力款逾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"didn't include details on any training-specific spend"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發言人稱</t>
    </r>
    <r>
      <rPr>
        <sz val="11"/>
        <color theme="1"/>
        <rFont val="Calibri"/>
        <family val="2"/>
        <charset val="1"/>
      </rPr>
      <t xml:space="preserve">"the numbers aren't quite right"</t>
    </r>
  </si>
  <si>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WenQuanYi Zen Hei"/>
        <family val="2"/>
      </rPr>
      <t xml:space="preserve">、僅推論；不含 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Google</t>
    </r>
  </si>
  <si>
    <r>
      <rPr>
        <sz val="11"/>
        <color theme="1"/>
        <rFont val="WenQuanYi Zen Hei"/>
        <family val="2"/>
      </rPr>
      <t xml:space="preserve">非分母完整。注意：搜尋摘要顯示「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WenQuanYi Zen Hei"/>
        <family val="2"/>
      </rPr>
      <t xml:space="preserve">」可能是 </t>
    </r>
    <r>
      <rPr>
        <sz val="11"/>
        <color theme="1"/>
        <rFont val="Calibri"/>
        <family val="2"/>
        <charset val="1"/>
      </rPr>
      <t xml:space="preserve">2024–2025Q3 </t>
    </r>
    <r>
      <rPr>
        <sz val="11"/>
        <color theme="1"/>
        <rFont val="WenQuanYi Zen Hei"/>
        <family val="2"/>
      </rPr>
      <t xml:space="preserve">推論／算力款累計，而非訓練支出；現值分母中的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WenQuanYi Zen Hei"/>
        <family val="2"/>
      </rPr>
      <t xml:space="preserve">億（訓練）我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WenQuanYi Zen Hei"/>
        <family val="2"/>
      </rPr>
      <t xml:space="preserve">未能找到可證實來源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WenQuanYi Zen Hei"/>
        <family val="2"/>
      </rPr>
      <t xml:space="preserve">，疑與此混淆，請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WenQuanYi Zen Hei"/>
        <family val="2"/>
      </rPr>
      <t xml:space="preserve">端核對現值出處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</si>
  <si>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／洩漏文件（</t>
    </r>
    <r>
      <rPr>
        <sz val="11"/>
        <color theme="1"/>
        <rFont val="Calibri"/>
        <family val="2"/>
        <charset val="1"/>
      </rPr>
      <t xml:space="preserve">Ed Zitron </t>
    </r>
    <r>
      <rPr>
        <sz val="11"/>
        <color theme="1"/>
        <rFont val="WenQuanYi Zen Hei"/>
        <family val="2"/>
      </rPr>
      <t xml:space="preserve">取得），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否認部分</t>
    </r>
  </si>
  <si>
    <r>
      <rPr>
        <sz val="11"/>
        <color theme="1"/>
        <rFont val="Calibri"/>
        <family val="2"/>
        <charset val="1"/>
      </rPr>
      <t xml:space="preserve">Register </t>
    </r>
    <r>
      <rPr>
        <sz val="11"/>
        <color theme="1"/>
        <rFont val="WenQuanYi Zen Hei"/>
        <family val="2"/>
      </rPr>
      <t xml:space="preserve">已讀；</t>
    </r>
    <r>
      <rPr>
        <sz val="11"/>
        <color theme="1"/>
        <rFont val="Calibri"/>
        <family val="2"/>
        <charset val="1"/>
      </rPr>
      <t xml:space="preserve">Zitron </t>
    </r>
    <r>
      <rPr>
        <sz val="11"/>
        <color theme="1"/>
        <rFont val="WenQuanYi Zen Hei"/>
        <family val="2"/>
      </rPr>
      <t xml:space="preserve">原文未讀</t>
    </r>
  </si>
  <si>
    <t xml:space="preserve">採用（現值出處疑點）</t>
  </si>
  <si>
    <t xml:space="preserve">S6</t>
  </si>
  <si>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WenQuanYi Zen Hei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secondary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WenQuanYi Zen Hei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WenQuanYi Zen Hei"/>
        <family val="2"/>
      </rPr>
      <t xml:space="preserve">；例：</t>
    </r>
    <r>
      <rPr>
        <sz val="11"/>
        <color theme="1"/>
        <rFont val="Calibri"/>
        <family val="2"/>
        <charset val="1"/>
      </rPr>
      <t xml:space="preserve">https://www.tbsnews.net/node/1367561</t>
    </r>
  </si>
  <si>
    <r>
      <rPr>
        <sz val="11"/>
        <color theme="1"/>
        <rFont val="WenQuanYi Zen Hei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"expenses associated with running its AI models, referred to as inference, increased fourfold in 2025"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adjusted gross margin 40%→33%</t>
    </r>
  </si>
  <si>
    <r>
      <rPr>
        <sz val="11"/>
        <color theme="1"/>
        <rFont val="WenQuanYi Zen Hei"/>
        <family val="2"/>
      </rPr>
      <t xml:space="preserve">推論支出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WenQuanYi Zen Hei"/>
        <family val="2"/>
      </rPr>
      <t xml:space="preserve">倍；毛利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WenQuanYi Zen Hei"/>
        <family val="2"/>
      </rPr>
      <t xml:space="preserve">前總算力支出目標約 </t>
    </r>
    <r>
      <rPr>
        <sz val="11"/>
        <color theme="1"/>
        <rFont val="Calibri"/>
        <family val="2"/>
        <charset val="1"/>
      </rPr>
      <t xml:space="preserve">$600B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2026-02-20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</si>
  <si>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無訓練對推論拆分。可作為 </t>
    </r>
    <r>
      <rPr>
        <sz val="11"/>
        <color theme="1"/>
        <rFont val="Calibri"/>
        <family val="2"/>
        <charset val="1"/>
      </rPr>
      <t xml:space="preserve">Serve </t>
    </r>
    <r>
      <rPr>
        <sz val="11"/>
        <color theme="1"/>
        <rFont val="WenQuanYi Zen Hei"/>
        <family val="2"/>
      </rPr>
      <t xml:space="preserve">趨勢證據：推論支出成長快於總算力的程度未知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</si>
  <si>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對投資人說法）；</t>
    </r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WenQuanYi Zen Hei"/>
        <family val="2"/>
      </rPr>
      <t xml:space="preserve">前有誘因</t>
    </r>
  </si>
  <si>
    <t xml:space="preserve">S7</t>
  </si>
  <si>
    <r>
      <rPr>
        <sz val="11"/>
        <color theme="1"/>
        <rFont val="WenQuanYi Zen Hei"/>
        <family val="2"/>
      </rPr>
      <t xml:space="preserve">搜尋摘要所引 </t>
    </r>
    <r>
      <rPr>
        <sz val="11"/>
        <color theme="1"/>
        <rFont val="Calibri"/>
        <family val="2"/>
        <charset val="1"/>
      </rPr>
      <t xml:space="preserve">secondary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letsdatascience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the-decoder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</si>
  <si>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Brockman </t>
    </r>
    <r>
      <rPr>
        <sz val="11"/>
        <color theme="1"/>
        <rFont val="WenQuanYi Zen Hei"/>
        <family val="2"/>
      </rPr>
      <t xml:space="preserve">法庭證詞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算力支出 </t>
    </r>
    <r>
      <rPr>
        <sz val="11"/>
        <color theme="1"/>
        <rFont val="Calibri"/>
        <family val="2"/>
        <charset val="1"/>
      </rPr>
      <t xml:space="preserve">$50B</t>
    </r>
    <r>
      <rPr>
        <sz val="11"/>
        <color theme="1"/>
        <rFont val="WenQuanYi Zen Hei"/>
        <family val="2"/>
      </rPr>
      <t xml:space="preserve">；另有第三方稱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訓練 </t>
    </r>
    <r>
      <rPr>
        <sz val="11"/>
        <color theme="1"/>
        <rFont val="Calibri"/>
        <family val="2"/>
        <charset val="1"/>
      </rPr>
      <t xml:space="preserve">$32B</t>
    </r>
    <r>
      <rPr>
        <sz val="11"/>
        <color theme="1"/>
        <rFont val="WenQuanYi Zen Hei"/>
        <family val="2"/>
      </rPr>
      <t xml:space="preserve">、推論 </t>
    </r>
    <r>
      <rPr>
        <sz val="11"/>
        <color theme="1"/>
        <rFont val="Calibri"/>
        <family val="2"/>
        <charset val="1"/>
      </rPr>
      <t xml:space="preserve">$14.1B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tracker </t>
    </r>
    <r>
      <rPr>
        <sz val="11"/>
        <color theme="1"/>
        <rFont val="WenQuanYi Zen Hei"/>
        <family val="2"/>
      </rPr>
      <t xml:space="preserve">站，可靠度低）</t>
    </r>
  </si>
  <si>
    <r>
      <rPr>
        <sz val="11"/>
        <color theme="1"/>
        <rFont val="WenQuanYi Zen Hei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$32B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$14.1B </t>
    </r>
    <r>
      <rPr>
        <sz val="11"/>
        <color theme="1"/>
        <rFont val="WenQuanYi Zen Hei"/>
        <family val="2"/>
      </rPr>
      <t xml:space="preserve">屬實：</t>
    </r>
    <r>
      <rPr>
        <sz val="11"/>
        <color theme="1"/>
        <rFont val="Calibri"/>
        <family val="2"/>
        <charset val="1"/>
      </rPr>
      <t xml:space="preserve">Serve = 14.1÷46.1 = 0.31</t>
    </r>
  </si>
  <si>
    <r>
      <rPr>
        <sz val="11"/>
        <color theme="1"/>
        <rFont val="WenQuanYi Zen Hei"/>
        <family val="2"/>
      </rPr>
      <t xml:space="preserve">我多次搜尋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WenQuanYi Zen Hei"/>
        <family val="2"/>
      </rPr>
      <t xml:space="preserve">無法證實</t>
    </r>
    <r>
      <rPr>
        <sz val="11"/>
        <color theme="1"/>
        <rFont val="Calibri"/>
        <family val="2"/>
        <charset val="1"/>
      </rPr>
      <t xml:space="preserve">** $32B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$14.1B </t>
    </r>
    <r>
      <rPr>
        <sz val="11"/>
        <color theme="1"/>
        <rFont val="WenQuanYi Zen Hei"/>
        <family val="2"/>
      </rPr>
      <t xml:space="preserve">出處（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WenQuanYi Zen Hei"/>
        <family val="2"/>
      </rPr>
      <t xml:space="preserve">原文未取得）。僅供參考、不採用</t>
    </r>
  </si>
  <si>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WenQuanYi Zen Hei"/>
        <family val="2"/>
      </rPr>
      <t xml:space="preserve">／未證實</t>
    </r>
  </si>
  <si>
    <t xml:space="preserve">不採用（未證實）</t>
  </si>
  <si>
    <t xml:space="preserve">S8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</si>
  <si>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Lambda Finance, https://www.lambdafin.com/articles/anthropic-compute-costs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2026-06</t>
    </r>
  </si>
  <si>
    <r>
      <rPr>
        <sz val="11"/>
        <color theme="1"/>
        <rFont val="WenQuanYi Zen Hei"/>
        <family val="2"/>
      </rPr>
      <t xml:space="preserve">轉述：訓練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WenQuanYi Zen Hei"/>
        <family val="2"/>
      </rPr>
      <t xml:space="preserve">、推論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WenQuanYi Zen Hei"/>
        <family val="2"/>
      </rPr>
      <t xml:space="preserve">、研究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Lambda Finance </t>
    </r>
    <r>
      <rPr>
        <sz val="11"/>
        <color theme="1"/>
        <rFont val="WenQuanYi Zen Hei"/>
        <family val="2"/>
      </rPr>
      <t xml:space="preserve">彙整，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只是其輸入之一，非公司揭露）</t>
    </r>
  </si>
  <si>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WenQuanYi Zen Hei"/>
        <family val="2"/>
      </rPr>
      <t xml:space="preserve">算力支出占比</t>
    </r>
  </si>
  <si>
    <r>
      <rPr>
        <sz val="11"/>
        <color theme="1"/>
        <rFont val="WenQuanYi Zen Hei"/>
        <family val="2"/>
      </rPr>
      <t xml:space="preserve">若研究併入研發：</t>
    </r>
    <r>
      <rPr>
        <sz val="11"/>
        <color theme="1"/>
        <rFont val="Calibri"/>
        <family val="2"/>
        <charset val="1"/>
      </rPr>
      <t xml:space="preserve">Serve = 33%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為二手來源，不單獨採信</t>
    </r>
  </si>
  <si>
    <r>
      <rPr>
        <sz val="11"/>
        <color theme="1"/>
        <rFont val="Calibri"/>
        <family val="2"/>
        <charset val="1"/>
      </rPr>
      <t xml:space="preserve">[Analogy]</t>
    </r>
    <r>
      <rPr>
        <sz val="11"/>
        <color theme="1"/>
        <rFont val="WenQuanYi Zen Hei"/>
        <family val="2"/>
      </rPr>
      <t xml:space="preserve">／低可信</t>
    </r>
  </si>
  <si>
    <r>
      <rPr>
        <sz val="11"/>
        <color theme="1"/>
        <rFont val="WenQuanYi Zen Hei"/>
        <family val="2"/>
      </rPr>
      <t xml:space="preserve">不採用（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WenQuanYi Zen Hei"/>
        <family val="2"/>
      </rPr>
      <t xml:space="preserve">二手）</t>
    </r>
  </si>
  <si>
    <t xml:space="preserve">S9</t>
  </si>
  <si>
    <r>
      <rPr>
        <sz val="11"/>
        <color theme="1"/>
        <rFont val="Calibri"/>
        <family val="2"/>
        <charset val="1"/>
      </rPr>
      <t xml:space="preserve">Dario Amodei </t>
    </r>
    <r>
      <rPr>
        <sz val="11"/>
        <color theme="1"/>
        <rFont val="WenQuanYi Zen Hei"/>
        <family val="2"/>
      </rPr>
      <t xml:space="preserve">訪談轉述（搜尋摘要）；來源不明</t>
    </r>
  </si>
  <si>
    <r>
      <rPr>
        <sz val="11"/>
        <color theme="1"/>
        <rFont val="WenQuanYi Zen Hei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"roughly half of compute goes to training new models, half to serving inference"——**</t>
    </r>
    <r>
      <rPr>
        <sz val="11"/>
        <color theme="1"/>
        <rFont val="WenQuanYi Zen Hei"/>
        <family val="2"/>
      </rPr>
      <t xml:space="preserve">再次搜尋找不到原話</t>
    </r>
    <r>
      <rPr>
        <sz val="11"/>
        <color theme="1"/>
        <rFont val="Calibri"/>
        <family val="2"/>
        <charset val="1"/>
      </rPr>
      <t xml:space="preserve">**</t>
    </r>
  </si>
  <si>
    <t xml:space="preserve">Anthropic ≈ 0.50</t>
  </si>
  <si>
    <t xml:space="preserve">無法驗證，僅列為線索</t>
  </si>
  <si>
    <t xml:space="preserve">[Unverified]</t>
  </si>
  <si>
    <t xml:space="preserve">S10</t>
  </si>
  <si>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Erdil</t>
    </r>
    <r>
      <rPr>
        <sz val="11"/>
        <color theme="1"/>
        <rFont val="WenQuanYi Zen Hei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, "Optimally allocating compute between inference and training", https://epoch.ai/blog/optimally-allocating-compute-between-inference-and-training 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2024-03-29</t>
    </r>
  </si>
  <si>
    <t xml:space="preserve">轉述：成本最小化下訓練與推論支出趨向相等</t>
  </si>
  <si>
    <r>
      <rPr>
        <sz val="11"/>
        <color theme="1"/>
        <rFont val="WenQuanYi Zen Hei"/>
        <family val="2"/>
      </rPr>
      <t xml:space="preserve">理論：</t>
    </r>
    <r>
      <rPr>
        <sz val="11"/>
        <color theme="1"/>
        <rFont val="Calibri"/>
        <family val="2"/>
        <charset val="1"/>
      </rPr>
      <t xml:space="preserve">Serve → </t>
    </r>
    <r>
      <rPr>
        <sz val="11"/>
        <color theme="1"/>
        <rFont val="WenQuanYi Zen Hei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0.5</t>
    </r>
  </si>
  <si>
    <t xml:space="preserve">規範性理論，非實測；可作基準上緣的理論依據</t>
  </si>
  <si>
    <t xml:space="preserve">[Analogy]</t>
  </si>
  <si>
    <t xml:space="preserve">參考（理論）</t>
  </si>
  <si>
    <t xml:space="preserve">S11</t>
  </si>
  <si>
    <t xml:space="preserve">Cottier et al., Epoch "How much does it cost to train frontier AI models?", https://epoch.ai/publications/how-much-does-it-cost-to-train-frontier-ai-models</t>
  </si>
  <si>
    <r>
      <rPr>
        <sz val="11"/>
        <color theme="1"/>
        <rFont val="WenQuanYi Zen Hei"/>
        <family val="2"/>
      </rPr>
      <t xml:space="preserve">轉述：總開發成本＝最終訓練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WenQuanYi Zen Hei"/>
        <family val="2"/>
      </rPr>
      <t xml:space="preserve">實驗／評測／微調倍數，對數常態 </t>
    </r>
    <r>
      <rPr>
        <sz val="11"/>
        <color theme="1"/>
        <rFont val="Calibri"/>
        <family val="2"/>
        <charset val="1"/>
      </rPr>
      <t xml:space="preserve">90% CI 1.2×–4×</t>
    </r>
  </si>
  <si>
    <r>
      <rPr>
        <sz val="11"/>
        <color theme="1"/>
        <rFont val="WenQuanYi Zen Hei"/>
        <family val="2"/>
      </rPr>
      <t xml:space="preserve">最終訓練占研發算力約 </t>
    </r>
    <r>
      <rPr>
        <sz val="11"/>
        <color theme="1"/>
        <rFont val="Calibri"/>
        <family val="2"/>
        <charset val="1"/>
      </rPr>
      <t xml:space="preserve">25%–83%</t>
    </r>
  </si>
  <si>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9.6%–23%</t>
    </r>
    <r>
      <rPr>
        <sz val="11"/>
        <color theme="1"/>
        <rFont val="WenQuanYi Zen Hei"/>
        <family val="2"/>
      </rPr>
      <t xml:space="preserve">）相比倍數偏小，兩者不一致；只說明分母定義的不確定</t>
    </r>
  </si>
  <si>
    <t xml:space="preserve">[Derived]</t>
  </si>
  <si>
    <t xml:space="preserve">S12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</si>
  <si>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Sarah Friar </t>
    </r>
    <r>
      <rPr>
        <sz val="11"/>
        <color theme="1"/>
        <rFont val="WenQuanYi Zen Hei"/>
        <family val="2"/>
      </rPr>
      <t xml:space="preserve">部落格，</t>
    </r>
    <r>
      <rPr>
        <sz val="11"/>
        <color theme="1"/>
        <rFont val="Calibri"/>
        <family val="2"/>
        <charset val="1"/>
      </rPr>
      <t xml:space="preserve">2026-01-18</t>
    </r>
    <r>
      <rPr>
        <sz val="11"/>
        <color theme="1"/>
        <rFont val="WenQuanYi Zen Hei"/>
        <family val="2"/>
      </rPr>
      <t xml:space="preserve">；引 </t>
    </r>
    <r>
      <rPr>
        <sz val="11"/>
        <color theme="1"/>
        <rFont val="Calibri"/>
        <family val="2"/>
        <charset val="1"/>
      </rPr>
      <t xml:space="preserve">DCD https://datacenterdynamics.com/en/news/openai-cfo-says-company-ended-2025-with-19gw-of-compute-scaled-revenue-at-same-speed/</t>
    </r>
  </si>
  <si>
    <r>
      <rPr>
        <sz val="11"/>
        <color theme="1"/>
        <rFont val="WenQuanYi Zen Hei"/>
        <family val="2"/>
      </rPr>
      <t xml:space="preserve">轉述：算力 </t>
    </r>
    <r>
      <rPr>
        <sz val="11"/>
        <color theme="1"/>
        <rFont val="Calibri"/>
        <family val="2"/>
        <charset val="1"/>
      </rPr>
      <t xml:space="preserve">0.2 GW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WenQuanYi Zen Hei"/>
        <family val="2"/>
      </rPr>
      <t xml:space="preserve">）→</t>
    </r>
    <r>
      <rPr>
        <sz val="11"/>
        <color theme="1"/>
        <rFont val="Calibri"/>
        <family val="2"/>
        <charset val="1"/>
      </rPr>
      <t xml:space="preserve">0.6 GW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WenQuanYi Zen Hei"/>
        <family val="2"/>
      </rPr>
      <t xml:space="preserve">）→約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ARR $2B→$6B→$20B+</t>
    </r>
  </si>
  <si>
    <r>
      <rPr>
        <sz val="11"/>
        <color theme="1"/>
        <rFont val="WenQuanYi Zen Hei"/>
        <family val="2"/>
      </rPr>
      <t xml:space="preserve">總算力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時間序列；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WenQuanYi Zen Hei"/>
        <family val="2"/>
      </rPr>
      <t xml:space="preserve">無服務與研發拆分</t>
    </r>
    <r>
      <rPr>
        <sz val="11"/>
        <color theme="1"/>
        <rFont val="Calibri"/>
        <family val="2"/>
        <charset val="1"/>
      </rPr>
      <t xml:space="preserve">**</t>
    </r>
  </si>
  <si>
    <r>
      <rPr>
        <sz val="11"/>
        <color theme="1"/>
        <rFont val="WenQuanYi Zen Hei"/>
        <family val="2"/>
      </rPr>
      <t xml:space="preserve">可作分母（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口徑，含訓練與服務）；未說明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WenQuanYi Zen Hei"/>
        <family val="2"/>
      </rPr>
      <t xml:space="preserve">或設施電力，口徑未明</t>
    </r>
  </si>
  <si>
    <t xml:space="preserve">[Interested-party]</t>
  </si>
  <si>
    <r>
      <rPr>
        <sz val="11"/>
        <color theme="1"/>
        <rFont val="WenQuanYi Zen Hei"/>
        <family val="2"/>
      </rPr>
      <t xml:space="preserve">搜尋摘要多處一致，原文 </t>
    </r>
    <r>
      <rPr>
        <sz val="11"/>
        <color theme="1"/>
        <rFont val="Calibri"/>
        <family val="2"/>
        <charset val="1"/>
      </rPr>
      <t xml:space="preserve">403 </t>
    </r>
    <r>
      <rPr>
        <sz val="11"/>
        <color theme="1"/>
        <rFont val="WenQuanYi Zen Hei"/>
        <family val="2"/>
      </rPr>
      <t xml:space="preserve">未讀</t>
    </r>
  </si>
  <si>
    <r>
      <rPr>
        <sz val="11"/>
        <color theme="1"/>
        <rFont val="WenQuanYi Zen Hei"/>
        <family val="2"/>
      </rPr>
      <t xml:space="preserve">參考（分母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）</t>
    </r>
  </si>
  <si>
    <t xml:space="preserve">S13</t>
  </si>
  <si>
    <r>
      <rPr>
        <sz val="11"/>
        <color theme="1"/>
        <rFont val="Calibri"/>
        <family val="2"/>
        <charset val="1"/>
      </rPr>
      <t xml:space="preserve">Brockman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Friar </t>
    </r>
    <r>
      <rPr>
        <sz val="11"/>
        <color theme="1"/>
        <rFont val="WenQuanYi Zen Hei"/>
        <family val="2"/>
      </rPr>
      <t xml:space="preserve">說法（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letsdatascience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startupfortune </t>
    </r>
    <r>
      <rPr>
        <sz val="11"/>
        <color theme="1"/>
        <rFont val="WenQuanYi Zen Hei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</si>
  <si>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轉述：研究團隊與應用團隊之總分配由 </t>
    </r>
    <r>
      <rPr>
        <sz val="11"/>
        <color theme="1"/>
        <rFont val="Calibri"/>
        <family val="2"/>
        <charset val="1"/>
      </rPr>
      <t xml:space="preserve">Altman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Simo </t>
    </r>
    <r>
      <rPr>
        <sz val="11"/>
        <color theme="1"/>
        <rFont val="WenQuanYi Zen Hei"/>
        <family val="2"/>
      </rPr>
      <t xml:space="preserve">決定；為滿足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WenQuanYi Zen Hei"/>
        <family val="2"/>
      </rPr>
      <t xml:space="preserve">月影像生成需求</t>
    </r>
    <r>
      <rPr>
        <sz val="11"/>
        <color theme="1"/>
        <rFont val="Calibri"/>
        <family val="2"/>
        <charset val="1"/>
      </rPr>
      <t xml:space="preserve">"diverted compute from research"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"very painful"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Friar</t>
    </r>
    <r>
      <rPr>
        <sz val="11"/>
        <color theme="1"/>
        <rFont val="WenQuanYi Zen Hei"/>
        <family val="2"/>
      </rPr>
      <t xml:space="preserve">：因算力不足婉拒機會</t>
    </r>
  </si>
  <si>
    <t xml:space="preserve">無數字</t>
  </si>
  <si>
    <r>
      <rPr>
        <sz val="11"/>
        <color theme="1"/>
        <rFont val="WenQuanYi Zen Hei"/>
        <family val="2"/>
      </rPr>
      <t xml:space="preserve">質性：服務需求可擠壓研究算力，代表 </t>
    </r>
    <r>
      <rPr>
        <sz val="11"/>
        <color theme="1"/>
        <rFont val="Calibri"/>
        <family val="2"/>
        <charset val="1"/>
      </rPr>
      <t xml:space="preserve">Serve </t>
    </r>
    <r>
      <rPr>
        <sz val="11"/>
        <color theme="1"/>
        <rFont val="WenQuanYi Zen Hei"/>
        <family val="2"/>
      </rPr>
      <t xml:space="preserve">在短缺期上升</t>
    </r>
  </si>
  <si>
    <t xml:space="preserve">S14</t>
  </si>
  <si>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服務公開資料（</t>
    </r>
    <r>
      <rPr>
        <sz val="11"/>
        <color theme="1"/>
        <rFont val="Calibri"/>
        <family val="2"/>
        <charset val="1"/>
      </rPr>
      <t xml:space="preserve">Atlas Cloud </t>
    </r>
    <r>
      <rPr>
        <sz val="11"/>
        <color theme="1"/>
        <rFont val="WenQuanYi Zen Hei"/>
        <family val="2"/>
      </rPr>
      <t xml:space="preserve">轉述）；</t>
    </r>
    <r>
      <rPr>
        <sz val="11"/>
        <color theme="1"/>
        <rFont val="Calibri"/>
        <family val="2"/>
        <charset val="1"/>
      </rPr>
      <t xml:space="preserve">2025-03</t>
    </r>
  </si>
  <si>
    <r>
      <rPr>
        <sz val="11"/>
        <color theme="1"/>
        <rFont val="WenQuanYi Zen Hei"/>
        <family val="2"/>
      </rPr>
      <t xml:space="preserve">轉述：白天全部節點供推論，夜間縮減推論節點改作研究與訓練；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WenQuanYi Zen Hei"/>
        <family val="2"/>
      </rPr>
      <t xml:space="preserve">小時內 </t>
    </r>
    <r>
      <rPr>
        <sz val="11"/>
        <color theme="1"/>
        <rFont val="Calibri"/>
        <family val="2"/>
        <charset val="1"/>
      </rPr>
      <t xml:space="preserve">V3</t>
    </r>
    <r>
      <rPr>
        <sz val="11"/>
        <color theme="1"/>
        <rFont val="WenQuanYi Zen Hei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WenQuanYi Zen Hei"/>
        <family val="2"/>
      </rPr>
      <t xml:space="preserve">峰值 </t>
    </r>
    <r>
      <rPr>
        <sz val="11"/>
        <color theme="1"/>
        <rFont val="Calibri"/>
        <family val="2"/>
        <charset val="1"/>
      </rPr>
      <t xml:space="preserve">278 </t>
    </r>
    <r>
      <rPr>
        <sz val="11"/>
        <color theme="1"/>
        <rFont val="WenQuanYi Zen Hei"/>
        <family val="2"/>
      </rPr>
      <t xml:space="preserve">節點、平均 </t>
    </r>
    <r>
      <rPr>
        <sz val="11"/>
        <color theme="1"/>
        <rFont val="Calibri"/>
        <family val="2"/>
        <charset val="1"/>
      </rPr>
      <t xml:space="preserve">226.75 </t>
    </r>
    <r>
      <rPr>
        <sz val="11"/>
        <color theme="1"/>
        <rFont val="WenQuanYi Zen Hei"/>
        <family val="2"/>
      </rPr>
      <t xml:space="preserve">節點（每節點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WenQuanYi Zen Hei"/>
        <family val="2"/>
      </rPr>
      <t xml:space="preserve">張 </t>
    </r>
    <r>
      <rPr>
        <sz val="11"/>
        <color theme="1"/>
        <rFont val="Calibri"/>
        <family val="2"/>
        <charset val="1"/>
      </rPr>
      <t xml:space="preserve">H800</t>
    </r>
    <r>
      <rPr>
        <sz val="11"/>
        <color theme="1"/>
        <rFont val="WenQuanYi Zen Hei"/>
        <family val="2"/>
      </rPr>
      <t xml:space="preserve">）</t>
    </r>
  </si>
  <si>
    <t xml:space="preserve">服務算力以節點數表示，無總機隊大小</t>
  </si>
  <si>
    <r>
      <rPr>
        <sz val="11"/>
        <color theme="1"/>
        <rFont val="WenQuanYi Zen Hei"/>
        <family val="2"/>
      </rPr>
      <t xml:space="preserve">無分母（訓練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數）。僅說明機隊可日夜共用，</t>
    </r>
    <r>
      <rPr>
        <sz val="11"/>
        <color theme="1"/>
        <rFont val="Calibri"/>
        <family val="2"/>
        <charset val="1"/>
      </rPr>
      <t xml:space="preserve">B4 </t>
    </r>
    <r>
      <rPr>
        <sz val="11"/>
        <color theme="1"/>
        <rFont val="WenQuanYi Zen Hei"/>
        <family val="2"/>
      </rPr>
      <t xml:space="preserve">以時間平均看；不能換算占比</t>
    </r>
  </si>
  <si>
    <r>
      <rPr>
        <sz val="11"/>
        <color theme="1"/>
        <rFont val="Calibri"/>
        <family val="2"/>
        <charset val="1"/>
      </rPr>
      <t xml:space="preserve">[Verified]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自揭）但為二手轉載</t>
    </r>
  </si>
  <si>
    <t xml:space="preserve">S15</t>
  </si>
  <si>
    <r>
      <rPr>
        <sz val="11"/>
        <color theme="1"/>
        <rFont val="Calibri"/>
        <family val="2"/>
        <charset val="1"/>
      </rPr>
      <t xml:space="preserve">Alphabet Q1 2026 </t>
    </r>
    <r>
      <rPr>
        <sz val="11"/>
        <color theme="1"/>
        <rFont val="WenQuanYi Zen Hei"/>
        <family val="2"/>
      </rPr>
      <t xml:space="preserve">電話會議（</t>
    </r>
    <r>
      <rPr>
        <sz val="11"/>
        <color theme="1"/>
        <rFont val="Calibri"/>
        <family val="2"/>
        <charset val="1"/>
      </rPr>
      <t xml:space="preserve">fool.com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vectorshift </t>
    </r>
    <r>
      <rPr>
        <sz val="11"/>
        <color theme="1"/>
        <rFont val="WenQuanYi Zen Hei"/>
        <family val="2"/>
      </rPr>
      <t xml:space="preserve">摘要）；</t>
    </r>
    <r>
      <rPr>
        <sz val="11"/>
        <color theme="1"/>
        <rFont val="Calibri"/>
        <family val="2"/>
        <charset val="1"/>
      </rPr>
      <t xml:space="preserve">2026-04-29</t>
    </r>
  </si>
  <si>
    <r>
      <rPr>
        <sz val="11"/>
        <color theme="1"/>
        <rFont val="WenQuanYi Zen Hei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Pichai "compute-constrained in the near term"</t>
    </r>
    <r>
      <rPr>
        <sz val="11"/>
        <color theme="1"/>
        <rFont val="WenQuanYi Zen Hei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ROIC </t>
    </r>
    <r>
      <rPr>
        <sz val="11"/>
        <color theme="1"/>
        <rFont val="WenQuanYi Zen Hei"/>
        <family val="2"/>
      </rPr>
      <t xml:space="preserve">框架在模型訓練、</t>
    </r>
    <r>
      <rPr>
        <sz val="11"/>
        <color theme="1"/>
        <rFont val="Calibri"/>
        <family val="2"/>
        <charset val="1"/>
      </rPr>
      <t xml:space="preserve">Search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YouTube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Cloud </t>
    </r>
    <r>
      <rPr>
        <sz val="11"/>
        <color theme="1"/>
        <rFont val="WenQuanYi Zen Hei"/>
        <family val="2"/>
      </rPr>
      <t xml:space="preserve">間分配稀缺算力</t>
    </r>
  </si>
  <si>
    <t xml:space="preserve">無百分比</t>
  </si>
  <si>
    <r>
      <rPr>
        <sz val="11"/>
        <color theme="1"/>
        <rFont val="WenQuanYi Zen Hei"/>
        <family val="2"/>
      </rPr>
      <t xml:space="preserve">無數字；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WenQuanYi Zen Hei"/>
        <family val="2"/>
      </rPr>
      <t xml:space="preserve">未揭露訓練／推論占比</t>
    </r>
  </si>
  <si>
    <t xml:space="preserve">S16</t>
  </si>
  <si>
    <r>
      <rPr>
        <sz val="11"/>
        <color theme="1"/>
        <rFont val="Calibri"/>
        <family val="2"/>
        <charset val="1"/>
      </rPr>
      <t xml:space="preserve">Meta Q4 2025 </t>
    </r>
    <r>
      <rPr>
        <sz val="11"/>
        <color theme="1"/>
        <rFont val="WenQuanYi Zen Hei"/>
        <family val="2"/>
      </rPr>
      <t xml:space="preserve">電話會議；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itiger </t>
    </r>
    <r>
      <rPr>
        <sz val="11"/>
        <color theme="1"/>
        <rFont val="WenQuanYi Zen Hei"/>
        <family val="2"/>
      </rPr>
      <t xml:space="preserve">轉載）</t>
    </r>
  </si>
  <si>
    <r>
      <rPr>
        <sz val="11"/>
        <color theme="1"/>
        <rFont val="WenQuanYi Zen Hei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Zuckerberg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WenQuanYi Zen Hei"/>
        <family val="2"/>
      </rPr>
      <t xml:space="preserve">大部分時間算力</t>
    </r>
    <r>
      <rPr>
        <sz val="11"/>
        <color theme="1"/>
        <rFont val="Calibri"/>
        <family val="2"/>
        <charset val="1"/>
      </rPr>
      <t xml:space="preserve">"somewhat constrained"</t>
    </r>
    <r>
      <rPr>
        <sz val="11"/>
        <color theme="1"/>
        <rFont val="WenQuanYi Zen Hei"/>
        <family val="2"/>
      </rPr>
      <t xml:space="preserve">；廣告推論用較小模型</t>
    </r>
  </si>
  <si>
    <t xml:space="preserve">S17</t>
  </si>
  <si>
    <r>
      <rPr>
        <sz val="11"/>
        <color theme="1"/>
        <rFont val="Calibri"/>
        <family val="2"/>
        <charset val="1"/>
      </rPr>
      <t xml:space="preserve">Microsoft FY25Q1 </t>
    </r>
    <r>
      <rPr>
        <sz val="11"/>
        <color theme="1"/>
        <rFont val="WenQuanYi Zen Hei"/>
        <family val="2"/>
      </rPr>
      <t xml:space="preserve">電話會議（</t>
    </r>
    <r>
      <rPr>
        <sz val="11"/>
        <color theme="1"/>
        <rFont val="Calibri"/>
        <family val="2"/>
        <charset val="1"/>
      </rPr>
      <t xml:space="preserve">The Register 2024-10-31 </t>
    </r>
    <r>
      <rPr>
        <sz val="11"/>
        <color theme="1"/>
        <rFont val="WenQuanYi Zen Hei"/>
        <family val="2"/>
      </rPr>
      <t xml:space="preserve">轉述）</t>
    </r>
  </si>
  <si>
    <r>
      <rPr>
        <sz val="11"/>
        <color theme="1"/>
        <rFont val="WenQuanYi Zen Hei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Nadella </t>
    </r>
    <r>
      <rPr>
        <sz val="11"/>
        <color theme="1"/>
        <rFont val="WenQuanYi Zen Hei"/>
        <family val="2"/>
      </rPr>
      <t xml:space="preserve">稱不出租裸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供他人訓練，因推論需求高</t>
    </r>
  </si>
  <si>
    <t xml:space="preserve">質性：雲端業者偏重推論</t>
  </si>
  <si>
    <t xml:space="preserve">S18</t>
  </si>
  <si>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model/20261023_Tokenomics_v20.1.xlsx SRC_Demand </t>
    </r>
    <r>
      <rPr>
        <sz val="11"/>
        <color theme="1"/>
        <rFont val="WenQuanYi Zen Hei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SRC_DEM_006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</si>
  <si>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來源欄僅寫 </t>
    </r>
    <r>
      <rPr>
        <sz val="11"/>
        <color theme="1"/>
        <rFont val="Calibri"/>
        <family val="2"/>
        <charset val="1"/>
      </rPr>
      <t xml:space="preserve">openai_token_revenue.json</t>
    </r>
    <r>
      <rPr>
        <sz val="11"/>
        <color theme="1"/>
        <rFont val="WenQuanYi Zen Hei"/>
        <family val="2"/>
      </rPr>
      <t xml:space="preserve">（內部檔）</t>
    </r>
  </si>
  <si>
    <r>
      <rPr>
        <sz val="11"/>
        <color theme="1"/>
        <rFont val="WenQuanYi Zen Hei"/>
        <family val="2"/>
      </rPr>
      <t xml:space="preserve">訓練支出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WenQuanYi Zen Hei"/>
        <family val="2"/>
      </rPr>
      <t xml:space="preserve">（約值）</t>
    </r>
  </si>
  <si>
    <r>
      <rPr>
        <sz val="11"/>
        <color theme="1"/>
        <rFont val="WenQuanYi Zen Hei"/>
        <family val="2"/>
      </rPr>
      <t xml:space="preserve">支出口徑，</t>
    </r>
    <r>
      <rPr>
        <sz val="11"/>
        <color theme="1"/>
        <rFont val="Calibri"/>
        <family val="2"/>
        <charset val="1"/>
      </rPr>
      <t xml:space="preserve">OpenAI 2025 </t>
    </r>
    <r>
      <rPr>
        <sz val="11"/>
        <color theme="1"/>
        <rFont val="WenQuanYi Zen Hei"/>
        <family val="2"/>
      </rPr>
      <t xml:space="preserve">年度</t>
    </r>
  </si>
  <si>
    <r>
      <rPr>
        <sz val="11"/>
        <color theme="1"/>
        <rFont val="WenQuanYi Zen Hei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0.41 </t>
    </r>
    <r>
      <rPr>
        <sz val="11"/>
        <color theme="1"/>
        <rFont val="WenQuanYi Zen Hei"/>
        <family val="2"/>
      </rPr>
      <t xml:space="preserve">的分母之一；原始外部出處本段查不到（子代理搜尋亦同）。活頁簿 </t>
    </r>
    <r>
      <rPr>
        <sz val="11"/>
        <color theme="1"/>
        <rFont val="Calibri"/>
        <family val="2"/>
        <charset val="1"/>
      </rPr>
      <t xml:space="preserve">v17.2 </t>
    </r>
    <r>
      <rPr>
        <sz val="11"/>
        <color theme="1"/>
        <rFont val="WenQuanYi Zen Hei"/>
        <family val="2"/>
      </rPr>
      <t xml:space="preserve">已記載「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WenQuanYi Zen Hei"/>
        <family val="2"/>
      </rPr>
      <t xml:space="preserve">組查詢未找到」，非本段新發現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</si>
  <si>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，等級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；出處待補</t>
    </r>
  </si>
  <si>
    <t xml:space="preserve">已讀（活頁簿）</t>
  </si>
  <si>
    <t xml:space="preserve">S19</t>
  </si>
  <si>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SRC_Demand </t>
    </r>
    <r>
      <rPr>
        <sz val="11"/>
        <color theme="1"/>
        <rFont val="WenQuanYi Zen Hei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WenQuanYi Zen Hei"/>
        <family val="2"/>
      </rPr>
      <t xml:space="preserve">列（</t>
    </r>
    <r>
      <rPr>
        <sz val="11"/>
        <color theme="1"/>
        <rFont val="Calibri"/>
        <family val="2"/>
        <charset val="1"/>
      </rPr>
      <t xml:space="preserve">SRC_DEM_018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WenQuanYi Zen Hei"/>
        <family val="2"/>
      </rPr>
      <t xml:space="preserve">帳單，</t>
    </r>
    <r>
      <rPr>
        <sz val="11"/>
        <color theme="1"/>
        <rFont val="Calibri"/>
        <family val="2"/>
        <charset val="1"/>
      </rPr>
      <t xml:space="preserve">Where's Your Ed At 2025-11-12</t>
    </r>
    <r>
      <rPr>
        <sz val="11"/>
        <color theme="1"/>
        <rFont val="WenQuanYi Zen Hei"/>
        <family val="2"/>
      </rPr>
      <t xml:space="preserve">，二手）</t>
    </r>
  </si>
  <si>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$12.6B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12.3–13.0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</si>
  <si>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支出口徑，含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利潤與資本回收；</t>
    </r>
    <r>
      <rPr>
        <sz val="11"/>
        <color theme="1"/>
        <rFont val="Calibri"/>
        <family val="2"/>
        <charset val="1"/>
      </rPr>
      <t xml:space="preserve">Q1–Q3 </t>
    </r>
    <r>
      <rPr>
        <sz val="11"/>
        <color theme="1"/>
        <rFont val="WenQuanYi Zen Hei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8.67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WenQuanYi Zen Hei"/>
        <family val="2"/>
      </rPr>
      <t xml:space="preserve">推估</t>
    </r>
  </si>
  <si>
    <r>
      <rPr>
        <sz val="11"/>
        <color theme="1"/>
        <rFont val="WenQuanYi Zen Hei"/>
        <family val="2"/>
      </rPr>
      <t xml:space="preserve">若代入 </t>
    </r>
    <r>
      <rPr>
        <sz val="11"/>
        <color theme="1"/>
        <rFont val="Calibri"/>
        <family val="2"/>
        <charset val="1"/>
      </rPr>
      <t xml:space="preserve">B4_Serve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12.6/(12.6+12)=0.51</t>
    </r>
    <r>
      <rPr>
        <sz val="11"/>
        <color theme="1"/>
        <rFont val="WenQuanYi Zen Hei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S3</t>
    </r>
    <r>
      <rPr>
        <sz val="11"/>
        <color theme="1"/>
        <rFont val="WenQuanYi Zen Hei"/>
        <family val="2"/>
      </rPr>
      <t xml:space="preserve">「約各半」同向。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WenQuanYi Zen Hei"/>
        <family val="2"/>
      </rPr>
      <t xml:space="preserve">雙重計入警告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WenQuanYi Zen Hei"/>
        <family val="2"/>
      </rPr>
      <t xml:space="preserve">（獨立查核指出；活頁簿 </t>
    </r>
    <r>
      <rPr>
        <sz val="11"/>
        <color theme="1"/>
        <rFont val="Calibri"/>
        <family val="2"/>
        <charset val="1"/>
      </rPr>
      <t xml:space="preserve">SRC_DEM_018 </t>
    </r>
    <r>
      <rPr>
        <sz val="11"/>
        <color theme="1"/>
        <rFont val="WenQuanYi Zen Hei"/>
        <family val="2"/>
      </rPr>
      <t xml:space="preserve">備註 </t>
    </r>
    <r>
      <rPr>
        <sz val="11"/>
        <color theme="1"/>
        <rFont val="Calibri"/>
        <family val="2"/>
        <charset val="1"/>
      </rPr>
      <t xml:space="preserve">v5.36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v15.2</t>
    </r>
    <r>
      <rPr>
        <sz val="11"/>
        <color theme="1"/>
        <rFont val="WenQuanYi Zen Hei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12.6 </t>
    </r>
    <r>
      <rPr>
        <sz val="11"/>
        <color theme="1"/>
        <rFont val="WenQuanYi Zen Hei"/>
        <family val="2"/>
      </rPr>
      <t xml:space="preserve">中約 </t>
    </r>
    <r>
      <rPr>
        <sz val="11"/>
        <color theme="1"/>
        <rFont val="Calibri"/>
        <family val="2"/>
        <charset val="1"/>
      </rPr>
      <t xml:space="preserve">$6.55B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65.5 </t>
    </r>
    <r>
      <rPr>
        <sz val="11"/>
        <color theme="1"/>
        <rFont val="WenQuanYi Zen Hei"/>
        <family val="2"/>
      </rPr>
      <t xml:space="preserve">億美元）未進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營業成本，最可能是研究推論，分子含研究、分母又含訓練；且含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加價。故 </t>
    </r>
    <r>
      <rPr>
        <sz val="11"/>
        <color theme="1"/>
        <rFont val="Calibri"/>
        <family val="2"/>
        <charset val="1"/>
      </rPr>
      <t xml:space="preserve">0.51 </t>
    </r>
    <r>
      <rPr>
        <sz val="11"/>
        <color theme="1"/>
        <rFont val="WenQuanYi Zen Hei"/>
        <family val="2"/>
      </rPr>
      <t xml:space="preserve">只作方向，不作範圍上緣的證據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</si>
  <si>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，二手</t>
    </r>
  </si>
  <si>
    <r>
      <rPr>
        <b val="true"/>
        <sz val="11"/>
        <rFont val="Cambria"/>
        <family val="0"/>
        <charset val="1"/>
      </rPr>
      <t xml:space="preserve">C. B4_Free</t>
    </r>
    <r>
      <rPr>
        <b val="true"/>
        <sz val="11"/>
        <rFont val="WenQuanYi Zen Hei"/>
        <family val="2"/>
      </rPr>
      <t xml:space="preserve">（來源：服務占比證據</t>
    </r>
    <r>
      <rPr>
        <b val="true"/>
        <sz val="11"/>
        <rFont val="Cambria"/>
        <family val="0"/>
        <charset val="1"/>
      </rPr>
      <t xml:space="preserve">_</t>
    </r>
    <r>
      <rPr>
        <b val="true"/>
        <sz val="11"/>
        <rFont val="WenQuanYi Zen Hei"/>
        <family val="2"/>
      </rPr>
      <t xml:space="preserve">原稿</t>
    </r>
    <r>
      <rPr>
        <b val="true"/>
        <sz val="11"/>
        <rFont val="Cambria"/>
        <family val="0"/>
        <charset val="1"/>
      </rPr>
      <t xml:space="preserve">.md</t>
    </r>
    <r>
      <rPr>
        <b val="true"/>
        <sz val="11"/>
        <rFont val="WenQuanYi Zen Hei"/>
        <family val="2"/>
      </rPr>
      <t xml:space="preserve">）</t>
    </r>
  </si>
  <si>
    <t xml:space="preserve">F1</t>
  </si>
  <si>
    <t xml:space="preserve">B4_Free</t>
  </si>
  <si>
    <r>
      <rPr>
        <sz val="11"/>
        <color theme="1"/>
        <rFont val="Calibri"/>
        <family val="2"/>
        <charset val="1"/>
      </rPr>
      <t xml:space="preserve">The Information 2026-02</t>
    </r>
    <r>
      <rPr>
        <sz val="11"/>
        <color theme="1"/>
        <rFont val="WenQuanYi Zen Hei"/>
        <family val="2"/>
      </rPr>
      <t xml:space="preserve">（現值來源，使用者提供）</t>
    </r>
  </si>
  <si>
    <t xml:space="preserve">——</t>
  </si>
  <si>
    <r>
      <rPr>
        <sz val="11"/>
        <color theme="1"/>
        <rFont val="WenQuanYi Zen Hei"/>
        <family val="2"/>
      </rPr>
      <t xml:space="preserve">非付費用戶推論 </t>
    </r>
    <r>
      <rPr>
        <sz val="11"/>
        <color theme="1"/>
        <rFont val="Calibri"/>
        <family val="2"/>
        <charset val="1"/>
      </rPr>
      <t xml:space="preserve">$3.9B ÷ </t>
    </r>
    <r>
      <rPr>
        <sz val="11"/>
        <color theme="1"/>
        <rFont val="WenQuanYi Zen Hei"/>
        <family val="2"/>
      </rPr>
      <t xml:space="preserve">總推論 </t>
    </r>
    <r>
      <rPr>
        <sz val="11"/>
        <color theme="1"/>
        <rFont val="Calibri"/>
        <family val="2"/>
        <charset val="1"/>
      </rPr>
      <t xml:space="preserve">$8.4B = 0.464</t>
    </r>
  </si>
  <si>
    <r>
      <rPr>
        <sz val="11"/>
        <color theme="1"/>
        <rFont val="WenQuanYi Zen Hei"/>
        <family val="2"/>
      </rPr>
      <t xml:space="preserve">本次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WenQuanYi Zen Hei"/>
        <family val="2"/>
      </rPr>
      <t xml:space="preserve">多次搜尋未能找到</t>
    </r>
    <r>
      <rPr>
        <sz val="11"/>
        <color theme="1"/>
        <rFont val="Calibri"/>
        <family val="2"/>
        <charset val="1"/>
      </rPr>
      <t xml:space="preserve">** "$3.9 billion" </t>
    </r>
    <r>
      <rPr>
        <sz val="11"/>
        <color theme="1"/>
        <rFont val="WenQuanYi Zen Hei"/>
        <family val="2"/>
      </rPr>
      <t xml:space="preserve">原文（付費牆）。無法獨立驗證</t>
    </r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</si>
  <si>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（未驗證）</t>
    </r>
  </si>
  <si>
    <t xml:space="preserve">未讀原文</t>
  </si>
  <si>
    <t xml:space="preserve">採用（唯一直接證據，未獨立驗證）</t>
  </si>
  <si>
    <t xml:space="preserve">F2</t>
  </si>
  <si>
    <r>
      <rPr>
        <sz val="11"/>
        <color theme="1"/>
        <rFont val="WenQuanYi Zen Hei"/>
        <family val="2"/>
      </rPr>
      <t xml:space="preserve">搜尋摘要所引 </t>
    </r>
    <r>
      <rPr>
        <sz val="11"/>
        <color theme="1"/>
        <rFont val="Calibri"/>
        <family val="2"/>
        <charset val="1"/>
      </rPr>
      <t xml:space="preserve">secondary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getairefs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wisernotify </t>
    </r>
    <r>
      <rPr>
        <sz val="11"/>
        <color theme="1"/>
        <rFont val="WenQuanYi Zen Hei"/>
        <family val="2"/>
      </rPr>
      <t xml:space="preserve">等 </t>
    </r>
    <r>
      <rPr>
        <sz val="11"/>
        <color theme="1"/>
        <rFont val="Calibri"/>
        <family val="2"/>
        <charset val="1"/>
      </rPr>
      <t xml:space="preserve">SEO </t>
    </r>
    <r>
      <rPr>
        <sz val="11"/>
        <color theme="1"/>
        <rFont val="WenQuanYi Zen Hei"/>
        <family val="2"/>
      </rPr>
      <t xml:space="preserve">站）；</t>
    </r>
    <r>
      <rPr>
        <sz val="11"/>
        <color theme="1"/>
        <rFont val="Calibri"/>
        <family val="2"/>
        <charset val="1"/>
      </rPr>
      <t xml:space="preserve">2026-06</t>
    </r>
  </si>
  <si>
    <r>
      <rPr>
        <sz val="11"/>
        <color theme="1"/>
        <rFont val="WenQuanYi Zen Hei"/>
        <family val="2"/>
      </rPr>
      <t xml:space="preserve">轉述：約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億月活（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WenQuanYi Zen Hei"/>
        <family val="2"/>
      </rPr>
      <t xml:space="preserve">）、約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WenQuanYi Zen Hei"/>
        <family val="2"/>
      </rPr>
      <t xml:space="preserve">億週活；付費訂閱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WenQuanYi Zen Hei"/>
        <family val="2"/>
      </rPr>
      <t xml:space="preserve">萬（約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WenQuanYi Zen Hei"/>
        <family val="2"/>
      </rPr>
      <t xml:space="preserve">）；另一站稱免費層約占活躍用戶 </t>
    </r>
    <r>
      <rPr>
        <sz val="11"/>
        <color theme="1"/>
        <rFont val="Calibri"/>
        <family val="2"/>
        <charset val="1"/>
      </rPr>
      <t xml:space="preserve">81%</t>
    </r>
    <r>
      <rPr>
        <sz val="11"/>
        <color theme="1"/>
        <rFont val="WenQuanYi Zen Hei"/>
        <family val="2"/>
      </rPr>
      <t xml:space="preserve">（獨立查核無法復現，只找到約 </t>
    </r>
    <r>
      <rPr>
        <sz val="11"/>
        <color theme="1"/>
        <rFont val="Calibri"/>
        <family val="2"/>
        <charset val="1"/>
      </rPr>
      <t xml:space="preserve">94%–95%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Go </t>
    </r>
    <r>
      <rPr>
        <sz val="11"/>
        <color theme="1"/>
        <rFont val="WenQuanYi Zen Hei"/>
        <family val="2"/>
      </rPr>
      <t xml:space="preserve">層將占付費訂閱 </t>
    </r>
    <r>
      <rPr>
        <sz val="11"/>
        <color theme="1"/>
        <rFont val="Calibri"/>
        <family val="2"/>
        <charset val="1"/>
      </rPr>
      <t xml:space="preserve">92%</t>
    </r>
  </si>
  <si>
    <r>
      <rPr>
        <sz val="11"/>
        <color theme="1"/>
        <rFont val="WenQuanYi Zen Hei"/>
        <family val="2"/>
      </rPr>
      <t xml:space="preserve">用戶數口徑：免費 </t>
    </r>
    <r>
      <rPr>
        <sz val="11"/>
        <color theme="1"/>
        <rFont val="Calibri"/>
        <family val="2"/>
        <charset val="1"/>
      </rPr>
      <t xml:space="preserve">81%–95%</t>
    </r>
  </si>
  <si>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WenQuanYi Zen Hei"/>
        <family val="2"/>
      </rPr>
      <t xml:space="preserve">用戶數占比≠算力占比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WenQuanYi Zen Hei"/>
        <family val="2"/>
      </rPr>
      <t xml:space="preserve">：免費用戶訊息少、模型較便宜（路由到小模型），故算力／支出占比應低於用戶占比（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WenQuanYi Zen Hei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F1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46% </t>
    </r>
    <r>
      <rPr>
        <sz val="11"/>
        <color theme="1"/>
        <rFont val="WenQuanYi Zen Hei"/>
        <family val="2"/>
      </rPr>
      <t xml:space="preserve">位於其下</t>
    </r>
  </si>
  <si>
    <r>
      <rPr>
        <sz val="11"/>
        <color theme="1"/>
        <rFont val="Calibri"/>
        <family val="2"/>
        <charset val="1"/>
      </rPr>
      <t xml:space="preserve">[Analogy]</t>
    </r>
    <r>
      <rPr>
        <sz val="11"/>
        <color theme="1"/>
        <rFont val="WenQuanYi Zen Hei"/>
        <family val="2"/>
      </rPr>
      <t xml:space="preserve">／低可信（</t>
    </r>
    <r>
      <rPr>
        <sz val="11"/>
        <color theme="1"/>
        <rFont val="Calibri"/>
        <family val="2"/>
        <charset val="1"/>
      </rPr>
      <t xml:space="preserve">SEO </t>
    </r>
    <r>
      <rPr>
        <sz val="11"/>
        <color theme="1"/>
        <rFont val="WenQuanYi Zen Hei"/>
        <family val="2"/>
      </rPr>
      <t xml:space="preserve">站）</t>
    </r>
  </si>
  <si>
    <t xml:space="preserve">F3</t>
  </si>
  <si>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WenQuanYi Zen Hei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the-decoder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Gigazine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07</t>
    </r>
  </si>
  <si>
    <r>
      <rPr>
        <sz val="11"/>
        <color theme="1"/>
        <rFont val="WenQuanYi Zen Hei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工程師把訪客（未登入）推論成本降逾一半，所需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降至數百張</t>
    </r>
  </si>
  <si>
    <t xml:space="preserve">無占比</t>
  </si>
  <si>
    <r>
      <rPr>
        <sz val="11"/>
        <color theme="1"/>
        <rFont val="WenQuanYi Zen Hei"/>
        <family val="2"/>
      </rPr>
      <t xml:space="preserve">質性：免費層成本在下降，</t>
    </r>
    <r>
      <rPr>
        <sz val="11"/>
        <color theme="1"/>
        <rFont val="Calibri"/>
        <family val="2"/>
        <charset val="1"/>
      </rPr>
      <t xml:space="preserve">B4_Free </t>
    </r>
    <r>
      <rPr>
        <sz val="11"/>
        <color theme="1"/>
        <rFont val="WenQuanYi Zen Hei"/>
        <family val="2"/>
      </rPr>
      <t xml:space="preserve">有下行趨勢</t>
    </r>
  </si>
  <si>
    <t xml:space="preserve">F4</t>
  </si>
  <si>
    <r>
      <rPr>
        <sz val="11"/>
        <color theme="1"/>
        <rFont val="Calibri"/>
        <family val="2"/>
        <charset val="1"/>
      </rPr>
      <t xml:space="preserve">tech-insider.org</t>
    </r>
    <r>
      <rPr>
        <sz val="11"/>
        <color theme="1"/>
        <rFont val="WenQuanYi Zen Hei"/>
        <family val="2"/>
      </rPr>
      <t xml:space="preserve">（搜尋摘要）；</t>
    </r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WenQuanYi Zen Hei"/>
        <family val="2"/>
      </rPr>
      <t xml:space="preserve">之後</t>
    </r>
  </si>
  <si>
    <r>
      <rPr>
        <sz val="11"/>
        <color theme="1"/>
        <rFont val="WenQuanYi Zen Hei"/>
        <family val="2"/>
      </rPr>
      <t xml:space="preserve">轉述：免費版預設模型有每日訊息上限；後改為較便宜模型、文字聊天不限量；小模型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WenQuanYi Zen Hei"/>
        <family val="2"/>
      </rPr>
      <t xml:space="preserve">價 </t>
    </r>
    <r>
      <rPr>
        <sz val="11"/>
        <color theme="1"/>
        <rFont val="Calibri"/>
        <family val="2"/>
        <charset val="1"/>
      </rPr>
      <t xml:space="preserve">$0.20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$1.20 per M</t>
    </r>
  </si>
  <si>
    <r>
      <rPr>
        <sz val="11"/>
        <color theme="1"/>
        <rFont val="WenQuanYi Zen Hei"/>
        <family val="2"/>
      </rPr>
      <t xml:space="preserve">若免費層改用低價模型，同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的支出口徑占比下降；網站品質低、模型名稱無法對證，</t>
    </r>
    <r>
      <rPr>
        <sz val="11"/>
        <color theme="1"/>
        <rFont val="Calibri"/>
        <family val="2"/>
        <charset val="1"/>
      </rPr>
      <t xml:space="preserve">**</t>
    </r>
    <r>
      <rPr>
        <sz val="11"/>
        <color theme="1"/>
        <rFont val="WenQuanYi Zen Hei"/>
        <family val="2"/>
      </rPr>
      <t xml:space="preserve">僅供參考</t>
    </r>
    <r>
      <rPr>
        <sz val="11"/>
        <color theme="1"/>
        <rFont val="Calibri"/>
        <family val="2"/>
        <charset val="1"/>
      </rPr>
      <t xml:space="preserve">**</t>
    </r>
  </si>
  <si>
    <t xml:space="preserve">低可信</t>
  </si>
  <si>
    <t xml:space="preserve">F5</t>
  </si>
  <si>
    <r>
      <rPr>
        <sz val="11"/>
        <color theme="1"/>
        <rFont val="Calibri"/>
        <family val="2"/>
        <charset val="1"/>
      </rPr>
      <t xml:space="preserve">Gemini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botnation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WenQuanYi Zen Hei"/>
        <family val="2"/>
      </rPr>
      <t xml:space="preserve">（搜尋摘要）；</t>
    </r>
    <r>
      <rPr>
        <sz val="11"/>
        <color theme="1"/>
        <rFont val="Calibri"/>
        <family val="2"/>
        <charset val="1"/>
      </rPr>
      <t xml:space="preserve">2026-08-11</t>
    </r>
  </si>
  <si>
    <r>
      <rPr>
        <sz val="11"/>
        <color theme="1"/>
        <rFont val="WenQuanYi Zen Hei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Gemini app </t>
    </r>
    <r>
      <rPr>
        <sz val="11"/>
        <color theme="1"/>
        <rFont val="WenQuanYi Zen Hei"/>
        <family val="2"/>
      </rPr>
      <t xml:space="preserve">月活逾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WenQuanYi Zen Hei"/>
        <family val="2"/>
      </rPr>
      <t xml:space="preserve">億；免費版有每五小時重置的用量上限</t>
    </r>
  </si>
  <si>
    <t xml:space="preserve">無免費占比</t>
  </si>
  <si>
    <r>
      <rPr>
        <sz val="11"/>
        <color theme="1"/>
        <rFont val="WenQuanYi Zen Hei"/>
        <family val="2"/>
      </rPr>
      <t xml:space="preserve">無法取得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WenQuanYi Zen Hei"/>
        <family val="2"/>
      </rPr>
      <t xml:space="preserve">免費占比</t>
    </r>
  </si>
  <si>
    <t xml:space="preserve">F6</t>
  </si>
  <si>
    <r>
      <rPr>
        <sz val="11"/>
        <color theme="1"/>
        <rFont val="Calibri"/>
        <family val="2"/>
        <charset val="1"/>
      </rPr>
      <t xml:space="preserve">The Economist </t>
    </r>
    <r>
      <rPr>
        <sz val="11"/>
        <color theme="1"/>
        <rFont val="WenQuanYi Zen Hei"/>
        <family val="2"/>
      </rPr>
      <t xml:space="preserve">轉述（</t>
    </r>
    <r>
      <rPr>
        <sz val="11"/>
        <color theme="1"/>
        <rFont val="Calibri"/>
        <family val="2"/>
        <charset val="1"/>
      </rPr>
      <t xml:space="preserve">thenightly.com.au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</si>
  <si>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WenQuanYi Zen Hei"/>
        <family val="2"/>
      </rPr>
      <t xml:space="preserve">轉述：</t>
    </r>
    <r>
      <rPr>
        <sz val="11"/>
        <color theme="1"/>
        <rFont val="Calibri"/>
        <family val="2"/>
        <charset val="1"/>
      </rPr>
      <t xml:space="preserve">"OpenAI is losing money simply by running its models, which many consumers access through the free version"</t>
    </r>
    <r>
      <rPr>
        <sz val="11"/>
        <color theme="1"/>
        <rFont val="WenQuanYi Zen Hei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Zitron </t>
    </r>
    <r>
      <rPr>
        <sz val="11"/>
        <color theme="1"/>
        <rFont val="WenQuanYi Zen Hei"/>
        <family val="2"/>
      </rPr>
      <t xml:space="preserve">洩漏數據</t>
    </r>
  </si>
  <si>
    <t xml:space="preserve">質性</t>
  </si>
  <si>
    <r>
      <rPr>
        <sz val="11"/>
        <color theme="1"/>
        <rFont val="Calibri"/>
        <family val="2"/>
        <charset val="1"/>
      </rPr>
      <t xml:space="preserve">[Interested-party]</t>
    </r>
    <r>
      <rPr>
        <sz val="11"/>
        <color theme="1"/>
        <rFont val="WenQuanYi Zen Hei"/>
        <family val="2"/>
      </rPr>
      <t xml:space="preserve">／二手</t>
    </r>
  </si>
  <si>
    <t xml:space="preserve">F7</t>
  </si>
  <si>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DB_Evidence E231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</si>
  <si>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免費用戶約占週活躍用戶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5.6% </t>
    </r>
    <r>
      <rPr>
        <sz val="11"/>
        <color theme="1"/>
        <rFont val="WenQuanYi Zen Hei"/>
        <family val="2"/>
      </rPr>
      <t xml:space="preserve">付費）</t>
    </r>
  </si>
  <si>
    <r>
      <rPr>
        <sz val="11"/>
        <color theme="1"/>
        <rFont val="WenQuanYi Zen Hei"/>
        <family val="2"/>
      </rPr>
      <t xml:space="preserve">用戶數占比 </t>
    </r>
    <r>
      <rPr>
        <sz val="11"/>
        <color theme="1"/>
        <rFont val="Calibri"/>
        <family val="2"/>
        <charset val="1"/>
      </rPr>
      <t xml:space="preserve">95%</t>
    </r>
  </si>
  <si>
    <t xml:space="preserve">人數口徑</t>
  </si>
  <si>
    <t xml:space="preserve">已判定口徑不同（用戶數≠算力占比），不改區間；本段維持</t>
  </si>
  <si>
    <r>
      <rPr>
        <sz val="11"/>
        <color theme="1"/>
        <rFont val="Calibri"/>
        <family val="2"/>
        <charset val="1"/>
      </rPr>
      <t xml:space="preserve">[Interested-party] </t>
    </r>
    <r>
      <rPr>
        <sz val="11"/>
        <color theme="1"/>
        <rFont val="WenQuanYi Zen Hei"/>
        <family val="2"/>
      </rPr>
      <t xml:space="preserve">聚合部落格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</si>
  <si>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WenQuanYi Zen Hei"/>
        <family val="2"/>
      </rPr>
      <t xml:space="preserve">已搜尋，未找到（不等於不存在）</t>
    </r>
  </si>
  <si>
    <t xml:space="preserve">N</t>
  </si>
  <si>
    <r>
      <rPr>
        <sz val="11"/>
        <color theme="1"/>
        <rFont val="Calibri"/>
        <family val="2"/>
        <charset val="1"/>
      </rPr>
      <t xml:space="preserve">"Meta Llama 3 405B inference fleet GPU utilization off-peak"</t>
    </r>
    <r>
      <rPr>
        <sz val="11"/>
        <color theme="1"/>
        <rFont val="WenQuanYi Zen Hei"/>
        <family val="2"/>
      </rPr>
      <t xml:space="preserve">：未找到 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WenQuanYi Zen Hei"/>
        <family val="2"/>
      </rPr>
      <t xml:space="preserve">推論機隊利用率；</t>
    </r>
    <r>
      <rPr>
        <sz val="11"/>
        <color theme="1"/>
        <rFont val="Calibri"/>
        <family val="2"/>
        <charset val="1"/>
      </rPr>
      <t xml:space="preserve">MAST </t>
    </r>
    <r>
      <rPr>
        <sz val="11"/>
        <color theme="1"/>
        <rFont val="WenQuanYi Zen Hei"/>
        <family val="2"/>
      </rPr>
      <t xml:space="preserve">論文未讀到。</t>
    </r>
  </si>
  <si>
    <t xml:space="preserve">已搜尋，未找到</t>
  </si>
  <si>
    <r>
      <rPr>
        <sz val="11"/>
        <color theme="1"/>
        <rFont val="Calibri"/>
        <family val="2"/>
        <charset val="1"/>
      </rPr>
      <t xml:space="preserve">"Google TPU fleet utilization serving Gemini goodput"</t>
    </r>
    <r>
      <rPr>
        <sz val="11"/>
        <color theme="1"/>
        <rFont val="WenQuanYi Zen Hei"/>
        <family val="2"/>
      </rPr>
      <t xml:space="preserve">：僅找到 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WenQuanYi Zen Hei"/>
        <family val="2"/>
      </rPr>
      <t xml:space="preserve">訓練側 </t>
    </r>
    <r>
      <rPr>
        <sz val="11"/>
        <color theme="1"/>
        <rFont val="Calibri"/>
        <family val="2"/>
        <charset val="1"/>
      </rPr>
      <t xml:space="preserve">goodput</t>
    </r>
    <r>
      <rPr>
        <sz val="11"/>
        <color theme="1"/>
        <rFont val="WenQuanYi Zen Hei"/>
        <family val="2"/>
      </rPr>
      <t xml:space="preserve">（排程 </t>
    </r>
    <r>
      <rPr>
        <sz val="11"/>
        <color theme="1"/>
        <rFont val="Calibri"/>
        <family val="2"/>
        <charset val="1"/>
      </rPr>
      <t xml:space="preserve">goodput &gt;95%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arXiv 2502.06982</t>
    </r>
    <r>
      <rPr>
        <sz val="11"/>
        <color theme="1"/>
        <rFont val="WenQuanYi Zen Hei"/>
        <family val="2"/>
      </rPr>
      <t xml:space="preserve">，僅搜尋摘要）；無 </t>
    </r>
    <r>
      <rPr>
        <sz val="11"/>
        <color theme="1"/>
        <rFont val="Calibri"/>
        <family val="2"/>
        <charset val="1"/>
      </rPr>
      <t xml:space="preserve">Gemini </t>
    </r>
    <r>
      <rPr>
        <sz val="11"/>
        <color theme="1"/>
        <rFont val="WenQuanYi Zen Hei"/>
        <family val="2"/>
      </rPr>
      <t xml:space="preserve">服務側利用率。</t>
    </r>
  </si>
  <si>
    <r>
      <rPr>
        <sz val="11"/>
        <color theme="1"/>
        <rFont val="Calibri"/>
        <family val="2"/>
        <charset val="1"/>
      </rPr>
      <t xml:space="preserve">"Together AI / Fireworks / Baseten GPU utilization percent"</t>
    </r>
    <r>
      <rPr>
        <sz val="11"/>
        <color theme="1"/>
        <rFont val="WenQuanYi Zen Hei"/>
        <family val="2"/>
      </rPr>
      <t xml:space="preserve">：無實測百分比。</t>
    </r>
  </si>
  <si>
    <r>
      <rPr>
        <sz val="11"/>
        <color theme="1"/>
        <rFont val="Calibri"/>
        <family val="2"/>
        <charset val="1"/>
      </rPr>
      <t xml:space="preserve">"Character.AI inference optimization blog"</t>
    </r>
    <r>
      <rPr>
        <sz val="11"/>
        <color theme="1"/>
        <rFont val="WenQuanYi Zen Hei"/>
        <family val="2"/>
      </rPr>
      <t xml:space="preserve">：只找到 </t>
    </r>
    <r>
      <rPr>
        <sz val="11"/>
        <color theme="1"/>
        <rFont val="Calibri"/>
        <family val="2"/>
        <charset val="1"/>
      </rPr>
      <t xml:space="preserve">Introl </t>
    </r>
    <r>
      <rPr>
        <sz val="11"/>
        <color theme="1"/>
        <rFont val="WenQuanYi Zen Hei"/>
        <family val="2"/>
      </rPr>
      <t xml:space="preserve">二手文（</t>
    </r>
    <r>
      <rPr>
        <sz val="11"/>
        <color theme="1"/>
        <rFont val="Calibri"/>
        <family val="2"/>
        <charset val="1"/>
      </rPr>
      <t xml:space="preserve">~20,000 QPS</t>
    </r>
    <r>
      <rPr>
        <sz val="11"/>
        <color theme="1"/>
        <rFont val="WenQuanYi Zen Hei"/>
        <family val="2"/>
      </rPr>
      <t xml:space="preserve">，成本倍數），無利用率；未找到官方原文。</t>
    </r>
  </si>
  <si>
    <r>
      <rPr>
        <sz val="11"/>
        <color theme="1"/>
        <rFont val="Calibri"/>
        <family val="2"/>
        <charset val="1"/>
      </rPr>
      <t xml:space="preserve">"Nebius / Lambda / Oracle earnings call GPU utilization rate"</t>
    </r>
    <r>
      <rPr>
        <sz val="11"/>
        <color theme="1"/>
        <rFont val="WenQuanYi Zen Hei"/>
        <family val="2"/>
      </rPr>
      <t xml:space="preserve">：無利用率百分比；僅 </t>
    </r>
    <r>
      <rPr>
        <sz val="11"/>
        <color theme="1"/>
        <rFont val="Calibri"/>
        <family val="2"/>
        <charset val="1"/>
      </rPr>
      <t xml:space="preserve">sold-out </t>
    </r>
    <r>
      <rPr>
        <sz val="11"/>
        <color theme="1"/>
        <rFont val="WenQuanYi Zen Hei"/>
        <family val="2"/>
      </rPr>
      <t xml:space="preserve">敘述；</t>
    </r>
    <r>
      <rPr>
        <sz val="11"/>
        <color theme="1"/>
        <rFont val="Calibri"/>
        <family val="2"/>
        <charset val="1"/>
      </rPr>
      <t xml:space="preserve">Lambda </t>
    </r>
    <r>
      <rPr>
        <sz val="11"/>
        <color theme="1"/>
        <rFont val="WenQuanYi Zen Hei"/>
        <family val="2"/>
      </rPr>
      <t xml:space="preserve">無結果。</t>
    </r>
  </si>
  <si>
    <r>
      <rPr>
        <sz val="11"/>
        <color theme="1"/>
        <rFont val="Calibri"/>
        <family val="2"/>
        <charset val="1"/>
      </rPr>
      <t xml:space="preserve">Splitwise </t>
    </r>
    <r>
      <rPr>
        <sz val="11"/>
        <color theme="1"/>
        <rFont val="WenQuanYi Zen Hei"/>
        <family val="2"/>
      </rPr>
      <t xml:space="preserve">內文 </t>
    </r>
    <r>
      <rPr>
        <sz val="11"/>
        <color theme="1"/>
        <rFont val="Calibri"/>
        <family val="2"/>
        <charset val="1"/>
      </rPr>
      <t xml:space="preserve">diurnal </t>
    </r>
    <r>
      <rPr>
        <sz val="11"/>
        <color theme="1"/>
        <rFont val="WenQuanYi Zen Hei"/>
        <family val="2"/>
      </rPr>
      <t xml:space="preserve">數字：</t>
    </r>
    <r>
      <rPr>
        <sz val="11"/>
        <color theme="1"/>
        <rFont val="Calibri"/>
        <family val="2"/>
        <charset val="1"/>
      </rPr>
      <t xml:space="preserve">PDF </t>
    </r>
    <r>
      <rPr>
        <sz val="11"/>
        <color theme="1"/>
        <rFont val="WenQuanYi Zen Hei"/>
        <family val="2"/>
      </rPr>
      <t xml:space="preserve">無法解析，未核實。</t>
    </r>
  </si>
  <si>
    <r>
      <rPr>
        <sz val="11"/>
        <color theme="1"/>
        <rFont val="Calibri"/>
        <family val="2"/>
        <charset val="1"/>
      </rPr>
      <t xml:space="preserve">Aegaeon </t>
    </r>
    <r>
      <rPr>
        <sz val="11"/>
        <color theme="1"/>
        <rFont val="WenQuanYi Zen Hei"/>
        <family val="2"/>
      </rPr>
      <t xml:space="preserve">原論文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Azure LLM inference trace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2023/2024</t>
    </r>
    <r>
      <rPr>
        <sz val="11"/>
        <color theme="1"/>
        <rFont val="WenQuanYi Zen Hei"/>
        <family val="2"/>
      </rPr>
      <t xml:space="preserve">）原頁：未取得。</t>
    </r>
  </si>
  <si>
    <r>
      <rPr>
        <sz val="11"/>
        <color theme="1"/>
        <rFont val="Calibri"/>
        <family val="2"/>
        <charset val="1"/>
      </rPr>
      <t xml:space="preserve">B4_Serve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B4_Free</t>
    </r>
  </si>
  <si>
    <r>
      <rPr>
        <sz val="11"/>
        <color theme="1"/>
        <rFont val="WenQuanYi Zen Hei"/>
        <family val="2"/>
      </rPr>
      <t xml:space="preserve">查詢詞：</t>
    </r>
    <r>
      <rPr>
        <sz val="11"/>
        <color theme="1"/>
        <rFont val="Calibri"/>
        <family val="2"/>
        <charset val="1"/>
      </rPr>
      <t xml:space="preserve">"$3.9 billion" free ChatGPT users inference</t>
    </r>
  </si>
  <si>
    <t xml:space="preserve">未找到原文；只得貼近的訪客成本降低報導</t>
  </si>
  <si>
    <r>
      <rPr>
        <sz val="11"/>
        <color theme="1"/>
        <rFont val="WenQuanYi Zen Hei"/>
        <family val="2"/>
      </rPr>
      <t xml:space="preserve">查詢詞：</t>
    </r>
    <r>
      <rPr>
        <sz val="11"/>
        <color theme="1"/>
        <rFont val="Calibri"/>
        <family val="2"/>
        <charset val="1"/>
      </rPr>
      <t xml:space="preserve">OpenAI $8.4B inference &amp; $12B training 2025</t>
    </r>
  </si>
  <si>
    <r>
      <rPr>
        <sz val="11"/>
        <color theme="1"/>
        <rFont val="Calibri"/>
        <family val="2"/>
        <charset val="1"/>
      </rPr>
      <t xml:space="preserve">$8.4B </t>
    </r>
    <r>
      <rPr>
        <sz val="11"/>
        <color theme="1"/>
        <rFont val="WenQuanYi Zen Hei"/>
        <family val="2"/>
      </rPr>
      <t xml:space="preserve">推論見於 </t>
    </r>
    <r>
      <rPr>
        <sz val="11"/>
        <color theme="1"/>
        <rFont val="Calibri"/>
        <family val="2"/>
        <charset val="1"/>
      </rPr>
      <t xml:space="preserve">Sacra </t>
    </r>
    <r>
      <rPr>
        <sz val="11"/>
        <color theme="1"/>
        <rFont val="WenQuanYi Zen Hei"/>
        <family val="2"/>
      </rPr>
      <t xml:space="preserve">等二手；</t>
    </r>
    <r>
      <rPr>
        <sz val="11"/>
        <color theme="1"/>
        <rFont val="Calibri"/>
        <family val="2"/>
        <charset val="1"/>
      </rPr>
      <t xml:space="preserve">$12B </t>
    </r>
    <r>
      <rPr>
        <sz val="11"/>
        <color theme="1"/>
        <rFont val="WenQuanYi Zen Hei"/>
        <family val="2"/>
      </rPr>
      <t xml:space="preserve">訓練找不到，疑為 </t>
    </r>
    <r>
      <rPr>
        <sz val="11"/>
        <color theme="1"/>
        <rFont val="Calibri"/>
        <family val="2"/>
        <charset val="1"/>
      </rPr>
      <t xml:space="preserve">Zitron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$12.43B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2024–2025Q3 Azure </t>
    </r>
    <r>
      <rPr>
        <sz val="11"/>
        <color theme="1"/>
        <rFont val="WenQuanYi Zen Hei"/>
        <family val="2"/>
      </rPr>
      <t xml:space="preserve">推論累計）混淆</t>
    </r>
  </si>
  <si>
    <r>
      <rPr>
        <sz val="11"/>
        <color theme="1"/>
        <rFont val="WenQuanYi Zen Hei"/>
        <family val="2"/>
      </rPr>
      <t xml:space="preserve">查詢詞：</t>
    </r>
    <r>
      <rPr>
        <sz val="11"/>
        <color theme="1"/>
        <rFont val="Calibri"/>
        <family val="2"/>
        <charset val="1"/>
      </rPr>
      <t xml:space="preserve">OpenAI compute margin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</si>
  <si>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只找到毛利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WenQuanYi Zen Hei"/>
        <family val="2"/>
      </rPr>
      <t xml:space="preserve">，未見「</t>
    </r>
    <r>
      <rPr>
        <sz val="11"/>
        <color theme="1"/>
        <rFont val="Calibri"/>
        <family val="2"/>
        <charset val="1"/>
      </rPr>
      <t xml:space="preserve">compute margin</t>
    </r>
    <r>
      <rPr>
        <sz val="11"/>
        <color theme="1"/>
        <rFont val="WenQuanYi Zen Hei"/>
        <family val="2"/>
      </rPr>
      <t xml:space="preserve">」定義或免費用戶部分</t>
    </r>
  </si>
  <si>
    <r>
      <rPr>
        <sz val="11"/>
        <color theme="1"/>
        <rFont val="WenQuanYi Zen Hei"/>
        <family val="2"/>
      </rPr>
      <t xml:space="preserve">查詢詞：</t>
    </r>
    <r>
      <rPr>
        <sz val="11"/>
        <color theme="1"/>
        <rFont val="Calibri"/>
        <family val="2"/>
        <charset val="1"/>
      </rPr>
      <t xml:space="preserve">Altman </t>
    </r>
    <r>
      <rPr>
        <sz val="11"/>
        <color theme="1"/>
        <rFont val="WenQuanYi Zen Hei"/>
        <family val="2"/>
      </rPr>
      <t xml:space="preserve">對免費層成本的說法</t>
    </r>
  </si>
  <si>
    <r>
      <rPr>
        <sz val="11"/>
        <color theme="1"/>
        <rFont val="WenQuanYi Zen Hei"/>
        <family val="2"/>
      </rPr>
      <t xml:space="preserve">只找到 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WenQuanYi Zen Hei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Pro </t>
    </r>
    <r>
      <rPr>
        <sz val="11"/>
        <color theme="1"/>
        <rFont val="WenQuanYi Zen Hei"/>
        <family val="2"/>
      </rPr>
      <t xml:space="preserve">訂閱虧損說法，無免費層說法</t>
    </r>
  </si>
  <si>
    <r>
      <rPr>
        <sz val="11"/>
        <color theme="1"/>
        <rFont val="WenQuanYi Zen Hei"/>
        <family val="2"/>
      </rPr>
      <t xml:space="preserve">查詢詞：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WenQuanYi Zen Hei"/>
        <family val="2"/>
      </rPr>
      <t xml:space="preserve">免費層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WenQuanYi Zen Hei"/>
        <family val="2"/>
      </rPr>
      <t xml:space="preserve">／訊息占比</t>
    </r>
  </si>
  <si>
    <t xml:space="preserve">無任何來源；僅有用戶數占比</t>
  </si>
  <si>
    <r>
      <rPr>
        <sz val="11"/>
        <color theme="1"/>
        <rFont val="WenQuanYi Zen Hei"/>
        <family val="2"/>
      </rPr>
      <t xml:space="preserve">查詢詞：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WenQuanYi Zen Hei"/>
        <family val="2"/>
      </rPr>
      <t xml:space="preserve">官方「研究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服務」算力比例</t>
    </r>
  </si>
  <si>
    <r>
      <rPr>
        <sz val="11"/>
        <color theme="1"/>
        <rFont val="WenQuanYi Zen Hei"/>
        <family val="2"/>
      </rPr>
      <t xml:space="preserve">無；</t>
    </r>
    <r>
      <rPr>
        <sz val="11"/>
        <color theme="1"/>
        <rFont val="Calibri"/>
        <family val="2"/>
        <charset val="1"/>
      </rPr>
      <t xml:space="preserve">Friar </t>
    </r>
    <r>
      <rPr>
        <sz val="11"/>
        <color theme="1"/>
        <rFont val="WenQuanYi Zen Hei"/>
        <family val="2"/>
      </rPr>
      <t xml:space="preserve">部落格只有總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與營收</t>
    </r>
  </si>
  <si>
    <r>
      <rPr>
        <sz val="11"/>
        <color theme="1"/>
        <rFont val="WenQuanYi Zen Hei"/>
        <family val="2"/>
      </rPr>
      <t xml:space="preserve">查詢詞：</t>
    </r>
    <r>
      <rPr>
        <sz val="11"/>
        <color theme="1"/>
        <rFont val="Calibri"/>
        <family val="2"/>
        <charset val="1"/>
      </rPr>
      <t xml:space="preserve">Anthropic The Information </t>
    </r>
    <r>
      <rPr>
        <sz val="11"/>
        <color theme="1"/>
        <rFont val="WenQuanYi Zen Hei"/>
        <family val="2"/>
      </rPr>
      <t xml:space="preserve">推論／訓練比例</t>
    </r>
  </si>
  <si>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反推（</t>
    </r>
    <r>
      <rPr>
        <sz val="11"/>
        <color theme="1"/>
        <rFont val="Calibri"/>
        <family val="2"/>
        <charset val="1"/>
      </rPr>
      <t xml:space="preserve">S4</t>
    </r>
    <r>
      <rPr>
        <sz val="11"/>
        <color theme="1"/>
        <rFont val="WenQuanYi Zen Hei"/>
        <family val="2"/>
      </rPr>
      <t xml:space="preserve">）；無公司揭露</t>
    </r>
  </si>
  <si>
    <r>
      <rPr>
        <sz val="11"/>
        <color theme="1"/>
        <rFont val="WenQuanYi Zen Hei"/>
        <family val="2"/>
      </rPr>
      <t xml:space="preserve">查詢詞：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訓練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推論占比</t>
    </r>
  </si>
  <si>
    <t xml:space="preserve">皆無百分比</t>
  </si>
  <si>
    <r>
      <rPr>
        <sz val="11"/>
        <color theme="1"/>
        <rFont val="WenQuanYi Zen Hei"/>
        <family val="2"/>
      </rPr>
      <t xml:space="preserve">查詢詞：</t>
    </r>
    <r>
      <rPr>
        <sz val="11"/>
        <color theme="1"/>
        <rFont val="Calibri"/>
        <family val="2"/>
        <charset val="1"/>
      </rPr>
      <t xml:space="preserve">Qwen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Mistral </t>
    </r>
    <r>
      <rPr>
        <sz val="11"/>
        <color theme="1"/>
        <rFont val="WenQuanYi Zen Hei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WenQuanYi Zen Hei"/>
        <family val="2"/>
      </rPr>
      <t xml:space="preserve">服務算力</t>
    </r>
  </si>
  <si>
    <t xml:space="preserve">未找到</t>
  </si>
  <si>
    <r>
      <rPr>
        <sz val="11"/>
        <color theme="1"/>
        <rFont val="WenQuanYi Zen Hei"/>
        <family val="2"/>
      </rPr>
      <t xml:space="preserve">查詢詞：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訓練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與服務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WenQuanYi Zen Hei"/>
        <family val="2"/>
      </rPr>
      <t xml:space="preserve">比例</t>
    </r>
  </si>
  <si>
    <t xml:space="preserve">僅有服務節點數；無訓練機隊大小</t>
  </si>
  <si>
    <r>
      <rPr>
        <sz val="11"/>
        <color theme="1"/>
        <rFont val="WenQuanYi Zen Hei"/>
        <family val="2"/>
      </rPr>
      <t xml:space="preserve">查詢詞：</t>
    </r>
    <r>
      <rPr>
        <sz val="11"/>
        <color theme="1"/>
        <rFont val="Calibri"/>
        <family val="2"/>
        <charset val="1"/>
      </rPr>
      <t xml:space="preserve">Gemini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Meta AI </t>
    </r>
    <r>
      <rPr>
        <sz val="11"/>
        <color theme="1"/>
        <rFont val="WenQuanYi Zen Hei"/>
        <family val="2"/>
      </rPr>
      <t xml:space="preserve">免費占比</t>
    </r>
  </si>
  <si>
    <r>
      <rPr>
        <sz val="11"/>
        <color theme="1"/>
        <rFont val="WenQuanYi Zen Hei"/>
        <family val="2"/>
      </rPr>
      <t xml:space="preserve">查詢詞：</t>
    </r>
    <r>
      <rPr>
        <sz val="11"/>
        <color theme="1"/>
        <rFont val="Calibri"/>
        <family val="2"/>
        <charset val="1"/>
      </rPr>
      <t xml:space="preserve">OpenAI 2026 </t>
    </r>
    <r>
      <rPr>
        <sz val="11"/>
        <color theme="1"/>
        <rFont val="WenQuanYi Zen Hei"/>
        <family val="2"/>
      </rPr>
      <t xml:space="preserve">預算中推論占比</t>
    </r>
  </si>
  <si>
    <r>
      <rPr>
        <sz val="11"/>
        <color theme="1"/>
        <rFont val="WenQuanYi Zen Hei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$50B </t>
    </r>
    <r>
      <rPr>
        <sz val="11"/>
        <color theme="1"/>
        <rFont val="WenQuanYi Zen Hei"/>
        <family val="2"/>
      </rPr>
      <t xml:space="preserve">總額；</t>
    </r>
    <r>
      <rPr>
        <sz val="11"/>
        <color theme="1"/>
        <rFont val="Calibri"/>
        <family val="2"/>
        <charset val="1"/>
      </rPr>
      <t xml:space="preserve">$32B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$14.1B </t>
    </r>
    <r>
      <rPr>
        <sz val="11"/>
        <color theme="1"/>
        <rFont val="WenQuanYi Zen Hei"/>
        <family val="2"/>
      </rPr>
      <t xml:space="preserve">拆分未證實</t>
    </r>
  </si>
  <si>
    <t xml:space="preserve">建議區間與換算（藍字＝輸入，黑字＝公式；所有換算在此頁可逐格檢查）</t>
  </si>
  <si>
    <r>
      <rPr>
        <b val="true"/>
        <sz val="11"/>
        <rFont val="Cambria"/>
        <family val="0"/>
        <charset val="1"/>
      </rPr>
      <t xml:space="preserve">1. AL_UtilActual — </t>
    </r>
    <r>
      <rPr>
        <b val="true"/>
        <sz val="11"/>
        <rFont val="WenQuanYi Zen Hei"/>
        <family val="2"/>
      </rPr>
      <t xml:space="preserve">由尖峰／平均比換算（</t>
    </r>
    <r>
      <rPr>
        <b val="true"/>
        <sz val="11"/>
        <rFont val="Cambria"/>
        <family val="0"/>
        <charset val="1"/>
      </rPr>
      <t xml:space="preserve">Azure DynamoLLM </t>
    </r>
    <r>
      <rPr>
        <b val="true"/>
        <sz val="11"/>
        <rFont val="WenQuanYi Zen Hei"/>
        <family val="2"/>
      </rPr>
      <t xml:space="preserve">生產 </t>
    </r>
    <r>
      <rPr>
        <b val="true"/>
        <sz val="11"/>
        <rFont val="Cambria"/>
        <family val="0"/>
        <charset val="1"/>
      </rPr>
      <t xml:space="preserve">trace</t>
    </r>
    <r>
      <rPr>
        <b val="true"/>
        <sz val="11"/>
        <rFont val="WenQuanYi Zen Hei"/>
        <family val="2"/>
      </rPr>
      <t xml:space="preserve">；請求率口徑，非 </t>
    </r>
    <r>
      <rPr>
        <b val="true"/>
        <sz val="11"/>
        <rFont val="Cambria"/>
        <family val="0"/>
        <charset val="1"/>
      </rPr>
      <t xml:space="preserve">token </t>
    </r>
    <r>
      <rPr>
        <b val="true"/>
        <sz val="11"/>
        <rFont val="WenQuanYi Zen Hei"/>
        <family val="2"/>
      </rPr>
      <t xml:space="preserve">吞吐）</t>
    </r>
  </si>
  <si>
    <t xml:space="preserve">值</t>
  </si>
  <si>
    <t xml:space="preserve">說明</t>
  </si>
  <si>
    <r>
      <rPr>
        <sz val="11"/>
        <color theme="1"/>
        <rFont val="WenQuanYi Zen Hei"/>
        <family val="2"/>
      </rPr>
      <t xml:space="preserve">尖峰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平均：</t>
    </r>
    <r>
      <rPr>
        <sz val="11"/>
        <color theme="1"/>
        <rFont val="Calibri"/>
        <family val="2"/>
        <charset val="1"/>
      </rPr>
      <t xml:space="preserve">Conversation</t>
    </r>
  </si>
  <si>
    <r>
      <rPr>
        <sz val="11"/>
        <color theme="1"/>
        <rFont val="Calibri"/>
        <family val="2"/>
        <charset val="1"/>
      </rPr>
      <t xml:space="preserve">U1 </t>
    </r>
    <r>
      <rPr>
        <sz val="11"/>
        <color theme="1"/>
        <rFont val="WenQuanYi Zen Hei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"1.7× higher than its average"</t>
    </r>
  </si>
  <si>
    <r>
      <rPr>
        <sz val="11"/>
        <color theme="1"/>
        <rFont val="WenQuanYi Zen Hei"/>
        <family val="2"/>
      </rPr>
      <t xml:space="preserve">尖峰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平均：</t>
    </r>
    <r>
      <rPr>
        <sz val="11"/>
        <color theme="1"/>
        <rFont val="Calibri"/>
        <family val="2"/>
        <charset val="1"/>
      </rPr>
      <t xml:space="preserve">Coding</t>
    </r>
  </si>
  <si>
    <r>
      <rPr>
        <sz val="11"/>
        <color theme="1"/>
        <rFont val="Calibri"/>
        <family val="2"/>
        <charset val="1"/>
      </rPr>
      <t xml:space="preserve">U1 </t>
    </r>
    <r>
      <rPr>
        <sz val="11"/>
        <color theme="1"/>
        <rFont val="WenQuanYi Zen Hei"/>
        <family val="2"/>
      </rPr>
      <t xml:space="preserve">原文 </t>
    </r>
    <r>
      <rPr>
        <sz val="11"/>
        <color theme="1"/>
        <rFont val="Calibri"/>
        <family val="2"/>
        <charset val="1"/>
      </rPr>
      <t xml:space="preserve">"2.8×"</t>
    </r>
  </si>
  <si>
    <r>
      <rPr>
        <sz val="11"/>
        <color theme="1"/>
        <rFont val="WenQuanYi Zen Hei"/>
        <family val="2"/>
      </rPr>
      <t xml:space="preserve">平均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尖峰：</t>
    </r>
    <r>
      <rPr>
        <sz val="11"/>
        <color theme="1"/>
        <rFont val="Calibri"/>
        <family val="2"/>
        <charset val="1"/>
      </rPr>
      <t xml:space="preserve">Conversation</t>
    </r>
  </si>
  <si>
    <r>
      <rPr>
        <sz val="11"/>
        <color theme="1"/>
        <rFont val="WenQuanYi Zen Hei"/>
        <family val="2"/>
      </rPr>
      <t xml:space="preserve">平均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尖峰：</t>
    </r>
    <r>
      <rPr>
        <sz val="11"/>
        <color theme="1"/>
        <rFont val="Calibri"/>
        <family val="2"/>
        <charset val="1"/>
      </rPr>
      <t xml:space="preserve">Coding</t>
    </r>
  </si>
  <si>
    <t xml:space="preserve">尖峰時段實際滿載度（低／中／高）</t>
  </si>
  <si>
    <r>
      <rPr>
        <sz val="11"/>
        <color theme="1"/>
        <rFont val="Calibri"/>
        <family val="2"/>
        <charset val="1"/>
      </rPr>
      <t xml:space="preserve">[Assumed]</t>
    </r>
    <r>
      <rPr>
        <sz val="11"/>
        <color theme="1"/>
        <rFont val="WenQuanYi Zen Hei"/>
        <family val="2"/>
      </rPr>
      <t xml:space="preserve">：區間 </t>
    </r>
    <r>
      <rPr>
        <sz val="11"/>
        <color theme="1"/>
        <rFont val="Calibri"/>
        <family val="2"/>
        <charset val="1"/>
      </rPr>
      <t xml:space="preserve">0.7–1.0</t>
    </r>
    <r>
      <rPr>
        <sz val="11"/>
        <color theme="1"/>
        <rFont val="WenQuanYi Zen Hei"/>
        <family val="2"/>
      </rPr>
      <t xml:space="preserve">；機隊為突發與故障預留餘裕。無來源，僅作敏感度</t>
    </r>
  </si>
  <si>
    <r>
      <rPr>
        <b val="true"/>
        <sz val="11"/>
        <rFont val="WenQuanYi Zen Hei"/>
        <family val="2"/>
      </rPr>
      <t xml:space="preserve">換算結果＝平均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WenQuanYi Zen Hei"/>
        <family val="2"/>
      </rPr>
      <t xml:space="preserve">尖峰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WenQuanYi Zen Hei"/>
        <family val="2"/>
      </rPr>
      <t xml:space="preserve">滿載度</t>
    </r>
  </si>
  <si>
    <r>
      <rPr>
        <b val="true"/>
        <sz val="11"/>
        <rFont val="WenQuanYi Zen Hei"/>
        <family val="2"/>
      </rPr>
      <t xml:space="preserve">滿載度 </t>
    </r>
    <r>
      <rPr>
        <b val="true"/>
        <sz val="11"/>
        <rFont val="Cambria"/>
        <family val="0"/>
        <charset val="1"/>
      </rPr>
      <t xml:space="preserve">0.70</t>
    </r>
  </si>
  <si>
    <r>
      <rPr>
        <b val="true"/>
        <sz val="11"/>
        <rFont val="WenQuanYi Zen Hei"/>
        <family val="2"/>
      </rPr>
      <t xml:space="preserve">滿載度 </t>
    </r>
    <r>
      <rPr>
        <b val="true"/>
        <sz val="11"/>
        <rFont val="Cambria"/>
        <family val="0"/>
        <charset val="1"/>
      </rPr>
      <t xml:space="preserve">0.85</t>
    </r>
  </si>
  <si>
    <r>
      <rPr>
        <b val="true"/>
        <sz val="11"/>
        <rFont val="WenQuanYi Zen Hei"/>
        <family val="2"/>
      </rPr>
      <t xml:space="preserve">滿載度 </t>
    </r>
    <r>
      <rPr>
        <b val="true"/>
        <sz val="11"/>
        <rFont val="Cambria"/>
        <family val="0"/>
        <charset val="1"/>
      </rPr>
      <t xml:space="preserve">1.00</t>
    </r>
  </si>
  <si>
    <t xml:space="preserve">Conversation</t>
  </si>
  <si>
    <t xml:space="preserve">Coding</t>
  </si>
  <si>
    <t xml:space="preserve">網格最小／中位／最大</t>
  </si>
  <si>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每節點日均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服務期間速率（輸出／輸入）</t>
    </r>
  </si>
  <si>
    <r>
      <rPr>
        <sz val="11"/>
        <color theme="1"/>
        <rFont val="Calibri"/>
        <family val="2"/>
        <charset val="1"/>
      </rPr>
      <t xml:space="preserve">U11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WenQuanYi Zen Hei"/>
        <family val="2"/>
      </rPr>
      <t xml:space="preserve">前案推導）；分母非理論產能，視為上限參考</t>
    </r>
  </si>
  <si>
    <t xml:space="preserve">現值（基準／低／高）</t>
  </si>
  <si>
    <t xml:space="preserve">現值是否在網格範圍內（基準）</t>
  </si>
  <si>
    <t xml:space="preserve">建議（低／基準／高）</t>
  </si>
  <si>
    <r>
      <rPr>
        <sz val="11"/>
        <color theme="1"/>
        <rFont val="WenQuanYi Zen Hei"/>
        <family val="2"/>
      </rPr>
      <t xml:space="preserve">標籤：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WenQuanYi Zen Hei"/>
        <family val="2"/>
      </rPr>
      <t xml:space="preserve">（置信度：低；無任何來源直接量到本定義）</t>
    </r>
  </si>
  <si>
    <r>
      <rPr>
        <b val="true"/>
        <sz val="11"/>
        <rFont val="Cambria"/>
        <family val="0"/>
        <charset val="1"/>
      </rPr>
      <t xml:space="preserve">2. AL_UtilActual → </t>
    </r>
    <r>
      <rPr>
        <b val="true"/>
        <sz val="11"/>
        <rFont val="WenQuanYi Zen Hei"/>
        <family val="2"/>
      </rPr>
      <t xml:space="preserve">回本判讀（方向與粗估；不改模型）</t>
    </r>
  </si>
  <si>
    <r>
      <rPr>
        <b val="true"/>
        <sz val="11"/>
        <rFont val="WenQuanYi Zen Hei"/>
        <family val="2"/>
      </rPr>
      <t xml:space="preserve">低 </t>
    </r>
    <r>
      <rPr>
        <b val="true"/>
        <sz val="11"/>
        <rFont val="Cambria"/>
        <family val="0"/>
        <charset val="1"/>
      </rPr>
      <t xml:space="preserve">0.30</t>
    </r>
  </si>
  <si>
    <r>
      <rPr>
        <b val="true"/>
        <sz val="11"/>
        <rFont val="WenQuanYi Zen Hei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0.41</t>
    </r>
  </si>
  <si>
    <r>
      <rPr>
        <b val="true"/>
        <sz val="11"/>
        <rFont val="WenQuanYi Zen Hei"/>
        <family val="2"/>
      </rPr>
      <t xml:space="preserve">高 </t>
    </r>
    <r>
      <rPr>
        <b val="true"/>
        <sz val="11"/>
        <rFont val="Cambria"/>
        <family val="0"/>
        <charset val="1"/>
      </rPr>
      <t xml:space="preserve">0.65</t>
    </r>
  </si>
  <si>
    <r>
      <rPr>
        <sz val="11"/>
        <color theme="1"/>
        <rFont val="WenQuanYi Zen Hei"/>
        <family val="2"/>
      </rPr>
      <t xml:space="preserve">利用率 </t>
    </r>
    <r>
      <rPr>
        <sz val="11"/>
        <color theme="1"/>
        <rFont val="Calibri"/>
        <family val="2"/>
        <charset val="1"/>
      </rPr>
      <t xml:space="preserve">AL_UtilActual</t>
    </r>
  </si>
  <si>
    <r>
      <rPr>
        <sz val="11"/>
        <color theme="1"/>
        <rFont val="WenQuanYi Zen Hei"/>
        <family val="2"/>
      </rPr>
      <t xml:space="preserve">生產折減 </t>
    </r>
    <r>
      <rPr>
        <sz val="11"/>
        <color theme="1"/>
        <rFont val="Calibri"/>
        <family val="2"/>
        <charset val="1"/>
      </rPr>
      <t xml:space="preserve">CTL_ProdDerate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Serving!C28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</si>
  <si>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有效利用率＝利用率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WenQuanYi Zen Hei"/>
        <family val="2"/>
      </rPr>
      <t xml:space="preserve">折減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</si>
  <si>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機隊損益兩平乘積 </t>
    </r>
    <r>
      <rPr>
        <sz val="11"/>
        <color theme="1"/>
        <rFont val="Calibri"/>
        <family val="2"/>
        <charset val="1"/>
      </rPr>
      <t xml:space="preserve">AL_FleetBE25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L1_FleetBreakeven2025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</si>
  <si>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所需「</t>
    </r>
    <r>
      <rPr>
        <sz val="11"/>
        <color theme="1"/>
        <rFont val="Calibri"/>
        <family val="2"/>
        <charset val="1"/>
      </rPr>
      <t xml:space="preserve">L×m</t>
    </r>
    <r>
      <rPr>
        <sz val="11"/>
        <color theme="1"/>
        <rFont val="WenQuanYi Zen Hei"/>
        <family val="2"/>
      </rPr>
      <t xml:space="preserve">」＝兩平乘積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WenQuanYi Zen Hei"/>
        <family val="2"/>
      </rPr>
      <t xml:space="preserve">有效利用率</t>
    </r>
  </si>
  <si>
    <t xml:space="preserve">相對基準</t>
  </si>
  <si>
    <r>
      <rPr>
        <sz val="11"/>
        <color theme="1"/>
        <rFont val="WenQuanYi Zen Hei"/>
        <family val="2"/>
      </rPr>
      <t xml:space="preserve">方向：利用率越高，同樣收入所需的價格實現度越低，回本越容易；</t>
    </r>
    <r>
      <rPr>
        <sz val="11"/>
        <color theme="1"/>
        <rFont val="Calibri"/>
        <family val="2"/>
        <charset val="1"/>
      </rPr>
      <t xml:space="preserve">0.30→0.65 </t>
    </r>
    <r>
      <rPr>
        <sz val="11"/>
        <color theme="1"/>
        <rFont val="WenQuanYi Zen Hei"/>
        <family val="2"/>
      </rPr>
      <t xml:space="preserve">使所需 </t>
    </r>
    <r>
      <rPr>
        <sz val="11"/>
        <color theme="1"/>
        <rFont val="Calibri"/>
        <family val="2"/>
        <charset val="1"/>
      </rPr>
      <t xml:space="preserve">L×m </t>
    </r>
    <r>
      <rPr>
        <sz val="11"/>
        <color theme="1"/>
        <rFont val="WenQuanYi Zen Hei"/>
        <family val="2"/>
      </rPr>
      <t xml:space="preserve">由約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WenQuanYi Zen Hei"/>
        <family val="2"/>
      </rPr>
      <t xml:space="preserve">降到約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WenQuanYi Zen Hei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2.2 </t>
    </r>
    <r>
      <rPr>
        <sz val="11"/>
        <color theme="1"/>
        <rFont val="WenQuanYi Zen Hei"/>
        <family val="2"/>
      </rPr>
      <t xml:space="preserve">倍）。另：</t>
    </r>
    <r>
      <rPr>
        <sz val="11"/>
        <color theme="1"/>
        <rFont val="Calibri"/>
        <family val="2"/>
        <charset val="1"/>
      </rPr>
      <t xml:space="preserve">L1_MFleet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帳診斷）∝ </t>
    </r>
    <r>
      <rPr>
        <sz val="11"/>
        <color theme="1"/>
        <rFont val="Calibri"/>
        <family val="2"/>
        <charset val="1"/>
      </rPr>
      <t xml:space="preserve">1/</t>
    </r>
    <r>
      <rPr>
        <sz val="11"/>
        <color theme="1"/>
        <rFont val="WenQuanYi Zen Hei"/>
        <family val="2"/>
      </rPr>
      <t xml:space="preserve">利用率（產出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增加，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WenQuanYi Zen Hei"/>
        <family val="2"/>
      </rPr>
      <t xml:space="preserve">診斷值同比下降）。</t>
    </r>
  </si>
  <si>
    <r>
      <rPr>
        <b val="true"/>
        <sz val="11"/>
        <rFont val="Cambria"/>
        <family val="0"/>
        <charset val="1"/>
      </rPr>
      <t xml:space="preserve">3. B4_Serve — </t>
    </r>
    <r>
      <rPr>
        <b val="true"/>
        <sz val="11"/>
        <rFont val="WenQuanYi Zen Hei"/>
        <family val="2"/>
      </rPr>
      <t xml:space="preserve">支出口徑推導</t>
    </r>
  </si>
  <si>
    <r>
      <rPr>
        <b val="true"/>
        <sz val="11"/>
        <rFont val="WenQuanYi Zen Hei"/>
        <family val="2"/>
      </rPr>
      <t xml:space="preserve">研發／訓練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</si>
  <si>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WenQuanYi Zen Hei"/>
        <family val="2"/>
      </rPr>
      <t xml:space="preserve">推論 </t>
    </r>
    <r>
      <rPr>
        <b val="true"/>
        <sz val="11"/>
        <rFont val="Cambria"/>
        <family val="0"/>
        <charset val="1"/>
      </rPr>
      <t xml:space="preserve">$B</t>
    </r>
  </si>
  <si>
    <r>
      <rPr>
        <b val="true"/>
        <sz val="11"/>
        <rFont val="WenQuanYi Zen Hei"/>
        <family val="2"/>
      </rPr>
      <t xml:space="preserve">服務占比＝推論</t>
    </r>
    <r>
      <rPr>
        <b val="true"/>
        <sz val="11"/>
        <rFont val="Cambria"/>
        <family val="0"/>
        <charset val="1"/>
      </rPr>
      <t xml:space="preserve">÷(</t>
    </r>
    <r>
      <rPr>
        <b val="true"/>
        <sz val="11"/>
        <rFont val="WenQuanYi Zen Hei"/>
        <family val="2"/>
      </rPr>
      <t xml:space="preserve">研發</t>
    </r>
    <r>
      <rPr>
        <b val="true"/>
        <sz val="11"/>
        <rFont val="Cambria"/>
        <family val="0"/>
        <charset val="1"/>
      </rPr>
      <t xml:space="preserve">+</t>
    </r>
    <r>
      <rPr>
        <b val="true"/>
        <sz val="11"/>
        <rFont val="WenQuanYi Zen Hei"/>
        <family val="2"/>
      </rPr>
      <t xml:space="preserve">推論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</si>
  <si>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OpenAI 2024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S1</t>
    </r>
    <r>
      <rPr>
        <sz val="11"/>
        <color theme="1"/>
        <rFont val="WenQuanYi Zen Hei"/>
        <family val="2"/>
      </rPr>
      <t xml:space="preserve">；推論 </t>
    </r>
    <r>
      <rPr>
        <sz val="11"/>
        <color theme="1"/>
        <rFont val="Calibri"/>
        <family val="2"/>
        <charset val="1"/>
      </rPr>
      <t xml:space="preserve">$1.8B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</si>
  <si>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S1</t>
    </r>
    <r>
      <rPr>
        <sz val="11"/>
        <color theme="1"/>
        <rFont val="WenQuanYi Zen Hei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$5B</t>
    </r>
    <r>
      <rPr>
        <sz val="11"/>
        <color theme="1"/>
        <rFont val="WenQuanYi Zen Hei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WenQuanYi Zen Hei"/>
        <family val="2"/>
      </rPr>
      <t xml:space="preserve">＋研究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WenQuanYi Zen Hei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Interested-party → Epoch </t>
    </r>
    <r>
      <rPr>
        <sz val="11"/>
        <color theme="1"/>
        <rFont val="WenQuanYi Zen Hei"/>
        <family val="2"/>
      </rPr>
      <t xml:space="preserve">推估</t>
    </r>
  </si>
  <si>
    <r>
      <rPr>
        <sz val="11"/>
        <color theme="1"/>
        <rFont val="Calibri"/>
        <family val="2"/>
        <charset val="1"/>
      </rPr>
      <t xml:space="preserve">OpenAI 2024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S1</t>
    </r>
    <r>
      <rPr>
        <sz val="11"/>
        <color theme="1"/>
        <rFont val="WenQuanYi Zen Hei"/>
        <family val="2"/>
      </rPr>
      <t xml:space="preserve">；推論 </t>
    </r>
    <r>
      <rPr>
        <sz val="11"/>
        <color theme="1"/>
        <rFont val="Calibri"/>
        <family val="2"/>
        <charset val="1"/>
      </rPr>
      <t xml:space="preserve">$2B </t>
    </r>
    <r>
      <rPr>
        <sz val="11"/>
        <color theme="1"/>
        <rFont val="WenQuanYi Zen Hei"/>
        <family val="2"/>
      </rPr>
      <t xml:space="preserve">頁面小計）</t>
    </r>
  </si>
  <si>
    <r>
      <rPr>
        <sz val="11"/>
        <color theme="1"/>
        <rFont val="Calibri"/>
        <family val="2"/>
        <charset val="1"/>
      </rPr>
      <t xml:space="preserve">S1 </t>
    </r>
    <r>
      <rPr>
        <sz val="11"/>
        <color theme="1"/>
        <rFont val="WenQuanYi Zen Hei"/>
        <family val="2"/>
      </rPr>
      <t xml:space="preserve">同源另一讀法</t>
    </r>
  </si>
  <si>
    <r>
      <rPr>
        <sz val="11"/>
        <color theme="1"/>
        <rFont val="Calibri"/>
        <family val="2"/>
        <charset val="1"/>
      </rPr>
      <t xml:space="preserve">OpenAI 2025</t>
    </r>
    <r>
      <rPr>
        <sz val="11"/>
        <color theme="1"/>
        <rFont val="WenQuanYi Zen Hei"/>
        <family val="2"/>
      </rPr>
      <t xml:space="preserve">（現值：</t>
    </r>
    <r>
      <rPr>
        <sz val="11"/>
        <color theme="1"/>
        <rFont val="Calibri"/>
        <family val="2"/>
        <charset val="1"/>
      </rPr>
      <t xml:space="preserve">SRC_DEM_004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006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</si>
  <si>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現值；訓練 </t>
    </r>
    <r>
      <rPr>
        <sz val="11"/>
        <color theme="1"/>
        <rFont val="Calibri"/>
        <family val="2"/>
        <charset val="1"/>
      </rPr>
      <t xml:space="preserve">$12B </t>
    </r>
    <r>
      <rPr>
        <sz val="11"/>
        <color theme="1"/>
        <rFont val="WenQuanYi Zen Hei"/>
        <family val="2"/>
      </rPr>
      <t xml:space="preserve">出處只到 </t>
    </r>
    <r>
      <rPr>
        <sz val="11"/>
        <color theme="1"/>
        <rFont val="Calibri"/>
        <family val="2"/>
        <charset val="1"/>
      </rPr>
      <t xml:space="preserve">json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S18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</si>
  <si>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SRC_DEM_018 </t>
    </r>
    <r>
      <rPr>
        <sz val="11"/>
        <color theme="1"/>
        <rFont val="WenQuanYi Zen Hei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12.6 Azure </t>
    </r>
    <r>
      <rPr>
        <sz val="11"/>
        <color theme="1"/>
        <rFont val="WenQuanYi Zen Hei"/>
        <family val="2"/>
      </rPr>
      <t xml:space="preserve">帳單）</t>
    </r>
  </si>
  <si>
    <r>
      <rPr>
        <sz val="11"/>
        <color theme="1"/>
        <rFont val="Calibri"/>
        <family val="2"/>
        <charset val="1"/>
      </rPr>
      <t xml:space="preserve">S19</t>
    </r>
    <r>
      <rPr>
        <sz val="11"/>
        <color theme="1"/>
        <rFont val="WenQuanYi Zen Hei"/>
        <family val="2"/>
      </rPr>
      <t xml:space="preserve">：含 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WenQuanYi Zen Hei"/>
        <family val="2"/>
      </rPr>
      <t xml:space="preserve">加價；分子分母口徑不同，只作方向</t>
    </r>
  </si>
  <si>
    <r>
      <rPr>
        <sz val="11"/>
        <color theme="1"/>
        <rFont val="Calibri"/>
        <family val="2"/>
        <charset val="1"/>
      </rPr>
      <t xml:space="preserve">Anthropic 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S4</t>
    </r>
    <r>
      <rPr>
        <sz val="11"/>
        <color theme="1"/>
        <rFont val="WenQuanYi Zen Hei"/>
        <family val="2"/>
      </rPr>
      <t xml:space="preserve">；毛利反推）</t>
    </r>
  </si>
  <si>
    <r>
      <rPr>
        <sz val="11"/>
        <color theme="1"/>
        <rFont val="Calibri"/>
        <family val="2"/>
        <charset val="1"/>
      </rPr>
      <t xml:space="preserve">S4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somewhat speculative</t>
    </r>
  </si>
  <si>
    <r>
      <rPr>
        <sz val="11"/>
        <color theme="1"/>
        <rFont val="Calibri"/>
        <family val="2"/>
        <charset val="1"/>
      </rPr>
      <t xml:space="preserve">OpenAI 2025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Epoch S3</t>
    </r>
    <r>
      <rPr>
        <sz val="11"/>
        <color theme="1"/>
        <rFont val="WenQuanYi Zen Hei"/>
        <family val="2"/>
      </rPr>
      <t xml:space="preserve">，文字）</t>
    </r>
  </si>
  <si>
    <r>
      <rPr>
        <sz val="11"/>
        <color theme="1"/>
        <rFont val="Calibri"/>
        <family val="2"/>
        <charset val="1"/>
      </rPr>
      <t xml:space="preserve">S3</t>
    </r>
    <r>
      <rPr>
        <sz val="11"/>
        <color theme="1"/>
        <rFont val="WenQuanYi Zen Hei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研發與推論「</t>
    </r>
    <r>
      <rPr>
        <sz val="11"/>
        <color theme="1"/>
        <rFont val="Calibri"/>
        <family val="2"/>
        <charset val="1"/>
      </rPr>
      <t xml:space="preserve">roughly evenly</t>
    </r>
    <r>
      <rPr>
        <sz val="11"/>
        <color theme="1"/>
        <rFont val="WenQuanYi Zen Hei"/>
        <family val="2"/>
      </rPr>
      <t xml:space="preserve">」；無精確數字，我把「各半」記為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±0.1 </t>
    </r>
    <r>
      <rPr>
        <sz val="11"/>
        <color theme="1"/>
        <rFont val="WenQuanYi Zen Hei"/>
        <family val="2"/>
      </rPr>
      <t xml:space="preserve">不確定）</t>
    </r>
  </si>
  <si>
    <r>
      <rPr>
        <sz val="11"/>
        <color theme="1"/>
        <rFont val="WenQuanYi Zen Hei"/>
        <family val="2"/>
      </rPr>
      <t xml:space="preserve">證據範圍（扣除 </t>
    </r>
    <r>
      <rPr>
        <sz val="11"/>
        <color theme="1"/>
        <rFont val="Calibri"/>
        <family val="2"/>
        <charset val="1"/>
      </rPr>
      <t xml:space="preserve">S19 </t>
    </r>
    <r>
      <rPr>
        <sz val="11"/>
        <color theme="1"/>
        <rFont val="WenQuanYi Zen Hei"/>
        <family val="2"/>
      </rPr>
      <t xml:space="preserve">後）</t>
    </r>
  </si>
  <si>
    <r>
      <rPr>
        <sz val="11"/>
        <color theme="1"/>
        <rFont val="WenQuanYi Zen Hei"/>
        <family val="2"/>
      </rPr>
      <t xml:space="preserve">替代基準（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WenQuanYi Zen Hei"/>
        <family val="2"/>
      </rPr>
      <t xml:space="preserve">「約各半」）</t>
    </r>
  </si>
  <si>
    <r>
      <rPr>
        <sz val="11"/>
        <color theme="1"/>
        <rFont val="WenQuanYi Zen Hei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WenQuanYi Zen Hei"/>
        <family val="2"/>
      </rPr>
      <t xml:space="preserve">選此替代（待判斷 </t>
    </r>
    <r>
      <rPr>
        <sz val="11"/>
        <color theme="1"/>
        <rFont val="Calibri"/>
        <family val="2"/>
        <charset val="1"/>
      </rPr>
      <t xml:space="preserve">J4</t>
    </r>
    <r>
      <rPr>
        <sz val="11"/>
        <color theme="1"/>
        <rFont val="WenQuanYi Zen Hei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0.462 </t>
    </r>
    <r>
      <rPr>
        <sz val="11"/>
        <color theme="1"/>
        <rFont val="WenQuanYi Zen Hei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0.564</t>
    </r>
  </si>
  <si>
    <r>
      <rPr>
        <b val="true"/>
        <sz val="11"/>
        <rFont val="Cambria"/>
        <family val="0"/>
        <charset val="1"/>
      </rPr>
      <t xml:space="preserve">4. B4_Free — </t>
    </r>
    <r>
      <rPr>
        <b val="true"/>
        <sz val="11"/>
        <rFont val="WenQuanYi Zen Hei"/>
        <family val="2"/>
      </rPr>
      <t xml:space="preserve">支出口徑</t>
    </r>
  </si>
  <si>
    <r>
      <rPr>
        <sz val="11"/>
        <color theme="1"/>
        <rFont val="WenQuanYi Zen Hei"/>
        <family val="2"/>
      </rPr>
      <t xml:space="preserve">免費用戶推論 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SRC_DEM_005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</si>
  <si>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總推論 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SRC_DEM_004</t>
    </r>
    <r>
      <rPr>
        <sz val="11"/>
        <color theme="1"/>
        <rFont val="WenQuanYi Zen Hei"/>
        <family val="2"/>
      </rPr>
      <t xml:space="preserve">）</t>
    </r>
  </si>
  <si>
    <t xml:space="preserve">免費占服務</t>
  </si>
  <si>
    <r>
      <rPr>
        <sz val="11"/>
        <color theme="1"/>
        <rFont val="Calibri"/>
        <family val="2"/>
        <charset val="1"/>
      </rPr>
      <t xml:space="preserve">F1</t>
    </r>
    <r>
      <rPr>
        <sz val="11"/>
        <color theme="1"/>
        <rFont val="WenQuanYi Zen Hei"/>
        <family val="2"/>
      </rPr>
      <t xml:space="preserve">：單一來源（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WenQuanYi Zen Hei"/>
        <family val="2"/>
      </rPr>
      <t xml:space="preserve">〈</t>
    </r>
    <r>
      <rPr>
        <sz val="11"/>
        <color theme="1"/>
        <rFont val="Calibri"/>
        <family val="2"/>
        <charset val="1"/>
      </rPr>
      <t xml:space="preserve">Why OpenAI, Anthropic Missed Their Own Gross Margin Forecasts</t>
    </r>
    <r>
      <rPr>
        <sz val="11"/>
        <color theme="1"/>
        <rFont val="WenQuanYi Zen Hei"/>
        <family val="2"/>
      </rPr>
      <t xml:space="preserve">〉約 </t>
    </r>
    <r>
      <rPr>
        <sz val="11"/>
        <color theme="1"/>
        <rFont val="Calibri"/>
        <family val="2"/>
        <charset val="1"/>
      </rPr>
      <t xml:space="preserve">2026-02-24</t>
    </r>
    <r>
      <rPr>
        <sz val="11"/>
        <color theme="1"/>
        <rFont val="WenQuanYi Zen Hei"/>
        <family val="2"/>
      </rPr>
      <t xml:space="preserve">，付費牆），本段與子代理皆未能讀到原文；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段可依此篇名取原文</t>
    </r>
  </si>
  <si>
    <t xml:space="preserve">用戶數占比（上限參考）</t>
  </si>
  <si>
    <r>
      <rPr>
        <sz val="11"/>
        <color theme="1"/>
        <rFont val="Calibri"/>
        <family val="2"/>
        <charset val="1"/>
      </rPr>
      <t xml:space="preserve">F2</t>
    </r>
    <r>
      <rPr>
        <sz val="11"/>
        <color theme="1"/>
        <rFont val="WenQuanYi Zen Hei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F7</t>
    </r>
    <r>
      <rPr>
        <sz val="11"/>
        <color theme="1"/>
        <rFont val="WenQuanYi Zen Hei"/>
        <family val="2"/>
      </rPr>
      <t xml:space="preserve">：免費約 </t>
    </r>
    <r>
      <rPr>
        <sz val="11"/>
        <color theme="1"/>
        <rFont val="Calibri"/>
        <family val="2"/>
        <charset val="1"/>
      </rPr>
      <t xml:space="preserve">81%–95% </t>
    </r>
    <r>
      <rPr>
        <sz val="11"/>
        <color theme="1"/>
        <rFont val="WenQuanYi Zen Hei"/>
        <family val="2"/>
      </rPr>
      <t xml:space="preserve">的用戶，但免費用戶訊息少、有上限、模型較便宜，故算力占比應低於此</t>
    </r>
  </si>
  <si>
    <r>
      <rPr>
        <b val="true"/>
        <sz val="11"/>
        <rFont val="Cambria"/>
        <family val="0"/>
        <charset val="1"/>
      </rPr>
      <t xml:space="preserve">5. B4_Serve</t>
    </r>
    <r>
      <rPr>
        <b val="true"/>
        <sz val="11"/>
        <rFont val="WenQuanYi Zen Hei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B4_Free → </t>
    </r>
    <r>
      <rPr>
        <b val="true"/>
        <sz val="11"/>
        <rFont val="WenQuanYi Zen Hei"/>
        <family val="2"/>
      </rPr>
      <t xml:space="preserve">回本判讀（方向與粗估；不改模型）</t>
    </r>
  </si>
  <si>
    <r>
      <rPr>
        <b val="true"/>
        <sz val="11"/>
        <rFont val="Cambria"/>
        <family val="0"/>
        <charset val="1"/>
      </rPr>
      <t xml:space="preserve">B4_Serve </t>
    </r>
    <r>
      <rPr>
        <b val="true"/>
        <sz val="11"/>
        <rFont val="WenQuanYi Zen Hei"/>
        <family val="2"/>
      </rPr>
      <t xml:space="preserve">低 </t>
    </r>
    <r>
      <rPr>
        <b val="true"/>
        <sz val="11"/>
        <rFont val="Cambria"/>
        <family val="0"/>
        <charset val="1"/>
      </rPr>
      <t xml:space="preserve">0.30</t>
    </r>
  </si>
  <si>
    <r>
      <rPr>
        <b val="true"/>
        <sz val="11"/>
        <rFont val="WenQuanYi Zen Hei"/>
        <family val="2"/>
      </rPr>
      <t xml:space="preserve">高 </t>
    </r>
    <r>
      <rPr>
        <b val="true"/>
        <sz val="11"/>
        <rFont val="Cambria"/>
        <family val="0"/>
        <charset val="1"/>
      </rPr>
      <t xml:space="preserve">0.60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</si>
  <si>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平均上線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AL_FleetGW25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</si>
  <si>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GW × B4_Serve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</si>
  <si>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SRC_DEM_007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</si>
  <si>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每服務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$B/GW</t>
    </r>
  </si>
  <si>
    <r>
      <rPr>
        <sz val="11"/>
        <color theme="1"/>
        <rFont val="WenQuanYi Zen Hei"/>
        <family val="2"/>
      </rPr>
      <t xml:space="preserve">營收固定、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變動</t>
    </r>
  </si>
  <si>
    <r>
      <rPr>
        <sz val="11"/>
        <color theme="1"/>
        <rFont val="WenQuanYi Zen Hei"/>
        <family val="2"/>
      </rPr>
      <t xml:space="preserve">機隊持有成本 </t>
    </r>
    <r>
      <rPr>
        <sz val="11"/>
        <color theme="1"/>
        <rFont val="Calibri"/>
        <family val="2"/>
        <charset val="1"/>
      </rPr>
      <t xml:space="preserve">$B/GW·</t>
    </r>
    <r>
      <rPr>
        <sz val="11"/>
        <color theme="1"/>
        <rFont val="WenQuanYi Zen Hei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AL_FleetHold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</si>
  <si>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（服務 </t>
    </r>
    <r>
      <rPr>
        <sz val="11"/>
        <color theme="1"/>
        <rFont val="Calibri"/>
        <family val="2"/>
        <charset val="1"/>
      </rPr>
      <t xml:space="preserve">GW×</t>
    </r>
    <r>
      <rPr>
        <sz val="11"/>
        <color theme="1"/>
        <rFont val="WenQuanYi Zen Hei"/>
        <family val="2"/>
      </rPr>
      <t xml:space="preserve">持有成本）</t>
    </r>
  </si>
  <si>
    <r>
      <rPr>
        <sz val="11"/>
        <color theme="1"/>
        <rFont val="WenQuanYi Zen Hei"/>
        <family val="2"/>
      </rPr>
      <t xml:space="preserve">粗估：只看服務端成本能否被營收覆蓋（研發算力視為另計），未含利用率與免費占比；不是模型輸出。方向：</t>
    </r>
    <r>
      <rPr>
        <sz val="11"/>
        <color theme="1"/>
        <rFont val="Calibri"/>
        <family val="2"/>
        <charset val="1"/>
      </rPr>
      <t xml:space="preserve">B4_Serve </t>
    </r>
    <r>
      <rPr>
        <sz val="11"/>
        <color theme="1"/>
        <rFont val="WenQuanYi Zen Hei"/>
        <family val="2"/>
      </rPr>
      <t xml:space="preserve">越高，同營收分攤到越多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WenQuanYi Zen Hei"/>
        <family val="2"/>
      </rPr>
      <t xml:space="preserve">，覆蓋倍數越低（回本越難）。</t>
    </r>
    <r>
      <rPr>
        <sz val="11"/>
        <color theme="1"/>
        <rFont val="Calibri"/>
        <family val="2"/>
        <charset val="1"/>
      </rPr>
      <t xml:space="preserve">0.30→0.60 </t>
    </r>
    <r>
      <rPr>
        <sz val="11"/>
        <color theme="1"/>
        <rFont val="WenQuanYi Zen Hei"/>
        <family val="2"/>
      </rPr>
      <t xml:space="preserve">使覆蓋倍數約降為一半。</t>
    </r>
  </si>
  <si>
    <r>
      <rPr>
        <b val="true"/>
        <sz val="11"/>
        <rFont val="Cambria"/>
        <family val="0"/>
        <charset val="1"/>
      </rPr>
      <t xml:space="preserve">B4_Free </t>
    </r>
    <r>
      <rPr>
        <b val="true"/>
        <sz val="11"/>
        <rFont val="WenQuanYi Zen Hei"/>
        <family val="2"/>
      </rPr>
      <t xml:space="preserve">低 </t>
    </r>
    <r>
      <rPr>
        <b val="true"/>
        <sz val="11"/>
        <rFont val="Cambria"/>
        <family val="0"/>
        <charset val="1"/>
      </rPr>
      <t xml:space="preserve">0.35</t>
    </r>
  </si>
  <si>
    <r>
      <rPr>
        <b val="true"/>
        <sz val="11"/>
        <rFont val="WenQuanYi Zen Hei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0.46</t>
    </r>
  </si>
  <si>
    <r>
      <rPr>
        <sz val="11"/>
        <color theme="1"/>
        <rFont val="WenQuanYi Zen Hei"/>
        <family val="2"/>
      </rPr>
      <t xml:space="preserve">付費機隊占比＝</t>
    </r>
    <r>
      <rPr>
        <sz val="11"/>
        <color theme="1"/>
        <rFont val="Calibri"/>
        <family val="2"/>
        <charset val="1"/>
      </rPr>
      <t xml:space="preserve">B4_Serve(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0.41)×(1−B4_Free)</t>
    </r>
  </si>
  <si>
    <r>
      <rPr>
        <sz val="11"/>
        <color theme="1"/>
        <rFont val="WenQuanYi Zen Hei"/>
        <family val="2"/>
      </rPr>
      <t xml:space="preserve">方向：免費占比越高，付費機隊越小，付費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的收入分母越小，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WenQuanYi Zen Hei"/>
        <family val="2"/>
      </rPr>
      <t xml:space="preserve">診斷值（營收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token×</t>
    </r>
    <r>
      <rPr>
        <sz val="11"/>
        <color theme="1"/>
        <rFont val="WenQuanYi Zen Hei"/>
        <family val="2"/>
      </rPr>
      <t xml:space="preserve">牌價）越高；回本壓力越大（營收由較少付費算力承擔，但也代表免費成本為行銷費用）。</t>
    </r>
    <r>
      <rPr>
        <sz val="11"/>
        <color theme="1"/>
        <rFont val="Calibri"/>
        <family val="2"/>
        <charset val="1"/>
      </rPr>
      <t xml:space="preserve">0.35→0.60 </t>
    </r>
    <r>
      <rPr>
        <sz val="11"/>
        <color theme="1"/>
        <rFont val="WenQuanYi Zen Hei"/>
        <family val="2"/>
      </rPr>
      <t xml:space="preserve">使付費機隊占比由 </t>
    </r>
    <r>
      <rPr>
        <sz val="11"/>
        <color theme="1"/>
        <rFont val="Calibri"/>
        <family val="2"/>
        <charset val="1"/>
      </rPr>
      <t xml:space="preserve">0.27 </t>
    </r>
    <r>
      <rPr>
        <sz val="11"/>
        <color theme="1"/>
        <rFont val="WenQuanYi Zen Hei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0.16</t>
    </r>
    <r>
      <rPr>
        <sz val="11"/>
        <color theme="1"/>
        <rFont val="WenQuanYi Zen Hei"/>
        <family val="2"/>
      </rPr>
      <t xml:space="preserve">。</t>
    </r>
  </si>
  <si>
    <r>
      <rPr>
        <b val="true"/>
        <sz val="13"/>
        <rFont val="WenQuanYi Zen Hei"/>
        <family val="2"/>
      </rPr>
      <t xml:space="preserve">待 </t>
    </r>
    <r>
      <rPr>
        <b val="true"/>
        <sz val="13"/>
        <rFont val="Cambria"/>
        <family val="0"/>
        <charset val="1"/>
      </rPr>
      <t xml:space="preserve">Project </t>
    </r>
    <r>
      <rPr>
        <b val="true"/>
        <sz val="13"/>
        <rFont val="WenQuanYi Zen Hei"/>
        <family val="2"/>
      </rPr>
      <t xml:space="preserve">判斷（每題附預設與替代；本段不改模型）</t>
    </r>
  </si>
  <si>
    <t xml:space="preserve">題目</t>
  </si>
  <si>
    <t xml:space="preserve">預設（建議）</t>
  </si>
  <si>
    <t xml:space="preserve">替代</t>
  </si>
  <si>
    <t xml:space="preserve">預設理由</t>
  </si>
  <si>
    <t xml:space="preserve">影響方向</t>
  </si>
  <si>
    <t xml:space="preserve">何時需決定</t>
  </si>
  <si>
    <t xml:space="preserve">J1</t>
  </si>
  <si>
    <r>
      <rPr>
        <sz val="11"/>
        <color theme="1"/>
        <rFont val="Calibri"/>
        <family val="2"/>
        <charset val="1"/>
      </rPr>
      <t xml:space="preserve">AL_UtilActual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0.41 </t>
    </r>
    <r>
      <rPr>
        <sz val="11"/>
        <color theme="1"/>
        <rFont val="WenQuanYi Zen Hei"/>
        <family val="2"/>
      </rPr>
      <t xml:space="preserve">是否調整？</t>
    </r>
  </si>
  <si>
    <r>
      <rPr>
        <sz val="11"/>
        <color theme="1"/>
        <rFont val="WenQuanYi Zen Hei"/>
        <family val="2"/>
      </rPr>
      <t xml:space="preserve">保留 </t>
    </r>
    <r>
      <rPr>
        <sz val="11"/>
        <color theme="1"/>
        <rFont val="Calibri"/>
        <family val="2"/>
        <charset val="1"/>
      </rPr>
      <t xml:space="preserve">0.41</t>
    </r>
    <r>
      <rPr>
        <sz val="11"/>
        <color theme="1"/>
        <rFont val="WenQuanYi Zen Hei"/>
        <family val="2"/>
      </rPr>
      <t xml:space="preserve">，標記維持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WenQuanYi Zen Hei"/>
        <family val="2"/>
      </rPr>
      <t xml:space="preserve">，說明改寫為「類比 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WenQuanYi Zen Hei"/>
        <family val="2"/>
      </rPr>
      <t xml:space="preserve">尖谷換算 </t>
    </r>
    <r>
      <rPr>
        <sz val="11"/>
        <color theme="1"/>
        <rFont val="Calibri"/>
        <family val="2"/>
        <charset val="1"/>
      </rPr>
      <t xml:space="preserve">0.25–0.59</t>
    </r>
    <r>
      <rPr>
        <sz val="11"/>
        <color theme="1"/>
        <rFont val="WenQuanYi Zen Hei"/>
        <family val="2"/>
      </rPr>
      <t xml:space="preserve">，非量測」</t>
    </r>
  </si>
  <si>
    <r>
      <rPr>
        <sz val="11"/>
        <color theme="1"/>
        <rFont val="WenQuanYi Zen Hei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0.36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Coding </t>
    </r>
    <r>
      <rPr>
        <sz val="11"/>
        <color theme="1"/>
        <rFont val="WenQuanYi Zen Hei"/>
        <family val="2"/>
      </rPr>
      <t xml:space="preserve">型尖谷）或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Conversation × </t>
    </r>
    <r>
      <rPr>
        <sz val="11"/>
        <color theme="1"/>
        <rFont val="WenQuanYi Zen Hei"/>
        <family val="2"/>
      </rPr>
      <t xml:space="preserve">滿載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</si>
  <si>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0.41 </t>
    </r>
    <r>
      <rPr>
        <sz val="11"/>
        <color theme="1"/>
        <rFont val="WenQuanYi Zen Hei"/>
        <family val="2"/>
      </rPr>
      <t xml:space="preserve">落在換算網格中位 </t>
    </r>
    <r>
      <rPr>
        <sz val="11"/>
        <color theme="1"/>
        <rFont val="Calibri"/>
        <family val="2"/>
        <charset val="1"/>
      </rPr>
      <t xml:space="preserve">0.38 </t>
    </r>
    <r>
      <rPr>
        <sz val="11"/>
        <color theme="1"/>
        <rFont val="WenQuanYi Zen Hei"/>
        <family val="2"/>
      </rPr>
      <t xml:space="preserve">附近；無任何來源能支持更精確的值</t>
    </r>
  </si>
  <si>
    <r>
      <rPr>
        <sz val="11"/>
        <color theme="1"/>
        <rFont val="WenQuanYi Zen Hei"/>
        <family val="2"/>
      </rPr>
      <t xml:space="preserve">利用率 </t>
    </r>
    <r>
      <rPr>
        <sz val="11"/>
        <color theme="1"/>
        <rFont val="Calibri"/>
        <family val="2"/>
        <charset val="1"/>
      </rPr>
      <t xml:space="preserve">0.30→0.65</t>
    </r>
    <r>
      <rPr>
        <sz val="11"/>
        <color theme="1"/>
        <rFont val="WenQuanYi Zen Hei"/>
        <family val="2"/>
      </rPr>
      <t xml:space="preserve">，所需 </t>
    </r>
    <r>
      <rPr>
        <sz val="11"/>
        <color theme="1"/>
        <rFont val="Calibri"/>
        <family val="2"/>
        <charset val="1"/>
      </rPr>
      <t xml:space="preserve">L×m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WenQuanYi Zen Hei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WenQuanYi Zen Hei"/>
        <family val="2"/>
      </rPr>
      <t xml:space="preserve">；見建議區間第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WenQuanYi Zen Hei"/>
        <family val="2"/>
      </rPr>
      <t xml:space="preserve">節</t>
    </r>
  </si>
  <si>
    <r>
      <rPr>
        <sz val="11"/>
        <color theme="1"/>
        <rFont val="WenQuanYi Zen Hei"/>
        <family val="2"/>
      </rPr>
      <t xml:space="preserve">下一次改 </t>
    </r>
    <r>
      <rPr>
        <sz val="11"/>
        <color theme="1"/>
        <rFont val="Calibri"/>
        <family val="2"/>
        <charset val="1"/>
      </rPr>
      <t xml:space="preserve">Alloc_In C24 </t>
    </r>
    <r>
      <rPr>
        <sz val="11"/>
        <color theme="1"/>
        <rFont val="WenQuanYi Zen Hei"/>
        <family val="2"/>
      </rPr>
      <t xml:space="preserve">說明時</t>
    </r>
  </si>
  <si>
    <t xml:space="preserve">J2</t>
  </si>
  <si>
    <r>
      <rPr>
        <sz val="11"/>
        <color theme="1"/>
        <rFont val="Calibri"/>
        <family val="2"/>
        <charset val="1"/>
      </rPr>
      <t xml:space="preserve">AL_UtilActual </t>
    </r>
    <r>
      <rPr>
        <sz val="11"/>
        <color theme="1"/>
        <rFont val="WenQuanYi Zen Hei"/>
        <family val="2"/>
      </rPr>
      <t xml:space="preserve">高端 </t>
    </r>
    <r>
      <rPr>
        <sz val="11"/>
        <color theme="1"/>
        <rFont val="Calibri"/>
        <family val="2"/>
        <charset val="1"/>
      </rPr>
      <t xml:space="preserve">0.65 </t>
    </r>
    <r>
      <rPr>
        <sz val="11"/>
        <color theme="1"/>
        <rFont val="WenQuanYi Zen Hei"/>
        <family val="2"/>
      </rPr>
      <t xml:space="preserve">是否保留？</t>
    </r>
  </si>
  <si>
    <r>
      <rPr>
        <sz val="11"/>
        <color theme="1"/>
        <rFont val="WenQuanYi Zen Hei"/>
        <family val="2"/>
      </rPr>
      <t xml:space="preserve">保留（需「離峰縮減」才成立，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WenQuanYi Zen Hei"/>
        <family val="2"/>
      </rPr>
      <t xml:space="preserve">式；</t>
    </r>
    <r>
      <rPr>
        <sz val="11"/>
        <color theme="1"/>
        <rFont val="Calibri"/>
        <family val="2"/>
        <charset val="1"/>
      </rPr>
      <t xml:space="preserve">U4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</si>
  <si>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下修到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Conversation </t>
    </r>
    <r>
      <rPr>
        <sz val="11"/>
        <color theme="1"/>
        <rFont val="WenQuanYi Zen Hei"/>
        <family val="2"/>
      </rPr>
      <t xml:space="preserve">純平均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WenQuanYi Zen Hei"/>
        <family val="2"/>
      </rPr>
      <t xml:space="preserve">尖峰 </t>
    </r>
    <r>
      <rPr>
        <sz val="11"/>
        <color theme="1"/>
        <rFont val="Calibri"/>
        <family val="2"/>
        <charset val="1"/>
      </rPr>
      <t xml:space="preserve">0.59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</si>
  <si>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0.65 </t>
    </r>
    <r>
      <rPr>
        <sz val="11"/>
        <color theme="1"/>
        <rFont val="WenQuanYi Zen Hei"/>
        <family val="2"/>
      </rPr>
      <t xml:space="preserve">為單一模型代理，不是機隊；下修會使上界回本判讀更保守</t>
    </r>
  </si>
  <si>
    <r>
      <rPr>
        <sz val="11"/>
        <color theme="1"/>
        <rFont val="WenQuanYi Zen Hei"/>
        <family val="2"/>
      </rPr>
      <t xml:space="preserve">高端下修 → 所需 </t>
    </r>
    <r>
      <rPr>
        <sz val="11"/>
        <color theme="1"/>
        <rFont val="Calibri"/>
        <family val="2"/>
        <charset val="1"/>
      </rPr>
      <t xml:space="preserve">L×m </t>
    </r>
    <r>
      <rPr>
        <sz val="11"/>
        <color theme="1"/>
        <rFont val="WenQuanYi Zen Hei"/>
        <family val="2"/>
      </rPr>
      <t xml:space="preserve">上界由 </t>
    </r>
    <r>
      <rPr>
        <sz val="11"/>
        <color theme="1"/>
        <rFont val="Calibri"/>
        <family val="2"/>
        <charset val="1"/>
      </rPr>
      <t xml:space="preserve">0.84 </t>
    </r>
    <r>
      <rPr>
        <sz val="11"/>
        <color theme="1"/>
        <rFont val="WenQuanYi Zen Hei"/>
        <family val="2"/>
      </rPr>
      <t xml:space="preserve">升到約 </t>
    </r>
    <r>
      <rPr>
        <sz val="11"/>
        <color theme="1"/>
        <rFont val="Calibri"/>
        <family val="2"/>
        <charset val="1"/>
      </rPr>
      <t xml:space="preserve">0.91</t>
    </r>
  </si>
  <si>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J1 </t>
    </r>
    <r>
      <rPr>
        <sz val="11"/>
        <color theme="1"/>
        <rFont val="WenQuanYi Zen Hei"/>
        <family val="2"/>
      </rPr>
      <t xml:space="preserve">同時</t>
    </r>
  </si>
  <si>
    <t xml:space="preserve">J3</t>
  </si>
  <si>
    <r>
      <rPr>
        <sz val="11"/>
        <color theme="1"/>
        <rFont val="WenQuanYi Zen Hei"/>
        <family val="2"/>
      </rPr>
      <t xml:space="preserve">換算網格與 </t>
    </r>
    <r>
      <rPr>
        <sz val="11"/>
        <color theme="1"/>
        <rFont val="Calibri"/>
        <family val="2"/>
        <charset val="1"/>
      </rPr>
      <t xml:space="preserve">IF_Util 0.6</t>
    </r>
    <r>
      <rPr>
        <sz val="11"/>
        <color theme="1"/>
        <rFont val="WenQuanYi Zen Hei"/>
        <family val="2"/>
      </rPr>
      <t xml:space="preserve">、生產折減 </t>
    </r>
    <r>
      <rPr>
        <sz val="11"/>
        <color theme="1"/>
        <rFont val="Calibri"/>
        <family val="2"/>
        <charset val="1"/>
      </rPr>
      <t xml:space="preserve">0.85 </t>
    </r>
    <r>
      <rPr>
        <sz val="11"/>
        <color theme="1"/>
        <rFont val="WenQuanYi Zen Hei"/>
        <family val="2"/>
      </rPr>
      <t xml:space="preserve">是否重複計入？</t>
    </r>
  </si>
  <si>
    <r>
      <rPr>
        <sz val="11"/>
        <color theme="1"/>
        <rFont val="WenQuanYi Zen Hei"/>
        <family val="2"/>
      </rPr>
      <t xml:space="preserve">視網格為「相對 </t>
    </r>
    <r>
      <rPr>
        <sz val="11"/>
        <color theme="1"/>
        <rFont val="Calibri"/>
        <family val="2"/>
        <charset val="1"/>
      </rPr>
      <t xml:space="preserve">SLO </t>
    </r>
    <r>
      <rPr>
        <sz val="11"/>
        <color theme="1"/>
        <rFont val="WenQuanYi Zen Hei"/>
        <family val="2"/>
      </rPr>
      <t xml:space="preserve">產能的時間平均」，生產折減 </t>
    </r>
    <r>
      <rPr>
        <sz val="11"/>
        <color theme="1"/>
        <rFont val="Calibri"/>
        <family val="2"/>
        <charset val="1"/>
      </rPr>
      <t xml:space="preserve">0.85 </t>
    </r>
    <r>
      <rPr>
        <sz val="11"/>
        <color theme="1"/>
        <rFont val="WenQuanYi Zen Hei"/>
        <family val="2"/>
      </rPr>
      <t xml:space="preserve">仍另乘（與現公式一致）</t>
    </r>
  </si>
  <si>
    <r>
      <rPr>
        <sz val="11"/>
        <color theme="1"/>
        <rFont val="WenQuanYi Zen Hei"/>
        <family val="2"/>
      </rPr>
      <t xml:space="preserve">若認為 </t>
    </r>
    <r>
      <rPr>
        <sz val="11"/>
        <color theme="1"/>
        <rFont val="Calibri"/>
        <family val="2"/>
        <charset val="1"/>
      </rPr>
      <t xml:space="preserve">Azure trace </t>
    </r>
    <r>
      <rPr>
        <sz val="11"/>
        <color theme="1"/>
        <rFont val="WenQuanYi Zen Hei"/>
        <family val="2"/>
      </rPr>
      <t xml:space="preserve">已含餘裕與路由不均，則不再乘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WenQuanYi Zen Hei"/>
        <family val="2"/>
      </rPr>
      <t xml:space="preserve">（有效利用率由 </t>
    </r>
    <r>
      <rPr>
        <sz val="11"/>
        <color theme="1"/>
        <rFont val="Calibri"/>
        <family val="2"/>
        <charset val="1"/>
      </rPr>
      <t xml:space="preserve">0.349 </t>
    </r>
    <r>
      <rPr>
        <sz val="11"/>
        <color theme="1"/>
        <rFont val="WenQuanYi Zen Hei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0.41</t>
    </r>
    <r>
      <rPr>
        <sz val="11"/>
        <color theme="1"/>
        <rFont val="WenQuanYi Zen Hei"/>
        <family val="2"/>
      </rPr>
      <t xml:space="preserve">）</t>
    </r>
  </si>
  <si>
    <r>
      <rPr>
        <sz val="11"/>
        <color theme="1"/>
        <rFont val="WenQuanYi Zen Hei"/>
        <family val="2"/>
      </rPr>
      <t xml:space="preserve">尖谷換算只含時間平均，不含故障／路由；但滿載度 </t>
    </r>
    <r>
      <rPr>
        <sz val="11"/>
        <color theme="1"/>
        <rFont val="Calibri"/>
        <family val="2"/>
        <charset val="1"/>
      </rPr>
      <t xml:space="preserve">0.7–1.0 </t>
    </r>
    <r>
      <rPr>
        <sz val="11"/>
        <color theme="1"/>
        <rFont val="WenQuanYi Zen Hei"/>
        <family val="2"/>
      </rPr>
      <t xml:space="preserve">與折減有部分重疊，無法分離</t>
    </r>
  </si>
  <si>
    <r>
      <rPr>
        <sz val="11"/>
        <color theme="1"/>
        <rFont val="WenQuanYi Zen Hei"/>
        <family val="2"/>
      </rPr>
      <t xml:space="preserve">替代使有效利用率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WenQuanYi Zen Hei"/>
        <family val="2"/>
      </rPr>
      <t xml:space="preserve">，所需 </t>
    </r>
    <r>
      <rPr>
        <sz val="11"/>
        <color theme="1"/>
        <rFont val="Calibri"/>
        <family val="2"/>
        <charset val="1"/>
      </rPr>
      <t xml:space="preserve">L×m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1.33 </t>
    </r>
    <r>
      <rPr>
        <sz val="11"/>
        <color theme="1"/>
        <rFont val="WenQuanYi Zen Hei"/>
        <family val="2"/>
      </rPr>
      <t xml:space="preserve">降到 </t>
    </r>
    <r>
      <rPr>
        <sz val="11"/>
        <color theme="1"/>
        <rFont val="Calibri"/>
        <family val="2"/>
        <charset val="1"/>
      </rPr>
      <t xml:space="preserve">1.13</t>
    </r>
  </si>
  <si>
    <r>
      <rPr>
        <sz val="11"/>
        <color theme="1"/>
        <rFont val="WenQuanYi Zen Hei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WenQuanYi Zen Hei"/>
        <family val="2"/>
      </rPr>
      <t xml:space="preserve">決定口徑，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段可補 </t>
    </r>
    <r>
      <rPr>
        <sz val="11"/>
        <color theme="1"/>
        <rFont val="Calibri"/>
        <family val="2"/>
        <charset val="1"/>
      </rPr>
      <t xml:space="preserve">Serving C18 </t>
    </r>
    <r>
      <rPr>
        <sz val="11"/>
        <color theme="1"/>
        <rFont val="WenQuanYi Zen Hei"/>
        <family val="2"/>
      </rPr>
      <t xml:space="preserve">的證據</t>
    </r>
  </si>
  <si>
    <t xml:space="preserve">J4</t>
  </si>
  <si>
    <r>
      <rPr>
        <sz val="11"/>
        <color theme="1"/>
        <rFont val="Calibri"/>
        <family val="2"/>
        <charset val="1"/>
      </rPr>
      <t xml:space="preserve">B4_Serve </t>
    </r>
    <r>
      <rPr>
        <sz val="11"/>
        <color theme="1"/>
        <rFont val="WenQuanYi Zen Hei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0.41 </t>
    </r>
    <r>
      <rPr>
        <sz val="11"/>
        <color theme="1"/>
        <rFont val="WenQuanYi Zen Hei"/>
        <family val="2"/>
      </rPr>
      <t xml:space="preserve">是否改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WenQuanYi Zen Hei"/>
        <family val="2"/>
      </rPr>
      <t xml:space="preserve">？</t>
    </r>
  </si>
  <si>
    <r>
      <rPr>
        <sz val="11"/>
        <color theme="1"/>
        <rFont val="WenQuanYi Zen Hei"/>
        <family val="2"/>
      </rPr>
      <t xml:space="preserve">保留 </t>
    </r>
    <r>
      <rPr>
        <sz val="11"/>
        <color theme="1"/>
        <rFont val="Calibri"/>
        <family val="2"/>
        <charset val="1"/>
      </rPr>
      <t xml:space="preserve">0.41</t>
    </r>
    <r>
      <rPr>
        <sz val="11"/>
        <color theme="1"/>
        <rFont val="WenQuanYi Zen Hei"/>
        <family val="2"/>
      </rPr>
      <t xml:space="preserve">（證據範圍 </t>
    </r>
    <r>
      <rPr>
        <sz val="11"/>
        <color theme="1"/>
        <rFont val="Calibri"/>
        <family val="2"/>
        <charset val="1"/>
      </rPr>
      <t xml:space="preserve">0.26–0.51</t>
    </r>
    <r>
      <rPr>
        <sz val="11"/>
        <color theme="1"/>
        <rFont val="WenQuanYi Zen Hei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0.41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0.50 </t>
    </r>
    <r>
      <rPr>
        <sz val="11"/>
        <color theme="1"/>
        <rFont val="WenQuanYi Zen Hei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WenQuanYi Zen Hei"/>
        <family val="2"/>
      </rPr>
      <t xml:space="preserve">文字「約各半」而非數字）</t>
    </r>
  </si>
  <si>
    <r>
      <rPr>
        <sz val="11"/>
        <color theme="1"/>
        <rFont val="WenQuanYi Zen Hei"/>
        <family val="2"/>
      </rPr>
      <t xml:space="preserve">改 </t>
    </r>
    <r>
      <rPr>
        <sz val="11"/>
        <color theme="1"/>
        <rFont val="Calibri"/>
        <family val="2"/>
        <charset val="1"/>
      </rPr>
      <t xml:space="preserve">0.50</t>
    </r>
    <r>
      <rPr>
        <sz val="11"/>
        <color theme="1"/>
        <rFont val="WenQuanYi Zen Hei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WenQuanYi Zen Hei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0.462 </t>
    </r>
    <r>
      <rPr>
        <sz val="11"/>
        <color theme="1"/>
        <rFont val="WenQuanYi Zen Hei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0.564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WenQuanYi Zen Hei"/>
        <family val="2"/>
      </rPr>
      <t xml:space="preserve">），每服務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營收下降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</si>
  <si>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WenQuanYi Zen Hei"/>
        <family val="2"/>
      </rPr>
      <t xml:space="preserve">現值與 </t>
    </r>
    <r>
      <rPr>
        <sz val="11"/>
        <color theme="1"/>
        <rFont val="Calibri"/>
        <family val="2"/>
        <charset val="1"/>
      </rPr>
      <t xml:space="preserve">Anthropic </t>
    </r>
    <r>
      <rPr>
        <sz val="11"/>
        <color theme="1"/>
        <rFont val="WenQuanYi Zen Hei"/>
        <family val="2"/>
      </rPr>
      <t xml:space="preserve">反推 </t>
    </r>
    <r>
      <rPr>
        <sz val="11"/>
        <color theme="1"/>
        <rFont val="Calibri"/>
        <family val="2"/>
        <charset val="1"/>
      </rPr>
      <t xml:space="preserve">0.40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2024→2025 </t>
    </r>
    <r>
      <rPr>
        <sz val="11"/>
        <color theme="1"/>
        <rFont val="WenQuanYi Zen Hei"/>
        <family val="2"/>
      </rPr>
      <t xml:space="preserve">趨勢一致；且分母訓練 </t>
    </r>
    <r>
      <rPr>
        <sz val="11"/>
        <color theme="1"/>
        <rFont val="Calibri"/>
        <family val="2"/>
        <charset val="1"/>
      </rPr>
      <t xml:space="preserve">$12B </t>
    </r>
    <r>
      <rPr>
        <sz val="11"/>
        <color theme="1"/>
        <rFont val="WenQuanYi Zen Hei"/>
        <family val="2"/>
      </rPr>
      <t xml:space="preserve">未驗證，不宜用不確定分母移動基準</t>
    </r>
  </si>
  <si>
    <t xml:space="preserve">服務占比越高 → 覆蓋倍數越低</t>
  </si>
  <si>
    <r>
      <rPr>
        <sz val="11"/>
        <color theme="1"/>
        <rFont val="WenQuanYi Zen Hei"/>
        <family val="2"/>
      </rPr>
      <t xml:space="preserve">取得 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WenQuanYi Zen Hei"/>
        <family val="2"/>
      </rPr>
      <t xml:space="preserve">原文後</t>
    </r>
  </si>
  <si>
    <t xml:space="preserve">J5</t>
  </si>
  <si>
    <r>
      <rPr>
        <sz val="11"/>
        <color theme="1"/>
        <rFont val="Calibri"/>
        <family val="2"/>
        <charset val="1"/>
      </rPr>
      <t xml:space="preserve">SRC_DEM_006</t>
    </r>
    <r>
      <rPr>
        <sz val="11"/>
        <color theme="1"/>
        <rFont val="WenQuanYi Zen Hei"/>
        <family val="2"/>
      </rPr>
      <t xml:space="preserve">（訓練 </t>
    </r>
    <r>
      <rPr>
        <sz val="11"/>
        <color theme="1"/>
        <rFont val="Calibri"/>
        <family val="2"/>
        <charset val="1"/>
      </rPr>
      <t xml:space="preserve">$12B</t>
    </r>
    <r>
      <rPr>
        <sz val="11"/>
        <color theme="1"/>
        <rFont val="WenQuanYi Zen Hei"/>
        <family val="2"/>
      </rPr>
      <t xml:space="preserve">）出處標示</t>
    </r>
  </si>
  <si>
    <r>
      <rPr>
        <sz val="11"/>
        <color theme="1"/>
        <rFont val="WenQuanYi Zen Hei"/>
        <family val="2"/>
      </rPr>
      <t xml:space="preserve">標記為「出處待補」並列入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段：取 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WenQuanYi Zen Hei"/>
        <family val="2"/>
      </rPr>
      <t xml:space="preserve">或其他一手來源原文</t>
    </r>
  </si>
  <si>
    <r>
      <rPr>
        <sz val="11"/>
        <color theme="1"/>
        <rFont val="WenQuanYi Zen Hei"/>
        <family val="2"/>
      </rPr>
      <t xml:space="preserve">改以 </t>
    </r>
    <r>
      <rPr>
        <sz val="11"/>
        <color theme="1"/>
        <rFont val="Calibri"/>
        <family val="2"/>
        <charset val="1"/>
      </rPr>
      <t xml:space="preserve">Epoch S3</t>
    </r>
    <r>
      <rPr>
        <sz val="11"/>
        <color theme="1"/>
        <rFont val="WenQuanYi Zen Hei"/>
        <family val="2"/>
      </rPr>
      <t xml:space="preserve">「約各半」為唯一依據，並把 </t>
    </r>
    <r>
      <rPr>
        <sz val="11"/>
        <color theme="1"/>
        <rFont val="Calibri"/>
        <family val="2"/>
        <charset val="1"/>
      </rPr>
      <t xml:space="preserve">$12B </t>
    </r>
    <r>
      <rPr>
        <sz val="11"/>
        <color theme="1"/>
        <rFont val="WenQuanYi Zen Hei"/>
        <family val="2"/>
      </rPr>
      <t xml:space="preserve">降為對照</t>
    </r>
  </si>
  <si>
    <r>
      <rPr>
        <sz val="11"/>
        <color theme="1"/>
        <rFont val="WenQuanYi Zen Hei"/>
        <family val="2"/>
      </rPr>
      <t xml:space="preserve">本段與子代理皆查不到 </t>
    </r>
    <r>
      <rPr>
        <sz val="11"/>
        <color theme="1"/>
        <rFont val="Calibri"/>
        <family val="2"/>
        <charset val="1"/>
      </rPr>
      <t xml:space="preserve">$12B </t>
    </r>
    <r>
      <rPr>
        <sz val="11"/>
        <color theme="1"/>
        <rFont val="WenQuanYi Zen Hei"/>
        <family val="2"/>
      </rPr>
      <t xml:space="preserve">的外部原文；可能與 </t>
    </r>
    <r>
      <rPr>
        <sz val="11"/>
        <color theme="1"/>
        <rFont val="Calibri"/>
        <family val="2"/>
        <charset val="1"/>
      </rPr>
      <t xml:space="preserve">$12.43B Azure </t>
    </r>
    <r>
      <rPr>
        <sz val="11"/>
        <color theme="1"/>
        <rFont val="WenQuanYi Zen Hei"/>
        <family val="2"/>
      </rPr>
      <t xml:space="preserve">推論累計混淆（</t>
    </r>
    <r>
      <rPr>
        <sz val="11"/>
        <color theme="1"/>
        <rFont val="Calibri"/>
        <family val="2"/>
        <charset val="1"/>
      </rPr>
      <t xml:space="preserve">S5</t>
    </r>
    <r>
      <rPr>
        <sz val="11"/>
        <color theme="1"/>
        <rFont val="WenQuanYi Zen Hei"/>
        <family val="2"/>
      </rPr>
      <t xml:space="preserve">，未證實）</t>
    </r>
  </si>
  <si>
    <r>
      <rPr>
        <sz val="11"/>
        <color theme="1"/>
        <rFont val="WenQuanYi Zen Hei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$12B </t>
    </r>
    <r>
      <rPr>
        <sz val="11"/>
        <color theme="1"/>
        <rFont val="WenQuanYi Zen Hei"/>
        <family val="2"/>
      </rPr>
      <t xml:space="preserve">錯誤，</t>
    </r>
    <r>
      <rPr>
        <sz val="11"/>
        <color theme="1"/>
        <rFont val="Calibri"/>
        <family val="2"/>
        <charset val="1"/>
      </rPr>
      <t xml:space="preserve">B4_Serve </t>
    </r>
    <r>
      <rPr>
        <sz val="11"/>
        <color theme="1"/>
        <rFont val="WenQuanYi Zen Hei"/>
        <family val="2"/>
      </rPr>
      <t xml:space="preserve">現值可能偏低（若訓練較小）或偏高</t>
    </r>
  </si>
  <si>
    <r>
      <rPr>
        <sz val="11"/>
        <color theme="1"/>
        <rFont val="WenQuanYi Zen Hei"/>
        <family val="2"/>
      </rPr>
      <t xml:space="preserve">建議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段處理（先於任何改值）</t>
    </r>
  </si>
  <si>
    <t xml:space="preserve">J6</t>
  </si>
  <si>
    <r>
      <rPr>
        <sz val="11"/>
        <color theme="1"/>
        <rFont val="Calibri"/>
        <family val="2"/>
        <charset val="1"/>
      </rPr>
      <t xml:space="preserve">B4_Serve </t>
    </r>
    <r>
      <rPr>
        <sz val="11"/>
        <color theme="1"/>
        <rFont val="WenQuanYi Zen Hei"/>
        <family val="2"/>
      </rPr>
      <t xml:space="preserve">是支出口徑卻乘在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上，是否換算？</t>
    </r>
  </si>
  <si>
    <r>
      <rPr>
        <sz val="11"/>
        <color theme="1"/>
        <rFont val="WenQuanYi Zen Hei"/>
        <family val="2"/>
      </rPr>
      <t xml:space="preserve">維持（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WenQuanYi Zen Hei"/>
        <family val="2"/>
      </rPr>
      <t xml:space="preserve">），說明已寫；本段證據無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口徑</t>
    </r>
  </si>
  <si>
    <r>
      <rPr>
        <sz val="11"/>
        <color theme="1"/>
        <rFont val="WenQuanYi Zen Hei"/>
        <family val="2"/>
      </rPr>
      <t xml:space="preserve">以利用率與雲端加價換算成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占比</t>
    </r>
  </si>
  <si>
    <r>
      <rPr>
        <sz val="11"/>
        <color theme="1"/>
        <rFont val="WenQuanYi Zen Hei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口徑證據可驗證換算；換算本身又引入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</si>
  <si>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WenQuanYi Zen Hei"/>
        <family val="2"/>
      </rPr>
      <t xml:space="preserve">方向不定：舊世代多用於推論 →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WenQuanYi Zen Hei"/>
        <family val="2"/>
      </rPr>
      <t xml:space="preserve">占比高於支出占比</t>
    </r>
  </si>
  <si>
    <r>
      <rPr>
        <sz val="11"/>
        <color theme="1"/>
        <rFont val="WenQuanYi Zen Hei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WenQuanYi Zen Hei"/>
        <family val="2"/>
      </rPr>
      <t xml:space="preserve">決定是否值得做</t>
    </r>
  </si>
  <si>
    <t xml:space="preserve">J7</t>
  </si>
  <si>
    <r>
      <rPr>
        <sz val="11"/>
        <color theme="1"/>
        <rFont val="Calibri"/>
        <family val="2"/>
        <charset val="1"/>
      </rPr>
      <t xml:space="preserve">B4_Free 0.46 </t>
    </r>
    <r>
      <rPr>
        <sz val="11"/>
        <color theme="1"/>
        <rFont val="WenQuanYi Zen Hei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Alloc_In C16</t>
    </r>
    <r>
      <rPr>
        <sz val="11"/>
        <color theme="1"/>
        <rFont val="WenQuanYi Zen Hei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口徑免費占比）是否對齊？</t>
    </r>
  </si>
  <si>
    <r>
      <rPr>
        <sz val="11"/>
        <color theme="1"/>
        <rFont val="WenQuanYi Zen Hei"/>
        <family val="2"/>
      </rPr>
      <t xml:space="preserve">不對齊（</t>
    </r>
    <r>
      <rPr>
        <sz val="11"/>
        <color theme="1"/>
        <rFont val="Calibri"/>
        <family val="2"/>
        <charset val="1"/>
      </rPr>
      <t xml:space="preserve">Decisions SL46-28 </t>
    </r>
    <r>
      <rPr>
        <sz val="11"/>
        <color theme="1"/>
        <rFont val="WenQuanYi Zen Hei"/>
        <family val="2"/>
      </rPr>
      <t xml:space="preserve">已接受）；</t>
    </r>
    <r>
      <rPr>
        <sz val="11"/>
        <color theme="1"/>
        <rFont val="Calibri"/>
        <family val="2"/>
        <charset val="1"/>
      </rPr>
      <t xml:space="preserve">B4_Free </t>
    </r>
    <r>
      <rPr>
        <sz val="11"/>
        <color theme="1"/>
        <rFont val="WenQuanYi Zen Hei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</si>
  <si>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WenQuanYi Zen Hei"/>
        <family val="2"/>
      </rPr>
      <t xml:space="preserve">把兩者統一成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口徑</t>
    </r>
  </si>
  <si>
    <r>
      <rPr>
        <sz val="11"/>
        <color theme="1"/>
        <rFont val="WenQuanYi Zen Hei"/>
        <family val="2"/>
      </rPr>
      <t xml:space="preserve">本段對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口徑免費占比未找到任何來源（只有用戶數占比）</t>
    </r>
  </si>
  <si>
    <t xml:space="preserve">免費占比越高 → 付費機隊越小</t>
  </si>
  <si>
    <r>
      <rPr>
        <sz val="11"/>
        <color theme="1"/>
        <rFont val="WenQuanYi Zen Hei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WenQuanYi Zen Hei"/>
        <family val="2"/>
      </rPr>
      <t xml:space="preserve">口徑證據之後</t>
    </r>
  </si>
  <si>
    <t xml:space="preserve">J8</t>
  </si>
  <si>
    <r>
      <rPr>
        <sz val="11"/>
        <color theme="1"/>
        <rFont val="WenQuanYi Zen Hei"/>
        <family val="2"/>
      </rPr>
      <t xml:space="preserve">是否發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WenQuanYi Zen Hei"/>
        <family val="2"/>
      </rPr>
      <t xml:space="preserve">段？</t>
    </r>
  </si>
  <si>
    <r>
      <rPr>
        <sz val="11"/>
        <color theme="1"/>
        <rFont val="WenQuanYi Zen Hei"/>
        <family val="2"/>
      </rPr>
      <t xml:space="preserve">發：只做取原文（</t>
    </r>
    <r>
      <rPr>
        <sz val="11"/>
        <color theme="1"/>
        <rFont val="Calibri"/>
        <family val="2"/>
        <charset val="1"/>
      </rPr>
      <t xml:space="preserve">The Information 2026-02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Aegaeon SOSP 2025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Cast AI</t>
    </r>
    <r>
      <rPr>
        <sz val="11"/>
        <color theme="1"/>
        <rFont val="WenQuanYi Zen Hei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 CSV</t>
    </r>
    <r>
      <rPr>
        <sz val="11"/>
        <color theme="1"/>
        <rFont val="WenQuanYi Zen Hei"/>
        <family val="2"/>
      </rPr>
      <t xml:space="preserve">），不改模型</t>
    </r>
  </si>
  <si>
    <t xml:space="preserve">不發，三項都保留現值</t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</si>
  <si>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WenQuanYi Zen Hei"/>
        <family val="2"/>
      </rPr>
      <t xml:space="preserve">段的主要缺口是原文未讀與分母出處，不是搜尋範圍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</si>
  <si>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WenQuanYi Zen Hei"/>
        <family val="2"/>
      </rPr>
      <t xml:space="preserve">決定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</si>
</sst>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000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Cambria"/>
      <family val="0"/>
      <charset val="1"/>
    </font>
    <font>
      <b val="true"/>
      <sz val="11"/>
      <name val="WenQuanYi Zen Hei"/>
      <family val="2"/>
    </font>
    <font>
      <b val="true"/>
      <sz val="11"/>
      <name val="Cambria"/>
      <family val="0"/>
      <charset val="1"/>
    </font>
    <font>
      <sz val="11"/>
      <color theme="1"/>
      <name val="WenQuanYi Zen Hei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55"/>
    <col collapsed="false" customWidth="true" hidden="false" outlineLevel="0" max="4" min="4" style="0" width="5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3" t="s">
        <v>2</v>
      </c>
      <c r="C3" s="3" t="s">
        <v>3</v>
      </c>
      <c r="D3" s="3" t="s">
        <v>4</v>
      </c>
    </row>
    <row r="4" customFormat="false" ht="15" hidden="false" customHeight="false" outlineLevel="0" collapsed="false">
      <c r="A4" s="4" t="s">
        <v>5</v>
      </c>
      <c r="B4" s="5" t="s">
        <v>6</v>
      </c>
      <c r="C4" s="5" t="s">
        <v>7</v>
      </c>
      <c r="D4" s="5" t="s">
        <v>8</v>
      </c>
    </row>
    <row r="5" customFormat="false" ht="15" hidden="false" customHeight="false" outlineLevel="0" collapsed="false">
      <c r="A5" s="4" t="s">
        <v>9</v>
      </c>
      <c r="B5" s="6" t="n">
        <v>0.41</v>
      </c>
      <c r="C5" s="6" t="n">
        <v>0.41</v>
      </c>
      <c r="D5" s="6" t="n">
        <v>0.46</v>
      </c>
    </row>
    <row r="6" customFormat="false" ht="15" hidden="false" customHeight="false" outlineLevel="0" collapsed="false">
      <c r="A6" s="4" t="s">
        <v>10</v>
      </c>
      <c r="B6" s="6" t="n">
        <v>0.3</v>
      </c>
      <c r="C6" s="6" t="n">
        <v>0.3</v>
      </c>
      <c r="D6" s="6" t="n">
        <v>0.35</v>
      </c>
    </row>
    <row r="7" customFormat="false" ht="15" hidden="false" customHeight="false" outlineLevel="0" collapsed="false">
      <c r="A7" s="4" t="s">
        <v>11</v>
      </c>
      <c r="B7" s="6" t="n">
        <v>0.65</v>
      </c>
      <c r="C7" s="6" t="n">
        <v>0.6</v>
      </c>
      <c r="D7" s="6" t="n">
        <v>0.6</v>
      </c>
    </row>
    <row r="8" customFormat="false" ht="15" hidden="false" customHeight="false" outlineLevel="0" collapsed="false">
      <c r="A8" s="4" t="s">
        <v>12</v>
      </c>
      <c r="B8" s="5" t="s">
        <v>13</v>
      </c>
      <c r="C8" s="5" t="s">
        <v>14</v>
      </c>
      <c r="D8" s="5" t="s">
        <v>15</v>
      </c>
    </row>
    <row r="9" customFormat="false" ht="55.2" hidden="false" customHeight="false" outlineLevel="0" collapsed="false">
      <c r="A9" s="4" t="s">
        <v>16</v>
      </c>
      <c r="B9" s="7" t="s">
        <v>17</v>
      </c>
      <c r="C9" s="7" t="s">
        <v>18</v>
      </c>
      <c r="D9" s="7" t="s">
        <v>19</v>
      </c>
    </row>
    <row r="10" customFormat="false" ht="28.35" hidden="false" customHeight="false" outlineLevel="0" collapsed="false">
      <c r="A10" s="4" t="s">
        <v>20</v>
      </c>
      <c r="B10" s="7" t="s">
        <v>21</v>
      </c>
      <c r="C10" s="7" t="s">
        <v>22</v>
      </c>
      <c r="D10" s="7" t="s">
        <v>23</v>
      </c>
    </row>
    <row r="11" customFormat="false" ht="28.35" hidden="false" customHeight="false" outlineLevel="0" collapsed="false">
      <c r="A11" s="4" t="s">
        <v>24</v>
      </c>
      <c r="B11" s="7" t="s">
        <v>25</v>
      </c>
      <c r="C11" s="7" t="s">
        <v>26</v>
      </c>
      <c r="D11" s="7" t="s">
        <v>27</v>
      </c>
    </row>
    <row r="12" customFormat="false" ht="28.35" hidden="false" customHeight="false" outlineLevel="0" collapsed="false">
      <c r="A12" s="4" t="s">
        <v>28</v>
      </c>
      <c r="B12" s="7" t="s">
        <v>29</v>
      </c>
      <c r="C12" s="7" t="s">
        <v>30</v>
      </c>
      <c r="D12" s="7" t="s">
        <v>31</v>
      </c>
    </row>
    <row r="13" customFormat="false" ht="41.75" hidden="false" customHeight="false" outlineLevel="0" collapsed="false">
      <c r="A13" s="4" t="s">
        <v>32</v>
      </c>
      <c r="B13" s="5" t="s">
        <v>33</v>
      </c>
      <c r="C13" s="5" t="s">
        <v>34</v>
      </c>
      <c r="D13" s="5" t="s">
        <v>35</v>
      </c>
    </row>
    <row r="14" customFormat="false" ht="55.2" hidden="false" customHeight="false" outlineLevel="0" collapsed="false">
      <c r="A14" s="4" t="s">
        <v>36</v>
      </c>
      <c r="B14" s="5" t="s">
        <v>37</v>
      </c>
      <c r="C14" s="7" t="s">
        <v>38</v>
      </c>
      <c r="D14" s="7" t="s">
        <v>39</v>
      </c>
    </row>
    <row r="15" customFormat="false" ht="28.35" hidden="false" customHeight="false" outlineLevel="0" collapsed="false">
      <c r="A15" s="4" t="s">
        <v>40</v>
      </c>
      <c r="B15" s="7" t="s">
        <v>41</v>
      </c>
      <c r="C15" s="7" t="s">
        <v>42</v>
      </c>
      <c r="D15" s="7" t="s">
        <v>43</v>
      </c>
    </row>
    <row r="17" customFormat="false" ht="55.2" hidden="false" customHeight="false" outlineLevel="0" collapsed="false">
      <c r="A17" s="8" t="s">
        <v>44</v>
      </c>
      <c r="B17" s="7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45"/>
    <col collapsed="false" customWidth="true" hidden="false" outlineLevel="0" max="4" min="4" style="0" width="50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45"/>
    <col collapsed="false" customWidth="true" hidden="false" outlineLevel="0" max="8" min="8" style="0" width="28"/>
    <col collapsed="false" customWidth="true" hidden="false" outlineLevel="0" max="10" min="9" style="0" width="18"/>
  </cols>
  <sheetData>
    <row r="1" customFormat="false" ht="16.15" hidden="false" customHeight="false" outlineLevel="0" collapsed="false">
      <c r="A1" s="1" t="s">
        <v>46</v>
      </c>
    </row>
    <row r="3" customFormat="false" ht="15" hidden="false" customHeight="false" outlineLevel="0" collapsed="false">
      <c r="A3" s="2" t="s">
        <v>47</v>
      </c>
      <c r="B3" s="2" t="s">
        <v>48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54</v>
      </c>
      <c r="I3" s="2" t="s">
        <v>55</v>
      </c>
      <c r="J3" s="2" t="s">
        <v>56</v>
      </c>
    </row>
    <row r="4" customFormat="false" ht="15" hidden="false" customHeight="false" outlineLevel="0" collapsed="false">
      <c r="A4" s="9" t="s">
        <v>57</v>
      </c>
      <c r="B4" s="10"/>
      <c r="C4" s="10"/>
      <c r="D4" s="10"/>
      <c r="E4" s="10"/>
      <c r="F4" s="10"/>
      <c r="G4" s="10"/>
      <c r="H4" s="10"/>
      <c r="I4" s="10"/>
      <c r="J4" s="10"/>
    </row>
    <row r="5" customFormat="false" ht="82.05" hidden="false" customHeight="false" outlineLevel="0" collapsed="false">
      <c r="A5" s="5" t="s">
        <v>58</v>
      </c>
      <c r="B5" s="5" t="s">
        <v>59</v>
      </c>
      <c r="C5" s="5" t="s">
        <v>60</v>
      </c>
      <c r="D5" s="5" t="s">
        <v>61</v>
      </c>
      <c r="E5" s="5" t="s">
        <v>62</v>
      </c>
      <c r="F5" s="5" t="s">
        <v>63</v>
      </c>
      <c r="G5" s="7" t="s">
        <v>64</v>
      </c>
      <c r="H5" s="5" t="s">
        <v>65</v>
      </c>
      <c r="I5" s="7" t="s">
        <v>66</v>
      </c>
      <c r="J5" s="7" t="s">
        <v>67</v>
      </c>
    </row>
    <row r="6" customFormat="false" ht="41.75" hidden="false" customHeight="false" outlineLevel="0" collapsed="false">
      <c r="A6" s="5" t="s">
        <v>68</v>
      </c>
      <c r="B6" s="5" t="s">
        <v>59</v>
      </c>
      <c r="C6" s="5" t="s">
        <v>69</v>
      </c>
      <c r="D6" s="5" t="s">
        <v>70</v>
      </c>
      <c r="E6" s="7" t="s">
        <v>71</v>
      </c>
      <c r="F6" s="5" t="s">
        <v>72</v>
      </c>
      <c r="G6" s="7" t="s">
        <v>73</v>
      </c>
      <c r="H6" s="5" t="s">
        <v>74</v>
      </c>
      <c r="I6" s="7" t="s">
        <v>66</v>
      </c>
      <c r="J6" s="7" t="s">
        <v>75</v>
      </c>
    </row>
    <row r="7" customFormat="false" ht="41.75" hidden="false" customHeight="false" outlineLevel="0" collapsed="false">
      <c r="A7" s="5" t="s">
        <v>76</v>
      </c>
      <c r="B7" s="5" t="s">
        <v>59</v>
      </c>
      <c r="C7" s="5" t="s">
        <v>77</v>
      </c>
      <c r="D7" s="5" t="s">
        <v>78</v>
      </c>
      <c r="E7" s="7" t="s">
        <v>79</v>
      </c>
      <c r="F7" s="7" t="s">
        <v>80</v>
      </c>
      <c r="G7" s="7" t="s">
        <v>81</v>
      </c>
      <c r="H7" s="5" t="s">
        <v>82</v>
      </c>
      <c r="I7" s="7" t="s">
        <v>66</v>
      </c>
      <c r="J7" s="7" t="s">
        <v>75</v>
      </c>
    </row>
    <row r="8" customFormat="false" ht="82.05" hidden="false" customHeight="false" outlineLevel="0" collapsed="false">
      <c r="A8" s="5" t="s">
        <v>83</v>
      </c>
      <c r="B8" s="5" t="s">
        <v>59</v>
      </c>
      <c r="C8" s="5" t="s">
        <v>84</v>
      </c>
      <c r="D8" s="5" t="s">
        <v>85</v>
      </c>
      <c r="E8" s="7" t="s">
        <v>86</v>
      </c>
      <c r="F8" s="7" t="s">
        <v>87</v>
      </c>
      <c r="G8" s="7" t="s">
        <v>88</v>
      </c>
      <c r="H8" s="5" t="s">
        <v>89</v>
      </c>
      <c r="I8" s="7" t="s">
        <v>66</v>
      </c>
      <c r="J8" s="7" t="s">
        <v>90</v>
      </c>
    </row>
    <row r="9" customFormat="false" ht="68.65" hidden="false" customHeight="false" outlineLevel="0" collapsed="false">
      <c r="A9" s="5" t="s">
        <v>91</v>
      </c>
      <c r="B9" s="5" t="s">
        <v>59</v>
      </c>
      <c r="C9" s="5" t="s">
        <v>92</v>
      </c>
      <c r="D9" s="7" t="s">
        <v>93</v>
      </c>
      <c r="E9" s="5" t="s">
        <v>94</v>
      </c>
      <c r="F9" s="5" t="s">
        <v>95</v>
      </c>
      <c r="G9" s="7" t="s">
        <v>96</v>
      </c>
      <c r="H9" s="5" t="s">
        <v>97</v>
      </c>
      <c r="I9" s="7" t="s">
        <v>98</v>
      </c>
      <c r="J9" s="7" t="s">
        <v>75</v>
      </c>
    </row>
    <row r="10" customFormat="false" ht="41.75" hidden="false" customHeight="false" outlineLevel="0" collapsed="false">
      <c r="A10" s="5" t="s">
        <v>99</v>
      </c>
      <c r="B10" s="5" t="s">
        <v>59</v>
      </c>
      <c r="C10" s="5" t="s">
        <v>100</v>
      </c>
      <c r="D10" s="7" t="s">
        <v>101</v>
      </c>
      <c r="E10" s="7" t="s">
        <v>102</v>
      </c>
      <c r="F10" s="7" t="s">
        <v>103</v>
      </c>
      <c r="G10" s="7" t="s">
        <v>104</v>
      </c>
      <c r="H10" s="5" t="s">
        <v>105</v>
      </c>
      <c r="I10" s="7" t="s">
        <v>66</v>
      </c>
      <c r="J10" s="7" t="s">
        <v>106</v>
      </c>
    </row>
    <row r="11" customFormat="false" ht="41.75" hidden="false" customHeight="false" outlineLevel="0" collapsed="false">
      <c r="A11" s="5" t="s">
        <v>107</v>
      </c>
      <c r="B11" s="5" t="s">
        <v>59</v>
      </c>
      <c r="C11" s="5" t="s">
        <v>108</v>
      </c>
      <c r="D11" s="7" t="s">
        <v>109</v>
      </c>
      <c r="E11" s="5" t="s">
        <v>110</v>
      </c>
      <c r="F11" s="7" t="s">
        <v>111</v>
      </c>
      <c r="G11" s="7" t="s">
        <v>112</v>
      </c>
      <c r="H11" s="5" t="s">
        <v>113</v>
      </c>
      <c r="I11" s="7" t="s">
        <v>98</v>
      </c>
      <c r="J11" s="7" t="s">
        <v>106</v>
      </c>
    </row>
    <row r="12" customFormat="false" ht="55.2" hidden="false" customHeight="false" outlineLevel="0" collapsed="false">
      <c r="A12" s="5" t="s">
        <v>114</v>
      </c>
      <c r="B12" s="5" t="s">
        <v>59</v>
      </c>
      <c r="C12" s="5" t="s">
        <v>115</v>
      </c>
      <c r="D12" s="7" t="s">
        <v>116</v>
      </c>
      <c r="E12" s="5" t="s">
        <v>117</v>
      </c>
      <c r="F12" s="7" t="s">
        <v>118</v>
      </c>
      <c r="G12" s="7" t="s">
        <v>119</v>
      </c>
      <c r="H12" s="5" t="s">
        <v>120</v>
      </c>
      <c r="I12" s="7" t="s">
        <v>98</v>
      </c>
      <c r="J12" s="7" t="s">
        <v>121</v>
      </c>
    </row>
    <row r="13" customFormat="false" ht="41.75" hidden="false" customHeight="false" outlineLevel="0" collapsed="false">
      <c r="A13" s="5" t="s">
        <v>122</v>
      </c>
      <c r="B13" s="5" t="s">
        <v>59</v>
      </c>
      <c r="C13" s="5" t="s">
        <v>123</v>
      </c>
      <c r="D13" s="7" t="s">
        <v>124</v>
      </c>
      <c r="E13" s="7" t="s">
        <v>125</v>
      </c>
      <c r="F13" s="7" t="s">
        <v>126</v>
      </c>
      <c r="G13" s="7" t="s">
        <v>127</v>
      </c>
      <c r="H13" s="5" t="s">
        <v>128</v>
      </c>
      <c r="I13" s="7" t="s">
        <v>98</v>
      </c>
      <c r="J13" s="7" t="s">
        <v>106</v>
      </c>
    </row>
    <row r="14" customFormat="false" ht="41.75" hidden="false" customHeight="false" outlineLevel="0" collapsed="false">
      <c r="A14" s="5" t="s">
        <v>129</v>
      </c>
      <c r="B14" s="5" t="s">
        <v>59</v>
      </c>
      <c r="C14" s="5" t="s">
        <v>130</v>
      </c>
      <c r="D14" s="7" t="s">
        <v>131</v>
      </c>
      <c r="E14" s="7" t="s">
        <v>132</v>
      </c>
      <c r="F14" s="7" t="s">
        <v>133</v>
      </c>
      <c r="G14" s="7" t="s">
        <v>134</v>
      </c>
      <c r="H14" s="5" t="s">
        <v>135</v>
      </c>
      <c r="I14" s="7" t="s">
        <v>98</v>
      </c>
      <c r="J14" s="7" t="s">
        <v>133</v>
      </c>
    </row>
    <row r="15" customFormat="false" ht="55.2" hidden="false" customHeight="false" outlineLevel="0" collapsed="false">
      <c r="A15" s="5" t="s">
        <v>136</v>
      </c>
      <c r="B15" s="5" t="s">
        <v>59</v>
      </c>
      <c r="C15" s="5" t="s">
        <v>137</v>
      </c>
      <c r="D15" s="5" t="s">
        <v>138</v>
      </c>
      <c r="E15" s="7" t="s">
        <v>139</v>
      </c>
      <c r="F15" s="7" t="s">
        <v>140</v>
      </c>
      <c r="G15" s="7" t="s">
        <v>141</v>
      </c>
      <c r="H15" s="5" t="s">
        <v>142</v>
      </c>
      <c r="I15" s="7" t="s">
        <v>143</v>
      </c>
      <c r="J15" s="7" t="s">
        <v>144</v>
      </c>
    </row>
    <row r="16" customFormat="false" ht="15" hidden="false" customHeight="false" outlineLevel="0" collapsed="false">
      <c r="A16" s="9" t="s">
        <v>145</v>
      </c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82.05" hidden="false" customHeight="false" outlineLevel="0" collapsed="false">
      <c r="A17" s="5" t="s">
        <v>146</v>
      </c>
      <c r="B17" s="5" t="s">
        <v>147</v>
      </c>
      <c r="C17" s="5" t="s">
        <v>148</v>
      </c>
      <c r="D17" s="7" t="s">
        <v>149</v>
      </c>
      <c r="E17" s="5" t="s">
        <v>150</v>
      </c>
      <c r="F17" s="7" t="s">
        <v>151</v>
      </c>
      <c r="G17" s="7" t="s">
        <v>152</v>
      </c>
      <c r="H17" s="5" t="s">
        <v>153</v>
      </c>
      <c r="I17" s="7" t="s">
        <v>66</v>
      </c>
      <c r="J17" s="7" t="s">
        <v>154</v>
      </c>
    </row>
    <row r="18" customFormat="false" ht="55.2" hidden="false" customHeight="false" outlineLevel="0" collapsed="false">
      <c r="A18" s="5" t="s">
        <v>155</v>
      </c>
      <c r="B18" s="5" t="s">
        <v>147</v>
      </c>
      <c r="C18" s="5" t="s">
        <v>156</v>
      </c>
      <c r="D18" s="5" t="s">
        <v>157</v>
      </c>
      <c r="E18" s="5" t="s">
        <v>158</v>
      </c>
      <c r="F18" s="7" t="s">
        <v>151</v>
      </c>
      <c r="G18" s="7" t="s">
        <v>159</v>
      </c>
      <c r="H18" s="5" t="s">
        <v>160</v>
      </c>
      <c r="I18" s="7" t="s">
        <v>161</v>
      </c>
      <c r="J18" s="7" t="s">
        <v>162</v>
      </c>
    </row>
    <row r="19" customFormat="false" ht="55.2" hidden="false" customHeight="false" outlineLevel="0" collapsed="false">
      <c r="A19" s="5" t="s">
        <v>163</v>
      </c>
      <c r="B19" s="5" t="s">
        <v>147</v>
      </c>
      <c r="C19" s="5" t="s">
        <v>164</v>
      </c>
      <c r="D19" s="5" t="s">
        <v>165</v>
      </c>
      <c r="E19" s="5" t="s">
        <v>166</v>
      </c>
      <c r="F19" s="7" t="s">
        <v>151</v>
      </c>
      <c r="G19" s="7" t="s">
        <v>167</v>
      </c>
      <c r="H19" s="5" t="s">
        <v>168</v>
      </c>
      <c r="I19" s="7" t="s">
        <v>169</v>
      </c>
      <c r="J19" s="7" t="s">
        <v>170</v>
      </c>
    </row>
    <row r="20" customFormat="false" ht="82.05" hidden="false" customHeight="false" outlineLevel="0" collapsed="false">
      <c r="A20" s="5" t="s">
        <v>171</v>
      </c>
      <c r="B20" s="5" t="s">
        <v>147</v>
      </c>
      <c r="C20" s="5" t="s">
        <v>172</v>
      </c>
      <c r="D20" s="5" t="s">
        <v>173</v>
      </c>
      <c r="E20" s="5" t="s">
        <v>174</v>
      </c>
      <c r="F20" s="7" t="s">
        <v>151</v>
      </c>
      <c r="G20" s="5" t="s">
        <v>175</v>
      </c>
      <c r="H20" s="5" t="s">
        <v>176</v>
      </c>
      <c r="I20" s="7" t="s">
        <v>66</v>
      </c>
      <c r="J20" s="7" t="s">
        <v>177</v>
      </c>
    </row>
    <row r="21" customFormat="false" ht="82.05" hidden="false" customHeight="false" outlineLevel="0" collapsed="false">
      <c r="A21" s="5" t="s">
        <v>178</v>
      </c>
      <c r="B21" s="5" t="s">
        <v>147</v>
      </c>
      <c r="C21" s="5" t="s">
        <v>179</v>
      </c>
      <c r="D21" s="7" t="s">
        <v>180</v>
      </c>
      <c r="E21" s="7" t="s">
        <v>181</v>
      </c>
      <c r="F21" s="7" t="s">
        <v>151</v>
      </c>
      <c r="G21" s="7" t="s">
        <v>182</v>
      </c>
      <c r="H21" s="5" t="s">
        <v>183</v>
      </c>
      <c r="I21" s="5" t="s">
        <v>184</v>
      </c>
      <c r="J21" s="7" t="s">
        <v>185</v>
      </c>
    </row>
    <row r="22" customFormat="false" ht="55.2" hidden="false" customHeight="false" outlineLevel="0" collapsed="false">
      <c r="A22" s="5" t="s">
        <v>186</v>
      </c>
      <c r="B22" s="5" t="s">
        <v>147</v>
      </c>
      <c r="C22" s="5" t="s">
        <v>187</v>
      </c>
      <c r="D22" s="7" t="s">
        <v>188</v>
      </c>
      <c r="E22" s="7" t="s">
        <v>189</v>
      </c>
      <c r="F22" s="7" t="s">
        <v>151</v>
      </c>
      <c r="G22" s="7" t="s">
        <v>190</v>
      </c>
      <c r="H22" s="5" t="s">
        <v>191</v>
      </c>
      <c r="I22" s="7" t="s">
        <v>98</v>
      </c>
      <c r="J22" s="7" t="s">
        <v>75</v>
      </c>
    </row>
    <row r="23" customFormat="false" ht="41.75" hidden="false" customHeight="false" outlineLevel="0" collapsed="false">
      <c r="A23" s="5" t="s">
        <v>192</v>
      </c>
      <c r="B23" s="5" t="s">
        <v>147</v>
      </c>
      <c r="C23" s="7" t="s">
        <v>193</v>
      </c>
      <c r="D23" s="7" t="s">
        <v>194</v>
      </c>
      <c r="E23" s="7" t="s">
        <v>195</v>
      </c>
      <c r="F23" s="7" t="s">
        <v>151</v>
      </c>
      <c r="G23" s="7" t="s">
        <v>196</v>
      </c>
      <c r="H23" s="5" t="s">
        <v>197</v>
      </c>
      <c r="I23" s="7" t="s">
        <v>98</v>
      </c>
      <c r="J23" s="7" t="s">
        <v>198</v>
      </c>
    </row>
    <row r="24" customFormat="false" ht="41.75" hidden="false" customHeight="false" outlineLevel="0" collapsed="false">
      <c r="A24" s="5" t="s">
        <v>199</v>
      </c>
      <c r="B24" s="5" t="s">
        <v>147</v>
      </c>
      <c r="C24" s="5" t="s">
        <v>200</v>
      </c>
      <c r="D24" s="7" t="s">
        <v>201</v>
      </c>
      <c r="E24" s="5" t="s">
        <v>202</v>
      </c>
      <c r="F24" s="7" t="s">
        <v>151</v>
      </c>
      <c r="G24" s="7" t="s">
        <v>203</v>
      </c>
      <c r="H24" s="5" t="s">
        <v>204</v>
      </c>
      <c r="I24" s="7" t="s">
        <v>98</v>
      </c>
      <c r="J24" s="7" t="s">
        <v>205</v>
      </c>
    </row>
    <row r="25" customFormat="false" ht="41.75" hidden="false" customHeight="false" outlineLevel="0" collapsed="false">
      <c r="A25" s="5" t="s">
        <v>206</v>
      </c>
      <c r="B25" s="5" t="s">
        <v>147</v>
      </c>
      <c r="C25" s="5" t="s">
        <v>207</v>
      </c>
      <c r="D25" s="7" t="s">
        <v>208</v>
      </c>
      <c r="E25" s="5" t="s">
        <v>209</v>
      </c>
      <c r="F25" s="7" t="s">
        <v>151</v>
      </c>
      <c r="G25" s="7" t="s">
        <v>210</v>
      </c>
      <c r="H25" s="5" t="s">
        <v>211</v>
      </c>
      <c r="I25" s="7" t="s">
        <v>98</v>
      </c>
      <c r="J25" s="7" t="s">
        <v>198</v>
      </c>
    </row>
    <row r="26" customFormat="false" ht="68.65" hidden="false" customHeight="false" outlineLevel="0" collapsed="false">
      <c r="A26" s="5" t="s">
        <v>212</v>
      </c>
      <c r="B26" s="5" t="s">
        <v>147</v>
      </c>
      <c r="C26" s="5" t="s">
        <v>213</v>
      </c>
      <c r="D26" s="7" t="s">
        <v>214</v>
      </c>
      <c r="E26" s="7" t="s">
        <v>215</v>
      </c>
      <c r="F26" s="7" t="s">
        <v>151</v>
      </c>
      <c r="G26" s="7" t="s">
        <v>216</v>
      </c>
      <c r="H26" s="5" t="s">
        <v>217</v>
      </c>
      <c r="I26" s="7" t="s">
        <v>66</v>
      </c>
      <c r="J26" s="7" t="s">
        <v>218</v>
      </c>
    </row>
    <row r="27" customFormat="false" ht="55.2" hidden="false" customHeight="false" outlineLevel="0" collapsed="false">
      <c r="A27" s="5" t="s">
        <v>219</v>
      </c>
      <c r="B27" s="5" t="s">
        <v>147</v>
      </c>
      <c r="C27" s="5" t="s">
        <v>220</v>
      </c>
      <c r="D27" s="7" t="s">
        <v>221</v>
      </c>
      <c r="E27" s="7" t="s">
        <v>222</v>
      </c>
      <c r="F27" s="7" t="s">
        <v>151</v>
      </c>
      <c r="G27" s="7" t="s">
        <v>223</v>
      </c>
      <c r="H27" s="5" t="s">
        <v>224</v>
      </c>
      <c r="I27" s="7" t="s">
        <v>98</v>
      </c>
      <c r="J27" s="7" t="s">
        <v>75</v>
      </c>
    </row>
    <row r="28" customFormat="false" ht="55.2" hidden="false" customHeight="false" outlineLevel="0" collapsed="false">
      <c r="A28" s="5" t="s">
        <v>225</v>
      </c>
      <c r="B28" s="5" t="s">
        <v>147</v>
      </c>
      <c r="C28" s="5" t="s">
        <v>226</v>
      </c>
      <c r="D28" s="7" t="s">
        <v>227</v>
      </c>
      <c r="E28" s="7" t="s">
        <v>228</v>
      </c>
      <c r="F28" s="7" t="s">
        <v>151</v>
      </c>
      <c r="G28" s="7" t="s">
        <v>229</v>
      </c>
      <c r="H28" s="5" t="s">
        <v>230</v>
      </c>
      <c r="I28" s="7" t="s">
        <v>231</v>
      </c>
      <c r="J28" s="7" t="s">
        <v>232</v>
      </c>
    </row>
    <row r="29" customFormat="false" ht="55.2" hidden="false" customHeight="false" outlineLevel="0" collapsed="false">
      <c r="A29" s="5" t="s">
        <v>233</v>
      </c>
      <c r="B29" s="5" t="s">
        <v>147</v>
      </c>
      <c r="C29" s="5" t="s">
        <v>234</v>
      </c>
      <c r="D29" s="7" t="s">
        <v>235</v>
      </c>
      <c r="E29" s="7" t="s">
        <v>236</v>
      </c>
      <c r="F29" s="7" t="s">
        <v>151</v>
      </c>
      <c r="G29" s="7" t="s">
        <v>237</v>
      </c>
      <c r="H29" s="5" t="s">
        <v>230</v>
      </c>
      <c r="I29" s="7" t="s">
        <v>98</v>
      </c>
      <c r="J29" s="7" t="s">
        <v>133</v>
      </c>
    </row>
    <row r="30" customFormat="false" ht="41.75" hidden="false" customHeight="false" outlineLevel="0" collapsed="false">
      <c r="A30" s="5" t="s">
        <v>238</v>
      </c>
      <c r="B30" s="5" t="s">
        <v>147</v>
      </c>
      <c r="C30" s="5" t="s">
        <v>239</v>
      </c>
      <c r="D30" s="7" t="s">
        <v>240</v>
      </c>
      <c r="E30" s="7" t="s">
        <v>241</v>
      </c>
      <c r="F30" s="7" t="s">
        <v>151</v>
      </c>
      <c r="G30" s="7" t="s">
        <v>242</v>
      </c>
      <c r="H30" s="5" t="s">
        <v>243</v>
      </c>
      <c r="I30" s="7" t="s">
        <v>98</v>
      </c>
      <c r="J30" s="7" t="s">
        <v>75</v>
      </c>
    </row>
    <row r="31" customFormat="false" ht="41.75" hidden="false" customHeight="false" outlineLevel="0" collapsed="false">
      <c r="A31" s="5" t="s">
        <v>244</v>
      </c>
      <c r="B31" s="5" t="s">
        <v>147</v>
      </c>
      <c r="C31" s="5" t="s">
        <v>245</v>
      </c>
      <c r="D31" s="7" t="s">
        <v>246</v>
      </c>
      <c r="E31" s="7" t="s">
        <v>247</v>
      </c>
      <c r="F31" s="7" t="s">
        <v>151</v>
      </c>
      <c r="G31" s="7" t="s">
        <v>248</v>
      </c>
      <c r="H31" s="5" t="s">
        <v>230</v>
      </c>
      <c r="I31" s="7" t="s">
        <v>98</v>
      </c>
      <c r="J31" s="7" t="s">
        <v>133</v>
      </c>
    </row>
    <row r="32" customFormat="false" ht="28.35" hidden="false" customHeight="false" outlineLevel="0" collapsed="false">
      <c r="A32" s="5" t="s">
        <v>249</v>
      </c>
      <c r="B32" s="5" t="s">
        <v>147</v>
      </c>
      <c r="C32" s="5" t="s">
        <v>250</v>
      </c>
      <c r="D32" s="7" t="s">
        <v>251</v>
      </c>
      <c r="E32" s="7" t="s">
        <v>247</v>
      </c>
      <c r="F32" s="7" t="s">
        <v>151</v>
      </c>
      <c r="G32" s="7" t="s">
        <v>236</v>
      </c>
      <c r="H32" s="5" t="s">
        <v>230</v>
      </c>
      <c r="I32" s="7" t="s">
        <v>98</v>
      </c>
      <c r="J32" s="7" t="s">
        <v>133</v>
      </c>
    </row>
    <row r="33" customFormat="false" ht="28.35" hidden="false" customHeight="false" outlineLevel="0" collapsed="false">
      <c r="A33" s="5" t="s">
        <v>252</v>
      </c>
      <c r="B33" s="5" t="s">
        <v>147</v>
      </c>
      <c r="C33" s="5" t="s">
        <v>253</v>
      </c>
      <c r="D33" s="7" t="s">
        <v>254</v>
      </c>
      <c r="E33" s="7" t="s">
        <v>247</v>
      </c>
      <c r="F33" s="7" t="s">
        <v>151</v>
      </c>
      <c r="G33" s="7" t="s">
        <v>255</v>
      </c>
      <c r="H33" s="5" t="s">
        <v>230</v>
      </c>
      <c r="I33" s="7" t="s">
        <v>98</v>
      </c>
      <c r="J33" s="7" t="s">
        <v>133</v>
      </c>
    </row>
    <row r="34" customFormat="false" ht="41.75" hidden="false" customHeight="false" outlineLevel="0" collapsed="false">
      <c r="A34" s="5" t="s">
        <v>256</v>
      </c>
      <c r="B34" s="5" t="s">
        <v>147</v>
      </c>
      <c r="C34" s="5" t="s">
        <v>257</v>
      </c>
      <c r="D34" s="7" t="s">
        <v>258</v>
      </c>
      <c r="E34" s="7" t="s">
        <v>259</v>
      </c>
      <c r="F34" s="7" t="s">
        <v>260</v>
      </c>
      <c r="G34" s="7" t="s">
        <v>261</v>
      </c>
      <c r="H34" s="5" t="s">
        <v>262</v>
      </c>
      <c r="I34" s="7" t="s">
        <v>263</v>
      </c>
      <c r="J34" s="7" t="s">
        <v>185</v>
      </c>
    </row>
    <row r="35" customFormat="false" ht="95.5" hidden="false" customHeight="false" outlineLevel="0" collapsed="false">
      <c r="A35" s="5" t="s">
        <v>264</v>
      </c>
      <c r="B35" s="5" t="s">
        <v>147</v>
      </c>
      <c r="C35" s="5" t="s">
        <v>265</v>
      </c>
      <c r="D35" s="5" t="s">
        <v>138</v>
      </c>
      <c r="E35" s="7" t="s">
        <v>266</v>
      </c>
      <c r="F35" s="7" t="s">
        <v>267</v>
      </c>
      <c r="G35" s="7" t="s">
        <v>268</v>
      </c>
      <c r="H35" s="5" t="s">
        <v>269</v>
      </c>
      <c r="I35" s="7" t="s">
        <v>263</v>
      </c>
      <c r="J35" s="7" t="s">
        <v>75</v>
      </c>
    </row>
    <row r="36" customFormat="false" ht="15" hidden="false" customHeight="false" outlineLevel="0" collapsed="false">
      <c r="A36" s="9" t="s">
        <v>270</v>
      </c>
      <c r="B36" s="10"/>
      <c r="C36" s="10"/>
      <c r="D36" s="10"/>
      <c r="E36" s="10"/>
      <c r="F36" s="10"/>
      <c r="G36" s="10"/>
      <c r="H36" s="10"/>
      <c r="I36" s="10"/>
      <c r="J36" s="10"/>
    </row>
    <row r="37" customFormat="false" ht="28.35" hidden="false" customHeight="false" outlineLevel="0" collapsed="false">
      <c r="A37" s="5" t="s">
        <v>271</v>
      </c>
      <c r="B37" s="5" t="s">
        <v>272</v>
      </c>
      <c r="C37" s="5" t="s">
        <v>273</v>
      </c>
      <c r="D37" s="5" t="s">
        <v>274</v>
      </c>
      <c r="E37" s="7" t="s">
        <v>275</v>
      </c>
      <c r="F37" s="7" t="s">
        <v>151</v>
      </c>
      <c r="G37" s="7" t="s">
        <v>276</v>
      </c>
      <c r="H37" s="5" t="s">
        <v>277</v>
      </c>
      <c r="I37" s="7" t="s">
        <v>278</v>
      </c>
      <c r="J37" s="7" t="s">
        <v>279</v>
      </c>
    </row>
    <row r="38" customFormat="false" ht="55.2" hidden="false" customHeight="false" outlineLevel="0" collapsed="false">
      <c r="A38" s="5" t="s">
        <v>280</v>
      </c>
      <c r="B38" s="5" t="s">
        <v>272</v>
      </c>
      <c r="C38" s="7" t="s">
        <v>281</v>
      </c>
      <c r="D38" s="7" t="s">
        <v>282</v>
      </c>
      <c r="E38" s="7" t="s">
        <v>283</v>
      </c>
      <c r="F38" s="7" t="s">
        <v>151</v>
      </c>
      <c r="G38" s="5" t="s">
        <v>284</v>
      </c>
      <c r="H38" s="5" t="s">
        <v>285</v>
      </c>
      <c r="I38" s="7" t="s">
        <v>98</v>
      </c>
      <c r="J38" s="7" t="s">
        <v>75</v>
      </c>
    </row>
    <row r="39" customFormat="false" ht="28.35" hidden="false" customHeight="false" outlineLevel="0" collapsed="false">
      <c r="A39" s="5" t="s">
        <v>286</v>
      </c>
      <c r="B39" s="5" t="s">
        <v>272</v>
      </c>
      <c r="C39" s="5" t="s">
        <v>287</v>
      </c>
      <c r="D39" s="7" t="s">
        <v>288</v>
      </c>
      <c r="E39" s="7" t="s">
        <v>289</v>
      </c>
      <c r="F39" s="7" t="s">
        <v>151</v>
      </c>
      <c r="G39" s="7" t="s">
        <v>290</v>
      </c>
      <c r="H39" s="5" t="s">
        <v>230</v>
      </c>
      <c r="I39" s="7" t="s">
        <v>98</v>
      </c>
      <c r="J39" s="7" t="s">
        <v>75</v>
      </c>
    </row>
    <row r="40" customFormat="false" ht="41.75" hidden="false" customHeight="false" outlineLevel="0" collapsed="false">
      <c r="A40" s="5" t="s">
        <v>291</v>
      </c>
      <c r="B40" s="5" t="s">
        <v>272</v>
      </c>
      <c r="C40" s="5" t="s">
        <v>292</v>
      </c>
      <c r="D40" s="7" t="s">
        <v>293</v>
      </c>
      <c r="E40" s="7" t="s">
        <v>289</v>
      </c>
      <c r="F40" s="7" t="s">
        <v>151</v>
      </c>
      <c r="G40" s="7" t="s">
        <v>294</v>
      </c>
      <c r="H40" s="7" t="s">
        <v>295</v>
      </c>
      <c r="I40" s="7" t="s">
        <v>98</v>
      </c>
      <c r="J40" s="7" t="s">
        <v>75</v>
      </c>
    </row>
    <row r="41" customFormat="false" ht="28.35" hidden="false" customHeight="false" outlineLevel="0" collapsed="false">
      <c r="A41" s="5" t="s">
        <v>296</v>
      </c>
      <c r="B41" s="5" t="s">
        <v>272</v>
      </c>
      <c r="C41" s="5" t="s">
        <v>297</v>
      </c>
      <c r="D41" s="7" t="s">
        <v>298</v>
      </c>
      <c r="E41" s="7" t="s">
        <v>299</v>
      </c>
      <c r="F41" s="7" t="s">
        <v>151</v>
      </c>
      <c r="G41" s="7" t="s">
        <v>300</v>
      </c>
      <c r="H41" s="7" t="s">
        <v>295</v>
      </c>
      <c r="I41" s="7" t="s">
        <v>98</v>
      </c>
      <c r="J41" s="7" t="s">
        <v>75</v>
      </c>
    </row>
    <row r="42" customFormat="false" ht="41.75" hidden="false" customHeight="false" outlineLevel="0" collapsed="false">
      <c r="A42" s="5" t="s">
        <v>301</v>
      </c>
      <c r="B42" s="5" t="s">
        <v>272</v>
      </c>
      <c r="C42" s="5" t="s">
        <v>302</v>
      </c>
      <c r="D42" s="7" t="s">
        <v>303</v>
      </c>
      <c r="E42" s="7" t="s">
        <v>289</v>
      </c>
      <c r="F42" s="7" t="s">
        <v>151</v>
      </c>
      <c r="G42" s="7" t="s">
        <v>304</v>
      </c>
      <c r="H42" s="5" t="s">
        <v>305</v>
      </c>
      <c r="I42" s="7" t="s">
        <v>98</v>
      </c>
      <c r="J42" s="7" t="s">
        <v>75</v>
      </c>
    </row>
    <row r="43" customFormat="false" ht="28.35" hidden="false" customHeight="false" outlineLevel="0" collapsed="false">
      <c r="A43" s="5" t="s">
        <v>306</v>
      </c>
      <c r="B43" s="5" t="s">
        <v>272</v>
      </c>
      <c r="C43" s="5" t="s">
        <v>307</v>
      </c>
      <c r="D43" s="7" t="s">
        <v>308</v>
      </c>
      <c r="E43" s="7" t="s">
        <v>309</v>
      </c>
      <c r="F43" s="7" t="s">
        <v>310</v>
      </c>
      <c r="G43" s="7" t="s">
        <v>311</v>
      </c>
      <c r="H43" s="5" t="s">
        <v>312</v>
      </c>
      <c r="I43" s="7" t="s">
        <v>263</v>
      </c>
      <c r="J43" s="7" t="s">
        <v>75</v>
      </c>
    </row>
    <row r="45" customFormat="false" ht="15" hidden="false" customHeight="false" outlineLevel="0" collapsed="false">
      <c r="A45" s="9" t="s">
        <v>313</v>
      </c>
      <c r="B45" s="10"/>
      <c r="C45" s="10"/>
      <c r="D45" s="10"/>
      <c r="E45" s="10"/>
      <c r="F45" s="10"/>
      <c r="G45" s="10"/>
      <c r="H45" s="10"/>
      <c r="I45" s="10"/>
      <c r="J45" s="10"/>
    </row>
    <row r="46" customFormat="false" ht="41.75" hidden="false" customHeight="false" outlineLevel="0" collapsed="false">
      <c r="A46" s="5" t="s">
        <v>314</v>
      </c>
      <c r="B46" s="5" t="s">
        <v>59</v>
      </c>
      <c r="C46" s="5" t="s">
        <v>315</v>
      </c>
      <c r="D46" s="5"/>
      <c r="E46" s="5"/>
      <c r="F46" s="5"/>
      <c r="G46" s="5"/>
      <c r="H46" s="5"/>
      <c r="I46" s="7" t="s">
        <v>316</v>
      </c>
      <c r="J46" s="5"/>
    </row>
    <row r="47" customFormat="false" ht="55.2" hidden="false" customHeight="false" outlineLevel="0" collapsed="false">
      <c r="A47" s="5" t="s">
        <v>314</v>
      </c>
      <c r="B47" s="5" t="s">
        <v>59</v>
      </c>
      <c r="C47" s="5" t="s">
        <v>317</v>
      </c>
      <c r="D47" s="5"/>
      <c r="E47" s="5"/>
      <c r="F47" s="5"/>
      <c r="G47" s="5"/>
      <c r="H47" s="5"/>
      <c r="I47" s="7" t="s">
        <v>316</v>
      </c>
      <c r="J47" s="5"/>
    </row>
    <row r="48" customFormat="false" ht="28.35" hidden="false" customHeight="false" outlineLevel="0" collapsed="false">
      <c r="A48" s="5" t="s">
        <v>314</v>
      </c>
      <c r="B48" s="5" t="s">
        <v>59</v>
      </c>
      <c r="C48" s="5" t="s">
        <v>318</v>
      </c>
      <c r="D48" s="5"/>
      <c r="E48" s="5"/>
      <c r="F48" s="5"/>
      <c r="G48" s="5"/>
      <c r="H48" s="5"/>
      <c r="I48" s="7" t="s">
        <v>316</v>
      </c>
      <c r="J48" s="5"/>
    </row>
    <row r="49" customFormat="false" ht="41.75" hidden="false" customHeight="false" outlineLevel="0" collapsed="false">
      <c r="A49" s="5" t="s">
        <v>314</v>
      </c>
      <c r="B49" s="5" t="s">
        <v>59</v>
      </c>
      <c r="C49" s="5" t="s">
        <v>319</v>
      </c>
      <c r="D49" s="5"/>
      <c r="E49" s="5"/>
      <c r="F49" s="5"/>
      <c r="G49" s="5"/>
      <c r="H49" s="5"/>
      <c r="I49" s="7" t="s">
        <v>316</v>
      </c>
      <c r="J49" s="5"/>
    </row>
    <row r="50" customFormat="false" ht="41.75" hidden="false" customHeight="false" outlineLevel="0" collapsed="false">
      <c r="A50" s="5" t="s">
        <v>314</v>
      </c>
      <c r="B50" s="5" t="s">
        <v>59</v>
      </c>
      <c r="C50" s="5" t="s">
        <v>320</v>
      </c>
      <c r="D50" s="5"/>
      <c r="E50" s="5"/>
      <c r="F50" s="5"/>
      <c r="G50" s="5"/>
      <c r="H50" s="5"/>
      <c r="I50" s="7" t="s">
        <v>316</v>
      </c>
      <c r="J50" s="5"/>
    </row>
    <row r="51" customFormat="false" ht="28.35" hidden="false" customHeight="false" outlineLevel="0" collapsed="false">
      <c r="A51" s="5" t="s">
        <v>314</v>
      </c>
      <c r="B51" s="5" t="s">
        <v>59</v>
      </c>
      <c r="C51" s="5" t="s">
        <v>321</v>
      </c>
      <c r="D51" s="5"/>
      <c r="E51" s="5"/>
      <c r="F51" s="5"/>
      <c r="G51" s="5"/>
      <c r="H51" s="5"/>
      <c r="I51" s="7" t="s">
        <v>316</v>
      </c>
      <c r="J51" s="5"/>
    </row>
    <row r="52" customFormat="false" ht="28.35" hidden="false" customHeight="false" outlineLevel="0" collapsed="false">
      <c r="A52" s="5" t="s">
        <v>314</v>
      </c>
      <c r="B52" s="5" t="s">
        <v>59</v>
      </c>
      <c r="C52" s="5" t="s">
        <v>322</v>
      </c>
      <c r="D52" s="5"/>
      <c r="E52" s="5"/>
      <c r="F52" s="5"/>
      <c r="G52" s="5"/>
      <c r="H52" s="5"/>
      <c r="I52" s="7" t="s">
        <v>316</v>
      </c>
      <c r="J52" s="5"/>
    </row>
    <row r="53" customFormat="false" ht="28.35" hidden="false" customHeight="false" outlineLevel="0" collapsed="false">
      <c r="A53" s="5" t="s">
        <v>314</v>
      </c>
      <c r="B53" s="5" t="s">
        <v>323</v>
      </c>
      <c r="C53" s="7" t="s">
        <v>324</v>
      </c>
      <c r="D53" s="7" t="s">
        <v>325</v>
      </c>
      <c r="E53" s="5"/>
      <c r="F53" s="5"/>
      <c r="G53" s="5"/>
      <c r="H53" s="5"/>
      <c r="I53" s="7" t="s">
        <v>316</v>
      </c>
      <c r="J53" s="5"/>
    </row>
    <row r="54" customFormat="false" ht="28.35" hidden="false" customHeight="false" outlineLevel="0" collapsed="false">
      <c r="A54" s="5" t="s">
        <v>314</v>
      </c>
      <c r="B54" s="5" t="s">
        <v>323</v>
      </c>
      <c r="C54" s="7" t="s">
        <v>326</v>
      </c>
      <c r="D54" s="5" t="s">
        <v>327</v>
      </c>
      <c r="E54" s="5"/>
      <c r="F54" s="5"/>
      <c r="G54" s="5"/>
      <c r="H54" s="5"/>
      <c r="I54" s="7" t="s">
        <v>316</v>
      </c>
      <c r="J54" s="5"/>
    </row>
    <row r="55" customFormat="false" ht="28.35" hidden="false" customHeight="false" outlineLevel="0" collapsed="false">
      <c r="A55" s="5" t="s">
        <v>314</v>
      </c>
      <c r="B55" s="5" t="s">
        <v>323</v>
      </c>
      <c r="C55" s="7" t="s">
        <v>328</v>
      </c>
      <c r="D55" s="7" t="s">
        <v>329</v>
      </c>
      <c r="E55" s="5"/>
      <c r="F55" s="5"/>
      <c r="G55" s="5"/>
      <c r="H55" s="5"/>
      <c r="I55" s="7" t="s">
        <v>316</v>
      </c>
      <c r="J55" s="5"/>
    </row>
    <row r="56" customFormat="false" ht="28.35" hidden="false" customHeight="false" outlineLevel="0" collapsed="false">
      <c r="A56" s="5" t="s">
        <v>314</v>
      </c>
      <c r="B56" s="5" t="s">
        <v>323</v>
      </c>
      <c r="C56" s="7" t="s">
        <v>330</v>
      </c>
      <c r="D56" s="7" t="s">
        <v>331</v>
      </c>
      <c r="E56" s="5"/>
      <c r="F56" s="5"/>
      <c r="G56" s="5"/>
      <c r="H56" s="5"/>
      <c r="I56" s="7" t="s">
        <v>316</v>
      </c>
      <c r="J56" s="5"/>
    </row>
    <row r="57" customFormat="false" ht="28.35" hidden="false" customHeight="false" outlineLevel="0" collapsed="false">
      <c r="A57" s="5" t="s">
        <v>314</v>
      </c>
      <c r="B57" s="5" t="s">
        <v>323</v>
      </c>
      <c r="C57" s="7" t="s">
        <v>332</v>
      </c>
      <c r="D57" s="7" t="s">
        <v>333</v>
      </c>
      <c r="E57" s="5"/>
      <c r="F57" s="5"/>
      <c r="G57" s="5"/>
      <c r="H57" s="5"/>
      <c r="I57" s="7" t="s">
        <v>316</v>
      </c>
      <c r="J57" s="5"/>
    </row>
    <row r="58" customFormat="false" ht="28.35" hidden="false" customHeight="false" outlineLevel="0" collapsed="false">
      <c r="A58" s="5" t="s">
        <v>314</v>
      </c>
      <c r="B58" s="5" t="s">
        <v>323</v>
      </c>
      <c r="C58" s="7" t="s">
        <v>334</v>
      </c>
      <c r="D58" s="7" t="s">
        <v>335</v>
      </c>
      <c r="E58" s="5"/>
      <c r="F58" s="5"/>
      <c r="G58" s="5"/>
      <c r="H58" s="5"/>
      <c r="I58" s="7" t="s">
        <v>316</v>
      </c>
      <c r="J58" s="5"/>
    </row>
    <row r="59" customFormat="false" ht="28.35" hidden="false" customHeight="false" outlineLevel="0" collapsed="false">
      <c r="A59" s="5" t="s">
        <v>314</v>
      </c>
      <c r="B59" s="5" t="s">
        <v>323</v>
      </c>
      <c r="C59" s="7" t="s">
        <v>336</v>
      </c>
      <c r="D59" s="7" t="s">
        <v>337</v>
      </c>
      <c r="E59" s="5"/>
      <c r="F59" s="5"/>
      <c r="G59" s="5"/>
      <c r="H59" s="5"/>
      <c r="I59" s="7" t="s">
        <v>316</v>
      </c>
      <c r="J59" s="5"/>
    </row>
    <row r="60" customFormat="false" ht="28.35" hidden="false" customHeight="false" outlineLevel="0" collapsed="false">
      <c r="A60" s="5" t="s">
        <v>314</v>
      </c>
      <c r="B60" s="5" t="s">
        <v>323</v>
      </c>
      <c r="C60" s="7" t="s">
        <v>338</v>
      </c>
      <c r="D60" s="7" t="s">
        <v>339</v>
      </c>
      <c r="E60" s="5"/>
      <c r="F60" s="5"/>
      <c r="G60" s="5"/>
      <c r="H60" s="5"/>
      <c r="I60" s="7" t="s">
        <v>316</v>
      </c>
      <c r="J60" s="5"/>
    </row>
    <row r="61" customFormat="false" ht="28.35" hidden="false" customHeight="false" outlineLevel="0" collapsed="false">
      <c r="A61" s="5" t="s">
        <v>314</v>
      </c>
      <c r="B61" s="5" t="s">
        <v>323</v>
      </c>
      <c r="C61" s="7" t="s">
        <v>340</v>
      </c>
      <c r="D61" s="7" t="s">
        <v>341</v>
      </c>
      <c r="E61" s="5"/>
      <c r="F61" s="5"/>
      <c r="G61" s="5"/>
      <c r="H61" s="5"/>
      <c r="I61" s="7" t="s">
        <v>316</v>
      </c>
      <c r="J61" s="5"/>
    </row>
    <row r="62" customFormat="false" ht="28.35" hidden="false" customHeight="false" outlineLevel="0" collapsed="false">
      <c r="A62" s="5" t="s">
        <v>314</v>
      </c>
      <c r="B62" s="5" t="s">
        <v>323</v>
      </c>
      <c r="C62" s="7" t="s">
        <v>342</v>
      </c>
      <c r="D62" s="7" t="s">
        <v>343</v>
      </c>
      <c r="E62" s="5"/>
      <c r="F62" s="5"/>
      <c r="G62" s="5"/>
      <c r="H62" s="5"/>
      <c r="I62" s="7" t="s">
        <v>316</v>
      </c>
      <c r="J62" s="5"/>
    </row>
    <row r="63" customFormat="false" ht="28.35" hidden="false" customHeight="false" outlineLevel="0" collapsed="false">
      <c r="A63" s="5" t="s">
        <v>314</v>
      </c>
      <c r="B63" s="5" t="s">
        <v>323</v>
      </c>
      <c r="C63" s="7" t="s">
        <v>344</v>
      </c>
      <c r="D63" s="7" t="s">
        <v>341</v>
      </c>
      <c r="E63" s="5"/>
      <c r="F63" s="5"/>
      <c r="G63" s="5"/>
      <c r="H63" s="5"/>
      <c r="I63" s="7" t="s">
        <v>316</v>
      </c>
      <c r="J63" s="5"/>
    </row>
    <row r="64" customFormat="false" ht="28.35" hidden="false" customHeight="false" outlineLevel="0" collapsed="false">
      <c r="A64" s="5" t="s">
        <v>314</v>
      </c>
      <c r="B64" s="5" t="s">
        <v>323</v>
      </c>
      <c r="C64" s="7" t="s">
        <v>345</v>
      </c>
      <c r="D64" s="7" t="s">
        <v>346</v>
      </c>
      <c r="E64" s="5"/>
      <c r="F64" s="5"/>
      <c r="G64" s="5"/>
      <c r="H64" s="5"/>
      <c r="I64" s="7" t="s">
        <v>316</v>
      </c>
      <c r="J64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8"/>
    <col collapsed="false" customWidth="true" hidden="false" outlineLevel="0" max="5" min="5" style="0" width="60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347</v>
      </c>
    </row>
    <row r="3" customFormat="false" ht="15" hidden="false" customHeight="false" outlineLevel="0" collapsed="false">
      <c r="A3" s="9" t="s">
        <v>348</v>
      </c>
      <c r="B3" s="10"/>
      <c r="C3" s="10"/>
      <c r="D3" s="10"/>
      <c r="E3" s="10"/>
      <c r="F3" s="10"/>
    </row>
    <row r="4" customFormat="false" ht="15" hidden="false" customHeight="false" outlineLevel="0" collapsed="false">
      <c r="A4" s="2" t="s">
        <v>1</v>
      </c>
      <c r="B4" s="2" t="s">
        <v>349</v>
      </c>
      <c r="C4" s="2"/>
      <c r="D4" s="2" t="s">
        <v>350</v>
      </c>
    </row>
    <row r="5" customFormat="false" ht="41.75" hidden="false" customHeight="false" outlineLevel="0" collapsed="false">
      <c r="A5" s="7" t="s">
        <v>351</v>
      </c>
      <c r="B5" s="11" t="n">
        <v>1.7</v>
      </c>
      <c r="D5" s="5" t="s">
        <v>352</v>
      </c>
    </row>
    <row r="6" customFormat="false" ht="15" hidden="false" customHeight="false" outlineLevel="0" collapsed="false">
      <c r="A6" s="7" t="s">
        <v>353</v>
      </c>
      <c r="B6" s="11" t="n">
        <v>2.8</v>
      </c>
      <c r="D6" s="5" t="s">
        <v>354</v>
      </c>
    </row>
    <row r="7" customFormat="false" ht="15" hidden="false" customHeight="false" outlineLevel="0" collapsed="false">
      <c r="A7" s="7" t="s">
        <v>355</v>
      </c>
      <c r="B7" s="12" t="n">
        <f aca="false">1/B5</f>
        <v>0.588235294117647</v>
      </c>
    </row>
    <row r="8" customFormat="false" ht="15" hidden="false" customHeight="false" outlineLevel="0" collapsed="false">
      <c r="A8" s="7" t="s">
        <v>356</v>
      </c>
      <c r="B8" s="12" t="n">
        <f aca="false">1/B6</f>
        <v>0.357142857142857</v>
      </c>
    </row>
    <row r="9" customFormat="false" ht="68.65" hidden="false" customHeight="false" outlineLevel="0" collapsed="false">
      <c r="A9" s="7" t="s">
        <v>357</v>
      </c>
      <c r="B9" s="11" t="n">
        <v>0.7</v>
      </c>
      <c r="D9" s="5" t="s">
        <v>358</v>
      </c>
    </row>
    <row r="10" customFormat="false" ht="15" hidden="false" customHeight="false" outlineLevel="0" collapsed="false">
      <c r="A10" s="5"/>
      <c r="B10" s="11" t="n">
        <v>0.85</v>
      </c>
    </row>
    <row r="11" customFormat="false" ht="15" hidden="false" customHeight="false" outlineLevel="0" collapsed="false">
      <c r="A11" s="5"/>
      <c r="B11" s="11" t="n">
        <v>1</v>
      </c>
    </row>
    <row r="12" customFormat="false" ht="15" hidden="false" customHeight="false" outlineLevel="0" collapsed="false">
      <c r="A12" s="2" t="s">
        <v>359</v>
      </c>
      <c r="B12" s="2" t="s">
        <v>360</v>
      </c>
      <c r="C12" s="2" t="s">
        <v>361</v>
      </c>
      <c r="D12" s="2" t="s">
        <v>362</v>
      </c>
    </row>
    <row r="13" customFormat="false" ht="15" hidden="false" customHeight="false" outlineLevel="0" collapsed="false">
      <c r="A13" s="0" t="s">
        <v>363</v>
      </c>
      <c r="B13" s="12" t="n">
        <f aca="false">$B$7*B9</f>
        <v>0.411764705882353</v>
      </c>
      <c r="C13" s="12" t="n">
        <f aca="false">$B$7*B10</f>
        <v>0.5</v>
      </c>
      <c r="D13" s="12" t="n">
        <f aca="false">$B$7*B11</f>
        <v>0.588235294117647</v>
      </c>
    </row>
    <row r="14" customFormat="false" ht="15" hidden="false" customHeight="false" outlineLevel="0" collapsed="false">
      <c r="A14" s="0" t="s">
        <v>364</v>
      </c>
      <c r="B14" s="12" t="n">
        <f aca="false">$B$8*B9</f>
        <v>0.25</v>
      </c>
      <c r="C14" s="12" t="n">
        <f aca="false">$B$8*B10</f>
        <v>0.303571428571429</v>
      </c>
      <c r="D14" s="12" t="n">
        <f aca="false">$B$8*B11</f>
        <v>0.357142857142857</v>
      </c>
    </row>
    <row r="15" customFormat="false" ht="15" hidden="false" customHeight="false" outlineLevel="0" collapsed="false">
      <c r="A15" s="7" t="s">
        <v>365</v>
      </c>
      <c r="B15" s="12" t="n">
        <f aca="false">MIN(B13:D14)</f>
        <v>0.25</v>
      </c>
      <c r="C15" s="12" t="n">
        <f aca="false">MEDIAN(B13:D14)</f>
        <v>0.384453781512605</v>
      </c>
      <c r="D15" s="12" t="n">
        <f aca="false">MAX(B13:D14)</f>
        <v>0.588235294117647</v>
      </c>
    </row>
    <row r="16" customFormat="false" ht="55.2" hidden="false" customHeight="false" outlineLevel="0" collapsed="false">
      <c r="A16" s="5" t="s">
        <v>366</v>
      </c>
      <c r="B16" s="11" t="n">
        <v>0.58</v>
      </c>
      <c r="C16" s="11" t="n">
        <v>0.42</v>
      </c>
      <c r="D16" s="5" t="s">
        <v>367</v>
      </c>
    </row>
    <row r="17" customFormat="false" ht="15" hidden="false" customHeight="false" outlineLevel="0" collapsed="false">
      <c r="A17" s="7" t="s">
        <v>368</v>
      </c>
      <c r="B17" s="11" t="n">
        <v>0.41</v>
      </c>
      <c r="C17" s="11" t="n">
        <v>0.3</v>
      </c>
      <c r="D17" s="11" t="n">
        <v>0.65</v>
      </c>
    </row>
    <row r="18" customFormat="false" ht="15" hidden="false" customHeight="false" outlineLevel="0" collapsed="false">
      <c r="A18" s="7" t="s">
        <v>369</v>
      </c>
      <c r="B18" s="0" t="str">
        <f aca="false">IF(AND(B17&gt;=B15,B17&lt;=D15),"在範圍內","不在")</f>
        <v>在範圍內</v>
      </c>
    </row>
    <row r="19" customFormat="false" ht="15" hidden="false" customHeight="false" outlineLevel="0" collapsed="false">
      <c r="A19" s="7" t="s">
        <v>370</v>
      </c>
      <c r="B19" s="11" t="n">
        <v>0.3</v>
      </c>
      <c r="C19" s="11" t="n">
        <v>0.41</v>
      </c>
      <c r="D19" s="13" t="n">
        <v>0.65</v>
      </c>
      <c r="E19" s="14" t="s">
        <v>371</v>
      </c>
    </row>
    <row r="21" customFormat="false" ht="15" hidden="false" customHeight="false" outlineLevel="0" collapsed="false">
      <c r="A21" s="9" t="s">
        <v>372</v>
      </c>
      <c r="B21" s="10"/>
      <c r="C21" s="10"/>
      <c r="D21" s="10"/>
      <c r="E21" s="10"/>
      <c r="F21" s="10"/>
    </row>
    <row r="22" customFormat="false" ht="15" hidden="false" customHeight="false" outlineLevel="0" collapsed="false">
      <c r="A22" s="2" t="s">
        <v>1</v>
      </c>
      <c r="B22" s="2" t="s">
        <v>373</v>
      </c>
      <c r="C22" s="2" t="s">
        <v>374</v>
      </c>
      <c r="D22" s="2" t="s">
        <v>375</v>
      </c>
    </row>
    <row r="23" customFormat="false" ht="15" hidden="false" customHeight="false" outlineLevel="0" collapsed="false">
      <c r="A23" s="7" t="s">
        <v>376</v>
      </c>
      <c r="B23" s="15" t="n">
        <f aca="false">B19</f>
        <v>0.3</v>
      </c>
      <c r="C23" s="15" t="n">
        <f aca="false">C19</f>
        <v>0.41</v>
      </c>
      <c r="D23" s="15" t="n">
        <f aca="false">D19</f>
        <v>0.65</v>
      </c>
    </row>
    <row r="24" customFormat="false" ht="15" hidden="false" customHeight="false" outlineLevel="0" collapsed="false">
      <c r="A24" s="7" t="s">
        <v>377</v>
      </c>
      <c r="B24" s="11" t="n">
        <v>0.85</v>
      </c>
      <c r="C24" s="15" t="n">
        <f aca="false">B24</f>
        <v>0.85</v>
      </c>
      <c r="D24" s="15" t="n">
        <f aca="false">B24</f>
        <v>0.85</v>
      </c>
    </row>
    <row r="25" customFormat="false" ht="15" hidden="false" customHeight="false" outlineLevel="0" collapsed="false">
      <c r="A25" s="7" t="s">
        <v>378</v>
      </c>
      <c r="B25" s="16" t="n">
        <f aca="false">B23*B24</f>
        <v>0.255</v>
      </c>
      <c r="C25" s="16" t="n">
        <f aca="false">C23*C24</f>
        <v>0.3485</v>
      </c>
      <c r="D25" s="16" t="n">
        <f aca="false">D23*D24</f>
        <v>0.5525</v>
      </c>
    </row>
    <row r="26" customFormat="false" ht="28.35" hidden="false" customHeight="false" outlineLevel="0" collapsed="false">
      <c r="A26" s="5" t="s">
        <v>379</v>
      </c>
      <c r="B26" s="17" t="n">
        <v>0.465119971743948</v>
      </c>
      <c r="C26" s="12" t="n">
        <f aca="false">B26</f>
        <v>0.465119971743948</v>
      </c>
      <c r="D26" s="18" t="n">
        <f aca="false">B26</f>
        <v>0.465119971743948</v>
      </c>
    </row>
    <row r="27" customFormat="false" ht="15" hidden="false" customHeight="false" outlineLevel="0" collapsed="false">
      <c r="A27" s="7" t="s">
        <v>380</v>
      </c>
      <c r="B27" s="15" t="n">
        <f aca="false">B26/B25</f>
        <v>1.82399988919195</v>
      </c>
      <c r="C27" s="15" t="n">
        <f aca="false">C26/C25</f>
        <v>1.3346340652624</v>
      </c>
      <c r="D27" s="19" t="n">
        <f aca="false">D26/D25</f>
        <v>0.841846102703978</v>
      </c>
    </row>
    <row r="28" customFormat="false" ht="15" hidden="false" customHeight="false" outlineLevel="0" collapsed="false">
      <c r="A28" s="7" t="s">
        <v>381</v>
      </c>
      <c r="B28" s="15" t="n">
        <f aca="false">B27/$C$27</f>
        <v>1.36666666666667</v>
      </c>
      <c r="C28" s="15" t="n">
        <f aca="false">C27/$C$27</f>
        <v>1</v>
      </c>
      <c r="D28" s="15" t="n">
        <f aca="false">D27/$C$27</f>
        <v>0.630769230769231</v>
      </c>
      <c r="E28" s="14" t="s">
        <v>382</v>
      </c>
    </row>
    <row r="30" customFormat="false" ht="15" hidden="false" customHeight="false" outlineLevel="0" collapsed="false">
      <c r="A30" s="9" t="s">
        <v>383</v>
      </c>
      <c r="B30" s="10"/>
      <c r="C30" s="10"/>
      <c r="D30" s="10"/>
      <c r="E30" s="10"/>
      <c r="F30" s="10"/>
    </row>
    <row r="31" customFormat="false" ht="28.35" hidden="false" customHeight="false" outlineLevel="0" collapsed="false">
      <c r="A31" s="2" t="s">
        <v>1</v>
      </c>
      <c r="B31" s="2" t="s">
        <v>384</v>
      </c>
      <c r="C31" s="2" t="s">
        <v>385</v>
      </c>
      <c r="D31" s="2" t="s">
        <v>386</v>
      </c>
      <c r="E31" s="2" t="s">
        <v>350</v>
      </c>
    </row>
    <row r="32" customFormat="false" ht="15" hidden="false" customHeight="false" outlineLevel="0" collapsed="false">
      <c r="A32" s="5" t="s">
        <v>387</v>
      </c>
      <c r="B32" s="20" t="n">
        <v>5</v>
      </c>
      <c r="C32" s="20" t="n">
        <v>1.8</v>
      </c>
      <c r="D32" s="12" t="n">
        <f aca="false">C32/(B32+C32)</f>
        <v>0.264705882352941</v>
      </c>
      <c r="E32" s="5" t="s">
        <v>388</v>
      </c>
    </row>
    <row r="33" customFormat="false" ht="15" hidden="false" customHeight="false" outlineLevel="0" collapsed="false">
      <c r="A33" s="5" t="s">
        <v>389</v>
      </c>
      <c r="B33" s="20" t="n">
        <v>5</v>
      </c>
      <c r="C33" s="20" t="n">
        <v>2</v>
      </c>
      <c r="D33" s="12" t="n">
        <f aca="false">C33/(B33+C33)</f>
        <v>0.285714285714286</v>
      </c>
      <c r="E33" s="5" t="s">
        <v>390</v>
      </c>
    </row>
    <row r="34" customFormat="false" ht="15" hidden="false" customHeight="false" outlineLevel="0" collapsed="false">
      <c r="A34" s="5" t="s">
        <v>391</v>
      </c>
      <c r="B34" s="20" t="n">
        <v>12</v>
      </c>
      <c r="C34" s="20" t="n">
        <v>8.4</v>
      </c>
      <c r="D34" s="12" t="n">
        <f aca="false">C34/(B34+C34)</f>
        <v>0.411764705882353</v>
      </c>
      <c r="E34" s="7" t="s">
        <v>392</v>
      </c>
    </row>
    <row r="35" customFormat="false" ht="15" hidden="false" customHeight="false" outlineLevel="0" collapsed="false">
      <c r="A35" s="5" t="s">
        <v>393</v>
      </c>
      <c r="B35" s="20" t="n">
        <v>12</v>
      </c>
      <c r="C35" s="20" t="n">
        <v>12.6</v>
      </c>
      <c r="D35" s="12" t="n">
        <f aca="false">C35/(B35+C35)</f>
        <v>0.51219512195122</v>
      </c>
      <c r="E35" s="5" t="s">
        <v>394</v>
      </c>
    </row>
    <row r="36" customFormat="false" ht="15" hidden="false" customHeight="false" outlineLevel="0" collapsed="false">
      <c r="A36" s="5" t="s">
        <v>395</v>
      </c>
      <c r="B36" s="20" t="n">
        <v>4.1</v>
      </c>
      <c r="C36" s="20" t="n">
        <v>2.7</v>
      </c>
      <c r="D36" s="12" t="n">
        <f aca="false">C36/(B36+C36)</f>
        <v>0.397058823529412</v>
      </c>
      <c r="E36" s="5" t="s">
        <v>396</v>
      </c>
    </row>
    <row r="37" customFormat="false" ht="95.5" hidden="false" customHeight="false" outlineLevel="0" collapsed="false">
      <c r="A37" s="5" t="s">
        <v>397</v>
      </c>
      <c r="B37" s="11" t="n">
        <v>0.5</v>
      </c>
      <c r="D37" s="5" t="s">
        <v>398</v>
      </c>
    </row>
    <row r="38" customFormat="false" ht="15" hidden="false" customHeight="false" outlineLevel="0" collapsed="false">
      <c r="A38" s="7" t="s">
        <v>399</v>
      </c>
      <c r="B38" s="12" t="n">
        <f aca="false">MIN(D32:D34,D36,B37)</f>
        <v>0.264705882352941</v>
      </c>
      <c r="C38" s="12" t="n">
        <f aca="false">MAX(D32:D34,D36,B37)</f>
        <v>0.5</v>
      </c>
    </row>
    <row r="39" customFormat="false" ht="15" hidden="false" customHeight="false" outlineLevel="0" collapsed="false">
      <c r="A39" s="7" t="s">
        <v>370</v>
      </c>
      <c r="B39" s="11" t="n">
        <v>0.3</v>
      </c>
      <c r="C39" s="11" t="n">
        <v>0.41</v>
      </c>
      <c r="D39" s="13" t="n">
        <v>0.6</v>
      </c>
    </row>
    <row r="40" customFormat="false" ht="68.65" hidden="false" customHeight="false" outlineLevel="0" collapsed="false">
      <c r="A40" s="7" t="s">
        <v>400</v>
      </c>
      <c r="B40" s="15" t="n">
        <f aca="false">B37</f>
        <v>0.5</v>
      </c>
      <c r="D40" s="7" t="s">
        <v>401</v>
      </c>
    </row>
    <row r="42" customFormat="false" ht="15" hidden="false" customHeight="false" outlineLevel="0" collapsed="false">
      <c r="A42" s="9" t="s">
        <v>402</v>
      </c>
      <c r="B42" s="10"/>
      <c r="C42" s="10"/>
      <c r="D42" s="10"/>
      <c r="E42" s="10"/>
      <c r="F42" s="10"/>
    </row>
    <row r="43" customFormat="false" ht="15" hidden="false" customHeight="false" outlineLevel="0" collapsed="false">
      <c r="A43" s="2" t="s">
        <v>1</v>
      </c>
      <c r="B43" s="2" t="s">
        <v>349</v>
      </c>
      <c r="C43" s="2"/>
      <c r="D43" s="2" t="s">
        <v>350</v>
      </c>
    </row>
    <row r="44" customFormat="false" ht="15" hidden="false" customHeight="false" outlineLevel="0" collapsed="false">
      <c r="A44" s="7" t="s">
        <v>403</v>
      </c>
      <c r="B44" s="21" t="n">
        <v>3.9</v>
      </c>
    </row>
    <row r="45" customFormat="false" ht="15" hidden="false" customHeight="false" outlineLevel="0" collapsed="false">
      <c r="A45" s="7" t="s">
        <v>404</v>
      </c>
      <c r="B45" s="21" t="n">
        <v>8.4</v>
      </c>
    </row>
    <row r="46" customFormat="false" ht="149.25" hidden="false" customHeight="false" outlineLevel="0" collapsed="false">
      <c r="A46" s="7" t="s">
        <v>405</v>
      </c>
      <c r="B46" s="12" t="n">
        <f aca="false">B44/B45</f>
        <v>0.464285714285714</v>
      </c>
      <c r="D46" s="5" t="s">
        <v>406</v>
      </c>
    </row>
    <row r="47" customFormat="false" ht="82.05" hidden="false" customHeight="false" outlineLevel="0" collapsed="false">
      <c r="A47" s="7" t="s">
        <v>407</v>
      </c>
      <c r="B47" s="11" t="n">
        <v>0.95</v>
      </c>
      <c r="D47" s="5" t="s">
        <v>408</v>
      </c>
    </row>
    <row r="48" customFormat="false" ht="15" hidden="false" customHeight="false" outlineLevel="0" collapsed="false">
      <c r="A48" s="7" t="s">
        <v>370</v>
      </c>
      <c r="B48" s="11" t="n">
        <v>0.35</v>
      </c>
      <c r="C48" s="11" t="n">
        <v>0.46</v>
      </c>
      <c r="D48" s="13" t="n">
        <v>0.6</v>
      </c>
    </row>
    <row r="50" customFormat="false" ht="15" hidden="false" customHeight="false" outlineLevel="0" collapsed="false">
      <c r="A50" s="9" t="s">
        <v>409</v>
      </c>
      <c r="B50" s="10"/>
      <c r="C50" s="10"/>
      <c r="D50" s="10"/>
      <c r="E50" s="10"/>
      <c r="F50" s="10"/>
    </row>
    <row r="51" customFormat="false" ht="15" hidden="false" customHeight="false" outlineLevel="0" collapsed="false">
      <c r="A51" s="2" t="s">
        <v>1</v>
      </c>
      <c r="B51" s="3" t="s">
        <v>410</v>
      </c>
      <c r="C51" s="2" t="s">
        <v>374</v>
      </c>
      <c r="D51" s="2" t="s">
        <v>411</v>
      </c>
      <c r="E51" s="2" t="s">
        <v>350</v>
      </c>
    </row>
    <row r="52" customFormat="false" ht="15" hidden="false" customHeight="false" outlineLevel="0" collapsed="false">
      <c r="A52" s="5" t="s">
        <v>147</v>
      </c>
      <c r="B52" s="15" t="n">
        <f aca="false">B39</f>
        <v>0.3</v>
      </c>
      <c r="C52" s="15" t="n">
        <f aca="false">C39</f>
        <v>0.41</v>
      </c>
      <c r="D52" s="15" t="n">
        <f aca="false">D39</f>
        <v>0.6</v>
      </c>
    </row>
    <row r="53" customFormat="false" ht="15" hidden="false" customHeight="false" outlineLevel="0" collapsed="false">
      <c r="A53" s="5" t="s">
        <v>412</v>
      </c>
      <c r="B53" s="17" t="n">
        <v>1.12780698259266</v>
      </c>
      <c r="C53" s="12" t="n">
        <f aca="false">B53</f>
        <v>1.12780698259266</v>
      </c>
      <c r="D53" s="12" t="n">
        <f aca="false">B53</f>
        <v>1.12780698259266</v>
      </c>
    </row>
    <row r="54" customFormat="false" ht="15" hidden="false" customHeight="false" outlineLevel="0" collapsed="false">
      <c r="A54" s="7" t="s">
        <v>413</v>
      </c>
      <c r="B54" s="12" t="n">
        <f aca="false">B53*B52</f>
        <v>0.338342094777798</v>
      </c>
      <c r="C54" s="12" t="n">
        <f aca="false">C53*C52</f>
        <v>0.462400862862991</v>
      </c>
      <c r="D54" s="12" t="n">
        <f aca="false">D53*D52</f>
        <v>0.676684189555596</v>
      </c>
    </row>
    <row r="55" customFormat="false" ht="15" hidden="false" customHeight="false" outlineLevel="0" collapsed="false">
      <c r="A55" s="5" t="s">
        <v>414</v>
      </c>
      <c r="B55" s="11" t="n">
        <v>13.07</v>
      </c>
      <c r="C55" s="15" t="n">
        <f aca="false">B55</f>
        <v>13.07</v>
      </c>
      <c r="D55" s="15" t="n">
        <f aca="false">B55</f>
        <v>13.07</v>
      </c>
    </row>
    <row r="56" customFormat="false" ht="15" hidden="false" customHeight="false" outlineLevel="0" collapsed="false">
      <c r="A56" s="7" t="s">
        <v>415</v>
      </c>
      <c r="B56" s="22" t="n">
        <f aca="false">B55/B54</f>
        <v>38.6295415253711</v>
      </c>
      <c r="C56" s="15" t="n">
        <f aca="false">C55/C54</f>
        <v>28.2655181892959</v>
      </c>
      <c r="D56" s="15" t="n">
        <f aca="false">D55/D54</f>
        <v>19.3147707626856</v>
      </c>
      <c r="E56" s="14" t="s">
        <v>416</v>
      </c>
    </row>
    <row r="57" customFormat="false" ht="15" hidden="false" customHeight="false" outlineLevel="0" collapsed="false">
      <c r="A57" s="7" t="s">
        <v>417</v>
      </c>
      <c r="B57" s="17" t="n">
        <v>9.35311859805586</v>
      </c>
      <c r="C57" s="12" t="n">
        <f aca="false">B57</f>
        <v>9.35311859805586</v>
      </c>
      <c r="D57" s="12" t="n">
        <f aca="false">B57</f>
        <v>9.35311859805586</v>
      </c>
    </row>
    <row r="58" customFormat="false" ht="15" hidden="false" customHeight="false" outlineLevel="0" collapsed="false">
      <c r="A58" s="7" t="s">
        <v>418</v>
      </c>
      <c r="B58" s="15" t="n">
        <f aca="false">B56/B57</f>
        <v>4.13012420620868</v>
      </c>
      <c r="C58" s="15" t="n">
        <f aca="false">C56/C57</f>
        <v>3.02204210210391</v>
      </c>
      <c r="D58" s="15" t="n">
        <f aca="false">D56/D57</f>
        <v>2.06506210310434</v>
      </c>
      <c r="E58" s="14" t="s">
        <v>419</v>
      </c>
    </row>
    <row r="59" customFormat="false" ht="15" hidden="false" customHeight="false" outlineLevel="0" collapsed="false">
      <c r="A59" s="7" t="s">
        <v>381</v>
      </c>
      <c r="B59" s="15" t="n">
        <f aca="false">B58/$C$58</f>
        <v>1.36666666666667</v>
      </c>
      <c r="C59" s="15" t="n">
        <f aca="false">C58/$C$58</f>
        <v>1</v>
      </c>
      <c r="D59" s="15" t="n">
        <f aca="false">D58/$C$58</f>
        <v>0.683333333333333</v>
      </c>
    </row>
    <row r="61" customFormat="false" ht="15" hidden="false" customHeight="false" outlineLevel="0" collapsed="false">
      <c r="A61" s="2" t="s">
        <v>1</v>
      </c>
      <c r="B61" s="3" t="s">
        <v>420</v>
      </c>
      <c r="C61" s="2" t="s">
        <v>421</v>
      </c>
      <c r="D61" s="2" t="s">
        <v>411</v>
      </c>
      <c r="E61" s="2" t="s">
        <v>350</v>
      </c>
    </row>
    <row r="62" customFormat="false" ht="15" hidden="false" customHeight="false" outlineLevel="0" collapsed="false">
      <c r="A62" s="5" t="s">
        <v>272</v>
      </c>
      <c r="B62" s="15" t="n">
        <f aca="false">B48</f>
        <v>0.35</v>
      </c>
      <c r="C62" s="15" t="n">
        <f aca="false">C48</f>
        <v>0.46</v>
      </c>
      <c r="D62" s="15" t="n">
        <f aca="false">D48</f>
        <v>0.6</v>
      </c>
    </row>
    <row r="63" customFormat="false" ht="15" hidden="false" customHeight="false" outlineLevel="0" collapsed="false">
      <c r="A63" s="7" t="s">
        <v>422</v>
      </c>
      <c r="B63" s="16" t="n">
        <f aca="false">$C$39*(1-B62)</f>
        <v>0.2665</v>
      </c>
      <c r="C63" s="16" t="n">
        <f aca="false">$C$39*(1-C62)</f>
        <v>0.2214</v>
      </c>
      <c r="D63" s="16" t="n">
        <f aca="false">$C$39*(1-D62)</f>
        <v>0.164</v>
      </c>
      <c r="E63" s="14" t="s">
        <v>423</v>
      </c>
    </row>
    <row r="64" customFormat="false" ht="15" hidden="false" customHeight="false" outlineLevel="0" collapsed="false">
      <c r="A64" s="7" t="s">
        <v>381</v>
      </c>
      <c r="B64" s="15" t="n">
        <f aca="false">B63/$C$63</f>
        <v>1.2037037037037</v>
      </c>
      <c r="C64" s="15" t="n">
        <f aca="false">C63/$C$63</f>
        <v>1</v>
      </c>
      <c r="D64" s="15" t="n">
        <f aca="false">D63/$C$63</f>
        <v>0.740740740740741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48"/>
    <col collapsed="false" customWidth="true" hidden="false" outlineLevel="0" max="4" min="4" style="0" width="44"/>
    <col collapsed="false" customWidth="true" hidden="false" outlineLevel="0" max="5" min="5" style="0" width="48"/>
    <col collapsed="false" customWidth="true" hidden="false" outlineLevel="0" max="6" min="6" style="0" width="44"/>
    <col collapsed="false" customWidth="true" hidden="false" outlineLevel="0" max="7" min="7" style="0" width="26"/>
  </cols>
  <sheetData>
    <row r="1" customFormat="false" ht="17.15" hidden="false" customHeight="false" outlineLevel="0" collapsed="false">
      <c r="A1" s="1" t="s">
        <v>424</v>
      </c>
    </row>
    <row r="3" customFormat="false" ht="15" hidden="false" customHeight="false" outlineLevel="0" collapsed="false">
      <c r="A3" s="2" t="s">
        <v>47</v>
      </c>
      <c r="B3" s="2" t="s">
        <v>425</v>
      </c>
      <c r="C3" s="2" t="s">
        <v>426</v>
      </c>
      <c r="D3" s="2" t="s">
        <v>427</v>
      </c>
      <c r="E3" s="2" t="s">
        <v>428</v>
      </c>
      <c r="F3" s="2" t="s">
        <v>429</v>
      </c>
      <c r="G3" s="2" t="s">
        <v>430</v>
      </c>
    </row>
    <row r="4" customFormat="false" ht="28.35" hidden="false" customHeight="false" outlineLevel="0" collapsed="false">
      <c r="A4" s="23" t="s">
        <v>431</v>
      </c>
      <c r="B4" s="5" t="s">
        <v>432</v>
      </c>
      <c r="C4" s="7" t="s">
        <v>433</v>
      </c>
      <c r="D4" s="7" t="s">
        <v>434</v>
      </c>
      <c r="E4" s="5" t="s">
        <v>435</v>
      </c>
      <c r="F4" s="7" t="s">
        <v>436</v>
      </c>
      <c r="G4" s="7" t="s">
        <v>437</v>
      </c>
    </row>
    <row r="5" customFormat="false" ht="28.35" hidden="false" customHeight="false" outlineLevel="0" collapsed="false">
      <c r="A5" s="23" t="s">
        <v>438</v>
      </c>
      <c r="B5" s="5" t="s">
        <v>439</v>
      </c>
      <c r="C5" s="7" t="s">
        <v>440</v>
      </c>
      <c r="D5" s="7" t="s">
        <v>441</v>
      </c>
      <c r="E5" s="5" t="s">
        <v>442</v>
      </c>
      <c r="F5" s="7" t="s">
        <v>443</v>
      </c>
      <c r="G5" s="7" t="s">
        <v>444</v>
      </c>
    </row>
    <row r="6" customFormat="false" ht="28.35" hidden="false" customHeight="false" outlineLevel="0" collapsed="false">
      <c r="A6" s="23" t="s">
        <v>445</v>
      </c>
      <c r="B6" s="7" t="s">
        <v>446</v>
      </c>
      <c r="C6" s="7" t="s">
        <v>447</v>
      </c>
      <c r="D6" s="7" t="s">
        <v>448</v>
      </c>
      <c r="E6" s="7" t="s">
        <v>449</v>
      </c>
      <c r="F6" s="7" t="s">
        <v>450</v>
      </c>
      <c r="G6" s="7" t="s">
        <v>451</v>
      </c>
    </row>
    <row r="7" customFormat="false" ht="41.75" hidden="false" customHeight="false" outlineLevel="0" collapsed="false">
      <c r="A7" s="23" t="s">
        <v>452</v>
      </c>
      <c r="B7" s="5" t="s">
        <v>453</v>
      </c>
      <c r="C7" s="7" t="s">
        <v>454</v>
      </c>
      <c r="D7" s="7" t="s">
        <v>455</v>
      </c>
      <c r="E7" s="7" t="s">
        <v>456</v>
      </c>
      <c r="F7" s="7" t="s">
        <v>457</v>
      </c>
      <c r="G7" s="7" t="s">
        <v>458</v>
      </c>
    </row>
    <row r="8" customFormat="false" ht="28.35" hidden="false" customHeight="false" outlineLevel="0" collapsed="false">
      <c r="A8" s="23" t="s">
        <v>459</v>
      </c>
      <c r="B8" s="5" t="s">
        <v>460</v>
      </c>
      <c r="C8" s="7" t="s">
        <v>461</v>
      </c>
      <c r="D8" s="7" t="s">
        <v>462</v>
      </c>
      <c r="E8" s="7" t="s">
        <v>463</v>
      </c>
      <c r="F8" s="7" t="s">
        <v>464</v>
      </c>
      <c r="G8" s="7" t="s">
        <v>465</v>
      </c>
    </row>
    <row r="9" customFormat="false" ht="28.35" hidden="false" customHeight="false" outlineLevel="0" collapsed="false">
      <c r="A9" s="23" t="s">
        <v>466</v>
      </c>
      <c r="B9" s="5" t="s">
        <v>467</v>
      </c>
      <c r="C9" s="7" t="s">
        <v>468</v>
      </c>
      <c r="D9" s="7" t="s">
        <v>469</v>
      </c>
      <c r="E9" s="7" t="s">
        <v>470</v>
      </c>
      <c r="F9" s="7" t="s">
        <v>471</v>
      </c>
      <c r="G9" s="7" t="s">
        <v>472</v>
      </c>
    </row>
    <row r="10" customFormat="false" ht="28.35" hidden="false" customHeight="false" outlineLevel="0" collapsed="false">
      <c r="A10" s="23" t="s">
        <v>473</v>
      </c>
      <c r="B10" s="5" t="s">
        <v>474</v>
      </c>
      <c r="C10" s="7" t="s">
        <v>475</v>
      </c>
      <c r="D10" s="7" t="s">
        <v>476</v>
      </c>
      <c r="E10" s="7" t="s">
        <v>477</v>
      </c>
      <c r="F10" s="7" t="s">
        <v>478</v>
      </c>
      <c r="G10" s="7" t="s">
        <v>479</v>
      </c>
    </row>
    <row r="11" customFormat="false" ht="28.35" hidden="false" customHeight="false" outlineLevel="0" collapsed="false">
      <c r="A11" s="23" t="s">
        <v>480</v>
      </c>
      <c r="B11" s="7" t="s">
        <v>481</v>
      </c>
      <c r="C11" s="7" t="s">
        <v>482</v>
      </c>
      <c r="D11" s="7" t="s">
        <v>483</v>
      </c>
      <c r="E11" s="5" t="s">
        <v>484</v>
      </c>
      <c r="F11" s="5" t="s">
        <v>138</v>
      </c>
      <c r="G11" s="5" t="s"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2026-10-23T06:15:26Z</dcterms:created>
  <dc:creator>openpyxl</dc:creator>
  <dc:description/>
  <dc:language>en-US</dc:language>
  <cp:lastModifiedBy/>
  <dcterms:modified xsi:type="dcterms:W3CDTF">2026-10-23T06:15:26Z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