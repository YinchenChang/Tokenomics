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輸入" sheetId="1" state="visible" r:id="rId3"/>
    <sheet name="Fairwater" sheetId="2" state="visible" r:id="rId4"/>
    <sheet name="token帳" sheetId="3" state="visible" r:id="rId5"/>
    <sheet name="證據表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<sst xmlns="http://schemas.openxmlformats.org/spreadsheetml/2006/main" count="425" uniqueCount="329">
  <si>
    <t xml:space="preserve">項目</t>
  </si>
  <si>
    <t xml:space="preserve">值</t>
  </si>
  <si>
    <t xml:space="preserve">單位</t>
  </si>
  <si>
    <t xml:space="preserve">標記</t>
  </si>
  <si>
    <t xml:space="preserve">依據</t>
  </si>
  <si>
    <r>
      <rPr>
        <sz val="11"/>
        <color theme="1"/>
        <rFont val="Calibri"/>
        <family val="2"/>
        <charset val="1"/>
      </rPr>
      <t xml:space="preserve">E0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上線 </t>
    </r>
    <r>
      <rPr>
        <sz val="11"/>
        <color theme="1"/>
        <rFont val="Calibri"/>
        <family val="2"/>
        <charset val="1"/>
      </rPr>
      <t xml:space="preserve">GW</t>
    </r>
  </si>
  <si>
    <t xml:space="preserve">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</si>
  <si>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 CFO</t>
    </r>
    <r>
      <rPr>
        <sz val="11"/>
        <color theme="1"/>
        <rFont val="Noto Sans CJK SC"/>
        <family val="2"/>
      </rPr>
      <t xml:space="preserve">（募資／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誘因）</t>
    </r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</si>
  <si>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參數</t>
    </r>
    <r>
      <rPr>
        <sz val="11"/>
        <color theme="1"/>
        <rFont val="Calibri"/>
        <family val="2"/>
        <charset val="1"/>
      </rPr>
      <t xml:space="preserve">!B2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</si>
  <si>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回本比值（基準）</t>
    </r>
  </si>
  <si>
    <t xml:space="preserve">倍</t>
  </si>
  <si>
    <t xml:space="preserve">Derived</t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</si>
  <si>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參數</t>
    </r>
    <r>
      <rPr>
        <sz val="11"/>
        <color theme="1"/>
        <rFont val="Calibri"/>
        <family val="2"/>
        <charset val="1"/>
      </rPr>
      <t xml:space="preserve">!B12</t>
    </r>
  </si>
  <si>
    <r>
      <rPr>
        <sz val="11"/>
        <color theme="1"/>
        <rFont val="Calibri"/>
        <family val="2"/>
        <charset val="1"/>
      </rPr>
      <t xml:space="preserve">h 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</t>
    </r>
  </si>
  <si>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</si>
  <si>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參數</t>
    </r>
    <r>
      <rPr>
        <sz val="11"/>
        <color theme="1"/>
        <rFont val="Calibri"/>
        <family val="2"/>
        <charset val="1"/>
      </rPr>
      <t xml:space="preserve">!B13</t>
    </r>
  </si>
  <si>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年化</t>
    </r>
  </si>
  <si>
    <t xml:space="preserve">$B</t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</si>
  <si>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參數</t>
    </r>
    <r>
      <rPr>
        <sz val="11"/>
        <color theme="1"/>
        <rFont val="Calibri"/>
        <family val="2"/>
        <charset val="1"/>
      </rPr>
      <t xml:space="preserve">!B14</t>
    </r>
  </si>
  <si>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年化（</t>
    </r>
    <r>
      <rPr>
        <sz val="11"/>
        <color theme="1"/>
        <rFont val="Calibri"/>
        <family val="2"/>
        <charset val="1"/>
      </rPr>
      <t xml:space="preserve">WSJ 67 </t>
    </r>
    <r>
      <rPr>
        <sz val="11"/>
        <color theme="1"/>
        <rFont val="Noto Sans CJK SC"/>
        <family val="2"/>
      </rPr>
      <t xml:space="preserve">億</t>
    </r>
    <r>
      <rPr>
        <sz val="11"/>
        <color theme="1"/>
        <rFont val="Calibri"/>
        <family val="2"/>
        <charset val="1"/>
      </rPr>
      <t xml:space="preserve">×4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</si>
  <si>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報導（</t>
    </r>
    <r>
      <rPr>
        <sz val="11"/>
        <color theme="1"/>
        <rFont val="Calibri"/>
        <family val="2"/>
        <charset val="1"/>
      </rPr>
      <t xml:space="preserve">WSJ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</si>
  <si>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參數</t>
    </r>
    <r>
      <rPr>
        <sz val="11"/>
        <color theme="1"/>
        <rFont val="Calibri"/>
        <family val="2"/>
        <charset val="1"/>
      </rPr>
      <t xml:space="preserve">!B17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</si>
  <si>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站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平均增量，低占比加權（晚）</t>
    </r>
  </si>
  <si>
    <t xml:space="preserve">MW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</si>
  <si>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站點；</t>
    </r>
    <r>
      <rPr>
        <sz val="11"/>
        <color theme="1"/>
        <rFont val="Calibri"/>
        <family val="2"/>
        <charset val="1"/>
      </rPr>
      <t xml:space="preserve">Abilene 90×1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Denton 64×0.5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speculative×0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</si>
  <si>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站點彙總 </t>
    </r>
    <r>
      <rPr>
        <sz val="11"/>
        <color theme="1"/>
        <rFont val="Calibri"/>
        <family val="2"/>
        <charset val="1"/>
      </rPr>
      <t xml:space="preserve">D3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D5</t>
    </r>
    <r>
      <rPr>
        <sz val="11"/>
        <color theme="1"/>
        <rFont val="Noto Sans CJK SC"/>
        <family val="2"/>
      </rPr>
      <t xml:space="preserve">；參數</t>
    </r>
    <r>
      <rPr>
        <sz val="11"/>
        <color theme="1"/>
        <rFont val="Calibri"/>
        <family val="2"/>
        <charset val="1"/>
      </rPr>
      <t xml:space="preserve">!B24:D24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</si>
  <si>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站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平均增量，低占比加權（早）</t>
    </r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</si>
  <si>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站點彙總 </t>
    </r>
    <r>
      <rPr>
        <sz val="11"/>
        <color theme="1"/>
        <rFont val="Calibri"/>
        <family val="2"/>
        <charset val="1"/>
      </rPr>
      <t xml:space="preserve">E3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E5×0.5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</si>
  <si>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站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平均增量，中占比加權（晚）</t>
    </r>
  </si>
  <si>
    <r>
      <rPr>
        <sz val="11"/>
        <color theme="1"/>
        <rFont val="Noto Sans CJK SC"/>
        <family val="2"/>
      </rPr>
      <t xml:space="preserve">由下列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站點值以中占比（</t>
    </r>
    <r>
      <rPr>
        <sz val="11"/>
        <color theme="1"/>
        <rFont val="Calibri"/>
        <family val="2"/>
        <charset val="1"/>
      </rPr>
      <t xml:space="preserve">confident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likely 0.75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speculative 0.25</t>
    </r>
    <r>
      <rPr>
        <sz val="11"/>
        <color theme="1"/>
        <rFont val="Noto Sans CJK SC"/>
        <family val="2"/>
      </rPr>
      <t xml:space="preserve">）加權</t>
    </r>
  </si>
  <si>
    <r>
      <rPr>
        <sz val="11"/>
        <color theme="1"/>
        <rFont val="Calibri"/>
        <family val="2"/>
        <charset val="1"/>
      </rPr>
      <t xml:space="preserve">Fairwater Wisconsin Q2 </t>
    </r>
    <r>
      <rPr>
        <sz val="11"/>
        <color theme="1"/>
        <rFont val="Noto Sans CJK SC"/>
        <family val="2"/>
      </rPr>
      <t xml:space="preserve">平均增量（晚＝早）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</si>
  <si>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Building 1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2026-04-16 </t>
    </r>
    <r>
      <rPr>
        <sz val="11"/>
        <color theme="1"/>
        <rFont val="Noto Sans CJK SC"/>
        <family val="2"/>
      </rPr>
      <t xml:space="preserve">上線）</t>
    </r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</si>
  <si>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站點彙總 </t>
    </r>
    <r>
      <rPr>
        <sz val="11"/>
        <color theme="1"/>
        <rFont val="Calibri"/>
        <family val="2"/>
        <charset val="1"/>
      </rPr>
      <t xml:space="preserve">D4</t>
    </r>
  </si>
  <si>
    <r>
      <rPr>
        <sz val="11"/>
        <color theme="1"/>
        <rFont val="Calibri"/>
        <family val="2"/>
        <charset val="1"/>
      </rPr>
      <t xml:space="preserve">Fairwater Atlanta Q2 </t>
    </r>
    <r>
      <rPr>
        <sz val="11"/>
        <color theme="1"/>
        <rFont val="Noto Sans CJK SC"/>
        <family val="2"/>
      </rPr>
      <t xml:space="preserve">平均增量（晚）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</si>
  <si>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Building 3–4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2026-06-14 </t>
    </r>
    <r>
      <rPr>
        <sz val="11"/>
        <color theme="1"/>
        <rFont val="Noto Sans CJK SC"/>
        <family val="2"/>
      </rPr>
      <t xml:space="preserve">快照判定上線）</t>
    </r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</si>
  <si>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站點彙總 </t>
    </r>
    <r>
      <rPr>
        <sz val="11"/>
        <color theme="1"/>
        <rFont val="Calibri"/>
        <family val="2"/>
        <charset val="1"/>
      </rPr>
      <t xml:space="preserve">D2</t>
    </r>
  </si>
  <si>
    <r>
      <rPr>
        <sz val="11"/>
        <color theme="1"/>
        <rFont val="Calibri"/>
        <family val="2"/>
        <charset val="1"/>
      </rPr>
      <t xml:space="preserve">Fairwater Atlanta Q2 </t>
    </r>
    <r>
      <rPr>
        <sz val="11"/>
        <color theme="1"/>
        <rFont val="Noto Sans CJK SC"/>
        <family val="2"/>
      </rPr>
      <t xml:space="preserve">平均增量（早）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</si>
  <si>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證據下限日期）</t>
    </r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</si>
  <si>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站點彙總 </t>
    </r>
    <r>
      <rPr>
        <sz val="11"/>
        <color theme="1"/>
        <rFont val="Calibri"/>
        <family val="2"/>
        <charset val="1"/>
      </rPr>
      <t xml:space="preserve">E2</t>
    </r>
  </si>
  <si>
    <r>
      <rPr>
        <sz val="11"/>
        <color theme="1"/>
        <rFont val="Calibri"/>
        <family val="2"/>
        <charset val="1"/>
      </rPr>
      <t xml:space="preserve">Abilene Q2 </t>
    </r>
    <r>
      <rPr>
        <sz val="11"/>
        <color theme="1"/>
        <rFont val="Noto Sans CJK SC"/>
        <family val="2"/>
      </rPr>
      <t xml:space="preserve">平均增量（晚）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</si>
  <si>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</t>
    </r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</si>
  <si>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站點彙總 </t>
    </r>
    <r>
      <rPr>
        <sz val="11"/>
        <color theme="1"/>
        <rFont val="Calibri"/>
        <family val="2"/>
        <charset val="1"/>
      </rPr>
      <t xml:space="preserve">D3</t>
    </r>
  </si>
  <si>
    <r>
      <rPr>
        <sz val="11"/>
        <color theme="1"/>
        <rFont val="Calibri"/>
        <family val="2"/>
        <charset val="1"/>
      </rPr>
      <t xml:space="preserve">Denton Q2 </t>
    </r>
    <r>
      <rPr>
        <sz val="11"/>
        <color theme="1"/>
        <rFont val="Noto Sans CJK SC"/>
        <family val="2"/>
      </rPr>
      <t xml:space="preserve">平均增量（晚）</t>
    </r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</si>
  <si>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站點彙總 </t>
    </r>
    <r>
      <rPr>
        <sz val="11"/>
        <color theme="1"/>
        <rFont val="Calibri"/>
        <family val="2"/>
        <charset val="1"/>
      </rPr>
      <t xml:space="preserve">D5</t>
    </r>
  </si>
  <si>
    <r>
      <rPr>
        <sz val="11"/>
        <color theme="1"/>
        <rFont val="Calibri"/>
        <family val="2"/>
        <charset val="1"/>
      </rPr>
      <t xml:space="preserve">speculative </t>
    </r>
    <r>
      <rPr>
        <sz val="11"/>
        <color theme="1"/>
        <rFont val="Noto Sans CJK SC"/>
        <family val="2"/>
      </rPr>
      <t xml:space="preserve">站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平均增量合計（晚）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</si>
  <si>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Chester 25.38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Marble 53.85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Dalton 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</si>
  <si>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站點彙總 </t>
    </r>
    <r>
      <rPr>
        <sz val="11"/>
        <color theme="1"/>
        <rFont val="Calibri"/>
        <family val="2"/>
        <charset val="1"/>
      </rPr>
      <t xml:space="preserve">D10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D13</t>
    </r>
  </si>
  <si>
    <r>
      <rPr>
        <sz val="11"/>
        <color theme="1"/>
        <rFont val="Calibri"/>
        <family val="2"/>
        <charset val="1"/>
      </rPr>
      <t xml:space="preserve">MAI-Base-2 </t>
    </r>
    <r>
      <rPr>
        <sz val="11"/>
        <color theme="1"/>
        <rFont val="Noto Sans CJK SC"/>
        <family val="2"/>
      </rPr>
      <t xml:space="preserve">預訓練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</t>
    </r>
  </si>
  <si>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GB200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</si>
  <si>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 AI</t>
    </r>
    <r>
      <rPr>
        <sz val="11"/>
        <color theme="1"/>
        <rFont val="Noto Sans CJK SC"/>
        <family val="2"/>
      </rPr>
      <t xml:space="preserve">（〈</t>
    </r>
    <r>
      <rPr>
        <sz val="11"/>
        <color theme="1"/>
        <rFont val="Calibri"/>
        <family val="2"/>
        <charset val="1"/>
      </rPr>
      <t xml:space="preserve">Frontier Pre-training at Microsoft AI</t>
    </r>
    <r>
      <rPr>
        <sz val="11"/>
        <color theme="1"/>
        <rFont val="Noto Sans CJK SC"/>
        <family val="2"/>
      </rPr>
      <t xml:space="preserve">〉</t>
    </r>
    <r>
      <rPr>
        <sz val="11"/>
        <color theme="1"/>
        <rFont val="Calibri"/>
        <family val="2"/>
        <charset val="1"/>
      </rPr>
      <t xml:space="preserve">2026-10-15</t>
    </r>
    <r>
      <rPr>
        <sz val="11"/>
        <color theme="1"/>
        <rFont val="Noto Sans CJK SC"/>
        <family val="2"/>
      </rPr>
      <t xml:space="preserve">；展示自研能力的誘因）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</si>
  <si>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天；未載站點</t>
    </r>
  </si>
  <si>
    <r>
      <rPr>
        <sz val="11"/>
        <color theme="1"/>
        <rFont val="Calibri"/>
        <family val="2"/>
        <charset val="1"/>
      </rPr>
      <t xml:space="preserve">Fairwater Wisconsin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估）</t>
    </r>
  </si>
  <si>
    <t xml:space="preserve">顆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</si>
  <si>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computeatlas 2026-10-07 </t>
    </r>
    <r>
      <rPr>
        <sz val="11"/>
        <color theme="1"/>
        <rFont val="Noto Sans CJK SC"/>
        <family val="2"/>
      </rPr>
      <t xml:space="preserve">轉引）</t>
    </r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</si>
  <si>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只說「</t>
    </r>
    <r>
      <rPr>
        <sz val="11"/>
        <color theme="1"/>
        <rFont val="Calibri"/>
        <family val="2"/>
        <charset val="1"/>
      </rPr>
      <t xml:space="preserve">hundreds of thousands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</si>
  <si>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Fairwater Atlanta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</si>
  <si>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（同上）</t>
    </r>
  </si>
  <si>
    <r>
      <rPr>
        <sz val="11"/>
        <color theme="1"/>
        <rFont val="Calibri"/>
        <family val="2"/>
        <charset val="1"/>
      </rPr>
      <t xml:space="preserve">Fairwater Wisconsin IT </t>
    </r>
    <r>
      <rPr>
        <sz val="11"/>
        <color theme="1"/>
        <rFont val="Noto Sans CJK SC"/>
        <family val="2"/>
      </rPr>
      <t xml:space="preserve">電力（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</si>
  <si>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目錄頁 </t>
    </r>
    <r>
      <rPr>
        <sz val="11"/>
        <color theme="1"/>
        <rFont val="Calibri"/>
        <family val="2"/>
        <charset val="1"/>
      </rPr>
      <t xml:space="preserve">2026-07-25</t>
    </r>
  </si>
  <si>
    <r>
      <rPr>
        <b val="true"/>
        <sz val="11"/>
        <rFont val="Cambria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帳輸入（照抄 </t>
    </r>
    <r>
      <rPr>
        <b val="true"/>
        <sz val="11"/>
        <rFont val="Cambria"/>
        <family val="0"/>
        <charset val="1"/>
      </rPr>
      <t xml:space="preserve">token</t>
    </r>
    <r>
      <rPr>
        <b val="true"/>
        <sz val="11"/>
        <rFont val="Noto Sans CJK SC"/>
        <family val="2"/>
      </rPr>
      <t xml:space="preserve">帳缺口</t>
    </r>
    <r>
      <rPr>
        <b val="true"/>
        <sz val="11"/>
        <rFont val="Cambria"/>
        <family val="0"/>
        <charset val="1"/>
      </rPr>
      <t xml:space="preserve">_A</t>
    </r>
    <r>
      <rPr>
        <b val="true"/>
        <sz val="11"/>
        <rFont val="Noto Sans CJK SC"/>
        <family val="2"/>
      </rPr>
      <t xml:space="preserve">段</t>
    </r>
    <r>
      <rPr>
        <b val="true"/>
        <sz val="11"/>
        <rFont val="Cambria"/>
        <family val="0"/>
        <charset val="1"/>
      </rPr>
      <t xml:space="preserve">.xlsx </t>
    </r>
    <r>
      <rPr>
        <b val="true"/>
        <sz val="11"/>
        <rFont val="Noto Sans CJK SC"/>
        <family val="2"/>
      </rPr>
      <t xml:space="preserve">輸入頁，未改）</t>
    </r>
  </si>
  <si>
    <r>
      <rPr>
        <sz val="11"/>
        <color theme="1"/>
        <rFont val="Calibri"/>
        <family val="2"/>
        <charset val="1"/>
      </rPr>
      <t xml:space="preserve">2026 Q2 </t>
    </r>
    <r>
      <rPr>
        <sz val="11"/>
        <color theme="1"/>
        <rFont val="Noto Sans CJK SC"/>
        <family val="2"/>
      </rPr>
      <t xml:space="preserve">季平均上線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中＋晚）</t>
    </r>
  </si>
  <si>
    <r>
      <rPr>
        <sz val="11"/>
        <color theme="1"/>
        <rFont val="Calibri"/>
        <family val="2"/>
        <charset val="1"/>
      </rPr>
      <t xml:space="preserve">token A</t>
    </r>
    <r>
      <rPr>
        <sz val="11"/>
        <color theme="1"/>
        <rFont val="Noto Sans CJK SC"/>
        <family val="2"/>
      </rPr>
      <t xml:space="preserve">段 輸入</t>
    </r>
    <r>
      <rPr>
        <sz val="11"/>
        <color theme="1"/>
        <rFont val="Calibri"/>
        <family val="2"/>
        <charset val="1"/>
      </rPr>
      <t xml:space="preserve">!B2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</si>
  <si>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GW</t>
    </r>
  </si>
  <si>
    <t xml:space="preserve">Interested-party</t>
  </si>
  <si>
    <r>
      <rPr>
        <sz val="11"/>
        <color theme="1"/>
        <rFont val="Noto Sans CJK SC"/>
        <family val="2"/>
      </rPr>
      <t xml:space="preserve">輸入</t>
    </r>
    <r>
      <rPr>
        <sz val="11"/>
        <color theme="1"/>
        <rFont val="Calibri"/>
        <family val="2"/>
        <charset val="1"/>
      </rPr>
      <t xml:space="preserve">!B3</t>
    </r>
  </si>
  <si>
    <t xml:space="preserve">B4_Serve</t>
  </si>
  <si>
    <t xml:space="preserve">x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</si>
  <si>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</si>
  <si>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輸入</t>
    </r>
    <r>
      <rPr>
        <sz val="11"/>
        <color theme="1"/>
        <rFont val="Calibri"/>
        <family val="2"/>
        <charset val="1"/>
      </rPr>
      <t xml:space="preserve">!B4</t>
    </r>
  </si>
  <si>
    <r>
      <rPr>
        <sz val="11"/>
        <color theme="1"/>
        <rFont val="Calibri"/>
        <family val="2"/>
        <charset val="1"/>
      </rPr>
      <t xml:space="preserve">IF_FreeShare</t>
    </r>
    <r>
      <rPr>
        <sz val="11"/>
        <color theme="1"/>
        <rFont val="Noto Sans CJK SC"/>
        <family val="2"/>
      </rPr>
      <t xml:space="preserve">（產能側）</t>
    </r>
  </si>
  <si>
    <r>
      <rPr>
        <sz val="11"/>
        <color theme="1"/>
        <rFont val="Noto Sans CJK SC"/>
        <family val="2"/>
      </rPr>
      <t xml:space="preserve">輸入</t>
    </r>
    <r>
      <rPr>
        <sz val="11"/>
        <color theme="1"/>
        <rFont val="Calibri"/>
        <family val="2"/>
        <charset val="1"/>
      </rPr>
      <t xml:space="preserve">!B5</t>
    </r>
  </si>
  <si>
    <t xml:space="preserve">AL_UtilActual</t>
  </si>
  <si>
    <t xml:space="preserve">Assumed</t>
  </si>
  <si>
    <r>
      <rPr>
        <sz val="11"/>
        <color theme="1"/>
        <rFont val="Noto Sans CJK SC"/>
        <family val="2"/>
      </rPr>
      <t xml:space="preserve">輸入</t>
    </r>
    <r>
      <rPr>
        <sz val="11"/>
        <color theme="1"/>
        <rFont val="Calibri"/>
        <family val="2"/>
        <charset val="1"/>
      </rPr>
      <t xml:space="preserve">!B6</t>
    </r>
  </si>
  <si>
    <t xml:space="preserve">CTL_ProdDerate</t>
  </si>
  <si>
    <r>
      <rPr>
        <sz val="11"/>
        <color theme="1"/>
        <rFont val="Noto Sans CJK SC"/>
        <family val="2"/>
      </rPr>
      <t xml:space="preserve">輸入</t>
    </r>
    <r>
      <rPr>
        <sz val="11"/>
        <color theme="1"/>
        <rFont val="Calibri"/>
        <family val="2"/>
        <charset val="1"/>
      </rPr>
      <t xml:space="preserve">!B7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</si>
  <si>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付費產能 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</si>
  <si>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Calibri"/>
        <family val="2"/>
        <charset val="1"/>
      </rPr>
      <t xml:space="preserve">M tok/GW/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</si>
  <si>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輸入</t>
    </r>
    <r>
      <rPr>
        <sz val="11"/>
        <color theme="1"/>
        <rFont val="Calibri"/>
        <family val="2"/>
        <charset val="1"/>
      </rPr>
      <t xml:space="preserve">!B8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</si>
  <si>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付費產能 </t>
    </r>
    <r>
      <rPr>
        <sz val="11"/>
        <color theme="1"/>
        <rFont val="Calibri"/>
        <family val="2"/>
        <charset val="1"/>
      </rPr>
      <t xml:space="preserve">GB200</t>
    </r>
  </si>
  <si>
    <r>
      <rPr>
        <sz val="11"/>
        <color theme="1"/>
        <rFont val="Noto Sans CJK SC"/>
        <family val="2"/>
      </rPr>
      <t xml:space="preserve">輸入</t>
    </r>
    <r>
      <rPr>
        <sz val="11"/>
        <color theme="1"/>
        <rFont val="Calibri"/>
        <family val="2"/>
        <charset val="1"/>
      </rPr>
      <t xml:space="preserve">!B9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</si>
  <si>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付費產能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</si>
  <si>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Noto Sans CJK SC"/>
        <family val="2"/>
      </rPr>
      <t xml:space="preserve">輸入</t>
    </r>
    <r>
      <rPr>
        <sz val="11"/>
        <color theme="1"/>
        <rFont val="Calibri"/>
        <family val="2"/>
        <charset val="1"/>
      </rPr>
      <t xml:space="preserve">!B10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</si>
  <si>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付費產能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</si>
  <si>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Noto Sans CJK SC"/>
        <family val="2"/>
      </rPr>
      <t xml:space="preserve">輸入</t>
    </r>
    <r>
      <rPr>
        <sz val="11"/>
        <color theme="1"/>
        <rFont val="Calibri"/>
        <family val="2"/>
        <charset val="1"/>
      </rPr>
      <t xml:space="preserve">!B11</t>
    </r>
  </si>
  <si>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</si>
  <si>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輸入</t>
    </r>
    <r>
      <rPr>
        <sz val="11"/>
        <color theme="1"/>
        <rFont val="Calibri"/>
        <family val="2"/>
        <charset val="1"/>
      </rPr>
      <t xml:space="preserve">!B12</t>
    </r>
  </si>
  <si>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GB200</t>
    </r>
  </si>
  <si>
    <r>
      <rPr>
        <sz val="11"/>
        <color theme="1"/>
        <rFont val="Noto Sans CJK SC"/>
        <family val="2"/>
      </rPr>
      <t xml:space="preserve">輸入</t>
    </r>
    <r>
      <rPr>
        <sz val="11"/>
        <color theme="1"/>
        <rFont val="Calibri"/>
        <family val="2"/>
        <charset val="1"/>
      </rPr>
      <t xml:space="preserve">!B13</t>
    </r>
  </si>
  <si>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</si>
  <si>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Noto Sans CJK SC"/>
        <family val="2"/>
      </rPr>
      <t xml:space="preserve">輸入</t>
    </r>
    <r>
      <rPr>
        <sz val="11"/>
        <color theme="1"/>
        <rFont val="Calibri"/>
        <family val="2"/>
        <charset val="1"/>
      </rPr>
      <t xml:space="preserve">!B14</t>
    </r>
  </si>
  <si>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</si>
  <si>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Noto Sans CJK SC"/>
        <family val="2"/>
      </rPr>
      <t xml:space="preserve">輸入</t>
    </r>
    <r>
      <rPr>
        <sz val="11"/>
        <color theme="1"/>
        <rFont val="Calibri"/>
        <family val="2"/>
        <charset val="1"/>
      </rPr>
      <t xml:space="preserve">!B15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</si>
  <si>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API token 2026 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億／分年化）</t>
    </r>
  </si>
  <si>
    <r>
      <rPr>
        <sz val="11"/>
        <color theme="1"/>
        <rFont val="Calibri"/>
        <family val="2"/>
        <charset val="1"/>
      </rPr>
      <t xml:space="preserve">M tok/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</si>
  <si>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</si>
  <si>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Noto Sans CJK SC"/>
        <family val="2"/>
      </rPr>
      <t xml:space="preserve">輸入</t>
    </r>
    <r>
      <rPr>
        <sz val="11"/>
        <color theme="1"/>
        <rFont val="Calibri"/>
        <family val="2"/>
        <charset val="1"/>
      </rPr>
      <t xml:space="preserve">!B17</t>
    </r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</si>
  <si>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每日則數（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</si>
  <si>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日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</si>
  <si>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2.5B×</t>
    </r>
    <r>
      <rPr>
        <sz val="11"/>
        <color theme="1"/>
        <rFont val="Noto Sans CJK SC"/>
        <family val="2"/>
      </rPr>
      <t xml:space="preserve">週活 </t>
    </r>
    <r>
      <rPr>
        <sz val="11"/>
        <color theme="1"/>
        <rFont val="Calibri"/>
        <family val="2"/>
        <charset val="1"/>
      </rPr>
      <t xml:space="preserve">1.0÷0.7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</si>
  <si>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輸入</t>
    </r>
    <r>
      <rPr>
        <sz val="11"/>
        <color theme="1"/>
        <rFont val="Calibri"/>
        <family val="2"/>
        <charset val="1"/>
      </rPr>
      <t xml:space="preserve">!B18</t>
    </r>
  </si>
  <si>
    <r>
      <rPr>
        <sz val="11"/>
        <color theme="1"/>
        <rFont val="Noto Sans CJK SC"/>
        <family val="2"/>
      </rPr>
      <t xml:space="preserve">每則 </t>
    </r>
    <r>
      <rPr>
        <sz val="11"/>
        <color theme="1"/>
        <rFont val="Calibri"/>
        <family val="2"/>
        <charset val="1"/>
      </rPr>
      <t xml:space="preserve">token</t>
    </r>
  </si>
  <si>
    <t xml:space="preserve">tok</t>
  </si>
  <si>
    <r>
      <rPr>
        <sz val="11"/>
        <color theme="1"/>
        <rFont val="Noto Sans CJK SC"/>
        <family val="2"/>
      </rPr>
      <t xml:space="preserve">輸入</t>
    </r>
    <r>
      <rPr>
        <sz val="11"/>
        <color theme="1"/>
        <rFont val="Calibri"/>
        <family val="2"/>
        <charset val="1"/>
      </rPr>
      <t xml:space="preserve">!B19</t>
    </r>
  </si>
  <si>
    <r>
      <rPr>
        <sz val="11"/>
        <color theme="1"/>
        <rFont val="Calibri"/>
        <family val="2"/>
        <charset val="1"/>
      </rPr>
      <t xml:space="preserve">ChatGPT token </t>
    </r>
    <r>
      <rPr>
        <sz val="11"/>
        <color theme="1"/>
        <rFont val="Noto Sans CJK SC"/>
        <family val="2"/>
      </rPr>
      <t xml:space="preserve">免費占比（需求面）</t>
    </r>
  </si>
  <si>
    <r>
      <rPr>
        <sz val="11"/>
        <color theme="1"/>
        <rFont val="Noto Sans CJK SC"/>
        <family val="2"/>
      </rPr>
      <t xml:space="preserve">輸入</t>
    </r>
    <r>
      <rPr>
        <sz val="11"/>
        <color theme="1"/>
        <rFont val="Calibri"/>
        <family val="2"/>
        <charset val="1"/>
      </rPr>
      <t xml:space="preserve">!B20</t>
    </r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</si>
  <si>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每日則數的底（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</t>
    </r>
  </si>
  <si>
    <t xml:space="preserve">TK SRC_DEM_012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</si>
  <si>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週活（</t>
    </r>
    <r>
      <rPr>
        <sz val="11"/>
        <color theme="1"/>
        <rFont val="Calibri"/>
        <family val="2"/>
        <charset val="1"/>
      </rPr>
      <t xml:space="preserve">2026 Q2 </t>
    </r>
    <r>
      <rPr>
        <sz val="11"/>
        <color theme="1"/>
        <rFont val="Noto Sans CJK SC"/>
        <family val="2"/>
      </rPr>
      <t xml:space="preserve">假設）</t>
    </r>
  </si>
  <si>
    <t xml:space="preserve">B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</si>
  <si>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</si>
  <si>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TK Cap_In G197 </t>
    </r>
    <r>
      <rPr>
        <sz val="11"/>
        <color theme="1"/>
        <rFont val="Noto Sans CJK SC"/>
        <family val="2"/>
      </rPr>
      <t xml:space="preserve">說明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</si>
  <si>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週活（</t>
    </r>
    <r>
      <rPr>
        <sz val="11"/>
        <color theme="1"/>
        <rFont val="Calibri"/>
        <family val="2"/>
        <charset val="1"/>
      </rPr>
      <t xml:space="preserve">2025-07 </t>
    </r>
    <r>
      <rPr>
        <sz val="11"/>
        <color theme="1"/>
        <rFont val="Noto Sans CJK SC"/>
        <family val="2"/>
      </rPr>
      <t xml:space="preserve">底的週活）</t>
    </r>
  </si>
  <si>
    <t xml:space="preserve">同上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</si>
  <si>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段候選 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季平均倍數）</t>
    </r>
  </si>
  <si>
    <r>
      <rPr>
        <sz val="11"/>
        <color theme="1"/>
        <rFont val="Noto Sans CJK SC"/>
        <family val="2"/>
      </rPr>
      <t xml:space="preserve">輸入</t>
    </r>
    <r>
      <rPr>
        <sz val="11"/>
        <color theme="1"/>
        <rFont val="Calibri"/>
        <family val="2"/>
        <charset val="1"/>
      </rPr>
      <t xml:space="preserve">!C29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</si>
  <si>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段候選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外）</t>
    </r>
  </si>
  <si>
    <r>
      <rPr>
        <sz val="11"/>
        <color theme="1"/>
        <rFont val="Calibri"/>
        <family val="2"/>
        <charset val="1"/>
      </rPr>
      <t xml:space="preserve">T tok/</t>
    </r>
    <r>
      <rPr>
        <sz val="11"/>
        <color theme="1"/>
        <rFont val="Noto Sans CJK SC"/>
        <family val="2"/>
      </rPr>
      <t xml:space="preserve">日</t>
    </r>
  </si>
  <si>
    <r>
      <rPr>
        <sz val="11"/>
        <color theme="1"/>
        <rFont val="Noto Sans CJK SC"/>
        <family val="2"/>
      </rPr>
      <t xml:space="preserve">輸入</t>
    </r>
    <r>
      <rPr>
        <sz val="11"/>
        <color theme="1"/>
        <rFont val="Calibri"/>
        <family val="2"/>
        <charset val="1"/>
      </rPr>
      <t xml:space="preserve">!C30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</si>
  <si>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段候選 </t>
    </r>
    <r>
      <rPr>
        <sz val="11"/>
        <color theme="1"/>
        <rFont val="Calibri"/>
        <family val="2"/>
        <charset val="1"/>
      </rPr>
      <t xml:space="preserve">D3 </t>
    </r>
    <r>
      <rPr>
        <sz val="11"/>
        <color theme="1"/>
        <rFont val="Noto Sans CJK SC"/>
        <family val="2"/>
      </rPr>
      <t xml:space="preserve">基準（每則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</si>
  <si>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輸入</t>
    </r>
    <r>
      <rPr>
        <sz val="11"/>
        <color theme="1"/>
        <rFont val="Calibri"/>
        <family val="2"/>
        <charset val="1"/>
      </rPr>
      <t xml:space="preserve">!C31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</si>
  <si>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段候選 </t>
    </r>
    <r>
      <rPr>
        <sz val="11"/>
        <color theme="1"/>
        <rFont val="Calibri"/>
        <family val="2"/>
        <charset val="1"/>
      </rPr>
      <t xml:space="preserve">S1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</si>
  <si>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輸入</t>
    </r>
    <r>
      <rPr>
        <sz val="11"/>
        <color theme="1"/>
        <rFont val="Calibri"/>
        <family val="2"/>
        <charset val="1"/>
      </rPr>
      <t xml:space="preserve">!C32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</si>
  <si>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段候選 </t>
    </r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</si>
  <si>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輸入</t>
    </r>
    <r>
      <rPr>
        <sz val="11"/>
        <color theme="1"/>
        <rFont val="Calibri"/>
        <family val="2"/>
        <charset val="1"/>
      </rPr>
      <t xml:space="preserve">!C33</t>
    </r>
  </si>
  <si>
    <t xml:space="preserve">本段新證據（需求面）</t>
  </si>
  <si>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占輸出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Codex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ChatGPT</t>
    </r>
    <r>
      <rPr>
        <sz val="11"/>
        <color theme="1"/>
        <rFont val="Noto Sans CJK SC"/>
        <family val="2"/>
      </rPr>
      <t xml:space="preserve">）：組織用戶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</si>
  <si>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研究團隊（</t>
    </r>
    <r>
      <rPr>
        <sz val="11"/>
        <color theme="1"/>
        <rFont val="Calibri"/>
        <family val="2"/>
        <charset val="1"/>
      </rPr>
      <t xml:space="preserve">arXiv 2606.26959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時點；推廣 </t>
    </r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的誘因）</t>
    </r>
  </si>
  <si>
    <r>
      <rPr>
        <sz val="11"/>
        <color theme="1"/>
        <rFont val="Calibri"/>
        <family val="2"/>
        <charset val="1"/>
      </rPr>
      <t xml:space="preserve">Business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Enterprise </t>
    </r>
    <r>
      <rPr>
        <sz val="11"/>
        <color theme="1"/>
        <rFont val="Noto Sans CJK SC"/>
        <family val="2"/>
      </rPr>
      <t xml:space="preserve">方案；彙總比或平均值未明，圖說讀作總量比</t>
    </r>
  </si>
  <si>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占輸出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：個人用戶（含免費）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</si>
  <si>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：同上</t>
    </r>
  </si>
  <si>
    <r>
      <rPr>
        <sz val="11"/>
        <color theme="1"/>
        <rFont val="Calibri"/>
        <family val="2"/>
        <charset val="1"/>
      </rPr>
      <t xml:space="preserve">Free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Pro</t>
    </r>
  </si>
  <si>
    <r>
      <rPr>
        <sz val="11"/>
        <color theme="1"/>
        <rFont val="Noto Sans CJK SC"/>
        <family val="2"/>
      </rPr>
      <t xml:space="preserve">組織用戶占 </t>
    </r>
    <r>
      <rPr>
        <sz val="11"/>
        <color theme="1"/>
        <rFont val="Calibri"/>
        <family val="2"/>
        <charset val="1"/>
      </rPr>
      <t xml:space="preserve">ChatGPT token </t>
    </r>
    <r>
      <rPr>
        <sz val="11"/>
        <color theme="1"/>
        <rFont val="Noto Sans CJK SC"/>
        <family val="2"/>
      </rPr>
      <t xml:space="preserve">的比例 </t>
    </r>
    <r>
      <rPr>
        <sz val="11"/>
        <color theme="1"/>
        <rFont val="Calibri"/>
        <family val="2"/>
        <charset val="1"/>
      </rPr>
      <t xml:space="preserve">w</t>
    </r>
    <r>
      <rPr>
        <sz val="11"/>
        <color theme="1"/>
        <rFont val="Noto Sans CJK SC"/>
        <family val="2"/>
      </rPr>
      <t xml:space="preserve">（低）</t>
    </r>
  </si>
  <si>
    <r>
      <rPr>
        <sz val="11"/>
        <color theme="1"/>
        <rFont val="Noto Sans CJK SC"/>
        <family val="2"/>
      </rPr>
      <t xml:space="preserve">無來源；企業收入占比 </t>
    </r>
    <r>
      <rPr>
        <sz val="11"/>
        <color theme="1"/>
        <rFont val="Calibri"/>
        <family val="2"/>
        <charset val="1"/>
      </rPr>
      <t xml:space="preserve">&gt;40%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2026-04-08</t>
    </r>
    <r>
      <rPr>
        <sz val="11"/>
        <color theme="1"/>
        <rFont val="Noto Sans CJK SC"/>
        <family val="2"/>
      </rPr>
      <t xml:space="preserve">）不等於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</si>
  <si>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w</t>
    </r>
    <r>
      <rPr>
        <sz val="11"/>
        <color theme="1"/>
        <rFont val="Noto Sans CJK SC"/>
        <family val="2"/>
      </rPr>
      <t xml:space="preserve">（基準）</t>
    </r>
  </si>
  <si>
    <r>
      <rPr>
        <sz val="11"/>
        <color theme="1"/>
        <rFont val="Calibri"/>
        <family val="2"/>
        <charset val="1"/>
      </rPr>
      <t xml:space="preserve">w</t>
    </r>
    <r>
      <rPr>
        <sz val="11"/>
        <color theme="1"/>
        <rFont val="Noto Sans CJK SC"/>
        <family val="2"/>
      </rPr>
      <t xml:space="preserve">（高）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</si>
  <si>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÷ 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日時點（</t>
    </r>
    <r>
      <rPr>
        <sz val="11"/>
        <color theme="1"/>
        <rFont val="Calibri"/>
        <family val="2"/>
        <charset val="1"/>
      </rPr>
      <t xml:space="preserve">Codex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</si>
  <si>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週活 </t>
    </r>
    <r>
      <rPr>
        <sz val="11"/>
        <color theme="1"/>
        <rFont val="Calibri"/>
        <family val="2"/>
        <charset val="1"/>
      </rPr>
      <t xml:space="preserve">4/8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 → </t>
    </r>
    <r>
      <rPr>
        <sz val="11"/>
        <color theme="1"/>
        <rFont val="Calibri"/>
        <family val="2"/>
        <charset val="1"/>
      </rPr>
      <t xml:space="preserve">4/21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 → </t>
    </r>
    <r>
      <rPr>
        <sz val="11"/>
        <color theme="1"/>
        <rFont val="Calibri"/>
        <family val="2"/>
        <charset val="1"/>
      </rPr>
      <t xml:space="preserve">6/2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萬（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</si>
  <si>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輸入／輸出比相對 </t>
    </r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的倍數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（基準）</t>
    </r>
  </si>
  <si>
    <r>
      <rPr>
        <sz val="11"/>
        <color theme="1"/>
        <rFont val="Noto Sans CJK SC"/>
        <family val="2"/>
      </rPr>
      <t xml:space="preserve">份額以輸出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計；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即總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比＝輸出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比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</si>
  <si>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（敏感度）</t>
    </r>
  </si>
  <si>
    <r>
      <rPr>
        <sz val="11"/>
        <color theme="1"/>
        <rFont val="Noto Sans CJK SC"/>
        <family val="2"/>
      </rPr>
      <t xml:space="preserve">代理式編碼上下文重複讀入，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可能 </t>
    </r>
    <r>
      <rPr>
        <sz val="11"/>
        <color theme="1"/>
        <rFont val="Calibri"/>
        <family val="2"/>
        <charset val="1"/>
      </rPr>
      <t xml:space="preserve">&gt;1</t>
    </r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</si>
  <si>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週活 </t>
    </r>
    <r>
      <rPr>
        <sz val="11"/>
        <color theme="1"/>
        <rFont val="Calibri"/>
        <family val="2"/>
        <charset val="1"/>
      </rPr>
      <t xml:space="preserve">2026 Q2 </t>
    </r>
    <r>
      <rPr>
        <sz val="11"/>
        <color theme="1"/>
        <rFont val="Noto Sans CJK SC"/>
        <family val="2"/>
      </rPr>
      <t xml:space="preserve">平均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</si>
  <si>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底近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2026-09-08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億；線性取中）</t>
    </r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</si>
  <si>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TNW 2026-07-29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</si>
  <si>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兩站的占比 </t>
    </r>
    <r>
      <rPr>
        <sz val="11"/>
        <color theme="1"/>
        <rFont val="Calibri"/>
        <family val="2"/>
        <charset val="1"/>
      </rPr>
      <t xml:space="preserve">f → Q2 </t>
    </r>
    <r>
      <rPr>
        <sz val="11"/>
        <color theme="1"/>
        <rFont val="Noto Sans CJK SC"/>
        <family val="2"/>
      </rPr>
      <t xml:space="preserve">季平均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與倍數（沿用 </t>
    </r>
    <r>
      <rPr>
        <sz val="11"/>
        <color theme="1"/>
        <rFont val="Calibri"/>
        <family val="2"/>
        <charset val="1"/>
      </rPr>
      <t xml:space="preserve">J7</t>
    </r>
    <r>
      <rPr>
        <sz val="11"/>
        <color theme="1"/>
        <rFont val="Noto Sans CJK SC"/>
        <family val="2"/>
      </rPr>
      <t xml:space="preserve">「結果」頁 </t>
    </r>
    <r>
      <rPr>
        <sz val="11"/>
        <color theme="1"/>
        <rFont val="Calibri"/>
        <family val="2"/>
        <charset val="1"/>
      </rPr>
      <t xml:space="preserve">B40:H47 </t>
    </r>
    <r>
      <rPr>
        <sz val="11"/>
        <color theme="1"/>
        <rFont val="Noto Sans CJK SC"/>
        <family val="2"/>
      </rPr>
      <t xml:space="preserve">算法：其他站維持低占比，只動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</si>
  <si>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持平門檻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</si>
  <si>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比值 </t>
    </r>
    <r>
      <rPr>
        <sz val="11"/>
        <color theme="1"/>
        <rFont val="Calibri"/>
        <family val="2"/>
        <charset val="1"/>
      </rPr>
      <t xml:space="preserve">× 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</si>
  <si>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持平門檻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268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</si>
  <si>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兩站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平均增量（晚）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</si>
  <si>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兩站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平均增量（早）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</si>
  <si>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J7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Q2 GW</t>
    </r>
    <r>
      <rPr>
        <sz val="11"/>
        <color theme="1"/>
        <rFont val="Noto Sans CJK SC"/>
        <family val="2"/>
      </rPr>
      <t xml:space="preserve">（晚）應為 </t>
    </r>
    <r>
      <rPr>
        <sz val="11"/>
        <color theme="1"/>
        <rFont val="Calibri"/>
        <family val="2"/>
        <charset val="1"/>
      </rPr>
      <t xml:space="preserve">2.022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</si>
  <si>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J7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Q2 GW</t>
    </r>
    <r>
      <rPr>
        <sz val="11"/>
        <color theme="1"/>
        <rFont val="Noto Sans CJK SC"/>
        <family val="2"/>
      </rPr>
      <t xml:space="preserve">（早）應為 </t>
    </r>
    <r>
      <rPr>
        <sz val="11"/>
        <color theme="1"/>
        <rFont val="Calibri"/>
        <family val="2"/>
        <charset val="1"/>
      </rPr>
      <t xml:space="preserve">2.1567</t>
    </r>
  </si>
  <si>
    <t xml:space="preserve">f</t>
  </si>
  <si>
    <r>
      <rPr>
        <b val="true"/>
        <sz val="11"/>
        <rFont val="Cambria"/>
        <family val="0"/>
        <charset val="1"/>
      </rPr>
      <t xml:space="preserve">Q2 GW</t>
    </r>
    <r>
      <rPr>
        <b val="true"/>
        <sz val="11"/>
        <rFont val="Noto Sans CJK SC"/>
        <family val="2"/>
      </rPr>
      <t xml:space="preserve">（晚）</t>
    </r>
  </si>
  <si>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倍數（晚）</t>
    </r>
  </si>
  <si>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倍數（晚，</t>
    </r>
    <r>
      <rPr>
        <b val="true"/>
        <sz val="11"/>
        <rFont val="Cambria"/>
        <family val="0"/>
        <charset val="1"/>
      </rPr>
      <t xml:space="preserve">268 </t>
    </r>
    <r>
      <rPr>
        <b val="true"/>
        <sz val="11"/>
        <rFont val="Noto Sans CJK SC"/>
        <family val="2"/>
      </rPr>
      <t xml:space="preserve">億）</t>
    </r>
  </si>
  <si>
    <r>
      <rPr>
        <b val="true"/>
        <sz val="11"/>
        <rFont val="Cambria"/>
        <family val="0"/>
        <charset val="1"/>
      </rPr>
      <t xml:space="preserve">Q2 GW</t>
    </r>
    <r>
      <rPr>
        <b val="true"/>
        <sz val="11"/>
        <rFont val="Noto Sans CJK SC"/>
        <family val="2"/>
      </rPr>
      <t xml:space="preserve">（早）</t>
    </r>
  </si>
  <si>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倍數（早）</t>
    </r>
  </si>
  <si>
    <r>
      <rPr>
        <b val="true"/>
        <sz val="11"/>
        <rFont val="Cambria"/>
        <family val="0"/>
        <charset val="1"/>
      </rPr>
      <t xml:space="preserve">Q2 GW</t>
    </r>
    <r>
      <rPr>
        <b val="true"/>
        <sz val="11"/>
        <rFont val="Noto Sans CJK SC"/>
        <family val="2"/>
      </rPr>
      <t xml:space="preserve">（晚，其他站中占比）</t>
    </r>
  </si>
  <si>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倍數（晚，其他站中占比）</t>
    </r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</si>
  <si>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；本段判斷區間 </t>
    </r>
    <r>
      <rPr>
        <sz val="11"/>
        <color theme="1"/>
        <rFont val="Calibri"/>
        <family val="2"/>
        <charset val="1"/>
      </rPr>
      <t xml:space="preserve">0.4–0.9</t>
    </r>
    <r>
      <rPr>
        <sz val="11"/>
        <color theme="1"/>
        <rFont val="Noto Sans CJK SC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</si>
  <si>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持平所需最低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（晚，</t>
    </r>
    <r>
      <rPr>
        <sz val="11"/>
        <color theme="1"/>
        <rFont val="Calibri"/>
        <family val="2"/>
        <charset val="1"/>
      </rPr>
      <t xml:space="preserve">263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</si>
  <si>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持平所需最低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（晚，</t>
    </r>
    <r>
      <rPr>
        <sz val="11"/>
        <color theme="1"/>
        <rFont val="Calibri"/>
        <family val="2"/>
        <charset val="1"/>
      </rPr>
      <t xml:space="preserve">268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</si>
  <si>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持平所需最低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（早，</t>
    </r>
    <r>
      <rPr>
        <sz val="11"/>
        <color theme="1"/>
        <rFont val="Calibri"/>
        <family val="2"/>
        <charset val="1"/>
      </rPr>
      <t xml:space="preserve">263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</si>
  <si>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持平所需最低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（晚，其他站中占比）</t>
    </r>
  </si>
  <si>
    <r>
      <rPr>
        <sz val="11"/>
        <color theme="1"/>
        <rFont val="Noto Sans CJK SC"/>
        <family val="2"/>
      </rPr>
      <t xml:space="preserve">本段判斷區間的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倍數（晚）：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</t>
    </r>
  </si>
  <si>
    <t xml:space="preserve">同上（早）</t>
  </si>
  <si>
    <r>
      <rPr>
        <sz val="11"/>
        <color theme="1"/>
        <rFont val="Calibri"/>
        <family val="2"/>
        <charset val="1"/>
      </rPr>
      <t xml:space="preserve">MAI </t>
    </r>
    <r>
      <rPr>
        <sz val="11"/>
        <color theme="1"/>
        <rFont val="Noto Sans CJK SC"/>
        <family val="2"/>
      </rPr>
      <t xml:space="preserve">自用規模對照（上界檢查）</t>
    </r>
  </si>
  <si>
    <r>
      <rPr>
        <sz val="11"/>
        <color theme="1"/>
        <rFont val="Calibri"/>
        <family val="2"/>
        <charset val="1"/>
      </rPr>
      <t xml:space="preserve">MAI-Base-2 GPU ÷ Fairwater </t>
    </r>
    <r>
      <rPr>
        <sz val="11"/>
        <color theme="1"/>
        <rFont val="Noto Sans CJK SC"/>
        <family val="2"/>
      </rPr>
      <t xml:space="preserve">兩站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</si>
  <si>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GPU </t>
    </r>
    <r>
      <rPr>
        <sz val="11"/>
        <color theme="1"/>
        <rFont val="Noto Sans CJK SC"/>
        <family val="2"/>
      </rPr>
      <t xml:space="preserve">數為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MAI-Base-2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月，晚於 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；未載站點</t>
    </r>
  </si>
  <si>
    <t xml:space="preserve">MAI-Base-2 GPU ÷ Wisconsin GPU</t>
  </si>
  <si>
    <r>
      <rPr>
        <sz val="11"/>
        <color theme="1"/>
        <rFont val="Calibri"/>
        <family val="2"/>
        <charset val="1"/>
      </rPr>
      <t xml:space="preserve">Wisconsin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IT kW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</si>
  <si>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MAI-Base-2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IT MW</t>
    </r>
  </si>
  <si>
    <r>
      <rPr>
        <sz val="11"/>
        <color theme="1"/>
        <rFont val="Noto Sans CJK SC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MAI </t>
    </r>
    <r>
      <rPr>
        <sz val="11"/>
        <color theme="1"/>
        <rFont val="Noto Sans CJK SC"/>
        <family val="2"/>
      </rPr>
      <t xml:space="preserve">只占這次預訓練的量，</t>
    </r>
    <r>
      <rPr>
        <sz val="11"/>
        <color theme="1"/>
        <rFont val="Calibri"/>
        <family val="2"/>
        <charset val="1"/>
      </rPr>
      <t xml:space="preserve">Fairwater Q2 </t>
    </r>
    <r>
      <rPr>
        <sz val="11"/>
        <color theme="1"/>
        <rFont val="Noto Sans CJK SC"/>
        <family val="2"/>
      </rPr>
      <t xml:space="preserve">平均增量中 </t>
    </r>
    <r>
      <rPr>
        <sz val="11"/>
        <color theme="1"/>
        <rFont val="Calibri"/>
        <family val="2"/>
        <charset val="1"/>
      </rPr>
      <t xml:space="preserve">MAI </t>
    </r>
    <r>
      <rPr>
        <sz val="11"/>
        <color theme="1"/>
        <rFont val="Noto Sans CJK SC"/>
        <family val="2"/>
      </rPr>
      <t xml:space="preserve">上限占比（極端讀法，只作量級）</t>
    </r>
  </si>
  <si>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路線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帳（起點 </t>
    </r>
    <r>
      <rPr>
        <sz val="11"/>
        <color theme="1"/>
        <rFont val="Calibri"/>
        <family val="2"/>
        <charset val="1"/>
      </rPr>
      <t xml:space="preserve">2.10</t>
    </r>
    <r>
      <rPr>
        <sz val="11"/>
        <color theme="1"/>
        <rFont val="Noto Sans CJK SC"/>
        <family val="2"/>
      </rPr>
      <t xml:space="preserve">）逐項只改一個因子（沿用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帳缺口</t>
    </r>
    <r>
      <rPr>
        <sz val="11"/>
        <color theme="1"/>
        <rFont val="Calibri"/>
        <family val="2"/>
        <charset val="1"/>
      </rPr>
      <t xml:space="preserve">_A</t>
    </r>
    <r>
      <rPr>
        <sz val="11"/>
        <color theme="1"/>
        <rFont val="Noto Sans CJK SC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.xlsx</t>
    </r>
    <r>
      <rPr>
        <sz val="11"/>
        <color theme="1"/>
        <rFont val="Noto Sans CJK SC"/>
        <family val="2"/>
      </rPr>
      <t xml:space="preserve">「拆解」頁公式；輸入頁 </t>
    </r>
    <r>
      <rPr>
        <sz val="11"/>
        <color theme="1"/>
        <rFont val="Calibri"/>
        <family val="2"/>
        <charset val="1"/>
      </rPr>
      <t xml:space="preserve">23–48 </t>
    </r>
    <r>
      <rPr>
        <sz val="11"/>
        <color theme="1"/>
        <rFont val="Noto Sans CJK SC"/>
        <family val="2"/>
      </rPr>
      <t xml:space="preserve">列為照抄值）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</si>
  <si>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混合付費產能</t>
    </r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</si>
  <si>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路線模型付費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 tok/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</si>
  <si>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付費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 tok/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</si>
  <si>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需求面付費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 tok/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</si>
  <si>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起點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帳（應為 </t>
    </r>
    <r>
      <rPr>
        <sz val="11"/>
        <color theme="1"/>
        <rFont val="Calibri"/>
        <family val="2"/>
        <charset val="1"/>
      </rPr>
      <t xml:space="preserve">2.0966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</si>
  <si>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新證據：</t>
    </r>
    <r>
      <rPr>
        <sz val="11"/>
        <color theme="1"/>
        <rFont val="Calibri"/>
        <family val="2"/>
        <charset val="1"/>
      </rPr>
      <t xml:space="preserve">Codex token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輸出份額推算</t>
    </r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</si>
  <si>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／日（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，含免費；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每則）</t>
    </r>
  </si>
  <si>
    <r>
      <rPr>
        <sz val="11"/>
        <color theme="1"/>
        <rFont val="Noto Sans CJK SC"/>
        <family val="2"/>
      </rPr>
      <t xml:space="preserve">個人：</t>
    </r>
    <r>
      <rPr>
        <sz val="11"/>
        <color theme="1"/>
        <rFont val="Calibri"/>
        <family val="2"/>
        <charset val="1"/>
      </rPr>
      <t xml:space="preserve">Codex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輸出比</t>
    </r>
  </si>
  <si>
    <r>
      <rPr>
        <sz val="11"/>
        <color theme="1"/>
        <rFont val="Noto Sans CJK SC"/>
        <family val="2"/>
      </rPr>
      <t xml:space="preserve">組織：</t>
    </r>
    <r>
      <rPr>
        <sz val="11"/>
        <color theme="1"/>
        <rFont val="Calibri"/>
        <family val="2"/>
        <charset val="1"/>
      </rPr>
      <t xml:space="preserve">Codex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輸出比</t>
    </r>
  </si>
  <si>
    <r>
      <rPr>
        <b val="true"/>
        <sz val="11"/>
        <rFont val="Cambria"/>
        <family val="0"/>
        <charset val="1"/>
      </rPr>
      <t xml:space="preserve">w </t>
    </r>
    <r>
      <rPr>
        <b val="true"/>
        <sz val="11"/>
        <rFont val="Noto Sans CJK SC"/>
        <family val="2"/>
      </rPr>
      <t xml:space="preserve">低</t>
    </r>
  </si>
  <si>
    <r>
      <rPr>
        <b val="true"/>
        <sz val="11"/>
        <rFont val="Cambria"/>
        <family val="0"/>
        <charset val="1"/>
      </rPr>
      <t xml:space="preserve">w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</si>
  <si>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w </t>
    </r>
    <r>
      <rPr>
        <b val="true"/>
        <sz val="1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</si>
  <si>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Codex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比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</si>
  <si>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（份額為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w</t>
    </r>
    <r>
      <rPr>
        <sz val="11"/>
        <color theme="1"/>
        <rFont val="Noto Sans CJK SC"/>
        <family val="2"/>
      </rPr>
      <t xml:space="preserve">、時點比、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</si>
  <si>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Codex token</t>
    </r>
    <r>
      <rPr>
        <sz val="11"/>
        <color theme="1"/>
        <rFont val="Noto Sans CJK SC"/>
        <family val="2"/>
      </rPr>
      <t xml:space="preserve">／日，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日時點（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</si>
  <si>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Codex token</t>
    </r>
    <r>
      <rPr>
        <sz val="11"/>
        <color theme="1"/>
        <rFont val="Noto Sans CJK SC"/>
        <family val="2"/>
      </rPr>
      <t xml:space="preserve">／日，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</si>
  <si>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Codex token</t>
    </r>
    <r>
      <rPr>
        <sz val="11"/>
        <color theme="1"/>
        <rFont val="Noto Sans CJK SC"/>
        <family val="2"/>
      </rPr>
      <t xml:space="preserve">／日，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</si>
  <si>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帳：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</si>
  <si>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帳：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</si>
  <si>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8 T</t>
    </r>
    <r>
      <rPr>
        <sz val="11"/>
        <color theme="1"/>
        <rFont val="Noto Sans CJK SC"/>
        <family val="2"/>
      </rPr>
      <t xml:space="preserve">／日的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帳（應為 </t>
    </r>
    <r>
      <rPr>
        <sz val="11"/>
        <color theme="1"/>
        <rFont val="Calibri"/>
        <family val="2"/>
        <charset val="1"/>
      </rPr>
      <t xml:space="preserve">1.622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</si>
  <si>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每日則數：以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平均週活 </t>
    </r>
    <r>
      <rPr>
        <sz val="11"/>
        <color theme="1"/>
        <rFont val="Calibri"/>
        <family val="2"/>
        <charset val="1"/>
      </rPr>
      <t xml:space="preserve">0.95B </t>
    </r>
    <r>
      <rPr>
        <sz val="11"/>
        <color theme="1"/>
        <rFont val="Noto Sans CJK SC"/>
        <family val="2"/>
      </rPr>
      <t xml:space="preserve">重算</t>
    </r>
  </si>
  <si>
    <r>
      <rPr>
        <sz val="11"/>
        <color theme="1"/>
        <rFont val="Noto Sans CJK SC"/>
        <family val="2"/>
      </rPr>
      <t xml:space="preserve">每日則數（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</si>
  <si>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帳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</si>
  <si>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季平均倍數）、</t>
    </r>
    <r>
      <rPr>
        <sz val="11"/>
        <color theme="1"/>
        <rFont val="Calibri"/>
        <family val="2"/>
        <charset val="1"/>
      </rPr>
      <t xml:space="preserve">D3</t>
    </r>
    <r>
      <rPr>
        <sz val="11"/>
        <color theme="1"/>
        <rFont val="Noto Sans CJK SC"/>
        <family val="2"/>
      </rPr>
      <t xml:space="preserve">（每則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）：本段無新值，沿用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1.87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1.90</t>
    </r>
    <r>
      <rPr>
        <sz val="11"/>
        <color theme="1"/>
        <rFont val="Noto Sans CJK SC"/>
        <family val="2"/>
      </rPr>
      <t xml:space="preserve">（基準）</t>
    </r>
  </si>
  <si>
    <r>
      <rPr>
        <sz val="11"/>
        <color theme="1"/>
        <rFont val="Noto Sans CJK SC"/>
        <family val="2"/>
      </rPr>
      <t xml:space="preserve">組合：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段基準組合（</t>
    </r>
    <r>
      <rPr>
        <sz val="11"/>
        <color theme="1"/>
        <rFont val="Calibri"/>
        <family val="2"/>
        <charset val="1"/>
      </rPr>
      <t xml:space="preserve">D1 1.15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D2 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D3 6,000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S1 0.2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S2 0.8</t>
    </r>
    <r>
      <rPr>
        <sz val="11"/>
        <color theme="1"/>
        <rFont val="Noto Sans CJK SC"/>
        <family val="2"/>
      </rPr>
      <t xml:space="preserve">）與本段替換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</si>
  <si>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段基準組合（應為 </t>
    </r>
    <r>
      <rPr>
        <sz val="11"/>
        <color theme="1"/>
        <rFont val="Calibri"/>
        <family val="2"/>
        <charset val="1"/>
      </rPr>
      <t xml:space="preserve">1.0138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</si>
  <si>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本段：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w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），其餘同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段基準</t>
    </r>
  </si>
  <si>
    <r>
      <rPr>
        <sz val="11"/>
        <color theme="1"/>
        <rFont val="Noto Sans CJK SC"/>
        <family val="2"/>
      </rPr>
      <t xml:space="preserve">本段：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）＋週活 </t>
    </r>
    <r>
      <rPr>
        <sz val="11"/>
        <color theme="1"/>
        <rFont val="Calibri"/>
        <family val="2"/>
        <charset val="1"/>
      </rPr>
      <t xml:space="preserve">0.95</t>
    </r>
  </si>
  <si>
    <r>
      <rPr>
        <sz val="11"/>
        <color theme="1"/>
        <rFont val="Noto Sans CJK SC"/>
        <family val="2"/>
      </rPr>
      <t xml:space="preserve">本段：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）＋週活 </t>
    </r>
    <r>
      <rPr>
        <sz val="11"/>
        <color theme="1"/>
        <rFont val="Calibri"/>
        <family val="2"/>
        <charset val="1"/>
      </rPr>
      <t xml:space="preserve">0.95</t>
    </r>
  </si>
  <si>
    <t xml:space="preserve">編號</t>
  </si>
  <si>
    <t xml:space="preserve">內容（改寫）</t>
  </si>
  <si>
    <t xml:space="preserve">日期</t>
  </si>
  <si>
    <t xml:space="preserve">標記與誘因</t>
  </si>
  <si>
    <t xml:space="preserve">用途</t>
  </si>
  <si>
    <t xml:space="preserve">F01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</si>
  <si>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官方 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使用者</t>
    </r>
  </si>
  <si>
    <r>
      <rPr>
        <sz val="11"/>
        <color theme="1"/>
        <rFont val="Noto Sans CJK SC"/>
        <family val="2"/>
      </rPr>
      <t xml:space="preserve">網路供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 </t>
    </r>
    <r>
      <rPr>
        <sz val="11"/>
        <color theme="1"/>
        <rFont val="Noto Sans CJK SC"/>
        <family val="2"/>
      </rPr>
      <t xml:space="preserve">超級智慧團隊、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及其他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工作負載；無比例</t>
    </r>
  </si>
  <si>
    <t xml:space="preserve">2025-11-12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</si>
  <si>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（展示規模與多客戶）</t>
    </r>
  </si>
  <si>
    <t xml:space="preserve">定性；不得換算比例</t>
  </si>
  <si>
    <t xml:space="preserve">F02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</si>
  <si>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Atlanta </t>
    </r>
    <r>
      <rPr>
        <sz val="11"/>
        <color theme="1"/>
        <rFont val="Noto Sans CJK SC"/>
        <family val="2"/>
      </rPr>
      <t xml:space="preserve">用途（</t>
    </r>
    <r>
      <rPr>
        <sz val="11"/>
        <color theme="1"/>
        <rFont val="Calibri"/>
        <family val="2"/>
        <charset val="1"/>
      </rPr>
      <t xml:space="preserve">AP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</si>
  <si>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供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自家、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及其他開發者使用；無比例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</si>
  <si>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</t>
    </r>
  </si>
  <si>
    <t xml:space="preserve">定性</t>
  </si>
  <si>
    <t xml:space="preserve">F03</t>
  </si>
  <si>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Dwarkesh </t>
    </r>
    <r>
      <rPr>
        <sz val="11"/>
        <color theme="1"/>
        <rFont val="Noto Sans CJK SC"/>
        <family val="2"/>
      </rPr>
      <t xml:space="preserve">訪談）</t>
    </r>
  </si>
  <si>
    <r>
      <rPr>
        <sz val="11"/>
        <color theme="1"/>
        <rFont val="Noto Sans CJK SC"/>
        <family val="2"/>
      </rPr>
      <t xml:space="preserve">不想只當單一公司的託管商；</t>
    </r>
    <r>
      <rPr>
        <sz val="11"/>
        <color theme="1"/>
        <rFont val="Calibri"/>
        <family val="2"/>
        <charset val="1"/>
      </rPr>
      <t xml:space="preserve">Fairwater 2 </t>
    </r>
    <r>
      <rPr>
        <sz val="11"/>
        <color theme="1"/>
        <rFont val="Noto Sans CJK SC"/>
        <family val="2"/>
      </rPr>
      <t xml:space="preserve">不會永遠只跑一種工作負載；無比例</t>
    </r>
  </si>
  <si>
    <t xml:space="preserve">2025-11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</si>
  <si>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（淡化對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依賴）</t>
    </r>
  </si>
  <si>
    <t xml:space="preserve">下修方向定性</t>
  </si>
  <si>
    <t xml:space="preserve">F04</t>
  </si>
  <si>
    <r>
      <rPr>
        <sz val="11"/>
        <color theme="1"/>
        <rFont val="Calibri"/>
        <family val="2"/>
        <charset val="1"/>
      </rPr>
      <t xml:space="preserve">Hood FY26 Q2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</si>
  <si>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新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先給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等第一方，再給 </t>
    </r>
    <r>
      <rPr>
        <sz val="11"/>
        <color theme="1"/>
        <rFont val="Calibri"/>
        <family val="2"/>
        <charset val="1"/>
      </rPr>
      <t xml:space="preserve">R&amp;D</t>
    </r>
    <r>
      <rPr>
        <sz val="11"/>
        <color theme="1"/>
        <rFont val="Noto Sans CJK SC"/>
        <family val="2"/>
      </rPr>
      <t xml:space="preserve">，其餘給 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；若全給 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成長逾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；問 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時答不聚焦特定地點</t>
    </r>
  </si>
  <si>
    <t xml:space="preserve">2026-01-28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</si>
  <si>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 CFO</t>
    </r>
  </si>
  <si>
    <t xml:space="preserve">下修方向定性（第一方優先）</t>
  </si>
  <si>
    <t xml:space="preserve">F05</t>
  </si>
  <si>
    <r>
      <rPr>
        <sz val="11"/>
        <color theme="1"/>
        <rFont val="Calibri"/>
        <family val="2"/>
        <charset val="1"/>
      </rPr>
      <t xml:space="preserve">Nadella FY26 Q3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</si>
  <si>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Wisconsin </t>
    </r>
    <r>
      <rPr>
        <sz val="11"/>
        <color theme="1"/>
        <rFont val="Noto Sans CJK SC"/>
        <family val="2"/>
      </rPr>
      <t xml:space="preserve">提前約六週上線，得以提前認列營收；未說是誰的營收</t>
    </r>
  </si>
  <si>
    <t xml:space="preserve">2026-04-29</t>
  </si>
  <si>
    <t xml:space="preserve">上修方向定性（有付費客戶承接）；推論</t>
  </si>
  <si>
    <t xml:space="preserve">F06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</si>
  <si>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MRC supercomputer networking</t>
    </r>
    <r>
      <rPr>
        <sz val="11"/>
        <color theme="1"/>
        <rFont val="Noto Sans CJK SC"/>
        <family val="2"/>
      </rPr>
      <t xml:space="preserve">〉</t>
    </r>
  </si>
  <si>
    <r>
      <rPr>
        <sz val="11"/>
        <color theme="1"/>
        <rFont val="Calibri"/>
        <family val="2"/>
        <charset val="1"/>
      </rPr>
      <t xml:space="preserve">MRC </t>
    </r>
    <r>
      <rPr>
        <sz val="11"/>
        <color theme="1"/>
        <rFont val="Noto Sans CJK SC"/>
        <family val="2"/>
      </rPr>
      <t xml:space="preserve">部署於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最大的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超級電腦，含 </t>
    </r>
    <r>
      <rPr>
        <sz val="11"/>
        <color theme="1"/>
        <rFont val="Calibri"/>
        <family val="2"/>
        <charset val="1"/>
      </rPr>
      <t xml:space="preserve">Microsoft Fairwater</t>
    </r>
    <r>
      <rPr>
        <sz val="11"/>
        <color theme="1"/>
        <rFont val="Noto Sans CJK SC"/>
        <family val="2"/>
      </rPr>
      <t xml:space="preserve">；未載份額</t>
    </r>
  </si>
  <si>
    <t xml:space="preserve">2026-05-05</t>
  </si>
  <si>
    <r>
      <rPr>
        <sz val="11"/>
        <color theme="1"/>
        <rFont val="Calibri"/>
        <family val="2"/>
        <charset val="1"/>
      </rPr>
      <t xml:space="preserve">f &gt; 0 </t>
    </r>
    <r>
      <rPr>
        <sz val="11"/>
        <color theme="1"/>
        <rFont val="Noto Sans CJK SC"/>
        <family val="2"/>
      </rPr>
      <t xml:space="preserve">的直接證據</t>
    </r>
  </si>
  <si>
    <t xml:space="preserve">F07</t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</si>
  <si>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目錄頁（</t>
    </r>
    <r>
      <rPr>
        <sz val="11"/>
        <color theme="1"/>
        <rFont val="Calibri"/>
        <family val="2"/>
        <charset val="1"/>
      </rPr>
      <t xml:space="preserve">Wisconsin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Atlanta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</si>
  <si>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使用者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likely</t>
    </r>
    <r>
      <rPr>
        <sz val="11"/>
        <color theme="1"/>
        <rFont val="Noto Sans CJK SC"/>
        <family val="2"/>
      </rPr>
      <t xml:space="preserve">；稱可能提供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訓練算力；無比例</t>
    </r>
  </si>
  <si>
    <r>
      <rPr>
        <sz val="11"/>
        <color theme="1"/>
        <rFont val="Calibri"/>
        <family val="2"/>
        <charset val="1"/>
      </rPr>
      <t xml:space="preserve">2026-07-17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07-25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</si>
  <si>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（衛星＋揭露）</t>
    </r>
  </si>
  <si>
    <t xml:space="preserve">F08</t>
  </si>
  <si>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Microsoft AI strategy deconstructed</t>
    </r>
    <r>
      <rPr>
        <sz val="11"/>
        <color theme="1"/>
        <rFont val="Noto Sans CJK SC"/>
        <family val="2"/>
      </rPr>
      <t xml:space="preserve">〉</t>
    </r>
  </si>
  <si>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Wisconsin </t>
    </r>
    <r>
      <rPr>
        <sz val="11"/>
        <color theme="1"/>
        <rFont val="Noto Sans CJK SC"/>
        <family val="2"/>
      </rPr>
      <t xml:space="preserve">完全供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大型叢集容量多直接給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</si>
  <si>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：第三方產業研究（付費客戶導向）；依規不可單獨使用</t>
    </r>
  </si>
  <si>
    <r>
      <rPr>
        <sz val="11"/>
        <color theme="1"/>
        <rFont val="Noto Sans CJK SC"/>
        <family val="2"/>
      </rPr>
      <t xml:space="preserve">上修方向；需與 </t>
    </r>
    <r>
      <rPr>
        <sz val="11"/>
        <color theme="1"/>
        <rFont val="Calibri"/>
        <family val="2"/>
        <charset val="1"/>
      </rPr>
      <t xml:space="preserve">F05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F06 </t>
    </r>
    <r>
      <rPr>
        <sz val="11"/>
        <color theme="1"/>
        <rFont val="Noto Sans CJK SC"/>
        <family val="2"/>
      </rPr>
      <t xml:space="preserve">並用</t>
    </r>
  </si>
  <si>
    <t xml:space="preserve">F09</t>
  </si>
  <si>
    <t xml:space="preserve">SiliconANGLE</t>
  </si>
  <si>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Atlanta </t>
    </r>
    <r>
      <rPr>
        <sz val="11"/>
        <color theme="1"/>
        <rFont val="Noto Sans CJK SC"/>
        <family val="2"/>
      </rPr>
      <t xml:space="preserve">最大客戶之一，另有 </t>
    </r>
    <r>
      <rPr>
        <sz val="11"/>
        <color theme="1"/>
        <rFont val="Calibri"/>
        <family val="2"/>
        <charset val="1"/>
      </rPr>
      <t xml:space="preserve">Mistral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保留部分自用；未標出處</t>
    </r>
  </si>
  <si>
    <t xml:space="preserve">報導（二手，未標來源）</t>
  </si>
  <si>
    <t xml:space="preserve">弱</t>
  </si>
  <si>
    <t xml:space="preserve">F10</t>
  </si>
  <si>
    <r>
      <rPr>
        <sz val="11"/>
        <color theme="1"/>
        <rFont val="Calibri"/>
        <family val="2"/>
        <charset val="1"/>
      </rPr>
      <t xml:space="preserve">Microsoft AI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Frontier Pre-training at Microsoft AI</t>
    </r>
    <r>
      <rPr>
        <sz val="11"/>
        <color theme="1"/>
        <rFont val="Noto Sans CJK SC"/>
        <family val="2"/>
      </rPr>
      <t xml:space="preserve">〉</t>
    </r>
  </si>
  <si>
    <r>
      <rPr>
        <sz val="11"/>
        <color theme="1"/>
        <rFont val="Calibri"/>
        <family val="2"/>
        <charset val="1"/>
      </rPr>
      <t xml:space="preserve">MAI-Base-2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16k GB200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天、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月；未載站點；</t>
    </r>
    <r>
      <rPr>
        <sz val="11"/>
        <color theme="1"/>
        <rFont val="Calibri"/>
        <family val="2"/>
        <charset val="1"/>
      </rPr>
      <t xml:space="preserve">MAI </t>
    </r>
    <r>
      <rPr>
        <sz val="11"/>
        <color theme="1"/>
        <rFont val="Noto Sans CJK SC"/>
        <family val="2"/>
      </rPr>
      <t xml:space="preserve">算力快速擴張但未給總量</t>
    </r>
  </si>
  <si>
    <t xml:space="preserve">2026-10-15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</si>
  <si>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 AI</t>
    </r>
  </si>
  <si>
    <r>
      <rPr>
        <sz val="11"/>
        <color theme="1"/>
        <rFont val="Calibri"/>
        <family val="2"/>
        <charset val="1"/>
      </rPr>
      <t xml:space="preserve">MAI </t>
    </r>
    <r>
      <rPr>
        <sz val="11"/>
        <color theme="1"/>
        <rFont val="Noto Sans CJK SC"/>
        <family val="2"/>
      </rPr>
      <t xml:space="preserve">自用量級上界檢查</t>
    </r>
  </si>
  <si>
    <t xml:space="preserve">F11</t>
  </si>
  <si>
    <r>
      <rPr>
        <sz val="11"/>
        <color theme="1"/>
        <rFont val="Calibri"/>
        <family val="2"/>
        <charset val="1"/>
      </rPr>
      <t xml:space="preserve">Microsoft FY26 Q4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</si>
  <si>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當季新增 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同時支援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MAI </t>
    </r>
    <r>
      <rPr>
        <sz val="11"/>
        <color theme="1"/>
        <rFont val="Noto Sans CJK SC"/>
        <family val="2"/>
      </rPr>
      <t xml:space="preserve">模型；未提 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與分配</t>
    </r>
  </si>
  <si>
    <t xml:space="preserve">2026-07-29</t>
  </si>
  <si>
    <t xml:space="preserve">已搜尋，未找到分配</t>
  </si>
  <si>
    <t xml:space="preserve">F12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</si>
  <si>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Mount Pleasant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</si>
  <si>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第一棟 </t>
    </r>
    <r>
      <rPr>
        <sz val="11"/>
        <color theme="1"/>
        <rFont val="Calibri"/>
        <family val="2"/>
        <charset val="1"/>
      </rPr>
      <t xml:space="preserve">2026-06-23 </t>
    </r>
    <r>
      <rPr>
        <sz val="11"/>
        <color theme="1"/>
        <rFont val="Noto Sans CJK SC"/>
        <family val="2"/>
      </rPr>
      <t xml:space="preserve">完工並全面運轉；未載使用者</t>
    </r>
  </si>
  <si>
    <t xml:space="preserve">2026-06-23</t>
  </si>
  <si>
    <t xml:space="preserve">上線時點</t>
  </si>
  <si>
    <t xml:space="preserve">F13</t>
  </si>
  <si>
    <r>
      <rPr>
        <sz val="11"/>
        <color theme="1"/>
        <rFont val="Calibri"/>
        <family val="2"/>
        <charset val="1"/>
      </rPr>
      <t xml:space="preserve">computeatlas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Microsoft Fairwater: two sites, few numbers</t>
    </r>
    <r>
      <rPr>
        <sz val="11"/>
        <color theme="1"/>
        <rFont val="Noto Sans CJK SC"/>
        <family val="2"/>
      </rPr>
      <t xml:space="preserve">〉</t>
    </r>
  </si>
  <si>
    <r>
      <rPr>
        <sz val="11"/>
        <color theme="1"/>
        <rFont val="Noto Sans CJK SC"/>
        <family val="2"/>
      </rPr>
      <t xml:space="preserve">彙整 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Wisconsin 369 MW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17.6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Atlanta 636 MW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30.4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；無分配估計</t>
    </r>
  </si>
  <si>
    <t xml:space="preserve">2026-10-07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</si>
  <si>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（第三方彙整 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</si>
  <si>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量級</t>
  </si>
  <si>
    <t xml:space="preserve">F14</t>
  </si>
  <si>
    <r>
      <rPr>
        <sz val="11"/>
        <color theme="1"/>
        <rFont val="Calibri"/>
        <family val="2"/>
        <charset val="1"/>
      </rPr>
      <t xml:space="preserve">Business Insider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AI Weekly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</si>
  <si>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上半財年新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多給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自家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產品；未量化</t>
    </r>
  </si>
  <si>
    <t xml:space="preserve">2026-07</t>
  </si>
  <si>
    <t xml:space="preserve">報導（二手）</t>
  </si>
  <si>
    <t xml:space="preserve">T01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</si>
  <si>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Accelerating the next phase of AI</t>
    </r>
    <r>
      <rPr>
        <sz val="11"/>
        <color theme="1"/>
        <rFont val="Noto Sans CJK SC"/>
        <family val="2"/>
      </rPr>
      <t xml:space="preserve">〉</t>
    </r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</si>
  <si>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每分鐘逾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週活逾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萬、月增逾 </t>
    </r>
    <r>
      <rPr>
        <sz val="11"/>
        <color theme="1"/>
        <rFont val="Calibri"/>
        <family val="2"/>
        <charset val="1"/>
      </rPr>
      <t xml:space="preserve">70%</t>
    </r>
  </si>
  <si>
    <t xml:space="preserve">2026-03-31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</si>
  <si>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（募資）</t>
    </r>
  </si>
  <si>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時點值，無更新</t>
    </r>
  </si>
  <si>
    <t xml:space="preserve">T02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</si>
  <si>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The next phase of enterprise AI</t>
    </r>
    <r>
      <rPr>
        <sz val="11"/>
        <color theme="1"/>
        <rFont val="Noto Sans CJK SC"/>
        <family val="2"/>
      </rPr>
      <t xml:space="preserve">〉</t>
    </r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</si>
  <si>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每分鐘逾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（同值）；</t>
    </r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週活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萬；企業逾營收四成</t>
    </r>
  </si>
  <si>
    <t xml:space="preserve">2026-04-08</t>
  </si>
  <si>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最新可查</t>
    </r>
  </si>
  <si>
    <t xml:space="preserve">T03</t>
  </si>
  <si>
    <r>
      <rPr>
        <sz val="11"/>
        <color theme="1"/>
        <rFont val="Calibri"/>
        <family val="2"/>
        <charset val="1"/>
      </rPr>
      <t xml:space="preserve">arXiv 2606.26959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研究）</t>
    </r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</si>
  <si>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占輸出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：員工 </t>
    </r>
    <r>
      <rPr>
        <sz val="11"/>
        <color theme="1"/>
        <rFont val="Calibri"/>
        <family val="2"/>
        <charset val="1"/>
      </rPr>
      <t xml:space="preserve">99.8%</t>
    </r>
    <r>
      <rPr>
        <sz val="11"/>
        <color theme="1"/>
        <rFont val="Noto Sans CJK SC"/>
        <family val="2"/>
      </rPr>
      <t xml:space="preserve">、組織 </t>
    </r>
    <r>
      <rPr>
        <sz val="11"/>
        <color theme="1"/>
        <rFont val="Calibri"/>
        <family val="2"/>
        <charset val="1"/>
      </rPr>
      <t xml:space="preserve">63.3%</t>
    </r>
    <r>
      <rPr>
        <sz val="11"/>
        <color theme="1"/>
        <rFont val="Noto Sans CJK SC"/>
        <family val="2"/>
      </rPr>
      <t xml:space="preserve">、個人 </t>
    </r>
    <r>
      <rPr>
        <sz val="11"/>
        <color theme="1"/>
        <rFont val="Calibri"/>
        <family val="2"/>
        <charset val="1"/>
      </rPr>
      <t xml:space="preserve">16.5%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週活 </t>
    </r>
    <r>
      <rPr>
        <sz val="11"/>
        <color theme="1"/>
        <rFont val="Calibri"/>
        <family val="2"/>
        <charset val="1"/>
      </rPr>
      <t xml:space="preserve">1–6 </t>
    </r>
    <r>
      <rPr>
        <sz val="11"/>
        <color theme="1"/>
        <rFont val="Noto Sans CJK SC"/>
        <family val="2"/>
      </rPr>
      <t xml:space="preserve">月逾五倍；未載絕對量、不含 </t>
    </r>
    <r>
      <rPr>
        <sz val="11"/>
        <color theme="1"/>
        <rFont val="Calibri"/>
        <family val="2"/>
        <charset val="1"/>
      </rPr>
      <t xml:space="preserve">API</t>
    </r>
  </si>
  <si>
    <t xml:space="preserve">2026-06-25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</si>
  <si>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（作者多為員工）</t>
    </r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</si>
  <si>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推算</t>
    </r>
  </si>
  <si>
    <t xml:space="preserve">T04</t>
  </si>
  <si>
    <r>
      <rPr>
        <sz val="11"/>
        <color theme="1"/>
        <rFont val="Calibri"/>
        <family val="2"/>
        <charset val="1"/>
      </rPr>
      <t xml:space="preserve">OpenAI Codex </t>
    </r>
    <r>
      <rPr>
        <sz val="11"/>
        <color theme="1"/>
        <rFont val="Noto Sans CJK SC"/>
        <family val="2"/>
      </rPr>
      <t xml:space="preserve">計價說明（</t>
    </r>
    <r>
      <rPr>
        <sz val="11"/>
        <color theme="1"/>
        <rFont val="Calibri"/>
        <family val="2"/>
        <charset val="1"/>
      </rPr>
      <t xml:space="preserve">help center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</si>
  <si>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方案的 </t>
    </r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單價折算 </t>
    </r>
    <r>
      <rPr>
        <sz val="11"/>
        <color theme="1"/>
        <rFont val="Calibri"/>
        <family val="2"/>
        <charset val="1"/>
      </rPr>
      <t xml:space="preserve">credit </t>
    </r>
    <r>
      <rPr>
        <sz val="11"/>
        <color theme="1"/>
        <rFont val="Noto Sans CJK SC"/>
        <family val="2"/>
      </rPr>
      <t xml:space="preserve">計量；</t>
    </r>
    <r>
      <rPr>
        <sz val="11"/>
        <color theme="1"/>
        <rFont val="Calibri"/>
        <family val="2"/>
        <charset val="1"/>
      </rPr>
      <t xml:space="preserve">API key </t>
    </r>
    <r>
      <rPr>
        <sz val="11"/>
        <color theme="1"/>
        <rFont val="Noto Sans CJK SC"/>
        <family val="2"/>
      </rPr>
      <t xml:space="preserve">另計</t>
    </r>
  </si>
  <si>
    <r>
      <rPr>
        <sz val="11"/>
        <color theme="1"/>
        <rFont val="Calibri"/>
        <family val="2"/>
        <charset val="1"/>
      </rPr>
      <t xml:space="preserve">2026-04-02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</si>
  <si>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是否在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內：</t>
    </r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登入者不在 </t>
    </r>
    <r>
      <rPr>
        <sz val="11"/>
        <color theme="1"/>
        <rFont val="Calibri"/>
        <family val="2"/>
        <charset val="1"/>
      </rPr>
      <t xml:space="preserve">api.openai.com</t>
    </r>
    <r>
      <rPr>
        <sz val="11"/>
        <color theme="1"/>
        <rFont val="Noto Sans CJK SC"/>
        <family val="2"/>
      </rPr>
      <t xml:space="preserve">（推論）</t>
    </r>
  </si>
  <si>
    <t xml:space="preserve">T05</t>
  </si>
  <si>
    <r>
      <rPr>
        <sz val="11"/>
        <color theme="1"/>
        <rFont val="Calibri"/>
        <family val="2"/>
        <charset val="1"/>
      </rPr>
      <t xml:space="preserve">OpenAI DevDay 2026 recap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ToolNavs </t>
    </r>
    <r>
      <rPr>
        <sz val="11"/>
        <color theme="1"/>
        <rFont val="Noto Sans CJK SC"/>
        <family val="2"/>
      </rPr>
      <t xml:space="preserve">等二手）</t>
    </r>
  </si>
  <si>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our collective 1.2B weekly users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ChatGPT Work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每週 </t>
    </r>
    <r>
      <rPr>
        <sz val="11"/>
        <color theme="1"/>
        <rFont val="Calibri"/>
        <family val="2"/>
        <charset val="1"/>
      </rPr>
      <t xml:space="preserve">3,500 </t>
    </r>
    <r>
      <rPr>
        <sz val="11"/>
        <color theme="1"/>
        <rFont val="Noto Sans CJK SC"/>
        <family val="2"/>
      </rPr>
      <t xml:space="preserve">萬；未給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或則數</t>
    </r>
  </si>
  <si>
    <t xml:space="preserve">2026-09-29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</si>
  <si>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；二手轉述</t>
    </r>
  </si>
  <si>
    <r>
      <rPr>
        <sz val="11"/>
        <color theme="1"/>
        <rFont val="Noto Sans CJK SC"/>
        <family val="2"/>
      </rPr>
      <t xml:space="preserve">週活（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之後）</t>
    </r>
  </si>
  <si>
    <t xml:space="preserve">T06</t>
  </si>
  <si>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TNW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</si>
  <si>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週活近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億（內部數字）</t>
    </r>
  </si>
  <si>
    <r>
      <rPr>
        <sz val="11"/>
        <color theme="1"/>
        <rFont val="Noto Sans CJK SC"/>
        <family val="2"/>
      </rPr>
      <t xml:space="preserve">週活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</t>
    </r>
  </si>
  <si>
    <t xml:space="preserve">T07</t>
  </si>
  <si>
    <t xml:space="preserve">Bloomberg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</si>
  <si>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億用戶、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萬企業；</t>
    </r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占公司內部週輸出 </t>
    </r>
    <r>
      <rPr>
        <sz val="11"/>
        <color theme="1"/>
        <rFont val="Calibri"/>
        <family val="2"/>
        <charset val="1"/>
      </rPr>
      <t xml:space="preserve">token 99.8%</t>
    </r>
  </si>
  <si>
    <t xml:space="preserve">2026-07-31</t>
  </si>
  <si>
    <r>
      <rPr>
        <sz val="11"/>
        <color theme="1"/>
        <rFont val="Noto Sans CJK SC"/>
        <family val="2"/>
      </rPr>
      <t xml:space="preserve">報導，數字來自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</si>
  <si>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Noto Sans CJK SC"/>
        <family val="2"/>
      </rPr>
      <t xml:space="preserve">內部，非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總量</t>
    </r>
  </si>
  <si>
    <t xml:space="preserve">T08</t>
  </si>
  <si>
    <r>
      <rPr>
        <sz val="11"/>
        <color theme="1"/>
        <rFont val="Calibri"/>
        <family val="2"/>
        <charset val="1"/>
      </rPr>
      <t xml:space="preserve">DigitalToday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Enterprise Signal </t>
    </r>
    <r>
      <rPr>
        <sz val="11"/>
        <color theme="1"/>
        <rFont val="Noto Sans CJK SC"/>
        <family val="2"/>
      </rPr>
      <t xml:space="preserve">報告）</t>
    </r>
  </si>
  <si>
    <r>
      <rPr>
        <sz val="11"/>
        <color theme="1"/>
        <rFont val="Noto Sans CJK SC"/>
        <family val="2"/>
      </rPr>
      <t xml:space="preserve">企業客戶輸出 </t>
    </r>
    <r>
      <rPr>
        <sz val="11"/>
        <color theme="1"/>
        <rFont val="Calibri"/>
        <family val="2"/>
        <charset val="1"/>
      </rPr>
      <t xml:space="preserve">token 64% </t>
    </r>
    <r>
      <rPr>
        <sz val="11"/>
        <color theme="1"/>
        <rFont val="Noto Sans CJK SC"/>
        <family val="2"/>
      </rPr>
      <t xml:space="preserve">來自 </t>
    </r>
    <r>
      <rPr>
        <sz val="11"/>
        <color theme="1"/>
        <rFont val="Calibri"/>
        <family val="2"/>
        <charset val="1"/>
      </rPr>
      <t xml:space="preserve">Codex</t>
    </r>
    <r>
      <rPr>
        <sz val="11"/>
        <color theme="1"/>
        <rFont val="Noto Sans CJK SC"/>
        <family val="2"/>
      </rPr>
      <t xml:space="preserve">；無絕對量</t>
    </r>
  </si>
  <si>
    <t xml:space="preserve">2026-08-13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</si>
  <si>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；二手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</si>
  <si>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T03 </t>
    </r>
    <r>
      <rPr>
        <sz val="11"/>
        <color theme="1"/>
        <rFont val="Noto Sans CJK SC"/>
        <family val="2"/>
      </rPr>
      <t xml:space="preserve">一致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</si>
</sst>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1"/>
      <color theme="1"/>
      <name val="Noto Sans CJK SC"/>
      <family val="2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5" min="4" style="0" width="60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7.15" hidden="false" customHeight="false" outlineLevel="0" collapsed="false">
      <c r="A2" s="2" t="s">
        <v>5</v>
      </c>
      <c r="B2" s="3" t="n">
        <v>1.9</v>
      </c>
      <c r="C2" s="2" t="s">
        <v>6</v>
      </c>
      <c r="D2" s="2" t="s">
        <v>7</v>
      </c>
      <c r="E2" s="2" t="s">
        <v>8</v>
      </c>
    </row>
    <row r="3" customFormat="false" ht="17.15" hidden="false" customHeight="false" outlineLevel="0" collapsed="false">
      <c r="A3" s="2" t="s">
        <v>9</v>
      </c>
      <c r="B3" s="3" t="n">
        <v>1.239</v>
      </c>
      <c r="C3" s="4" t="s">
        <v>10</v>
      </c>
      <c r="D3" s="2" t="s">
        <v>11</v>
      </c>
      <c r="E3" s="2" t="s">
        <v>12</v>
      </c>
    </row>
    <row r="4" customFormat="false" ht="17.15" hidden="false" customHeight="false" outlineLevel="0" collapsed="false">
      <c r="A4" s="2" t="s">
        <v>13</v>
      </c>
      <c r="B4" s="3" t="n">
        <v>9.796</v>
      </c>
      <c r="C4" s="2" t="s">
        <v>14</v>
      </c>
      <c r="D4" s="2" t="s">
        <v>11</v>
      </c>
      <c r="E4" s="2" t="s">
        <v>15</v>
      </c>
    </row>
    <row r="5" customFormat="false" ht="17.15" hidden="false" customHeight="false" outlineLevel="0" collapsed="false">
      <c r="A5" s="4" t="s">
        <v>16</v>
      </c>
      <c r="B5" s="3" t="n">
        <v>26.3</v>
      </c>
      <c r="C5" s="2" t="s">
        <v>17</v>
      </c>
      <c r="D5" s="2" t="s">
        <v>11</v>
      </c>
      <c r="E5" s="2" t="s">
        <v>18</v>
      </c>
    </row>
    <row r="6" customFormat="false" ht="17.15" hidden="false" customHeight="false" outlineLevel="0" collapsed="false">
      <c r="A6" s="4" t="s">
        <v>19</v>
      </c>
      <c r="B6" s="3" t="n">
        <v>26.8</v>
      </c>
      <c r="C6" s="2" t="s">
        <v>17</v>
      </c>
      <c r="D6" s="4" t="s">
        <v>20</v>
      </c>
      <c r="E6" s="2" t="s">
        <v>21</v>
      </c>
    </row>
    <row r="7" customFormat="false" ht="32.8" hidden="false" customHeight="false" outlineLevel="0" collapsed="false">
      <c r="A7" s="4" t="s">
        <v>22</v>
      </c>
      <c r="B7" s="2" t="n">
        <f aca="false">B13*1+B14*0.5</f>
        <v>122</v>
      </c>
      <c r="C7" s="2" t="s">
        <v>23</v>
      </c>
      <c r="D7" s="2" t="s">
        <v>24</v>
      </c>
      <c r="E7" s="2" t="s">
        <v>25</v>
      </c>
    </row>
    <row r="8" customFormat="false" ht="17.15" hidden="false" customHeight="false" outlineLevel="0" collapsed="false">
      <c r="A8" s="4" t="s">
        <v>26</v>
      </c>
      <c r="B8" s="3" t="n">
        <v>256.730769230769</v>
      </c>
      <c r="C8" s="2" t="s">
        <v>23</v>
      </c>
      <c r="D8" s="2" t="s">
        <v>11</v>
      </c>
      <c r="E8" s="2" t="s">
        <v>27</v>
      </c>
    </row>
    <row r="9" customFormat="false" ht="32.8" hidden="false" customHeight="false" outlineLevel="0" collapsed="false">
      <c r="A9" s="4" t="s">
        <v>28</v>
      </c>
      <c r="B9" s="2" t="n">
        <f aca="false">B13*1+B14*0.75+B15*0.25</f>
        <v>164.807692307692</v>
      </c>
      <c r="C9" s="2" t="s">
        <v>23</v>
      </c>
      <c r="D9" s="2" t="s">
        <v>11</v>
      </c>
      <c r="E9" s="4" t="s">
        <v>29</v>
      </c>
    </row>
    <row r="10" customFormat="false" ht="17.15" hidden="false" customHeight="false" outlineLevel="0" collapsed="false">
      <c r="A10" s="2" t="s">
        <v>30</v>
      </c>
      <c r="B10" s="3" t="n">
        <v>308.175824175824</v>
      </c>
      <c r="C10" s="2" t="s">
        <v>23</v>
      </c>
      <c r="D10" s="2" t="s">
        <v>31</v>
      </c>
      <c r="E10" s="2" t="s">
        <v>32</v>
      </c>
    </row>
    <row r="11" customFormat="false" ht="17.15" hidden="false" customHeight="false" outlineLevel="0" collapsed="false">
      <c r="A11" s="2" t="s">
        <v>33</v>
      </c>
      <c r="B11" s="3" t="n">
        <v>58.8461538461539</v>
      </c>
      <c r="C11" s="2" t="s">
        <v>23</v>
      </c>
      <c r="D11" s="2" t="s">
        <v>34</v>
      </c>
      <c r="E11" s="2" t="s">
        <v>35</v>
      </c>
    </row>
    <row r="12" customFormat="false" ht="17.15" hidden="false" customHeight="false" outlineLevel="0" collapsed="false">
      <c r="A12" s="2" t="s">
        <v>36</v>
      </c>
      <c r="B12" s="3" t="n">
        <v>159.230769230769</v>
      </c>
      <c r="C12" s="2" t="s">
        <v>23</v>
      </c>
      <c r="D12" s="2" t="s">
        <v>37</v>
      </c>
      <c r="E12" s="2" t="s">
        <v>38</v>
      </c>
    </row>
    <row r="13" customFormat="false" ht="17.15" hidden="false" customHeight="false" outlineLevel="0" collapsed="false">
      <c r="A13" s="2" t="s">
        <v>39</v>
      </c>
      <c r="B13" s="3" t="n">
        <v>90</v>
      </c>
      <c r="C13" s="2" t="s">
        <v>23</v>
      </c>
      <c r="D13" s="2" t="s">
        <v>40</v>
      </c>
      <c r="E13" s="2" t="s">
        <v>41</v>
      </c>
    </row>
    <row r="14" customFormat="false" ht="17.15" hidden="false" customHeight="false" outlineLevel="0" collapsed="false">
      <c r="A14" s="2" t="s">
        <v>42</v>
      </c>
      <c r="B14" s="3" t="n">
        <v>64</v>
      </c>
      <c r="C14" s="2" t="s">
        <v>23</v>
      </c>
      <c r="D14" s="2" t="s">
        <v>40</v>
      </c>
      <c r="E14" s="2" t="s">
        <v>43</v>
      </c>
    </row>
    <row r="15" customFormat="false" ht="17.15" hidden="false" customHeight="false" outlineLevel="0" collapsed="false">
      <c r="A15" s="2" t="s">
        <v>44</v>
      </c>
      <c r="B15" s="3" t="n">
        <v>107.230769230769</v>
      </c>
      <c r="C15" s="2" t="s">
        <v>23</v>
      </c>
      <c r="D15" s="2" t="s">
        <v>45</v>
      </c>
      <c r="E15" s="2" t="s">
        <v>46</v>
      </c>
    </row>
    <row r="16" customFormat="false" ht="32.8" hidden="false" customHeight="false" outlineLevel="0" collapsed="false">
      <c r="A16" s="2" t="s">
        <v>47</v>
      </c>
      <c r="B16" s="3" t="n">
        <v>16000</v>
      </c>
      <c r="C16" s="4" t="s">
        <v>48</v>
      </c>
      <c r="D16" s="2" t="s">
        <v>49</v>
      </c>
      <c r="E16" s="2" t="s">
        <v>50</v>
      </c>
    </row>
    <row r="17" customFormat="false" ht="17.15" hidden="false" customHeight="false" outlineLevel="0" collapsed="false">
      <c r="A17" s="2" t="s">
        <v>51</v>
      </c>
      <c r="B17" s="3" t="n">
        <v>176391</v>
      </c>
      <c r="C17" s="4" t="s">
        <v>52</v>
      </c>
      <c r="D17" s="2" t="s">
        <v>53</v>
      </c>
      <c r="E17" s="2" t="s">
        <v>54</v>
      </c>
    </row>
    <row r="18" customFormat="false" ht="17.15" hidden="false" customHeight="false" outlineLevel="0" collapsed="false">
      <c r="A18" s="2" t="s">
        <v>55</v>
      </c>
      <c r="B18" s="3" t="n">
        <v>304279</v>
      </c>
      <c r="C18" s="4" t="s">
        <v>52</v>
      </c>
      <c r="D18" s="2" t="s">
        <v>56</v>
      </c>
      <c r="E18" s="2"/>
    </row>
    <row r="19" customFormat="false" ht="17.15" hidden="false" customHeight="false" outlineLevel="0" collapsed="false">
      <c r="A19" s="2" t="s">
        <v>57</v>
      </c>
      <c r="B19" s="3" t="n">
        <v>369</v>
      </c>
      <c r="C19" s="2" t="s">
        <v>23</v>
      </c>
      <c r="D19" s="2" t="s">
        <v>40</v>
      </c>
      <c r="E19" s="4" t="s">
        <v>58</v>
      </c>
    </row>
    <row r="20" customFormat="false" ht="15" hidden="false" customHeight="false" outlineLevel="0" collapsed="false">
      <c r="A20" s="2"/>
      <c r="B20" s="2"/>
      <c r="C20" s="2"/>
      <c r="D20" s="2"/>
      <c r="E20" s="2"/>
    </row>
    <row r="21" customFormat="false" ht="15" hidden="false" customHeight="false" outlineLevel="0" collapsed="false">
      <c r="A21" s="2"/>
      <c r="B21" s="2"/>
      <c r="C21" s="2"/>
      <c r="D21" s="2"/>
      <c r="E21" s="2"/>
    </row>
    <row r="22" customFormat="false" ht="32.8" hidden="false" customHeight="false" outlineLevel="0" collapsed="false">
      <c r="A22" s="5" t="s">
        <v>59</v>
      </c>
      <c r="B22" s="1" t="s">
        <v>1</v>
      </c>
      <c r="C22" s="1" t="s">
        <v>2</v>
      </c>
      <c r="D22" s="1" t="s">
        <v>3</v>
      </c>
      <c r="E22" s="1" t="s">
        <v>4</v>
      </c>
    </row>
    <row r="23" customFormat="false" ht="17.15" hidden="false" customHeight="false" outlineLevel="0" collapsed="false">
      <c r="A23" s="2" t="s">
        <v>60</v>
      </c>
      <c r="B23" s="3" t="n">
        <v>2.34</v>
      </c>
      <c r="C23" s="2" t="s">
        <v>6</v>
      </c>
      <c r="D23" s="2" t="s">
        <v>11</v>
      </c>
      <c r="E23" s="2" t="s">
        <v>61</v>
      </c>
    </row>
    <row r="24" customFormat="false" ht="17.15" hidden="false" customHeight="false" outlineLevel="0" collapsed="false">
      <c r="A24" s="2" t="s">
        <v>62</v>
      </c>
      <c r="B24" s="3" t="n">
        <v>1.9</v>
      </c>
      <c r="C24" s="2" t="s">
        <v>6</v>
      </c>
      <c r="D24" s="2" t="s">
        <v>63</v>
      </c>
      <c r="E24" s="4" t="s">
        <v>64</v>
      </c>
    </row>
    <row r="25" customFormat="false" ht="17.15" hidden="false" customHeight="false" outlineLevel="0" collapsed="false">
      <c r="A25" s="2" t="s">
        <v>65</v>
      </c>
      <c r="B25" s="3" t="n">
        <v>0.41</v>
      </c>
      <c r="C25" s="2" t="s">
        <v>66</v>
      </c>
      <c r="D25" s="2" t="s">
        <v>67</v>
      </c>
      <c r="E25" s="4" t="s">
        <v>68</v>
      </c>
    </row>
    <row r="26" customFormat="false" ht="17.15" hidden="false" customHeight="false" outlineLevel="0" collapsed="false">
      <c r="A26" s="2" t="s">
        <v>69</v>
      </c>
      <c r="B26" s="3" t="n">
        <v>0.46</v>
      </c>
      <c r="C26" s="2" t="s">
        <v>66</v>
      </c>
      <c r="D26" s="2" t="s">
        <v>63</v>
      </c>
      <c r="E26" s="4" t="s">
        <v>70</v>
      </c>
    </row>
    <row r="27" customFormat="false" ht="17.15" hidden="false" customHeight="false" outlineLevel="0" collapsed="false">
      <c r="A27" s="2" t="s">
        <v>71</v>
      </c>
      <c r="B27" s="3" t="n">
        <v>0.41</v>
      </c>
      <c r="C27" s="2" t="s">
        <v>66</v>
      </c>
      <c r="D27" s="2" t="s">
        <v>72</v>
      </c>
      <c r="E27" s="4" t="s">
        <v>73</v>
      </c>
    </row>
    <row r="28" customFormat="false" ht="17.15" hidden="false" customHeight="false" outlineLevel="0" collapsed="false">
      <c r="A28" s="2" t="s">
        <v>74</v>
      </c>
      <c r="B28" s="3" t="n">
        <v>0.85</v>
      </c>
      <c r="C28" s="2" t="s">
        <v>66</v>
      </c>
      <c r="D28" s="2" t="s">
        <v>72</v>
      </c>
      <c r="E28" s="4" t="s">
        <v>75</v>
      </c>
    </row>
    <row r="29" customFormat="false" ht="17.15" hidden="false" customHeight="false" outlineLevel="0" collapsed="false">
      <c r="A29" s="4" t="s">
        <v>76</v>
      </c>
      <c r="B29" s="3" t="n">
        <v>26017336543.4207</v>
      </c>
      <c r="C29" s="2" t="s">
        <v>77</v>
      </c>
      <c r="D29" s="2" t="s">
        <v>11</v>
      </c>
      <c r="E29" s="4" t="s">
        <v>78</v>
      </c>
    </row>
    <row r="30" customFormat="false" ht="17.15" hidden="false" customHeight="false" outlineLevel="0" collapsed="false">
      <c r="A30" s="4" t="s">
        <v>79</v>
      </c>
      <c r="B30" s="3" t="n">
        <v>128013563494.827</v>
      </c>
      <c r="C30" s="2" t="s">
        <v>77</v>
      </c>
      <c r="D30" s="2" t="s">
        <v>11</v>
      </c>
      <c r="E30" s="4" t="s">
        <v>80</v>
      </c>
    </row>
    <row r="31" customFormat="false" ht="17.15" hidden="false" customHeight="false" outlineLevel="0" collapsed="false">
      <c r="A31" s="4" t="s">
        <v>81</v>
      </c>
      <c r="B31" s="3" t="n">
        <v>156016123358.035</v>
      </c>
      <c r="C31" s="2" t="s">
        <v>77</v>
      </c>
      <c r="D31" s="2" t="s">
        <v>11</v>
      </c>
      <c r="E31" s="4" t="s">
        <v>82</v>
      </c>
    </row>
    <row r="32" customFormat="false" ht="17.15" hidden="false" customHeight="false" outlineLevel="0" collapsed="false">
      <c r="A32" s="4" t="s">
        <v>83</v>
      </c>
      <c r="B32" s="3" t="n">
        <v>257035462226.142</v>
      </c>
      <c r="C32" s="2" t="s">
        <v>77</v>
      </c>
      <c r="D32" s="2" t="s">
        <v>11</v>
      </c>
      <c r="E32" s="4" t="s">
        <v>84</v>
      </c>
    </row>
    <row r="33" customFormat="false" ht="17.15" hidden="false" customHeight="false" outlineLevel="0" collapsed="false">
      <c r="A33" s="4" t="s">
        <v>85</v>
      </c>
      <c r="B33" s="3" t="n">
        <v>0.25</v>
      </c>
      <c r="C33" s="2" t="s">
        <v>66</v>
      </c>
      <c r="D33" s="2" t="s">
        <v>72</v>
      </c>
      <c r="E33" s="4" t="s">
        <v>86</v>
      </c>
    </row>
    <row r="34" customFormat="false" ht="17.15" hidden="false" customHeight="false" outlineLevel="0" collapsed="false">
      <c r="A34" s="4" t="s">
        <v>87</v>
      </c>
      <c r="B34" s="3" t="n">
        <v>0.45</v>
      </c>
      <c r="C34" s="2" t="s">
        <v>66</v>
      </c>
      <c r="D34" s="2" t="s">
        <v>72</v>
      </c>
      <c r="E34" s="4" t="s">
        <v>88</v>
      </c>
    </row>
    <row r="35" customFormat="false" ht="17.15" hidden="false" customHeight="false" outlineLevel="0" collapsed="false">
      <c r="A35" s="4" t="s">
        <v>89</v>
      </c>
      <c r="B35" s="3" t="n">
        <v>0.25</v>
      </c>
      <c r="C35" s="2" t="s">
        <v>66</v>
      </c>
      <c r="D35" s="2" t="s">
        <v>72</v>
      </c>
      <c r="E35" s="4" t="s">
        <v>90</v>
      </c>
    </row>
    <row r="36" customFormat="false" ht="17.15" hidden="false" customHeight="false" outlineLevel="0" collapsed="false">
      <c r="A36" s="4" t="s">
        <v>91</v>
      </c>
      <c r="B36" s="3" t="n">
        <v>0.05</v>
      </c>
      <c r="C36" s="2" t="s">
        <v>66</v>
      </c>
      <c r="D36" s="2" t="s">
        <v>72</v>
      </c>
      <c r="E36" s="4" t="s">
        <v>92</v>
      </c>
    </row>
    <row r="37" customFormat="false" ht="17.15" hidden="false" customHeight="false" outlineLevel="0" collapsed="false">
      <c r="A37" s="4" t="s">
        <v>93</v>
      </c>
      <c r="B37" s="3" t="n">
        <v>7884000000</v>
      </c>
      <c r="C37" s="2" t="s">
        <v>94</v>
      </c>
      <c r="D37" s="2" t="s">
        <v>95</v>
      </c>
      <c r="E37" s="4" t="s">
        <v>96</v>
      </c>
    </row>
    <row r="38" customFormat="false" ht="17.15" hidden="false" customHeight="false" outlineLevel="0" collapsed="false">
      <c r="A38" s="2" t="s">
        <v>97</v>
      </c>
      <c r="B38" s="3" t="n">
        <v>3.6</v>
      </c>
      <c r="C38" s="2" t="s">
        <v>98</v>
      </c>
      <c r="D38" s="2" t="s">
        <v>99</v>
      </c>
      <c r="E38" s="4" t="s">
        <v>100</v>
      </c>
    </row>
    <row r="39" customFormat="false" ht="17.15" hidden="false" customHeight="false" outlineLevel="0" collapsed="false">
      <c r="A39" s="4" t="s">
        <v>101</v>
      </c>
      <c r="B39" s="3" t="n">
        <v>4000</v>
      </c>
      <c r="C39" s="2" t="s">
        <v>102</v>
      </c>
      <c r="D39" s="2" t="s">
        <v>72</v>
      </c>
      <c r="E39" s="4" t="s">
        <v>103</v>
      </c>
    </row>
    <row r="40" customFormat="false" ht="17.15" hidden="false" customHeight="false" outlineLevel="0" collapsed="false">
      <c r="A40" s="2" t="s">
        <v>104</v>
      </c>
      <c r="B40" s="3" t="n">
        <v>0.6</v>
      </c>
      <c r="C40" s="2" t="s">
        <v>66</v>
      </c>
      <c r="D40" s="2" t="s">
        <v>72</v>
      </c>
      <c r="E40" s="4" t="s">
        <v>105</v>
      </c>
    </row>
    <row r="41" customFormat="false" ht="17.15" hidden="false" customHeight="false" outlineLevel="0" collapsed="false">
      <c r="A41" s="2" t="s">
        <v>106</v>
      </c>
      <c r="B41" s="3" t="n">
        <v>2.5</v>
      </c>
      <c r="C41" s="2" t="s">
        <v>98</v>
      </c>
      <c r="D41" s="2" t="s">
        <v>95</v>
      </c>
      <c r="E41" s="2" t="s">
        <v>107</v>
      </c>
    </row>
    <row r="42" customFormat="false" ht="17.15" hidden="false" customHeight="false" outlineLevel="0" collapsed="false">
      <c r="A42" s="2" t="s">
        <v>108</v>
      </c>
      <c r="B42" s="3" t="n">
        <v>1</v>
      </c>
      <c r="C42" s="2" t="s">
        <v>109</v>
      </c>
      <c r="D42" s="2" t="s">
        <v>110</v>
      </c>
      <c r="E42" s="2" t="s">
        <v>111</v>
      </c>
    </row>
    <row r="43" customFormat="false" ht="17.15" hidden="false" customHeight="false" outlineLevel="0" collapsed="false">
      <c r="A43" s="2" t="s">
        <v>112</v>
      </c>
      <c r="B43" s="3" t="n">
        <v>0.7</v>
      </c>
      <c r="C43" s="2" t="s">
        <v>109</v>
      </c>
      <c r="D43" s="2" t="s">
        <v>95</v>
      </c>
      <c r="E43" s="4" t="s">
        <v>113</v>
      </c>
    </row>
    <row r="44" customFormat="false" ht="17.15" hidden="false" customHeight="false" outlineLevel="0" collapsed="false">
      <c r="A44" s="2" t="s">
        <v>114</v>
      </c>
      <c r="B44" s="3" t="n">
        <v>1.15</v>
      </c>
      <c r="C44" s="2" t="s">
        <v>66</v>
      </c>
      <c r="D44" s="2" t="s">
        <v>72</v>
      </c>
      <c r="E44" s="4" t="s">
        <v>115</v>
      </c>
    </row>
    <row r="45" customFormat="false" ht="17.15" hidden="false" customHeight="false" outlineLevel="0" collapsed="false">
      <c r="A45" s="2" t="s">
        <v>116</v>
      </c>
      <c r="B45" s="3" t="n">
        <v>8</v>
      </c>
      <c r="C45" s="2" t="s">
        <v>117</v>
      </c>
      <c r="D45" s="2" t="s">
        <v>72</v>
      </c>
      <c r="E45" s="4" t="s">
        <v>118</v>
      </c>
    </row>
    <row r="46" customFormat="false" ht="17.15" hidden="false" customHeight="false" outlineLevel="0" collapsed="false">
      <c r="A46" s="2" t="s">
        <v>119</v>
      </c>
      <c r="B46" s="3" t="n">
        <v>6000</v>
      </c>
      <c r="C46" s="2" t="s">
        <v>102</v>
      </c>
      <c r="D46" s="2" t="s">
        <v>72</v>
      </c>
      <c r="E46" s="4" t="s">
        <v>120</v>
      </c>
    </row>
    <row r="47" customFormat="false" ht="17.15" hidden="false" customHeight="false" outlineLevel="0" collapsed="false">
      <c r="A47" s="2" t="s">
        <v>121</v>
      </c>
      <c r="B47" s="3" t="n">
        <v>0.2</v>
      </c>
      <c r="C47" s="2" t="s">
        <v>66</v>
      </c>
      <c r="D47" s="2" t="s">
        <v>72</v>
      </c>
      <c r="E47" s="4" t="s">
        <v>122</v>
      </c>
    </row>
    <row r="48" customFormat="false" ht="17.15" hidden="false" customHeight="false" outlineLevel="0" collapsed="false">
      <c r="A48" s="2" t="s">
        <v>123</v>
      </c>
      <c r="B48" s="3" t="n">
        <v>0.8</v>
      </c>
      <c r="C48" s="2" t="s">
        <v>66</v>
      </c>
      <c r="D48" s="2" t="s">
        <v>72</v>
      </c>
      <c r="E48" s="4" t="s">
        <v>124</v>
      </c>
    </row>
    <row r="49" customFormat="false" ht="15" hidden="false" customHeight="false" outlineLevel="0" collapsed="false">
      <c r="A49" s="2"/>
      <c r="B49" s="2"/>
      <c r="C49" s="2"/>
      <c r="D49" s="2"/>
      <c r="E49" s="2"/>
    </row>
    <row r="50" customFormat="false" ht="17.15" hidden="false" customHeight="false" outlineLevel="0" collapsed="false">
      <c r="A50" s="1" t="s">
        <v>125</v>
      </c>
      <c r="B50" s="1" t="s">
        <v>1</v>
      </c>
      <c r="C50" s="1" t="s">
        <v>2</v>
      </c>
      <c r="D50" s="1" t="s">
        <v>3</v>
      </c>
      <c r="E50" s="1" t="s">
        <v>4</v>
      </c>
    </row>
    <row r="51" customFormat="false" ht="32.8" hidden="false" customHeight="false" outlineLevel="0" collapsed="false">
      <c r="A51" s="2" t="s">
        <v>126</v>
      </c>
      <c r="B51" s="3" t="n">
        <v>0.633</v>
      </c>
      <c r="C51" s="2" t="s">
        <v>66</v>
      </c>
      <c r="D51" s="2" t="s">
        <v>127</v>
      </c>
      <c r="E51" s="2" t="s">
        <v>128</v>
      </c>
    </row>
    <row r="52" customFormat="false" ht="17.15" hidden="false" customHeight="false" outlineLevel="0" collapsed="false">
      <c r="A52" s="2" t="s">
        <v>129</v>
      </c>
      <c r="B52" s="3" t="n">
        <v>0.165</v>
      </c>
      <c r="C52" s="2" t="s">
        <v>66</v>
      </c>
      <c r="D52" s="2" t="s">
        <v>130</v>
      </c>
      <c r="E52" s="2" t="s">
        <v>131</v>
      </c>
    </row>
    <row r="53" customFormat="false" ht="32.8" hidden="false" customHeight="false" outlineLevel="0" collapsed="false">
      <c r="A53" s="4" t="s">
        <v>132</v>
      </c>
      <c r="B53" s="3" t="n">
        <v>0.1</v>
      </c>
      <c r="C53" s="2" t="s">
        <v>66</v>
      </c>
      <c r="D53" s="2" t="s">
        <v>72</v>
      </c>
      <c r="E53" s="4" t="s">
        <v>133</v>
      </c>
    </row>
    <row r="54" customFormat="false" ht="17.15" hidden="false" customHeight="false" outlineLevel="0" collapsed="false">
      <c r="A54" s="2" t="s">
        <v>134</v>
      </c>
      <c r="B54" s="3" t="n">
        <v>0.2</v>
      </c>
      <c r="C54" s="2" t="s">
        <v>66</v>
      </c>
      <c r="D54" s="2" t="s">
        <v>72</v>
      </c>
      <c r="E54" s="2"/>
    </row>
    <row r="55" customFormat="false" ht="17.15" hidden="false" customHeight="false" outlineLevel="0" collapsed="false">
      <c r="A55" s="2" t="s">
        <v>135</v>
      </c>
      <c r="B55" s="3" t="n">
        <v>0.3</v>
      </c>
      <c r="C55" s="2" t="s">
        <v>66</v>
      </c>
      <c r="D55" s="2" t="s">
        <v>72</v>
      </c>
      <c r="E55" s="2"/>
    </row>
    <row r="56" customFormat="false" ht="32.8" hidden="false" customHeight="false" outlineLevel="0" collapsed="false">
      <c r="A56" s="2" t="s">
        <v>136</v>
      </c>
      <c r="B56" s="3" t="n">
        <v>0.7</v>
      </c>
      <c r="C56" s="2" t="s">
        <v>66</v>
      </c>
      <c r="D56" s="2" t="s">
        <v>72</v>
      </c>
      <c r="E56" s="2" t="s">
        <v>137</v>
      </c>
    </row>
    <row r="57" customFormat="false" ht="17.15" hidden="false" customHeight="false" outlineLevel="0" collapsed="false">
      <c r="A57" s="2" t="s">
        <v>138</v>
      </c>
      <c r="B57" s="3" t="n">
        <v>1</v>
      </c>
      <c r="C57" s="2" t="s">
        <v>66</v>
      </c>
      <c r="D57" s="2" t="s">
        <v>72</v>
      </c>
      <c r="E57" s="4" t="s">
        <v>139</v>
      </c>
    </row>
    <row r="58" customFormat="false" ht="17.15" hidden="false" customHeight="false" outlineLevel="0" collapsed="false">
      <c r="A58" s="2" t="s">
        <v>140</v>
      </c>
      <c r="B58" s="3" t="n">
        <v>2</v>
      </c>
      <c r="C58" s="2" t="s">
        <v>66</v>
      </c>
      <c r="D58" s="2" t="s">
        <v>72</v>
      </c>
      <c r="E58" s="4" t="s">
        <v>141</v>
      </c>
    </row>
    <row r="59" customFormat="false" ht="32.8" hidden="false" customHeight="false" outlineLevel="0" collapsed="false">
      <c r="A59" s="2" t="s">
        <v>142</v>
      </c>
      <c r="B59" s="3" t="n">
        <v>0.95</v>
      </c>
      <c r="C59" s="2" t="s">
        <v>109</v>
      </c>
      <c r="D59" s="2" t="s">
        <v>143</v>
      </c>
      <c r="E59" s="2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6"/>
    <col collapsed="false" customWidth="true" hidden="false" outlineLevel="0" max="9" min="9" style="0" width="40"/>
  </cols>
  <sheetData>
    <row r="1" customFormat="false" ht="32.8" hidden="false" customHeight="false" outlineLevel="0" collapsed="false">
      <c r="A1" s="2" t="s">
        <v>145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32.8" hidden="false" customHeight="false" outlineLevel="0" collapsed="false">
      <c r="A3" s="4" t="s">
        <v>146</v>
      </c>
      <c r="B3" s="2" t="n">
        <f aca="false">輸入!B5/(輸入!B3*輸入!B4)</f>
        <v>2.1668840141963</v>
      </c>
      <c r="C3" s="4" t="s">
        <v>147</v>
      </c>
      <c r="D3" s="2"/>
      <c r="E3" s="2"/>
      <c r="F3" s="2"/>
      <c r="G3" s="2"/>
      <c r="H3" s="2"/>
      <c r="I3" s="2"/>
    </row>
    <row r="4" customFormat="false" ht="17.15" hidden="false" customHeight="false" outlineLevel="0" collapsed="false">
      <c r="A4" s="4" t="s">
        <v>148</v>
      </c>
      <c r="B4" s="2" t="n">
        <f aca="false">輸入!B6/(輸入!B3*輸入!B4)</f>
        <v>2.20807952777418</v>
      </c>
      <c r="C4" s="2"/>
      <c r="D4" s="2"/>
      <c r="E4" s="2"/>
      <c r="F4" s="2"/>
      <c r="G4" s="2"/>
      <c r="H4" s="2"/>
      <c r="I4" s="2"/>
    </row>
    <row r="5" customFormat="false" ht="17.15" hidden="false" customHeight="false" outlineLevel="0" collapsed="false">
      <c r="A5" s="2" t="s">
        <v>149</v>
      </c>
      <c r="B5" s="2" t="n">
        <f aca="false">輸入!B10+輸入!B11</f>
        <v>367.021978021978</v>
      </c>
      <c r="C5" s="2"/>
      <c r="D5" s="2"/>
      <c r="E5" s="2"/>
      <c r="F5" s="2"/>
      <c r="G5" s="2"/>
      <c r="H5" s="2"/>
      <c r="I5" s="2"/>
    </row>
    <row r="6" customFormat="false" ht="17.15" hidden="false" customHeight="false" outlineLevel="0" collapsed="false">
      <c r="A6" s="2" t="s">
        <v>150</v>
      </c>
      <c r="B6" s="2" t="n">
        <f aca="false">輸入!B10+輸入!B12</f>
        <v>467.406593406593</v>
      </c>
      <c r="C6" s="2"/>
      <c r="D6" s="2"/>
      <c r="E6" s="2"/>
      <c r="F6" s="2"/>
      <c r="G6" s="2"/>
      <c r="H6" s="2"/>
      <c r="I6" s="2"/>
    </row>
    <row r="7" customFormat="false" ht="17.15" hidden="false" customHeight="false" outlineLevel="0" collapsed="false">
      <c r="A7" s="4" t="s">
        <v>151</v>
      </c>
      <c r="B7" s="2" t="n">
        <f aca="false">輸入!B2+輸入!B7/1000</f>
        <v>2.022</v>
      </c>
      <c r="C7" s="2"/>
      <c r="D7" s="2"/>
      <c r="E7" s="2"/>
      <c r="F7" s="2"/>
      <c r="G7" s="2"/>
      <c r="H7" s="2"/>
      <c r="I7" s="2"/>
    </row>
    <row r="8" customFormat="false" ht="17.15" hidden="false" customHeight="false" outlineLevel="0" collapsed="false">
      <c r="A8" s="4" t="s">
        <v>152</v>
      </c>
      <c r="B8" s="2" t="n">
        <f aca="false">輸入!B2+輸入!B8/1000</f>
        <v>2.15673076923077</v>
      </c>
      <c r="C8" s="2"/>
      <c r="D8" s="2"/>
      <c r="E8" s="2"/>
      <c r="F8" s="2"/>
      <c r="G8" s="2"/>
      <c r="H8" s="2"/>
      <c r="I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</row>
    <row r="10" customFormat="false" ht="32.8" hidden="false" customHeight="false" outlineLevel="0" collapsed="false">
      <c r="A10" s="5" t="s">
        <v>153</v>
      </c>
      <c r="B10" s="5" t="s">
        <v>154</v>
      </c>
      <c r="C10" s="5" t="s">
        <v>155</v>
      </c>
      <c r="D10" s="5" t="s">
        <v>156</v>
      </c>
      <c r="E10" s="5" t="s">
        <v>157</v>
      </c>
      <c r="F10" s="5" t="s">
        <v>158</v>
      </c>
      <c r="G10" s="5" t="s">
        <v>159</v>
      </c>
      <c r="H10" s="5" t="s">
        <v>160</v>
      </c>
      <c r="I10" s="1" t="s">
        <v>3</v>
      </c>
    </row>
    <row r="11" customFormat="false" ht="15" hidden="false" customHeight="false" outlineLevel="0" collapsed="false">
      <c r="A11" s="3" t="n">
        <v>0</v>
      </c>
      <c r="B11" s="2" t="n">
        <f aca="false">輸入!$B$2+(輸入!$B$7+A11*$B$5)/1000</f>
        <v>2.022</v>
      </c>
      <c r="C11" s="2" t="n">
        <f aca="false">$B$3/B11</f>
        <v>1.0716538151317</v>
      </c>
      <c r="D11" s="2" t="n">
        <f aca="false">$B$4/B11</f>
        <v>1.09202746180721</v>
      </c>
      <c r="E11" s="2" t="n">
        <f aca="false">輸入!$B$2+(輸入!$B$8+A11*$B$6)/1000</f>
        <v>2.15673076923077</v>
      </c>
      <c r="F11" s="2" t="n">
        <f aca="false">$B$3/E11</f>
        <v>1.0047077016336</v>
      </c>
      <c r="G11" s="2" t="n">
        <f aca="false">輸入!$B$2+(輸入!$B$9+A11*$B$5)/1000</f>
        <v>2.06480769230769</v>
      </c>
      <c r="H11" s="2" t="n">
        <f aca="false">$B$3/G11</f>
        <v>1.04943623673473</v>
      </c>
      <c r="I11" s="2"/>
    </row>
    <row r="12" customFormat="false" ht="15" hidden="false" customHeight="false" outlineLevel="0" collapsed="false">
      <c r="A12" s="3" t="n">
        <v>0.25</v>
      </c>
      <c r="B12" s="2" t="n">
        <f aca="false">輸入!$B$2+(輸入!$B$7+A12*$B$5)/1000</f>
        <v>2.11375549450549</v>
      </c>
      <c r="C12" s="2" t="n">
        <f aca="false">$B$3/B12</f>
        <v>1.02513465716773</v>
      </c>
      <c r="D12" s="2" t="n">
        <f aca="false">$B$4/B12</f>
        <v>1.04462390920514</v>
      </c>
      <c r="E12" s="2" t="n">
        <f aca="false">輸入!$B$2+(輸入!$B$8+A12*$B$6)/1000</f>
        <v>2.27358241758242</v>
      </c>
      <c r="F12" s="2" t="n">
        <f aca="false">$B$3/E12</f>
        <v>0.953070360431635</v>
      </c>
      <c r="G12" s="2" t="n">
        <f aca="false">輸入!$B$2+(輸入!$B$9+A12*$B$5)/1000</f>
        <v>2.15656318681319</v>
      </c>
      <c r="H12" s="2" t="n">
        <f aca="false">$B$3/G12</f>
        <v>1.0047857755554</v>
      </c>
      <c r="I12" s="2"/>
    </row>
    <row r="13" customFormat="false" ht="32.8" hidden="false" customHeight="false" outlineLevel="0" collapsed="false">
      <c r="A13" s="3" t="n">
        <v>0.4</v>
      </c>
      <c r="B13" s="2" t="n">
        <f aca="false">輸入!$B$2+(輸入!$B$7+A13*$B$5)/1000</f>
        <v>2.16880879120879</v>
      </c>
      <c r="C13" s="2" t="n">
        <f aca="false">$B$3/B13</f>
        <v>0.999112518807426</v>
      </c>
      <c r="D13" s="2" t="n">
        <f aca="false">$B$4/B13</f>
        <v>1.01810705338551</v>
      </c>
      <c r="E13" s="2" t="n">
        <f aca="false">輸入!$B$2+(輸入!$B$8+A13*$B$6)/1000</f>
        <v>2.34369340659341</v>
      </c>
      <c r="F13" s="2" t="n">
        <f aca="false">$B$3/E13</f>
        <v>0.92455950428512</v>
      </c>
      <c r="G13" s="2" t="n">
        <f aca="false">輸入!$B$2+(輸入!$B$9+A13*$B$5)/1000</f>
        <v>2.21161648351648</v>
      </c>
      <c r="H13" s="2" t="n">
        <f aca="false">$B$3/G13</f>
        <v>0.979773857875641</v>
      </c>
      <c r="I13" s="2" t="s">
        <v>161</v>
      </c>
    </row>
    <row r="14" customFormat="false" ht="15" hidden="false" customHeight="false" outlineLevel="0" collapsed="false">
      <c r="A14" s="3" t="n">
        <v>0.5</v>
      </c>
      <c r="B14" s="2" t="n">
        <f aca="false">輸入!$B$2+(輸入!$B$7+A14*$B$5)/1000</f>
        <v>2.20551098901099</v>
      </c>
      <c r="C14" s="2" t="n">
        <f aca="false">$B$3/B14</f>
        <v>0.982486156266214</v>
      </c>
      <c r="D14" s="2" t="n">
        <f aca="false">$B$4/B14</f>
        <v>1.00116460030169</v>
      </c>
      <c r="E14" s="2" t="n">
        <f aca="false">輸入!$B$2+(輸入!$B$8+A14*$B$6)/1000</f>
        <v>2.39043406593407</v>
      </c>
      <c r="F14" s="2" t="n">
        <f aca="false">$B$3/E14</f>
        <v>0.906481398117789</v>
      </c>
      <c r="G14" s="2" t="n">
        <f aca="false">輸入!$B$2+(輸入!$B$9+A14*$B$5)/1000</f>
        <v>2.24831868131868</v>
      </c>
      <c r="H14" s="2" t="n">
        <f aca="false">$B$3/G14</f>
        <v>0.963779748930158</v>
      </c>
      <c r="I14" s="2"/>
    </row>
    <row r="15" customFormat="false" ht="15" hidden="false" customHeight="false" outlineLevel="0" collapsed="false">
      <c r="A15" s="3" t="n">
        <v>0.6</v>
      </c>
      <c r="B15" s="2" t="n">
        <f aca="false">輸入!$B$2+(輸入!$B$7+A15*$B$5)/1000</f>
        <v>2.24221318681319</v>
      </c>
      <c r="C15" s="2" t="n">
        <f aca="false">$B$3/B15</f>
        <v>0.966404098834176</v>
      </c>
      <c r="D15" s="2" t="n">
        <f aca="false">$B$4/B15</f>
        <v>0.984776800332925</v>
      </c>
      <c r="E15" s="2" t="n">
        <f aca="false">輸入!$B$2+(輸入!$B$8+A15*$B$6)/1000</f>
        <v>2.43717472527472</v>
      </c>
      <c r="F15" s="2" t="n">
        <f aca="false">$B$3/E15</f>
        <v>0.889096703541453</v>
      </c>
      <c r="G15" s="2" t="n">
        <f aca="false">輸入!$B$2+(輸入!$B$9+A15*$B$5)/1000</f>
        <v>2.28502087912088</v>
      </c>
      <c r="H15" s="2" t="n">
        <f aca="false">$B$3/G15</f>
        <v>0.948299437434451</v>
      </c>
      <c r="I15" s="2"/>
    </row>
    <row r="16" customFormat="false" ht="32.8" hidden="false" customHeight="false" outlineLevel="0" collapsed="false">
      <c r="A16" s="3" t="n">
        <v>0.65</v>
      </c>
      <c r="B16" s="2" t="n">
        <f aca="false">輸入!$B$2+(輸入!$B$7+A16*$B$5)/1000</f>
        <v>2.26056428571429</v>
      </c>
      <c r="C16" s="2" t="n">
        <f aca="false">$B$3/B16</f>
        <v>0.958558899603078</v>
      </c>
      <c r="D16" s="2" t="n">
        <f aca="false">$B$4/B16</f>
        <v>0.976782452827471</v>
      </c>
      <c r="E16" s="2" t="n">
        <f aca="false">輸入!$B$2+(輸入!$B$8+A16*$B$6)/1000</f>
        <v>2.46054505494505</v>
      </c>
      <c r="F16" s="2" t="n">
        <f aca="false">$B$3/E16</f>
        <v>0.880652036767801</v>
      </c>
      <c r="G16" s="2" t="n">
        <f aca="false">輸入!$B$2+(輸入!$B$9+A16*$B$5)/1000</f>
        <v>2.30337197802198</v>
      </c>
      <c r="H16" s="2" t="n">
        <f aca="false">$B$3/G16</f>
        <v>0.940744280503541</v>
      </c>
      <c r="I16" s="2" t="s">
        <v>161</v>
      </c>
    </row>
    <row r="17" customFormat="false" ht="15" hidden="false" customHeight="false" outlineLevel="0" collapsed="false">
      <c r="A17" s="3" t="n">
        <v>0.7</v>
      </c>
      <c r="B17" s="2" t="n">
        <f aca="false">輸入!$B$2+(輸入!$B$7+A17*$B$5)/1000</f>
        <v>2.27891538461538</v>
      </c>
      <c r="C17" s="2" t="n">
        <f aca="false">$B$3/B17</f>
        <v>0.950840048219698</v>
      </c>
      <c r="D17" s="2" t="n">
        <f aca="false">$B$4/B17</f>
        <v>0.968916855220072</v>
      </c>
      <c r="E17" s="2" t="n">
        <f aca="false">輸入!$B$2+(輸入!$B$8+A17*$B$6)/1000</f>
        <v>2.48391538461538</v>
      </c>
      <c r="F17" s="2" t="n">
        <f aca="false">$B$3/E17</f>
        <v>0.87236627608868</v>
      </c>
      <c r="G17" s="2" t="n">
        <f aca="false">輸入!$B$2+(輸入!$B$9+A17*$B$5)/1000</f>
        <v>2.32172307692308</v>
      </c>
      <c r="H17" s="2" t="n">
        <f aca="false">$B$3/G17</f>
        <v>0.933308556793096</v>
      </c>
      <c r="I17" s="2"/>
    </row>
    <row r="18" customFormat="false" ht="15" hidden="false" customHeight="false" outlineLevel="0" collapsed="false">
      <c r="A18" s="3" t="n">
        <v>0.8</v>
      </c>
      <c r="B18" s="2" t="n">
        <f aca="false">輸入!$B$2+(輸入!$B$7+A18*$B$5)/1000</f>
        <v>2.31561758241758</v>
      </c>
      <c r="C18" s="2" t="n">
        <f aca="false">$B$3/B18</f>
        <v>0.93576937342737</v>
      </c>
      <c r="D18" s="2" t="n">
        <f aca="false">$B$4/B18</f>
        <v>0.953559665697853</v>
      </c>
      <c r="E18" s="2" t="n">
        <f aca="false">輸入!$B$2+(輸入!$B$8+A18*$B$6)/1000</f>
        <v>2.53065604395604</v>
      </c>
      <c r="F18" s="2" t="n">
        <f aca="false">$B$3/E18</f>
        <v>0.856253863250782</v>
      </c>
      <c r="G18" s="2" t="n">
        <f aca="false">輸入!$B$2+(輸入!$B$9+A18*$B$5)/1000</f>
        <v>2.35842527472527</v>
      </c>
      <c r="H18" s="2" t="n">
        <f aca="false">$B$3/G18</f>
        <v>0.918784257198362</v>
      </c>
      <c r="I18" s="2"/>
    </row>
    <row r="19" customFormat="false" ht="32.8" hidden="false" customHeight="false" outlineLevel="0" collapsed="false">
      <c r="A19" s="3" t="n">
        <v>0.9</v>
      </c>
      <c r="B19" s="2" t="n">
        <f aca="false">輸入!$B$2+(輸入!$B$7+A19*$B$5)/1000</f>
        <v>2.35231978021978</v>
      </c>
      <c r="C19" s="2" t="n">
        <f aca="false">$B$3/B19</f>
        <v>0.921168980687587</v>
      </c>
      <c r="D19" s="2" t="n">
        <f aca="false">$B$4/B19</f>
        <v>0.93868169895161</v>
      </c>
      <c r="E19" s="2" t="n">
        <f aca="false">輸入!$B$2+(輸入!$B$8+A19*$B$6)/1000</f>
        <v>2.5773967032967</v>
      </c>
      <c r="F19" s="2" t="n">
        <f aca="false">$B$3/E19</f>
        <v>0.840725842251866</v>
      </c>
      <c r="G19" s="2" t="n">
        <f aca="false">輸入!$B$2+(輸入!$B$9+A19*$B$5)/1000</f>
        <v>2.39512747252747</v>
      </c>
      <c r="H19" s="2" t="n">
        <f aca="false">$B$3/G19</f>
        <v>0.904705089416258</v>
      </c>
      <c r="I19" s="2" t="s">
        <v>161</v>
      </c>
    </row>
    <row r="20" customFormat="false" ht="15" hidden="false" customHeight="false" outlineLevel="0" collapsed="false">
      <c r="A20" s="3" t="n">
        <v>1</v>
      </c>
      <c r="B20" s="2" t="n">
        <f aca="false">輸入!$B$2+(輸入!$B$7+A20*$B$5)/1000</f>
        <v>2.38902197802198</v>
      </c>
      <c r="C20" s="2" t="n">
        <f aca="false">$B$3/B20</f>
        <v>0.907017195375659</v>
      </c>
      <c r="D20" s="2" t="n">
        <f aca="false">$B$4/B20</f>
        <v>0.924260868291546</v>
      </c>
      <c r="E20" s="2" t="n">
        <f aca="false">輸入!$B$2+(輸入!$B$8+A20*$B$6)/1000</f>
        <v>2.62413736263736</v>
      </c>
      <c r="F20" s="2" t="n">
        <f aca="false">$B$3/E20</f>
        <v>0.825750985847212</v>
      </c>
      <c r="G20" s="2" t="n">
        <f aca="false">輸入!$B$2+(輸入!$B$9+A20*$B$5)/1000</f>
        <v>2.43182967032967</v>
      </c>
      <c r="H20" s="2" t="n">
        <f aca="false">$B$3/G20</f>
        <v>0.891050899096297</v>
      </c>
      <c r="I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7.15" hidden="false" customHeight="false" outlineLevel="0" collapsed="false">
      <c r="A22" s="4" t="s">
        <v>162</v>
      </c>
      <c r="B22" s="2" t="n">
        <f aca="false">($B$3-$B$7)*1000/$B$5</f>
        <v>0.394755690046517</v>
      </c>
      <c r="C22" s="2"/>
      <c r="D22" s="2"/>
      <c r="E22" s="2"/>
      <c r="F22" s="2"/>
      <c r="G22" s="2"/>
      <c r="H22" s="2"/>
      <c r="I22" s="2"/>
    </row>
    <row r="23" customFormat="false" ht="17.15" hidden="false" customHeight="false" outlineLevel="0" collapsed="false">
      <c r="A23" s="4" t="s">
        <v>163</v>
      </c>
      <c r="B23" s="2" t="n">
        <f aca="false">($B$4-$B$7)*1000/$B$5</f>
        <v>0.506998324124986</v>
      </c>
      <c r="C23" s="2"/>
      <c r="D23" s="2"/>
      <c r="E23" s="2"/>
      <c r="F23" s="2"/>
      <c r="G23" s="2"/>
      <c r="H23" s="2"/>
      <c r="I23" s="2"/>
    </row>
    <row r="24" customFormat="false" ht="17.15" hidden="false" customHeight="false" outlineLevel="0" collapsed="false">
      <c r="A24" s="4" t="s">
        <v>164</v>
      </c>
      <c r="B24" s="2" t="n">
        <f aca="false">($B$3-$B$8)*1000/$B$6</f>
        <v>0.0217225112113516</v>
      </c>
      <c r="C24" s="2"/>
      <c r="D24" s="2"/>
      <c r="E24" s="2"/>
      <c r="F24" s="2"/>
      <c r="G24" s="2"/>
      <c r="H24" s="2"/>
      <c r="I24" s="2"/>
    </row>
    <row r="25" customFormat="false" ht="17.15" hidden="false" customHeight="false" outlineLevel="0" collapsed="false">
      <c r="A25" s="4" t="s">
        <v>165</v>
      </c>
      <c r="B25" s="2" t="n">
        <f aca="false">($B$3-(輸入!$B$2+輸入!$B$9/1000))*1000/$B$5</f>
        <v>0.278120461446858</v>
      </c>
      <c r="C25" s="2"/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7.15" hidden="false" customHeight="false" outlineLevel="0" collapsed="false">
      <c r="A27" s="4" t="s">
        <v>166</v>
      </c>
      <c r="B27" s="2" t="n">
        <f aca="false">C13</f>
        <v>0.999112518807426</v>
      </c>
      <c r="C27" s="2" t="n">
        <f aca="false">C16</f>
        <v>0.958558899603078</v>
      </c>
      <c r="D27" s="2" t="n">
        <f aca="false">C19</f>
        <v>0.921168980687587</v>
      </c>
      <c r="E27" s="2"/>
      <c r="F27" s="2"/>
      <c r="G27" s="2"/>
      <c r="H27" s="2"/>
      <c r="I27" s="2"/>
    </row>
    <row r="28" customFormat="false" ht="17.15" hidden="false" customHeight="false" outlineLevel="0" collapsed="false">
      <c r="A28" s="4" t="s">
        <v>167</v>
      </c>
      <c r="B28" s="2" t="n">
        <f aca="false">F13</f>
        <v>0.92455950428512</v>
      </c>
      <c r="C28" s="2" t="n">
        <f aca="false">F16</f>
        <v>0.880652036767801</v>
      </c>
      <c r="D28" s="2" t="n">
        <f aca="false">F19</f>
        <v>0.840725842251866</v>
      </c>
      <c r="E28" s="2"/>
      <c r="F28" s="2"/>
      <c r="G28" s="2"/>
      <c r="H28" s="2"/>
      <c r="I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</row>
    <row r="30" customFormat="false" ht="17.15" hidden="false" customHeight="false" outlineLevel="0" collapsed="false">
      <c r="A30" s="2" t="s">
        <v>168</v>
      </c>
      <c r="B30" s="2"/>
      <c r="C30" s="2"/>
      <c r="D30" s="2"/>
      <c r="E30" s="2"/>
      <c r="F30" s="2"/>
      <c r="G30" s="2"/>
      <c r="H30" s="2"/>
      <c r="I30" s="2"/>
    </row>
    <row r="31" customFormat="false" ht="95.5" hidden="false" customHeight="false" outlineLevel="0" collapsed="false">
      <c r="A31" s="2" t="s">
        <v>169</v>
      </c>
      <c r="B31" s="2" t="n">
        <f aca="false">輸入!B16/(輸入!B17+輸入!B18)</f>
        <v>0.0332868704100526</v>
      </c>
      <c r="C31" s="2" t="s">
        <v>170</v>
      </c>
      <c r="D31" s="2"/>
      <c r="E31" s="2"/>
      <c r="F31" s="2"/>
      <c r="G31" s="2"/>
      <c r="H31" s="2"/>
      <c r="I31" s="2"/>
    </row>
    <row r="32" customFormat="false" ht="15" hidden="false" customHeight="false" outlineLevel="0" collapsed="false">
      <c r="A32" s="2" t="s">
        <v>171</v>
      </c>
      <c r="B32" s="2" t="n">
        <f aca="false">輸入!B16/輸入!B17</f>
        <v>0.090707575783345</v>
      </c>
      <c r="C32" s="2"/>
      <c r="D32" s="2"/>
      <c r="E32" s="2"/>
      <c r="F32" s="2"/>
      <c r="G32" s="2"/>
      <c r="H32" s="2"/>
      <c r="I32" s="2"/>
    </row>
    <row r="33" customFormat="false" ht="17.15" hidden="false" customHeight="false" outlineLevel="0" collapsed="false">
      <c r="A33" s="2" t="s">
        <v>172</v>
      </c>
      <c r="B33" s="2" t="n">
        <f aca="false">輸入!B19*1000/輸入!B17</f>
        <v>2.09194346650339</v>
      </c>
      <c r="C33" s="2"/>
      <c r="D33" s="2"/>
      <c r="E33" s="2"/>
      <c r="F33" s="2"/>
      <c r="G33" s="2"/>
      <c r="H33" s="2"/>
      <c r="I33" s="2"/>
    </row>
    <row r="34" customFormat="false" ht="17.15" hidden="false" customHeight="false" outlineLevel="0" collapsed="false">
      <c r="A34" s="2" t="s">
        <v>173</v>
      </c>
      <c r="B34" s="2" t="n">
        <f aca="false">輸入!B16*B33/1000</f>
        <v>33.4710954640543</v>
      </c>
      <c r="C34" s="2"/>
      <c r="D34" s="2"/>
      <c r="E34" s="2"/>
      <c r="F34" s="2"/>
      <c r="G34" s="2"/>
      <c r="H34" s="2"/>
      <c r="I34" s="2"/>
    </row>
    <row r="35" customFormat="false" ht="32.8" hidden="false" customHeight="false" outlineLevel="0" collapsed="false">
      <c r="A35" s="4" t="s">
        <v>174</v>
      </c>
      <c r="B35" s="2" t="n">
        <f aca="false">B34/B5</f>
        <v>0.0911964336425923</v>
      </c>
      <c r="C35" s="2"/>
      <c r="D35" s="2"/>
      <c r="E35" s="2"/>
      <c r="F35" s="2"/>
      <c r="G35" s="2"/>
      <c r="H35" s="2"/>
      <c r="I3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8"/>
    <col collapsed="false" customWidth="true" hidden="false" outlineLevel="0" max="5" min="5" style="0" width="50"/>
  </cols>
  <sheetData>
    <row r="1" customFormat="false" ht="32.8" hidden="false" customHeight="false" outlineLevel="0" collapsed="false">
      <c r="A1" s="2" t="s">
        <v>175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7.15" hidden="false" customHeight="false" outlineLevel="0" collapsed="false">
      <c r="A3" s="4" t="s">
        <v>176</v>
      </c>
      <c r="B3" s="2" t="n">
        <f aca="false">(輸入!$B$29*輸入!$B$33+輸入!$B$30*輸入!$B$34+輸入!$B$31*輸入!$B$35+輸入!$B$32*輸入!$B$36)</f>
        <v>115966241659.343</v>
      </c>
      <c r="C3" s="2"/>
      <c r="D3" s="2"/>
      <c r="E3" s="2"/>
    </row>
    <row r="4" customFormat="false" ht="17.15" hidden="false" customHeight="false" outlineLevel="0" collapsed="false">
      <c r="A4" s="2" t="s">
        <v>177</v>
      </c>
      <c r="B4" s="2" t="n">
        <f aca="false">輸入!$B$23*輸入!$B$25*(1-輸入!$B$26)*B3*輸入!$B$27*輸入!$B$28</f>
        <v>20937645324.9462</v>
      </c>
      <c r="C4" s="2"/>
      <c r="D4" s="2"/>
      <c r="E4" s="2"/>
    </row>
    <row r="5" customFormat="false" ht="17.15" hidden="false" customHeight="false" outlineLevel="0" collapsed="false">
      <c r="A5" s="4" t="s">
        <v>178</v>
      </c>
      <c r="B5" s="2" t="n">
        <f aca="false">輸入!$B$38*1000000000*輸入!$B$39*365/1000000*(1-輸入!$B$40)</f>
        <v>2102400000</v>
      </c>
      <c r="C5" s="2"/>
      <c r="D5" s="2"/>
      <c r="E5" s="2"/>
    </row>
    <row r="6" customFormat="false" ht="17.15" hidden="false" customHeight="false" outlineLevel="0" collapsed="false">
      <c r="A6" s="4" t="s">
        <v>179</v>
      </c>
      <c r="B6" s="2" t="n">
        <f aca="false">輸入!$B$37+B5</f>
        <v>9986400000</v>
      </c>
      <c r="C6" s="2"/>
      <c r="D6" s="2"/>
      <c r="E6" s="2"/>
    </row>
    <row r="7" customFormat="false" ht="17.15" hidden="false" customHeight="false" outlineLevel="0" collapsed="false">
      <c r="A7" s="4" t="s">
        <v>180</v>
      </c>
      <c r="B7" s="2" t="n">
        <f aca="false">B4/B6</f>
        <v>2.09661593015964</v>
      </c>
      <c r="C7" s="2"/>
      <c r="D7" s="2"/>
      <c r="E7" s="2"/>
    </row>
    <row r="8" customFormat="false" ht="15" hidden="false" customHeight="false" outlineLevel="0" collapsed="false">
      <c r="A8" s="2"/>
      <c r="B8" s="2"/>
      <c r="C8" s="2"/>
      <c r="D8" s="2"/>
      <c r="E8" s="2"/>
    </row>
    <row r="9" customFormat="false" ht="17.15" hidden="false" customHeight="false" outlineLevel="0" collapsed="false">
      <c r="A9" s="2" t="s">
        <v>181</v>
      </c>
      <c r="B9" s="2"/>
      <c r="C9" s="2"/>
      <c r="D9" s="2"/>
      <c r="E9" s="2"/>
    </row>
    <row r="10" customFormat="false" ht="17.15" hidden="false" customHeight="false" outlineLevel="0" collapsed="false">
      <c r="A10" s="2" t="s">
        <v>182</v>
      </c>
      <c r="B10" s="2" t="n">
        <f aca="false">輸入!$B$38*輸入!$B$39/1000</f>
        <v>14.4</v>
      </c>
      <c r="C10" s="2"/>
      <c r="D10" s="2"/>
      <c r="E10" s="2"/>
    </row>
    <row r="11" customFormat="false" ht="17.15" hidden="false" customHeight="false" outlineLevel="0" collapsed="false">
      <c r="A11" s="4" t="s">
        <v>183</v>
      </c>
      <c r="B11" s="2" t="n">
        <f aca="false">輸入!$B$52/(1-輸入!$B$52)</f>
        <v>0.197604790419162</v>
      </c>
      <c r="C11" s="2"/>
      <c r="D11" s="2"/>
      <c r="E11" s="2"/>
    </row>
    <row r="12" customFormat="false" ht="17.15" hidden="false" customHeight="false" outlineLevel="0" collapsed="false">
      <c r="A12" s="4" t="s">
        <v>184</v>
      </c>
      <c r="B12" s="2" t="n">
        <f aca="false">輸入!$B$51/(1-輸入!$B$51)</f>
        <v>1.72479564032698</v>
      </c>
      <c r="C12" s="2"/>
      <c r="D12" s="2"/>
      <c r="E12" s="2"/>
    </row>
    <row r="13" customFormat="false" ht="17.15" hidden="false" customHeight="false" outlineLevel="0" collapsed="false">
      <c r="A13" s="1"/>
      <c r="B13" s="5" t="s">
        <v>185</v>
      </c>
      <c r="C13" s="5" t="s">
        <v>186</v>
      </c>
      <c r="D13" s="5" t="s">
        <v>187</v>
      </c>
      <c r="E13" s="2"/>
    </row>
    <row r="14" customFormat="false" ht="32.8" hidden="false" customHeight="false" outlineLevel="0" collapsed="false">
      <c r="A14" s="4" t="s">
        <v>188</v>
      </c>
      <c r="B14" s="2" t="n">
        <f aca="false">(1-輸入!$B$53)*$B$11+輸入!$B$53*$B$12</f>
        <v>0.350323875409943</v>
      </c>
      <c r="C14" s="2" t="n">
        <f aca="false">(1-輸入!$B$54)*$B$11+輸入!$B$54*$B$12</f>
        <v>0.503042960400725</v>
      </c>
      <c r="D14" s="2" t="n">
        <f aca="false">(1-輸入!$B$55)*$B$11+輸入!$B$55*$B$12</f>
        <v>0.655762045391506</v>
      </c>
      <c r="E14" s="2" t="s">
        <v>189</v>
      </c>
    </row>
    <row r="15" customFormat="false" ht="17.15" hidden="false" customHeight="false" outlineLevel="0" collapsed="false">
      <c r="A15" s="2" t="s">
        <v>190</v>
      </c>
      <c r="B15" s="2" t="n">
        <f aca="false">$B$10*B14*輸入!$B$57</f>
        <v>5.04466380590318</v>
      </c>
      <c r="C15" s="2" t="n">
        <f aca="false">$B$10*C14*輸入!$B$57</f>
        <v>7.24381862977043</v>
      </c>
      <c r="D15" s="2" t="n">
        <f aca="false">$B$10*D14*輸入!$B$57</f>
        <v>9.44297345363768</v>
      </c>
      <c r="E15" s="2"/>
    </row>
    <row r="16" customFormat="false" ht="17.15" hidden="false" customHeight="false" outlineLevel="0" collapsed="false">
      <c r="A16" s="2" t="s">
        <v>191</v>
      </c>
      <c r="B16" s="2" t="n">
        <f aca="false">B15*輸入!$B$56</f>
        <v>3.53126466413223</v>
      </c>
      <c r="C16" s="2" t="n">
        <f aca="false">C15*輸入!$B$56</f>
        <v>5.0706730408393</v>
      </c>
      <c r="D16" s="2" t="n">
        <f aca="false">D15*輸入!$B$56</f>
        <v>6.61008141754638</v>
      </c>
      <c r="E16" s="2"/>
    </row>
    <row r="17" customFormat="false" ht="17.15" hidden="false" customHeight="false" outlineLevel="0" collapsed="false">
      <c r="A17" s="2" t="s">
        <v>192</v>
      </c>
      <c r="B17" s="2" t="n">
        <f aca="false">B16*輸入!$B$58/輸入!$B$57</f>
        <v>7.06252932826445</v>
      </c>
      <c r="C17" s="2" t="n">
        <f aca="false">C16*輸入!$B$58/輸入!$B$57</f>
        <v>10.1413460816786</v>
      </c>
      <c r="D17" s="2" t="n">
        <f aca="false">D16*輸入!$B$58/輸入!$B$57</f>
        <v>13.2201628350928</v>
      </c>
      <c r="E17" s="2"/>
    </row>
    <row r="18" customFormat="false" ht="17.15" hidden="false" customHeight="false" outlineLevel="0" collapsed="false">
      <c r="A18" s="2" t="s">
        <v>193</v>
      </c>
      <c r="B18" s="2" t="n">
        <f aca="false">$B$4/($B$6+B16*1000000000000*365/1000000)</f>
        <v>1.8569460484333</v>
      </c>
      <c r="C18" s="2" t="n">
        <f aca="false">$B$4/($B$6+C16*1000000000000*365/1000000)</f>
        <v>1.76880115244389</v>
      </c>
      <c r="D18" s="2" t="n">
        <f aca="false">$B$4/($B$6+D16*1000000000000*365/1000000)</f>
        <v>1.68864510932665</v>
      </c>
      <c r="E18" s="2"/>
    </row>
    <row r="19" customFormat="false" ht="17.15" hidden="false" customHeight="false" outlineLevel="0" collapsed="false">
      <c r="A19" s="2" t="s">
        <v>194</v>
      </c>
      <c r="B19" s="2" t="n">
        <f aca="false">$B$4/($B$6+B17*1000000000000*365/1000000)</f>
        <v>1.66644964703585</v>
      </c>
      <c r="C19" s="2" t="n">
        <f aca="false">$B$4/($B$6+C17*1000000000000*365/1000000)</f>
        <v>1.52963607557524</v>
      </c>
      <c r="D19" s="2" t="n">
        <f aca="false">$B$4/($B$6+D17*1000000000000*365/1000000)</f>
        <v>1.41358259409351</v>
      </c>
      <c r="E19" s="2"/>
    </row>
    <row r="20" customFormat="false" ht="17.15" hidden="false" customHeight="false" outlineLevel="0" collapsed="false">
      <c r="A20" s="4" t="s">
        <v>195</v>
      </c>
      <c r="B20" s="2" t="n">
        <f aca="false">$B$4/($B$6+輸入!$B$45*1000000000000*365/1000000)</f>
        <v>1.62226843464841</v>
      </c>
      <c r="C20" s="2"/>
      <c r="D20" s="2"/>
      <c r="E20" s="2"/>
    </row>
    <row r="21" customFormat="false" ht="15" hidden="false" customHeight="false" outlineLevel="0" collapsed="false">
      <c r="A21" s="2"/>
      <c r="B21" s="2"/>
      <c r="C21" s="2"/>
      <c r="D21" s="2"/>
      <c r="E21" s="2"/>
    </row>
    <row r="22" customFormat="false" ht="17.15" hidden="false" customHeight="false" outlineLevel="0" collapsed="false">
      <c r="A22" s="2" t="s">
        <v>196</v>
      </c>
      <c r="B22" s="2"/>
      <c r="C22" s="2"/>
      <c r="D22" s="2"/>
      <c r="E22" s="2"/>
    </row>
    <row r="23" customFormat="false" ht="17.15" hidden="false" customHeight="false" outlineLevel="0" collapsed="false">
      <c r="A23" s="4" t="s">
        <v>197</v>
      </c>
      <c r="B23" s="2" t="n">
        <f aca="false">輸入!$B$41*輸入!$B$59/輸入!$B$43</f>
        <v>3.39285714285714</v>
      </c>
      <c r="C23" s="2"/>
      <c r="D23" s="2"/>
      <c r="E23" s="2"/>
    </row>
    <row r="24" customFormat="false" ht="17.15" hidden="false" customHeight="false" outlineLevel="0" collapsed="false">
      <c r="A24" s="2" t="s">
        <v>198</v>
      </c>
      <c r="B24" s="2" t="n">
        <f aca="false">$B$4/(輸入!$B$37+B23*1000000000*輸入!$B$39*365/1000000*(1-輸入!$B$40))</f>
        <v>2.12232496270705</v>
      </c>
      <c r="C24" s="2"/>
      <c r="D24" s="2"/>
      <c r="E24" s="2"/>
    </row>
    <row r="25" customFormat="false" ht="15" hidden="false" customHeight="false" outlineLevel="0" collapsed="false">
      <c r="A25" s="2"/>
      <c r="B25" s="2"/>
      <c r="C25" s="2"/>
      <c r="D25" s="2"/>
      <c r="E25" s="2"/>
    </row>
    <row r="26" customFormat="false" ht="32.8" hidden="false" customHeight="false" outlineLevel="0" collapsed="false">
      <c r="A26" s="2" t="s">
        <v>199</v>
      </c>
      <c r="B26" s="2"/>
      <c r="C26" s="2"/>
      <c r="D26" s="2"/>
      <c r="E26" s="2"/>
    </row>
    <row r="27" customFormat="false" ht="15" hidden="false" customHeight="false" outlineLevel="0" collapsed="false">
      <c r="A27" s="2"/>
      <c r="B27" s="2"/>
      <c r="C27" s="2"/>
      <c r="D27" s="2"/>
      <c r="E27" s="2"/>
    </row>
    <row r="28" customFormat="false" ht="32.8" hidden="false" customHeight="false" outlineLevel="0" collapsed="false">
      <c r="A28" s="4" t="s">
        <v>200</v>
      </c>
      <c r="B28" s="2"/>
      <c r="C28" s="2"/>
      <c r="D28" s="2"/>
      <c r="E28" s="2"/>
    </row>
    <row r="29" customFormat="false" ht="17.15" hidden="false" customHeight="false" outlineLevel="0" collapsed="false">
      <c r="A29" s="2" t="s">
        <v>201</v>
      </c>
      <c r="B29" s="2" t="n">
        <f aca="false">((輸入!$B$24*輸入!$B$25+(輸入!$B$23-輸入!$B$24)*輸入!$B$47)*(1-輸入!$B$26)*(輸入!$B$33*輸入!$B$29+(輸入!$B$34*輸入!$B$30+輸入!$B$35*輸入!$B$31+輸入!$B$36*輸入!$B$32)*輸入!$B$48)*輸入!$B$27*輸入!$B$28)/(輸入!$B$37*輸入!$B$44+輸入!$B$45*1000000000000*365/1000000+輸入!$B$38*1000000000*輸入!$B$46*365/1000000*(1-輸入!$B$40))</f>
        <v>1.01380164705551</v>
      </c>
      <c r="C29" s="2"/>
      <c r="D29" s="2"/>
      <c r="E29" s="2"/>
    </row>
    <row r="30" customFormat="false" ht="17.15" hidden="false" customHeight="false" outlineLevel="0" collapsed="false">
      <c r="A30" s="4" t="s">
        <v>202</v>
      </c>
      <c r="B30" s="2" t="n">
        <f aca="false">((輸入!$B$24*輸入!$B$25+(輸入!$B$23-輸入!$B$24)*輸入!$B$47)*(1-輸入!$B$26)*(輸入!$B$33*輸入!$B$29+(輸入!$B$34*輸入!$B$30+輸入!$B$35*輸入!$B$31+輸入!$B$36*輸入!$B$32)*輸入!$B$48)*輸入!$B$27*輸入!$B$28)/(輸入!$B$37*輸入!$B$44+$C$16*1000000000000*365/1000000+輸入!$B$38*1000000000*輸入!$B$46*365/1000000*(1-輸入!$B$40))</f>
        <v>1.09083678708576</v>
      </c>
      <c r="C30" s="2"/>
      <c r="D30" s="2"/>
      <c r="E30" s="2"/>
    </row>
    <row r="31" customFormat="false" ht="17.15" hidden="false" customHeight="false" outlineLevel="0" collapsed="false">
      <c r="A31" s="4" t="s">
        <v>203</v>
      </c>
      <c r="B31" s="2" t="n">
        <f aca="false">((輸入!$B$24*輸入!$B$25+(輸入!$B$23-輸入!$B$24)*輸入!$B$47)*(1-輸入!$B$26)*(輸入!$B$33*輸入!$B$29+(輸入!$B$34*輸入!$B$30+輸入!$B$35*輸入!$B$31+輸入!$B$36*輸入!$B$32)*輸入!$B$48)*輸入!$B$27*輸入!$B$28)/(輸入!$B$37*輸入!$B$44+$C$16*1000000000000*365/1000000+$B$23*1000000000*輸入!$B$46*365/1000000*(1-輸入!$B$40))</f>
        <v>1.10508780964242</v>
      </c>
      <c r="C31" s="2"/>
      <c r="D31" s="2"/>
      <c r="E31" s="2"/>
    </row>
    <row r="32" customFormat="false" ht="17.15" hidden="false" customHeight="false" outlineLevel="0" collapsed="false">
      <c r="A32" s="4" t="s">
        <v>204</v>
      </c>
      <c r="B32" s="2" t="n">
        <f aca="false">((輸入!$B$24*輸入!$B$25+(輸入!$B$23-輸入!$B$24)*輸入!$B$47)*(1-輸入!$B$26)*(輸入!$B$33*輸入!$B$29+(輸入!$B$34*輸入!$B$30+輸入!$B$35*輸入!$B$31+輸入!$B$36*輸入!$B$32)*輸入!$B$48)*輸入!$B$27*輸入!$B$28)/(輸入!$B$37*輸入!$B$44+$C$17*1000000000000*365/1000000+$B$23*1000000000*輸入!$B$46*365/1000000*(1-輸入!$B$40))</f>
        <v>0.975148273485937</v>
      </c>
      <c r="C32" s="2"/>
      <c r="D32" s="2"/>
      <c r="E3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30"/>
  </cols>
  <sheetData>
    <row r="1" customFormat="false" ht="17.15" hidden="false" customHeight="false" outlineLevel="0" collapsed="false">
      <c r="A1" s="1" t="s">
        <v>205</v>
      </c>
      <c r="B1" s="1" t="s">
        <v>0</v>
      </c>
      <c r="C1" s="1" t="s">
        <v>206</v>
      </c>
      <c r="D1" s="1" t="s">
        <v>207</v>
      </c>
      <c r="E1" s="1" t="s">
        <v>208</v>
      </c>
      <c r="F1" s="1" t="s">
        <v>209</v>
      </c>
    </row>
    <row r="2" customFormat="false" ht="32.8" hidden="false" customHeight="false" outlineLevel="0" collapsed="false">
      <c r="A2" s="2" t="s">
        <v>210</v>
      </c>
      <c r="B2" s="2" t="s">
        <v>211</v>
      </c>
      <c r="C2" s="4" t="s">
        <v>212</v>
      </c>
      <c r="D2" s="2" t="s">
        <v>213</v>
      </c>
      <c r="E2" s="2" t="s">
        <v>214</v>
      </c>
      <c r="F2" s="4" t="s">
        <v>215</v>
      </c>
    </row>
    <row r="3" customFormat="false" ht="32.8" hidden="false" customHeight="false" outlineLevel="0" collapsed="false">
      <c r="A3" s="2" t="s">
        <v>216</v>
      </c>
      <c r="B3" s="2" t="s">
        <v>217</v>
      </c>
      <c r="C3" s="4" t="s">
        <v>218</v>
      </c>
      <c r="D3" s="2" t="s">
        <v>213</v>
      </c>
      <c r="E3" s="2" t="s">
        <v>219</v>
      </c>
      <c r="F3" s="4" t="s">
        <v>220</v>
      </c>
    </row>
    <row r="4" customFormat="false" ht="32.8" hidden="false" customHeight="false" outlineLevel="0" collapsed="false">
      <c r="A4" s="2" t="s">
        <v>221</v>
      </c>
      <c r="B4" s="2" t="s">
        <v>222</v>
      </c>
      <c r="C4" s="4" t="s">
        <v>223</v>
      </c>
      <c r="D4" s="2" t="s">
        <v>224</v>
      </c>
      <c r="E4" s="2" t="s">
        <v>225</v>
      </c>
      <c r="F4" s="4" t="s">
        <v>226</v>
      </c>
    </row>
    <row r="5" customFormat="false" ht="32.8" hidden="false" customHeight="false" outlineLevel="0" collapsed="false">
      <c r="A5" s="2" t="s">
        <v>227</v>
      </c>
      <c r="B5" s="2" t="s">
        <v>228</v>
      </c>
      <c r="C5" s="4" t="s">
        <v>229</v>
      </c>
      <c r="D5" s="2" t="s">
        <v>230</v>
      </c>
      <c r="E5" s="2" t="s">
        <v>231</v>
      </c>
      <c r="F5" s="4" t="s">
        <v>232</v>
      </c>
    </row>
    <row r="6" customFormat="false" ht="32.8" hidden="false" customHeight="false" outlineLevel="0" collapsed="false">
      <c r="A6" s="2" t="s">
        <v>233</v>
      </c>
      <c r="B6" s="2" t="s">
        <v>234</v>
      </c>
      <c r="C6" s="2" t="s">
        <v>235</v>
      </c>
      <c r="D6" s="2" t="s">
        <v>236</v>
      </c>
      <c r="E6" s="2" t="s">
        <v>219</v>
      </c>
      <c r="F6" s="4" t="s">
        <v>237</v>
      </c>
    </row>
    <row r="7" customFormat="false" ht="32.8" hidden="false" customHeight="false" outlineLevel="0" collapsed="false">
      <c r="A7" s="2" t="s">
        <v>238</v>
      </c>
      <c r="B7" s="2" t="s">
        <v>239</v>
      </c>
      <c r="C7" s="2" t="s">
        <v>240</v>
      </c>
      <c r="D7" s="2" t="s">
        <v>241</v>
      </c>
      <c r="E7" s="2" t="s">
        <v>95</v>
      </c>
      <c r="F7" s="2" t="s">
        <v>242</v>
      </c>
    </row>
    <row r="8" customFormat="false" ht="30.55" hidden="false" customHeight="false" outlineLevel="0" collapsed="false">
      <c r="A8" s="2" t="s">
        <v>243</v>
      </c>
      <c r="B8" s="2" t="s">
        <v>244</v>
      </c>
      <c r="C8" s="4" t="s">
        <v>245</v>
      </c>
      <c r="D8" s="2" t="s">
        <v>246</v>
      </c>
      <c r="E8" s="2" t="s">
        <v>247</v>
      </c>
      <c r="F8" s="4" t="s">
        <v>220</v>
      </c>
    </row>
    <row r="9" customFormat="false" ht="32.8" hidden="false" customHeight="false" outlineLevel="0" collapsed="false">
      <c r="A9" s="2" t="s">
        <v>248</v>
      </c>
      <c r="B9" s="2" t="s">
        <v>249</v>
      </c>
      <c r="C9" s="4" t="s">
        <v>250</v>
      </c>
      <c r="D9" s="2" t="s">
        <v>213</v>
      </c>
      <c r="E9" s="2" t="s">
        <v>251</v>
      </c>
      <c r="F9" s="4" t="s">
        <v>252</v>
      </c>
    </row>
    <row r="10" customFormat="false" ht="32.8" hidden="false" customHeight="false" outlineLevel="0" collapsed="false">
      <c r="A10" s="2" t="s">
        <v>253</v>
      </c>
      <c r="B10" s="2" t="s">
        <v>254</v>
      </c>
      <c r="C10" s="4" t="s">
        <v>255</v>
      </c>
      <c r="D10" s="2" t="s">
        <v>213</v>
      </c>
      <c r="E10" s="4" t="s">
        <v>256</v>
      </c>
      <c r="F10" s="4" t="s">
        <v>257</v>
      </c>
    </row>
    <row r="11" customFormat="false" ht="32.8" hidden="false" customHeight="false" outlineLevel="0" collapsed="false">
      <c r="A11" s="2" t="s">
        <v>258</v>
      </c>
      <c r="B11" s="2" t="s">
        <v>259</v>
      </c>
      <c r="C11" s="2" t="s">
        <v>260</v>
      </c>
      <c r="D11" s="2" t="s">
        <v>261</v>
      </c>
      <c r="E11" s="2" t="s">
        <v>262</v>
      </c>
      <c r="F11" s="2" t="s">
        <v>263</v>
      </c>
    </row>
    <row r="12" customFormat="false" ht="32.8" hidden="false" customHeight="false" outlineLevel="0" collapsed="false">
      <c r="A12" s="2" t="s">
        <v>264</v>
      </c>
      <c r="B12" s="2" t="s">
        <v>265</v>
      </c>
      <c r="C12" s="4" t="s">
        <v>266</v>
      </c>
      <c r="D12" s="2" t="s">
        <v>267</v>
      </c>
      <c r="E12" s="2" t="s">
        <v>219</v>
      </c>
      <c r="F12" s="4" t="s">
        <v>268</v>
      </c>
    </row>
    <row r="13" customFormat="false" ht="17.15" hidden="false" customHeight="false" outlineLevel="0" collapsed="false">
      <c r="A13" s="2" t="s">
        <v>269</v>
      </c>
      <c r="B13" s="2" t="s">
        <v>270</v>
      </c>
      <c r="C13" s="4" t="s">
        <v>271</v>
      </c>
      <c r="D13" s="2" t="s">
        <v>272</v>
      </c>
      <c r="E13" s="2" t="s">
        <v>219</v>
      </c>
      <c r="F13" s="4" t="s">
        <v>273</v>
      </c>
    </row>
    <row r="14" customFormat="false" ht="32.8" hidden="false" customHeight="false" outlineLevel="0" collapsed="false">
      <c r="A14" s="2" t="s">
        <v>274</v>
      </c>
      <c r="B14" s="2" t="s">
        <v>275</v>
      </c>
      <c r="C14" s="4" t="s">
        <v>276</v>
      </c>
      <c r="D14" s="2" t="s">
        <v>277</v>
      </c>
      <c r="E14" s="2" t="s">
        <v>278</v>
      </c>
      <c r="F14" s="4" t="s">
        <v>279</v>
      </c>
    </row>
    <row r="15" customFormat="false" ht="17.15" hidden="false" customHeight="false" outlineLevel="0" collapsed="false">
      <c r="A15" s="2" t="s">
        <v>280</v>
      </c>
      <c r="B15" s="2" t="s">
        <v>281</v>
      </c>
      <c r="C15" s="4" t="s">
        <v>282</v>
      </c>
      <c r="D15" s="2" t="s">
        <v>283</v>
      </c>
      <c r="E15" s="4" t="s">
        <v>284</v>
      </c>
      <c r="F15" s="4" t="s">
        <v>226</v>
      </c>
    </row>
    <row r="16" customFormat="false" ht="32.8" hidden="false" customHeight="false" outlineLevel="0" collapsed="false">
      <c r="A16" s="2" t="s">
        <v>285</v>
      </c>
      <c r="B16" s="2" t="s">
        <v>286</v>
      </c>
      <c r="C16" s="2" t="s">
        <v>287</v>
      </c>
      <c r="D16" s="2" t="s">
        <v>288</v>
      </c>
      <c r="E16" s="2" t="s">
        <v>289</v>
      </c>
      <c r="F16" s="2" t="s">
        <v>290</v>
      </c>
    </row>
    <row r="17" customFormat="false" ht="32.8" hidden="false" customHeight="false" outlineLevel="0" collapsed="false">
      <c r="A17" s="2" t="s">
        <v>291</v>
      </c>
      <c r="B17" s="2" t="s">
        <v>292</v>
      </c>
      <c r="C17" s="2" t="s">
        <v>293</v>
      </c>
      <c r="D17" s="2" t="s">
        <v>294</v>
      </c>
      <c r="E17" s="2" t="s">
        <v>95</v>
      </c>
      <c r="F17" s="2" t="s">
        <v>295</v>
      </c>
    </row>
    <row r="18" customFormat="false" ht="32.8" hidden="false" customHeight="false" outlineLevel="0" collapsed="false">
      <c r="A18" s="2" t="s">
        <v>296</v>
      </c>
      <c r="B18" s="2" t="s">
        <v>297</v>
      </c>
      <c r="C18" s="2" t="s">
        <v>298</v>
      </c>
      <c r="D18" s="2" t="s">
        <v>299</v>
      </c>
      <c r="E18" s="2" t="s">
        <v>300</v>
      </c>
      <c r="F18" s="2" t="s">
        <v>301</v>
      </c>
    </row>
    <row r="19" customFormat="false" ht="48.5" hidden="false" customHeight="false" outlineLevel="0" collapsed="false">
      <c r="A19" s="2" t="s">
        <v>302</v>
      </c>
      <c r="B19" s="2" t="s">
        <v>303</v>
      </c>
      <c r="C19" s="2" t="s">
        <v>304</v>
      </c>
      <c r="D19" s="2" t="s">
        <v>305</v>
      </c>
      <c r="E19" s="2" t="s">
        <v>95</v>
      </c>
      <c r="F19" s="2" t="s">
        <v>306</v>
      </c>
    </row>
    <row r="20" customFormat="false" ht="32.8" hidden="false" customHeight="false" outlineLevel="0" collapsed="false">
      <c r="A20" s="2" t="s">
        <v>307</v>
      </c>
      <c r="B20" s="2" t="s">
        <v>308</v>
      </c>
      <c r="C20" s="4" t="s">
        <v>309</v>
      </c>
      <c r="D20" s="2" t="s">
        <v>310</v>
      </c>
      <c r="E20" s="2" t="s">
        <v>311</v>
      </c>
      <c r="F20" s="4" t="s">
        <v>312</v>
      </c>
    </row>
    <row r="21" customFormat="false" ht="17.15" hidden="false" customHeight="false" outlineLevel="0" collapsed="false">
      <c r="A21" s="2" t="s">
        <v>313</v>
      </c>
      <c r="B21" s="2" t="s">
        <v>314</v>
      </c>
      <c r="C21" s="2" t="s">
        <v>315</v>
      </c>
      <c r="D21" s="2" t="s">
        <v>267</v>
      </c>
      <c r="E21" s="4" t="s">
        <v>284</v>
      </c>
      <c r="F21" s="4" t="s">
        <v>316</v>
      </c>
    </row>
    <row r="22" customFormat="false" ht="17.15" hidden="false" customHeight="false" outlineLevel="0" collapsed="false">
      <c r="A22" s="2" t="s">
        <v>317</v>
      </c>
      <c r="B22" s="2" t="s">
        <v>318</v>
      </c>
      <c r="C22" s="2" t="s">
        <v>319</v>
      </c>
      <c r="D22" s="2" t="s">
        <v>320</v>
      </c>
      <c r="E22" s="4" t="s">
        <v>321</v>
      </c>
      <c r="F22" s="4" t="s">
        <v>322</v>
      </c>
    </row>
    <row r="23" customFormat="false" ht="32.8" hidden="false" customHeight="false" outlineLevel="0" collapsed="false">
      <c r="A23" s="2" t="s">
        <v>323</v>
      </c>
      <c r="B23" s="2" t="s">
        <v>324</v>
      </c>
      <c r="C23" s="4" t="s">
        <v>325</v>
      </c>
      <c r="D23" s="2" t="s">
        <v>326</v>
      </c>
      <c r="E23" s="2" t="s">
        <v>327</v>
      </c>
      <c r="F23" s="4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2026-10-25T01:17:46Z</dcterms:created>
  <dc:creator>openpyxl</dc:creator>
  <dc:description/>
  <dc:language>en-US</dc:language>
  <cp:lastModifiedBy/>
  <dcterms:modified xsi:type="dcterms:W3CDTF">2026-10-25T01:17:46Z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