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建議值" sheetId="1" state="visible" r:id="rId3"/>
    <sheet name="推導" sheetId="2" state="visible" r:id="rId4"/>
    <sheet name="證據" sheetId="3" state="visible" r:id="rId5"/>
    <sheet name="待判斷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<sst xmlns="http://schemas.openxmlformats.org/spreadsheetml/2006/main" count="863" uniqueCount="569">
  <si>
    <r>
      <rPr>
        <b val="true"/>
        <sz val="11"/>
        <rFont val="WenQuanYi Zen Hei"/>
        <family val="2"/>
      </rPr>
      <t xml:space="preserve">建議值 — 擬新增至 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WenQuanYi Zen Hei"/>
        <family val="2"/>
      </rPr>
      <t xml:space="preserve">頁的兩列候選（欄位同 </t>
    </r>
    <r>
      <rPr>
        <b val="true"/>
        <sz val="11"/>
        <rFont val="Cambria"/>
        <family val="0"/>
        <charset val="1"/>
      </rPr>
      <t xml:space="preserve">NonNV A:L</t>
    </r>
    <r>
      <rPr>
        <b val="true"/>
        <sz val="11"/>
        <rFont val="WenQuanYi Zen Hei"/>
        <family val="2"/>
      </rPr>
      <t xml:space="preserve">；全部相對 </t>
    </r>
    <r>
      <rPr>
        <b val="true"/>
        <sz val="11"/>
        <rFont val="Cambria"/>
        <family val="0"/>
        <charset val="1"/>
      </rPr>
      <t xml:space="preserve">VR200 NVL72</t>
    </r>
    <r>
      <rPr>
        <b val="true"/>
        <sz val="11"/>
        <rFont val="WenQuanYi Zen Hei"/>
        <family val="2"/>
      </rPr>
      <t xml:space="preserve">、同層級、同 </t>
    </r>
    <r>
      <rPr>
        <b val="true"/>
        <sz val="11"/>
        <rFont val="Cambria"/>
        <family val="0"/>
        <charset val="1"/>
      </rPr>
      <t xml:space="preserve">SLO</t>
    </r>
    <r>
      <rPr>
        <b val="true"/>
        <sz val="11"/>
        <rFont val="WenQuanYi Zen Hei"/>
        <family val="2"/>
      </rPr>
      <t xml:space="preserve">）｜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WenQuanYi Zen Hei"/>
        <family val="2"/>
      </rPr>
      <t xml:space="preserve">段僅提案，未寫入 </t>
    </r>
    <r>
      <rPr>
        <b val="true"/>
        <sz val="11"/>
        <rFont val="Cambria"/>
        <family val="0"/>
        <charset val="1"/>
      </rPr>
      <t xml:space="preserve">model/</t>
    </r>
  </si>
  <si>
    <r>
      <rPr>
        <sz val="11"/>
        <color theme="1"/>
        <rFont val="WenQuanYi Zen Hei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4–5 </t>
    </r>
    <r>
      <rPr>
        <sz val="11"/>
        <color theme="1"/>
        <rFont val="WenQuanYi Zen Hei"/>
        <family val="2"/>
      </rPr>
      <t xml:space="preserve">列＝推導頁公式的原始結果（公式）；第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WenQuanYi Zen Hei"/>
        <family val="2"/>
      </rPr>
      <t xml:space="preserve">列＝建議輸入值（輸入，已四捨五入至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WenQuanYi Zen Hei"/>
        <family val="2"/>
      </rPr>
      <t xml:space="preserve">；寫入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WenQuanYi Zen Hei"/>
        <family val="2"/>
      </rPr>
      <t xml:space="preserve">時為藍字輸入，標記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WenQuanYi Zen Hei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WenQuanYi Zen Hei"/>
        <family val="2"/>
      </rPr>
      <t xml:space="preserve">的公式：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F÷C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E÷D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G÷B</t>
    </r>
    <r>
      <rPr>
        <sz val="11"/>
        <color theme="1"/>
        <rFont val="WenQuanYi Zen Hei"/>
        <family val="2"/>
      </rPr>
      <t xml:space="preserve">。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</si>
  <si>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</si>
  <si>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</si>
  <si>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</si>
  <si>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</si>
  <si>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</si>
  <si>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</si>
  <si>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</si>
  <si>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1"/>
        <rFont val="WenQuanYi Zen Hei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token </t>
    </r>
    <r>
      <rPr>
        <b val="true"/>
        <sz val="11"/>
        <rFont val="WenQuanYi Zen Hei"/>
        <family val="2"/>
      </rPr>
      <t xml:space="preserve">成本比 基準</t>
    </r>
  </si>
  <si>
    <t xml:space="preserve">最佳角落</t>
  </si>
  <si>
    <t xml:space="preserve">最差角落</t>
  </si>
  <si>
    <t xml:space="preserve">標記</t>
  </si>
  <si>
    <t xml:space="preserve">說明</t>
  </si>
  <si>
    <r>
      <rPr>
        <b val="true"/>
        <sz val="11"/>
        <rFont val="Cambria"/>
        <family val="0"/>
        <charset val="1"/>
      </rPr>
      <t xml:space="preserve">B:G </t>
    </r>
    <r>
      <rPr>
        <b val="true"/>
        <sz val="11"/>
        <rFont val="WenQuanYi Zen Hei"/>
        <family val="2"/>
      </rPr>
      <t xml:space="preserve">屬性</t>
    </r>
  </si>
  <si>
    <r>
      <rPr>
        <sz val="11"/>
        <color theme="1"/>
        <rFont val="WenQuanYi Zen Hei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WenQuanYi Zen Hei"/>
        <family val="2"/>
      </rPr>
      <t xml:space="preserve">（原始公式結果）</t>
    </r>
  </si>
  <si>
    <r>
      <rPr>
        <sz val="11"/>
        <color theme="1"/>
        <rFont val="Calibri"/>
        <family val="2"/>
        <charset val="1"/>
      </rPr>
      <t xml:space="preserve">B:G</t>
    </r>
    <r>
      <rPr>
        <sz val="11"/>
        <color theme="1"/>
        <rFont val="WenQuanYi Zen Hei"/>
        <family val="2"/>
      </rPr>
      <t xml:space="preserve">＝公式（連結 推導 頁）；</t>
    </r>
    <r>
      <rPr>
        <sz val="11"/>
        <color theme="1"/>
        <rFont val="Calibri"/>
        <family val="2"/>
        <charset val="1"/>
      </rPr>
      <t xml:space="preserve">H:J</t>
    </r>
    <r>
      <rPr>
        <sz val="11"/>
        <color theme="1"/>
        <rFont val="WenQuanYi Zen Hei"/>
        <family val="2"/>
      </rPr>
      <t xml:space="preserve">＝公式</t>
    </r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</si>
  <si>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WenQuanYi Zen Hei"/>
        <family val="2"/>
      </rPr>
      <t xml:space="preserve">（原始公式結果）</t>
    </r>
  </si>
  <si>
    <r>
      <rPr>
        <b val="true"/>
        <sz val="11"/>
        <rFont val="WenQuanYi Zen Hei"/>
        <family val="2"/>
      </rPr>
      <t xml:space="preserve">建議輸入值（寫入 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WenQuanYi Zen Hei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10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11 </t>
    </r>
    <r>
      <rPr>
        <b val="true"/>
        <sz val="11"/>
        <rFont val="WenQuanYi Zen Hei"/>
        <family val="2"/>
      </rPr>
      <t xml:space="preserve">列的內容）</t>
    </r>
  </si>
  <si>
    <r>
      <rPr>
        <sz val="11"/>
        <color theme="1"/>
        <rFont val="WenQuanYi Zen Hei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CloudMatrix 384</t>
    </r>
  </si>
  <si>
    <t xml:space="preserve">Assumed</t>
  </si>
  <si>
    <r>
      <rPr>
        <sz val="11"/>
        <color theme="1"/>
        <rFont val="WenQuanYi Zen Hei"/>
        <family val="2"/>
      </rPr>
      <t xml:space="preserve">現行主力＝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CM384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950PR 2026-03 </t>
    </r>
    <r>
      <rPr>
        <sz val="11"/>
        <color theme="1"/>
        <rFont val="WenQuanYi Zen Hei"/>
        <family val="2"/>
      </rPr>
      <t xml:space="preserve">發表、僅 </t>
    </r>
    <r>
      <rPr>
        <sz val="11"/>
        <color theme="1"/>
        <rFont val="Calibri"/>
        <family val="2"/>
        <charset val="1"/>
      </rPr>
      <t xml:space="preserve">prefill </t>
    </r>
    <r>
      <rPr>
        <sz val="11"/>
        <color theme="1"/>
        <rFont val="WenQuanYi Zen Hei"/>
        <family val="2"/>
      </rPr>
      <t xml:space="preserve">型；</t>
    </r>
    <r>
      <rPr>
        <sz val="11"/>
        <color theme="1"/>
        <rFont val="Calibri"/>
        <family val="2"/>
        <charset val="1"/>
      </rPr>
      <t xml:space="preserve">950DT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Atlas 950 SuperPoD </t>
    </r>
    <r>
      <rPr>
        <sz val="11"/>
        <color theme="1"/>
        <rFont val="WenQuanYi Zen Hei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WenQuanYi Zen Hei"/>
        <family val="2"/>
      </rPr>
      <t xml:space="preserve">，尚無出貨證據）。單顆約等於 </t>
    </r>
    <r>
      <rPr>
        <sz val="11"/>
        <color theme="1"/>
        <rFont val="Calibri"/>
        <family val="2"/>
        <charset val="1"/>
      </rPr>
      <t xml:space="preserve">H800</t>
    </r>
    <r>
      <rPr>
        <sz val="11"/>
        <color theme="1"/>
        <rFont val="WenQuanYi Zen Hei"/>
        <family val="2"/>
      </rPr>
      <t xml:space="preserve">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顆數略少於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WenQuanYi Zen Hei"/>
        <family val="2"/>
      </rPr>
      <t xml:space="preserve">且無 </t>
    </r>
    <r>
      <rPr>
        <sz val="11"/>
        <color theme="1"/>
        <rFont val="Calibri"/>
        <family val="2"/>
        <charset val="1"/>
      </rPr>
      <t xml:space="preserve">FP4</t>
    </r>
    <r>
      <rPr>
        <sz val="11"/>
        <color theme="1"/>
        <rFont val="WenQuanYi Zen Hei"/>
        <family val="2"/>
      </rPr>
      <t xml:space="preserve">，故產出比約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WenQuanYi Zen Hei"/>
        <family val="2"/>
      </rPr>
      <t xml:space="preserve">水準（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WenQuanYi Zen Hei"/>
        <family val="2"/>
      </rPr>
      <t xml:space="preserve">）以下；系統價約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2.7 </t>
    </r>
    <r>
      <rPr>
        <sz val="11"/>
        <color theme="1"/>
        <rFont val="WenQuanYi Zen Hei"/>
        <family val="2"/>
      </rPr>
      <t xml:space="preserve">倍但功率約 </t>
    </r>
    <r>
      <rPr>
        <sz val="11"/>
        <color theme="1"/>
        <rFont val="Calibri"/>
        <family val="2"/>
        <charset val="1"/>
      </rPr>
      <t xml:space="preserve">3.9 </t>
    </r>
    <r>
      <rPr>
        <sz val="11"/>
        <color theme="1"/>
        <rFont val="WenQuanYi Zen Hei"/>
        <family val="2"/>
      </rPr>
      <t xml:space="preserve">倍，每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WenQuanYi Zen Hei"/>
        <family val="2"/>
      </rPr>
      <t xml:space="preserve">價格遠低於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。功率 </t>
    </r>
    <r>
      <rPr>
        <sz val="11"/>
        <color theme="1"/>
        <rFont val="Calibri"/>
        <family val="2"/>
        <charset val="1"/>
      </rPr>
      <t xml:space="preserve">559 kW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單一來源。</t>
    </r>
  </si>
  <si>
    <r>
      <rPr>
        <sz val="11"/>
        <color theme="1"/>
        <rFont val="Calibri"/>
        <family val="2"/>
        <charset val="1"/>
      </rPr>
      <t xml:space="preserve">B:G</t>
    </r>
    <r>
      <rPr>
        <sz val="11"/>
        <color theme="1"/>
        <rFont val="WenQuanYi Zen Hei"/>
        <family val="2"/>
      </rPr>
      <t xml:space="preserve">＝輸入（藍字，四捨五入自第 </t>
    </r>
    <r>
      <rPr>
        <sz val="11"/>
        <color theme="1"/>
        <rFont val="Calibri"/>
        <family val="2"/>
        <charset val="1"/>
      </rPr>
      <t xml:space="preserve">4–5 </t>
    </r>
    <r>
      <rPr>
        <sz val="11"/>
        <color theme="1"/>
        <rFont val="WenQuanYi Zen Hei"/>
        <family val="2"/>
      </rPr>
      <t xml:space="preserve">列）；</t>
    </r>
    <r>
      <rPr>
        <sz val="11"/>
        <color theme="1"/>
        <rFont val="Calibri"/>
        <family val="2"/>
        <charset val="1"/>
      </rPr>
      <t xml:space="preserve">H:J</t>
    </r>
    <r>
      <rPr>
        <sz val="11"/>
        <color theme="1"/>
        <rFont val="WenQuanYi Zen Hei"/>
        <family val="2"/>
      </rPr>
      <t xml:space="preserve">＝公式</t>
    </r>
  </si>
  <si>
    <t xml:space="preserve">Microsoft Maia 200</t>
  </si>
  <si>
    <r>
      <rPr>
        <sz val="11"/>
        <color theme="1"/>
        <rFont val="Calibri"/>
        <family val="2"/>
        <charset val="1"/>
      </rPr>
      <t xml:space="preserve">Maia 200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WenQuanYi Zen Hei"/>
        <family val="2"/>
      </rPr>
      <t xml:space="preserve">發表，</t>
    </r>
    <r>
      <rPr>
        <sz val="11"/>
        <color theme="1"/>
        <rFont val="Calibri"/>
        <family val="2"/>
        <charset val="1"/>
      </rPr>
      <t xml:space="preserve">TSMC 3nm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FP4&gt;10 PF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750 W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216 GB HBM3e</t>
    </r>
    <r>
      <rPr>
        <sz val="11"/>
        <color theme="1"/>
        <rFont val="WenQuanYi Zen Hei"/>
        <family val="2"/>
      </rPr>
      <t xml:space="preserve">，機架 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WenQuanYi Zen Hei"/>
        <family val="2"/>
      </rPr>
      <t xml:space="preserve">顆／</t>
    </r>
    <r>
      <rPr>
        <sz val="11"/>
        <color theme="1"/>
        <rFont val="Calibri"/>
        <family val="2"/>
        <charset val="1"/>
      </rPr>
      <t xml:space="preserve">64 kW</t>
    </r>
    <r>
      <rPr>
        <sz val="11"/>
        <color theme="1"/>
        <rFont val="WenQuanYi Zen Hei"/>
        <family val="2"/>
      </rPr>
      <t xml:space="preserve">）。每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WenQuanYi Zen Hei"/>
        <family val="2"/>
      </rPr>
      <t xml:space="preserve">峰值算力約為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0.68</t>
    </r>
    <r>
      <rPr>
        <sz val="11"/>
        <color theme="1"/>
        <rFont val="WenQuanYi Zen Hei"/>
        <family val="2"/>
      </rPr>
      <t xml:space="preserve">；軟體成熟度為主要不確定，無第三方實測；價格無公開資料（全表最弱輸入）；機架 </t>
    </r>
    <r>
      <rPr>
        <sz val="11"/>
        <color theme="1"/>
        <rFont val="Calibri"/>
        <family val="2"/>
        <charset val="1"/>
      </rPr>
      <t xml:space="preserve">64 kW </t>
    </r>
    <r>
      <rPr>
        <sz val="11"/>
        <color theme="1"/>
        <rFont val="WenQuanYi Zen Hei"/>
        <family val="2"/>
      </rPr>
      <t xml:space="preserve">為單一來源鏈。</t>
    </r>
  </si>
  <si>
    <r>
      <rPr>
        <b val="true"/>
        <sz val="11"/>
        <rFont val="WenQuanYi Zen Hei"/>
        <family val="2"/>
      </rPr>
      <t xml:space="preserve">與既有五列的相對位置（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WenQuanYi Zen Hei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5–9 </t>
    </r>
    <r>
      <rPr>
        <b val="true"/>
        <sz val="11"/>
        <rFont val="WenQuanYi Zen Hei"/>
        <family val="2"/>
      </rPr>
      <t xml:space="preserve">列為模型現值；第 </t>
    </r>
    <r>
      <rPr>
        <b val="true"/>
        <sz val="11"/>
        <rFont val="Cambria"/>
        <family val="0"/>
        <charset val="1"/>
      </rPr>
      <t xml:space="preserve">8</t>
    </r>
    <r>
      <rPr>
        <b val="true"/>
        <sz val="11"/>
        <rFont val="WenQuanYi Zen Hei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9 </t>
    </r>
    <r>
      <rPr>
        <b val="true"/>
        <sz val="11"/>
        <rFont val="WenQuanYi Zen Hei"/>
        <family val="2"/>
      </rPr>
      <t xml:space="preserve">列為本提案）</t>
    </r>
  </si>
  <si>
    <r>
      <rPr>
        <b val="true"/>
        <sz val="11"/>
        <rFont val="WenQuanYi Zen Hei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token </t>
    </r>
    <r>
      <rPr>
        <b val="true"/>
        <sz val="11"/>
        <rFont val="WenQuanYi Zen Hei"/>
        <family val="2"/>
      </rPr>
      <t xml:space="preserve">成本比</t>
    </r>
  </si>
  <si>
    <t xml:space="preserve">產出比 區間</t>
  </si>
  <si>
    <t xml:space="preserve">持有比 區間</t>
  </si>
  <si>
    <t xml:space="preserve">備註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</si>
  <si>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WenQuanYi Zen Hei"/>
        <family val="2"/>
      </rPr>
      <t xml:space="preserve">）</t>
    </r>
  </si>
  <si>
    <t xml:space="preserve">0.5–1.0</t>
  </si>
  <si>
    <t xml:space="preserve">0.8–1.0</t>
  </si>
  <si>
    <r>
      <rPr>
        <sz val="11"/>
        <color theme="1"/>
        <rFont val="WenQuanYi Zen Hei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v20.1 NonNV </t>
    </r>
    <r>
      <rPr>
        <sz val="11"/>
        <color theme="1"/>
        <rFont val="WenQuanYi Zen Hei"/>
        <family val="2"/>
      </rPr>
      <t xml:space="preserve">現值（輸入）</t>
    </r>
  </si>
  <si>
    <t xml:space="preserve">Google TPU v7 Ironwood</t>
  </si>
  <si>
    <t xml:space="preserve">0.6–1.1</t>
  </si>
  <si>
    <t xml:space="preserve">0.7–1.0</t>
  </si>
  <si>
    <t xml:space="preserve">AWS Trainium3</t>
  </si>
  <si>
    <t xml:space="preserve">0.3–0.8</t>
  </si>
  <si>
    <t xml:space="preserve">0.6–0.9</t>
  </si>
  <si>
    <t xml:space="preserve">Cerebras WSE-3</t>
  </si>
  <si>
    <t xml:space="preserve">0.2–0.8</t>
  </si>
  <si>
    <t xml:space="preserve">0.8–1.2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</si>
  <si>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WenQuanYi Zen Hei"/>
        <family val="2"/>
      </rPr>
      <t xml:space="preserve">客製</t>
    </r>
  </si>
  <si>
    <t xml:space="preserve">0.4–0.9</t>
  </si>
  <si>
    <r>
      <rPr>
        <sz val="11"/>
        <color theme="1"/>
        <rFont val="WenQuanYi Zen Hei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CM384</t>
    </r>
    <r>
      <rPr>
        <sz val="11"/>
        <color theme="1"/>
        <rFont val="WenQuanYi Zen Hei"/>
        <family val="2"/>
      </rPr>
      <t xml:space="preserve">（提案）</t>
    </r>
  </si>
  <si>
    <t xml:space="preserve">本提案（公式引用上方輸入列）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</si>
  <si>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WenQuanYi Zen Hei"/>
        <family val="2"/>
      </rPr>
      <t xml:space="preserve">（提案）</t>
    </r>
  </si>
  <si>
    <r>
      <rPr>
        <b val="true"/>
        <sz val="11"/>
        <rFont val="WenQuanYi Zen Hei"/>
        <family val="2"/>
      </rPr>
      <t xml:space="preserve">推導 — 昇騰 </t>
    </r>
    <r>
      <rPr>
        <b val="true"/>
        <sz val="11"/>
        <rFont val="Cambria"/>
        <family val="0"/>
        <charset val="1"/>
      </rPr>
      <t xml:space="preserve">910C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CloudMatrix 384 </t>
    </r>
    <r>
      <rPr>
        <b val="true"/>
        <sz val="11"/>
        <rFont val="WenQuanYi Zen Hei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Microsoft Maia 200 </t>
    </r>
    <r>
      <rPr>
        <b val="true"/>
        <sz val="11"/>
        <rFont val="WenQuanYi Zen Hei"/>
        <family val="2"/>
      </rPr>
      <t xml:space="preserve">相對 </t>
    </r>
    <r>
      <rPr>
        <b val="true"/>
        <sz val="11"/>
        <rFont val="Cambria"/>
        <family val="0"/>
        <charset val="1"/>
      </rPr>
      <t xml:space="preserve">VR200 NVL72 </t>
    </r>
    <r>
      <rPr>
        <b val="true"/>
        <sz val="11"/>
        <rFont val="WenQuanYi Zen Hei"/>
        <family val="2"/>
      </rPr>
      <t xml:space="preserve">的每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WenQuanYi Zen Hei"/>
        <family val="2"/>
      </rPr>
      <t xml:space="preserve">產出比與持有成本比</t>
    </r>
  </si>
  <si>
    <r>
      <rPr>
        <sz val="11"/>
        <color theme="1"/>
        <rFont val="WenQuanYi Zen Hei"/>
        <family val="2"/>
      </rPr>
      <t xml:space="preserve">欄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WenQuanYi Zen Hei"/>
        <family val="2"/>
      </rPr>
      <t xml:space="preserve">＝該比值的低端／基準／高端取值（產出列：悲觀→樂觀；持有列：成本低→成本高）。藍字＝輸入；黑字＝公式。標記沿用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分母取自 </t>
    </r>
    <r>
      <rPr>
        <sz val="11"/>
        <color theme="1"/>
        <rFont val="Calibri"/>
        <family val="2"/>
        <charset val="1"/>
      </rPr>
      <t xml:space="preserve">model/20261023_Tokenomics_v20.1.xlsx</t>
    </r>
    <r>
      <rPr>
        <sz val="11"/>
        <color theme="1"/>
        <rFont val="WenQuanYi Zen Hei"/>
        <family val="2"/>
      </rPr>
      <t xml:space="preserve">（基準成本欄 </t>
    </r>
    <r>
      <rPr>
        <sz val="11"/>
        <color theme="1"/>
        <rFont val="Calibri"/>
        <family val="2"/>
        <charset val="1"/>
      </rPr>
      <t xml:space="preserve">Interface!M</t>
    </r>
    <r>
      <rPr>
        <sz val="11"/>
        <color theme="1"/>
        <rFont val="WenQuanYi Zen Hei"/>
        <family val="2"/>
      </rPr>
      <t xml:space="preserve">）。</t>
    </r>
  </si>
  <si>
    <t xml:space="preserve">編號</t>
  </si>
  <si>
    <t xml:space="preserve">物理量</t>
  </si>
  <si>
    <t xml:space="preserve">單位</t>
  </si>
  <si>
    <t xml:space="preserve">低端</t>
  </si>
  <si>
    <t xml:space="preserve">基準</t>
  </si>
  <si>
    <t xml:space="preserve">高端</t>
  </si>
  <si>
    <t xml:space="preserve">來源（證據編號／模型格）</t>
  </si>
  <si>
    <t xml:space="preserve">算式或說明</t>
  </si>
  <si>
    <r>
      <rPr>
        <b val="true"/>
        <sz val="11"/>
        <rFont val="Cambria"/>
        <family val="0"/>
        <charset val="1"/>
      </rPr>
      <t xml:space="preserve">A. VR200 NVL72 </t>
    </r>
    <r>
      <rPr>
        <b val="true"/>
        <sz val="11"/>
        <rFont val="WenQuanYi Zen Hei"/>
        <family val="2"/>
      </rPr>
      <t xml:space="preserve">分母（模型 </t>
    </r>
    <r>
      <rPr>
        <b val="true"/>
        <sz val="11"/>
        <rFont val="Cambria"/>
        <family val="0"/>
        <charset val="1"/>
      </rPr>
      <t xml:space="preserve">v20.1</t>
    </r>
    <r>
      <rPr>
        <b val="true"/>
        <sz val="11"/>
        <rFont val="WenQuanYi Zen Hei"/>
        <family val="2"/>
      </rPr>
      <t xml:space="preserve">；同層級、同 </t>
    </r>
    <r>
      <rPr>
        <b val="true"/>
        <sz val="11"/>
        <rFont val="Cambria"/>
        <family val="0"/>
        <charset val="1"/>
      </rPr>
      <t xml:space="preserve">SLO</t>
    </r>
    <r>
      <rPr>
        <b val="true"/>
        <sz val="11"/>
        <rFont val="WenQuanYi Zen Hei"/>
        <family val="2"/>
      </rPr>
      <t xml:space="preserve">）</t>
    </r>
  </si>
  <si>
    <t xml:space="preserve">A1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</si>
  <si>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計算用峰值（</t>
    </r>
    <r>
      <rPr>
        <sz val="11"/>
        <color theme="1"/>
        <rFont val="Calibri"/>
        <family val="2"/>
        <charset val="1"/>
      </rPr>
      <t xml:space="preserve">NVFP4 dense</t>
    </r>
    <r>
      <rPr>
        <sz val="11"/>
        <color theme="1"/>
        <rFont val="WenQuanYi Zen Hei"/>
        <family val="2"/>
      </rPr>
      <t xml:space="preserve">）</t>
    </r>
  </si>
  <si>
    <t xml:space="preserve">PF</t>
  </si>
  <si>
    <r>
      <rPr>
        <sz val="11"/>
        <color theme="1"/>
        <rFont val="Calibri"/>
        <family val="2"/>
        <charset val="1"/>
      </rPr>
      <t xml:space="preserve">Spec_Rack!F35</t>
    </r>
    <r>
      <rPr>
        <sz val="11"/>
        <color theme="1"/>
        <rFont val="WenQuanYi Zen Hei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F23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</si>
  <si>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規格；模型取 </t>
    </r>
    <r>
      <rPr>
        <sz val="11"/>
        <color theme="1"/>
        <rFont val="Calibri"/>
        <family val="2"/>
        <charset val="1"/>
      </rPr>
      <t xml:space="preserve">dense</t>
    </r>
    <r>
      <rPr>
        <sz val="11"/>
        <color theme="1"/>
        <rFont val="WenQuanYi Zen Hei"/>
        <family val="2"/>
      </rPr>
      <t xml:space="preserve">）</t>
    </r>
  </si>
  <si>
    <t xml:space="preserve">模型『計算用峰值』</t>
  </si>
  <si>
    <t xml:space="preserve">A2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</si>
  <si>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機架配電設計功率（基準）</t>
    </r>
  </si>
  <si>
    <t xml:space="preserve">kW</t>
  </si>
  <si>
    <t xml:space="preserve">Spec_Rack!F9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</si>
  <si>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Schneider </t>
    </r>
    <r>
      <rPr>
        <sz val="11"/>
        <color theme="1"/>
        <rFont val="WenQuanYi Zen Hei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WenQuanYi Zen Hei"/>
        <family val="2"/>
      </rPr>
      <t xml:space="preserve">）</t>
    </r>
  </si>
  <si>
    <t xml:space="preserve">A3</t>
  </si>
  <si>
    <r>
      <rPr>
        <sz val="11"/>
        <color theme="1"/>
        <rFont val="WenQuanYi Zen Hei"/>
        <family val="2"/>
      </rPr>
      <t xml:space="preserve">每機架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封裝數</t>
    </r>
  </si>
  <si>
    <t xml:space="preserve">顆</t>
  </si>
  <si>
    <t xml:space="preserve">Spec_Rack!F6</t>
  </si>
  <si>
    <t xml:space="preserve">Verified</t>
  </si>
  <si>
    <t xml:space="preserve">A4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</si>
  <si>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所攤機架功率</t>
    </r>
  </si>
  <si>
    <t xml:space="preserve">Derived</t>
  </si>
  <si>
    <t xml:space="preserve">227÷72</t>
  </si>
  <si>
    <t xml:space="preserve">A5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</si>
  <si>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WenQuanYi Zen Hei"/>
        <family val="2"/>
      </rPr>
      <t xml:space="preserve">峰值算力</t>
    </r>
  </si>
  <si>
    <t xml:space="preserve">PF/kW</t>
  </si>
  <si>
    <t xml:space="preserve">35÷3.153</t>
  </si>
  <si>
    <t xml:space="preserve">A6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</si>
  <si>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機架數</t>
    </r>
  </si>
  <si>
    <t xml:space="preserve">架</t>
  </si>
  <si>
    <t xml:space="preserve">Interface!M6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</si>
  <si>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（模型）</t>
    </r>
  </si>
  <si>
    <t xml:space="preserve">A7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</si>
  <si>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WenQuanYi Zen Hei"/>
        <family val="2"/>
      </rPr>
      <t xml:space="preserve">數</t>
    </r>
  </si>
  <si>
    <t xml:space="preserve">Interface!M7</t>
  </si>
  <si>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4052×72</t>
    </r>
  </si>
  <si>
    <t xml:space="preserve">A8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</si>
  <si>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機架價格（基準）</t>
    </r>
  </si>
  <si>
    <t xml:space="preserve">$M</t>
  </si>
  <si>
    <t xml:space="preserve">Spec_Rack!F12</t>
  </si>
  <si>
    <t xml:space="preserve">Interested-party</t>
  </si>
  <si>
    <t xml:space="preserve">A9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</si>
  <si>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WenQuanYi Zen Hei"/>
        <family val="2"/>
      </rPr>
      <t xml:space="preserve">設備資本支出（基準）</t>
    </r>
  </si>
  <si>
    <t xml:space="preserve">$B</t>
  </si>
  <si>
    <t xml:space="preserve">Interface!M9</t>
  </si>
  <si>
    <t xml:space="preserve">A10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</si>
  <si>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（機架數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機架價）＝網路等加成</t>
    </r>
  </si>
  <si>
    <t xml:space="preserve">x</t>
  </si>
  <si>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1.10</t>
    </r>
    <r>
      <rPr>
        <sz val="11"/>
        <color theme="1"/>
        <rFont val="WenQuanYi Zen Hei"/>
        <family val="2"/>
      </rPr>
      <t xml:space="preserve">；候選沿用同一加成</t>
    </r>
  </si>
  <si>
    <t xml:space="preserve">A11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</si>
  <si>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廠房資本支出（基準）</t>
    </r>
  </si>
  <si>
    <t xml:space="preserve">Interface!M10</t>
  </si>
  <si>
    <t xml:space="preserve">A12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</si>
  <si>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年持有成本 — 經濟口徑（基準）</t>
    </r>
  </si>
  <si>
    <r>
      <rPr>
        <sz val="11"/>
        <color theme="1"/>
        <rFont val="Calibri"/>
        <family val="2"/>
        <charset val="1"/>
      </rPr>
      <t xml:space="preserve">$B/</t>
    </r>
    <r>
      <rPr>
        <sz val="11"/>
        <color theme="1"/>
        <rFont val="WenQuanYi Zen Hei"/>
        <family val="2"/>
      </rPr>
      <t xml:space="preserve">年</t>
    </r>
  </si>
  <si>
    <t xml:space="preserve">Interface!M13</t>
  </si>
  <si>
    <t xml:space="preserve">分母</t>
  </si>
  <si>
    <t xml:space="preserve">A13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</si>
  <si>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年持有成本 — 會計口徑（基準）</t>
    </r>
  </si>
  <si>
    <t xml:space="preserve">Interface!M12</t>
  </si>
  <si>
    <t xml:space="preserve">A14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</si>
  <si>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WenQuanYi Zen Hei"/>
        <family val="2"/>
      </rPr>
      <t xml:space="preserve">折舊（基準）</t>
    </r>
  </si>
  <si>
    <t xml:space="preserve">Interface!M220</t>
  </si>
  <si>
    <t xml:space="preserve">A15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</si>
  <si>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WenQuanYi Zen Hei"/>
        <family val="2"/>
      </rPr>
      <t xml:space="preserve">維護（基準）</t>
    </r>
  </si>
  <si>
    <t xml:space="preserve">Interface!M224</t>
  </si>
  <si>
    <t xml:space="preserve">A16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</si>
  <si>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財產稅與保險（基準）</t>
    </r>
  </si>
  <si>
    <t xml:space="preserve">Interface!M227</t>
  </si>
  <si>
    <t xml:space="preserve">A17</t>
  </si>
  <si>
    <t xml:space="preserve">資金成本（經濟 − 會計）</t>
  </si>
  <si>
    <t xml:space="preserve">A18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</si>
  <si>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設備占總資本支出比例</t>
    </r>
  </si>
  <si>
    <t xml:space="preserve">—</t>
  </si>
  <si>
    <r>
      <rPr>
        <sz val="11"/>
        <color theme="1"/>
        <rFont val="WenQuanYi Zen Hei"/>
        <family val="2"/>
      </rPr>
      <t xml:space="preserve">資金成本與財產稅依此比例分給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設備（近似）</t>
    </r>
  </si>
  <si>
    <t xml:space="preserve">A19</t>
  </si>
  <si>
    <r>
      <rPr>
        <sz val="11"/>
        <color theme="1"/>
        <rFont val="WenQuanYi Zen Hei"/>
        <family val="2"/>
      </rPr>
      <t xml:space="preserve">持有成本中隨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設備資本支出成比例的部分</t>
    </r>
  </si>
  <si>
    <r>
      <rPr>
        <sz val="11"/>
        <color theme="1"/>
        <rFont val="WenQuanYi Zen Hei"/>
        <family val="2"/>
      </rPr>
      <t xml:space="preserve">折舊＋維護＋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稅險＋資金成本</t>
    </r>
    <r>
      <rPr>
        <sz val="11"/>
        <color theme="1"/>
        <rFont val="Calibri"/>
        <family val="2"/>
        <charset val="1"/>
      </rPr>
      <t xml:space="preserve">)×IT </t>
    </r>
    <r>
      <rPr>
        <sz val="11"/>
        <color theme="1"/>
        <rFont val="WenQuanYi Zen Hei"/>
        <family val="2"/>
      </rPr>
      <t xml:space="preserve">占比；廠房、電費、人員不隨之變</t>
    </r>
  </si>
  <si>
    <t xml:space="preserve">A20</t>
  </si>
  <si>
    <r>
      <rPr>
        <sz val="11"/>
        <color theme="1"/>
        <rFont val="WenQuanYi Zen Hei"/>
        <family val="2"/>
      </rPr>
      <t xml:space="preserve">上述部分占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持有成本比例 </t>
    </r>
    <r>
      <rPr>
        <sz val="11"/>
        <color theme="1"/>
        <rFont val="Calibri"/>
        <family val="2"/>
        <charset val="1"/>
      </rPr>
      <t xml:space="preserve">s</t>
    </r>
  </si>
  <si>
    <r>
      <rPr>
        <sz val="11"/>
        <color theme="1"/>
        <rFont val="WenQuanYi Zen Hei"/>
        <family val="2"/>
      </rPr>
      <t xml:space="preserve">候選持有比 ＝ </t>
    </r>
    <r>
      <rPr>
        <sz val="11"/>
        <color theme="1"/>
        <rFont val="Calibri"/>
        <family val="2"/>
        <charset val="1"/>
      </rPr>
      <t xml:space="preserve">1 − s×(1 − k)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WenQuanYi Zen Hei"/>
        <family val="2"/>
      </rPr>
      <t xml:space="preserve">＝候選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VR200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</si>
  <si>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WenQuanYi Zen Hei"/>
        <family val="2"/>
      </rPr>
      <t xml:space="preserve">還原既有世代：模型實際產出比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WenQuanYi Zen Hei"/>
        <family val="2"/>
      </rPr>
      <t xml:space="preserve">『每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WenQuanYi Zen Hei"/>
        <family val="2"/>
      </rPr>
      <t xml:space="preserve">峰值算力比』＝有效效率因子 </t>
    </r>
    <r>
      <rPr>
        <b val="true"/>
        <sz val="11"/>
        <rFont val="Cambria"/>
        <family val="0"/>
        <charset val="1"/>
      </rPr>
      <t xml:space="preserve">f</t>
    </r>
  </si>
  <si>
    <t xml:space="preserve">B_H_pf</t>
  </si>
  <si>
    <r>
      <rPr>
        <sz val="11"/>
        <color theme="1"/>
        <rFont val="Calibri"/>
        <family val="2"/>
        <charset val="1"/>
      </rPr>
      <t xml:space="preserve">Hopper H100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峰值</t>
    </r>
  </si>
  <si>
    <t xml:space="preserve">Spec_Rack!C35,C9,C6</t>
  </si>
  <si>
    <t xml:space="preserve">B_H_kw</t>
  </si>
  <si>
    <r>
      <rPr>
        <sz val="11"/>
        <color theme="1"/>
        <rFont val="Calibri"/>
        <family val="2"/>
        <charset val="1"/>
      </rPr>
      <t xml:space="preserve">Hopper H100 </t>
    </r>
    <r>
      <rPr>
        <sz val="11"/>
        <color theme="1"/>
        <rFont val="WenQuanYi Zen Hei"/>
        <family val="2"/>
      </rPr>
      <t xml:space="preserve">機架配電功率（基準）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</si>
  <si>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</si>
  <si>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B_H_n</t>
  </si>
  <si>
    <r>
      <rPr>
        <sz val="11"/>
        <color theme="1"/>
        <rFont val="Calibri"/>
        <family val="2"/>
        <charset val="1"/>
      </rPr>
      <t xml:space="preserve">Hopper H100 </t>
    </r>
    <r>
      <rPr>
        <sz val="11"/>
        <color theme="1"/>
        <rFont val="WenQuanYi Zen Hei"/>
        <family val="2"/>
      </rPr>
      <t xml:space="preserve">每機架 </t>
    </r>
    <r>
      <rPr>
        <sz val="11"/>
        <color theme="1"/>
        <rFont val="Calibri"/>
        <family val="2"/>
        <charset val="1"/>
      </rPr>
      <t xml:space="preserve">GPU</t>
    </r>
  </si>
  <si>
    <t xml:space="preserve">B_H_kwg</t>
  </si>
  <si>
    <r>
      <rPr>
        <sz val="11"/>
        <color theme="1"/>
        <rFont val="Calibri"/>
        <family val="2"/>
        <charset val="1"/>
      </rPr>
      <t xml:space="preserve">Hopper H100 </t>
    </r>
    <r>
      <rPr>
        <sz val="11"/>
        <color theme="1"/>
        <rFont val="WenQuanYi Zen Hei"/>
        <family val="2"/>
      </rPr>
      <t xml:space="preserve">每顆所攤功率</t>
    </r>
  </si>
  <si>
    <t xml:space="preserve">B_H_r</t>
  </si>
  <si>
    <r>
      <rPr>
        <sz val="11"/>
        <color theme="1"/>
        <rFont val="Calibri"/>
        <family val="2"/>
        <charset val="1"/>
      </rPr>
      <t xml:space="preserve">Hopper H100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WenQuanYi Zen Hei"/>
        <family val="2"/>
      </rPr>
      <t xml:space="preserve">峰值算力 </t>
    </r>
    <r>
      <rPr>
        <sz val="11"/>
        <color theme="1"/>
        <rFont val="Calibri"/>
        <family val="2"/>
        <charset val="1"/>
      </rPr>
      <t xml:space="preserve">÷ VR200</t>
    </r>
  </si>
  <si>
    <t xml:space="preserve">B_G2_pf</t>
  </si>
  <si>
    <r>
      <rPr>
        <sz val="11"/>
        <color theme="1"/>
        <rFont val="Calibri"/>
        <family val="2"/>
        <charset val="1"/>
      </rPr>
      <t xml:space="preserve">GB200 NVL72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峰值</t>
    </r>
  </si>
  <si>
    <t xml:space="preserve">Spec_Rack!D35,D9,D6</t>
  </si>
  <si>
    <t xml:space="preserve">B_G2_kw</t>
  </si>
  <si>
    <r>
      <rPr>
        <sz val="11"/>
        <color theme="1"/>
        <rFont val="Calibri"/>
        <family val="2"/>
        <charset val="1"/>
      </rPr>
      <t xml:space="preserve">GB200 NVL72 </t>
    </r>
    <r>
      <rPr>
        <sz val="11"/>
        <color theme="1"/>
        <rFont val="WenQuanYi Zen Hei"/>
        <family val="2"/>
      </rPr>
      <t xml:space="preserve">機架配電功率（基準）</t>
    </r>
  </si>
  <si>
    <t xml:space="preserve">B_G2_n</t>
  </si>
  <si>
    <r>
      <rPr>
        <sz val="11"/>
        <color theme="1"/>
        <rFont val="Calibri"/>
        <family val="2"/>
        <charset val="1"/>
      </rPr>
      <t xml:space="preserve">GB200 NVL72 </t>
    </r>
    <r>
      <rPr>
        <sz val="11"/>
        <color theme="1"/>
        <rFont val="WenQuanYi Zen Hei"/>
        <family val="2"/>
      </rPr>
      <t xml:space="preserve">每機架 </t>
    </r>
    <r>
      <rPr>
        <sz val="11"/>
        <color theme="1"/>
        <rFont val="Calibri"/>
        <family val="2"/>
        <charset val="1"/>
      </rPr>
      <t xml:space="preserve">GPU</t>
    </r>
  </si>
  <si>
    <t xml:space="preserve">B_G2_kwg</t>
  </si>
  <si>
    <r>
      <rPr>
        <sz val="11"/>
        <color theme="1"/>
        <rFont val="Calibri"/>
        <family val="2"/>
        <charset val="1"/>
      </rPr>
      <t xml:space="preserve">GB200 NVL72 </t>
    </r>
    <r>
      <rPr>
        <sz val="11"/>
        <color theme="1"/>
        <rFont val="WenQuanYi Zen Hei"/>
        <family val="2"/>
      </rPr>
      <t xml:space="preserve">每顆所攤功率</t>
    </r>
  </si>
  <si>
    <t xml:space="preserve">B_G2_r</t>
  </si>
  <si>
    <r>
      <rPr>
        <sz val="11"/>
        <color theme="1"/>
        <rFont val="Calibri"/>
        <family val="2"/>
        <charset val="1"/>
      </rPr>
      <t xml:space="preserve">GB200 NVL72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WenQuanYi Zen Hei"/>
        <family val="2"/>
      </rPr>
      <t xml:space="preserve">峰值算力 </t>
    </r>
    <r>
      <rPr>
        <sz val="11"/>
        <color theme="1"/>
        <rFont val="Calibri"/>
        <family val="2"/>
        <charset val="1"/>
      </rPr>
      <t xml:space="preserve">÷ VR200</t>
    </r>
  </si>
  <si>
    <t xml:space="preserve">B_G3_pf</t>
  </si>
  <si>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峰值</t>
    </r>
  </si>
  <si>
    <t xml:space="preserve">Spec_Rack!E35,E9,E6</t>
  </si>
  <si>
    <t xml:space="preserve">B_G3_kw</t>
  </si>
  <si>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WenQuanYi Zen Hei"/>
        <family val="2"/>
      </rPr>
      <t xml:space="preserve">機架配電功率（基準）</t>
    </r>
  </si>
  <si>
    <t xml:space="preserve">B_G3_n</t>
  </si>
  <si>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WenQuanYi Zen Hei"/>
        <family val="2"/>
      </rPr>
      <t xml:space="preserve">每機架 </t>
    </r>
    <r>
      <rPr>
        <sz val="11"/>
        <color theme="1"/>
        <rFont val="Calibri"/>
        <family val="2"/>
        <charset val="1"/>
      </rPr>
      <t xml:space="preserve">GPU</t>
    </r>
  </si>
  <si>
    <t xml:space="preserve">B_G3_kwg</t>
  </si>
  <si>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WenQuanYi Zen Hei"/>
        <family val="2"/>
      </rPr>
      <t xml:space="preserve">每顆所攤功率</t>
    </r>
  </si>
  <si>
    <t xml:space="preserve">B_G3_r</t>
  </si>
  <si>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WenQuanYi Zen Hei"/>
        <family val="2"/>
      </rPr>
      <t xml:space="preserve">峰值算力 </t>
    </r>
    <r>
      <rPr>
        <sz val="11"/>
        <color theme="1"/>
        <rFont val="Calibri"/>
        <family val="2"/>
        <charset val="1"/>
      </rPr>
      <t xml:space="preserve">÷ VR200</t>
    </r>
  </si>
  <si>
    <t xml:space="preserve">B_H_v</t>
  </si>
  <si>
    <r>
      <rPr>
        <sz val="11"/>
        <color theme="1"/>
        <rFont val="Calibri"/>
        <family val="2"/>
        <charset val="1"/>
      </rPr>
      <t xml:space="preserve">Hopper VR-eq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Luna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Astra</t>
    </r>
    <r>
      <rPr>
        <sz val="11"/>
        <color theme="1"/>
        <rFont val="WenQuanYi Zen Hei"/>
        <family val="2"/>
      </rPr>
      <t xml:space="preserve">）</t>
    </r>
  </si>
  <si>
    <t xml:space="preserve">Interface IF_VReq_*</t>
  </si>
  <si>
    <r>
      <rPr>
        <sz val="11"/>
        <color theme="1"/>
        <rFont val="WenQuanYi Zen Hei"/>
        <family val="2"/>
      </rPr>
      <t xml:space="preserve">欄 </t>
    </r>
    <r>
      <rPr>
        <sz val="11"/>
        <color theme="1"/>
        <rFont val="Calibri"/>
        <family val="2"/>
        <charset val="1"/>
      </rPr>
      <t xml:space="preserve">D/E/F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Luna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Astra</t>
    </r>
    <r>
      <rPr>
        <sz val="11"/>
        <color theme="1"/>
        <rFont val="WenQuanYi Zen Hei"/>
        <family val="2"/>
      </rPr>
      <t xml:space="preserve">（此行不是低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基準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高）</t>
    </r>
  </si>
  <si>
    <t xml:space="preserve">B_H_vm</t>
  </si>
  <si>
    <r>
      <rPr>
        <sz val="11"/>
        <color theme="1"/>
        <rFont val="Calibri"/>
        <family val="2"/>
        <charset val="1"/>
      </rPr>
      <t xml:space="preserve">Hopper VR-eq </t>
    </r>
    <r>
      <rPr>
        <sz val="11"/>
        <color theme="1"/>
        <rFont val="WenQuanYi Zen Hei"/>
        <family val="2"/>
      </rPr>
      <t xml:space="preserve">三層平均</t>
    </r>
  </si>
  <si>
    <t xml:space="preserve">B_H_f</t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</si>
  <si>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WenQuanYi Zen Hei"/>
        <family val="2"/>
      </rPr>
      <t xml:space="preserve">有效效率因子 </t>
    </r>
    <r>
      <rPr>
        <sz val="11"/>
        <color theme="1"/>
        <rFont val="Calibri"/>
        <family val="2"/>
        <charset val="1"/>
      </rPr>
      <t xml:space="preserve">f</t>
    </r>
  </si>
  <si>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WenQuanYi Zen Hei"/>
        <family val="2"/>
      </rPr>
      <t xml:space="preserve">＝實際產出比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峰值</t>
    </r>
    <r>
      <rPr>
        <sz val="11"/>
        <color theme="1"/>
        <rFont val="Calibri"/>
        <family val="2"/>
        <charset val="1"/>
      </rPr>
      <t xml:space="preserve">/kW </t>
    </r>
    <r>
      <rPr>
        <sz val="11"/>
        <color theme="1"/>
        <rFont val="WenQuanYi Zen Hei"/>
        <family val="2"/>
      </rPr>
      <t xml:space="preserve">比；涵蓋延遲、批次、記憶體、</t>
    </r>
    <r>
      <rPr>
        <sz val="11"/>
        <color theme="1"/>
        <rFont val="Calibri"/>
        <family val="2"/>
        <charset val="1"/>
      </rPr>
      <t xml:space="preserve">EP </t>
    </r>
    <r>
      <rPr>
        <sz val="11"/>
        <color theme="1"/>
        <rFont val="WenQuanYi Zen Hei"/>
        <family val="2"/>
      </rPr>
      <t xml:space="preserve">通訊、利用率</t>
    </r>
  </si>
  <si>
    <t xml:space="preserve">B_G2_v</t>
  </si>
  <si>
    <r>
      <rPr>
        <sz val="11"/>
        <color theme="1"/>
        <rFont val="Calibri"/>
        <family val="2"/>
        <charset val="1"/>
      </rPr>
      <t xml:space="preserve">GB200 VR-eq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Luna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Astra</t>
    </r>
    <r>
      <rPr>
        <sz val="11"/>
        <color theme="1"/>
        <rFont val="WenQuanYi Zen Hei"/>
        <family val="2"/>
      </rPr>
      <t xml:space="preserve">）</t>
    </r>
  </si>
  <si>
    <t xml:space="preserve">B_G2_vm</t>
  </si>
  <si>
    <r>
      <rPr>
        <sz val="11"/>
        <color theme="1"/>
        <rFont val="Calibri"/>
        <family val="2"/>
        <charset val="1"/>
      </rPr>
      <t xml:space="preserve">GB200 VR-eq </t>
    </r>
    <r>
      <rPr>
        <sz val="11"/>
        <color theme="1"/>
        <rFont val="WenQuanYi Zen Hei"/>
        <family val="2"/>
      </rPr>
      <t xml:space="preserve">三層平均</t>
    </r>
  </si>
  <si>
    <t xml:space="preserve">B_G2_f</t>
  </si>
  <si>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WenQuanYi Zen Hei"/>
        <family val="2"/>
      </rPr>
      <t xml:space="preserve">有效效率因子 </t>
    </r>
    <r>
      <rPr>
        <sz val="11"/>
        <color theme="1"/>
        <rFont val="Calibri"/>
        <family val="2"/>
        <charset val="1"/>
      </rPr>
      <t xml:space="preserve">f</t>
    </r>
  </si>
  <si>
    <t xml:space="preserve">B_G3_v</t>
  </si>
  <si>
    <r>
      <rPr>
        <sz val="11"/>
        <color theme="1"/>
        <rFont val="Calibri"/>
        <family val="2"/>
        <charset val="1"/>
      </rPr>
      <t xml:space="preserve">GB300 VR-eq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Luna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Astra</t>
    </r>
    <r>
      <rPr>
        <sz val="11"/>
        <color theme="1"/>
        <rFont val="WenQuanYi Zen Hei"/>
        <family val="2"/>
      </rPr>
      <t xml:space="preserve">）</t>
    </r>
  </si>
  <si>
    <t xml:space="preserve">B_G3_vm</t>
  </si>
  <si>
    <r>
      <rPr>
        <sz val="11"/>
        <color theme="1"/>
        <rFont val="Calibri"/>
        <family val="2"/>
        <charset val="1"/>
      </rPr>
      <t xml:space="preserve">GB300 VR-eq </t>
    </r>
    <r>
      <rPr>
        <sz val="11"/>
        <color theme="1"/>
        <rFont val="WenQuanYi Zen Hei"/>
        <family val="2"/>
      </rPr>
      <t xml:space="preserve">三層平均</t>
    </r>
  </si>
  <si>
    <t xml:space="preserve">B_G3_f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</si>
  <si>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有效效率因子 </t>
    </r>
    <r>
      <rPr>
        <sz val="11"/>
        <color theme="1"/>
        <rFont val="Calibri"/>
        <family val="2"/>
        <charset val="1"/>
      </rPr>
      <t xml:space="preserve">f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</si>
  <si>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WenQuanYi Zen Hei"/>
        <family val="2"/>
      </rPr>
      <t xml:space="preserve">華為昇騰 </t>
    </r>
    <r>
      <rPr>
        <b val="true"/>
        <sz val="11"/>
        <rFont val="Cambria"/>
        <family val="0"/>
        <charset val="1"/>
      </rPr>
      <t xml:space="preserve">910C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CloudMatrix 384</t>
    </r>
    <r>
      <rPr>
        <b val="true"/>
        <sz val="11"/>
        <rFont val="WenQuanYi Zen Hei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CM384</t>
    </r>
    <r>
      <rPr>
        <b val="true"/>
        <sz val="11"/>
        <rFont val="WenQuanYi Zen Hei"/>
        <family val="2"/>
      </rPr>
      <t xml:space="preserve">）</t>
    </r>
  </si>
  <si>
    <t xml:space="preserve">C1</t>
  </si>
  <si>
    <r>
      <rPr>
        <sz val="11"/>
        <color theme="1"/>
        <rFont val="WenQuanYi Zen Hei"/>
        <family val="2"/>
      </rPr>
      <t xml:space="preserve">每顆（雙 </t>
    </r>
    <r>
      <rPr>
        <sz val="11"/>
        <color theme="1"/>
        <rFont val="Calibri"/>
        <family val="2"/>
        <charset val="1"/>
      </rPr>
      <t xml:space="preserve">die </t>
    </r>
    <r>
      <rPr>
        <sz val="11"/>
        <color theme="1"/>
        <rFont val="WenQuanYi Zen Hei"/>
        <family val="2"/>
      </rPr>
      <t xml:space="preserve">封裝）</t>
    </r>
    <r>
      <rPr>
        <sz val="11"/>
        <color theme="1"/>
        <rFont val="Calibri"/>
        <family val="2"/>
        <charset val="1"/>
      </rPr>
      <t xml:space="preserve">INT8 dense </t>
    </r>
    <r>
      <rPr>
        <sz val="11"/>
        <color theme="1"/>
        <rFont val="WenQuanYi Zen Hei"/>
        <family val="2"/>
      </rPr>
      <t xml:space="preserve">峰值</t>
    </r>
  </si>
  <si>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6,688 tok/s ÷ 4.45 tok/s/TFLOPS</t>
    </r>
    <r>
      <rPr>
        <sz val="11"/>
        <color theme="1"/>
        <rFont val="WenQuanYi Zen Hei"/>
        <family val="2"/>
      </rPr>
      <t xml:space="preserve">；亦 </t>
    </r>
    <r>
      <rPr>
        <sz val="11"/>
        <color theme="1"/>
        <rFont val="Calibri"/>
        <family val="2"/>
        <charset val="1"/>
      </rPr>
      <t xml:space="preserve">1,943÷1.29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1,506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</si>
  <si>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（華為論文換算；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</si>
  <si>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910C </t>
    </r>
    <r>
      <rPr>
        <sz val="11"/>
        <color theme="1"/>
        <rFont val="WenQuanYi Zen Hei"/>
        <family val="2"/>
      </rPr>
      <t xml:space="preserve">無原生 </t>
    </r>
    <r>
      <rPr>
        <sz val="11"/>
        <color theme="1"/>
        <rFont val="Calibri"/>
        <family val="2"/>
        <charset val="1"/>
      </rPr>
      <t xml:space="preserve">FP8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INT8≈BF16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BF16 752 TF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E10</t>
    </r>
    <r>
      <rPr>
        <sz val="11"/>
        <color theme="1"/>
        <rFont val="WenQuanYi Zen Hei"/>
        <family val="2"/>
      </rPr>
      <t xml:space="preserve">）。與 </t>
    </r>
    <r>
      <rPr>
        <sz val="11"/>
        <color theme="1"/>
        <rFont val="Calibri"/>
        <family val="2"/>
        <charset val="1"/>
      </rPr>
      <t xml:space="preserve">FP8 </t>
    </r>
    <r>
      <rPr>
        <sz val="11"/>
        <color theme="1"/>
        <rFont val="WenQuanYi Zen Hei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1 B/param </t>
    </r>
    <r>
      <rPr>
        <sz val="11"/>
        <color theme="1"/>
        <rFont val="WenQuanYi Zen Hei"/>
        <family val="2"/>
      </rPr>
      <t xml:space="preserve">同位元組，故與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NVFP4 </t>
    </r>
    <r>
      <rPr>
        <sz val="11"/>
        <color theme="1"/>
        <rFont val="WenQuanYi Zen Hei"/>
        <family val="2"/>
      </rPr>
      <t xml:space="preserve">比較時不另加精度修正</t>
    </r>
  </si>
  <si>
    <t xml:space="preserve">C2</t>
  </si>
  <si>
    <r>
      <rPr>
        <sz val="11"/>
        <color theme="1"/>
        <rFont val="Calibri"/>
        <family val="2"/>
        <charset val="1"/>
      </rPr>
      <t xml:space="preserve">CM384 </t>
    </r>
    <r>
      <rPr>
        <sz val="11"/>
        <color theme="1"/>
        <rFont val="WenQuanYi Zen Hei"/>
        <family val="2"/>
      </rPr>
      <t xml:space="preserve">系統功率</t>
    </r>
  </si>
  <si>
    <r>
      <rPr>
        <sz val="11"/>
        <color theme="1"/>
        <rFont val="Calibri"/>
        <family val="2"/>
        <charset val="1"/>
      </rPr>
      <t xml:space="preserve">E12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559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估，單一來源；</t>
    </r>
    <r>
      <rPr>
        <sz val="11"/>
        <color theme="1"/>
        <rFont val="Calibri"/>
        <family val="2"/>
        <charset val="1"/>
      </rPr>
      <t xml:space="preserve">350–500</t>
    </r>
    <r>
      <rPr>
        <sz val="11"/>
        <color theme="1"/>
        <rFont val="WenQuanYi Zen Hei"/>
        <family val="2"/>
      </rPr>
      <t xml:space="preserve">：中文分析，取中點 </t>
    </r>
    <r>
      <rPr>
        <sz val="11"/>
        <color theme="1"/>
        <rFont val="Calibri"/>
        <family val="2"/>
        <charset val="1"/>
      </rPr>
      <t xml:space="preserve">425 </t>
    </r>
    <r>
      <rPr>
        <sz val="11"/>
        <color theme="1"/>
        <rFont val="WenQuanYi Zen Hei"/>
        <family val="2"/>
      </rPr>
      <t xml:space="preserve">作樂觀端）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</si>
  <si>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（區間）／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WenQuanYi Zen Hei"/>
        <family val="2"/>
      </rPr>
      <t xml:space="preserve">缺</t>
    </r>
  </si>
  <si>
    <r>
      <rPr>
        <sz val="11"/>
        <color theme="1"/>
        <rFont val="WenQuanYi Zen Hei"/>
        <family val="2"/>
      </rPr>
      <t xml:space="preserve">華為未公布整機功率。口徑提醒（查核）：</t>
    </r>
    <r>
      <rPr>
        <sz val="11"/>
        <color theme="1"/>
        <rFont val="Calibri"/>
        <family val="2"/>
        <charset val="1"/>
      </rPr>
      <t xml:space="preserve">559 kW </t>
    </r>
    <r>
      <rPr>
        <sz val="11"/>
        <color theme="1"/>
        <rFont val="WenQuanYi Zen Hei"/>
        <family val="2"/>
      </rPr>
      <t xml:space="preserve">搭配 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145 kW</t>
    </r>
    <r>
      <rPr>
        <sz val="11"/>
        <color theme="1"/>
        <rFont val="WenQuanYi Zen Hei"/>
        <family val="2"/>
      </rPr>
      <t xml:space="preserve">；模型分母的 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132 kW</t>
    </r>
    <r>
      <rPr>
        <sz val="11"/>
        <color theme="1"/>
        <rFont val="WenQuanYi Zen Hei"/>
        <family val="2"/>
      </rPr>
      <t xml:space="preserve">。按模型口徑縮放（</t>
    </r>
    <r>
      <rPr>
        <sz val="11"/>
        <color theme="1"/>
        <rFont val="Calibri"/>
        <family val="2"/>
        <charset val="1"/>
      </rPr>
      <t xml:space="preserve">559×132/145≈509 kW</t>
    </r>
    <r>
      <rPr>
        <sz val="11"/>
        <color theme="1"/>
        <rFont val="WenQuanYi Zen Hei"/>
        <family val="2"/>
      </rPr>
      <t xml:space="preserve">）產出比基準約 </t>
    </r>
    <r>
      <rPr>
        <sz val="11"/>
        <color theme="1"/>
        <rFont val="Calibri"/>
        <family val="2"/>
        <charset val="1"/>
      </rPr>
      <t xml:space="preserve">0.088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The Register </t>
    </r>
    <r>
      <rPr>
        <sz val="11"/>
        <color theme="1"/>
        <rFont val="WenQuanYi Zen Hei"/>
        <family val="2"/>
      </rPr>
      <t xml:space="preserve">轉述約 </t>
    </r>
    <r>
      <rPr>
        <sz val="11"/>
        <color theme="1"/>
        <rFont val="Calibri"/>
        <family val="2"/>
        <charset val="1"/>
      </rPr>
      <t xml:space="preserve">600 kW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GB200 120 kW</t>
    </r>
    <r>
      <rPr>
        <sz val="11"/>
        <color theme="1"/>
        <rFont val="WenQuanYi Zen Hei"/>
        <family val="2"/>
      </rPr>
      <t xml:space="preserve">）則約 </t>
    </r>
    <r>
      <rPr>
        <sz val="11"/>
        <color theme="1"/>
        <rFont val="Calibri"/>
        <family val="2"/>
        <charset val="1"/>
      </rPr>
      <t xml:space="preserve">0.075</t>
    </r>
    <r>
      <rPr>
        <sz val="11"/>
        <color theme="1"/>
        <rFont val="WenQuanYi Zen Hei"/>
        <family val="2"/>
      </rPr>
      <t xml:space="preserve">。故基準 </t>
    </r>
    <r>
      <rPr>
        <sz val="11"/>
        <color theme="1"/>
        <rFont val="Calibri"/>
        <family val="2"/>
        <charset val="1"/>
      </rPr>
      <t xml:space="preserve">0.08 </t>
    </r>
    <r>
      <rPr>
        <sz val="11"/>
        <color theme="1"/>
        <rFont val="WenQuanYi Zen Hei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0.075–0.09</t>
    </r>
  </si>
  <si>
    <t xml:space="preserve">C3</t>
  </si>
  <si>
    <r>
      <rPr>
        <sz val="11"/>
        <color theme="1"/>
        <rFont val="WenQuanYi Zen Hei"/>
        <family val="2"/>
      </rPr>
      <t xml:space="preserve">每系統 </t>
    </r>
    <r>
      <rPr>
        <sz val="11"/>
        <color theme="1"/>
        <rFont val="Calibri"/>
        <family val="2"/>
        <charset val="1"/>
      </rPr>
      <t xml:space="preserve">NPU </t>
    </r>
    <r>
      <rPr>
        <sz val="11"/>
        <color theme="1"/>
        <rFont val="WenQuanYi Zen Hei"/>
        <family val="2"/>
      </rPr>
      <t xml:space="preserve">數</t>
    </r>
  </si>
  <si>
    <t xml:space="preserve">E11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</si>
  <si>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WenQuanYi Zen Hei"/>
        <family val="2"/>
      </rPr>
      <t xml:space="preserve">（官方規格）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</si>
  <si>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WenQuanYi Zen Hei"/>
        <family val="2"/>
      </rPr>
      <t xml:space="preserve">運算機架＋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互連機架</t>
    </r>
  </si>
  <si>
    <t xml:space="preserve">C4</t>
  </si>
  <si>
    <t xml:space="preserve">每顆所攤系統功率</t>
  </si>
  <si>
    <t xml:space="preserve">C5</t>
  </si>
  <si>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WenQuanYi Zen Hei"/>
        <family val="2"/>
      </rPr>
      <t xml:space="preserve">峰值算力</t>
    </r>
  </si>
  <si>
    <t xml:space="preserve">C6</t>
  </si>
  <si>
    <r>
      <rPr>
        <sz val="11"/>
        <color theme="1"/>
        <rFont val="Calibri"/>
        <family val="2"/>
        <charset val="1"/>
      </rPr>
      <t xml:space="preserve">÷ VR200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WenQuanYi Zen Hei"/>
        <family val="2"/>
      </rPr>
      <t xml:space="preserve">峰值算力</t>
    </r>
  </si>
  <si>
    <t xml:space="preserve">C7</t>
  </si>
  <si>
    <r>
      <rPr>
        <sz val="11"/>
        <color theme="1"/>
        <rFont val="WenQuanYi Zen Hei"/>
        <family val="2"/>
      </rPr>
      <t xml:space="preserve">有效效率因子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WenQuanYi Zen Hei"/>
        <family val="2"/>
      </rPr>
      <t xml:space="preserve">（昇騰）</t>
    </r>
  </si>
  <si>
    <r>
      <rPr>
        <sz val="11"/>
        <color theme="1"/>
        <rFont val="WenQuanYi Zen Hei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0.50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，介於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頻寬</t>
    </r>
    <r>
      <rPr>
        <sz val="11"/>
        <color theme="1"/>
        <rFont val="Calibri"/>
        <family val="2"/>
        <charset val="1"/>
      </rPr>
      <t xml:space="preserve">/kW </t>
    </r>
    <r>
      <rPr>
        <sz val="11"/>
        <color theme="1"/>
        <rFont val="WenQuanYi Zen Hei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0.31 </t>
    </r>
    <r>
      <rPr>
        <sz val="11"/>
        <color theme="1"/>
        <rFont val="WenQuanYi Zen Hei"/>
        <family val="2"/>
      </rPr>
      <t xml:space="preserve">之間；基準＝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WenQuanYi Zen Hei"/>
        <family val="2"/>
      </rPr>
      <t xml:space="preserve">還原值（</t>
    </r>
    <r>
      <rPr>
        <sz val="11"/>
        <color theme="1"/>
        <rFont val="Calibri"/>
        <family val="2"/>
        <charset val="1"/>
      </rPr>
      <t xml:space="preserve">E13 </t>
    </r>
    <r>
      <rPr>
        <sz val="11"/>
        <color theme="1"/>
        <rFont val="WenQuanYi Zen Hei"/>
        <family val="2"/>
      </rPr>
      <t xml:space="preserve">顯示單顆 ≈</t>
    </r>
    <r>
      <rPr>
        <sz val="11"/>
        <color theme="1"/>
        <rFont val="Calibri"/>
        <family val="2"/>
        <charset val="1"/>
      </rPr>
      <t xml:space="preserve">H800</t>
    </r>
    <r>
      <rPr>
        <sz val="11"/>
        <color theme="1"/>
        <rFont val="WenQuanYi Zen Hei"/>
        <family val="2"/>
      </rPr>
      <t xml:space="preserve">）；高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WenQuanYi Zen Hei"/>
        <family val="2"/>
      </rPr>
      <t xml:space="preserve">：≈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WenQuanYi Zen Hei"/>
        <family val="2"/>
      </rPr>
      <t xml:space="preserve">還原值，亦≈基準</t>
    </r>
    <r>
      <rPr>
        <sz val="11"/>
        <color theme="1"/>
        <rFont val="Calibri"/>
        <family val="2"/>
        <charset val="1"/>
      </rPr>
      <t xml:space="preserve">×1.28</t>
    </r>
    <r>
      <rPr>
        <sz val="11"/>
        <color theme="1"/>
        <rFont val="WenQuanYi Zen Hei"/>
        <family val="2"/>
      </rPr>
      <t xml:space="preserve">（論文 </t>
    </r>
    <r>
      <rPr>
        <sz val="11"/>
        <color theme="1"/>
        <rFont val="Calibri"/>
        <family val="2"/>
        <charset val="1"/>
      </rPr>
      <t xml:space="preserve">tok/s/TFLOPS 1.29 vs H800 0.93–1.17 </t>
    </r>
    <r>
      <rPr>
        <sz val="11"/>
        <color theme="1"/>
        <rFont val="WenQuanYi Zen Hei"/>
        <family val="2"/>
      </rPr>
      <t xml:space="preserve">的上緣）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</si>
  <si>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（區間）／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WenQuanYi Zen Hei"/>
        <family val="2"/>
      </rPr>
      <t xml:space="preserve">）</t>
    </r>
  </si>
  <si>
    <t xml:space="preserve">C8</t>
  </si>
  <si>
    <r>
      <rPr>
        <sz val="11"/>
        <color theme="1"/>
        <rFont val="WenQuanYi Zen Hei"/>
        <family val="2"/>
      </rPr>
      <t xml:space="preserve">方法一：產出比 ＝ </t>
    </r>
    <r>
      <rPr>
        <sz val="11"/>
        <color theme="1"/>
        <rFont val="Calibri"/>
        <family val="2"/>
        <charset val="1"/>
      </rPr>
      <t xml:space="preserve">C6 × C7</t>
    </r>
  </si>
  <si>
    <t xml:space="preserve">C9</t>
  </si>
  <si>
    <r>
      <rPr>
        <sz val="11"/>
        <color theme="1"/>
        <rFont val="Calibri"/>
        <family val="2"/>
        <charset val="1"/>
      </rPr>
      <t xml:space="preserve">Hopper VR-eq </t>
    </r>
    <r>
      <rPr>
        <sz val="11"/>
        <color theme="1"/>
        <rFont val="WenQuanYi Zen Hei"/>
        <family val="2"/>
      </rPr>
      <t xml:space="preserve">三層平均（模型）</t>
    </r>
  </si>
  <si>
    <t xml:space="preserve">模型</t>
  </si>
  <si>
    <t xml:space="preserve">C10</t>
  </si>
  <si>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WenQuanYi Zen Hei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Hopper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Hopper 1.28 kW/</t>
    </r>
    <r>
      <rPr>
        <sz val="11"/>
        <color theme="1"/>
        <rFont val="WenQuanYi Zen Hei"/>
        <family val="2"/>
      </rPr>
      <t xml:space="preserve">顆）</t>
    </r>
  </si>
  <si>
    <t xml:space="preserve">C11</t>
  </si>
  <si>
    <r>
      <rPr>
        <sz val="11"/>
        <color theme="1"/>
        <rFont val="WenQuanYi Zen Hei"/>
        <family val="2"/>
      </rPr>
      <t xml:space="preserve">每顆實測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H800/H100</t>
    </r>
  </si>
  <si>
    <r>
      <rPr>
        <sz val="11"/>
        <color theme="1"/>
        <rFont val="WenQuanYi Zen Hei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DeepSeek </t>
    </r>
    <r>
      <rPr>
        <sz val="11"/>
        <color theme="1"/>
        <rFont val="WenQuanYi Zen Hei"/>
        <family val="2"/>
      </rPr>
      <t xml:space="preserve">自測 </t>
    </r>
    <r>
      <rPr>
        <sz val="11"/>
        <color theme="1"/>
        <rFont val="Calibri"/>
        <family val="2"/>
        <charset val="1"/>
      </rPr>
      <t xml:space="preserve">910C≈H100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2025-02</t>
    </r>
    <r>
      <rPr>
        <sz val="11"/>
        <color theme="1"/>
        <rFont val="WenQuanYi Zen Hei"/>
        <family val="2"/>
      </rPr>
      <t xml:space="preserve">，媒體轉述）；基準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E13 decode 1,943 vs H800 1,850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prefill 6,688 vs 4,026–7,839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0.85–1.66</t>
    </r>
    <r>
      <rPr>
        <sz val="11"/>
        <color theme="1"/>
        <rFont val="WenQuanYi Zen Hei"/>
        <family val="2"/>
      </rPr>
      <t xml:space="preserve">；高 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</si>
  <si>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（華為論文）＋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DeepSeek </t>
    </r>
    <r>
      <rPr>
        <sz val="11"/>
        <color theme="1"/>
        <rFont val="WenQuanYi Zen Hei"/>
        <family val="2"/>
      </rPr>
      <t xml:space="preserve">自測）</t>
    </r>
  </si>
  <si>
    <r>
      <rPr>
        <sz val="11"/>
        <color theme="1"/>
        <rFont val="WenQuanYi Zen Hei"/>
        <family val="2"/>
      </rPr>
      <t xml:space="preserve">兩個自述互相衝突（</t>
    </r>
    <r>
      <rPr>
        <sz val="11"/>
        <color theme="1"/>
        <rFont val="Calibri"/>
        <family val="2"/>
        <charset val="1"/>
      </rPr>
      <t xml:space="preserve">0.6 vs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）：論文較新且含 </t>
    </r>
    <r>
      <rPr>
        <sz val="11"/>
        <color theme="1"/>
        <rFont val="Calibri"/>
        <family val="2"/>
        <charset val="1"/>
      </rPr>
      <t xml:space="preserve">CM384 </t>
    </r>
    <r>
      <rPr>
        <sz val="11"/>
        <color theme="1"/>
        <rFont val="WenQuanYi Zen Hei"/>
        <family val="2"/>
      </rPr>
      <t xml:space="preserve">專屬最佳化。</t>
    </r>
    <r>
      <rPr>
        <sz val="11"/>
        <color theme="1"/>
        <rFont val="Calibri"/>
        <family val="2"/>
        <charset val="1"/>
      </rPr>
      <t xml:space="preserve">6,688 </t>
    </r>
    <r>
      <rPr>
        <sz val="11"/>
        <color theme="1"/>
        <rFont val="WenQuanYi Zen Hei"/>
        <family val="2"/>
      </rPr>
      <t xml:space="preserve">為論文「完美 </t>
    </r>
    <r>
      <rPr>
        <sz val="11"/>
        <color theme="1"/>
        <rFont val="Calibri"/>
        <family val="2"/>
        <charset val="1"/>
      </rPr>
      <t xml:space="preserve">EPLB</t>
    </r>
    <r>
      <rPr>
        <sz val="11"/>
        <color theme="1"/>
        <rFont val="WenQuanYi Zen Hei"/>
        <family val="2"/>
      </rPr>
      <t xml:space="preserve">」投射值，預設實測 </t>
    </r>
    <r>
      <rPr>
        <sz val="11"/>
        <color theme="1"/>
        <rFont val="Calibri"/>
        <family val="2"/>
        <charset val="1"/>
      </rPr>
      <t xml:space="preserve">5,655</t>
    </r>
    <r>
      <rPr>
        <sz val="11"/>
        <color theme="1"/>
        <rFont val="WenQuanYi Zen Hei"/>
        <family val="2"/>
      </rPr>
      <t xml:space="preserve">（對 </t>
    </r>
    <r>
      <rPr>
        <sz val="11"/>
        <color theme="1"/>
        <rFont val="Calibri"/>
        <family val="2"/>
        <charset val="1"/>
      </rPr>
      <t xml:space="preserve">H800 blog 4,026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WenQuanYi Zen Hei"/>
        <family val="2"/>
      </rPr>
      <t xml:space="preserve">）；論文對照批次 </t>
    </r>
    <r>
      <rPr>
        <sz val="11"/>
        <color theme="1"/>
        <rFont val="Calibri"/>
        <family val="2"/>
        <charset val="1"/>
      </rPr>
      <t xml:space="preserve">H100/H800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128</t>
    </r>
    <r>
      <rPr>
        <sz val="11"/>
        <color theme="1"/>
        <rFont val="WenQuanYi Zen Hei"/>
        <family val="2"/>
      </rPr>
      <t xml:space="preserve">、昇騰為 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WenQuanYi Zen Hei"/>
        <family val="2"/>
      </rPr>
      <t xml:space="preserve">，非完全同條件；「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WenQuanYi Zen Hei"/>
        <family val="2"/>
      </rPr>
      <t xml:space="preserve">」僅溯源到單一 </t>
    </r>
    <r>
      <rPr>
        <sz val="11"/>
        <color theme="1"/>
        <rFont val="Calibri"/>
        <family val="2"/>
        <charset val="1"/>
      </rPr>
      <t xml:space="preserve">WeChat </t>
    </r>
    <r>
      <rPr>
        <sz val="11"/>
        <color theme="1"/>
        <rFont val="WenQuanYi Zen Hei"/>
        <family val="2"/>
      </rPr>
      <t xml:space="preserve">轉述鏈</t>
    </r>
  </si>
  <si>
    <t xml:space="preserve">C12</t>
  </si>
  <si>
    <r>
      <rPr>
        <sz val="11"/>
        <color theme="1"/>
        <rFont val="WenQuanYi Zen Hei"/>
        <family val="2"/>
      </rPr>
      <t xml:space="preserve">方法二：產出比 ＝ </t>
    </r>
    <r>
      <rPr>
        <sz val="11"/>
        <color theme="1"/>
        <rFont val="Calibri"/>
        <family val="2"/>
        <charset val="1"/>
      </rPr>
      <t xml:space="preserve">C9 × C10 × C11</t>
    </r>
  </si>
  <si>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WenQuanYi Zen Hei"/>
        <family val="2"/>
      </rPr>
      <t xml:space="preserve">實測錨定。查核提醒：與方法一同源（皆乘模型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WenQuanYi Zen Hei"/>
        <family val="2"/>
      </rPr>
      <t xml:space="preserve">還原值與同一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WenQuanYi Zen Hei"/>
        <family val="2"/>
      </rPr>
      <t xml:space="preserve">密度比，差別僅在乘數 </t>
    </r>
    <r>
      <rPr>
        <sz val="11"/>
        <color theme="1"/>
        <rFont val="Calibri"/>
        <family val="2"/>
        <charset val="1"/>
      </rPr>
      <t xml:space="preserve">0.76 </t>
    </r>
    <r>
      <rPr>
        <sz val="11"/>
        <color theme="1"/>
        <rFont val="WenQuanYi Zen Hei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），平均不是獨立交叉驗證</t>
    </r>
  </si>
  <si>
    <t xml:space="preserve">C13</t>
  </si>
  <si>
    <r>
      <rPr>
        <sz val="11"/>
        <color theme="1"/>
        <rFont val="WenQuanYi Zen Hei"/>
        <family val="2"/>
      </rPr>
      <t xml:space="preserve">昇騰 </t>
    </r>
    <r>
      <rPr>
        <sz val="11"/>
        <color theme="1"/>
        <rFont val="Calibri"/>
        <family val="2"/>
        <charset val="1"/>
      </rPr>
      <t xml:space="preserve">910C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產出比（原始）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</si>
  <si>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</si>
  <si>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低＝兩法低端取小；基準＝兩法平均；高＝兩法高端取大。兩法同源（見 </t>
    </r>
    <r>
      <rPr>
        <sz val="11"/>
        <color theme="1"/>
        <rFont val="Calibri"/>
        <family val="2"/>
        <charset val="1"/>
      </rPr>
      <t xml:space="preserve">C12</t>
    </r>
    <r>
      <rPr>
        <sz val="11"/>
        <color theme="1"/>
        <rFont val="WenQuanYi Zen Hei"/>
        <family val="2"/>
      </rPr>
      <t xml:space="preserve">），實質為 </t>
    </r>
    <r>
      <rPr>
        <sz val="11"/>
        <color theme="1"/>
        <rFont val="Calibri"/>
        <family val="2"/>
        <charset val="1"/>
      </rPr>
      <t xml:space="preserve">Hopper×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顆數比 </t>
    </r>
    <r>
      <rPr>
        <sz val="11"/>
        <color theme="1"/>
        <rFont val="Calibri"/>
        <family val="2"/>
        <charset val="1"/>
      </rPr>
      <t xml:space="preserve">0.88×(0.76–1.0)</t>
    </r>
  </si>
  <si>
    <t xml:space="preserve">C14</t>
  </si>
  <si>
    <r>
      <rPr>
        <sz val="11"/>
        <color theme="1"/>
        <rFont val="Calibri"/>
        <family val="2"/>
        <charset val="1"/>
      </rPr>
      <t xml:space="preserve">CM384 </t>
    </r>
    <r>
      <rPr>
        <sz val="11"/>
        <color theme="1"/>
        <rFont val="WenQuanYi Zen Hei"/>
        <family val="2"/>
      </rPr>
      <t xml:space="preserve">系統價格</t>
    </r>
  </si>
  <si>
    <r>
      <rPr>
        <sz val="11"/>
        <color theme="1"/>
        <rFont val="Calibri"/>
        <family val="2"/>
        <charset val="1"/>
      </rPr>
      <t xml:space="preserve">E16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WenQuanYi Zen Hei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WenQuanYi Zen Hei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¥60M≈$8.2M</t>
    </r>
    <r>
      <rPr>
        <sz val="11"/>
        <color theme="1"/>
        <rFont val="WenQuanYi Zen Hei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$3M </t>
    </r>
    <r>
      <rPr>
        <sz val="11"/>
        <color theme="1"/>
        <rFont val="WenQuanYi Zen Hei"/>
        <family val="2"/>
      </rPr>
      <t xml:space="preserve">相比）；</t>
    </r>
    <r>
      <rPr>
        <sz val="11"/>
        <color theme="1"/>
        <rFont val="Calibri"/>
        <family val="2"/>
        <charset val="1"/>
      </rPr>
      <t xml:space="preserve">E17</t>
    </r>
    <r>
      <rPr>
        <sz val="11"/>
        <color theme="1"/>
        <rFont val="WenQuanYi Zen Hei"/>
        <family val="2"/>
      </rPr>
      <t xml:space="preserve">（單顆 </t>
    </r>
    <r>
      <rPr>
        <sz val="11"/>
        <color theme="1"/>
        <rFont val="Calibri"/>
        <family val="2"/>
        <charset val="1"/>
      </rPr>
      <t xml:space="preserve">¥18–20 </t>
    </r>
    <r>
      <rPr>
        <sz val="11"/>
        <color theme="1"/>
        <rFont val="WenQuanYi Zen Hei"/>
        <family val="2"/>
      </rPr>
      <t xml:space="preserve">萬→</t>
    </r>
    <r>
      <rPr>
        <sz val="11"/>
        <color theme="1"/>
        <rFont val="Calibri"/>
        <family val="2"/>
        <charset val="1"/>
      </rPr>
      <t xml:space="preserve">384 </t>
    </r>
    <r>
      <rPr>
        <sz val="11"/>
        <color theme="1"/>
        <rFont val="WenQuanYi Zen Hei"/>
        <family val="2"/>
      </rPr>
      <t xml:space="preserve">顆 ≈</t>
    </r>
    <r>
      <rPr>
        <sz val="11"/>
        <color theme="1"/>
        <rFont val="Calibri"/>
        <family val="2"/>
        <charset val="1"/>
      </rPr>
      <t xml:space="preserve">$10M</t>
    </r>
    <r>
      <rPr>
        <sz val="11"/>
        <color theme="1"/>
        <rFont val="WenQuanYi Zen Hei"/>
        <family val="2"/>
      </rPr>
      <t xml:space="preserve">）；低 </t>
    </r>
    <r>
      <rPr>
        <sz val="11"/>
        <color theme="1"/>
        <rFont val="Calibri"/>
        <family val="2"/>
        <charset val="1"/>
      </rPr>
      <t xml:space="preserve">6.0</t>
    </r>
    <r>
      <rPr>
        <sz val="11"/>
        <color theme="1"/>
        <rFont val="WenQuanYi Zen Hei"/>
        <family val="2"/>
      </rPr>
      <t xml:space="preserve">／高 </t>
    </r>
    <r>
      <rPr>
        <sz val="11"/>
        <color theme="1"/>
        <rFont val="Calibri"/>
        <family val="2"/>
        <charset val="1"/>
      </rPr>
      <t xml:space="preserve">12.0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</si>
  <si>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（分析師報價）／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</si>
  <si>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WenQuanYi Zen Hei"/>
        <family val="2"/>
      </rPr>
      <t xml:space="preserve">中國市場價；非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WenQuanYi Zen Hei"/>
        <family val="2"/>
      </rPr>
      <t xml:space="preserve">全球口徑</t>
    </r>
  </si>
  <si>
    <t xml:space="preserve">C15</t>
  </si>
  <si>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系統數（以基準功率 </t>
    </r>
    <r>
      <rPr>
        <sz val="11"/>
        <color theme="1"/>
        <rFont val="Calibri"/>
        <family val="2"/>
        <charset val="1"/>
      </rPr>
      <t xml:space="preserve">559 kW</t>
    </r>
    <r>
      <rPr>
        <sz val="11"/>
        <color theme="1"/>
        <rFont val="WenQuanYi Zen Hei"/>
        <family val="2"/>
      </rPr>
      <t xml:space="preserve">）</t>
    </r>
  </si>
  <si>
    <t xml:space="preserve">套</t>
  </si>
  <si>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同樣：每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機架功率容量相同（含同一 </t>
    </r>
    <r>
      <rPr>
        <sz val="11"/>
        <color theme="1"/>
        <rFont val="Calibri"/>
        <family val="2"/>
        <charset val="1"/>
      </rPr>
      <t xml:space="preserve">1.087 </t>
    </r>
    <r>
      <rPr>
        <sz val="11"/>
        <color theme="1"/>
        <rFont val="WenQuanYi Zen Hei"/>
        <family val="2"/>
      </rPr>
      <t xml:space="preserve">機房加成）</t>
    </r>
  </si>
  <si>
    <t xml:space="preserve">C16</t>
  </si>
  <si>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WenQuanYi Zen Hei"/>
        <family val="2"/>
      </rPr>
      <t xml:space="preserve">設備資本支出</t>
    </r>
  </si>
  <si>
    <t xml:space="preserve">C17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</si>
  <si>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WenQuanYi Zen Hei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÷ VR200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WenQuanYi Zen Hei"/>
        <family val="2"/>
      </rPr>
      <t xml:space="preserve">資本支出</t>
    </r>
  </si>
  <si>
    <t xml:space="preserve">C18</t>
  </si>
  <si>
    <r>
      <rPr>
        <sz val="11"/>
        <color theme="1"/>
        <rFont val="WenQuanYi Zen Hei"/>
        <family val="2"/>
      </rPr>
      <t xml:space="preserve">昇騰 </t>
    </r>
    <r>
      <rPr>
        <sz val="11"/>
        <color theme="1"/>
        <rFont val="Calibri"/>
        <family val="2"/>
        <charset val="1"/>
      </rPr>
      <t xml:space="preserve">910C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持有成本比（原始）</t>
    </r>
  </si>
  <si>
    <t xml:space="preserve">C19</t>
  </si>
  <si>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</si>
  <si>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291,744</t>
    </r>
  </si>
  <si>
    <t xml:space="preserve">D. Microsoft Maia 200</t>
  </si>
  <si>
    <t xml:space="preserve">D1</t>
  </si>
  <si>
    <r>
      <rPr>
        <sz val="11"/>
        <color theme="1"/>
        <rFont val="WenQuanYi Zen Hei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FP4 </t>
    </r>
    <r>
      <rPr>
        <sz val="11"/>
        <color theme="1"/>
        <rFont val="WenQuanYi Zen Hei"/>
        <family val="2"/>
      </rPr>
      <t xml:space="preserve">峰值</t>
    </r>
  </si>
  <si>
    <r>
      <rPr>
        <sz val="11"/>
        <color theme="1"/>
        <rFont val="Calibri"/>
        <family val="2"/>
        <charset val="1"/>
      </rPr>
      <t xml:space="preserve">E01</t>
    </r>
    <r>
      <rPr>
        <sz val="11"/>
        <color theme="1"/>
        <rFont val="WenQuanYi Zen Hei"/>
        <family val="2"/>
      </rPr>
      <t xml:space="preserve">（『</t>
    </r>
    <r>
      <rPr>
        <sz val="11"/>
        <color theme="1"/>
        <rFont val="Calibri"/>
        <family val="2"/>
        <charset val="1"/>
      </rPr>
      <t xml:space="preserve">over 10 PFLOPS</t>
    </r>
    <r>
      <rPr>
        <sz val="11"/>
        <color theme="1"/>
        <rFont val="WenQuanYi Zen Hei"/>
        <family val="2"/>
      </rPr>
      <t xml:space="preserve">』；是否 </t>
    </r>
    <r>
      <rPr>
        <sz val="11"/>
        <color theme="1"/>
        <rFont val="Calibri"/>
        <family val="2"/>
        <charset val="1"/>
      </rPr>
      <t xml:space="preserve">dense </t>
    </r>
    <r>
      <rPr>
        <sz val="11"/>
        <color theme="1"/>
        <rFont val="WenQuanYi Zen Hei"/>
        <family val="2"/>
      </rPr>
      <t xml:space="preserve">微軟未註明）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</si>
  <si>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</si>
  <si>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FP8 &gt;5 PF</t>
    </r>
    <r>
      <rPr>
        <sz val="11"/>
        <color theme="1"/>
        <rFont val="WenQuanYi Zen Hei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比較用 </t>
    </r>
    <r>
      <rPr>
        <sz val="11"/>
        <color theme="1"/>
        <rFont val="Calibri"/>
        <family val="2"/>
        <charset val="1"/>
      </rPr>
      <t xml:space="preserve">FP4 </t>
    </r>
    <r>
      <rPr>
        <sz val="11"/>
        <color theme="1"/>
        <rFont val="WenQuanYi Zen Hei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NVFP4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FP8 </t>
    </r>
    <r>
      <rPr>
        <sz val="11"/>
        <color theme="1"/>
        <rFont val="WenQuanYi Zen Hei"/>
        <family val="2"/>
      </rPr>
      <t xml:space="preserve">比值相同（皆 </t>
    </r>
    <r>
      <rPr>
        <sz val="11"/>
        <color theme="1"/>
        <rFont val="Calibri"/>
        <family val="2"/>
        <charset val="1"/>
      </rPr>
      <t xml:space="preserve">1:2</t>
    </r>
    <r>
      <rPr>
        <sz val="11"/>
        <color theme="1"/>
        <rFont val="WenQuanYi Zen Hei"/>
        <family val="2"/>
      </rPr>
      <t xml:space="preserve">）</t>
    </r>
  </si>
  <si>
    <t xml:space="preserve">D2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</si>
  <si>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WenQuanYi Zen Hei"/>
        <family val="2"/>
      </rPr>
      <t xml:space="preserve">機架功率</t>
    </r>
  </si>
  <si>
    <r>
      <rPr>
        <sz val="11"/>
        <color theme="1"/>
        <rFont val="Calibri"/>
        <family val="2"/>
        <charset val="1"/>
      </rPr>
      <t xml:space="preserve">E03</t>
    </r>
    <r>
      <rPr>
        <sz val="11"/>
        <color theme="1"/>
        <rFont val="WenQuanYi Zen Hei"/>
        <family val="2"/>
      </rPr>
      <t xml:space="preserve">（單一來源；</t>
    </r>
    <r>
      <rPr>
        <sz val="11"/>
        <color theme="1"/>
        <rFont val="Calibri"/>
        <family val="2"/>
        <charset val="1"/>
      </rPr>
      <t xml:space="preserve">64 kW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WenQuanYi Zen Hei"/>
        <family val="2"/>
      </rPr>
      <t xml:space="preserve">報導中的對照值）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</si>
  <si>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±15%</t>
    </r>
    <r>
      <rPr>
        <sz val="11"/>
        <color theme="1"/>
        <rFont val="WenQuanYi Zen Hei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</si>
  <si>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低端含 </t>
    </r>
    <r>
      <rPr>
        <sz val="11"/>
        <color theme="1"/>
        <rFont val="Calibri"/>
        <family val="2"/>
        <charset val="1"/>
      </rPr>
      <t xml:space="preserve">15% </t>
    </r>
    <r>
      <rPr>
        <sz val="11"/>
        <color theme="1"/>
        <rFont val="WenQuanYi Zen Hei"/>
        <family val="2"/>
      </rPr>
      <t xml:space="preserve">不確定；高端−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64 kW </t>
    </r>
    <r>
      <rPr>
        <sz val="11"/>
        <color theme="1"/>
        <rFont val="WenQuanYi Zen Hei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StorageReview</t>
    </r>
    <r>
      <rPr>
        <sz val="11"/>
        <color theme="1"/>
        <rFont val="WenQuanYi Zen Hei"/>
        <family val="2"/>
      </rPr>
      <t xml:space="preserve">（轉述微軟 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WenQuanYi Zen Hei"/>
        <family val="2"/>
      </rPr>
      <t xml:space="preserve">發表）一條來源鏈，是否含冷卻／配電未知（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167 kW </t>
    </r>
    <r>
      <rPr>
        <sz val="11"/>
        <color theme="1"/>
        <rFont val="WenQuanYi Zen Hei"/>
        <family val="2"/>
      </rPr>
      <t xml:space="preserve">明說含）。旁證：機架功率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TDP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64÷(48×0.75)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1.78</t>
    </r>
    <r>
      <rPr>
        <sz val="11"/>
        <color theme="1"/>
        <rFont val="WenQuanYi Zen Hei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227÷(72×1.8)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1.75 </t>
    </r>
    <r>
      <rPr>
        <sz val="11"/>
        <color theme="1"/>
        <rFont val="WenQuanYi Zen Hei"/>
        <family val="2"/>
      </rPr>
      <t xml:space="preserve">一致</t>
    </r>
  </si>
  <si>
    <t xml:space="preserve">D3</t>
  </si>
  <si>
    <t xml:space="preserve">每機架晶片數</t>
  </si>
  <si>
    <r>
      <rPr>
        <sz val="11"/>
        <color theme="1"/>
        <rFont val="Calibri"/>
        <family val="2"/>
        <charset val="1"/>
      </rPr>
      <t xml:space="preserve">E03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StorageReview </t>
    </r>
    <r>
      <rPr>
        <sz val="11"/>
        <color theme="1"/>
        <rFont val="WenQuanYi Zen Hei"/>
        <family val="2"/>
      </rPr>
      <t xml:space="preserve">規格表直接列 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WenQuanYi Zen Hei"/>
        <family val="2"/>
      </rPr>
      <t xml:space="preserve">顆；與 </t>
    </r>
    <r>
      <rPr>
        <sz val="11"/>
        <color theme="1"/>
        <rFont val="Calibri"/>
        <family val="2"/>
        <charset val="1"/>
      </rPr>
      <t xml:space="preserve">HBM 10.4 TB÷216 GB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341 TB/s÷7.1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485 POPS÷10 </t>
    </r>
    <r>
      <rPr>
        <sz val="11"/>
        <color theme="1"/>
        <rFont val="WenQuanYi Zen Hei"/>
        <family val="2"/>
      </rPr>
      <t xml:space="preserve">吻合；微軟論文 </t>
    </r>
    <r>
      <rPr>
        <sz val="11"/>
        <color theme="1"/>
        <rFont val="Calibri"/>
        <family val="2"/>
        <charset val="1"/>
      </rPr>
      <t xml:space="preserve">arXiv 2608.24664 </t>
    </r>
    <r>
      <rPr>
        <sz val="11"/>
        <color theme="1"/>
        <rFont val="WenQuanYi Zen Hei"/>
        <family val="2"/>
      </rPr>
      <t xml:space="preserve">亦寫 </t>
    </r>
    <r>
      <rPr>
        <sz val="11"/>
        <color theme="1"/>
        <rFont val="Calibri"/>
        <family val="2"/>
        <charset val="1"/>
      </rPr>
      <t xml:space="preserve">48 SoC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WenQuanYi Zen Hei"/>
        <family val="2"/>
      </rPr>
      <t xml:space="preserve">托盤，據查核員）</t>
    </r>
  </si>
  <si>
    <r>
      <rPr>
        <sz val="11"/>
        <color theme="1"/>
        <rFont val="WenQuanYi Zen Hei"/>
        <family val="2"/>
      </rPr>
      <t xml:space="preserve">報導未直接寫 </t>
    </r>
    <r>
      <rPr>
        <sz val="11"/>
        <color theme="1"/>
        <rFont val="Calibri"/>
        <family val="2"/>
        <charset val="1"/>
      </rPr>
      <t xml:space="preserve">48</t>
    </r>
    <r>
      <rPr>
        <sz val="11"/>
        <color theme="1"/>
        <rFont val="WenQuanYi Zen Hei"/>
        <family val="2"/>
      </rPr>
      <t xml:space="preserve">，由三個總量交叉得出</t>
    </r>
  </si>
  <si>
    <t xml:space="preserve">D4</t>
  </si>
  <si>
    <t xml:space="preserve">每顆所攤機架功率</t>
  </si>
  <si>
    <t xml:space="preserve">D5</t>
  </si>
  <si>
    <t xml:space="preserve">D6</t>
  </si>
  <si>
    <t xml:space="preserve">D7</t>
  </si>
  <si>
    <r>
      <rPr>
        <sz val="11"/>
        <color theme="1"/>
        <rFont val="WenQuanYi Zen Hei"/>
        <family val="2"/>
      </rPr>
      <t xml:space="preserve">有效效率因子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</si>
  <si>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：新一代自研軟體堆疊、無公開 </t>
    </r>
    <r>
      <rPr>
        <sz val="11"/>
        <color theme="1"/>
        <rFont val="Calibri"/>
        <family val="2"/>
        <charset val="1"/>
      </rPr>
      <t xml:space="preserve">MLPerf</t>
    </r>
    <r>
      <rPr>
        <sz val="11"/>
        <color theme="1"/>
        <rFont val="WenQuanYi Zen Hei"/>
        <family val="2"/>
      </rPr>
      <t xml:space="preserve">／第三方實測（</t>
    </r>
    <r>
      <rPr>
        <sz val="11"/>
        <color theme="1"/>
        <rFont val="Calibri"/>
        <family val="2"/>
        <charset val="1"/>
      </rPr>
      <t xml:space="preserve">E08</t>
    </r>
    <r>
      <rPr>
        <sz val="11"/>
        <color theme="1"/>
        <rFont val="WenQuanYi Zen Hei"/>
        <family val="2"/>
      </rPr>
      <t xml:space="preserve">）、乙太網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WenQuanYi Zen Hei"/>
        <family val="2"/>
      </rPr>
      <t xml:space="preserve">；基準略高於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WenQuanYi Zen Hei"/>
        <family val="2"/>
      </rPr>
      <t xml:space="preserve">還原值（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容量</t>
    </r>
    <r>
      <rPr>
        <sz val="11"/>
        <color theme="1"/>
        <rFont val="Calibri"/>
        <family val="2"/>
        <charset val="1"/>
      </rPr>
      <t xml:space="preserve">/kW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WenQuanYi Zen Hei"/>
        <family val="2"/>
      </rPr>
      <t xml:space="preserve">倍有助大批次）；高端＝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WenQuanYi Zen Hei"/>
        <family val="2"/>
      </rPr>
      <t xml:space="preserve">還原值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</si>
  <si>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（區間）</t>
    </r>
  </si>
  <si>
    <t xml:space="preserve">D8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</si>
  <si>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產出比（原始）</t>
    </r>
  </si>
  <si>
    <t xml:space="preserve">D9</t>
  </si>
  <si>
    <t xml:space="preserve">D10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</si>
  <si>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WenQuanYi Zen Hei"/>
        <family val="2"/>
      </rPr>
      <t xml:space="preserve">機架價格（買方取得價，含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WenQuanYi Zen Hei"/>
        <family val="2"/>
      </rPr>
      <t xml:space="preserve">夥伴利潤與 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WenQuanYi Zen Hei"/>
        <family val="2"/>
      </rPr>
      <t xml:space="preserve">攤提）</t>
    </r>
  </si>
  <si>
    <r>
      <rPr>
        <sz val="11"/>
        <color theme="1"/>
        <rFont val="WenQuanYi Zen Hei"/>
        <family val="2"/>
      </rPr>
      <t xml:space="preserve">無公開價格（</t>
    </r>
    <r>
      <rPr>
        <sz val="11"/>
        <color theme="1"/>
        <rFont val="Calibri"/>
        <family val="2"/>
        <charset val="1"/>
      </rPr>
      <t xml:space="preserve">E08 </t>
    </r>
    <r>
      <rPr>
        <sz val="11"/>
        <color theme="1"/>
        <rFont val="WenQuanYi Zen Hei"/>
        <family val="2"/>
      </rPr>
      <t xml:space="preserve">未找到）。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WenQuanYi Zen Hei"/>
        <family val="2"/>
      </rPr>
      <t xml:space="preserve">自下而上（查核後修正）：</t>
    </r>
    <r>
      <rPr>
        <sz val="11"/>
        <color theme="1"/>
        <rFont val="Calibri"/>
        <family val="2"/>
        <charset val="1"/>
      </rPr>
      <t xml:space="preserve">HBM 216 GB×$13–17/GB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$2.8–3.7K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E07</t>
    </r>
    <r>
      <rPr>
        <sz val="11"/>
        <color theme="1"/>
        <rFont val="WenQuanYi Zen Hei"/>
        <family val="2"/>
      </rPr>
      <t xml:space="preserve">）；晶片＋封裝 </t>
    </r>
    <r>
      <rPr>
        <sz val="11"/>
        <color theme="1"/>
        <rFont val="Calibri"/>
        <family val="2"/>
        <charset val="1"/>
      </rPr>
      <t xml:space="preserve">$1.2–2.5K</t>
    </r>
    <r>
      <rPr>
        <sz val="11"/>
        <color theme="1"/>
        <rFont val="WenQuanYi Zen Hei"/>
        <family val="2"/>
      </rPr>
      <t xml:space="preserve">（晶圓 </t>
    </r>
    <r>
      <rPr>
        <sz val="11"/>
        <color theme="1"/>
        <rFont val="Calibri"/>
        <family val="2"/>
        <charset val="1"/>
      </rPr>
      <t xml:space="preserve">$17–22K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E07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NRE $200–500M÷15–20 </t>
    </r>
    <r>
      <rPr>
        <sz val="11"/>
        <color theme="1"/>
        <rFont val="WenQuanYi Zen Hei"/>
        <family val="2"/>
      </rPr>
      <t xml:space="preserve">萬顆＝</t>
    </r>
    <r>
      <rPr>
        <sz val="11"/>
        <color theme="1"/>
        <rFont val="Calibri"/>
        <family val="2"/>
        <charset val="1"/>
      </rPr>
      <t xml:space="preserve">$1.0–3.3K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E06</t>
    </r>
    <r>
      <rPr>
        <sz val="11"/>
        <color theme="1"/>
        <rFont val="WenQuanYi Zen Hei"/>
        <family val="2"/>
      </rPr>
      <t xml:space="preserve">）；晶片合計約 </t>
    </r>
    <r>
      <rPr>
        <sz val="11"/>
        <color theme="1"/>
        <rFont val="Calibri"/>
        <family val="2"/>
        <charset val="1"/>
      </rPr>
      <t xml:space="preserve">$5–9.5K</t>
    </r>
    <r>
      <rPr>
        <sz val="11"/>
        <color theme="1"/>
        <rFont val="WenQuanYi Zen Hei"/>
        <family val="2"/>
      </rPr>
      <t xml:space="preserve">，系統加成約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倍→每顆 </t>
    </r>
    <r>
      <rPr>
        <sz val="11"/>
        <color theme="1"/>
        <rFont val="Calibri"/>
        <family val="2"/>
        <charset val="1"/>
      </rPr>
      <t xml:space="preserve">$10–19K</t>
    </r>
    <r>
      <rPr>
        <sz val="11"/>
        <color theme="1"/>
        <rFont val="WenQuanYi Zen Hei"/>
        <family val="2"/>
      </rPr>
      <t xml:space="preserve">、每機架（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WenQuanYi Zen Hei"/>
        <family val="2"/>
      </rPr>
      <t xml:space="preserve">顆）</t>
    </r>
    <r>
      <rPr>
        <sz val="11"/>
        <color theme="1"/>
        <rFont val="Calibri"/>
        <family val="2"/>
        <charset val="1"/>
      </rPr>
      <t xml:space="preserve">$0.5–0.9M</t>
    </r>
    <r>
      <rPr>
        <sz val="11"/>
        <color theme="1"/>
        <rFont val="WenQuanYi Zen Hei"/>
        <family val="2"/>
      </rPr>
      <t xml:space="preserve">。基準 </t>
    </r>
    <r>
      <rPr>
        <sz val="11"/>
        <color theme="1"/>
        <rFont val="Calibri"/>
        <family val="2"/>
        <charset val="1"/>
      </rPr>
      <t xml:space="preserve">$0.8M </t>
    </r>
    <r>
      <rPr>
        <sz val="11"/>
        <color theme="1"/>
        <rFont val="WenQuanYi Zen Hei"/>
        <family val="2"/>
      </rPr>
      <t xml:space="preserve">取該範圍中上段，高端 </t>
    </r>
    <r>
      <rPr>
        <sz val="11"/>
        <color theme="1"/>
        <rFont val="Calibri"/>
        <family val="2"/>
        <charset val="1"/>
      </rPr>
      <t xml:space="preserve">$1.2M </t>
    </r>
    <r>
      <rPr>
        <sz val="11"/>
        <color theme="1"/>
        <rFont val="WenQuanYi Zen Hei"/>
        <family val="2"/>
      </rPr>
      <t xml:space="preserve">預留托盤／主機／交換器加成不確定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</si>
  <si>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（區間）</t>
    </r>
  </si>
  <si>
    <t xml:space="preserve">全表最不確定的輸入</t>
  </si>
  <si>
    <t xml:space="preserve">D11</t>
  </si>
  <si>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機架數（以基準功率 </t>
    </r>
    <r>
      <rPr>
        <sz val="11"/>
        <color theme="1"/>
        <rFont val="Calibri"/>
        <family val="2"/>
        <charset val="1"/>
      </rPr>
      <t xml:space="preserve">64 kW</t>
    </r>
    <r>
      <rPr>
        <sz val="11"/>
        <color theme="1"/>
        <rFont val="WenQuanYi Zen Hei"/>
        <family val="2"/>
      </rPr>
      <t xml:space="preserve">）</t>
    </r>
  </si>
  <si>
    <t xml:space="preserve">D12</t>
  </si>
  <si>
    <t xml:space="preserve">D13</t>
  </si>
  <si>
    <t xml:space="preserve">D14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</si>
  <si>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持有成本比（原始）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</si>
  <si>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WenQuanYi Zen Hei"/>
        <family val="2"/>
      </rPr>
      <t xml:space="preserve">交叉檢核（不進建議值）</t>
    </r>
  </si>
  <si>
    <t xml:space="preserve">E1</t>
  </si>
  <si>
    <r>
      <rPr>
        <sz val="11"/>
        <color theme="1"/>
        <rFont val="WenQuanYi Zen Hei"/>
        <family val="2"/>
      </rPr>
      <t xml:space="preserve">微軟自述『每瓦 </t>
    </r>
    <r>
      <rPr>
        <sz val="11"/>
        <color theme="1"/>
        <rFont val="Calibri"/>
        <family val="2"/>
        <charset val="1"/>
      </rPr>
      <t xml:space="preserve">token 1.7 </t>
    </r>
    <r>
      <rPr>
        <sz val="11"/>
        <color theme="1"/>
        <rFont val="WenQuanYi Zen Hei"/>
        <family val="2"/>
      </rPr>
      <t xml:space="preserve">倍於領先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基礎設施』若基準＝</t>
    </r>
    <r>
      <rPr>
        <sz val="11"/>
        <color theme="1"/>
        <rFont val="Calibri"/>
        <family val="2"/>
        <charset val="1"/>
      </rPr>
      <t xml:space="preserve">GB300 → </t>
    </r>
    <r>
      <rPr>
        <sz val="11"/>
        <color theme="1"/>
        <rFont val="WenQuanYi Zen Hei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VR-eq</t>
    </r>
  </si>
  <si>
    <r>
      <rPr>
        <sz val="11"/>
        <color theme="1"/>
        <rFont val="Calibri"/>
        <family val="2"/>
        <charset val="1"/>
      </rPr>
      <t xml:space="preserve">E05</t>
    </r>
    <r>
      <rPr>
        <sz val="11"/>
        <color theme="1"/>
        <rFont val="WenQuanYi Zen Hei"/>
        <family val="2"/>
      </rPr>
      <t xml:space="preserve">（基準未點名；</t>
    </r>
    <r>
      <rPr>
        <sz val="11"/>
        <color theme="1"/>
        <rFont val="Calibri"/>
        <family val="2"/>
        <charset val="1"/>
      </rPr>
      <t xml:space="preserve">LinkedIn </t>
    </r>
    <r>
      <rPr>
        <sz val="11"/>
        <color theme="1"/>
        <rFont val="WenQuanYi Zen Hei"/>
        <family val="2"/>
      </rPr>
      <t xml:space="preserve">轉貼為主）</t>
    </r>
  </si>
  <si>
    <r>
      <rPr>
        <sz val="11"/>
        <color theme="1"/>
        <rFont val="WenQuanYi Zen Hei"/>
        <family val="2"/>
      </rPr>
      <t xml:space="preserve">若屬實，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產出約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1.1 </t>
    </r>
    <r>
      <rPr>
        <sz val="11"/>
        <color theme="1"/>
        <rFont val="WenQuanYi Zen Hei"/>
        <family val="2"/>
      </rPr>
      <t xml:space="preserve">倍，遠高於本表高端 → 視為行銷上限，不採用</t>
    </r>
  </si>
  <si>
    <t xml:space="preserve">E2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</si>
  <si>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持有成本比（基準 </t>
    </r>
    <r>
      <rPr>
        <sz val="11"/>
        <color theme="1"/>
        <rFont val="Calibri"/>
        <family val="2"/>
        <charset val="1"/>
      </rPr>
      <t xml:space="preserve">10.8864÷12.2255</t>
    </r>
    <r>
      <rPr>
        <sz val="11"/>
        <color theme="1"/>
        <rFont val="WenQuanYi Zen Hei"/>
        <family val="2"/>
      </rPr>
      <t xml:space="preserve">）</t>
    </r>
  </si>
  <si>
    <t xml:space="preserve">Interface!J13,M13</t>
  </si>
  <si>
    <t xml:space="preserve">E3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</si>
  <si>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持有（</t>
    </r>
    <r>
      <rPr>
        <sz val="11"/>
        <color theme="1"/>
        <rFont val="Calibri"/>
        <family val="2"/>
        <charset val="1"/>
      </rPr>
      <t xml:space="preserve">Sol </t>
    </r>
    <r>
      <rPr>
        <sz val="11"/>
        <color theme="1"/>
        <rFont val="WenQuanYi Zen Hei"/>
        <family val="2"/>
      </rPr>
      <t xml:space="preserve">層）</t>
    </r>
  </si>
  <si>
    <t xml:space="preserve">E4</t>
  </si>
  <si>
    <r>
      <rPr>
        <sz val="11"/>
        <color theme="1"/>
        <rFont val="WenQuanYi Zen Hei"/>
        <family val="2"/>
      </rPr>
      <t xml:space="preserve">微軟『每美元效能比艦隊最新硬體高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WenQuanYi Zen Hei"/>
        <family val="2"/>
      </rPr>
      <t xml:space="preserve">』→ 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WenQuanYi Zen Hei"/>
        <family val="2"/>
      </rPr>
      <t xml:space="preserve">須達到的 產出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持有</t>
    </r>
  </si>
  <si>
    <r>
      <rPr>
        <sz val="11"/>
        <color theme="1"/>
        <rFont val="Calibri"/>
        <family val="2"/>
        <charset val="1"/>
      </rPr>
      <t xml:space="preserve">E04</t>
    </r>
    <r>
      <rPr>
        <sz val="11"/>
        <color theme="1"/>
        <rFont val="WenQuanYi Zen Hei"/>
        <family val="2"/>
      </rPr>
      <t xml:space="preserve">（基準未點名；</t>
    </r>
    <r>
      <rPr>
        <sz val="11"/>
        <color theme="1"/>
        <rFont val="Calibri"/>
        <family val="2"/>
        <charset val="1"/>
      </rPr>
      <t xml:space="preserve">CRN Asia </t>
    </r>
    <r>
      <rPr>
        <sz val="11"/>
        <color theme="1"/>
        <rFont val="WenQuanYi Zen Hei"/>
        <family val="2"/>
      </rPr>
      <t xml:space="preserve">稱比對 </t>
    </r>
    <r>
      <rPr>
        <sz val="11"/>
        <color theme="1"/>
        <rFont val="Calibri"/>
        <family val="2"/>
        <charset val="1"/>
      </rPr>
      <t xml:space="preserve">Maia 100</t>
    </r>
    <r>
      <rPr>
        <sz val="11"/>
        <color theme="1"/>
        <rFont val="WenQuanYi Zen Hei"/>
        <family val="2"/>
      </rPr>
      <t xml:space="preserve">；微軟論文另稱 </t>
    </r>
    <r>
      <rPr>
        <sz val="11"/>
        <color theme="1"/>
        <rFont val="Calibri"/>
        <family val="2"/>
        <charset val="1"/>
      </rPr>
      <t xml:space="preserve">TCO −30%</t>
    </r>
    <r>
      <rPr>
        <sz val="11"/>
        <color theme="1"/>
        <rFont val="WenQuanYi Zen Hei"/>
        <family val="2"/>
      </rPr>
      <t xml:space="preserve">，語意約 </t>
    </r>
    <r>
      <rPr>
        <sz val="11"/>
        <color theme="1"/>
        <rFont val="Calibri"/>
        <family val="2"/>
        <charset val="1"/>
      </rPr>
      <t xml:space="preserve">1.43× perf/$</t>
    </r>
    <r>
      <rPr>
        <sz val="11"/>
        <color theme="1"/>
        <rFont val="WenQuanYi Zen Hei"/>
        <family val="2"/>
      </rPr>
      <t xml:space="preserve">，則需求升至約 </t>
    </r>
    <r>
      <rPr>
        <sz val="11"/>
        <color theme="1"/>
        <rFont val="Calibri"/>
        <family val="2"/>
        <charset val="1"/>
      </rPr>
      <t xml:space="preserve">1.07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</si>
  <si>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為艦隊最新硬體的假設</t>
    </r>
  </si>
  <si>
    <t xml:space="preserve">E5</t>
  </si>
  <si>
    <r>
      <rPr>
        <sz val="11"/>
        <color theme="1"/>
        <rFont val="WenQuanYi Zen Hei"/>
        <family val="2"/>
      </rPr>
      <t xml:space="preserve">本表 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WenQuanYi Zen Hei"/>
        <family val="2"/>
      </rPr>
      <t xml:space="preserve">基準 產出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持有</t>
    </r>
  </si>
  <si>
    <r>
      <rPr>
        <sz val="11"/>
        <color theme="1"/>
        <rFont val="WenQuanYi Zen Hei"/>
        <family val="2"/>
      </rPr>
      <t xml:space="preserve">欄 </t>
    </r>
    <r>
      <rPr>
        <sz val="11"/>
        <color theme="1"/>
        <rFont val="Calibri"/>
        <family val="2"/>
        <charset val="1"/>
      </rPr>
      <t xml:space="preserve">D/E/F </t>
    </r>
    <r>
      <rPr>
        <sz val="11"/>
        <color theme="1"/>
        <rFont val="WenQuanYi Zen Hei"/>
        <family val="2"/>
      </rPr>
      <t xml:space="preserve">為各自低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基準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高端相除，非情境配對</t>
    </r>
  </si>
  <si>
    <t xml:space="preserve">E6</t>
  </si>
  <si>
    <r>
      <rPr>
        <sz val="11"/>
        <color theme="1"/>
        <rFont val="WenQuanYi Zen Hei"/>
        <family val="2"/>
      </rPr>
      <t xml:space="preserve">本表 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WenQuanYi Zen Hei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微軟自述需求</t>
    </r>
  </si>
  <si>
    <r>
      <rPr>
        <sz val="11"/>
        <color theme="1"/>
        <rFont val="Calibri"/>
        <family val="2"/>
        <charset val="1"/>
      </rPr>
      <t xml:space="preserve">≈1 </t>
    </r>
    <r>
      <rPr>
        <sz val="11"/>
        <color theme="1"/>
        <rFont val="WenQuanYi Zen Hei"/>
        <family val="2"/>
      </rPr>
      <t xml:space="preserve">表示本表基準與微軟自述的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WenQuanYi Zen Hei"/>
        <family val="2"/>
      </rPr>
      <t xml:space="preserve">可並存；</t>
    </r>
    <r>
      <rPr>
        <sz val="11"/>
        <color theme="1"/>
        <rFont val="Calibri"/>
        <family val="2"/>
        <charset val="1"/>
      </rPr>
      <t xml:space="preserve">&lt;1 </t>
    </r>
    <r>
      <rPr>
        <sz val="11"/>
        <color theme="1"/>
        <rFont val="WenQuanYi Zen Hei"/>
        <family val="2"/>
      </rPr>
      <t xml:space="preserve">表示自述較樂觀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</si>
  <si>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WenQuanYi Zen Hei"/>
        <family val="2"/>
      </rPr>
      <t xml:space="preserve">敏感度（一次動一個參數，其餘取基準；欄 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WenQuanYi Zen Hei"/>
        <family val="2"/>
      </rPr>
      <t xml:space="preserve">＝參數低值對應結果，</t>
    </r>
    <r>
      <rPr>
        <b val="true"/>
        <sz val="11"/>
        <rFont val="Cambria"/>
        <family val="0"/>
        <charset val="1"/>
      </rPr>
      <t xml:space="preserve">F</t>
    </r>
    <r>
      <rPr>
        <b val="true"/>
        <sz val="11"/>
        <rFont val="WenQuanYi Zen Hei"/>
        <family val="2"/>
      </rPr>
      <t xml:space="preserve">＝高值對應結果）</t>
    </r>
  </si>
  <si>
    <t xml:space="preserve">F1</t>
  </si>
  <si>
    <r>
      <rPr>
        <sz val="11"/>
        <color theme="1"/>
        <rFont val="WenQuanYi Zen Hei"/>
        <family val="2"/>
      </rPr>
      <t xml:space="preserve">昇騰：方法一，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WenQuanYi Zen Hei"/>
        <family val="2"/>
      </rPr>
      <t xml:space="preserve">取 低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基準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高</t>
    </r>
  </si>
  <si>
    <t xml:space="preserve">產出比</t>
  </si>
  <si>
    <t xml:space="preserve">F2</t>
  </si>
  <si>
    <r>
      <rPr>
        <sz val="11"/>
        <color theme="1"/>
        <rFont val="WenQuanYi Zen Hei"/>
        <family val="2"/>
      </rPr>
      <t xml:space="preserve">昇騰：方法一，系統功率 </t>
    </r>
    <r>
      <rPr>
        <sz val="11"/>
        <color theme="1"/>
        <rFont val="Calibri"/>
        <family val="2"/>
        <charset val="1"/>
      </rPr>
      <t xml:space="preserve">559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559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425 kW</t>
    </r>
  </si>
  <si>
    <r>
      <rPr>
        <sz val="11"/>
        <color theme="1"/>
        <rFont val="WenQuanYi Zen Hei"/>
        <family val="2"/>
      </rPr>
      <t xml:space="preserve">功率 </t>
    </r>
    <r>
      <rPr>
        <sz val="11"/>
        <color theme="1"/>
        <rFont val="Calibri"/>
        <family val="2"/>
        <charset val="1"/>
      </rPr>
      <t xml:space="preserve">559→425 kW </t>
    </r>
    <r>
      <rPr>
        <sz val="11"/>
        <color theme="1"/>
        <rFont val="WenQuanYi Zen Hei"/>
        <family val="2"/>
      </rPr>
      <t xml:space="preserve">使產出比 </t>
    </r>
    <r>
      <rPr>
        <sz val="11"/>
        <color theme="1"/>
        <rFont val="Calibri"/>
        <family val="2"/>
        <charset val="1"/>
      </rPr>
      <t xml:space="preserve">×1.32</t>
    </r>
  </si>
  <si>
    <t xml:space="preserve">F3</t>
  </si>
  <si>
    <r>
      <rPr>
        <sz val="11"/>
        <color theme="1"/>
        <rFont val="WenQuanYi Zen Hei"/>
        <family val="2"/>
      </rPr>
      <t xml:space="preserve">昇騰：方法二，每顆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</t>
    </r>
  </si>
  <si>
    <t xml:space="preserve">F4</t>
  </si>
  <si>
    <r>
      <rPr>
        <sz val="11"/>
        <color theme="1"/>
        <rFont val="WenQuanYi Zen Hei"/>
        <family val="2"/>
      </rPr>
      <t xml:space="preserve">昇騰：持有比，系統價格 </t>
    </r>
    <r>
      <rPr>
        <sz val="11"/>
        <color theme="1"/>
        <rFont val="Calibri"/>
        <family val="2"/>
        <charset val="1"/>
      </rPr>
      <t xml:space="preserve">6.0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12.0 $M</t>
    </r>
  </si>
  <si>
    <t xml:space="preserve">持有比</t>
  </si>
  <si>
    <t xml:space="preserve">F5</t>
  </si>
  <si>
    <r>
      <rPr>
        <sz val="11"/>
        <color theme="1"/>
        <rFont val="WenQuanYi Zen Hei"/>
        <family val="2"/>
      </rPr>
      <t xml:space="preserve">昇騰：持有比，系統功率 </t>
    </r>
    <r>
      <rPr>
        <sz val="11"/>
        <color theme="1"/>
        <rFont val="Calibri"/>
        <family val="2"/>
        <charset val="1"/>
      </rPr>
      <t xml:space="preserve">425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559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640 kW</t>
    </r>
    <r>
      <rPr>
        <sz val="11"/>
        <color theme="1"/>
        <rFont val="WenQuanYi Zen Hei"/>
        <family val="2"/>
      </rPr>
      <t xml:space="preserve">（價格取基準）</t>
    </r>
  </si>
  <si>
    <r>
      <rPr>
        <sz val="11"/>
        <color theme="1"/>
        <rFont val="WenQuanYi Zen Hei"/>
        <family val="2"/>
      </rPr>
      <t xml:space="preserve">功率↓使每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套數↑、資本支出↑，持有比反而升</t>
    </r>
  </si>
  <si>
    <t xml:space="preserve">F6</t>
  </si>
  <si>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 0.45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1.00</t>
    </r>
  </si>
  <si>
    <t xml:space="preserve">F7</t>
  </si>
  <si>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：機架功率 </t>
    </r>
    <r>
      <rPr>
        <sz val="11"/>
        <color theme="1"/>
        <rFont val="Calibri"/>
        <family val="2"/>
        <charset val="1"/>
      </rPr>
      <t xml:space="preserve">73.6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64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57.6 kW</t>
    </r>
  </si>
  <si>
    <t xml:space="preserve">F8</t>
  </si>
  <si>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：機架價格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1.2 $M</t>
    </r>
  </si>
  <si>
    <t xml:space="preserve">F9</t>
  </si>
  <si>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WenQuanYi Zen Hei"/>
        <family val="2"/>
      </rPr>
      <t xml:space="preserve">對 產出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持有 的影響（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WenQuanYi Zen Hei"/>
        <family val="2"/>
      </rPr>
      <t xml:space="preserve">低／基準／高，持有取基準）</t>
    </r>
  </si>
  <si>
    <r>
      <rPr>
        <sz val="11"/>
        <color theme="1"/>
        <rFont val="WenQuanYi Zen Hei"/>
        <family val="2"/>
      </rPr>
      <t xml:space="preserve">產出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持有</t>
    </r>
  </si>
  <si>
    <t xml:space="preserve">主張</t>
  </si>
  <si>
    <t xml:space="preserve">數值</t>
  </si>
  <si>
    <t xml:space="preserve">口徑</t>
  </si>
  <si>
    <t xml:space="preserve">出處網址</t>
  </si>
  <si>
    <t xml:space="preserve">來源等級</t>
  </si>
  <si>
    <t xml:space="preserve">立場</t>
  </si>
  <si>
    <t xml:space="preserve">取得方式與備註</t>
  </si>
  <si>
    <t xml:space="preserve">用於</t>
  </si>
  <si>
    <t xml:space="preserve">E01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</si>
  <si>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WenQuanYi Zen Hei"/>
        <family val="2"/>
      </rPr>
      <t xml:space="preserve">單顆規格：</t>
    </r>
    <r>
      <rPr>
        <sz val="11"/>
        <color theme="1"/>
        <rFont val="Calibri"/>
        <family val="2"/>
        <charset val="1"/>
      </rPr>
      <t xml:space="preserve">FP4 &gt;10 PFLOPS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FP8 &gt;5 PFLOPS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SoC TDP 750 W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216 GB HBM3e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 TB/s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272 MB SRAM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3nm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&gt;140B </t>
    </r>
    <r>
      <rPr>
        <sz val="11"/>
        <color theme="1"/>
        <rFont val="WenQuanYi Zen Hei"/>
        <family val="2"/>
      </rPr>
      <t xml:space="preserve">電晶體</t>
    </r>
  </si>
  <si>
    <r>
      <rPr>
        <sz val="11"/>
        <color theme="1"/>
        <rFont val="Calibri"/>
        <family val="2"/>
        <charset val="1"/>
      </rPr>
      <t xml:space="preserve">FP4 &gt;10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FP8 &gt;5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750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216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</t>
    </r>
  </si>
  <si>
    <r>
      <rPr>
        <sz val="11"/>
        <color theme="1"/>
        <rFont val="Calibri"/>
        <family val="2"/>
        <charset val="1"/>
      </rPr>
      <t xml:space="preserve">PF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PF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TB/s</t>
    </r>
  </si>
  <si>
    <r>
      <rPr>
        <sz val="11"/>
        <color theme="1"/>
        <rFont val="WenQuanYi Zen Hei"/>
        <family val="2"/>
      </rPr>
      <t xml:space="preserve">單顆晶片，廠商峰值（未註明 </t>
    </r>
    <r>
      <rPr>
        <sz val="11"/>
        <color theme="1"/>
        <rFont val="Calibri"/>
        <family val="2"/>
        <charset val="1"/>
      </rPr>
      <t xml:space="preserve">dense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sparse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</si>
  <si>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https://blogs.microsoft.com/blog/2026/01/26/maia-200/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https://www.hpcwire.com/2026/01/26/microsoft-raises-the-ai-inference-bar-with-maia-200/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</si>
  <si>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（廠商官方）＋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HPCwire</t>
    </r>
    <r>
      <rPr>
        <sz val="11"/>
        <color theme="1"/>
        <rFont val="WenQuanYi Zen Hei"/>
        <family val="2"/>
      </rPr>
      <t xml:space="preserve">）</t>
    </r>
  </si>
  <si>
    <t xml:space="preserve">支持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</si>
  <si>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WenQuanYi Zen Hei"/>
        <family val="2"/>
      </rPr>
      <t xml:space="preserve">，銷售自家雲）</t>
    </r>
  </si>
  <si>
    <r>
      <rPr>
        <sz val="11"/>
        <color theme="1"/>
        <rFont val="WenQuanYi Zen Hei"/>
        <family val="2"/>
      </rPr>
      <t xml:space="preserve">搜尋摘要。</t>
    </r>
    <r>
      <rPr>
        <sz val="11"/>
        <color theme="1"/>
        <rFont val="Calibri"/>
        <family val="2"/>
        <charset val="1"/>
      </rPr>
      <t xml:space="preserve">HPCwire </t>
    </r>
    <r>
      <rPr>
        <sz val="11"/>
        <color theme="1"/>
        <rFont val="WenQuanYi Zen Hei"/>
        <family val="2"/>
      </rPr>
      <t xml:space="preserve">寫 </t>
    </r>
    <r>
      <rPr>
        <sz val="11"/>
        <color theme="1"/>
        <rFont val="Calibri"/>
        <family val="2"/>
        <charset val="1"/>
      </rPr>
      <t xml:space="preserve">HBM3</t>
    </r>
    <r>
      <rPr>
        <sz val="11"/>
        <color theme="1"/>
        <rFont val="WenQuanYi Zen Hei"/>
        <family val="2"/>
      </rPr>
      <t xml:space="preserve">、微軟寫 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WenQuanYi Zen Hei"/>
        <family val="2"/>
      </rPr>
      <t xml:space="preserve">（衝突，不影響推導）。微軟並稱 </t>
    </r>
    <r>
      <rPr>
        <sz val="11"/>
        <color theme="1"/>
        <rFont val="Calibri"/>
        <family val="2"/>
        <charset val="1"/>
      </rPr>
      <t xml:space="preserve">FP4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Trainium3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FP8 </t>
    </r>
    <r>
      <rPr>
        <sz val="11"/>
        <color theme="1"/>
        <rFont val="WenQuanYi Zen Hei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TPU v7</t>
    </r>
    <r>
      <rPr>
        <sz val="11"/>
        <color theme="1"/>
        <rFont val="WenQuanYi Zen Hei"/>
        <family val="2"/>
      </rPr>
      <t xml:space="preserve">（廠商比較）。</t>
    </r>
  </si>
  <si>
    <t xml:space="preserve">E02</t>
  </si>
  <si>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WenQuanYi Zen Hei"/>
        <family val="2"/>
      </rPr>
      <t xml:space="preserve">：每顆 </t>
    </r>
    <r>
      <rPr>
        <sz val="11"/>
        <color theme="1"/>
        <rFont val="Calibri"/>
        <family val="2"/>
        <charset val="1"/>
      </rPr>
      <t xml:space="preserve">2.8 TB/s</t>
    </r>
    <r>
      <rPr>
        <sz val="11"/>
        <color theme="1"/>
        <rFont val="WenQuanYi Zen Hei"/>
        <family val="2"/>
      </rPr>
      <t xml:space="preserve">（雙向）專用頻寬；標準乙太網兩層架構；叢集最多 </t>
    </r>
    <r>
      <rPr>
        <sz val="11"/>
        <color theme="1"/>
        <rFont val="Calibri"/>
        <family val="2"/>
        <charset val="1"/>
      </rPr>
      <t xml:space="preserve">6,144 </t>
    </r>
    <r>
      <rPr>
        <sz val="11"/>
        <color theme="1"/>
        <rFont val="WenQuanYi Zen Hei"/>
        <family val="2"/>
      </rPr>
      <t xml:space="preserve">顆；每托盤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顆直連</t>
    </r>
  </si>
  <si>
    <r>
      <rPr>
        <sz val="11"/>
        <color theme="1"/>
        <rFont val="Calibri"/>
        <family val="2"/>
        <charset val="1"/>
      </rPr>
      <t xml:space="preserve">2.8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6,144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</si>
  <si>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Calibri"/>
        <family val="2"/>
        <charset val="1"/>
      </rPr>
      <t xml:space="preserve">TB/s</t>
    </r>
    <r>
      <rPr>
        <sz val="11"/>
        <color theme="1"/>
        <rFont val="WenQuanYi Zen Hei"/>
        <family val="2"/>
      </rPr>
      <t xml:space="preserve">；顆；顆</t>
    </r>
  </si>
  <si>
    <t xml:space="preserve">每顆；雙向</t>
  </si>
  <si>
    <r>
      <rPr>
        <sz val="11"/>
        <color theme="1"/>
        <rFont val="Calibri"/>
        <family val="2"/>
        <charset val="1"/>
      </rPr>
      <t xml:space="preserve">https://blogs.microsoft.com/blog/2026/01/26/maia-200/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https://www.sdxcentral.com/news/microsoft-reveals-maia-200-network-architecture-pushing-scale-up-inference-efficiency/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</si>
  <si>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</t>
    </r>
  </si>
  <si>
    <t xml:space="preserve">支持（描述性）</t>
  </si>
  <si>
    <r>
      <rPr>
        <sz val="11"/>
        <color theme="1"/>
        <rFont val="WenQuanYi Zen Hei"/>
        <family val="2"/>
      </rPr>
      <t xml:space="preserve">搜尋摘要。</t>
    </r>
    <r>
      <rPr>
        <sz val="11"/>
        <color theme="1"/>
        <rFont val="Calibri"/>
        <family val="2"/>
        <charset val="1"/>
      </rPr>
      <t xml:space="preserve">Computer Weekly </t>
    </r>
    <r>
      <rPr>
        <sz val="11"/>
        <color theme="1"/>
        <rFont val="WenQuanYi Zen Hei"/>
        <family val="2"/>
      </rPr>
      <t xml:space="preserve">報 </t>
    </r>
    <r>
      <rPr>
        <sz val="11"/>
        <color theme="1"/>
        <rFont val="Calibri"/>
        <family val="2"/>
        <charset val="1"/>
      </rPr>
      <t xml:space="preserve">1.4 TB/s</t>
    </r>
    <r>
      <rPr>
        <sz val="11"/>
        <color theme="1"/>
        <rFont val="WenQuanYi Zen Hei"/>
        <family val="2"/>
      </rPr>
      <t xml:space="preserve">（疑為單向）；未用於推導，僅作為『無 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WenQuanYi Zen Hei"/>
        <family val="2"/>
      </rPr>
      <t xml:space="preserve">同級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WenQuanYi Zen Hei"/>
        <family val="2"/>
      </rPr>
      <t xml:space="preserve">』的質性依據。</t>
    </r>
  </si>
  <si>
    <t xml:space="preserve">E03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</si>
  <si>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WenQuanYi Zen Hei"/>
        <family val="2"/>
      </rPr>
      <t xml:space="preserve">機架：</t>
    </r>
    <r>
      <rPr>
        <sz val="11"/>
        <color theme="1"/>
        <rFont val="Calibri"/>
        <family val="2"/>
        <charset val="1"/>
      </rPr>
      <t xml:space="preserve">HBM 10.4 TB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341 TB/s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485 POPS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FP4</t>
    </r>
    <r>
      <rPr>
        <sz val="11"/>
        <color theme="1"/>
        <rFont val="WenQuanYi Zen Hei"/>
        <family val="2"/>
      </rPr>
      <t xml:space="preserve">）、機架功率 </t>
    </r>
    <r>
      <rPr>
        <sz val="11"/>
        <color theme="1"/>
        <rFont val="Calibri"/>
        <family val="2"/>
        <charset val="1"/>
      </rPr>
      <t xml:space="preserve">64 kW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WenQuanYi Zen Hei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96 </t>
    </r>
    <r>
      <rPr>
        <sz val="11"/>
        <color theme="1"/>
        <rFont val="WenQuanYi Zen Hei"/>
        <family val="2"/>
      </rPr>
      <t xml:space="preserve">顆／</t>
    </r>
    <r>
      <rPr>
        <sz val="11"/>
        <color theme="1"/>
        <rFont val="Calibri"/>
        <family val="2"/>
        <charset val="1"/>
      </rPr>
      <t xml:space="preserve">167 kW</t>
    </r>
  </si>
  <si>
    <r>
      <rPr>
        <sz val="11"/>
        <color theme="1"/>
        <rFont val="Calibri"/>
        <family val="2"/>
        <charset val="1"/>
      </rPr>
      <t xml:space="preserve">10.4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341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485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64</t>
    </r>
  </si>
  <si>
    <r>
      <rPr>
        <sz val="11"/>
        <color theme="1"/>
        <rFont val="Calibri"/>
        <family val="2"/>
        <charset val="1"/>
      </rPr>
      <t xml:space="preserve">TB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TB/s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POPS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kW</t>
    </r>
  </si>
  <si>
    <r>
      <rPr>
        <sz val="11"/>
        <color theme="1"/>
        <rFont val="WenQuanYi Zen Hei"/>
        <family val="2"/>
      </rPr>
      <t xml:space="preserve">整機架；</t>
    </r>
    <r>
      <rPr>
        <sz val="11"/>
        <color theme="1"/>
        <rFont val="Calibri"/>
        <family val="2"/>
        <charset val="1"/>
      </rPr>
      <t xml:space="preserve">64 kW </t>
    </r>
    <r>
      <rPr>
        <sz val="11"/>
        <color theme="1"/>
        <rFont val="WenQuanYi Zen Hei"/>
        <family val="2"/>
      </rPr>
      <t xml:space="preserve">是否含冷卻未明</t>
    </r>
  </si>
  <si>
    <r>
      <rPr>
        <sz val="11"/>
        <color theme="1"/>
        <rFont val="Calibri"/>
        <family val="2"/>
        <charset val="1"/>
      </rPr>
      <t xml:space="preserve">https://www.storagereview.com/news/microsoft-maia-300-hbm4-n2p-chiplet-96-accelerator-rack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https://interestingengineering.com/ai-robotics/microsoft-maia-300-96-chips-rack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https://aiweekly.co/fr/alerts/microsoft-dvoile-maia-300-rack-96-puces-167-kw-pour-2027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</si>
  <si>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（媒體轉述微軟簡報；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WenQuanYi Zen Hei"/>
        <family val="2"/>
      </rPr>
      <t xml:space="preserve">機架值來自 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WenQuanYi Zen Hei"/>
        <family val="2"/>
      </rPr>
      <t xml:space="preserve">對照）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</si>
  <si>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WenQuanYi Zen Hei"/>
        <family val="2"/>
      </rPr>
      <t xml:space="preserve">簡報，二手）</t>
    </r>
  </si>
  <si>
    <r>
      <rPr>
        <sz val="11"/>
        <color theme="1"/>
        <rFont val="WenQuanYi Zen Hei"/>
        <family val="2"/>
      </rPr>
      <t xml:space="preserve">搜尋摘要＋查核員復核。</t>
    </r>
    <r>
      <rPr>
        <sz val="11"/>
        <color theme="1"/>
        <rFont val="Calibri"/>
        <family val="2"/>
        <charset val="1"/>
      </rPr>
      <t xml:space="preserve">StorageReview </t>
    </r>
    <r>
      <rPr>
        <sz val="11"/>
        <color theme="1"/>
        <rFont val="WenQuanYi Zen Hei"/>
        <family val="2"/>
      </rPr>
      <t xml:space="preserve">規格表直接列 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WenQuanYi Zen Hei"/>
        <family val="2"/>
      </rPr>
      <t xml:space="preserve">顆、</t>
    </r>
    <r>
      <rPr>
        <sz val="11"/>
        <color theme="1"/>
        <rFont val="Calibri"/>
        <family val="2"/>
        <charset val="1"/>
      </rPr>
      <t xml:space="preserve">64 kW</t>
    </r>
    <r>
      <rPr>
        <sz val="11"/>
        <color theme="1"/>
        <rFont val="WenQuanYi Zen Hei"/>
        <family val="2"/>
      </rPr>
      <t xml:space="preserve">，註明『</t>
    </r>
    <r>
      <rPr>
        <sz val="11"/>
        <color theme="1"/>
        <rFont val="Calibri"/>
        <family val="2"/>
        <charset val="1"/>
      </rPr>
      <t xml:space="preserve">by Microsoft's figures</t>
    </r>
    <r>
      <rPr>
        <sz val="11"/>
        <color theme="1"/>
        <rFont val="WenQuanYi Zen Hei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WenQuanYi Zen Hei"/>
        <family val="2"/>
      </rPr>
      <t xml:space="preserve">顆另有微軟論文 </t>
    </r>
    <r>
      <rPr>
        <sz val="11"/>
        <color theme="1"/>
        <rFont val="Calibri"/>
        <family val="2"/>
        <charset val="1"/>
      </rPr>
      <t xml:space="preserve">arXiv 2608.24664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WenQuanYi Zen Hei"/>
        <family val="2"/>
      </rPr>
      <t xml:space="preserve">托盤、</t>
    </r>
    <r>
      <rPr>
        <sz val="11"/>
        <color theme="1"/>
        <rFont val="Calibri"/>
        <family val="2"/>
        <charset val="1"/>
      </rPr>
      <t xml:space="preserve">48 SoC</t>
    </r>
    <r>
      <rPr>
        <sz val="11"/>
        <color theme="1"/>
        <rFont val="WenQuanYi Zen Hei"/>
        <family val="2"/>
      </rPr>
      <t xml:space="preserve">；據查核員，我未獨立讀取）。</t>
    </r>
    <r>
      <rPr>
        <sz val="11"/>
        <color theme="1"/>
        <rFont val="Calibri"/>
        <family val="2"/>
        <charset val="1"/>
      </rPr>
      <t xml:space="preserve">64 kW </t>
    </r>
    <r>
      <rPr>
        <sz val="11"/>
        <color theme="1"/>
        <rFont val="WenQuanYi Zen Hei"/>
        <family val="2"/>
      </rPr>
      <t xml:space="preserve">仍是單一來源鏈（微軟 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WenQuanYi Zen Hei"/>
        <family val="2"/>
      </rPr>
      <t xml:space="preserve">發表，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WenQuanYi Zen Hei"/>
        <family val="2"/>
      </rPr>
      <t xml:space="preserve">），另一報導約 </t>
    </r>
    <r>
      <rPr>
        <sz val="11"/>
        <color theme="1"/>
        <rFont val="Calibri"/>
        <family val="2"/>
        <charset val="1"/>
      </rPr>
      <t xml:space="preserve">65 kW </t>
    </r>
    <r>
      <rPr>
        <sz val="11"/>
        <color theme="1"/>
        <rFont val="WenQuanYi Zen Hei"/>
        <family val="2"/>
      </rPr>
      <t xml:space="preserve">同源；是否含冷卻／配電未知。有一篇文章稱 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WenQuanYi Zen Hei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WenQuanYi Zen Hei"/>
        <family val="2"/>
      </rPr>
      <t xml:space="preserve">刀片</t>
    </r>
    <r>
      <rPr>
        <sz val="11"/>
        <color theme="1"/>
        <rFont val="Calibri"/>
        <family val="2"/>
        <charset val="1"/>
      </rPr>
      <t xml:space="preserve">×4</t>
    </r>
    <r>
      <rPr>
        <sz val="11"/>
        <color theme="1"/>
        <rFont val="WenQuanYi Zen Hei"/>
        <family val="2"/>
      </rPr>
      <t xml:space="preserve">），與 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WenQuanYi Zen Hei"/>
        <family val="2"/>
      </rPr>
      <t xml:space="preserve">衝突。</t>
    </r>
  </si>
  <si>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D3</t>
    </r>
  </si>
  <si>
    <t xml:space="preserve">E04</t>
  </si>
  <si>
    <r>
      <rPr>
        <sz val="11"/>
        <color theme="1"/>
        <rFont val="WenQuanYi Zen Hei"/>
        <family val="2"/>
      </rPr>
      <t xml:space="preserve">微軟自述：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WenQuanYi Zen Hei"/>
        <family val="2"/>
      </rPr>
      <t xml:space="preserve">每美元效能比『艦隊最新硬體』高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WenQuanYi Zen Hei"/>
        <family val="2"/>
      </rPr>
      <t xml:space="preserve">；基準未點名。</t>
    </r>
    <r>
      <rPr>
        <sz val="11"/>
        <color theme="1"/>
        <rFont val="Calibri"/>
        <family val="2"/>
        <charset val="1"/>
      </rPr>
      <t xml:space="preserve">CRN Asia </t>
    </r>
    <r>
      <rPr>
        <sz val="11"/>
        <color theme="1"/>
        <rFont val="WenQuanYi Zen Hei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WenQuanYi Zen Hei"/>
        <family val="2"/>
      </rPr>
      <t xml:space="preserve">是相對 </t>
    </r>
    <r>
      <rPr>
        <sz val="11"/>
        <color theme="1"/>
        <rFont val="Calibri"/>
        <family val="2"/>
        <charset val="1"/>
      </rPr>
      <t xml:space="preserve">Maia 100</t>
    </r>
  </si>
  <si>
    <t xml:space="preserve">30</t>
  </si>
  <si>
    <t xml:space="preserve">%</t>
  </si>
  <si>
    <r>
      <rPr>
        <sz val="11"/>
        <color theme="1"/>
        <rFont val="Calibri"/>
        <family val="2"/>
        <charset val="1"/>
      </rPr>
      <t xml:space="preserve">perf/$</t>
    </r>
    <r>
      <rPr>
        <sz val="11"/>
        <color theme="1"/>
        <rFont val="WenQuanYi Zen Hei"/>
        <family val="2"/>
      </rPr>
      <t xml:space="preserve">，口徑不明</t>
    </r>
  </si>
  <si>
    <r>
      <rPr>
        <sz val="11"/>
        <color theme="1"/>
        <rFont val="Calibri"/>
        <family val="2"/>
        <charset val="1"/>
      </rPr>
      <t xml:space="preserve">https://tech.yahoo.com/ai/copilot/articles/microsoft-says-newest-ai-chip-160218268.html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https://www.computing.co.uk/news-network/2026/microsoft-takes-on-aws-google-and-nvidia-with-maia-200-ai-chip-launch</t>
    </r>
  </si>
  <si>
    <t xml:space="preserve">中性（無法驗證）</t>
  </si>
  <si>
    <r>
      <rPr>
        <sz val="11"/>
        <color theme="1"/>
        <rFont val="WenQuanYi Zen Hei"/>
        <family val="2"/>
      </rPr>
      <t xml:space="preserve">搜尋摘要。僅用作交叉檢核（推導頁 </t>
    </r>
    <r>
      <rPr>
        <sz val="11"/>
        <color theme="1"/>
        <rFont val="Calibri"/>
        <family val="2"/>
        <charset val="1"/>
      </rPr>
      <t xml:space="preserve">E4–E6</t>
    </r>
    <r>
      <rPr>
        <sz val="11"/>
        <color theme="1"/>
        <rFont val="WenQuanYi Zen Hei"/>
        <family val="2"/>
      </rPr>
      <t xml:space="preserve">），不進建議值。查核員另見微軟論文寫『相對艦隊任何其他加速器 </t>
    </r>
    <r>
      <rPr>
        <sz val="11"/>
        <color theme="1"/>
        <rFont val="Calibri"/>
        <family val="2"/>
        <charset val="1"/>
      </rPr>
      <t xml:space="preserve">TCO </t>
    </r>
    <r>
      <rPr>
        <sz val="11"/>
        <color theme="1"/>
        <rFont val="WenQuanYi Zen Hei"/>
        <family val="2"/>
      </rPr>
      <t xml:space="preserve">降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WenQuanYi Zen Hei"/>
        <family val="2"/>
      </rPr>
      <t xml:space="preserve">、能耗降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WenQuanYi Zen Hei"/>
        <family val="2"/>
      </rPr>
      <t xml:space="preserve">』，語意約 </t>
    </r>
    <r>
      <rPr>
        <sz val="11"/>
        <color theme="1"/>
        <rFont val="Calibri"/>
        <family val="2"/>
        <charset val="1"/>
      </rPr>
      <t xml:space="preserve">1.43× perf/$</t>
    </r>
    <r>
      <rPr>
        <sz val="11"/>
        <color theme="1"/>
        <rFont val="WenQuanYi Zen Hei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1.3× </t>
    </r>
    <r>
      <rPr>
        <sz val="11"/>
        <color theme="1"/>
        <rFont val="WenQuanYi Zen Hei"/>
        <family val="2"/>
      </rPr>
      <t xml:space="preserve">不同。</t>
    </r>
  </si>
  <si>
    <t xml:space="preserve">E05</t>
  </si>
  <si>
    <r>
      <rPr>
        <sz val="11"/>
        <color theme="1"/>
        <rFont val="WenQuanYi Zen Hei"/>
        <family val="2"/>
      </rPr>
      <t xml:space="preserve">微軟自述：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WenQuanYi Zen Hei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Teams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WenQuanYi Zen Hei"/>
        <family val="2"/>
      </rPr>
      <t xml:space="preserve">等功能上每瓦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最高 </t>
    </r>
    <r>
      <rPr>
        <sz val="11"/>
        <color theme="1"/>
        <rFont val="Calibri"/>
        <family val="2"/>
        <charset val="1"/>
      </rPr>
      <t xml:space="preserve">1.7 </t>
    </r>
    <r>
      <rPr>
        <sz val="11"/>
        <color theme="1"/>
        <rFont val="WenQuanYi Zen Hei"/>
        <family val="2"/>
      </rPr>
      <t xml:space="preserve">倍於『領先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基礎設施』；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WenQuanYi Zen Hei"/>
        <family val="2"/>
      </rPr>
      <t xml:space="preserve">則稱每 </t>
    </r>
    <r>
      <rPr>
        <sz val="11"/>
        <color theme="1"/>
        <rFont val="Calibri"/>
        <family val="2"/>
        <charset val="1"/>
      </rPr>
      <t xml:space="preserve">MW token </t>
    </r>
    <r>
      <rPr>
        <sz val="11"/>
        <color theme="1"/>
        <rFont val="WenQuanYi Zen Hei"/>
        <family val="2"/>
      </rPr>
      <t xml:space="preserve">多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</si>
  <si>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1.4</t>
    </r>
  </si>
  <si>
    <t xml:space="preserve">倍</t>
  </si>
  <si>
    <t xml:space="preserve">基準未點名</t>
  </si>
  <si>
    <r>
      <rPr>
        <sz val="11"/>
        <color theme="1"/>
        <rFont val="Calibri"/>
        <family val="2"/>
        <charset val="1"/>
      </rPr>
      <t xml:space="preserve">https://aiweekly.co/alerts/microsoft-maia-300-packs-288-gb-hbm4-7x-maia-200-throughput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https://letsdatascience.com/blog/microsoft-maia-300-beats-gpus-by-40-percent-wont-say-which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</si>
  <si>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（品質低：聚合站、</t>
    </r>
    <r>
      <rPr>
        <sz val="11"/>
        <color theme="1"/>
        <rFont val="Calibri"/>
        <family val="2"/>
        <charset val="1"/>
      </rPr>
      <t xml:space="preserve">LinkedIn </t>
    </r>
    <r>
      <rPr>
        <sz val="11"/>
        <color theme="1"/>
        <rFont val="WenQuanYi Zen Hei"/>
        <family val="2"/>
      </rPr>
      <t xml:space="preserve">轉貼）</t>
    </r>
  </si>
  <si>
    <t xml:space="preserve">支持（但不可採信）</t>
  </si>
  <si>
    <r>
      <rPr>
        <sz val="11"/>
        <color theme="1"/>
        <rFont val="WenQuanYi Zen Hei"/>
        <family val="2"/>
      </rPr>
      <t xml:space="preserve">搜尋摘要。</t>
    </r>
    <r>
      <rPr>
        <sz val="11"/>
        <color theme="1"/>
        <rFont val="Calibri"/>
        <family val="2"/>
        <charset val="1"/>
      </rPr>
      <t xml:space="preserve">1.7 </t>
    </r>
    <r>
      <rPr>
        <sz val="11"/>
        <color theme="1"/>
        <rFont val="WenQuanYi Zen Hei"/>
        <family val="2"/>
      </rPr>
      <t xml:space="preserve">倍只在 </t>
    </r>
    <r>
      <rPr>
        <sz val="11"/>
        <color theme="1"/>
        <rFont val="Calibri"/>
        <family val="2"/>
        <charset val="1"/>
      </rPr>
      <t xml:space="preserve">LinkedIn </t>
    </r>
    <r>
      <rPr>
        <sz val="11"/>
        <color theme="1"/>
        <rFont val="WenQuanYi Zen Hei"/>
        <family val="2"/>
      </rPr>
      <t xml:space="preserve">轉貼出現；若基準＝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WenQuanYi Zen Hei"/>
        <family val="2"/>
      </rPr>
      <t xml:space="preserve">，隱含 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產出約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1.1 </t>
    </r>
    <r>
      <rPr>
        <sz val="11"/>
        <color theme="1"/>
        <rFont val="WenQuanYi Zen Hei"/>
        <family val="2"/>
      </rPr>
      <t xml:space="preserve">倍，遠超本表高端 → 視為行銷上限。</t>
    </r>
  </si>
  <si>
    <t xml:space="preserve">E06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</si>
  <si>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WenQuanYi Zen Hei"/>
        <family val="2"/>
      </rPr>
      <t xml:space="preserve">量產規模：僅『數萬顆』、兩處美國資料中心（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WenQuanYi Zen Hei"/>
        <family val="2"/>
      </rPr>
      <t xml:space="preserve">月底）；</t>
    </r>
    <r>
      <rPr>
        <sz val="11"/>
        <color theme="1"/>
        <rFont val="Calibri"/>
        <family val="2"/>
        <charset val="1"/>
      </rPr>
      <t xml:space="preserve">Fubon </t>
    </r>
    <r>
      <rPr>
        <sz val="11"/>
        <color theme="1"/>
        <rFont val="WenQuanYi Zen Hei"/>
        <family val="2"/>
      </rPr>
      <t xml:space="preserve">研究稱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15–20 </t>
    </r>
    <r>
      <rPr>
        <sz val="11"/>
        <color theme="1"/>
        <rFont val="WenQuanYi Zen Hei"/>
        <family val="2"/>
      </rPr>
      <t xml:space="preserve">萬顆（查核員查不到原文；</t>
    </r>
    <r>
      <rPr>
        <sz val="11"/>
        <color theme="1"/>
        <rFont val="Calibri"/>
        <family val="2"/>
        <charset val="1"/>
      </rPr>
      <t xml:space="preserve">Commercial Times </t>
    </r>
    <r>
      <rPr>
        <sz val="11"/>
        <color theme="1"/>
        <rFont val="WenQuanYi Zen Hei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Maia 100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WenQuanYi Zen Hei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20–25 </t>
    </r>
    <r>
      <rPr>
        <sz val="11"/>
        <color theme="1"/>
        <rFont val="WenQuanYi Zen Hei"/>
        <family val="2"/>
      </rPr>
      <t xml:space="preserve">萬顆）</t>
    </r>
  </si>
  <si>
    <r>
      <rPr>
        <sz val="11"/>
        <color theme="1"/>
        <rFont val="WenQuanYi Zen Hei"/>
        <family val="2"/>
      </rPr>
      <t xml:space="preserve">數萬；</t>
    </r>
    <r>
      <rPr>
        <sz val="11"/>
        <color theme="1"/>
        <rFont val="Calibri"/>
        <family val="2"/>
        <charset val="1"/>
      </rPr>
      <t xml:space="preserve">150,000–200,000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</si>
  <si>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年累計</t>
    </r>
  </si>
  <si>
    <r>
      <rPr>
        <sz val="11"/>
        <color theme="1"/>
        <rFont val="Calibri"/>
        <family val="2"/>
        <charset val="1"/>
      </rPr>
      <t xml:space="preserve">https://fourweekmba.com/ai-microsoft-maia-300-hyperscaler-silicon-race/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https://finance.yahoo.com/news/marvell-technology-mrvl-stock-gains-071704521.html</t>
    </r>
  </si>
  <si>
    <t xml:space="preserve">3</t>
  </si>
  <si>
    <t xml:space="preserve">中性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</si>
  <si>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（賣方研究，供應鏈題材）</t>
    </r>
  </si>
  <si>
    <r>
      <rPr>
        <sz val="11"/>
        <color theme="1"/>
        <rFont val="WenQuanYi Zen Hei"/>
        <family val="2"/>
      </rPr>
      <t xml:space="preserve">搜尋摘要。用於估 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WenQuanYi Zen Hei"/>
        <family val="2"/>
      </rPr>
      <t xml:space="preserve">攤提分母（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WenQuanYi Zen Hei"/>
        <family val="2"/>
      </rPr>
      <t xml:space="preserve">萬顆）；兩份數字相互不一致，不合併。</t>
    </r>
  </si>
  <si>
    <t xml:space="preserve">E07</t>
  </si>
  <si>
    <r>
      <rPr>
        <sz val="11"/>
        <color theme="1"/>
        <rFont val="WenQuanYi Zen Hei"/>
        <family val="2"/>
      </rPr>
      <t xml:space="preserve">成本構件類比：</t>
    </r>
    <r>
      <rPr>
        <sz val="11"/>
        <color theme="1"/>
        <rFont val="Calibri"/>
        <family val="2"/>
        <charset val="1"/>
      </rPr>
      <t xml:space="preserve">TSMC N3 </t>
    </r>
    <r>
      <rPr>
        <sz val="11"/>
        <color theme="1"/>
        <rFont val="WenQuanYi Zen Hei"/>
        <family val="2"/>
      </rPr>
      <t xml:space="preserve">晶圓估 </t>
    </r>
    <r>
      <rPr>
        <sz val="11"/>
        <color theme="1"/>
        <rFont val="Calibri"/>
        <family val="2"/>
        <charset val="1"/>
      </rPr>
      <t xml:space="preserve">$17–22K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HBM3E 12-Hi 36GB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$300–510</t>
    </r>
    <r>
      <rPr>
        <sz val="11"/>
        <color theme="1"/>
        <rFont val="WenQuanYi Zen Hei"/>
        <family val="2"/>
      </rPr>
      <t xml:space="preserve">／顆（約 </t>
    </r>
    <r>
      <rPr>
        <sz val="11"/>
        <color theme="1"/>
        <rFont val="Calibri"/>
        <family val="2"/>
        <charset val="1"/>
      </rPr>
      <t xml:space="preserve">$8–14/GB</t>
    </r>
    <r>
      <rPr>
        <sz val="11"/>
        <color theme="1"/>
        <rFont val="WenQuanYi Zen Hei"/>
        <family val="2"/>
      </rPr>
      <t xml:space="preserve">；查核員另見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初合約價 </t>
    </r>
    <r>
      <rPr>
        <sz val="11"/>
        <color theme="1"/>
        <rFont val="Calibri"/>
        <family val="2"/>
        <charset val="1"/>
      </rPr>
      <t xml:space="preserve">$13–17/GB</t>
    </r>
    <r>
      <rPr>
        <sz val="11"/>
        <color theme="1"/>
        <rFont val="WenQuanYi Zen Hei"/>
        <family val="2"/>
      </rPr>
      <t xml:space="preserve">，推導改用此值）；自研晶片 </t>
    </r>
    <r>
      <rPr>
        <sz val="11"/>
        <color theme="1"/>
        <rFont val="Calibri"/>
        <family val="2"/>
        <charset val="1"/>
      </rPr>
      <t xml:space="preserve">NRE $200–500M</t>
    </r>
  </si>
  <si>
    <r>
      <rPr>
        <sz val="11"/>
        <color theme="1"/>
        <rFont val="Calibri"/>
        <family val="2"/>
        <charset val="1"/>
      </rPr>
      <t xml:space="preserve">17–22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8–14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200–500</t>
    </r>
  </si>
  <si>
    <r>
      <rPr>
        <sz val="11"/>
        <color theme="1"/>
        <rFont val="Calibri"/>
        <family val="2"/>
        <charset val="1"/>
      </rPr>
      <t xml:space="preserve">$K</t>
    </r>
    <r>
      <rPr>
        <sz val="11"/>
        <color theme="1"/>
        <rFont val="WenQuanYi Zen Hei"/>
        <family val="2"/>
      </rPr>
      <t xml:space="preserve">／片；</t>
    </r>
    <r>
      <rPr>
        <sz val="11"/>
        <color theme="1"/>
        <rFont val="Calibri"/>
        <family val="2"/>
        <charset val="1"/>
      </rPr>
      <t xml:space="preserve">$/GB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$M</t>
    </r>
  </si>
  <si>
    <r>
      <rPr>
        <sz val="11"/>
        <color theme="1"/>
        <rFont val="WenQuanYi Zen Hei"/>
        <family val="2"/>
      </rPr>
      <t xml:space="preserve">分析師估計，非 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WenQuanYi Zen Hei"/>
        <family val="2"/>
      </rPr>
      <t xml:space="preserve">專屬</t>
    </r>
  </si>
  <si>
    <r>
      <rPr>
        <sz val="11"/>
        <color theme="1"/>
        <rFont val="Calibri"/>
        <family val="2"/>
        <charset val="1"/>
      </rPr>
      <t xml:space="preserve">https://siliconanalysts.com/analysis/microsoft-maia-200-nvidia-custom-silicon-ai-inference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https://siliconanalysts.com/data/hbm-pricing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https://www.trendforce.com/news/2025/08/13/news-hbm-battle-heats-up-micron-reportedly-hints-2026-sell-out-sk-hynix-yet-to-confirm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</si>
  <si>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（一般產業估計；差異：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WenQuanYi Zen Hei"/>
        <family val="2"/>
      </rPr>
      <t xml:space="preserve">專屬 </t>
    </r>
    <r>
      <rPr>
        <sz val="11"/>
        <color theme="1"/>
        <rFont val="Calibri"/>
        <family val="2"/>
        <charset val="1"/>
      </rPr>
      <t xml:space="preserve">BOM </t>
    </r>
    <r>
      <rPr>
        <sz val="11"/>
        <color theme="1"/>
        <rFont val="WenQuanYi Zen Hei"/>
        <family val="2"/>
      </rPr>
      <t xml:space="preserve">無公開）</t>
    </r>
  </si>
  <si>
    <r>
      <rPr>
        <sz val="11"/>
        <color theme="1"/>
        <rFont val="WenQuanYi Zen Hei"/>
        <family val="2"/>
      </rPr>
      <t xml:space="preserve">搜尋摘要。</t>
    </r>
    <r>
      <rPr>
        <sz val="11"/>
        <color theme="1"/>
        <rFont val="Calibri"/>
        <family val="2"/>
        <charset val="1"/>
      </rPr>
      <t xml:space="preserve">SiliconAnalysts </t>
    </r>
    <r>
      <rPr>
        <sz val="11"/>
        <color theme="1"/>
        <rFont val="WenQuanYi Zen Hei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HBM3E </t>
    </r>
    <r>
      <rPr>
        <sz val="11"/>
        <color theme="1"/>
        <rFont val="WenQuanYi Zen Hei"/>
        <family val="2"/>
      </rPr>
      <t xml:space="preserve">估價 </t>
    </r>
    <r>
      <rPr>
        <sz val="11"/>
        <color theme="1"/>
        <rFont val="Calibri"/>
        <family val="2"/>
        <charset val="1"/>
      </rPr>
      <t xml:space="preserve">$8.33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$11/GB </t>
    </r>
    <r>
      <rPr>
        <sz val="11"/>
        <color theme="1"/>
        <rFont val="WenQuanYi Zen Hei"/>
        <family val="2"/>
      </rPr>
      <t xml:space="preserve">不一致；現貨價可達 </t>
    </r>
    <r>
      <rPr>
        <sz val="11"/>
        <color theme="1"/>
        <rFont val="Calibri"/>
        <family val="2"/>
        <charset val="1"/>
      </rPr>
      <t xml:space="preserve">4–5 </t>
    </r>
    <r>
      <rPr>
        <sz val="11"/>
        <color theme="1"/>
        <rFont val="WenQuanYi Zen Hei"/>
        <family val="2"/>
      </rPr>
      <t xml:space="preserve">倍合約價（另一報導）。僅用於 </t>
    </r>
    <r>
      <rPr>
        <sz val="11"/>
        <color theme="1"/>
        <rFont val="Calibri"/>
        <family val="2"/>
        <charset val="1"/>
      </rPr>
      <t xml:space="preserve">D10 </t>
    </r>
    <r>
      <rPr>
        <sz val="11"/>
        <color theme="1"/>
        <rFont val="WenQuanYi Zen Hei"/>
        <family val="2"/>
      </rPr>
      <t xml:space="preserve">區間的下限推算。</t>
    </r>
  </si>
  <si>
    <t xml:space="preserve">E08</t>
  </si>
  <si>
    <r>
      <rPr>
        <sz val="11"/>
        <color theme="1"/>
        <rFont val="WenQuanYi Zen Hei"/>
        <family val="2"/>
      </rPr>
      <t xml:space="preserve">已搜尋，未找到：</t>
    </r>
    <r>
      <rPr>
        <sz val="11"/>
        <color theme="1"/>
        <rFont val="Calibri"/>
        <family val="2"/>
        <charset val="1"/>
      </rPr>
      <t xml:space="preserve">(1) Maia 200 </t>
    </r>
    <r>
      <rPr>
        <sz val="11"/>
        <color theme="1"/>
        <rFont val="WenQuanYi Zen Hei"/>
        <family val="2"/>
      </rPr>
      <t xml:space="preserve">公開售價或單顆成本；</t>
    </r>
    <r>
      <rPr>
        <sz val="11"/>
        <color theme="1"/>
        <rFont val="Calibri"/>
        <family val="2"/>
        <charset val="1"/>
      </rPr>
      <t xml:space="preserve">(2) Maia 200 </t>
    </r>
    <r>
      <rPr>
        <sz val="11"/>
        <color theme="1"/>
        <rFont val="WenQuanYi Zen Hei"/>
        <family val="2"/>
      </rPr>
      <t xml:space="preserve">第三方實測吞吐（</t>
    </r>
    <r>
      <rPr>
        <sz val="11"/>
        <color theme="1"/>
        <rFont val="Calibri"/>
        <family val="2"/>
        <charset val="1"/>
      </rPr>
      <t xml:space="preserve">MLPerf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Artificial Analysis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(3) Maia 200 </t>
    </r>
    <r>
      <rPr>
        <sz val="11"/>
        <color theme="1"/>
        <rFont val="WenQuanYi Zen Hei"/>
        <family val="2"/>
      </rPr>
      <t xml:space="preserve">機架功率的第二來源</t>
    </r>
  </si>
  <si>
    <r>
      <rPr>
        <sz val="11"/>
        <color theme="1"/>
        <rFont val="WenQuanYi Zen Hei"/>
        <family val="2"/>
      </rPr>
      <t xml:space="preserve">搜尋詞：「</t>
    </r>
    <r>
      <rPr>
        <sz val="11"/>
        <color theme="1"/>
        <rFont val="Calibri"/>
        <family val="2"/>
        <charset val="1"/>
      </rPr>
      <t xml:space="preserve">Maia 200 price/cost per chip/BOM/TCO</t>
    </r>
    <r>
      <rPr>
        <sz val="11"/>
        <color theme="1"/>
        <rFont val="WenQuanYi Zen Hei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Maia 200 benchmark tokens per second</t>
    </r>
    <r>
      <rPr>
        <sz val="11"/>
        <color theme="1"/>
        <rFont val="WenQuanYi Zen Hei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Maia 200 rack 64 kW</t>
    </r>
    <r>
      <rPr>
        <sz val="11"/>
        <color theme="1"/>
        <rFont val="WenQuanYi Zen Hei"/>
        <family val="2"/>
      </rPr>
      <t xml:space="preserve">」；網站範圍：搜尋引擎涵蓋 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ServeTheHome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The Next Platform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Hardware </t>
    </r>
    <r>
      <rPr>
        <sz val="11"/>
        <color theme="1"/>
        <rFont val="WenQuanYi Zen Hei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WenQuanYi Zen Hei"/>
        <family val="2"/>
      </rPr>
      <t xml:space="preserve">成本分析</t>
    </r>
  </si>
  <si>
    <r>
      <rPr>
        <sz val="11"/>
        <color theme="1"/>
        <rFont val="WenQuanYi Zen Hei"/>
        <family val="2"/>
      </rPr>
      <t xml:space="preserve">不存在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未找到：『未找到』（非『不存在』）</t>
    </r>
  </si>
  <si>
    <r>
      <rPr>
        <sz val="11"/>
        <color theme="1"/>
        <rFont val="WenQuanYi Zen Hei"/>
        <family val="2"/>
      </rPr>
      <t xml:space="preserve">屬『未找到』。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付費牆內容無法讀取，可能含 </t>
    </r>
    <r>
      <rPr>
        <sz val="11"/>
        <color theme="1"/>
        <rFont val="Calibri"/>
        <family val="2"/>
        <charset val="1"/>
      </rPr>
      <t xml:space="preserve">BOM</t>
    </r>
    <r>
      <rPr>
        <sz val="11"/>
        <color theme="1"/>
        <rFont val="WenQuanYi Zen 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</si>
  <si>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D7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D10</t>
    </r>
  </si>
  <si>
    <t xml:space="preserve">E09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</si>
  <si>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WenQuanYi Zen Hei"/>
        <family val="2"/>
      </rPr>
      <t xml:space="preserve">部署：已於美國中部（</t>
    </r>
    <r>
      <rPr>
        <sz val="11"/>
        <color theme="1"/>
        <rFont val="Calibri"/>
        <family val="2"/>
        <charset val="1"/>
      </rPr>
      <t xml:space="preserve">Iowa</t>
    </r>
    <r>
      <rPr>
        <sz val="11"/>
        <color theme="1"/>
        <rFont val="WenQuanYi Zen Hei"/>
        <family val="2"/>
      </rPr>
      <t xml:space="preserve">）上線，</t>
    </r>
    <r>
      <rPr>
        <sz val="11"/>
        <color theme="1"/>
        <rFont val="Calibri"/>
        <family val="2"/>
        <charset val="1"/>
      </rPr>
      <t xml:space="preserve">Phoenix </t>
    </r>
    <r>
      <rPr>
        <sz val="11"/>
        <color theme="1"/>
        <rFont val="WenQuanYi Zen Hei"/>
        <family val="2"/>
      </rPr>
      <t xml:space="preserve">次之；外部客戶可用性『未來』；供應商 </t>
    </r>
    <r>
      <rPr>
        <sz val="11"/>
        <color theme="1"/>
        <rFont val="Calibri"/>
        <family val="2"/>
        <charset val="1"/>
      </rPr>
      <t xml:space="preserve">TSMC 3nm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SK hynix </t>
    </r>
    <r>
      <rPr>
        <sz val="11"/>
        <color theme="1"/>
        <rFont val="WenQuanYi Zen Hei"/>
        <family val="2"/>
      </rPr>
      <t xml:space="preserve">獨供（報導）</t>
    </r>
  </si>
  <si>
    <r>
      <rPr>
        <sz val="11"/>
        <color theme="1"/>
        <rFont val="Calibri"/>
        <family val="2"/>
        <charset val="1"/>
      </rPr>
      <t xml:space="preserve">https://blogs.microsoft.com/blog/2026/01/26/maia-200/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https://trendforce.com/news/2026/01/27/news-microsoft-unveils-maia-200-ai-chip-on-tsmc-3nm-sk-hynix-reportedly-sole-hbm3e-supplier</t>
    </r>
  </si>
  <si>
    <t xml:space="preserve">搜尋摘要。</t>
  </si>
  <si>
    <t xml:space="preserve">E10</t>
  </si>
  <si>
    <r>
      <rPr>
        <sz val="11"/>
        <color theme="1"/>
        <rFont val="Calibri"/>
        <family val="2"/>
        <charset val="1"/>
      </rPr>
      <t xml:space="preserve">Ascend 910C </t>
    </r>
    <r>
      <rPr>
        <sz val="11"/>
        <color theme="1"/>
        <rFont val="WenQuanYi Zen Hei"/>
        <family val="2"/>
      </rPr>
      <t xml:space="preserve">單顆：雙 </t>
    </r>
    <r>
      <rPr>
        <sz val="11"/>
        <color theme="1"/>
        <rFont val="Calibri"/>
        <family val="2"/>
        <charset val="1"/>
      </rPr>
      <t xml:space="preserve">die </t>
    </r>
    <r>
      <rPr>
        <sz val="11"/>
        <color theme="1"/>
        <rFont val="WenQuanYi Zen Hei"/>
        <family val="2"/>
      </rPr>
      <t xml:space="preserve">封裝；</t>
    </r>
    <r>
      <rPr>
        <sz val="11"/>
        <color theme="1"/>
        <rFont val="Calibri"/>
        <family val="2"/>
        <charset val="1"/>
      </rPr>
      <t xml:space="preserve">752 TFLOPS dense BF16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128 GB HBM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WenQuanYi Zen Hei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stack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HBM2e</t>
    </r>
    <r>
      <rPr>
        <sz val="11"/>
        <color theme="1"/>
        <rFont val="WenQuanYi Zen Hei"/>
        <family val="2"/>
      </rPr>
      <t xml:space="preserve">）；總頻寬約 </t>
    </r>
    <r>
      <rPr>
        <sz val="11"/>
        <color theme="1"/>
        <rFont val="Calibri"/>
        <family val="2"/>
        <charset val="1"/>
      </rPr>
      <t xml:space="preserve">3.2 TB/s</t>
    </r>
    <r>
      <rPr>
        <sz val="11"/>
        <color theme="1"/>
        <rFont val="WenQuanYi Zen Hei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die 1.6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SMIC 7nm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TDP 600 W</t>
    </r>
    <r>
      <rPr>
        <sz val="11"/>
        <color theme="1"/>
        <rFont val="WenQuanYi Zen Hei"/>
        <family val="2"/>
      </rPr>
      <t xml:space="preserve">（估），上限約 </t>
    </r>
    <r>
      <rPr>
        <sz val="11"/>
        <color theme="1"/>
        <rFont val="Calibri"/>
        <family val="2"/>
        <charset val="1"/>
      </rPr>
      <t xml:space="preserve">690 W</t>
    </r>
  </si>
  <si>
    <r>
      <rPr>
        <sz val="11"/>
        <color theme="1"/>
        <rFont val="Calibri"/>
        <family val="2"/>
        <charset val="1"/>
      </rPr>
      <t xml:space="preserve">752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128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3.2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600</t>
    </r>
  </si>
  <si>
    <r>
      <rPr>
        <sz val="11"/>
        <color theme="1"/>
        <rFont val="Calibri"/>
        <family val="2"/>
        <charset val="1"/>
      </rPr>
      <t xml:space="preserve">TF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TB/s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</t>
    </r>
  </si>
  <si>
    <r>
      <rPr>
        <sz val="11"/>
        <color theme="1"/>
        <rFont val="WenQuanYi Zen Hei"/>
        <family val="2"/>
      </rPr>
      <t xml:space="preserve">單顆（兩 </t>
    </r>
    <r>
      <rPr>
        <sz val="11"/>
        <color theme="1"/>
        <rFont val="Calibri"/>
        <family val="2"/>
        <charset val="1"/>
      </rPr>
      <t xml:space="preserve">die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BF16 dense</t>
    </r>
  </si>
  <si>
    <r>
      <rPr>
        <sz val="11"/>
        <color theme="1"/>
        <rFont val="Calibri"/>
        <family val="2"/>
        <charset val="1"/>
      </rPr>
      <t xml:space="preserve">https://www.theregister.com/2025/07/29/huawei_rackscale_boogeyman/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https://flopper.io/gpu/huawei-ascend-910c/spec-sheet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</si>
  <si>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Register </t>
    </r>
    <r>
      <rPr>
        <sz val="11"/>
        <color theme="1"/>
        <rFont val="WenQuanYi Zen Hei"/>
        <family val="2"/>
      </rPr>
      <t xml:space="preserve">分析）＋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（資料庫站）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</si>
  <si>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（華為未公布官方 </t>
    </r>
    <r>
      <rPr>
        <sz val="11"/>
        <color theme="1"/>
        <rFont val="Calibri"/>
        <family val="2"/>
        <charset val="1"/>
      </rPr>
      <t xml:space="preserve">TDP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800 TF </t>
    </r>
    <r>
      <rPr>
        <sz val="11"/>
        <color theme="1"/>
        <rFont val="WenQuanYi Zen Hei"/>
        <family val="2"/>
      </rPr>
      <t xml:space="preserve">為洩漏值）</t>
    </r>
  </si>
  <si>
    <r>
      <rPr>
        <sz val="11"/>
        <color theme="1"/>
        <rFont val="WenQuanYi Zen Hei"/>
        <family val="2"/>
      </rPr>
      <t xml:space="preserve">搜尋摘要。</t>
    </r>
    <r>
      <rPr>
        <sz val="11"/>
        <color theme="1"/>
        <rFont val="Calibri"/>
        <family val="2"/>
        <charset val="1"/>
      </rPr>
      <t xml:space="preserve">TDP </t>
    </r>
    <r>
      <rPr>
        <sz val="11"/>
        <color theme="1"/>
        <rFont val="WenQuanYi Zen Hei"/>
        <family val="2"/>
      </rPr>
      <t xml:space="preserve">僅單一資料庫站；華為論文（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WenQuanYi Zen Hei"/>
        <family val="2"/>
      </rPr>
      <t xml:space="preserve">）未列整機功率。</t>
    </r>
  </si>
  <si>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384 </t>
    </r>
    <r>
      <rPr>
        <sz val="11"/>
        <color theme="1"/>
        <rFont val="WenQuanYi Zen Hei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WenQuanYi Zen Hei"/>
        <family val="2"/>
      </rPr>
      <t xml:space="preserve">機架（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WenQuanYi Zen Hei"/>
        <family val="2"/>
      </rPr>
      <t xml:space="preserve">運算＋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互連）、約 </t>
    </r>
    <r>
      <rPr>
        <sz val="11"/>
        <color theme="1"/>
        <rFont val="Calibri"/>
        <family val="2"/>
        <charset val="1"/>
      </rPr>
      <t xml:space="preserve">300 PF BF16 dense</t>
    </r>
    <r>
      <rPr>
        <sz val="11"/>
        <color theme="1"/>
        <rFont val="WenQuanYi Zen Hei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49 TB HBM</t>
    </r>
    <r>
      <rPr>
        <sz val="11"/>
        <color theme="1"/>
        <rFont val="WenQuanYi Zen Hei"/>
        <family val="2"/>
      </rPr>
      <t xml:space="preserve">、全光互連（</t>
    </r>
    <r>
      <rPr>
        <sz val="11"/>
        <color theme="1"/>
        <rFont val="Calibri"/>
        <family val="2"/>
        <charset val="1"/>
      </rPr>
      <t xml:space="preserve">UB</t>
    </r>
    <r>
      <rPr>
        <sz val="11"/>
        <color theme="1"/>
        <rFont val="WenQuanYi Zen Hei"/>
        <family val="2"/>
      </rPr>
      <t xml:space="preserve">）；佔地約為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WenQuanYi Zen Hei"/>
        <family val="2"/>
      </rPr>
      <t xml:space="preserve">倍</t>
    </r>
  </si>
  <si>
    <r>
      <rPr>
        <sz val="11"/>
        <color theme="1"/>
        <rFont val="Calibri"/>
        <family val="2"/>
        <charset val="1"/>
      </rPr>
      <t xml:space="preserve">384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49</t>
    </r>
  </si>
  <si>
    <r>
      <rPr>
        <sz val="11"/>
        <color theme="1"/>
        <rFont val="WenQuanYi Zen Hei"/>
        <family val="2"/>
      </rPr>
      <t xml:space="preserve">顆；架；</t>
    </r>
    <r>
      <rPr>
        <sz val="11"/>
        <color theme="1"/>
        <rFont val="Calibri"/>
        <family val="2"/>
        <charset val="1"/>
      </rPr>
      <t xml:space="preserve">PF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TB</t>
    </r>
  </si>
  <si>
    <t xml:space="preserve">整機</t>
  </si>
  <si>
    <r>
      <rPr>
        <sz val="11"/>
        <color theme="1"/>
        <rFont val="Calibri"/>
        <family val="2"/>
        <charset val="1"/>
      </rPr>
      <t xml:space="preserve">https://arxiv.org/abs/2506.12708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https://www.theregister.com/2025/07/29/huawei_rackscale_boogeyman/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https://newsletter.semianalysis.com/p/huawei-ai-cloudmatrix-384-chinas-answer-to-nvidia-gb200-nvl72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</si>
  <si>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（華為論文）＋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</si>
  <si>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（華為）</t>
    </r>
  </si>
  <si>
    <r>
      <rPr>
        <sz val="11"/>
        <color theme="1"/>
        <rFont val="WenQuanYi Zen Hei"/>
        <family val="2"/>
      </rPr>
      <t xml:space="preserve">論文全文已讀；機架數與 </t>
    </r>
    <r>
      <rPr>
        <sz val="11"/>
        <color theme="1"/>
        <rFont val="Calibri"/>
        <family val="2"/>
        <charset val="1"/>
      </rPr>
      <t xml:space="preserve">PF </t>
    </r>
    <r>
      <rPr>
        <sz val="11"/>
        <color theme="1"/>
        <rFont val="WenQuanYi Zen Hei"/>
        <family val="2"/>
      </rPr>
      <t xml:space="preserve">來自媒體／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WenQuanYi Zen Hei"/>
        <family val="2"/>
      </rPr>
      <t xml:space="preserve">（後者付費牆，僅讀摘要，非單一來源）。</t>
    </r>
  </si>
  <si>
    <t xml:space="preserve">E12</t>
  </si>
  <si>
    <r>
      <rPr>
        <sz val="11"/>
        <color theme="1"/>
        <rFont val="Calibri"/>
        <family val="2"/>
        <charset val="1"/>
      </rPr>
      <t xml:space="preserve">CM384 </t>
    </r>
    <r>
      <rPr>
        <sz val="11"/>
        <color theme="1"/>
        <rFont val="WenQuanYi Zen Hei"/>
        <family val="2"/>
      </rPr>
      <t xml:space="preserve">整機功率：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559 kW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GB200 NVL72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145 kW</t>
    </r>
    <r>
      <rPr>
        <sz val="11"/>
        <color theme="1"/>
        <rFont val="WenQuanYi Zen Hei"/>
        <family val="2"/>
      </rPr>
      <t xml:space="preserve">）→ 每 </t>
    </r>
    <r>
      <rPr>
        <sz val="11"/>
        <color theme="1"/>
        <rFont val="Calibri"/>
        <family val="2"/>
        <charset val="1"/>
      </rPr>
      <t xml:space="preserve">FLOP </t>
    </r>
    <r>
      <rPr>
        <sz val="11"/>
        <color theme="1"/>
        <rFont val="WenQuanYi Zen Hei"/>
        <family val="2"/>
      </rPr>
      <t xml:space="preserve">能效差 </t>
    </r>
    <r>
      <rPr>
        <sz val="11"/>
        <color theme="1"/>
        <rFont val="Calibri"/>
        <family val="2"/>
        <charset val="1"/>
      </rPr>
      <t xml:space="preserve">2.3 </t>
    </r>
    <r>
      <rPr>
        <sz val="11"/>
        <color theme="1"/>
        <rFont val="WenQuanYi Zen Hei"/>
        <family val="2"/>
      </rPr>
      <t xml:space="preserve">倍、每 </t>
    </r>
    <r>
      <rPr>
        <sz val="11"/>
        <color theme="1"/>
        <rFont val="Calibri"/>
        <family val="2"/>
        <charset val="1"/>
      </rPr>
      <t xml:space="preserve">TB/s </t>
    </r>
    <r>
      <rPr>
        <sz val="11"/>
        <color theme="1"/>
        <rFont val="WenQuanYi Zen Hei"/>
        <family val="2"/>
      </rPr>
      <t xml:space="preserve">頻寬差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WenQuanYi Zen Hei"/>
        <family val="2"/>
      </rPr>
      <t xml:space="preserve">倍；中文分析估 </t>
    </r>
    <r>
      <rPr>
        <sz val="11"/>
        <color theme="1"/>
        <rFont val="Calibri"/>
        <family val="2"/>
        <charset val="1"/>
      </rPr>
      <t xml:space="preserve">350–500 kW</t>
    </r>
    <r>
      <rPr>
        <sz val="11"/>
        <color theme="1"/>
        <rFont val="WenQuanYi Zen Hei"/>
        <family val="2"/>
      </rPr>
      <t xml:space="preserve">（查核員查不到該分析原文，</t>
    </r>
    <r>
      <rPr>
        <sz val="11"/>
        <color theme="1"/>
        <rFont val="Calibri"/>
        <family val="2"/>
        <charset val="1"/>
      </rPr>
      <t xml:space="preserve">425 kW </t>
    </r>
    <r>
      <rPr>
        <sz val="11"/>
        <color theme="1"/>
        <rFont val="WenQuanYi Zen Hei"/>
        <family val="2"/>
      </rPr>
      <t xml:space="preserve">樂觀端無獨立支持）；</t>
    </r>
    <r>
      <rPr>
        <sz val="11"/>
        <color theme="1"/>
        <rFont val="Calibri"/>
        <family val="2"/>
        <charset val="1"/>
      </rPr>
      <t xml:space="preserve">The Register </t>
    </r>
    <r>
      <rPr>
        <sz val="11"/>
        <color theme="1"/>
        <rFont val="WenQuanYi Zen Hei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600 kW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120 kW</t>
    </r>
    <r>
      <rPr>
        <sz val="11"/>
        <color theme="1"/>
        <rFont val="WenQuanYi Zen Hei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CloudSpress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599 kW</t>
    </r>
    <r>
      <rPr>
        <sz val="11"/>
        <color theme="1"/>
        <rFont val="WenQuanYi Zen Hei"/>
        <family val="2"/>
      </rPr>
      <t xml:space="preserve">，各轉述不一致；</t>
    </r>
    <r>
      <rPr>
        <sz val="11"/>
        <color theme="1"/>
        <rFont val="Calibri"/>
        <family val="2"/>
        <charset val="1"/>
      </rPr>
      <t xml:space="preserve">Flopper </t>
    </r>
    <r>
      <rPr>
        <sz val="11"/>
        <color theme="1"/>
        <rFont val="WenQuanYi Zen Hei"/>
        <family val="2"/>
      </rPr>
      <t xml:space="preserve">稱華為未公布功率、</t>
    </r>
    <r>
      <rPr>
        <sz val="11"/>
        <color theme="1"/>
        <rFont val="Calibri"/>
        <family val="2"/>
        <charset val="1"/>
      </rPr>
      <t xml:space="preserve">559 kW </t>
    </r>
    <r>
      <rPr>
        <sz val="11"/>
        <color theme="1"/>
        <rFont val="WenQuanYi Zen Hei"/>
        <family val="2"/>
      </rPr>
      <t xml:space="preserve">不出自華為</t>
    </r>
  </si>
  <si>
    <r>
      <rPr>
        <sz val="11"/>
        <color theme="1"/>
        <rFont val="Calibri"/>
        <family val="2"/>
        <charset val="1"/>
      </rPr>
      <t xml:space="preserve">559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145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350–500</t>
    </r>
  </si>
  <si>
    <t xml:space="preserve">整機估計（設計功率口徑未明）</t>
  </si>
  <si>
    <r>
      <rPr>
        <sz val="11"/>
        <color theme="1"/>
        <rFont val="Calibri"/>
        <family val="2"/>
        <charset val="1"/>
      </rPr>
      <t xml:space="preserve">https://www.huaweicentral.com/huawei-ai-cloudmatrix-is-power-hungry-over-nvidia-gb200-but-thats-fine/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https://tomshardware.com/tech-industry/artificial-intelligence/huaweis-new-ai-cloudmatrix-cluster-beats-nvidias-gb200-by-brute-force-uses-4x-the-power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https://chinaresearchcollective.substack.com/p/huawei-ascend-cloudmatrix-384-supernode</t>
    </r>
  </si>
  <si>
    <t xml:space="preserve">支持（但不確定）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</si>
  <si>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（第三方估算，非量測）</t>
    </r>
  </si>
  <si>
    <r>
      <rPr>
        <sz val="11"/>
        <color theme="1"/>
        <rFont val="WenQuanYi Zen Hei"/>
        <family val="2"/>
      </rPr>
      <t xml:space="preserve">搜尋摘要。</t>
    </r>
    <r>
      <rPr>
        <sz val="11"/>
        <color theme="1"/>
        <rFont val="Calibri"/>
        <family val="2"/>
        <charset val="1"/>
      </rPr>
      <t xml:space="preserve">559 kW </t>
    </r>
    <r>
      <rPr>
        <sz val="11"/>
        <color theme="1"/>
        <rFont val="WenQuanYi Zen Hei"/>
        <family val="2"/>
      </rPr>
      <t xml:space="preserve">全部可追溯至 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一份分析（單一來源鏈，查核員確認；</t>
    </r>
    <r>
      <rPr>
        <sz val="11"/>
        <color theme="1"/>
        <rFont val="Calibri"/>
        <family val="2"/>
        <charset val="1"/>
      </rPr>
      <t xml:space="preserve">SiliconANGLE </t>
    </r>
    <r>
      <rPr>
        <sz val="11"/>
        <color theme="1"/>
        <rFont val="WenQuanYi Zen Hei"/>
        <family val="2"/>
      </rPr>
      <t xml:space="preserve">誤寫成華為稱）；</t>
    </r>
    <r>
      <rPr>
        <sz val="11"/>
        <color theme="1"/>
        <rFont val="Calibri"/>
        <family val="2"/>
        <charset val="1"/>
      </rPr>
      <t xml:space="preserve">350–500 </t>
    </r>
    <r>
      <rPr>
        <sz val="11"/>
        <color theme="1"/>
        <rFont val="WenQuanYi Zen Hei"/>
        <family val="2"/>
      </rPr>
      <t xml:space="preserve">為另一中文分析。這是 </t>
    </r>
    <r>
      <rPr>
        <sz val="11"/>
        <color theme="1"/>
        <rFont val="Calibri"/>
        <family val="2"/>
        <charset val="1"/>
      </rPr>
      <t xml:space="preserve">910C </t>
    </r>
    <r>
      <rPr>
        <sz val="11"/>
        <color theme="1"/>
        <rFont val="WenQuanYi Zen Hei"/>
        <family val="2"/>
      </rPr>
      <t xml:space="preserve">側最大的輸入不確定。</t>
    </r>
  </si>
  <si>
    <t xml:space="preserve">E13</t>
  </si>
  <si>
    <r>
      <rPr>
        <sz val="11"/>
        <color theme="1"/>
        <rFont val="Calibri"/>
        <family val="2"/>
        <charset val="1"/>
      </rPr>
      <t xml:space="preserve">CloudMatrix-Infer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DeepSeek-R1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INT8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prefill 6,688 tok/s/NPU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4K prompt</t>
    </r>
    <r>
      <rPr>
        <sz val="11"/>
        <color theme="1"/>
        <rFont val="WenQuanYi Zen Hei"/>
        <family val="2"/>
      </rPr>
      <t xml:space="preserve">，完美 </t>
    </r>
    <r>
      <rPr>
        <sz val="11"/>
        <color theme="1"/>
        <rFont val="Calibri"/>
        <family val="2"/>
        <charset val="1"/>
      </rPr>
      <t xml:space="preserve">EPLB</t>
    </r>
    <r>
      <rPr>
        <sz val="11"/>
        <color theme="1"/>
        <rFont val="WenQuanYi Zen Hei"/>
        <family val="2"/>
      </rPr>
      <t xml:space="preserve">；預設 </t>
    </r>
    <r>
      <rPr>
        <sz val="11"/>
        <color theme="1"/>
        <rFont val="Calibri"/>
        <family val="2"/>
        <charset val="1"/>
      </rPr>
      <t xml:space="preserve">5,655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decode 1,943 tok/s/NPU</t>
    </r>
    <r>
      <rPr>
        <sz val="11"/>
        <color theme="1"/>
        <rFont val="WenQuanYi Zen Hei"/>
        <family val="2"/>
      </rPr>
      <t xml:space="preserve">（批次 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KV 4,096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TPOT 49.4 ms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TPOT 15 ms </t>
    </r>
    <r>
      <rPr>
        <sz val="11"/>
        <color theme="1"/>
        <rFont val="WenQuanYi Zen Hei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538</t>
    </r>
    <r>
      <rPr>
        <sz val="11"/>
        <color theme="1"/>
        <rFont val="WenQuanYi Zen Hei"/>
        <family val="2"/>
      </rPr>
      <t xml:space="preserve">；換算 </t>
    </r>
    <r>
      <rPr>
        <sz val="11"/>
        <color theme="1"/>
        <rFont val="Calibri"/>
        <family val="2"/>
        <charset val="1"/>
      </rPr>
      <t xml:space="preserve">4.45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1.29 tok/s/TFLOPS</t>
    </r>
    <r>
      <rPr>
        <sz val="11"/>
        <color theme="1"/>
        <rFont val="WenQuanYi Zen Hei"/>
        <family val="2"/>
      </rPr>
      <t xml:space="preserve">（⇒每顆≈</t>
    </r>
    <r>
      <rPr>
        <sz val="11"/>
        <color theme="1"/>
        <rFont val="Calibri"/>
        <family val="2"/>
        <charset val="1"/>
      </rPr>
      <t xml:space="preserve">1,503 TFLOPS INT8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</si>
  <si>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6,688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1,943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538</t>
    </r>
  </si>
  <si>
    <t xml:space="preserve">tok/s/NPU</t>
  </si>
  <si>
    <r>
      <rPr>
        <sz val="11"/>
        <color theme="1"/>
        <rFont val="Calibri"/>
        <family val="2"/>
        <charset val="1"/>
      </rPr>
      <t xml:space="preserve">DeepSeek-R1 671B MoE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EP320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INT8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MTP</t>
    </r>
  </si>
  <si>
    <r>
      <rPr>
        <sz val="11"/>
        <color theme="1"/>
        <rFont val="Calibri"/>
        <family val="2"/>
        <charset val="1"/>
      </rPr>
      <t xml:space="preserve">https://arxiv.org/abs/2506.12708 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https://arxiv.org/pdf/2506.12708v3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</si>
  <si>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（華為論文，</t>
    </r>
    <r>
      <rPr>
        <sz val="11"/>
        <color theme="1"/>
        <rFont val="Calibri"/>
        <family val="2"/>
        <charset val="1"/>
      </rPr>
      <t xml:space="preserve">arXiv v3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</si>
  <si>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（華為自家系統）</t>
    </r>
  </si>
  <si>
    <r>
      <rPr>
        <sz val="11"/>
        <color theme="1"/>
        <rFont val="WenQuanYi Zen Hei"/>
        <family val="2"/>
      </rPr>
      <t xml:space="preserve">論文全文已下載讀完（表 </t>
    </r>
    <r>
      <rPr>
        <sz val="11"/>
        <color theme="1"/>
        <rFont val="Calibri"/>
        <family val="2"/>
        <charset val="1"/>
      </rPr>
      <t xml:space="preserve">2–4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WenQuanYi Zen Hei"/>
        <family val="2"/>
      </rPr>
      <t xml:space="preserve">）。第二來源：同表列出之基準（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WenQuanYi Zen Hei"/>
        <family val="2"/>
      </rPr>
      <t xml:space="preserve">）為公開來源，但 </t>
    </r>
    <r>
      <rPr>
        <sz val="11"/>
        <color theme="1"/>
        <rFont val="Calibri"/>
        <family val="2"/>
        <charset val="1"/>
      </rPr>
      <t xml:space="preserve">910C </t>
    </r>
    <r>
      <rPr>
        <sz val="11"/>
        <color theme="1"/>
        <rFont val="WenQuanYi Zen Hei"/>
        <family val="2"/>
      </rPr>
      <t xml:space="preserve">數字本身無獨立複現。</t>
    </r>
  </si>
  <si>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C11</t>
    </r>
  </si>
  <si>
    <t xml:space="preserve">E14</t>
  </si>
  <si>
    <r>
      <rPr>
        <sz val="11"/>
        <color theme="1"/>
        <rFont val="WenQuanYi Zen Hei"/>
        <family val="2"/>
      </rPr>
      <t xml:space="preserve">基準對照：</t>
    </r>
    <r>
      <rPr>
        <sz val="11"/>
        <color theme="1"/>
        <rFont val="Calibri"/>
        <family val="2"/>
        <charset val="1"/>
      </rPr>
      <t xml:space="preserve">DeepSeek </t>
    </r>
    <r>
      <rPr>
        <sz val="11"/>
        <color theme="1"/>
        <rFont val="WenQuanYi Zen Hei"/>
        <family val="2"/>
      </rPr>
      <t xml:space="preserve">官方部落格 </t>
    </r>
    <r>
      <rPr>
        <sz val="11"/>
        <color theme="1"/>
        <rFont val="Calibri"/>
        <family val="2"/>
        <charset val="1"/>
      </rPr>
      <t xml:space="preserve">H800 decode 1,850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prefill 4,026 tok/s/GPU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DeepSeek profile 2,325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7,839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SGLang H100 decode 2,172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prefill 6,288–7,417</t>
    </r>
    <r>
      <rPr>
        <sz val="11"/>
        <color theme="1"/>
        <rFont val="WenQuanYi Zen Hei"/>
        <family val="2"/>
      </rPr>
      <t xml:space="preserve">。另 </t>
    </r>
    <r>
      <rPr>
        <sz val="11"/>
        <color theme="1"/>
        <rFont val="Calibri"/>
        <family val="2"/>
        <charset val="1"/>
      </rPr>
      <t xml:space="preserve">DeepSeek </t>
    </r>
    <r>
      <rPr>
        <sz val="11"/>
        <color theme="1"/>
        <rFont val="WenQuanYi Zen Hei"/>
        <family val="2"/>
      </rPr>
      <t xml:space="preserve">自測 </t>
    </r>
    <r>
      <rPr>
        <sz val="11"/>
        <color theme="1"/>
        <rFont val="Calibri"/>
        <family val="2"/>
        <charset val="1"/>
      </rPr>
      <t xml:space="preserve">910C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WenQuanYi Zen Hei"/>
        <family val="2"/>
      </rPr>
      <t xml:space="preserve">推論的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WeChat</t>
    </r>
    <r>
      <rPr>
        <sz val="11"/>
        <color theme="1"/>
        <rFont val="WenQuanYi Zen Hei"/>
        <family val="2"/>
      </rPr>
      <t xml:space="preserve">，媒體轉述；查核員：全部溯源到單一 </t>
    </r>
    <r>
      <rPr>
        <sz val="11"/>
        <color theme="1"/>
        <rFont val="Calibri"/>
        <family val="2"/>
        <charset val="1"/>
      </rPr>
      <t xml:space="preserve">WeChat </t>
    </r>
    <r>
      <rPr>
        <sz val="11"/>
        <color theme="1"/>
        <rFont val="WenQuanYi Zen Hei"/>
        <family val="2"/>
      </rPr>
      <t xml:space="preserve">轉述，無 </t>
    </r>
    <r>
      <rPr>
        <sz val="11"/>
        <color theme="1"/>
        <rFont val="Calibri"/>
        <family val="2"/>
        <charset val="1"/>
      </rPr>
      <t xml:space="preserve">DeepSeek </t>
    </r>
    <r>
      <rPr>
        <sz val="11"/>
        <color theme="1"/>
        <rFont val="WenQuanYi Zen Hei"/>
        <family val="2"/>
      </rPr>
      <t xml:space="preserve">一手資料）</t>
    </r>
  </si>
  <si>
    <r>
      <rPr>
        <sz val="11"/>
        <color theme="1"/>
        <rFont val="Calibri"/>
        <family val="2"/>
        <charset val="1"/>
      </rPr>
      <t xml:space="preserve">1,850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4,026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2,325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7,839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</si>
  <si>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Calibri"/>
        <family val="2"/>
        <charset val="1"/>
      </rPr>
      <t xml:space="preserve">tok/s/GPU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%</t>
    </r>
  </si>
  <si>
    <r>
      <rPr>
        <sz val="11"/>
        <color theme="1"/>
        <rFont val="Calibri"/>
        <family val="2"/>
        <charset val="1"/>
      </rPr>
      <t xml:space="preserve">DeepSeek-R1</t>
    </r>
    <r>
      <rPr>
        <sz val="11"/>
        <color theme="1"/>
        <rFont val="WenQuanYi Zen Hei"/>
        <family val="2"/>
      </rPr>
      <t xml:space="preserve">，同量級 </t>
    </r>
    <r>
      <rPr>
        <sz val="11"/>
        <color theme="1"/>
        <rFont val="Calibri"/>
        <family val="2"/>
        <charset val="1"/>
      </rPr>
      <t xml:space="preserve">TPOT≈50 ms</t>
    </r>
  </si>
  <si>
    <r>
      <rPr>
        <sz val="11"/>
        <color theme="1"/>
        <rFont val="Calibri"/>
        <family val="2"/>
        <charset val="1"/>
      </rPr>
      <t xml:space="preserve">https://arxiv.org/pdf/2506.12708v3 </t>
    </r>
    <r>
      <rPr>
        <sz val="11"/>
        <color theme="1"/>
        <rFont val="WenQuanYi Zen Hei"/>
        <family val="2"/>
      </rPr>
      <t xml:space="preserve">（表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https://gigazine.net/gsc_news/en/20250207-huawei-ascend-910c-inference-performance-nvidia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</si>
  <si>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（公開基準經華為論文轉引）＋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</si>
  <si>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WenQuanYi Zen Hei"/>
        <family val="2"/>
      </rPr>
      <t xml:space="preserve">支持／衝突（</t>
    </r>
    <r>
      <rPr>
        <sz val="11"/>
        <color theme="1"/>
        <rFont val="Calibri"/>
        <family val="2"/>
        <charset val="1"/>
      </rPr>
      <t xml:space="preserve">0.6 vs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</si>
  <si>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DeepSeek </t>
    </r>
    <r>
      <rPr>
        <sz val="11"/>
        <color theme="1"/>
        <rFont val="WenQuanYi Zen Hei"/>
        <family val="2"/>
      </rPr>
      <t xml:space="preserve">亦為華為客戶）</t>
    </r>
  </si>
  <si>
    <r>
      <rPr>
        <sz val="11"/>
        <color theme="1"/>
        <rFont val="WenQuanYi Zen Hei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WenQuanYi Zen Hei"/>
        <family val="2"/>
      </rPr>
      <t xml:space="preserve">』無工作負載細節；論文較新（</t>
    </r>
    <r>
      <rPr>
        <sz val="11"/>
        <color theme="1"/>
        <rFont val="Calibri"/>
        <family val="2"/>
        <charset val="1"/>
      </rPr>
      <t xml:space="preserve">2025-06</t>
    </r>
    <r>
      <rPr>
        <sz val="11"/>
        <color theme="1"/>
        <rFont val="WenQuanYi Zen Hei"/>
        <family val="2"/>
      </rPr>
      <t xml:space="preserve">）。兩者並列為 </t>
    </r>
    <r>
      <rPr>
        <sz val="11"/>
        <color theme="1"/>
        <rFont val="Calibri"/>
        <family val="2"/>
        <charset val="1"/>
      </rPr>
      <t xml:space="preserve">C11 </t>
    </r>
    <r>
      <rPr>
        <sz val="11"/>
        <color theme="1"/>
        <rFont val="WenQuanYi Zen Hei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0.6–1.3</t>
    </r>
    <r>
      <rPr>
        <sz val="11"/>
        <color theme="1"/>
        <rFont val="WenQuanYi Zen Hei"/>
        <family val="2"/>
      </rPr>
      <t xml:space="preserve">。</t>
    </r>
  </si>
  <si>
    <t xml:space="preserve">E15</t>
  </si>
  <si>
    <r>
      <rPr>
        <sz val="11"/>
        <color theme="1"/>
        <rFont val="Calibri"/>
        <family val="2"/>
        <charset val="1"/>
      </rPr>
      <t xml:space="preserve">Ascend 950 </t>
    </r>
    <r>
      <rPr>
        <sz val="11"/>
        <color theme="1"/>
        <rFont val="WenQuanYi Zen Hei"/>
        <family val="2"/>
      </rPr>
      <t xml:space="preserve">系列：</t>
    </r>
    <r>
      <rPr>
        <sz val="11"/>
        <color theme="1"/>
        <rFont val="Calibri"/>
        <family val="2"/>
        <charset val="1"/>
      </rPr>
      <t xml:space="preserve">950PR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prefill</t>
    </r>
    <r>
      <rPr>
        <sz val="11"/>
        <color theme="1"/>
        <rFont val="WenQuanYi Zen Hei"/>
        <family val="2"/>
      </rPr>
      <t xml:space="preserve">／推薦，</t>
    </r>
    <r>
      <rPr>
        <sz val="11"/>
        <color theme="1"/>
        <rFont val="Calibri"/>
        <family val="2"/>
        <charset val="1"/>
      </rPr>
      <t xml:space="preserve">HiBL 128 GB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 TB/s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950DT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decode</t>
    </r>
    <r>
      <rPr>
        <sz val="11"/>
        <color theme="1"/>
        <rFont val="WenQuanYi Zen Hei"/>
        <family val="2"/>
      </rPr>
      <t xml:space="preserve">／訓練，</t>
    </r>
    <r>
      <rPr>
        <sz val="11"/>
        <color theme="1"/>
        <rFont val="Calibri"/>
        <family val="2"/>
        <charset val="1"/>
      </rPr>
      <t xml:space="preserve">HiZQ 144 GB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 TB/s</t>
    </r>
    <r>
      <rPr>
        <sz val="11"/>
        <color theme="1"/>
        <rFont val="WenQuanYi Zen Hei"/>
        <family val="2"/>
      </rPr>
      <t xml:space="preserve">）；系列層級 </t>
    </r>
    <r>
      <rPr>
        <sz val="11"/>
        <color theme="1"/>
        <rFont val="Calibri"/>
        <family val="2"/>
        <charset val="1"/>
      </rPr>
      <t xml:space="preserve">1 PF FP8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 PF FP4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950PR 2026-03 </t>
    </r>
    <r>
      <rPr>
        <sz val="11"/>
        <color theme="1"/>
        <rFont val="WenQuanYi Zen Hei"/>
        <family val="2"/>
      </rPr>
      <t xml:space="preserve">發表、約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月量產、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目標約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WenQuanYi Zen Hei"/>
        <family val="2"/>
      </rPr>
      <t xml:space="preserve">萬顆；</t>
    </r>
    <r>
      <rPr>
        <sz val="11"/>
        <color theme="1"/>
        <rFont val="Calibri"/>
        <family val="2"/>
        <charset val="1"/>
      </rPr>
      <t xml:space="preserve">Atlas 950 SuperPoD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8,192 </t>
    </r>
    <r>
      <rPr>
        <sz val="11"/>
        <color theme="1"/>
        <rFont val="WenQuanYi Zen Hei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950DT</t>
    </r>
    <r>
      <rPr>
        <sz val="11"/>
        <color theme="1"/>
        <rFont val="WenQuanYi Zen Hei"/>
        <family val="2"/>
      </rPr>
      <t xml:space="preserve">）預定 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WenQuanYi Zen Hei"/>
        <family val="2"/>
      </rPr>
      <t xml:space="preserve">，查無商用出貨確證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</si>
  <si>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128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144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750,000</t>
    </r>
  </si>
  <si>
    <r>
      <rPr>
        <sz val="11"/>
        <color theme="1"/>
        <rFont val="Calibri"/>
        <family val="2"/>
        <charset val="1"/>
      </rPr>
      <t xml:space="preserve">PF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PF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WenQuanYi Zen Hei"/>
        <family val="2"/>
      </rPr>
      <t xml:space="preserve">；顆</t>
    </r>
  </si>
  <si>
    <r>
      <rPr>
        <sz val="11"/>
        <color theme="1"/>
        <rFont val="WenQuanYi Zen Hei"/>
        <family val="2"/>
      </rPr>
      <t xml:space="preserve">系列層級；</t>
    </r>
    <r>
      <rPr>
        <sz val="11"/>
        <color theme="1"/>
        <rFont val="Calibri"/>
        <family val="2"/>
        <charset val="1"/>
      </rPr>
      <t xml:space="preserve">PR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DT </t>
    </r>
    <r>
      <rPr>
        <sz val="11"/>
        <color theme="1"/>
        <rFont val="WenQuanYi Zen Hei"/>
        <family val="2"/>
      </rPr>
      <t xml:space="preserve">未分</t>
    </r>
  </si>
  <si>
    <r>
      <rPr>
        <sz val="11"/>
        <color theme="1"/>
        <rFont val="Calibri"/>
        <family val="2"/>
        <charset val="1"/>
      </rPr>
      <t xml:space="preserve">https://www.jonpeddie.com/techwatch/huaweis-ascend-950-ai-processor/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https://www.trendforce.com/news/2026/07/02/news-huawei-reportedly-plans-4q26-korea-launch-of-ascend-ai-chips-and-atlas-950-superpod-as-nvidia-alternative/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https://www.technology.org/2026/04/29/huawei-ascend-950-orders-surge-as-deepseek-v4-drives-chinese-cloud-giants-to-buy/</t>
    </r>
  </si>
  <si>
    <t xml:space="preserve">中性（定位『現行主力』用）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</si>
  <si>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（華為路線圖）</t>
    </r>
  </si>
  <si>
    <r>
      <rPr>
        <sz val="11"/>
        <color theme="1"/>
        <rFont val="WenQuanYi Zen Hei"/>
        <family val="2"/>
      </rPr>
      <t xml:space="preserve">搜尋摘要。各來源對 </t>
    </r>
    <r>
      <rPr>
        <sz val="11"/>
        <color theme="1"/>
        <rFont val="Calibri"/>
        <family val="2"/>
        <charset val="1"/>
      </rPr>
      <t xml:space="preserve">Atlas 950 </t>
    </r>
    <r>
      <rPr>
        <sz val="11"/>
        <color theme="1"/>
        <rFont val="WenQuanYi Zen Hei"/>
        <family val="2"/>
      </rPr>
      <t xml:space="preserve">是否已商用互相矛盾（</t>
    </r>
    <r>
      <rPr>
        <sz val="11"/>
        <color theme="1"/>
        <rFont val="Calibri"/>
        <family val="2"/>
        <charset val="1"/>
      </rPr>
      <t xml:space="preserve">CRN </t>
    </r>
    <r>
      <rPr>
        <sz val="11"/>
        <color theme="1"/>
        <rFont val="WenQuanYi Zen Hei"/>
        <family val="2"/>
      </rPr>
      <t xml:space="preserve">稱商用、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WenQuanYi Zen Hei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韓國發表）→ 列入待判斷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WenQuanYi Zen Hei"/>
        <family val="2"/>
      </rPr>
      <t xml:space="preserve">。</t>
    </r>
  </si>
  <si>
    <r>
      <rPr>
        <sz val="11"/>
        <color theme="1"/>
        <rFont val="WenQuanYi Zen Hei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Q1</t>
    </r>
  </si>
  <si>
    <t xml:space="preserve">E16</t>
  </si>
  <si>
    <r>
      <rPr>
        <sz val="11"/>
        <color theme="1"/>
        <rFont val="Calibri"/>
        <family val="2"/>
        <charset val="1"/>
      </rPr>
      <t xml:space="preserve">CM384 </t>
    </r>
    <r>
      <rPr>
        <sz val="11"/>
        <color theme="1"/>
        <rFont val="WenQuanYi Zen Hei"/>
        <family val="2"/>
      </rPr>
      <t xml:space="preserve">系統價格約 </t>
    </r>
    <r>
      <rPr>
        <sz val="11"/>
        <color theme="1"/>
        <rFont val="Calibri"/>
        <family val="2"/>
        <charset val="1"/>
      </rPr>
      <t xml:space="preserve">¥6,000 </t>
    </r>
    <r>
      <rPr>
        <sz val="11"/>
        <color theme="1"/>
        <rFont val="WenQuanYi Zen Hei"/>
        <family val="2"/>
      </rPr>
      <t xml:space="preserve">萬（≈</t>
    </r>
    <r>
      <rPr>
        <sz val="11"/>
        <color theme="1"/>
        <rFont val="Calibri"/>
        <family val="2"/>
        <charset val="1"/>
      </rPr>
      <t xml:space="preserve">$8.2M</t>
    </r>
    <r>
      <rPr>
        <sz val="11"/>
        <color theme="1"/>
        <rFont val="WenQuanYi Zen Hei"/>
        <family val="2"/>
      </rPr>
      <t xml:space="preserve">），相對 </t>
    </r>
    <r>
      <rPr>
        <sz val="11"/>
        <color theme="1"/>
        <rFont val="Calibri"/>
        <family val="2"/>
        <charset val="1"/>
      </rPr>
      <t xml:space="preserve">GB200 NVL72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$3M</t>
    </r>
  </si>
  <si>
    <t xml:space="preserve">8.2</t>
  </si>
  <si>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WenQuanYi Zen Hei"/>
        <family val="2"/>
      </rPr>
      <t xml:space="preserve">／套</t>
    </r>
  </si>
  <si>
    <t xml:space="preserve">中國市場，估計報價</t>
  </si>
  <si>
    <r>
      <rPr>
        <sz val="11"/>
        <color theme="1"/>
        <rFont val="Calibri"/>
        <family val="2"/>
        <charset val="1"/>
      </rPr>
      <t xml:space="preserve">https://www.benzinga.com/government/regulations/25/04/45113788/huaweis-new-ai-cluster-takes-on-nvidia-but-at-a-higher-cost-following-sanctions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https://www.igorslab.de/en/huawei-cloudmatrix-384-chinese-ai-giant-with-high-price-and-high-computing-power/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</si>
  <si>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WenQuanYi Zen Hei"/>
        <family val="2"/>
      </rPr>
      <t xml:space="preserve">經轉載）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</si>
  <si>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（賣方分析師報價）；非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WenQuanYi Zen Hei"/>
        <family val="2"/>
      </rPr>
      <t xml:space="preserve">全球口徑</t>
    </r>
  </si>
  <si>
    <r>
      <rPr>
        <sz val="11"/>
        <color theme="1"/>
        <rFont val="WenQuanYi Zen Hei"/>
        <family val="2"/>
      </rPr>
      <t xml:space="preserve">搜尋摘要。</t>
    </r>
    <r>
      <rPr>
        <sz val="11"/>
        <color theme="1"/>
        <rFont val="Calibri"/>
        <family val="2"/>
        <charset val="1"/>
      </rPr>
      <t xml:space="preserve">2025-04 </t>
    </r>
    <r>
      <rPr>
        <sz val="11"/>
        <color theme="1"/>
        <rFont val="WenQuanYi Zen Hei"/>
        <family val="2"/>
      </rPr>
      <t xml:space="preserve">報導，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價格未知（供給吃緊可能更高）。</t>
    </r>
  </si>
  <si>
    <t xml:space="preserve">E17</t>
  </si>
  <si>
    <r>
      <rPr>
        <sz val="11"/>
        <color theme="1"/>
        <rFont val="Calibri"/>
        <family val="2"/>
        <charset val="1"/>
      </rPr>
      <t xml:space="preserve">910C </t>
    </r>
    <r>
      <rPr>
        <sz val="11"/>
        <color theme="1"/>
        <rFont val="WenQuanYi Zen Hei"/>
        <family val="2"/>
      </rPr>
      <t xml:space="preserve">單顆價格估 </t>
    </r>
    <r>
      <rPr>
        <sz val="11"/>
        <color theme="1"/>
        <rFont val="Calibri"/>
        <family val="2"/>
        <charset val="1"/>
      </rPr>
      <t xml:space="preserve">¥18–20 </t>
    </r>
    <r>
      <rPr>
        <sz val="11"/>
        <color theme="1"/>
        <rFont val="WenQuanYi Zen Hei"/>
        <family val="2"/>
      </rPr>
      <t xml:space="preserve">萬（</t>
    </r>
    <r>
      <rPr>
        <sz val="11"/>
        <color theme="1"/>
        <rFont val="Calibri"/>
        <family val="2"/>
        <charset val="1"/>
      </rPr>
      <t xml:space="preserve">910B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¥11 </t>
    </r>
    <r>
      <rPr>
        <sz val="11"/>
        <color theme="1"/>
        <rFont val="WenQuanYi Zen Hei"/>
        <family val="2"/>
      </rPr>
      <t xml:space="preserve">萬）；</t>
    </r>
    <r>
      <rPr>
        <sz val="11"/>
        <color theme="1"/>
        <rFont val="Calibri"/>
        <family val="2"/>
        <charset val="1"/>
      </rPr>
      <t xml:space="preserve">384×¥19 </t>
    </r>
    <r>
      <rPr>
        <sz val="11"/>
        <color theme="1"/>
        <rFont val="WenQuanYi Zen Hei"/>
        <family val="2"/>
      </rPr>
      <t xml:space="preserve">萬≈</t>
    </r>
    <r>
      <rPr>
        <sz val="11"/>
        <color theme="1"/>
        <rFont val="Calibri"/>
        <family val="2"/>
        <charset val="1"/>
      </rPr>
      <t xml:space="preserve">¥7,300 </t>
    </r>
    <r>
      <rPr>
        <sz val="11"/>
        <color theme="1"/>
        <rFont val="WenQuanYi Zen Hei"/>
        <family val="2"/>
      </rPr>
      <t xml:space="preserve">萬，高於整機 </t>
    </r>
    <r>
      <rPr>
        <sz val="11"/>
        <color theme="1"/>
        <rFont val="Calibri"/>
        <family val="2"/>
        <charset val="1"/>
      </rPr>
      <t xml:space="preserve">¥6,000 </t>
    </r>
    <r>
      <rPr>
        <sz val="11"/>
        <color theme="1"/>
        <rFont val="WenQuanYi Zen Hei"/>
        <family val="2"/>
      </rPr>
      <t xml:space="preserve">萬 → 兩者不自洽</t>
    </r>
  </si>
  <si>
    <t xml:space="preserve">180,000–200,000</t>
  </si>
  <si>
    <r>
      <rPr>
        <sz val="11"/>
        <color theme="1"/>
        <rFont val="Calibri"/>
        <family val="2"/>
        <charset val="1"/>
      </rPr>
      <t xml:space="preserve">¥</t>
    </r>
    <r>
      <rPr>
        <sz val="11"/>
        <color theme="1"/>
        <rFont val="WenQuanYi Zen Hei"/>
        <family val="2"/>
      </rPr>
      <t xml:space="preserve">／顆</t>
    </r>
  </si>
  <si>
    <t xml:space="preserve">未經證實</t>
  </si>
  <si>
    <t xml:space="preserve">https://medium.com/@huaweiclouddevelper/a-brief-introduction-to-huawei-ascend-cloud-cbef8f25bc34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</si>
  <si>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（品質低，自媒體）</t>
    </r>
  </si>
  <si>
    <r>
      <rPr>
        <sz val="11"/>
        <color theme="1"/>
        <rFont val="WenQuanYi Zen Hei"/>
        <family val="2"/>
      </rPr>
      <t xml:space="preserve">搜尋摘要。僅用於 </t>
    </r>
    <r>
      <rPr>
        <sz val="11"/>
        <color theme="1"/>
        <rFont val="Calibri"/>
        <family val="2"/>
        <charset val="1"/>
      </rPr>
      <t xml:space="preserve">C14 </t>
    </r>
    <r>
      <rPr>
        <sz val="11"/>
        <color theme="1"/>
        <rFont val="WenQuanYi Zen Hei"/>
        <family val="2"/>
      </rPr>
      <t xml:space="preserve">高端。</t>
    </r>
  </si>
  <si>
    <t xml:space="preserve">E18</t>
  </si>
  <si>
    <r>
      <rPr>
        <sz val="11"/>
        <color theme="1"/>
        <rFont val="Calibri"/>
        <family val="2"/>
        <charset val="1"/>
      </rPr>
      <t xml:space="preserve">Atlas 350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950PR</t>
    </r>
    <r>
      <rPr>
        <sz val="11"/>
        <color theme="1"/>
        <rFont val="WenQuanYi Zen Hei"/>
        <family val="2"/>
      </rPr>
      <t xml:space="preserve">）估價約 </t>
    </r>
    <r>
      <rPr>
        <sz val="11"/>
        <color theme="1"/>
        <rFont val="Calibri"/>
        <family val="2"/>
        <charset val="1"/>
      </rPr>
      <t xml:space="preserve">¥111,000</t>
    </r>
    <r>
      <rPr>
        <sz val="11"/>
        <color theme="1"/>
        <rFont val="WenQuanYi Zen Hei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$16K</t>
    </r>
    <r>
      <rPr>
        <sz val="11"/>
        <color theme="1"/>
        <rFont val="WenQuanYi Zen Hei"/>
        <family val="2"/>
      </rPr>
      <t xml:space="preserve">）；另一俄文報導 </t>
    </r>
    <r>
      <rPr>
        <sz val="11"/>
        <color theme="1"/>
        <rFont val="Calibri"/>
        <family val="2"/>
        <charset val="1"/>
      </rPr>
      <t xml:space="preserve">950PR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$6,900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DDR</t>
    </r>
    <r>
      <rPr>
        <sz val="11"/>
        <color theme="1"/>
        <rFont val="WenQuanYi Zen Hei"/>
        <family val="2"/>
      </rPr>
      <t xml:space="preserve">）至 </t>
    </r>
    <r>
      <rPr>
        <sz val="11"/>
        <color theme="1"/>
        <rFont val="Calibri"/>
        <family val="2"/>
        <charset val="1"/>
      </rPr>
      <t xml:space="preserve">&gt;$10,000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</si>
  <si>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111,000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6,900–10,000</t>
    </r>
  </si>
  <si>
    <r>
      <rPr>
        <sz val="11"/>
        <color theme="1"/>
        <rFont val="Calibri"/>
        <family val="2"/>
        <charset val="1"/>
      </rPr>
      <t xml:space="preserve">¥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</t>
    </r>
  </si>
  <si>
    <t xml:space="preserve">估計</t>
  </si>
  <si>
    <r>
      <rPr>
        <sz val="11"/>
        <color theme="1"/>
        <rFont val="Calibri"/>
        <family val="2"/>
        <charset val="1"/>
      </rPr>
      <t xml:space="preserve">https://www.techradar.com/pro/huawei-reveals-its-latest-nvidia-h20-killer-packing-a-frankly-ridiculous-1-56-pflops-of-fp4-compute-and-up-to-112gb-of-hbm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https://3dnews.ru/1139011/huawei-usilila-ascend-950pr-sovmestimostyu-s-nvidia-cuda-i-natselilas-na-sotni-tisyach-postavok/amp</t>
    </r>
  </si>
  <si>
    <r>
      <rPr>
        <sz val="11"/>
        <color theme="1"/>
        <rFont val="WenQuanYi Zen Hei"/>
        <family val="2"/>
      </rPr>
      <t xml:space="preserve">搜尋摘要。未用於基準；說明 </t>
    </r>
    <r>
      <rPr>
        <sz val="11"/>
        <color theme="1"/>
        <rFont val="Calibri"/>
        <family val="2"/>
        <charset val="1"/>
      </rPr>
      <t xml:space="preserve">950 </t>
    </r>
    <r>
      <rPr>
        <sz val="11"/>
        <color theme="1"/>
        <rFont val="WenQuanYi Zen Hei"/>
        <family val="2"/>
      </rPr>
      <t xml:space="preserve">世代單顆價約 </t>
    </r>
    <r>
      <rPr>
        <sz val="11"/>
        <color theme="1"/>
        <rFont val="Calibri"/>
        <family val="2"/>
        <charset val="1"/>
      </rPr>
      <t xml:space="preserve">$7–16K</t>
    </r>
    <r>
      <rPr>
        <sz val="11"/>
        <color theme="1"/>
        <rFont val="WenQuanYi Zen Hei"/>
        <family val="2"/>
      </rPr>
      <t xml:space="preserve">。</t>
    </r>
  </si>
  <si>
    <t xml:space="preserve">E19</t>
  </si>
  <si>
    <r>
      <rPr>
        <sz val="11"/>
        <color theme="1"/>
        <rFont val="WenQuanYi Zen Hei"/>
        <family val="2"/>
      </rPr>
      <t xml:space="preserve">對照規格：</t>
    </r>
    <r>
      <rPr>
        <sz val="11"/>
        <color theme="1"/>
        <rFont val="Calibri"/>
        <family val="2"/>
        <charset val="1"/>
      </rPr>
      <t xml:space="preserve">Trainium3 2.52 PF FP8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144 GB HBM3e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4.9 TB/s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UltraServer 144 </t>
    </r>
    <r>
      <rPr>
        <sz val="11"/>
        <color theme="1"/>
        <rFont val="WenQuanYi Zen Hei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TPU v7 Ironwood 4,614 TF FP8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192 GB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&gt;7 TB/s</t>
    </r>
    <r>
      <rPr>
        <sz val="11"/>
        <color theme="1"/>
        <rFont val="WenQuanYi Zen Hei"/>
        <family val="2"/>
      </rPr>
      <t xml:space="preserve">（單一來源）；兩者機架功率均未找到</t>
    </r>
  </si>
  <si>
    <r>
      <rPr>
        <sz val="11"/>
        <color theme="1"/>
        <rFont val="Calibri"/>
        <family val="2"/>
        <charset val="1"/>
      </rPr>
      <t xml:space="preserve">2.52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4.614</t>
    </r>
  </si>
  <si>
    <t xml:space="preserve">PF FP8</t>
  </si>
  <si>
    <t xml:space="preserve">單顆</t>
  </si>
  <si>
    <r>
      <rPr>
        <sz val="11"/>
        <color theme="1"/>
        <rFont val="Calibri"/>
        <family val="2"/>
        <charset val="1"/>
      </rPr>
      <t xml:space="preserve">https://aws.amazon.com/about-aws/whats-new/2025/12/amazon-ec2-trn3-ultraservers/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https://www.naddod.com/ar/ai-insights/google-tpu-the-ai-chip-for-the-ai-inference-era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</si>
  <si>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</t>
    </r>
    <r>
      <rPr>
        <sz val="11"/>
        <color theme="1"/>
        <rFont val="WenQuanYi Zen Hei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WenQuanYi Zen Hei"/>
        <family val="2"/>
      </rPr>
      <t xml:space="preserve">單一來源）</t>
    </r>
  </si>
  <si>
    <r>
      <rPr>
        <sz val="11"/>
        <color theme="1"/>
        <rFont val="WenQuanYi Zen Hei"/>
        <family val="2"/>
      </rPr>
      <t xml:space="preserve">搜尋摘要。用於『與既有列相對位置』的質性比較（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WenQuanYi Zen Hei"/>
        <family val="2"/>
      </rPr>
      <t xml:space="preserve">單顆 </t>
    </r>
    <r>
      <rPr>
        <sz val="11"/>
        <color theme="1"/>
        <rFont val="Calibri"/>
        <family val="2"/>
        <charset val="1"/>
      </rPr>
      <t xml:space="preserve">FP8 5.07 PF ≈ TPU v7</t>
    </r>
    <r>
      <rPr>
        <sz val="11"/>
        <color theme="1"/>
        <rFont val="WenQuanYi Zen Hei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2× Trn3</t>
    </r>
    <r>
      <rPr>
        <sz val="11"/>
        <color theme="1"/>
        <rFont val="WenQuanYi Zen Hei"/>
        <family val="2"/>
      </rPr>
      <t xml:space="preserve">）；功率缺，無法做每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WenQuanYi Zen Hei"/>
        <family val="2"/>
      </rPr>
      <t xml:space="preserve">比較。</t>
    </r>
  </si>
  <si>
    <t xml:space="preserve">README</t>
  </si>
  <si>
    <t xml:space="preserve">E20</t>
  </si>
  <si>
    <r>
      <rPr>
        <sz val="11"/>
        <color theme="1"/>
        <rFont val="WenQuanYi Zen Hei"/>
        <family val="2"/>
      </rPr>
      <t xml:space="preserve">已搜尋，未找到：</t>
    </r>
    <r>
      <rPr>
        <sz val="11"/>
        <color theme="1"/>
        <rFont val="Calibri"/>
        <family val="2"/>
        <charset val="1"/>
      </rPr>
      <t xml:space="preserve">(1) 910C </t>
    </r>
    <r>
      <rPr>
        <sz val="11"/>
        <color theme="1"/>
        <rFont val="WenQuanYi Zen Hei"/>
        <family val="2"/>
      </rPr>
      <t xml:space="preserve">官方 </t>
    </r>
    <r>
      <rPr>
        <sz val="11"/>
        <color theme="1"/>
        <rFont val="Calibri"/>
        <family val="2"/>
        <charset val="1"/>
      </rPr>
      <t xml:space="preserve">TDP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CM384 </t>
    </r>
    <r>
      <rPr>
        <sz val="11"/>
        <color theme="1"/>
        <rFont val="WenQuanYi Zen Hei"/>
        <family val="2"/>
      </rPr>
      <t xml:space="preserve">官方整機功率；</t>
    </r>
    <r>
      <rPr>
        <sz val="11"/>
        <color theme="1"/>
        <rFont val="Calibri"/>
        <family val="2"/>
        <charset val="1"/>
      </rPr>
      <t xml:space="preserve">(2) Atlas 950 SuperPoD </t>
    </r>
    <r>
      <rPr>
        <sz val="11"/>
        <color theme="1"/>
        <rFont val="WenQuanYi Zen Hei"/>
        <family val="2"/>
      </rPr>
      <t xml:space="preserve">整機功率；</t>
    </r>
    <r>
      <rPr>
        <sz val="11"/>
        <color theme="1"/>
        <rFont val="Calibri"/>
        <family val="2"/>
        <charset val="1"/>
      </rPr>
      <t xml:space="preserve">(3) 2026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950 </t>
    </r>
    <r>
      <rPr>
        <sz val="11"/>
        <color theme="1"/>
        <rFont val="WenQuanYi Zen Hei"/>
        <family val="2"/>
      </rPr>
      <t xml:space="preserve">的獨立吞吐實測；</t>
    </r>
    <r>
      <rPr>
        <sz val="11"/>
        <color theme="1"/>
        <rFont val="Calibri"/>
        <family val="2"/>
        <charset val="1"/>
      </rPr>
      <t xml:space="preserve">(4) TPU v7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Trainium3 </t>
    </r>
    <r>
      <rPr>
        <sz val="11"/>
        <color theme="1"/>
        <rFont val="WenQuanYi Zen Hei"/>
        <family val="2"/>
      </rPr>
      <t xml:space="preserve">機架功率</t>
    </r>
  </si>
  <si>
    <r>
      <rPr>
        <sz val="11"/>
        <color theme="1"/>
        <rFont val="WenQuanYi Zen Hei"/>
        <family val="2"/>
      </rPr>
      <t xml:space="preserve">搜尋詞：「</t>
    </r>
    <r>
      <rPr>
        <sz val="11"/>
        <color theme="1"/>
        <rFont val="Calibri"/>
        <family val="2"/>
        <charset val="1"/>
      </rPr>
      <t xml:space="preserve">Ascend 910C TDP watts</t>
    </r>
    <r>
      <rPr>
        <sz val="11"/>
        <color theme="1"/>
        <rFont val="WenQuanYi Zen Hei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Atlas 950 SuperPoD power consumption MW</t>
    </r>
    <r>
      <rPr>
        <sz val="11"/>
        <color theme="1"/>
        <rFont val="WenQuanYi Zen Hei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Ascend 910C independent benchmark vLLM-Ascend MindIE</t>
    </r>
    <r>
      <rPr>
        <sz val="11"/>
        <color theme="1"/>
        <rFont val="WenQuanYi Zen Hei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TPU v7 rack kW</t>
    </r>
    <r>
      <rPr>
        <sz val="11"/>
        <color theme="1"/>
        <rFont val="WenQuanYi Zen Hei"/>
        <family val="2"/>
      </rPr>
      <t xml:space="preserve">」「</t>
    </r>
    <r>
      <rPr>
        <sz val="11"/>
        <color theme="1"/>
        <rFont val="Calibri"/>
        <family val="2"/>
        <charset val="1"/>
      </rPr>
      <t xml:space="preserve">Trn3 UltraServer kW</t>
    </r>
    <r>
      <rPr>
        <sz val="11"/>
        <color theme="1"/>
        <rFont val="WenQuanYi Zen Hei"/>
        <family val="2"/>
      </rPr>
      <t xml:space="preserve">」；網站：</t>
    </r>
    <r>
      <rPr>
        <sz val="11"/>
        <color theme="1"/>
        <rFont val="Calibri"/>
        <family val="2"/>
        <charset val="1"/>
      </rPr>
      <t xml:space="preserve">huaweicentral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flopper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TechRadar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摘要</t>
    </r>
  </si>
  <si>
    <t xml:space="preserve">『未找到』（非『不存在』）</t>
  </si>
  <si>
    <r>
      <rPr>
        <sz val="11"/>
        <color theme="1"/>
        <rFont val="WenQuanYi Zen Hei"/>
        <family val="2"/>
      </rPr>
      <t xml:space="preserve">屬檢索失敗，下一段可再查（華為官網規格頁、</t>
    </r>
    <r>
      <rPr>
        <sz val="11"/>
        <color theme="1"/>
        <rFont val="Calibri"/>
        <family val="2"/>
        <charset val="1"/>
      </rPr>
      <t xml:space="preserve">MLPerf Inference v6.x </t>
    </r>
    <r>
      <rPr>
        <sz val="11"/>
        <color theme="1"/>
        <rFont val="WenQuanYi Zen Hei"/>
        <family val="2"/>
      </rPr>
      <t xml:space="preserve">提交名單）。</t>
    </r>
  </si>
  <si>
    <t xml:space="preserve">E21</t>
  </si>
  <si>
    <r>
      <rPr>
        <sz val="11"/>
        <color theme="1"/>
        <rFont val="WenQuanYi Zen Hei"/>
        <family val="2"/>
      </rPr>
      <t xml:space="preserve">模型分母（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v20.1</t>
    </r>
    <r>
      <rPr>
        <sz val="11"/>
        <color theme="1"/>
        <rFont val="WenQuanYi Zen Hei"/>
        <family val="2"/>
      </rPr>
      <t xml:space="preserve">）：每 </t>
    </r>
    <r>
      <rPr>
        <sz val="11"/>
        <color theme="1"/>
        <rFont val="Calibri"/>
        <family val="2"/>
        <charset val="1"/>
      </rPr>
      <t xml:space="preserve">GPU 35 PF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NVFP4 dense</t>
    </r>
    <r>
      <rPr>
        <sz val="11"/>
        <color theme="1"/>
        <rFont val="WenQuanYi Zen Hei"/>
        <family val="2"/>
      </rPr>
      <t xml:space="preserve">）、機架 </t>
    </r>
    <r>
      <rPr>
        <sz val="11"/>
        <color theme="1"/>
        <rFont val="Calibri"/>
        <family val="2"/>
        <charset val="1"/>
      </rPr>
      <t xml:space="preserve">227 kW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WenQuanYi Zen Hei"/>
        <family val="2"/>
      </rPr>
      <t xml:space="preserve">顆、機架價 </t>
    </r>
    <r>
      <rPr>
        <sz val="11"/>
        <color theme="1"/>
        <rFont val="Calibri"/>
        <family val="2"/>
        <charset val="1"/>
      </rPr>
      <t xml:space="preserve">$8.4M</t>
    </r>
    <r>
      <rPr>
        <sz val="11"/>
        <color theme="1"/>
        <rFont val="WenQuanYi Zen Hei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GW 4,052 </t>
    </r>
    <r>
      <rPr>
        <sz val="11"/>
        <color theme="1"/>
        <rFont val="WenQuanYi Zen Hei"/>
        <family val="2"/>
      </rPr>
      <t xml:space="preserve">架／</t>
    </r>
    <r>
      <rPr>
        <sz val="11"/>
        <color theme="1"/>
        <rFont val="Calibri"/>
        <family val="2"/>
        <charset val="1"/>
      </rPr>
      <t xml:space="preserve">291,744 </t>
    </r>
    <r>
      <rPr>
        <sz val="11"/>
        <color theme="1"/>
        <rFont val="WenQuanYi Zen Hei"/>
        <family val="2"/>
      </rPr>
      <t xml:space="preserve">顆、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$37.59B</t>
    </r>
    <r>
      <rPr>
        <sz val="11"/>
        <color theme="1"/>
        <rFont val="WenQuanYi Zen Hei"/>
        <family val="2"/>
      </rPr>
      <t xml:space="preserve">、經濟持有成本 </t>
    </r>
    <r>
      <rPr>
        <sz val="11"/>
        <color theme="1"/>
        <rFont val="Calibri"/>
        <family val="2"/>
        <charset val="1"/>
      </rPr>
      <t xml:space="preserve">$12.23B</t>
    </r>
    <r>
      <rPr>
        <sz val="11"/>
        <color theme="1"/>
        <rFont val="WenQuanYi Zen Hei"/>
        <family val="2"/>
      </rPr>
      <t xml:space="preserve">／年（低 </t>
    </r>
    <r>
      <rPr>
        <sz val="11"/>
        <color theme="1"/>
        <rFont val="Calibri"/>
        <family val="2"/>
        <charset val="1"/>
      </rPr>
      <t xml:space="preserve">9.51</t>
    </r>
    <r>
      <rPr>
        <sz val="11"/>
        <color theme="1"/>
        <rFont val="WenQuanYi Zen Hei"/>
        <family val="2"/>
      </rPr>
      <t xml:space="preserve">／高 </t>
    </r>
    <r>
      <rPr>
        <sz val="11"/>
        <color theme="1"/>
        <rFont val="Calibri"/>
        <family val="2"/>
        <charset val="1"/>
      </rPr>
      <t xml:space="preserve">19.75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VR-eq </t>
    </r>
    <r>
      <rPr>
        <sz val="11"/>
        <color theme="1"/>
        <rFont val="WenQuanYi Zen Hei"/>
        <family val="2"/>
      </rPr>
      <t xml:space="preserve">三層平均 </t>
    </r>
    <r>
      <rPr>
        <sz val="11"/>
        <color theme="1"/>
        <rFont val="Calibri"/>
        <family val="2"/>
        <charset val="1"/>
      </rPr>
      <t xml:space="preserve">0.1036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0.5105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0.6409</t>
    </r>
  </si>
  <si>
    <r>
      <rPr>
        <sz val="11"/>
        <color theme="1"/>
        <rFont val="WenQuanYi Zen Hei"/>
        <family val="2"/>
      </rPr>
      <t xml:space="preserve">見推導頁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節</t>
    </r>
  </si>
  <si>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關鍵電力</t>
    </r>
  </si>
  <si>
    <r>
      <rPr>
        <sz val="11"/>
        <color theme="1"/>
        <rFont val="Calibri"/>
        <family val="2"/>
        <charset val="1"/>
      </rPr>
      <t xml:space="preserve">model/20261023_Tokenomics_v20.1.xlsx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Perf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</si>
  <si>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（內部模型）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</si>
  <si>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（模型；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規格本身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Schneider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</si>
  <si>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openpyxl </t>
    </r>
    <r>
      <rPr>
        <sz val="11"/>
        <color theme="1"/>
        <rFont val="WenQuanYi Zen Hei"/>
        <family val="2"/>
      </rPr>
      <t xml:space="preserve">逐格讀取（</t>
    </r>
    <r>
      <rPr>
        <sz val="11"/>
        <color theme="1"/>
        <rFont val="Calibri"/>
        <family val="2"/>
        <charset val="1"/>
      </rPr>
      <t xml:space="preserve">data_only</t>
    </r>
    <r>
      <rPr>
        <sz val="11"/>
        <color theme="1"/>
        <rFont val="WenQuanYi Zen Hei"/>
        <family val="2"/>
      </rPr>
      <t xml:space="preserve">）。模型的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WenQuanYi Zen Hei"/>
        <family val="2"/>
      </rPr>
      <t xml:space="preserve">產出皆標示『未獨立驗證』（</t>
    </r>
    <r>
      <rPr>
        <sz val="11"/>
        <color theme="1"/>
        <rFont val="Calibri"/>
        <family val="2"/>
        <charset val="1"/>
      </rPr>
      <t xml:space="preserve">Interface A2</t>
    </r>
    <r>
      <rPr>
        <sz val="11"/>
        <color theme="1"/>
        <rFont val="WenQuanYi Zen Hei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</si>
  <si>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</si>
  <si>
    <t xml:space="preserve">題目</t>
  </si>
  <si>
    <t xml:space="preserve">預設（本提案採用）</t>
  </si>
  <si>
    <t xml:space="preserve">替代方案</t>
  </si>
  <si>
    <t xml:space="preserve">影響</t>
  </si>
  <si>
    <t xml:space="preserve">Q1</t>
  </si>
  <si>
    <r>
      <rPr>
        <sz val="11"/>
        <color theme="1"/>
        <rFont val="WenQuanYi Zen Hei"/>
        <family val="2"/>
      </rPr>
      <t xml:space="preserve">『昇騰』列要代表哪個產品？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CM384</t>
    </r>
    <r>
      <rPr>
        <sz val="11"/>
        <color theme="1"/>
        <rFont val="WenQuanYi Zen Hei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decode </t>
    </r>
    <r>
      <rPr>
        <sz val="11"/>
        <color theme="1"/>
        <rFont val="WenQuanYi Zen Hei"/>
        <family val="2"/>
      </rPr>
      <t xml:space="preserve">主力，證據最多）還是 </t>
    </r>
    <r>
      <rPr>
        <sz val="11"/>
        <color theme="1"/>
        <rFont val="Calibri"/>
        <family val="2"/>
        <charset val="1"/>
      </rPr>
      <t xml:space="preserve">950 </t>
    </r>
    <r>
      <rPr>
        <sz val="11"/>
        <color theme="1"/>
        <rFont val="WenQuanYi Zen Hei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950PR </t>
    </r>
    <r>
      <rPr>
        <sz val="11"/>
        <color theme="1"/>
        <rFont val="WenQuanYi Zen Hei"/>
        <family val="2"/>
      </rPr>
      <t xml:space="preserve">已發表、</t>
    </r>
    <r>
      <rPr>
        <sz val="11"/>
        <color theme="1"/>
        <rFont val="Calibri"/>
        <family val="2"/>
        <charset val="1"/>
      </rPr>
      <t xml:space="preserve">950DT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Atlas 950 SuperPoD </t>
    </r>
    <r>
      <rPr>
        <sz val="11"/>
        <color theme="1"/>
        <rFont val="WenQuanYi Zen Hei"/>
        <family val="2"/>
      </rPr>
      <t xml:space="preserve">預定 </t>
    </r>
    <r>
      <rPr>
        <sz val="11"/>
        <color theme="1"/>
        <rFont val="Calibri"/>
        <family val="2"/>
        <charset val="1"/>
      </rPr>
      <t xml:space="preserve">2026Q4</t>
    </r>
    <r>
      <rPr>
        <sz val="11"/>
        <color theme="1"/>
        <rFont val="WenQuanYi Zen Hei"/>
        <family val="2"/>
      </rPr>
      <t xml:space="preserve">，無實測、無整機功率、無商用出貨確證）？</t>
    </r>
  </si>
  <si>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CM384</t>
    </r>
    <r>
      <rPr>
        <sz val="11"/>
        <color theme="1"/>
        <rFont val="WenQuanYi Zen Hei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950 </t>
    </r>
    <r>
      <rPr>
        <sz val="11"/>
        <color theme="1"/>
        <rFont val="WenQuanYi Zen Hei"/>
        <family val="2"/>
      </rPr>
      <t xml:space="preserve">世代只在高端產出比（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WenQuanYi Zen Hei"/>
        <family val="2"/>
      </rPr>
      <t xml:space="preserve">）以旁證支持。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</si>
  <si>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WenQuanYi Zen Hei"/>
        <family val="2"/>
      </rPr>
      <t xml:space="preserve">改以 </t>
    </r>
    <r>
      <rPr>
        <sz val="11"/>
        <color theme="1"/>
        <rFont val="Calibri"/>
        <family val="2"/>
        <charset val="1"/>
      </rPr>
      <t xml:space="preserve">950DT SuperPoD </t>
    </r>
    <r>
      <rPr>
        <sz val="11"/>
        <color theme="1"/>
        <rFont val="WenQuanYi Zen Hei"/>
        <family val="2"/>
      </rPr>
      <t xml:space="preserve">為準：單顆 </t>
    </r>
    <r>
      <rPr>
        <sz val="11"/>
        <color theme="1"/>
        <rFont val="Calibri"/>
        <family val="2"/>
        <charset val="1"/>
      </rPr>
      <t xml:space="preserve">FP8 1 PF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FP4 2 PF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4 TB/s</t>
    </r>
    <r>
      <rPr>
        <sz val="11"/>
        <color theme="1"/>
        <rFont val="WenQuanYi Zen Hei"/>
        <family val="2"/>
      </rPr>
      <t xml:space="preserve">，產出比可能升至 </t>
    </r>
    <r>
      <rPr>
        <sz val="11"/>
        <color theme="1"/>
        <rFont val="Calibri"/>
        <family val="2"/>
        <charset val="1"/>
      </rPr>
      <t xml:space="preserve">0.15–0.35</t>
    </r>
    <r>
      <rPr>
        <sz val="11"/>
        <color theme="1"/>
        <rFont val="WenQuanYi Zen Hei"/>
        <family val="2"/>
      </rPr>
      <t xml:space="preserve">，但全為廠商自述；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WenQuanYi Zen Hei"/>
        <family val="2"/>
      </rPr>
      <t xml:space="preserve">兩列並存（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950</t>
    </r>
    <r>
      <rPr>
        <sz val="11"/>
        <color theme="1"/>
        <rFont val="WenQuanYi Zen Hei"/>
        <family val="2"/>
      </rPr>
      <t xml:space="preserve">）。</t>
    </r>
  </si>
  <si>
    <r>
      <rPr>
        <sz val="11"/>
        <color theme="1"/>
        <rFont val="WenQuanYi Zen Hei"/>
        <family val="2"/>
      </rPr>
      <t xml:space="preserve">產出比基準 </t>
    </r>
    <r>
      <rPr>
        <sz val="11"/>
        <color theme="1"/>
        <rFont val="Calibri"/>
        <family val="2"/>
        <charset val="1"/>
      </rPr>
      <t xml:space="preserve">0.08 vs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WenQuanYi Zen Hei"/>
        <family val="2"/>
      </rPr>
      <t xml:space="preserve">；若改 </t>
    </r>
    <r>
      <rPr>
        <sz val="11"/>
        <color theme="1"/>
        <rFont val="Calibri"/>
        <family val="2"/>
        <charset val="1"/>
      </rPr>
      <t xml:space="preserve">950</t>
    </r>
    <r>
      <rPr>
        <sz val="11"/>
        <color theme="1"/>
        <rFont val="WenQuanYi Zen Hei"/>
        <family val="2"/>
      </rPr>
      <t xml:space="preserve">，需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段再查功率與價格。</t>
    </r>
  </si>
  <si>
    <t xml:space="preserve">Q2</t>
  </si>
  <si>
    <r>
      <rPr>
        <sz val="11"/>
        <color theme="1"/>
        <rFont val="WenQuanYi Zen Hei"/>
        <family val="2"/>
      </rPr>
      <t xml:space="preserve">新增兩列的位置與名稱：接在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WenQuanYi Zen Hei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WenQuanYi Zen Hei"/>
        <family val="2"/>
      </rPr>
      <t xml:space="preserve">列之後（第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WenQuanYi Zen Hei"/>
        <family val="2"/>
      </rPr>
      <t xml:space="preserve">列），列名『華為昇騰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WenQuanYi Zen Hei"/>
        <family val="2"/>
      </rPr>
      <t xml:space="preserve">』『</t>
    </r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WenQuanYi Zen Hei"/>
        <family val="2"/>
      </rPr>
      <t xml:space="preserve">』？</t>
    </r>
    <r>
      <rPr>
        <sz val="11"/>
        <color theme="1"/>
        <rFont val="Calibri"/>
        <family val="2"/>
        <charset val="1"/>
      </rPr>
      <t xml:space="preserve">A2 </t>
    </r>
    <r>
      <rPr>
        <sz val="11"/>
        <color theme="1"/>
        <rFont val="WenQuanYi Zen Hei"/>
        <family val="2"/>
      </rPr>
      <t xml:space="preserve">說明是否加註 </t>
    </r>
    <r>
      <rPr>
        <sz val="11"/>
        <color theme="1"/>
        <rFont val="Calibri"/>
        <family val="2"/>
        <charset val="1"/>
      </rPr>
      <t xml:space="preserve">Maia 300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WenQuanYi Zen Hei"/>
        <family val="2"/>
      </rPr>
      <t xml:space="preserve">）另列？</t>
    </r>
  </si>
  <si>
    <r>
      <rPr>
        <sz val="11"/>
        <color theme="1"/>
        <rFont val="WenQuanYi Zen Hei"/>
        <family val="2"/>
      </rPr>
      <t xml:space="preserve">接在第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WenQuanYi Zen Hei"/>
        <family val="2"/>
      </rPr>
      <t xml:space="preserve">列之後；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WenQuanYi Zen Hei"/>
        <family val="2"/>
      </rPr>
      <t xml:space="preserve">不列（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WenQuanYi Zen Hei"/>
        <family val="2"/>
      </rPr>
      <t xml:space="preserve">才量產，屬預測）。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</si>
  <si>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WenQuanYi Zen Hei"/>
        <family val="2"/>
      </rPr>
      <t xml:space="preserve">把 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WenQuanYi Zen Hei"/>
        <family val="2"/>
      </rPr>
      <t xml:space="preserve">改列 </t>
    </r>
    <r>
      <rPr>
        <sz val="11"/>
        <color theme="1"/>
        <rFont val="Calibri"/>
        <family val="2"/>
        <charset val="1"/>
      </rPr>
      <t xml:space="preserve">Maia 300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WenQuanYi Zen Hei"/>
        <family val="2"/>
      </rPr>
      <t xml:space="preserve">兩代並列。</t>
    </r>
  </si>
  <si>
    <t xml:space="preserve">僅版面與命名。</t>
  </si>
  <si>
    <t xml:space="preserve">Q3</t>
  </si>
  <si>
    <r>
      <rPr>
        <sz val="11"/>
        <color theme="1"/>
        <rFont val="WenQuanYi Zen Hei"/>
        <family val="2"/>
      </rPr>
      <t xml:space="preserve">持有比採『候選每 </t>
    </r>
    <r>
      <rPr>
        <sz val="11"/>
        <color theme="1"/>
        <rFont val="Calibri"/>
        <family val="2"/>
        <charset val="1"/>
      </rPr>
      <t xml:space="preserve">kW IT </t>
    </r>
    <r>
      <rPr>
        <sz val="11"/>
        <color theme="1"/>
        <rFont val="WenQuanYi Zen Hei"/>
        <family val="2"/>
      </rPr>
      <t xml:space="preserve">設備價格遠低於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含高毛利）』的推導（昇騰 </t>
    </r>
    <r>
      <rPr>
        <sz val="11"/>
        <color theme="1"/>
        <rFont val="Calibri"/>
        <family val="2"/>
        <charset val="1"/>
      </rPr>
      <t xml:space="preserve">0.45–0.70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0.40–0.60</t>
    </r>
    <r>
      <rPr>
        <sz val="11"/>
        <color theme="1"/>
        <rFont val="WenQuanYi Zen Hei"/>
        <family val="2"/>
      </rPr>
      <t xml:space="preserve">），而非 </t>
    </r>
    <r>
      <rPr>
        <sz val="11"/>
        <color theme="1"/>
        <rFont val="Calibri"/>
        <family val="2"/>
        <charset val="1"/>
      </rPr>
      <t xml:space="preserve">Block 1 </t>
    </r>
    <r>
      <rPr>
        <sz val="11"/>
        <color theme="1"/>
        <rFont val="WenQuanYi Zen Hei"/>
        <family val="2"/>
      </rPr>
      <t xml:space="preserve">慣例『接近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』。是否接受？</t>
    </r>
  </si>
  <si>
    <r>
      <rPr>
        <sz val="11"/>
        <color theme="1"/>
        <rFont val="WenQuanYi Zen Hei"/>
        <family val="2"/>
      </rPr>
      <t xml:space="preserve">接受：持有比 </t>
    </r>
    <r>
      <rPr>
        <sz val="11"/>
        <color theme="1"/>
        <rFont val="Calibri"/>
        <family val="2"/>
        <charset val="1"/>
      </rPr>
      <t xml:space="preserve">= 1 − s×(1 − k)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0.77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設備相關占持有成本）。依據：候選價</t>
    </r>
    <r>
      <rPr>
        <sz val="11"/>
        <color theme="1"/>
        <rFont val="Calibri"/>
        <family val="2"/>
        <charset val="1"/>
      </rPr>
      <t xml:space="preserve">/kW </t>
    </r>
    <r>
      <rPr>
        <sz val="11"/>
        <color theme="1"/>
        <rFont val="WenQuanYi Zen Hei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0.4–0.5</t>
    </r>
    <r>
      <rPr>
        <sz val="11"/>
        <color theme="1"/>
        <rFont val="WenQuanYi Zen 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</si>
  <si>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WenQuanYi Zen Hei"/>
        <family val="2"/>
      </rPr>
      <t xml:space="preserve">沿用既有五列風格（持有比 </t>
    </r>
    <r>
      <rPr>
        <sz val="11"/>
        <color theme="1"/>
        <rFont val="Calibri"/>
        <family val="2"/>
        <charset val="1"/>
      </rPr>
      <t xml:space="preserve">0.6–1.0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WenQuanYi Zen Hei"/>
        <family val="2"/>
      </rPr>
      <t xml:space="preserve">令持有比 </t>
    </r>
    <r>
      <rPr>
        <sz val="11"/>
        <color theme="1"/>
        <rFont val="Calibri"/>
        <family val="2"/>
        <charset val="1"/>
      </rPr>
      <t xml:space="preserve">= 1 </t>
    </r>
    <r>
      <rPr>
        <sz val="11"/>
        <color theme="1"/>
        <rFont val="WenQuanYi Zen Hei"/>
        <family val="2"/>
      </rPr>
      <t xml:space="preserve">作為保守下限。</t>
    </r>
  </si>
  <si>
    <r>
      <rPr>
        <sz val="11"/>
        <color theme="1"/>
        <rFont val="WenQuanYi Zen Hei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成本比基準：昇騰 約 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WenQuanYi Zen Hei"/>
        <family val="2"/>
      </rPr>
      <t xml:space="preserve">；若持有比設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，昇騰 </t>
    </r>
    <r>
      <rPr>
        <sz val="11"/>
        <color theme="1"/>
        <rFont val="Calibri"/>
        <family val="2"/>
        <charset val="1"/>
      </rPr>
      <t xml:space="preserve">12.5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1.8</t>
    </r>
    <r>
      <rPr>
        <sz val="11"/>
        <color theme="1"/>
        <rFont val="WenQuanYi Zen Hei"/>
        <family val="2"/>
      </rPr>
      <t xml:space="preserve">。</t>
    </r>
  </si>
  <si>
    <t xml:space="preserve">Q4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</si>
  <si>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WenQuanYi Zen Hei"/>
        <family val="2"/>
      </rPr>
      <t xml:space="preserve">價格全無公開資料，區間 </t>
    </r>
    <r>
      <rPr>
        <sz val="11"/>
        <color theme="1"/>
        <rFont val="Calibri"/>
        <family val="2"/>
        <charset val="1"/>
      </rPr>
      <t xml:space="preserve">$0.5–1.2M</t>
    </r>
    <r>
      <rPr>
        <sz val="11"/>
        <color theme="1"/>
        <rFont val="WenQuanYi Zen Hei"/>
        <family val="2"/>
      </rPr>
      <t xml:space="preserve">／機架（每顆 </t>
    </r>
    <r>
      <rPr>
        <sz val="11"/>
        <color theme="1"/>
        <rFont val="Calibri"/>
        <family val="2"/>
        <charset val="1"/>
      </rPr>
      <t xml:space="preserve">$10–25K</t>
    </r>
    <r>
      <rPr>
        <sz val="11"/>
        <color theme="1"/>
        <rFont val="WenQuanYi Zen Hei"/>
        <family val="2"/>
      </rPr>
      <t xml:space="preserve">）是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。是否同意先以此區間進表，或等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段找到付費分析（如 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WenQuanYi Zen Hei"/>
        <family val="2"/>
      </rPr>
      <t xml:space="preserve">）再定？</t>
    </r>
  </si>
  <si>
    <r>
      <rPr>
        <sz val="11"/>
        <color theme="1"/>
        <rFont val="WenQuanYi Zen Hei"/>
        <family val="2"/>
      </rPr>
      <t xml:space="preserve">先進表並標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</si>
  <si>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WenQuanYi Zen Hei"/>
        <family val="2"/>
      </rPr>
      <t xml:space="preserve">暫不加 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WenQuanYi Zen Hei"/>
        <family val="2"/>
      </rPr>
      <t xml:space="preserve">的持有比（只加產出比）；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WenQuanYi Zen Hei"/>
        <family val="2"/>
      </rPr>
      <t xml:space="preserve">以微軟自述 </t>
    </r>
    <r>
      <rPr>
        <sz val="11"/>
        <color theme="1"/>
        <rFont val="Calibri"/>
        <family val="2"/>
        <charset val="1"/>
      </rPr>
      <t xml:space="preserve">30% perf/$ </t>
    </r>
    <r>
      <rPr>
        <sz val="11"/>
        <color theme="1"/>
        <rFont val="WenQuanYi Zen Hei"/>
        <family val="2"/>
      </rPr>
      <t xml:space="preserve">反推價格（見推導頁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節）。</t>
    </r>
  </si>
  <si>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WenQuanYi Zen Hei"/>
        <family val="2"/>
      </rPr>
      <t xml:space="preserve">持有比 </t>
    </r>
    <r>
      <rPr>
        <sz val="11"/>
        <color theme="1"/>
        <rFont val="Calibri"/>
        <family val="2"/>
        <charset val="1"/>
      </rPr>
      <t xml:space="preserve">0.40–0.60</t>
    </r>
    <r>
      <rPr>
        <sz val="11"/>
        <color theme="1"/>
        <rFont val="WenQuanYi Zen Hei"/>
        <family val="2"/>
      </rPr>
      <t xml:space="preserve">。反推法（推導頁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WenQuanYi Zen Hei"/>
        <family val="2"/>
      </rPr>
      <t xml:space="preserve">節）：以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WenQuanYi Zen Hei"/>
        <family val="2"/>
      </rPr>
      <t xml:space="preserve">為基準時本表基準已與微軟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WenQuanYi Zen Hei"/>
        <family val="2"/>
      </rPr>
      <t xml:space="preserve">自述相容（產出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持有 </t>
    </r>
    <r>
      <rPr>
        <sz val="11"/>
        <color theme="1"/>
        <rFont val="Calibri"/>
        <family val="2"/>
        <charset val="1"/>
      </rPr>
      <t xml:space="preserve">1.11 vs </t>
    </r>
    <r>
      <rPr>
        <sz val="11"/>
        <color theme="1"/>
        <rFont val="WenQuanYi Zen Hei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0.97</t>
    </r>
    <r>
      <rPr>
        <sz val="11"/>
        <color theme="1"/>
        <rFont val="WenQuanYi Zen Hei"/>
        <family val="2"/>
      </rPr>
      <t xml:space="preserve">）；若採微軟論文 </t>
    </r>
    <r>
      <rPr>
        <sz val="11"/>
        <color theme="1"/>
        <rFont val="Calibri"/>
        <family val="2"/>
        <charset val="1"/>
      </rPr>
      <t xml:space="preserve">TCO −30%</t>
    </r>
    <r>
      <rPr>
        <sz val="11"/>
        <color theme="1"/>
        <rFont val="WenQuanYi Zen Hei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1.43×</t>
    </r>
    <r>
      <rPr>
        <sz val="11"/>
        <color theme="1"/>
        <rFont val="WenQuanYi Zen Hei"/>
        <family val="2"/>
      </rPr>
      <t xml:space="preserve">）語意，需求升至 </t>
    </r>
    <r>
      <rPr>
        <sz val="11"/>
        <color theme="1"/>
        <rFont val="Calibri"/>
        <family val="2"/>
        <charset val="1"/>
      </rPr>
      <t xml:space="preserve">1.07</t>
    </r>
    <r>
      <rPr>
        <sz val="11"/>
        <color theme="1"/>
        <rFont val="WenQuanYi Zen Hei"/>
        <family val="2"/>
      </rPr>
      <t xml:space="preserve">，本表基準仍略高於需求。</t>
    </r>
  </si>
  <si>
    <t xml:space="preserve">Q5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</si>
  <si>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設備折舊年限：昇騰 </t>
    </r>
    <r>
      <rPr>
        <sz val="11"/>
        <color theme="1"/>
        <rFont val="Calibri"/>
        <family val="2"/>
        <charset val="1"/>
      </rPr>
      <t xml:space="preserve">910C </t>
    </r>
    <r>
      <rPr>
        <sz val="11"/>
        <color theme="1"/>
        <rFont val="WenQuanYi Zen Hei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WenQuanYi Zen Hei"/>
        <family val="2"/>
      </rPr>
      <t xml:space="preserve">年？（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WenQuanYi Zen Hei"/>
        <family val="2"/>
      </rPr>
      <t xml:space="preserve">在模型中亦為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WenQuanYi Zen Hei"/>
        <family val="2"/>
      </rPr>
      <t xml:space="preserve">年；國產晶片軟體生態與供貨不確定，經濟壽命可能較短。）</t>
    </r>
  </si>
  <si>
    <r>
      <rPr>
        <sz val="11"/>
        <color theme="1"/>
        <rFont val="WenQuanYi Zen Hei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WenQuanYi Zen Hei"/>
        <family val="2"/>
      </rPr>
      <t xml:space="preserve">年（與其他列一致，避免單列特殊處理）。</t>
    </r>
  </si>
  <si>
    <r>
      <rPr>
        <sz val="11"/>
        <color theme="1"/>
        <rFont val="WenQuanYi Zen Hei"/>
        <family val="2"/>
      </rPr>
      <t xml:space="preserve">改 </t>
    </r>
    <r>
      <rPr>
        <sz val="11"/>
        <color theme="1"/>
        <rFont val="Calibri"/>
        <family val="2"/>
        <charset val="1"/>
      </rPr>
      <t xml:space="preserve">4–5 </t>
    </r>
    <r>
      <rPr>
        <sz val="11"/>
        <color theme="1"/>
        <rFont val="WenQuanYi Zen Hei"/>
        <family val="2"/>
      </rPr>
      <t xml:space="preserve">年：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×1.2–1.5</t>
    </r>
    <r>
      <rPr>
        <sz val="11"/>
        <color theme="1"/>
        <rFont val="WenQuanYi Zen Hei"/>
        <family val="2"/>
      </rPr>
      <t xml:space="preserve">，昇騰持有比基準由 </t>
    </r>
    <r>
      <rPr>
        <sz val="11"/>
        <color theme="1"/>
        <rFont val="Calibri"/>
        <family val="2"/>
        <charset val="1"/>
      </rPr>
      <t xml:space="preserve">0.53 </t>
    </r>
    <r>
      <rPr>
        <sz val="11"/>
        <color theme="1"/>
        <rFont val="WenQuanYi Zen Hei"/>
        <family val="2"/>
      </rPr>
      <t xml:space="preserve">升至約 </t>
    </r>
    <r>
      <rPr>
        <sz val="11"/>
        <color theme="1"/>
        <rFont val="Calibri"/>
        <family val="2"/>
        <charset val="1"/>
      </rPr>
      <t xml:space="preserve">0.57–0.63</t>
    </r>
    <r>
      <rPr>
        <sz val="11"/>
        <color theme="1"/>
        <rFont val="WenQuanYi Zen Hei"/>
        <family val="2"/>
      </rPr>
      <t xml:space="preserve">（查核員重算）。</t>
    </r>
  </si>
  <si>
    <r>
      <rPr>
        <sz val="11"/>
        <color theme="1"/>
        <rFont val="WenQuanYi Zen Hei"/>
        <family val="2"/>
      </rPr>
      <t xml:space="preserve">昇騰持有比 </t>
    </r>
    <r>
      <rPr>
        <sz val="11"/>
        <color theme="1"/>
        <rFont val="Calibri"/>
        <family val="2"/>
        <charset val="1"/>
      </rPr>
      <t xml:space="preserve">+0.05–0.12</t>
    </r>
    <r>
      <rPr>
        <sz val="11"/>
        <color theme="1"/>
        <rFont val="WenQuanYi Zen Hei"/>
        <family val="2"/>
      </rPr>
      <t xml:space="preserve">。</t>
    </r>
  </si>
  <si>
    <t xml:space="preserve">Q6</t>
  </si>
  <si>
    <r>
      <rPr>
        <sz val="11"/>
        <color theme="1"/>
        <rFont val="WenQuanYi Zen Hei"/>
        <family val="2"/>
      </rPr>
      <t xml:space="preserve">昇騰 </t>
    </r>
    <r>
      <rPr>
        <sz val="11"/>
        <color theme="1"/>
        <rFont val="Calibri"/>
        <family val="2"/>
        <charset val="1"/>
      </rPr>
      <t xml:space="preserve">CM384 </t>
    </r>
    <r>
      <rPr>
        <sz val="11"/>
        <color theme="1"/>
        <rFont val="WenQuanYi Zen Hei"/>
        <family val="2"/>
      </rPr>
      <t xml:space="preserve">價格與功率取自中國市場與第三方估計（非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WenQuanYi Zen Hei"/>
        <family val="2"/>
      </rPr>
      <t xml:space="preserve">全球口徑）。是否接受作為『非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WenQuanYi Zen Hei"/>
        <family val="2"/>
      </rPr>
      <t xml:space="preserve">世代比例列』的代理？</t>
    </r>
  </si>
  <si>
    <r>
      <rPr>
        <sz val="11"/>
        <color theme="1"/>
        <rFont val="WenQuanYi Zen Hei"/>
        <family val="2"/>
      </rPr>
      <t xml:space="preserve">接受，但在說明欄註明『中國口徑、功率為 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估』。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</si>
  <si>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WenQuanYi Zen Hei"/>
        <family val="2"/>
      </rPr>
      <t xml:space="preserve">只取 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WenQuanYi Zen Hei"/>
        <family val="2"/>
      </rPr>
      <t xml:space="preserve">一列，昇騰待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WenQuanYi Zen Hei"/>
        <family val="2"/>
      </rPr>
      <t xml:space="preserve">改用功率中點 </t>
    </r>
    <r>
      <rPr>
        <sz val="11"/>
        <color theme="1"/>
        <rFont val="Calibri"/>
        <family val="2"/>
        <charset val="1"/>
      </rPr>
      <t xml:space="preserve">425 kW </t>
    </r>
    <r>
      <rPr>
        <sz val="11"/>
        <color theme="1"/>
        <rFont val="WenQuanYi Zen Hei"/>
        <family val="2"/>
      </rPr>
      <t xml:space="preserve">為基準（產出比基準升至約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WenQuanYi Zen Hei"/>
        <family val="2"/>
      </rPr>
      <t xml:space="preserve">）。</t>
    </r>
  </si>
  <si>
    <r>
      <rPr>
        <sz val="11"/>
        <color theme="1"/>
        <rFont val="WenQuanYi Zen Hei"/>
        <family val="2"/>
      </rPr>
      <t xml:space="preserve">昇騰產出比基準 </t>
    </r>
    <r>
      <rPr>
        <sz val="11"/>
        <color theme="1"/>
        <rFont val="Calibri"/>
        <family val="2"/>
        <charset val="1"/>
      </rPr>
      <t xml:space="preserve">0.08→0.10</t>
    </r>
    <r>
      <rPr>
        <sz val="11"/>
        <color theme="1"/>
        <rFont val="WenQuanYi Zen Hei"/>
        <family val="2"/>
      </rPr>
      <t xml:space="preserve">。</t>
    </r>
  </si>
  <si>
    <t xml:space="preserve">Q7</t>
  </si>
  <si>
    <r>
      <rPr>
        <sz val="11"/>
        <color theme="1"/>
        <rFont val="WenQuanYi Zen Hei"/>
        <family val="2"/>
      </rPr>
      <t xml:space="preserve">產出比基準取『峰值</t>
    </r>
    <r>
      <rPr>
        <sz val="11"/>
        <color theme="1"/>
        <rFont val="Calibri"/>
        <family val="2"/>
        <charset val="1"/>
      </rPr>
      <t xml:space="preserve">/kW </t>
    </r>
    <r>
      <rPr>
        <sz val="11"/>
        <color theme="1"/>
        <rFont val="WenQuanYi Zen Hei"/>
        <family val="2"/>
      </rPr>
      <t xml:space="preserve">法』與『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WenQuanYi Zen Hei"/>
        <family val="2"/>
      </rPr>
      <t xml:space="preserve">實測錨定法』兩法平均，是否合適？低端取兩法最小、高端取最大（區間因此較寬：</t>
    </r>
    <r>
      <rPr>
        <sz val="11"/>
        <color theme="1"/>
        <rFont val="Calibri"/>
        <family val="2"/>
        <charset val="1"/>
      </rPr>
      <t xml:space="preserve">0.05–0.15</t>
    </r>
    <r>
      <rPr>
        <sz val="11"/>
        <color theme="1"/>
        <rFont val="WenQuanYi Zen Hei"/>
        <family val="2"/>
      </rPr>
      <t xml:space="preserve">）。</t>
    </r>
  </si>
  <si>
    <t xml:space="preserve">取平均；區間取包絡。</t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</si>
  <si>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WenQuanYi Zen Hei"/>
        <family val="2"/>
      </rPr>
      <t xml:space="preserve">只用實測錨定法（</t>
    </r>
    <r>
      <rPr>
        <sz val="11"/>
        <color theme="1"/>
        <rFont val="Calibri"/>
        <family val="2"/>
        <charset val="1"/>
      </rPr>
      <t xml:space="preserve">0.055–0.156</t>
    </r>
    <r>
      <rPr>
        <sz val="11"/>
        <color theme="1"/>
        <rFont val="WenQuanYi Zen Hei"/>
        <family val="2"/>
      </rPr>
      <t xml:space="preserve">，基準 </t>
    </r>
    <r>
      <rPr>
        <sz val="11"/>
        <color theme="1"/>
        <rFont val="Calibri"/>
        <family val="2"/>
        <charset val="1"/>
      </rPr>
      <t xml:space="preserve">0.091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WenQuanYi Zen Hei"/>
        <family val="2"/>
      </rPr>
      <t xml:space="preserve">只用峰值法（</t>
    </r>
    <r>
      <rPr>
        <sz val="11"/>
        <color theme="1"/>
        <rFont val="Calibri"/>
        <family val="2"/>
        <charset val="1"/>
      </rPr>
      <t xml:space="preserve">0.047–0.122</t>
    </r>
    <r>
      <rPr>
        <sz val="11"/>
        <color theme="1"/>
        <rFont val="WenQuanYi Zen Hei"/>
        <family val="2"/>
      </rPr>
      <t xml:space="preserve">，基準 </t>
    </r>
    <r>
      <rPr>
        <sz val="11"/>
        <color theme="1"/>
        <rFont val="Calibri"/>
        <family val="2"/>
        <charset val="1"/>
      </rPr>
      <t xml:space="preserve">0.069</t>
    </r>
    <r>
      <rPr>
        <sz val="11"/>
        <color theme="1"/>
        <rFont val="WenQuanYi Zen Hei"/>
        <family val="2"/>
      </rPr>
      <t xml:space="preserve">）。注意：兩法同源（皆錨在模型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WenQuanYi Zen Hei"/>
        <family val="2"/>
      </rPr>
      <t xml:space="preserve">還原值），平均並非獨立交叉驗證。</t>
    </r>
  </si>
  <si>
    <r>
      <rPr>
        <sz val="11"/>
        <color theme="1"/>
        <rFont val="WenQuanYi Zen Hei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0.07–0.10</t>
    </r>
    <r>
      <rPr>
        <sz val="11"/>
        <color theme="1"/>
        <rFont val="WenQuanYi Zen Hei"/>
        <family val="2"/>
      </rPr>
      <t xml:space="preserve">。</t>
    </r>
  </si>
  <si>
    <t xml:space="preserve">Q8</t>
  </si>
  <si>
    <r>
      <rPr>
        <sz val="11"/>
        <color theme="1"/>
        <rFont val="WenQuanYi Zen Hei"/>
        <family val="2"/>
      </rPr>
      <t xml:space="preserve">三個層級（</t>
    </r>
    <r>
      <rPr>
        <sz val="11"/>
        <color theme="1"/>
        <rFont val="Calibri"/>
        <family val="2"/>
        <charset val="1"/>
      </rPr>
      <t xml:space="preserve">Luna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Astra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VR-eq </t>
    </r>
    <r>
      <rPr>
        <sz val="11"/>
        <color theme="1"/>
        <rFont val="WenQuanYi Zen Hei"/>
        <family val="2"/>
      </rPr>
      <t xml:space="preserve">取平均後套用同一比值。</t>
    </r>
    <r>
      <rPr>
        <sz val="11"/>
        <color theme="1"/>
        <rFont val="Calibri"/>
        <family val="2"/>
        <charset val="1"/>
      </rPr>
      <t xml:space="preserve">Astra </t>
    </r>
    <r>
      <rPr>
        <sz val="11"/>
        <color theme="1"/>
        <rFont val="WenQuanYi Zen Hei"/>
        <family val="2"/>
      </rPr>
      <t xml:space="preserve">層（長上下文、</t>
    </r>
    <r>
      <rPr>
        <sz val="11"/>
        <color theme="1"/>
        <rFont val="Calibri"/>
        <family val="2"/>
        <charset val="1"/>
      </rPr>
      <t xml:space="preserve">180B </t>
    </r>
    <r>
      <rPr>
        <sz val="11"/>
        <color theme="1"/>
        <rFont val="WenQuanYi Zen Hei"/>
        <family val="2"/>
      </rPr>
      <t xml:space="preserve">活躍參數）對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頻寬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容量最敏感，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3.2 TB/s</t>
    </r>
    <r>
      <rPr>
        <sz val="11"/>
        <color theme="1"/>
        <rFont val="WenQuanYi Zen Hei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TB/s</t>
    </r>
    <r>
      <rPr>
        <sz val="11"/>
        <color theme="1"/>
        <rFont val="WenQuanYi Zen Hei"/>
        <family val="2"/>
      </rPr>
      <t xml:space="preserve">）可能不同層有不同比值。是否需要分層？</t>
    </r>
  </si>
  <si>
    <r>
      <rPr>
        <sz val="11"/>
        <color theme="1"/>
        <rFont val="WenQuanYi Zen Hei"/>
        <family val="2"/>
      </rPr>
      <t xml:space="preserve">不分層（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WenQuanYi Zen Hei"/>
        <family val="2"/>
      </rPr>
      <t xml:space="preserve">現行格式亦不分層）。</t>
    </r>
  </si>
  <si>
    <r>
      <rPr>
        <sz val="11"/>
        <color theme="1"/>
        <rFont val="WenQuanYi Zen Hei"/>
        <family val="2"/>
      </rPr>
      <t xml:space="preserve">分層列出（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段做）：預期昇騰 </t>
    </r>
    <r>
      <rPr>
        <sz val="11"/>
        <color theme="1"/>
        <rFont val="Calibri"/>
        <family val="2"/>
        <charset val="1"/>
      </rPr>
      <t xml:space="preserve">Astra </t>
    </r>
    <r>
      <rPr>
        <sz val="11"/>
        <color theme="1"/>
        <rFont val="WenQuanYi Zen Hei"/>
        <family val="2"/>
      </rPr>
      <t xml:space="preserve">層更低（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頻寬</t>
    </r>
    <r>
      <rPr>
        <sz val="11"/>
        <color theme="1"/>
        <rFont val="Calibri"/>
        <family val="2"/>
        <charset val="1"/>
      </rPr>
      <t xml:space="preserve">/kW </t>
    </r>
    <r>
      <rPr>
        <sz val="11"/>
        <color theme="1"/>
        <rFont val="WenQuanYi Zen Hei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0.31</t>
    </r>
    <r>
      <rPr>
        <sz val="11"/>
        <color theme="1"/>
        <rFont val="WenQuanYi Zen Hei"/>
        <family val="2"/>
      </rPr>
      <t xml:space="preserve">）。</t>
    </r>
  </si>
  <si>
    <r>
      <rPr>
        <sz val="11"/>
        <color theme="1"/>
        <rFont val="WenQuanYi Zen Hei"/>
        <family val="2"/>
      </rPr>
      <t xml:space="preserve">昇騰 </t>
    </r>
    <r>
      <rPr>
        <sz val="11"/>
        <color theme="1"/>
        <rFont val="Calibri"/>
        <family val="2"/>
        <charset val="1"/>
      </rPr>
      <t xml:space="preserve">Astra </t>
    </r>
    <r>
      <rPr>
        <sz val="11"/>
        <color theme="1"/>
        <rFont val="WenQuanYi Zen Hei"/>
        <family val="2"/>
      </rPr>
      <t xml:space="preserve">層產出比可能更低（推測，未計算）。</t>
    </r>
  </si>
  <si>
    <t xml:space="preserve">Q9</t>
  </si>
  <si>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WenQuanYi Zen Hei"/>
        <family val="2"/>
      </rPr>
      <t xml:space="preserve">標記欄維持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（與既有五列一致），還是改為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WenQuanYi Zen Hei"/>
        <family val="2"/>
      </rPr>
      <t xml:space="preserve">混合（本提案大量輸入有出處但外推）？</t>
    </r>
  </si>
  <si>
    <r>
      <rPr>
        <sz val="11"/>
        <color theme="1"/>
        <rFont val="WenQuanYi Zen Hei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；說明欄載明推導與證據編號。</t>
    </r>
  </si>
  <si>
    <r>
      <rPr>
        <sz val="11"/>
        <color theme="1"/>
        <rFont val="WenQuanYi Zen Hei"/>
        <family val="2"/>
      </rPr>
      <t xml:space="preserve">標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（昇騰以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WenQuanYi Zen Hei"/>
        <family val="2"/>
      </rPr>
      <t xml:space="preserve">實測類比）／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WenQuanYi Zen Hei"/>
        <family val="2"/>
      </rPr>
      <t xml:space="preserve">）。</t>
    </r>
  </si>
  <si>
    <t xml:space="preserve">僅標記。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</si>
</sst>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General"/>
    <numFmt numFmtId="167" formatCode="0.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WenQuanYi Zen Hei"/>
      <family val="2"/>
    </font>
    <font>
      <b val="true"/>
      <sz val="11"/>
      <name val="Cambria"/>
      <family val="0"/>
      <charset val="1"/>
    </font>
    <font>
      <sz val="11"/>
      <color theme="1"/>
      <name val="WenQuanYi Zen Hei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1"/>
    <col collapsed="false" customWidth="true" hidden="false" outlineLevel="0" max="8" min="8" style="0" width="14"/>
    <col collapsed="false" customWidth="true" hidden="false" outlineLevel="0" max="11" min="9" style="0" width="10"/>
    <col collapsed="false" customWidth="true" hidden="false" outlineLevel="0" max="12" min="12" style="0" width="70"/>
    <col collapsed="false" customWidth="true" hidden="false" outlineLevel="0" max="13" min="13" style="0" width="34"/>
  </cols>
  <sheetData>
    <row r="1" customFormat="false" ht="15" hidden="false" customHeight="false" outlineLevel="0" collapsed="false">
      <c r="A1" s="1" t="s">
        <v>0</v>
      </c>
    </row>
    <row r="2" customFormat="false" ht="82.0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4" t="s">
        <v>14</v>
      </c>
    </row>
    <row r="4" customFormat="false" ht="15" hidden="false" customHeight="false" outlineLevel="0" collapsed="false">
      <c r="A4" s="5" t="s">
        <v>15</v>
      </c>
      <c r="B4" s="6" t="n">
        <f aca="false">推導!D64</f>
        <v>0.0464997899061134</v>
      </c>
      <c r="C4" s="6" t="n">
        <f aca="false">推導!E64</f>
        <v>0.0801893070076144</v>
      </c>
      <c r="D4" s="6" t="n">
        <f aca="false">推導!F64</f>
        <v>0.155861741176471</v>
      </c>
      <c r="E4" s="6" t="n">
        <f aca="false">推導!D69</f>
        <v>0.450569634480067</v>
      </c>
      <c r="F4" s="6" t="n">
        <f aca="false">推導!E69</f>
        <v>0.532878707116453</v>
      </c>
      <c r="G4" s="6" t="n">
        <f aca="false">推導!F69</f>
        <v>0.675048923488391</v>
      </c>
      <c r="H4" s="7" t="n">
        <f aca="false">F4/C4</f>
        <v>6.64525891296021</v>
      </c>
      <c r="I4" s="7" t="n">
        <f aca="false">E4/D4</f>
        <v>2.89082895570839</v>
      </c>
      <c r="J4" s="7" t="n">
        <f aca="false">G4/B4</f>
        <v>14.5172467413588</v>
      </c>
      <c r="M4" s="7" t="s">
        <v>16</v>
      </c>
    </row>
    <row r="5" customFormat="false" ht="15" hidden="false" customHeight="false" outlineLevel="0" collapsed="false">
      <c r="A5" s="0" t="s">
        <v>17</v>
      </c>
      <c r="B5" s="6" t="n">
        <f aca="false">推導!D79</f>
        <v>0.264363354037267</v>
      </c>
      <c r="C5" s="6" t="n">
        <f aca="false">推導!E79</f>
        <v>0.54047619047619</v>
      </c>
      <c r="D5" s="6" t="n">
        <f aca="false">推導!F79</f>
        <v>0.750661375661376</v>
      </c>
      <c r="E5" s="6" t="n">
        <f aca="false">推導!D85</f>
        <v>0.38948086963275</v>
      </c>
      <c r="F5" s="6" t="n">
        <f aca="false">推導!E85</f>
        <v>0.487515184129354</v>
      </c>
      <c r="G5" s="6" t="n">
        <f aca="false">推導!F85</f>
        <v>0.618227603458159</v>
      </c>
      <c r="H5" s="7" t="n">
        <f aca="false">F5/C5</f>
        <v>0.902010472838452</v>
      </c>
      <c r="I5" s="7" t="n">
        <f aca="false">E5/D5</f>
        <v>0.518850286242042</v>
      </c>
      <c r="J5" s="7" t="n">
        <f aca="false">G5/B5</f>
        <v>2.33855257930722</v>
      </c>
      <c r="M5" s="7" t="s">
        <v>16</v>
      </c>
    </row>
    <row r="7" customFormat="false" ht="15" hidden="false" customHeight="false" outlineLevel="0" collapsed="false">
      <c r="A7" s="1" t="s">
        <v>18</v>
      </c>
    </row>
    <row r="8" customFormat="false" ht="68.65" hidden="false" customHeight="false" outlineLevel="0" collapsed="false">
      <c r="A8" s="5" t="s">
        <v>19</v>
      </c>
      <c r="B8" s="8" t="n">
        <v>0.05</v>
      </c>
      <c r="C8" s="8" t="n">
        <v>0.08</v>
      </c>
      <c r="D8" s="8" t="n">
        <v>0.15</v>
      </c>
      <c r="E8" s="8" t="n">
        <v>0.45</v>
      </c>
      <c r="F8" s="8" t="n">
        <v>0.55</v>
      </c>
      <c r="G8" s="8" t="n">
        <v>0.7</v>
      </c>
      <c r="H8" s="7" t="n">
        <f aca="false">F8/C8</f>
        <v>6.875</v>
      </c>
      <c r="I8" s="7" t="n">
        <f aca="false">E8/D8</f>
        <v>3</v>
      </c>
      <c r="J8" s="7" t="n">
        <f aca="false">G8/B8</f>
        <v>14</v>
      </c>
      <c r="K8" s="7" t="s">
        <v>20</v>
      </c>
      <c r="L8" s="2" t="s">
        <v>21</v>
      </c>
      <c r="M8" s="7" t="s">
        <v>22</v>
      </c>
    </row>
    <row r="9" customFormat="false" ht="55.2" hidden="false" customHeight="false" outlineLevel="0" collapsed="false">
      <c r="A9" s="0" t="s">
        <v>23</v>
      </c>
      <c r="B9" s="8" t="n">
        <v>0.25</v>
      </c>
      <c r="C9" s="8" t="n">
        <v>0.55</v>
      </c>
      <c r="D9" s="8" t="n">
        <v>0.75</v>
      </c>
      <c r="E9" s="8" t="n">
        <v>0.4</v>
      </c>
      <c r="F9" s="8" t="n">
        <v>0.5</v>
      </c>
      <c r="G9" s="8" t="n">
        <v>0.6</v>
      </c>
      <c r="H9" s="7" t="n">
        <f aca="false">F9/C9</f>
        <v>0.909090909090909</v>
      </c>
      <c r="I9" s="7" t="n">
        <f aca="false">E9/D9</f>
        <v>0.533333333333333</v>
      </c>
      <c r="J9" s="7" t="n">
        <f aca="false">G9/B9</f>
        <v>2.4</v>
      </c>
      <c r="K9" s="7" t="s">
        <v>20</v>
      </c>
      <c r="L9" s="9" t="s">
        <v>24</v>
      </c>
      <c r="M9" s="7" t="s">
        <v>22</v>
      </c>
    </row>
    <row r="12" customFormat="false" ht="15" hidden="false" customHeight="false" outlineLevel="0" collapsed="false">
      <c r="A12" s="1" t="s">
        <v>25</v>
      </c>
    </row>
    <row r="13" customFormat="false" ht="15" hidden="false" customHeight="false" outlineLevel="0" collapsed="false">
      <c r="A13" s="3" t="s">
        <v>2</v>
      </c>
      <c r="B13" s="3" t="s">
        <v>4</v>
      </c>
      <c r="C13" s="3" t="s">
        <v>7</v>
      </c>
      <c r="D13" s="3" t="s">
        <v>26</v>
      </c>
      <c r="E13" s="3" t="s">
        <v>27</v>
      </c>
      <c r="F13" s="3" t="s">
        <v>28</v>
      </c>
      <c r="G13" s="3" t="s">
        <v>29</v>
      </c>
    </row>
    <row r="14" customFormat="false" ht="15" hidden="false" customHeight="false" outlineLevel="0" collapsed="false">
      <c r="A14" s="0" t="s">
        <v>30</v>
      </c>
      <c r="B14" s="0" t="n">
        <v>0.7</v>
      </c>
      <c r="C14" s="0" t="n">
        <v>0.9</v>
      </c>
      <c r="D14" s="0" t="n">
        <f aca="false">C14/B14</f>
        <v>1.28571428571429</v>
      </c>
      <c r="E14" s="0" t="s">
        <v>31</v>
      </c>
      <c r="F14" s="0" t="s">
        <v>32</v>
      </c>
      <c r="G14" s="5" t="s">
        <v>33</v>
      </c>
    </row>
    <row r="15" customFormat="false" ht="15" hidden="false" customHeight="false" outlineLevel="0" collapsed="false">
      <c r="A15" s="0" t="s">
        <v>34</v>
      </c>
      <c r="B15" s="0" t="n">
        <v>0.8</v>
      </c>
      <c r="C15" s="0" t="n">
        <v>0.8</v>
      </c>
      <c r="D15" s="0" t="n">
        <f aca="false">C15/B15</f>
        <v>1</v>
      </c>
      <c r="E15" s="0" t="s">
        <v>35</v>
      </c>
      <c r="F15" s="0" t="s">
        <v>36</v>
      </c>
      <c r="G15" s="5" t="s">
        <v>33</v>
      </c>
    </row>
    <row r="16" customFormat="false" ht="15" hidden="false" customHeight="false" outlineLevel="0" collapsed="false">
      <c r="A16" s="0" t="s">
        <v>37</v>
      </c>
      <c r="B16" s="0" t="n">
        <v>0.5</v>
      </c>
      <c r="C16" s="0" t="n">
        <v>0.7</v>
      </c>
      <c r="D16" s="0" t="n">
        <f aca="false">C16/B16</f>
        <v>1.4</v>
      </c>
      <c r="E16" s="0" t="s">
        <v>38</v>
      </c>
      <c r="F16" s="0" t="s">
        <v>39</v>
      </c>
      <c r="G16" s="5" t="s">
        <v>33</v>
      </c>
    </row>
    <row r="17" customFormat="false" ht="15" hidden="false" customHeight="false" outlineLevel="0" collapsed="false">
      <c r="A17" s="0" t="s">
        <v>40</v>
      </c>
      <c r="B17" s="0" t="n">
        <v>0.4</v>
      </c>
      <c r="C17" s="0" t="n">
        <v>1</v>
      </c>
      <c r="D17" s="0" t="n">
        <f aca="false">C17/B17</f>
        <v>2.5</v>
      </c>
      <c r="E17" s="0" t="s">
        <v>41</v>
      </c>
      <c r="F17" s="0" t="s">
        <v>42</v>
      </c>
      <c r="G17" s="5" t="s">
        <v>33</v>
      </c>
    </row>
    <row r="18" customFormat="false" ht="15" hidden="false" customHeight="false" outlineLevel="0" collapsed="false">
      <c r="A18" s="0" t="s">
        <v>43</v>
      </c>
      <c r="B18" s="0" t="n">
        <v>0.6</v>
      </c>
      <c r="C18" s="0" t="n">
        <v>0.8</v>
      </c>
      <c r="D18" s="0" t="n">
        <f aca="false">C18/B18</f>
        <v>1.33333333333333</v>
      </c>
      <c r="E18" s="0" t="s">
        <v>44</v>
      </c>
      <c r="F18" s="0" t="s">
        <v>36</v>
      </c>
      <c r="G18" s="5" t="s">
        <v>33</v>
      </c>
    </row>
    <row r="19" customFormat="false" ht="15" hidden="false" customHeight="false" outlineLevel="0" collapsed="false">
      <c r="A19" s="5" t="s">
        <v>45</v>
      </c>
      <c r="B19" s="0" t="n">
        <f aca="false">C8</f>
        <v>0.08</v>
      </c>
      <c r="C19" s="0" t="n">
        <f aca="false">F8</f>
        <v>0.55</v>
      </c>
      <c r="D19" s="0" t="n">
        <f aca="false">C19/B19</f>
        <v>6.875</v>
      </c>
      <c r="E19" s="0" t="str">
        <f aca="false">TEXT(B8,"0.00")&amp;"–"&amp;TEXT(D8,"0.00")</f>
        <v>0.05–0.15</v>
      </c>
      <c r="F19" s="0" t="str">
        <f aca="false">TEXT(E8,"0.00")&amp;"–"&amp;TEXT(G8,"0.00")</f>
        <v>0.45–0.70</v>
      </c>
      <c r="G19" s="5" t="s">
        <v>46</v>
      </c>
    </row>
    <row r="20" customFormat="false" ht="15" hidden="false" customHeight="false" outlineLevel="0" collapsed="false">
      <c r="A20" s="0" t="s">
        <v>47</v>
      </c>
      <c r="B20" s="0" t="n">
        <f aca="false">C9</f>
        <v>0.55</v>
      </c>
      <c r="C20" s="0" t="n">
        <f aca="false">F9</f>
        <v>0.5</v>
      </c>
      <c r="D20" s="0" t="n">
        <f aca="false">C20/B20</f>
        <v>0.909090909090909</v>
      </c>
      <c r="E20" s="0" t="str">
        <f aca="false">TEXT(B9,"0.00")&amp;"–"&amp;TEXT(D9,"0.00")</f>
        <v>0.25–0.75</v>
      </c>
      <c r="F20" s="0" t="str">
        <f aca="false">TEXT(E9,"0.00")&amp;"–"&amp;TEXT(G9,"0.00")</f>
        <v>0.40–0.60</v>
      </c>
      <c r="G20" s="5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6" min="4" style="0" width="12"/>
    <col collapsed="false" customWidth="true" hidden="false" outlineLevel="0" max="7" min="7" style="0" width="46"/>
    <col collapsed="false" customWidth="true" hidden="false" outlineLevel="0" max="8" min="8" style="0" width="26"/>
    <col collapsed="false" customWidth="true" hidden="false" outlineLevel="0" max="9" min="9" style="0" width="60"/>
  </cols>
  <sheetData>
    <row r="1" customFormat="false" ht="15" hidden="false" customHeight="false" outlineLevel="0" collapsed="false">
      <c r="A1" s="1" t="s">
        <v>48</v>
      </c>
    </row>
    <row r="2" customFormat="false" ht="592.5" hidden="false" customHeight="false" outlineLevel="0" collapsed="false">
      <c r="A2" s="2" t="s">
        <v>49</v>
      </c>
    </row>
    <row r="4" customFormat="false" ht="15" hidden="false" customHeight="false" outlineLevel="0" collapsed="false">
      <c r="A4" s="3" t="s">
        <v>50</v>
      </c>
      <c r="B4" s="3" t="s">
        <v>51</v>
      </c>
      <c r="C4" s="3" t="s">
        <v>52</v>
      </c>
      <c r="D4" s="3" t="s">
        <v>53</v>
      </c>
      <c r="E4" s="3" t="s">
        <v>54</v>
      </c>
      <c r="F4" s="3" t="s">
        <v>55</v>
      </c>
      <c r="G4" s="3" t="s">
        <v>56</v>
      </c>
      <c r="H4" s="3" t="s">
        <v>12</v>
      </c>
      <c r="I4" s="3" t="s">
        <v>57</v>
      </c>
    </row>
    <row r="5" customFormat="false" ht="15" hidden="false" customHeight="false" outlineLevel="0" collapsed="false">
      <c r="A5" s="10" t="s">
        <v>58</v>
      </c>
      <c r="B5" s="11"/>
      <c r="C5" s="11"/>
      <c r="D5" s="11"/>
      <c r="E5" s="11"/>
      <c r="F5" s="11"/>
      <c r="G5" s="12"/>
      <c r="H5" s="12"/>
      <c r="I5" s="11"/>
    </row>
    <row r="6" customFormat="false" ht="28.35" hidden="false" customHeight="false" outlineLevel="0" collapsed="false">
      <c r="A6" s="0" t="s">
        <v>59</v>
      </c>
      <c r="B6" s="0" t="s">
        <v>60</v>
      </c>
      <c r="C6" s="0" t="s">
        <v>61</v>
      </c>
      <c r="D6" s="8" t="n">
        <v>35</v>
      </c>
      <c r="E6" s="8" t="n">
        <v>35</v>
      </c>
      <c r="F6" s="8" t="n">
        <v>35</v>
      </c>
      <c r="G6" s="9" t="s">
        <v>62</v>
      </c>
      <c r="H6" s="9" t="s">
        <v>63</v>
      </c>
      <c r="I6" s="2" t="s">
        <v>64</v>
      </c>
    </row>
    <row r="7" customFormat="false" ht="28.35" hidden="false" customHeight="false" outlineLevel="0" collapsed="false">
      <c r="A7" s="0" t="s">
        <v>65</v>
      </c>
      <c r="B7" s="0" t="s">
        <v>66</v>
      </c>
      <c r="C7" s="0" t="s">
        <v>67</v>
      </c>
      <c r="D7" s="8" t="n">
        <v>227</v>
      </c>
      <c r="E7" s="8" t="n">
        <v>227</v>
      </c>
      <c r="F7" s="8" t="n">
        <v>227</v>
      </c>
      <c r="G7" s="9" t="s">
        <v>68</v>
      </c>
      <c r="H7" s="9" t="s">
        <v>69</v>
      </c>
      <c r="I7" s="9"/>
    </row>
    <row r="8" customFormat="false" ht="15" hidden="false" customHeight="false" outlineLevel="0" collapsed="false">
      <c r="A8" s="0" t="s">
        <v>70</v>
      </c>
      <c r="B8" s="5" t="s">
        <v>71</v>
      </c>
      <c r="C8" s="5" t="s">
        <v>72</v>
      </c>
      <c r="D8" s="8" t="n">
        <v>72</v>
      </c>
      <c r="E8" s="8" t="n">
        <v>72</v>
      </c>
      <c r="F8" s="8" t="n">
        <v>72</v>
      </c>
      <c r="G8" s="9" t="s">
        <v>73</v>
      </c>
      <c r="H8" s="9" t="s">
        <v>74</v>
      </c>
      <c r="I8" s="9"/>
    </row>
    <row r="9" customFormat="false" ht="15" hidden="false" customHeight="false" outlineLevel="0" collapsed="false">
      <c r="A9" s="0" t="s">
        <v>75</v>
      </c>
      <c r="B9" s="0" t="s">
        <v>76</v>
      </c>
      <c r="C9" s="0" t="s">
        <v>67</v>
      </c>
      <c r="D9" s="0" t="n">
        <f aca="false">D7/D8</f>
        <v>3.15277777777778</v>
      </c>
      <c r="E9" s="0" t="n">
        <f aca="false">E7/E8</f>
        <v>3.15277777777778</v>
      </c>
      <c r="F9" s="0" t="n">
        <f aca="false">F7/F8</f>
        <v>3.15277777777778</v>
      </c>
      <c r="G9" s="9" t="s">
        <v>77</v>
      </c>
      <c r="H9" s="9" t="s">
        <v>77</v>
      </c>
      <c r="I9" s="9" t="s">
        <v>78</v>
      </c>
    </row>
    <row r="10" customFormat="false" ht="15" hidden="false" customHeight="false" outlineLevel="0" collapsed="false">
      <c r="A10" s="0" t="s">
        <v>79</v>
      </c>
      <c r="B10" s="0" t="s">
        <v>80</v>
      </c>
      <c r="C10" s="0" t="s">
        <v>81</v>
      </c>
      <c r="D10" s="6" t="n">
        <f aca="false">D6/D9</f>
        <v>11.1013215859031</v>
      </c>
      <c r="E10" s="6" t="n">
        <f aca="false">E6/E9</f>
        <v>11.1013215859031</v>
      </c>
      <c r="F10" s="6" t="n">
        <f aca="false">F6/F9</f>
        <v>11.1013215859031</v>
      </c>
      <c r="G10" s="9" t="s">
        <v>77</v>
      </c>
      <c r="H10" s="9" t="s">
        <v>77</v>
      </c>
      <c r="I10" s="9" t="s">
        <v>82</v>
      </c>
    </row>
    <row r="11" customFormat="false" ht="15" hidden="false" customHeight="false" outlineLevel="0" collapsed="false">
      <c r="A11" s="0" t="s">
        <v>83</v>
      </c>
      <c r="B11" s="0" t="s">
        <v>84</v>
      </c>
      <c r="C11" s="5" t="s">
        <v>85</v>
      </c>
      <c r="D11" s="8" t="n">
        <v>4052</v>
      </c>
      <c r="E11" s="8" t="n">
        <v>4052</v>
      </c>
      <c r="F11" s="8" t="n">
        <v>4052</v>
      </c>
      <c r="G11" s="9" t="s">
        <v>86</v>
      </c>
      <c r="H11" s="9" t="s">
        <v>87</v>
      </c>
      <c r="I11" s="9"/>
    </row>
    <row r="12" customFormat="false" ht="15" hidden="false" customHeight="false" outlineLevel="0" collapsed="false">
      <c r="A12" s="0" t="s">
        <v>88</v>
      </c>
      <c r="B12" s="0" t="s">
        <v>89</v>
      </c>
      <c r="C12" s="5" t="s">
        <v>72</v>
      </c>
      <c r="D12" s="8" t="n">
        <v>291744</v>
      </c>
      <c r="E12" s="8" t="n">
        <v>291744</v>
      </c>
      <c r="F12" s="8" t="n">
        <v>291744</v>
      </c>
      <c r="G12" s="9" t="s">
        <v>90</v>
      </c>
      <c r="H12" s="9" t="s">
        <v>87</v>
      </c>
      <c r="I12" s="2" t="s">
        <v>91</v>
      </c>
    </row>
    <row r="13" customFormat="false" ht="15" hidden="false" customHeight="false" outlineLevel="0" collapsed="false">
      <c r="A13" s="0" t="s">
        <v>92</v>
      </c>
      <c r="B13" s="0" t="s">
        <v>93</v>
      </c>
      <c r="C13" s="0" t="s">
        <v>94</v>
      </c>
      <c r="D13" s="8" t="n">
        <v>8.4</v>
      </c>
      <c r="E13" s="8" t="n">
        <v>8.4</v>
      </c>
      <c r="F13" s="8" t="n">
        <v>8.4</v>
      </c>
      <c r="G13" s="9" t="s">
        <v>95</v>
      </c>
      <c r="H13" s="9" t="s">
        <v>96</v>
      </c>
      <c r="I13" s="9"/>
    </row>
    <row r="14" customFormat="false" ht="15" hidden="false" customHeight="false" outlineLevel="0" collapsed="false">
      <c r="A14" s="0" t="s">
        <v>97</v>
      </c>
      <c r="B14" s="0" t="s">
        <v>98</v>
      </c>
      <c r="C14" s="0" t="s">
        <v>99</v>
      </c>
      <c r="D14" s="8" t="n">
        <v>37.5864</v>
      </c>
      <c r="E14" s="8" t="n">
        <v>37.5864</v>
      </c>
      <c r="F14" s="8" t="n">
        <v>37.5864</v>
      </c>
      <c r="G14" s="9" t="s">
        <v>100</v>
      </c>
      <c r="H14" s="9" t="s">
        <v>87</v>
      </c>
      <c r="I14" s="9"/>
    </row>
    <row r="15" customFormat="false" ht="15" hidden="false" customHeight="false" outlineLevel="0" collapsed="false">
      <c r="A15" s="0" t="s">
        <v>101</v>
      </c>
      <c r="B15" s="0" t="s">
        <v>102</v>
      </c>
      <c r="C15" s="0" t="s">
        <v>103</v>
      </c>
      <c r="D15" s="0" t="n">
        <f aca="false">D14/(D11*D13/1000)</f>
        <v>1.10428712452404</v>
      </c>
      <c r="E15" s="0" t="n">
        <f aca="false">E14/(E11*E13/1000)</f>
        <v>1.10428712452404</v>
      </c>
      <c r="F15" s="0" t="n">
        <f aca="false">F14/(F11*F13/1000)</f>
        <v>1.10428712452404</v>
      </c>
      <c r="G15" s="9" t="s">
        <v>77</v>
      </c>
      <c r="H15" s="9" t="s">
        <v>77</v>
      </c>
      <c r="I15" s="2" t="s">
        <v>104</v>
      </c>
    </row>
    <row r="16" customFormat="false" ht="15" hidden="false" customHeight="false" outlineLevel="0" collapsed="false">
      <c r="A16" s="0" t="s">
        <v>105</v>
      </c>
      <c r="B16" s="0" t="s">
        <v>106</v>
      </c>
      <c r="C16" s="0" t="s">
        <v>99</v>
      </c>
      <c r="D16" s="8" t="n">
        <v>12.67</v>
      </c>
      <c r="E16" s="8" t="n">
        <v>12.67</v>
      </c>
      <c r="F16" s="8" t="n">
        <v>12.67</v>
      </c>
      <c r="G16" s="9" t="s">
        <v>107</v>
      </c>
      <c r="H16" s="9" t="s">
        <v>87</v>
      </c>
      <c r="I16" s="9"/>
    </row>
    <row r="17" customFormat="false" ht="15" hidden="false" customHeight="false" outlineLevel="0" collapsed="false">
      <c r="A17" s="0" t="s">
        <v>108</v>
      </c>
      <c r="B17" s="0" t="s">
        <v>109</v>
      </c>
      <c r="C17" s="0" t="s">
        <v>110</v>
      </c>
      <c r="D17" s="8" t="n">
        <v>12.2255</v>
      </c>
      <c r="E17" s="8" t="n">
        <v>12.2255</v>
      </c>
      <c r="F17" s="8" t="n">
        <v>12.2255</v>
      </c>
      <c r="G17" s="9" t="s">
        <v>111</v>
      </c>
      <c r="H17" s="9" t="s">
        <v>87</v>
      </c>
      <c r="I17" s="2" t="s">
        <v>112</v>
      </c>
    </row>
    <row r="18" customFormat="false" ht="15" hidden="false" customHeight="false" outlineLevel="0" collapsed="false">
      <c r="A18" s="0" t="s">
        <v>113</v>
      </c>
      <c r="B18" s="0" t="s">
        <v>114</v>
      </c>
      <c r="C18" s="0" t="s">
        <v>110</v>
      </c>
      <c r="D18" s="8" t="n">
        <v>8.9923</v>
      </c>
      <c r="E18" s="8" t="n">
        <v>8.9923</v>
      </c>
      <c r="F18" s="8" t="n">
        <v>8.9923</v>
      </c>
      <c r="G18" s="9" t="s">
        <v>115</v>
      </c>
      <c r="H18" s="9" t="s">
        <v>87</v>
      </c>
      <c r="I18" s="9"/>
    </row>
    <row r="19" customFormat="false" ht="15" hidden="false" customHeight="false" outlineLevel="0" collapsed="false">
      <c r="A19" s="0" t="s">
        <v>116</v>
      </c>
      <c r="B19" s="0" t="s">
        <v>117</v>
      </c>
      <c r="C19" s="0" t="s">
        <v>110</v>
      </c>
      <c r="D19" s="8" t="n">
        <v>6.2644</v>
      </c>
      <c r="E19" s="8" t="n">
        <v>6.2644</v>
      </c>
      <c r="F19" s="8" t="n">
        <v>6.2644</v>
      </c>
      <c r="G19" s="9" t="s">
        <v>118</v>
      </c>
      <c r="H19" s="9" t="s">
        <v>87</v>
      </c>
      <c r="I19" s="9"/>
    </row>
    <row r="20" customFormat="false" ht="15" hidden="false" customHeight="false" outlineLevel="0" collapsed="false">
      <c r="A20" s="0" t="s">
        <v>119</v>
      </c>
      <c r="B20" s="0" t="s">
        <v>120</v>
      </c>
      <c r="C20" s="0" t="s">
        <v>110</v>
      </c>
      <c r="D20" s="8" t="n">
        <v>0.591</v>
      </c>
      <c r="E20" s="8" t="n">
        <v>0.591</v>
      </c>
      <c r="F20" s="8" t="n">
        <v>0.591</v>
      </c>
      <c r="G20" s="9" t="s">
        <v>121</v>
      </c>
      <c r="H20" s="9" t="s">
        <v>87</v>
      </c>
      <c r="I20" s="9"/>
    </row>
    <row r="21" customFormat="false" ht="15" hidden="false" customHeight="false" outlineLevel="0" collapsed="false">
      <c r="A21" s="0" t="s">
        <v>122</v>
      </c>
      <c r="B21" s="0" t="s">
        <v>123</v>
      </c>
      <c r="C21" s="0" t="s">
        <v>110</v>
      </c>
      <c r="D21" s="8" t="n">
        <v>0.2513</v>
      </c>
      <c r="E21" s="8" t="n">
        <v>0.2513</v>
      </c>
      <c r="F21" s="8" t="n">
        <v>0.2513</v>
      </c>
      <c r="G21" s="9" t="s">
        <v>124</v>
      </c>
      <c r="H21" s="9" t="s">
        <v>87</v>
      </c>
      <c r="I21" s="9"/>
    </row>
    <row r="22" customFormat="false" ht="15" hidden="false" customHeight="false" outlineLevel="0" collapsed="false">
      <c r="A22" s="0" t="s">
        <v>125</v>
      </c>
      <c r="B22" s="5" t="s">
        <v>126</v>
      </c>
      <c r="C22" s="0" t="s">
        <v>110</v>
      </c>
      <c r="D22" s="0" t="n">
        <f aca="false">D17-D18</f>
        <v>3.2332</v>
      </c>
      <c r="E22" s="0" t="n">
        <f aca="false">E17-E18</f>
        <v>3.2332</v>
      </c>
      <c r="F22" s="0" t="n">
        <f aca="false">F17-F18</f>
        <v>3.2332</v>
      </c>
      <c r="G22" s="9" t="s">
        <v>77</v>
      </c>
      <c r="H22" s="9" t="s">
        <v>77</v>
      </c>
      <c r="I22" s="9"/>
    </row>
    <row r="23" customFormat="false" ht="15" hidden="false" customHeight="false" outlineLevel="0" collapsed="false">
      <c r="A23" s="0" t="s">
        <v>127</v>
      </c>
      <c r="B23" s="0" t="s">
        <v>128</v>
      </c>
      <c r="C23" s="0" t="s">
        <v>129</v>
      </c>
      <c r="D23" s="6" t="n">
        <f aca="false">D14/(D14+D16)</f>
        <v>0.747892805692409</v>
      </c>
      <c r="E23" s="6" t="n">
        <f aca="false">E14/(E14+E16)</f>
        <v>0.747892805692409</v>
      </c>
      <c r="F23" s="6" t="n">
        <f aca="false">F14/(F14+F16)</f>
        <v>0.747892805692409</v>
      </c>
      <c r="G23" s="9" t="s">
        <v>77</v>
      </c>
      <c r="H23" s="9" t="s">
        <v>77</v>
      </c>
      <c r="I23" s="2" t="s">
        <v>130</v>
      </c>
    </row>
    <row r="24" customFormat="false" ht="28.35" hidden="false" customHeight="false" outlineLevel="0" collapsed="false">
      <c r="A24" s="0" t="s">
        <v>131</v>
      </c>
      <c r="B24" s="5" t="s">
        <v>132</v>
      </c>
      <c r="C24" s="0" t="s">
        <v>110</v>
      </c>
      <c r="D24" s="0" t="n">
        <f aca="false">D19+D20+(D21+D22)*D23</f>
        <v>9.4614324814352</v>
      </c>
      <c r="E24" s="0" t="n">
        <f aca="false">E19+E20+(E21+E22)*E23</f>
        <v>9.4614324814352</v>
      </c>
      <c r="F24" s="0" t="n">
        <f aca="false">F19+F20+(F21+F22)*F23</f>
        <v>9.4614324814352</v>
      </c>
      <c r="G24" s="9" t="s">
        <v>77</v>
      </c>
      <c r="H24" s="9" t="s">
        <v>77</v>
      </c>
      <c r="I24" s="2" t="s">
        <v>133</v>
      </c>
    </row>
    <row r="25" customFormat="false" ht="15" hidden="false" customHeight="false" outlineLevel="0" collapsed="false">
      <c r="A25" s="0" t="s">
        <v>134</v>
      </c>
      <c r="B25" s="5" t="s">
        <v>135</v>
      </c>
      <c r="C25" s="0" t="s">
        <v>129</v>
      </c>
      <c r="D25" s="6" t="n">
        <f aca="false">D24/D17</f>
        <v>0.773909654528256</v>
      </c>
      <c r="E25" s="6" t="n">
        <f aca="false">E24/E17</f>
        <v>0.773909654528256</v>
      </c>
      <c r="F25" s="6" t="n">
        <f aca="false">F24/F17</f>
        <v>0.773909654528256</v>
      </c>
      <c r="G25" s="9" t="s">
        <v>77</v>
      </c>
      <c r="H25" s="9" t="s">
        <v>77</v>
      </c>
      <c r="I25" s="2" t="s">
        <v>136</v>
      </c>
    </row>
    <row r="26" customFormat="false" ht="15" hidden="false" customHeight="false" outlineLevel="0" collapsed="false">
      <c r="A26" s="10" t="s">
        <v>137</v>
      </c>
      <c r="B26" s="11"/>
      <c r="C26" s="11"/>
      <c r="D26" s="11"/>
      <c r="E26" s="11"/>
      <c r="F26" s="11"/>
      <c r="G26" s="12"/>
      <c r="H26" s="12"/>
      <c r="I26" s="11"/>
    </row>
    <row r="27" customFormat="false" ht="15" hidden="false" customHeight="false" outlineLevel="0" collapsed="false">
      <c r="A27" s="0" t="s">
        <v>138</v>
      </c>
      <c r="B27" s="0" t="s">
        <v>139</v>
      </c>
      <c r="C27" s="0" t="s">
        <v>61</v>
      </c>
      <c r="D27" s="8" t="n">
        <v>1.979</v>
      </c>
      <c r="E27" s="8" t="n">
        <v>1.979</v>
      </c>
      <c r="F27" s="8" t="n">
        <v>1.979</v>
      </c>
      <c r="G27" s="9" t="s">
        <v>140</v>
      </c>
      <c r="H27" s="9" t="s">
        <v>96</v>
      </c>
      <c r="I27" s="9"/>
    </row>
    <row r="28" customFormat="false" ht="15" hidden="false" customHeight="false" outlineLevel="0" collapsed="false">
      <c r="A28" s="0" t="s">
        <v>141</v>
      </c>
      <c r="B28" s="0" t="s">
        <v>142</v>
      </c>
      <c r="C28" s="0" t="s">
        <v>67</v>
      </c>
      <c r="D28" s="8" t="n">
        <v>41</v>
      </c>
      <c r="E28" s="8" t="n">
        <v>41</v>
      </c>
      <c r="F28" s="8" t="n">
        <v>41</v>
      </c>
      <c r="G28" s="9" t="s">
        <v>140</v>
      </c>
      <c r="H28" s="9" t="s">
        <v>143</v>
      </c>
      <c r="I28" s="9"/>
    </row>
    <row r="29" customFormat="false" ht="15" hidden="false" customHeight="false" outlineLevel="0" collapsed="false">
      <c r="A29" s="0" t="s">
        <v>144</v>
      </c>
      <c r="B29" s="0" t="s">
        <v>145</v>
      </c>
      <c r="C29" s="5" t="s">
        <v>72</v>
      </c>
      <c r="D29" s="8" t="n">
        <v>32</v>
      </c>
      <c r="E29" s="8" t="n">
        <v>32</v>
      </c>
      <c r="F29" s="8" t="n">
        <v>32</v>
      </c>
      <c r="G29" s="9" t="s">
        <v>140</v>
      </c>
      <c r="H29" s="9" t="s">
        <v>74</v>
      </c>
      <c r="I29" s="9"/>
    </row>
    <row r="30" customFormat="false" ht="15" hidden="false" customHeight="false" outlineLevel="0" collapsed="false">
      <c r="A30" s="0" t="s">
        <v>146</v>
      </c>
      <c r="B30" s="0" t="s">
        <v>147</v>
      </c>
      <c r="C30" s="0" t="s">
        <v>67</v>
      </c>
      <c r="D30" s="0" t="n">
        <f aca="false">D28/D29</f>
        <v>1.28125</v>
      </c>
      <c r="E30" s="0" t="n">
        <f aca="false">E28/E29</f>
        <v>1.28125</v>
      </c>
      <c r="F30" s="0" t="n">
        <f aca="false">F28/F29</f>
        <v>1.28125</v>
      </c>
      <c r="G30" s="9" t="s">
        <v>77</v>
      </c>
      <c r="H30" s="9" t="s">
        <v>77</v>
      </c>
      <c r="I30" s="9"/>
    </row>
    <row r="31" customFormat="false" ht="15" hidden="false" customHeight="false" outlineLevel="0" collapsed="false">
      <c r="A31" s="0" t="s">
        <v>148</v>
      </c>
      <c r="B31" s="0" t="s">
        <v>149</v>
      </c>
      <c r="C31" s="0" t="s">
        <v>129</v>
      </c>
      <c r="D31" s="6" t="n">
        <f aca="false">(D27/D30)/D10</f>
        <v>0.139135269066976</v>
      </c>
      <c r="E31" s="6" t="n">
        <f aca="false">(E27/E30)/E10</f>
        <v>0.139135269066976</v>
      </c>
      <c r="F31" s="6" t="n">
        <f aca="false">(F27/F30)/F10</f>
        <v>0.139135269066976</v>
      </c>
      <c r="G31" s="9" t="s">
        <v>77</v>
      </c>
      <c r="H31" s="9" t="s">
        <v>77</v>
      </c>
      <c r="I31" s="9"/>
    </row>
    <row r="32" customFormat="false" ht="15" hidden="false" customHeight="false" outlineLevel="0" collapsed="false">
      <c r="A32" s="0" t="s">
        <v>150</v>
      </c>
      <c r="B32" s="0" t="s">
        <v>151</v>
      </c>
      <c r="C32" s="0" t="s">
        <v>61</v>
      </c>
      <c r="D32" s="8" t="n">
        <v>10</v>
      </c>
      <c r="E32" s="8" t="n">
        <v>10</v>
      </c>
      <c r="F32" s="8" t="n">
        <v>10</v>
      </c>
      <c r="G32" s="9" t="s">
        <v>152</v>
      </c>
      <c r="H32" s="9" t="s">
        <v>96</v>
      </c>
      <c r="I32" s="9"/>
    </row>
    <row r="33" customFormat="false" ht="15" hidden="false" customHeight="false" outlineLevel="0" collapsed="false">
      <c r="A33" s="0" t="s">
        <v>153</v>
      </c>
      <c r="B33" s="0" t="s">
        <v>154</v>
      </c>
      <c r="C33" s="0" t="s">
        <v>67</v>
      </c>
      <c r="D33" s="8" t="n">
        <v>132</v>
      </c>
      <c r="E33" s="8" t="n">
        <v>132</v>
      </c>
      <c r="F33" s="8" t="n">
        <v>132</v>
      </c>
      <c r="G33" s="9" t="s">
        <v>152</v>
      </c>
      <c r="H33" s="9" t="s">
        <v>143</v>
      </c>
      <c r="I33" s="9"/>
    </row>
    <row r="34" customFormat="false" ht="15" hidden="false" customHeight="false" outlineLevel="0" collapsed="false">
      <c r="A34" s="0" t="s">
        <v>155</v>
      </c>
      <c r="B34" s="0" t="s">
        <v>156</v>
      </c>
      <c r="C34" s="5" t="s">
        <v>72</v>
      </c>
      <c r="D34" s="8" t="n">
        <v>72</v>
      </c>
      <c r="E34" s="8" t="n">
        <v>72</v>
      </c>
      <c r="F34" s="8" t="n">
        <v>72</v>
      </c>
      <c r="G34" s="9" t="s">
        <v>152</v>
      </c>
      <c r="H34" s="9" t="s">
        <v>74</v>
      </c>
      <c r="I34" s="9"/>
    </row>
    <row r="35" customFormat="false" ht="15" hidden="false" customHeight="false" outlineLevel="0" collapsed="false">
      <c r="A35" s="0" t="s">
        <v>157</v>
      </c>
      <c r="B35" s="0" t="s">
        <v>158</v>
      </c>
      <c r="C35" s="0" t="s">
        <v>67</v>
      </c>
      <c r="D35" s="0" t="n">
        <f aca="false">D33/D34</f>
        <v>1.83333333333333</v>
      </c>
      <c r="E35" s="0" t="n">
        <f aca="false">E33/E34</f>
        <v>1.83333333333333</v>
      </c>
      <c r="F35" s="0" t="n">
        <f aca="false">F33/F34</f>
        <v>1.83333333333333</v>
      </c>
      <c r="G35" s="9" t="s">
        <v>77</v>
      </c>
      <c r="H35" s="9" t="s">
        <v>77</v>
      </c>
      <c r="I35" s="9"/>
    </row>
    <row r="36" customFormat="false" ht="15" hidden="false" customHeight="false" outlineLevel="0" collapsed="false">
      <c r="A36" s="0" t="s">
        <v>159</v>
      </c>
      <c r="B36" s="0" t="s">
        <v>160</v>
      </c>
      <c r="C36" s="0" t="s">
        <v>129</v>
      </c>
      <c r="D36" s="6" t="n">
        <f aca="false">(D32/D35)/D10</f>
        <v>0.491341991341991</v>
      </c>
      <c r="E36" s="6" t="n">
        <f aca="false">(E32/E35)/E10</f>
        <v>0.491341991341991</v>
      </c>
      <c r="F36" s="6" t="n">
        <f aca="false">(F32/F35)/F10</f>
        <v>0.491341991341991</v>
      </c>
      <c r="G36" s="9" t="s">
        <v>77</v>
      </c>
      <c r="H36" s="9" t="s">
        <v>77</v>
      </c>
      <c r="I36" s="9"/>
    </row>
    <row r="37" customFormat="false" ht="15" hidden="false" customHeight="false" outlineLevel="0" collapsed="false">
      <c r="A37" s="0" t="s">
        <v>161</v>
      </c>
      <c r="B37" s="0" t="s">
        <v>162</v>
      </c>
      <c r="C37" s="0" t="s">
        <v>61</v>
      </c>
      <c r="D37" s="8" t="n">
        <v>15</v>
      </c>
      <c r="E37" s="8" t="n">
        <v>15</v>
      </c>
      <c r="F37" s="8" t="n">
        <v>15</v>
      </c>
      <c r="G37" s="9" t="s">
        <v>163</v>
      </c>
      <c r="H37" s="9" t="s">
        <v>96</v>
      </c>
      <c r="I37" s="9"/>
    </row>
    <row r="38" customFormat="false" ht="15" hidden="false" customHeight="false" outlineLevel="0" collapsed="false">
      <c r="A38" s="0" t="s">
        <v>164</v>
      </c>
      <c r="B38" s="0" t="s">
        <v>165</v>
      </c>
      <c r="C38" s="0" t="s">
        <v>67</v>
      </c>
      <c r="D38" s="8" t="n">
        <v>136</v>
      </c>
      <c r="E38" s="8" t="n">
        <v>136</v>
      </c>
      <c r="F38" s="8" t="n">
        <v>136</v>
      </c>
      <c r="G38" s="9" t="s">
        <v>163</v>
      </c>
      <c r="H38" s="9" t="s">
        <v>143</v>
      </c>
      <c r="I38" s="9"/>
    </row>
    <row r="39" customFormat="false" ht="15" hidden="false" customHeight="false" outlineLevel="0" collapsed="false">
      <c r="A39" s="0" t="s">
        <v>166</v>
      </c>
      <c r="B39" s="0" t="s">
        <v>167</v>
      </c>
      <c r="C39" s="5" t="s">
        <v>72</v>
      </c>
      <c r="D39" s="8" t="n">
        <v>72</v>
      </c>
      <c r="E39" s="8" t="n">
        <v>72</v>
      </c>
      <c r="F39" s="8" t="n">
        <v>72</v>
      </c>
      <c r="G39" s="9" t="s">
        <v>163</v>
      </c>
      <c r="H39" s="9" t="s">
        <v>74</v>
      </c>
      <c r="I39" s="9"/>
    </row>
    <row r="40" customFormat="false" ht="15" hidden="false" customHeight="false" outlineLevel="0" collapsed="false">
      <c r="A40" s="0" t="s">
        <v>168</v>
      </c>
      <c r="B40" s="0" t="s">
        <v>169</v>
      </c>
      <c r="C40" s="0" t="s">
        <v>67</v>
      </c>
      <c r="D40" s="0" t="n">
        <f aca="false">D38/D39</f>
        <v>1.88888888888889</v>
      </c>
      <c r="E40" s="0" t="n">
        <f aca="false">E38/E39</f>
        <v>1.88888888888889</v>
      </c>
      <c r="F40" s="0" t="n">
        <f aca="false">F38/F39</f>
        <v>1.88888888888889</v>
      </c>
      <c r="G40" s="9" t="s">
        <v>77</v>
      </c>
      <c r="H40" s="9" t="s">
        <v>77</v>
      </c>
      <c r="I40" s="9"/>
    </row>
    <row r="41" customFormat="false" ht="15" hidden="false" customHeight="false" outlineLevel="0" collapsed="false">
      <c r="A41" s="0" t="s">
        <v>170</v>
      </c>
      <c r="B41" s="0" t="s">
        <v>171</v>
      </c>
      <c r="C41" s="0" t="s">
        <v>129</v>
      </c>
      <c r="D41" s="6" t="n">
        <f aca="false">(D37/D40)/D10</f>
        <v>0.715336134453781</v>
      </c>
      <c r="E41" s="6" t="n">
        <f aca="false">(E37/E40)/E10</f>
        <v>0.715336134453781</v>
      </c>
      <c r="F41" s="6" t="n">
        <f aca="false">(F37/F40)/F10</f>
        <v>0.715336134453781</v>
      </c>
      <c r="G41" s="9" t="s">
        <v>77</v>
      </c>
      <c r="H41" s="9" t="s">
        <v>77</v>
      </c>
      <c r="I41" s="9"/>
    </row>
    <row r="42" customFormat="false" ht="15" hidden="false" customHeight="false" outlineLevel="0" collapsed="false">
      <c r="A42" s="0" t="s">
        <v>172</v>
      </c>
      <c r="B42" s="0" t="s">
        <v>173</v>
      </c>
      <c r="C42" s="0" t="s">
        <v>129</v>
      </c>
      <c r="D42" s="13" t="n">
        <v>0.1075</v>
      </c>
      <c r="E42" s="13" t="n">
        <v>0.1054</v>
      </c>
      <c r="F42" s="13" t="n">
        <v>0.0978</v>
      </c>
      <c r="G42" s="9" t="s">
        <v>174</v>
      </c>
      <c r="H42" s="9" t="s">
        <v>87</v>
      </c>
      <c r="I42" s="2" t="s">
        <v>175</v>
      </c>
    </row>
    <row r="43" customFormat="false" ht="15" hidden="false" customHeight="false" outlineLevel="0" collapsed="false">
      <c r="A43" s="0" t="s">
        <v>176</v>
      </c>
      <c r="B43" s="0" t="s">
        <v>177</v>
      </c>
      <c r="C43" s="0" t="s">
        <v>129</v>
      </c>
      <c r="D43" s="6" t="n">
        <f aca="false">AVERAGE(D42:F42)</f>
        <v>0.103566666666667</v>
      </c>
      <c r="E43" s="6" t="n">
        <f aca="false">AVERAGE(D42:F42)</f>
        <v>0.103566666666667</v>
      </c>
      <c r="F43" s="6" t="n">
        <f aca="false">AVERAGE(D42:F42)</f>
        <v>0.103566666666667</v>
      </c>
      <c r="G43" s="9" t="s">
        <v>77</v>
      </c>
      <c r="H43" s="9" t="s">
        <v>77</v>
      </c>
      <c r="I43" s="9"/>
    </row>
    <row r="44" customFormat="false" ht="28.35" hidden="false" customHeight="false" outlineLevel="0" collapsed="false">
      <c r="A44" s="0" t="s">
        <v>178</v>
      </c>
      <c r="B44" s="0" t="s">
        <v>179</v>
      </c>
      <c r="C44" s="0" t="s">
        <v>129</v>
      </c>
      <c r="D44" s="6" t="n">
        <f aca="false">D43/D31</f>
        <v>0.744359552837837</v>
      </c>
      <c r="E44" s="6" t="n">
        <f aca="false">E43/E31</f>
        <v>0.744359552837837</v>
      </c>
      <c r="F44" s="6" t="n">
        <f aca="false">F43/F31</f>
        <v>0.744359552837837</v>
      </c>
      <c r="G44" s="9" t="s">
        <v>77</v>
      </c>
      <c r="H44" s="9" t="s">
        <v>77</v>
      </c>
      <c r="I44" s="9" t="s">
        <v>180</v>
      </c>
    </row>
    <row r="45" customFormat="false" ht="15" hidden="false" customHeight="false" outlineLevel="0" collapsed="false">
      <c r="A45" s="0" t="s">
        <v>181</v>
      </c>
      <c r="B45" s="0" t="s">
        <v>182</v>
      </c>
      <c r="C45" s="0" t="s">
        <v>129</v>
      </c>
      <c r="D45" s="13" t="n">
        <v>0.5346</v>
      </c>
      <c r="E45" s="13" t="n">
        <v>0.5132</v>
      </c>
      <c r="F45" s="13" t="n">
        <v>0.4837</v>
      </c>
      <c r="G45" s="9" t="s">
        <v>174</v>
      </c>
      <c r="H45" s="9" t="s">
        <v>87</v>
      </c>
      <c r="I45" s="2" t="s">
        <v>175</v>
      </c>
    </row>
    <row r="46" customFormat="false" ht="15" hidden="false" customHeight="false" outlineLevel="0" collapsed="false">
      <c r="A46" s="0" t="s">
        <v>183</v>
      </c>
      <c r="B46" s="0" t="s">
        <v>184</v>
      </c>
      <c r="C46" s="0" t="s">
        <v>129</v>
      </c>
      <c r="D46" s="6" t="n">
        <f aca="false">AVERAGE(D45:F45)</f>
        <v>0.5105</v>
      </c>
      <c r="E46" s="6" t="n">
        <f aca="false">AVERAGE(D45:F45)</f>
        <v>0.5105</v>
      </c>
      <c r="F46" s="6" t="n">
        <f aca="false">AVERAGE(D45:F45)</f>
        <v>0.5105</v>
      </c>
      <c r="G46" s="9" t="s">
        <v>77</v>
      </c>
      <c r="H46" s="9" t="s">
        <v>77</v>
      </c>
      <c r="I46" s="9"/>
    </row>
    <row r="47" customFormat="false" ht="28.35" hidden="false" customHeight="false" outlineLevel="0" collapsed="false">
      <c r="A47" s="0" t="s">
        <v>185</v>
      </c>
      <c r="B47" s="0" t="s">
        <v>186</v>
      </c>
      <c r="C47" s="0" t="s">
        <v>129</v>
      </c>
      <c r="D47" s="6" t="n">
        <f aca="false">D46/D36</f>
        <v>1.03899118942731</v>
      </c>
      <c r="E47" s="6" t="n">
        <f aca="false">E46/E36</f>
        <v>1.03899118942731</v>
      </c>
      <c r="F47" s="6" t="n">
        <f aca="false">F46/F36</f>
        <v>1.03899118942731</v>
      </c>
      <c r="G47" s="9" t="s">
        <v>77</v>
      </c>
      <c r="H47" s="9" t="s">
        <v>77</v>
      </c>
      <c r="I47" s="9" t="s">
        <v>180</v>
      </c>
    </row>
    <row r="48" customFormat="false" ht="15" hidden="false" customHeight="false" outlineLevel="0" collapsed="false">
      <c r="A48" s="0" t="s">
        <v>187</v>
      </c>
      <c r="B48" s="0" t="s">
        <v>188</v>
      </c>
      <c r="C48" s="0" t="s">
        <v>129</v>
      </c>
      <c r="D48" s="13" t="n">
        <v>0.6932</v>
      </c>
      <c r="E48" s="13" t="n">
        <v>0.6657</v>
      </c>
      <c r="F48" s="13" t="n">
        <v>0.5638</v>
      </c>
      <c r="G48" s="9" t="s">
        <v>174</v>
      </c>
      <c r="H48" s="9" t="s">
        <v>87</v>
      </c>
      <c r="I48" s="2" t="s">
        <v>175</v>
      </c>
    </row>
    <row r="49" customFormat="false" ht="15" hidden="false" customHeight="false" outlineLevel="0" collapsed="false">
      <c r="A49" s="0" t="s">
        <v>189</v>
      </c>
      <c r="B49" s="0" t="s">
        <v>190</v>
      </c>
      <c r="C49" s="0" t="s">
        <v>129</v>
      </c>
      <c r="D49" s="6" t="n">
        <f aca="false">AVERAGE(D48:F48)</f>
        <v>0.6409</v>
      </c>
      <c r="E49" s="6" t="n">
        <f aca="false">AVERAGE(D48:F48)</f>
        <v>0.6409</v>
      </c>
      <c r="F49" s="6" t="n">
        <f aca="false">AVERAGE(D48:F48)</f>
        <v>0.6409</v>
      </c>
      <c r="G49" s="9" t="s">
        <v>77</v>
      </c>
      <c r="H49" s="9" t="s">
        <v>77</v>
      </c>
      <c r="I49" s="9"/>
    </row>
    <row r="50" customFormat="false" ht="28.35" hidden="false" customHeight="false" outlineLevel="0" collapsed="false">
      <c r="A50" s="0" t="s">
        <v>191</v>
      </c>
      <c r="B50" s="0" t="s">
        <v>192</v>
      </c>
      <c r="C50" s="0" t="s">
        <v>129</v>
      </c>
      <c r="D50" s="6" t="n">
        <f aca="false">D49/D41</f>
        <v>0.895942437591777</v>
      </c>
      <c r="E50" s="6" t="n">
        <f aca="false">E49/E41</f>
        <v>0.895942437591777</v>
      </c>
      <c r="F50" s="6" t="n">
        <f aca="false">F49/F41</f>
        <v>0.895942437591777</v>
      </c>
      <c r="G50" s="9" t="s">
        <v>77</v>
      </c>
      <c r="H50" s="9" t="s">
        <v>77</v>
      </c>
      <c r="I50" s="9" t="s">
        <v>180</v>
      </c>
    </row>
    <row r="51" customFormat="false" ht="15" hidden="false" customHeight="false" outlineLevel="0" collapsed="false">
      <c r="A51" s="10" t="s">
        <v>193</v>
      </c>
      <c r="B51" s="11"/>
      <c r="C51" s="11"/>
      <c r="D51" s="11"/>
      <c r="E51" s="11"/>
      <c r="F51" s="11"/>
      <c r="G51" s="12"/>
      <c r="H51" s="12"/>
      <c r="I51" s="11"/>
    </row>
    <row r="52" customFormat="false" ht="41.75" hidden="false" customHeight="false" outlineLevel="0" collapsed="false">
      <c r="A52" s="0" t="s">
        <v>194</v>
      </c>
      <c r="B52" s="5" t="s">
        <v>195</v>
      </c>
      <c r="C52" s="0" t="s">
        <v>61</v>
      </c>
      <c r="D52" s="14" t="n">
        <f aca="false">6688/4.45/1000</f>
        <v>1.50292134831461</v>
      </c>
      <c r="E52" s="14" t="n">
        <f aca="false">6688/4.45/1000</f>
        <v>1.50292134831461</v>
      </c>
      <c r="F52" s="14" t="n">
        <f aca="false">6688/4.45/1000</f>
        <v>1.50292134831461</v>
      </c>
      <c r="G52" s="9" t="s">
        <v>196</v>
      </c>
      <c r="H52" s="9" t="s">
        <v>197</v>
      </c>
      <c r="I52" s="9" t="s">
        <v>198</v>
      </c>
    </row>
    <row r="53" customFormat="false" ht="68.65" hidden="false" customHeight="false" outlineLevel="0" collapsed="false">
      <c r="A53" s="0" t="s">
        <v>199</v>
      </c>
      <c r="B53" s="0" t="s">
        <v>200</v>
      </c>
      <c r="C53" s="0" t="s">
        <v>67</v>
      </c>
      <c r="D53" s="8" t="n">
        <v>559</v>
      </c>
      <c r="E53" s="8" t="n">
        <v>559</v>
      </c>
      <c r="F53" s="8" t="n">
        <v>425</v>
      </c>
      <c r="G53" s="9" t="s">
        <v>201</v>
      </c>
      <c r="H53" s="9" t="s">
        <v>202</v>
      </c>
      <c r="I53" s="2" t="s">
        <v>203</v>
      </c>
    </row>
    <row r="54" customFormat="false" ht="15" hidden="false" customHeight="false" outlineLevel="0" collapsed="false">
      <c r="A54" s="0" t="s">
        <v>204</v>
      </c>
      <c r="B54" s="5" t="s">
        <v>205</v>
      </c>
      <c r="C54" s="5" t="s">
        <v>72</v>
      </c>
      <c r="D54" s="8" t="n">
        <v>384</v>
      </c>
      <c r="E54" s="8" t="n">
        <v>384</v>
      </c>
      <c r="F54" s="8" t="n">
        <v>384</v>
      </c>
      <c r="G54" s="9" t="s">
        <v>206</v>
      </c>
      <c r="H54" s="9" t="s">
        <v>207</v>
      </c>
      <c r="I54" s="9" t="s">
        <v>208</v>
      </c>
    </row>
    <row r="55" customFormat="false" ht="15" hidden="false" customHeight="false" outlineLevel="0" collapsed="false">
      <c r="A55" s="0" t="s">
        <v>209</v>
      </c>
      <c r="B55" s="5" t="s">
        <v>210</v>
      </c>
      <c r="C55" s="0" t="s">
        <v>67</v>
      </c>
      <c r="D55" s="0" t="n">
        <f aca="false">D53/D54</f>
        <v>1.45572916666667</v>
      </c>
      <c r="E55" s="0" t="n">
        <f aca="false">E53/E54</f>
        <v>1.45572916666667</v>
      </c>
      <c r="F55" s="0" t="n">
        <f aca="false">F53/F54</f>
        <v>1.10677083333333</v>
      </c>
      <c r="G55" s="9" t="s">
        <v>77</v>
      </c>
      <c r="H55" s="9" t="s">
        <v>77</v>
      </c>
      <c r="I55" s="9"/>
    </row>
    <row r="56" customFormat="false" ht="15" hidden="false" customHeight="false" outlineLevel="0" collapsed="false">
      <c r="A56" s="0" t="s">
        <v>211</v>
      </c>
      <c r="B56" s="5" t="s">
        <v>212</v>
      </c>
      <c r="C56" s="0" t="s">
        <v>81</v>
      </c>
      <c r="D56" s="14" t="n">
        <f aca="false">D52/D55</f>
        <v>1.03241824284939</v>
      </c>
      <c r="E56" s="14" t="n">
        <f aca="false">E52/E55</f>
        <v>1.03241824284939</v>
      </c>
      <c r="F56" s="14" t="n">
        <f aca="false">F52/F55</f>
        <v>1.35793364177132</v>
      </c>
      <c r="G56" s="9" t="s">
        <v>77</v>
      </c>
      <c r="H56" s="9" t="s">
        <v>77</v>
      </c>
      <c r="I56" s="9"/>
    </row>
    <row r="57" customFormat="false" ht="15" hidden="false" customHeight="false" outlineLevel="0" collapsed="false">
      <c r="A57" s="0" t="s">
        <v>213</v>
      </c>
      <c r="B57" s="0" t="s">
        <v>214</v>
      </c>
      <c r="C57" s="0" t="s">
        <v>129</v>
      </c>
      <c r="D57" s="6" t="n">
        <f aca="false">D56/D10</f>
        <v>0.0929995798122268</v>
      </c>
      <c r="E57" s="6" t="n">
        <f aca="false">E56/E10</f>
        <v>0.0929995798122268</v>
      </c>
      <c r="F57" s="6" t="n">
        <f aca="false">F56/F10</f>
        <v>0.12232180027067</v>
      </c>
      <c r="G57" s="9" t="s">
        <v>77</v>
      </c>
      <c r="H57" s="9" t="s">
        <v>77</v>
      </c>
      <c r="I57" s="9"/>
    </row>
    <row r="58" customFormat="false" ht="68.65" hidden="false" customHeight="false" outlineLevel="0" collapsed="false">
      <c r="A58" s="0" t="s">
        <v>215</v>
      </c>
      <c r="B58" s="5" t="s">
        <v>216</v>
      </c>
      <c r="C58" s="0" t="s">
        <v>129</v>
      </c>
      <c r="D58" s="13" t="n">
        <v>0.5</v>
      </c>
      <c r="E58" s="6" t="n">
        <f aca="false">E44</f>
        <v>0.744359552837837</v>
      </c>
      <c r="F58" s="13" t="n">
        <v>1</v>
      </c>
      <c r="G58" s="2" t="s">
        <v>217</v>
      </c>
      <c r="H58" s="9" t="s">
        <v>218</v>
      </c>
      <c r="I58" s="9"/>
    </row>
    <row r="59" customFormat="false" ht="15" hidden="false" customHeight="false" outlineLevel="0" collapsed="false">
      <c r="A59" s="0" t="s">
        <v>219</v>
      </c>
      <c r="B59" s="5" t="s">
        <v>220</v>
      </c>
      <c r="C59" s="0" t="s">
        <v>129</v>
      </c>
      <c r="D59" s="6" t="n">
        <f aca="false">D57*D58</f>
        <v>0.0464997899061134</v>
      </c>
      <c r="E59" s="6" t="n">
        <f aca="false">E57*E58</f>
        <v>0.0692251256431359</v>
      </c>
      <c r="F59" s="6" t="n">
        <f aca="false">F57*F58</f>
        <v>0.12232180027067</v>
      </c>
      <c r="G59" s="9" t="s">
        <v>77</v>
      </c>
      <c r="H59" s="9" t="s">
        <v>77</v>
      </c>
      <c r="I59" s="9"/>
    </row>
    <row r="60" customFormat="false" ht="15" hidden="false" customHeight="false" outlineLevel="0" collapsed="false">
      <c r="A60" s="0" t="s">
        <v>221</v>
      </c>
      <c r="B60" s="0" t="s">
        <v>222</v>
      </c>
      <c r="C60" s="0" t="s">
        <v>129</v>
      </c>
      <c r="D60" s="6" t="n">
        <f aca="false">E43</f>
        <v>0.103566666666667</v>
      </c>
      <c r="E60" s="6" t="n">
        <f aca="false">E43</f>
        <v>0.103566666666667</v>
      </c>
      <c r="F60" s="6" t="n">
        <f aca="false">E43</f>
        <v>0.103566666666667</v>
      </c>
      <c r="G60" s="2" t="s">
        <v>223</v>
      </c>
      <c r="H60" s="9" t="s">
        <v>77</v>
      </c>
      <c r="I60" s="9"/>
    </row>
    <row r="61" customFormat="false" ht="15" hidden="false" customHeight="false" outlineLevel="0" collapsed="false">
      <c r="A61" s="0" t="s">
        <v>224</v>
      </c>
      <c r="B61" s="5" t="s">
        <v>225</v>
      </c>
      <c r="C61" s="0" t="s">
        <v>129</v>
      </c>
      <c r="D61" s="6" t="n">
        <f aca="false">E30/D55</f>
        <v>0.880143112701252</v>
      </c>
      <c r="E61" s="6" t="n">
        <f aca="false">E30/E55</f>
        <v>0.880143112701252</v>
      </c>
      <c r="F61" s="6" t="n">
        <f aca="false">E30/F55</f>
        <v>1.15764705882353</v>
      </c>
      <c r="G61" s="9" t="s">
        <v>77</v>
      </c>
      <c r="H61" s="9" t="s">
        <v>77</v>
      </c>
      <c r="I61" s="9"/>
    </row>
    <row r="62" customFormat="false" ht="55.2" hidden="false" customHeight="false" outlineLevel="0" collapsed="false">
      <c r="A62" s="0" t="s">
        <v>226</v>
      </c>
      <c r="B62" s="5" t="s">
        <v>227</v>
      </c>
      <c r="C62" s="0" t="s">
        <v>129</v>
      </c>
      <c r="D62" s="13" t="n">
        <v>0.6</v>
      </c>
      <c r="E62" s="13" t="n">
        <v>1</v>
      </c>
      <c r="F62" s="13" t="n">
        <v>1.3</v>
      </c>
      <c r="G62" s="2" t="s">
        <v>228</v>
      </c>
      <c r="H62" s="9" t="s">
        <v>229</v>
      </c>
      <c r="I62" s="2" t="s">
        <v>230</v>
      </c>
    </row>
    <row r="63" customFormat="false" ht="41.75" hidden="false" customHeight="false" outlineLevel="0" collapsed="false">
      <c r="A63" s="0" t="s">
        <v>231</v>
      </c>
      <c r="B63" s="5" t="s">
        <v>232</v>
      </c>
      <c r="C63" s="0" t="s">
        <v>129</v>
      </c>
      <c r="D63" s="6" t="n">
        <f aca="false">D60*D61*D62</f>
        <v>0.0546920930232558</v>
      </c>
      <c r="E63" s="6" t="n">
        <f aca="false">E60*E61*E62</f>
        <v>0.091153488372093</v>
      </c>
      <c r="F63" s="6" t="n">
        <f aca="false">F60*F61*F62</f>
        <v>0.155861741176471</v>
      </c>
      <c r="G63" s="9" t="s">
        <v>77</v>
      </c>
      <c r="H63" s="9" t="s">
        <v>77</v>
      </c>
      <c r="I63" s="2" t="s">
        <v>233</v>
      </c>
    </row>
    <row r="64" customFormat="false" ht="28.35" hidden="false" customHeight="false" outlineLevel="0" collapsed="false">
      <c r="A64" s="0" t="s">
        <v>234</v>
      </c>
      <c r="B64" s="5" t="s">
        <v>235</v>
      </c>
      <c r="C64" s="0" t="s">
        <v>129</v>
      </c>
      <c r="D64" s="6" t="n">
        <f aca="false">MIN(D59,D63)</f>
        <v>0.0464997899061134</v>
      </c>
      <c r="E64" s="6" t="n">
        <f aca="false">AVERAGE(E59,E63)</f>
        <v>0.0801893070076144</v>
      </c>
      <c r="F64" s="6" t="n">
        <f aca="false">MAX(F59,F63)</f>
        <v>0.155861741176471</v>
      </c>
      <c r="G64" s="9" t="s">
        <v>77</v>
      </c>
      <c r="H64" s="9" t="s">
        <v>236</v>
      </c>
      <c r="I64" s="2" t="s">
        <v>237</v>
      </c>
    </row>
    <row r="65" customFormat="false" ht="41.75" hidden="false" customHeight="false" outlineLevel="0" collapsed="false">
      <c r="A65" s="0" t="s">
        <v>238</v>
      </c>
      <c r="B65" s="0" t="s">
        <v>239</v>
      </c>
      <c r="C65" s="0" t="s">
        <v>94</v>
      </c>
      <c r="D65" s="8" t="n">
        <v>6</v>
      </c>
      <c r="E65" s="8" t="n">
        <v>8.2</v>
      </c>
      <c r="F65" s="8" t="n">
        <v>12</v>
      </c>
      <c r="G65" s="9" t="s">
        <v>240</v>
      </c>
      <c r="H65" s="9" t="s">
        <v>241</v>
      </c>
      <c r="I65" s="2" t="s">
        <v>242</v>
      </c>
    </row>
    <row r="66" customFormat="false" ht="28.35" hidden="false" customHeight="false" outlineLevel="0" collapsed="false">
      <c r="A66" s="0" t="s">
        <v>243</v>
      </c>
      <c r="B66" s="5" t="s">
        <v>244</v>
      </c>
      <c r="C66" s="5" t="s">
        <v>245</v>
      </c>
      <c r="D66" s="0" t="n">
        <f aca="false">D11*D7/$E$53</f>
        <v>1645.44543828265</v>
      </c>
      <c r="E66" s="0" t="n">
        <f aca="false">E11*E7/$E$53</f>
        <v>1645.44543828265</v>
      </c>
      <c r="F66" s="0" t="n">
        <f aca="false">F11*F7/$E$53</f>
        <v>1645.44543828265</v>
      </c>
      <c r="G66" s="9" t="s">
        <v>77</v>
      </c>
      <c r="H66" s="9" t="s">
        <v>77</v>
      </c>
      <c r="I66" s="2" t="s">
        <v>246</v>
      </c>
    </row>
    <row r="67" customFormat="false" ht="15" hidden="false" customHeight="false" outlineLevel="0" collapsed="false">
      <c r="A67" s="0" t="s">
        <v>247</v>
      </c>
      <c r="B67" s="5" t="s">
        <v>248</v>
      </c>
      <c r="C67" s="0" t="s">
        <v>99</v>
      </c>
      <c r="D67" s="0" t="n">
        <f aca="false">D66*D65/1000*D15</f>
        <v>10.9022652696141</v>
      </c>
      <c r="E67" s="0" t="n">
        <f aca="false">E66*E65/1000*E15</f>
        <v>14.8997625351393</v>
      </c>
      <c r="F67" s="0" t="n">
        <f aca="false">F66*F65/1000*F15</f>
        <v>21.8045305392282</v>
      </c>
      <c r="G67" s="9" t="s">
        <v>77</v>
      </c>
      <c r="H67" s="9" t="s">
        <v>77</v>
      </c>
      <c r="I67" s="9"/>
    </row>
    <row r="68" customFormat="false" ht="15" hidden="false" customHeight="false" outlineLevel="0" collapsed="false">
      <c r="A68" s="0" t="s">
        <v>249</v>
      </c>
      <c r="B68" s="0" t="s">
        <v>250</v>
      </c>
      <c r="C68" s="0" t="s">
        <v>129</v>
      </c>
      <c r="D68" s="14" t="n">
        <f aca="false">D67/D14</f>
        <v>0.290058778430871</v>
      </c>
      <c r="E68" s="14" t="n">
        <f aca="false">E67/E14</f>
        <v>0.396413663855524</v>
      </c>
      <c r="F68" s="14" t="n">
        <f aca="false">F67/F14</f>
        <v>0.580117556861743</v>
      </c>
      <c r="G68" s="9" t="s">
        <v>77</v>
      </c>
      <c r="H68" s="9" t="s">
        <v>77</v>
      </c>
      <c r="I68" s="9"/>
    </row>
    <row r="69" customFormat="false" ht="15" hidden="false" customHeight="false" outlineLevel="0" collapsed="false">
      <c r="A69" s="0" t="s">
        <v>251</v>
      </c>
      <c r="B69" s="5" t="s">
        <v>252</v>
      </c>
      <c r="C69" s="0" t="s">
        <v>129</v>
      </c>
      <c r="D69" s="6" t="n">
        <f aca="false">1-D25*(1-D68)</f>
        <v>0.450569634480067</v>
      </c>
      <c r="E69" s="6" t="n">
        <f aca="false">1-E25*(1-E68)</f>
        <v>0.532878707116453</v>
      </c>
      <c r="F69" s="6" t="n">
        <f aca="false">1-F25*(1-F68)</f>
        <v>0.675048923488391</v>
      </c>
      <c r="G69" s="9" t="s">
        <v>77</v>
      </c>
      <c r="H69" s="9" t="s">
        <v>236</v>
      </c>
      <c r="I69" s="9"/>
    </row>
    <row r="70" customFormat="false" ht="15" hidden="false" customHeight="false" outlineLevel="0" collapsed="false">
      <c r="A70" s="0" t="s">
        <v>253</v>
      </c>
      <c r="B70" s="5" t="s">
        <v>254</v>
      </c>
      <c r="C70" s="5" t="s">
        <v>72</v>
      </c>
      <c r="D70" s="0" t="n">
        <f aca="false">D66*D54</f>
        <v>631851.048300537</v>
      </c>
      <c r="E70" s="0" t="n">
        <f aca="false">E66*E54</f>
        <v>631851.048300537</v>
      </c>
      <c r="F70" s="0" t="n">
        <f aca="false">F66*F54</f>
        <v>631851.048300537</v>
      </c>
      <c r="G70" s="9" t="s">
        <v>77</v>
      </c>
      <c r="H70" s="9" t="s">
        <v>77</v>
      </c>
      <c r="I70" s="9" t="s">
        <v>255</v>
      </c>
    </row>
    <row r="71" customFormat="false" ht="15" hidden="false" customHeight="false" outlineLevel="0" collapsed="false">
      <c r="A71" s="10" t="s">
        <v>256</v>
      </c>
      <c r="B71" s="11"/>
      <c r="C71" s="11"/>
      <c r="D71" s="11"/>
      <c r="E71" s="11"/>
      <c r="F71" s="11"/>
      <c r="G71" s="12"/>
      <c r="H71" s="12"/>
      <c r="I71" s="11"/>
    </row>
    <row r="72" customFormat="false" ht="28.35" hidden="false" customHeight="false" outlineLevel="0" collapsed="false">
      <c r="A72" s="0" t="s">
        <v>257</v>
      </c>
      <c r="B72" s="5" t="s">
        <v>258</v>
      </c>
      <c r="C72" s="0" t="s">
        <v>61</v>
      </c>
      <c r="D72" s="8" t="n">
        <v>10</v>
      </c>
      <c r="E72" s="8" t="n">
        <v>10</v>
      </c>
      <c r="F72" s="8" t="n">
        <v>10</v>
      </c>
      <c r="G72" s="9" t="s">
        <v>259</v>
      </c>
      <c r="H72" s="9" t="s">
        <v>260</v>
      </c>
      <c r="I72" s="9" t="s">
        <v>261</v>
      </c>
    </row>
    <row r="73" customFormat="false" ht="55.2" hidden="false" customHeight="false" outlineLevel="0" collapsed="false">
      <c r="A73" s="0" t="s">
        <v>262</v>
      </c>
      <c r="B73" s="0" t="s">
        <v>263</v>
      </c>
      <c r="C73" s="0" t="s">
        <v>67</v>
      </c>
      <c r="D73" s="0" t="n">
        <f aca="false">64*1.15</f>
        <v>73.6</v>
      </c>
      <c r="E73" s="8" t="n">
        <v>64</v>
      </c>
      <c r="F73" s="7" t="n">
        <f aca="false">64*0.9</f>
        <v>57.6</v>
      </c>
      <c r="G73" s="9" t="s">
        <v>264</v>
      </c>
      <c r="H73" s="9" t="s">
        <v>265</v>
      </c>
      <c r="I73" s="2" t="s">
        <v>266</v>
      </c>
    </row>
    <row r="74" customFormat="false" ht="55.2" hidden="false" customHeight="false" outlineLevel="0" collapsed="false">
      <c r="A74" s="0" t="s">
        <v>267</v>
      </c>
      <c r="B74" s="5" t="s">
        <v>268</v>
      </c>
      <c r="C74" s="5" t="s">
        <v>72</v>
      </c>
      <c r="D74" s="0" t="n">
        <f aca="false">ROUND(10.4/0.216,0)</f>
        <v>48</v>
      </c>
      <c r="E74" s="0" t="n">
        <f aca="false">ROUND(10.4/0.216,0)</f>
        <v>48</v>
      </c>
      <c r="F74" s="0" t="n">
        <f aca="false">ROUND(10.4/0.216,0)</f>
        <v>48</v>
      </c>
      <c r="G74" s="9" t="s">
        <v>269</v>
      </c>
      <c r="H74" s="9" t="s">
        <v>77</v>
      </c>
      <c r="I74" s="2" t="s">
        <v>270</v>
      </c>
    </row>
    <row r="75" customFormat="false" ht="15" hidden="false" customHeight="false" outlineLevel="0" collapsed="false">
      <c r="A75" s="0" t="s">
        <v>271</v>
      </c>
      <c r="B75" s="5" t="s">
        <v>272</v>
      </c>
      <c r="C75" s="0" t="s">
        <v>67</v>
      </c>
      <c r="D75" s="0" t="n">
        <f aca="false">D73/D74</f>
        <v>1.53333333333333</v>
      </c>
      <c r="E75" s="0" t="n">
        <f aca="false">E73/E74</f>
        <v>1.33333333333333</v>
      </c>
      <c r="F75" s="0" t="n">
        <f aca="false">F73/F74</f>
        <v>1.2</v>
      </c>
      <c r="G75" s="9" t="s">
        <v>77</v>
      </c>
      <c r="H75" s="9" t="s">
        <v>77</v>
      </c>
      <c r="I75" s="9"/>
    </row>
    <row r="76" customFormat="false" ht="15" hidden="false" customHeight="false" outlineLevel="0" collapsed="false">
      <c r="A76" s="0" t="s">
        <v>273</v>
      </c>
      <c r="B76" s="5" t="s">
        <v>212</v>
      </c>
      <c r="C76" s="0" t="s">
        <v>81</v>
      </c>
      <c r="D76" s="6" t="n">
        <f aca="false">D72/D75</f>
        <v>6.52173913043478</v>
      </c>
      <c r="E76" s="6" t="n">
        <f aca="false">E72/E75</f>
        <v>7.5</v>
      </c>
      <c r="F76" s="6" t="n">
        <f aca="false">F72/F75</f>
        <v>8.33333333333333</v>
      </c>
      <c r="G76" s="9" t="s">
        <v>77</v>
      </c>
      <c r="H76" s="9" t="s">
        <v>77</v>
      </c>
      <c r="I76" s="9"/>
    </row>
    <row r="77" customFormat="false" ht="15" hidden="false" customHeight="false" outlineLevel="0" collapsed="false">
      <c r="A77" s="0" t="s">
        <v>274</v>
      </c>
      <c r="B77" s="0" t="s">
        <v>214</v>
      </c>
      <c r="C77" s="0" t="s">
        <v>129</v>
      </c>
      <c r="D77" s="6" t="n">
        <f aca="false">D76/D10</f>
        <v>0.587474120082816</v>
      </c>
      <c r="E77" s="6" t="n">
        <f aca="false">E76/E10</f>
        <v>0.675595238095238</v>
      </c>
      <c r="F77" s="6" t="n">
        <f aca="false">F76/F10</f>
        <v>0.750661375661376</v>
      </c>
      <c r="G77" s="9" t="s">
        <v>77</v>
      </c>
      <c r="H77" s="9" t="s">
        <v>77</v>
      </c>
      <c r="I77" s="9"/>
    </row>
    <row r="78" customFormat="false" ht="55.2" hidden="false" customHeight="false" outlineLevel="0" collapsed="false">
      <c r="A78" s="0" t="s">
        <v>275</v>
      </c>
      <c r="B78" s="5" t="s">
        <v>276</v>
      </c>
      <c r="C78" s="0" t="s">
        <v>129</v>
      </c>
      <c r="D78" s="13" t="n">
        <v>0.45</v>
      </c>
      <c r="E78" s="13" t="n">
        <v>0.8</v>
      </c>
      <c r="F78" s="13" t="n">
        <v>1</v>
      </c>
      <c r="G78" s="9" t="s">
        <v>277</v>
      </c>
      <c r="H78" s="9" t="s">
        <v>278</v>
      </c>
      <c r="I78" s="9"/>
    </row>
    <row r="79" customFormat="false" ht="15" hidden="false" customHeight="false" outlineLevel="0" collapsed="false">
      <c r="A79" s="0" t="s">
        <v>279</v>
      </c>
      <c r="B79" s="0" t="s">
        <v>280</v>
      </c>
      <c r="C79" s="0" t="s">
        <v>129</v>
      </c>
      <c r="D79" s="6" t="n">
        <f aca="false">D77*D78</f>
        <v>0.264363354037267</v>
      </c>
      <c r="E79" s="6" t="n">
        <f aca="false">E77*E78</f>
        <v>0.54047619047619</v>
      </c>
      <c r="F79" s="6" t="n">
        <f aca="false">F77*F78</f>
        <v>0.750661375661376</v>
      </c>
      <c r="G79" s="9" t="s">
        <v>77</v>
      </c>
      <c r="H79" s="9" t="s">
        <v>236</v>
      </c>
      <c r="I79" s="9"/>
    </row>
    <row r="80" customFormat="false" ht="15" hidden="false" customHeight="false" outlineLevel="0" collapsed="false">
      <c r="A80" s="0" t="s">
        <v>281</v>
      </c>
      <c r="B80" s="5" t="s">
        <v>254</v>
      </c>
      <c r="C80" s="5" t="s">
        <v>72</v>
      </c>
      <c r="D80" s="0" t="n">
        <f aca="false">D11*D7/D73*D74</f>
        <v>599872.173913044</v>
      </c>
      <c r="E80" s="0" t="n">
        <f aca="false">E11*E7/E73*E74</f>
        <v>689853</v>
      </c>
      <c r="F80" s="0" t="n">
        <f aca="false">F11*F7/F73*F74</f>
        <v>766503.333333333</v>
      </c>
      <c r="G80" s="9" t="s">
        <v>77</v>
      </c>
      <c r="H80" s="9" t="s">
        <v>77</v>
      </c>
      <c r="I80" s="9"/>
    </row>
    <row r="81" customFormat="false" ht="108.95" hidden="false" customHeight="false" outlineLevel="0" collapsed="false">
      <c r="A81" s="0" t="s">
        <v>282</v>
      </c>
      <c r="B81" s="0" t="s">
        <v>283</v>
      </c>
      <c r="C81" s="0" t="s">
        <v>94</v>
      </c>
      <c r="D81" s="8" t="n">
        <v>0.5</v>
      </c>
      <c r="E81" s="8" t="n">
        <v>0.8</v>
      </c>
      <c r="F81" s="8" t="n">
        <v>1.2</v>
      </c>
      <c r="G81" s="2" t="s">
        <v>284</v>
      </c>
      <c r="H81" s="9" t="s">
        <v>285</v>
      </c>
      <c r="I81" s="2" t="s">
        <v>286</v>
      </c>
    </row>
    <row r="82" customFormat="false" ht="15" hidden="false" customHeight="false" outlineLevel="0" collapsed="false">
      <c r="A82" s="0" t="s">
        <v>287</v>
      </c>
      <c r="B82" s="5" t="s">
        <v>288</v>
      </c>
      <c r="C82" s="5" t="s">
        <v>85</v>
      </c>
      <c r="D82" s="0" t="n">
        <f aca="false">D11*D7/$E$73</f>
        <v>14371.9375</v>
      </c>
      <c r="E82" s="0" t="n">
        <f aca="false">E11*E7/$E$73</f>
        <v>14371.9375</v>
      </c>
      <c r="F82" s="0" t="n">
        <f aca="false">F11*F7/$E$73</f>
        <v>14371.9375</v>
      </c>
      <c r="G82" s="9" t="s">
        <v>77</v>
      </c>
      <c r="H82" s="9" t="s">
        <v>77</v>
      </c>
      <c r="I82" s="9"/>
    </row>
    <row r="83" customFormat="false" ht="15" hidden="false" customHeight="false" outlineLevel="0" collapsed="false">
      <c r="A83" s="0" t="s">
        <v>289</v>
      </c>
      <c r="B83" s="5" t="s">
        <v>248</v>
      </c>
      <c r="C83" s="0" t="s">
        <v>99</v>
      </c>
      <c r="D83" s="0" t="n">
        <f aca="false">D82*D81/1000*D15</f>
        <v>7.93537276785714</v>
      </c>
      <c r="E83" s="0" t="n">
        <f aca="false">E82*E81/1000*E15</f>
        <v>12.6965964285714</v>
      </c>
      <c r="F83" s="0" t="n">
        <f aca="false">F82*F81/1000*F15</f>
        <v>19.0448946428571</v>
      </c>
      <c r="G83" s="9" t="s">
        <v>77</v>
      </c>
      <c r="H83" s="9" t="s">
        <v>77</v>
      </c>
      <c r="I83" s="9"/>
    </row>
    <row r="84" customFormat="false" ht="15" hidden="false" customHeight="false" outlineLevel="0" collapsed="false">
      <c r="A84" s="0" t="s">
        <v>290</v>
      </c>
      <c r="B84" s="0" t="s">
        <v>250</v>
      </c>
      <c r="C84" s="0" t="s">
        <v>129</v>
      </c>
      <c r="D84" s="14" t="n">
        <f aca="false">D83/D14</f>
        <v>0.211123511904762</v>
      </c>
      <c r="E84" s="14" t="n">
        <f aca="false">E83/E14</f>
        <v>0.337797619047619</v>
      </c>
      <c r="F84" s="14" t="n">
        <f aca="false">F83/F14</f>
        <v>0.506696428571429</v>
      </c>
      <c r="G84" s="9" t="s">
        <v>77</v>
      </c>
      <c r="H84" s="9" t="s">
        <v>77</v>
      </c>
      <c r="I84" s="9"/>
    </row>
    <row r="85" customFormat="false" ht="15" hidden="false" customHeight="false" outlineLevel="0" collapsed="false">
      <c r="A85" s="0" t="s">
        <v>291</v>
      </c>
      <c r="B85" s="0" t="s">
        <v>292</v>
      </c>
      <c r="C85" s="0" t="s">
        <v>129</v>
      </c>
      <c r="D85" s="6" t="n">
        <f aca="false">1-D25*(1-D84)</f>
        <v>0.38948086963275</v>
      </c>
      <c r="E85" s="6" t="n">
        <f aca="false">1-E25*(1-E84)</f>
        <v>0.487515184129354</v>
      </c>
      <c r="F85" s="6" t="n">
        <f aca="false">1-F25*(1-F84)</f>
        <v>0.618227603458159</v>
      </c>
      <c r="G85" s="9" t="s">
        <v>77</v>
      </c>
      <c r="H85" s="9" t="s">
        <v>236</v>
      </c>
      <c r="I85" s="9"/>
    </row>
    <row r="86" customFormat="false" ht="15" hidden="false" customHeight="false" outlineLevel="0" collapsed="false">
      <c r="A86" s="10" t="s">
        <v>293</v>
      </c>
      <c r="B86" s="11"/>
      <c r="C86" s="11"/>
      <c r="D86" s="11"/>
      <c r="E86" s="11"/>
      <c r="F86" s="11"/>
      <c r="G86" s="12"/>
      <c r="H86" s="12"/>
      <c r="I86" s="11"/>
    </row>
    <row r="87" customFormat="false" ht="28.35" hidden="false" customHeight="false" outlineLevel="0" collapsed="false">
      <c r="A87" s="0" t="s">
        <v>294</v>
      </c>
      <c r="B87" s="5" t="s">
        <v>295</v>
      </c>
      <c r="C87" s="0" t="s">
        <v>129</v>
      </c>
      <c r="D87" s="6" t="n">
        <f aca="false">1.7*E49</f>
        <v>1.08953</v>
      </c>
      <c r="E87" s="6" t="n">
        <f aca="false">1.7*E49</f>
        <v>1.08953</v>
      </c>
      <c r="F87" s="6" t="n">
        <f aca="false">1.7*E49</f>
        <v>1.08953</v>
      </c>
      <c r="G87" s="9" t="s">
        <v>296</v>
      </c>
      <c r="H87" s="9" t="s">
        <v>260</v>
      </c>
      <c r="I87" s="2" t="s">
        <v>297</v>
      </c>
    </row>
    <row r="88" customFormat="false" ht="15" hidden="false" customHeight="false" outlineLevel="0" collapsed="false">
      <c r="A88" s="0" t="s">
        <v>298</v>
      </c>
      <c r="B88" s="0" t="s">
        <v>299</v>
      </c>
      <c r="C88" s="0" t="s">
        <v>129</v>
      </c>
      <c r="D88" s="6" t="n">
        <f aca="false">10.8864/12.2255</f>
        <v>0.890466647580876</v>
      </c>
      <c r="E88" s="6" t="n">
        <f aca="false">10.8864/12.2255</f>
        <v>0.890466647580876</v>
      </c>
      <c r="F88" s="6" t="n">
        <f aca="false">10.8864/12.2255</f>
        <v>0.890466647580876</v>
      </c>
      <c r="G88" s="9" t="s">
        <v>300</v>
      </c>
      <c r="H88" s="9" t="s">
        <v>87</v>
      </c>
      <c r="I88" s="9"/>
    </row>
    <row r="89" customFormat="false" ht="15" hidden="false" customHeight="false" outlineLevel="0" collapsed="false">
      <c r="A89" s="0" t="s">
        <v>301</v>
      </c>
      <c r="B89" s="0" t="s">
        <v>302</v>
      </c>
      <c r="C89" s="0" t="s">
        <v>129</v>
      </c>
      <c r="D89" s="6" t="n">
        <f aca="false">E48/E88</f>
        <v>0.747585551697531</v>
      </c>
      <c r="E89" s="6" t="n">
        <f aca="false">E48/E88</f>
        <v>0.747585551697531</v>
      </c>
      <c r="F89" s="6" t="n">
        <f aca="false">E48/E88</f>
        <v>0.747585551697531</v>
      </c>
      <c r="G89" s="9" t="s">
        <v>77</v>
      </c>
      <c r="H89" s="9" t="s">
        <v>77</v>
      </c>
      <c r="I89" s="9"/>
    </row>
    <row r="90" customFormat="false" ht="41.75" hidden="false" customHeight="false" outlineLevel="0" collapsed="false">
      <c r="A90" s="0" t="s">
        <v>303</v>
      </c>
      <c r="B90" s="5" t="s">
        <v>304</v>
      </c>
      <c r="C90" s="0" t="s">
        <v>129</v>
      </c>
      <c r="D90" s="6" t="n">
        <f aca="false">1.3*E89</f>
        <v>0.97186121720679</v>
      </c>
      <c r="E90" s="6" t="n">
        <f aca="false">1.3*E89</f>
        <v>0.97186121720679</v>
      </c>
      <c r="F90" s="6" t="n">
        <f aca="false">1.3*E89</f>
        <v>0.97186121720679</v>
      </c>
      <c r="G90" s="9" t="s">
        <v>305</v>
      </c>
      <c r="H90" s="9" t="s">
        <v>260</v>
      </c>
      <c r="I90" s="2" t="s">
        <v>306</v>
      </c>
    </row>
    <row r="91" customFormat="false" ht="15" hidden="false" customHeight="false" outlineLevel="0" collapsed="false">
      <c r="A91" s="0" t="s">
        <v>307</v>
      </c>
      <c r="B91" s="5" t="s">
        <v>308</v>
      </c>
      <c r="C91" s="0" t="s">
        <v>129</v>
      </c>
      <c r="D91" s="6" t="n">
        <f aca="false">D79/D85</f>
        <v>0.678758251429758</v>
      </c>
      <c r="E91" s="6" t="n">
        <f aca="false">E79/E85</f>
        <v>1.10863457810328</v>
      </c>
      <c r="F91" s="6" t="n">
        <f aca="false">F79/F85</f>
        <v>1.21421523636671</v>
      </c>
      <c r="G91" s="9" t="s">
        <v>77</v>
      </c>
      <c r="H91" s="9" t="s">
        <v>77</v>
      </c>
      <c r="I91" s="2" t="s">
        <v>309</v>
      </c>
    </row>
    <row r="92" customFormat="false" ht="15" hidden="false" customHeight="false" outlineLevel="0" collapsed="false">
      <c r="A92" s="0" t="s">
        <v>310</v>
      </c>
      <c r="B92" s="5" t="s">
        <v>311</v>
      </c>
      <c r="C92" s="0" t="s">
        <v>129</v>
      </c>
      <c r="D92" s="6" t="n">
        <f aca="false">E91/E90</f>
        <v>1.14073342826622</v>
      </c>
      <c r="E92" s="6" t="n">
        <f aca="false">E91/E90</f>
        <v>1.14073342826622</v>
      </c>
      <c r="F92" s="6" t="n">
        <f aca="false">E91/E90</f>
        <v>1.14073342826622</v>
      </c>
      <c r="G92" s="9" t="s">
        <v>77</v>
      </c>
      <c r="H92" s="9" t="s">
        <v>77</v>
      </c>
      <c r="I92" s="9" t="s">
        <v>312</v>
      </c>
    </row>
    <row r="93" customFormat="false" ht="15" hidden="false" customHeight="false" outlineLevel="0" collapsed="false">
      <c r="A93" s="10" t="s">
        <v>313</v>
      </c>
      <c r="B93" s="11"/>
      <c r="C93" s="11"/>
      <c r="D93" s="11"/>
      <c r="E93" s="11"/>
      <c r="F93" s="11"/>
      <c r="G93" s="12"/>
      <c r="H93" s="12"/>
      <c r="I93" s="11"/>
    </row>
    <row r="94" customFormat="false" ht="15" hidden="false" customHeight="false" outlineLevel="0" collapsed="false">
      <c r="A94" s="0" t="s">
        <v>314</v>
      </c>
      <c r="B94" s="5" t="s">
        <v>315</v>
      </c>
      <c r="C94" s="5" t="s">
        <v>316</v>
      </c>
      <c r="D94" s="6" t="n">
        <f aca="false">E57*D58</f>
        <v>0.0464997899061134</v>
      </c>
      <c r="E94" s="6" t="n">
        <f aca="false">E59</f>
        <v>0.0692251256431359</v>
      </c>
      <c r="F94" s="6" t="n">
        <f aca="false">E57*F58</f>
        <v>0.0929995798122268</v>
      </c>
      <c r="G94" s="9" t="s">
        <v>77</v>
      </c>
      <c r="H94" s="9" t="s">
        <v>77</v>
      </c>
      <c r="I94" s="9"/>
    </row>
    <row r="95" customFormat="false" ht="15" hidden="false" customHeight="false" outlineLevel="0" collapsed="false">
      <c r="A95" s="0" t="s">
        <v>317</v>
      </c>
      <c r="B95" s="5" t="s">
        <v>318</v>
      </c>
      <c r="C95" s="5" t="s">
        <v>316</v>
      </c>
      <c r="D95" s="6" t="n">
        <f aca="false">D57*E58</f>
        <v>0.0692251256431359</v>
      </c>
      <c r="E95" s="6" t="n">
        <f aca="false">E59</f>
        <v>0.0692251256431359</v>
      </c>
      <c r="F95" s="6" t="n">
        <f aca="false">F57*E58</f>
        <v>0.0910514005517952</v>
      </c>
      <c r="G95" s="9" t="s">
        <v>77</v>
      </c>
      <c r="H95" s="9" t="s">
        <v>77</v>
      </c>
      <c r="I95" s="2" t="s">
        <v>319</v>
      </c>
    </row>
    <row r="96" customFormat="false" ht="15" hidden="false" customHeight="false" outlineLevel="0" collapsed="false">
      <c r="A96" s="0" t="s">
        <v>320</v>
      </c>
      <c r="B96" s="5" t="s">
        <v>321</v>
      </c>
      <c r="C96" s="5" t="s">
        <v>316</v>
      </c>
      <c r="D96" s="6" t="n">
        <f aca="false">E60*E61*D62</f>
        <v>0.0546920930232558</v>
      </c>
      <c r="E96" s="6" t="n">
        <f aca="false">E63</f>
        <v>0.091153488372093</v>
      </c>
      <c r="F96" s="6" t="n">
        <f aca="false">E60*E61*F62</f>
        <v>0.118499534883721</v>
      </c>
      <c r="G96" s="9" t="s">
        <v>77</v>
      </c>
      <c r="H96" s="9" t="s">
        <v>77</v>
      </c>
      <c r="I96" s="9"/>
    </row>
    <row r="97" customFormat="false" ht="15" hidden="false" customHeight="false" outlineLevel="0" collapsed="false">
      <c r="A97" s="0" t="s">
        <v>322</v>
      </c>
      <c r="B97" s="5" t="s">
        <v>323</v>
      </c>
      <c r="C97" s="5" t="s">
        <v>324</v>
      </c>
      <c r="D97" s="6" t="n">
        <f aca="false">D69</f>
        <v>0.450569634480067</v>
      </c>
      <c r="E97" s="6" t="n">
        <f aca="false">E69</f>
        <v>0.532878707116453</v>
      </c>
      <c r="F97" s="6" t="n">
        <f aca="false">F69</f>
        <v>0.675048923488391</v>
      </c>
      <c r="G97" s="9" t="s">
        <v>77</v>
      </c>
      <c r="H97" s="9" t="s">
        <v>77</v>
      </c>
      <c r="I97" s="9"/>
    </row>
    <row r="98" customFormat="false" ht="15" hidden="false" customHeight="false" outlineLevel="0" collapsed="false">
      <c r="A98" s="0" t="s">
        <v>325</v>
      </c>
      <c r="B98" s="5" t="s">
        <v>326</v>
      </c>
      <c r="C98" s="5" t="s">
        <v>324</v>
      </c>
      <c r="D98" s="6" t="n">
        <f aca="false">1-E25*(1-(E11*E7/425*E65/1000*E15)/E14)</f>
        <v>0.629607272905608</v>
      </c>
      <c r="E98" s="6" t="n">
        <f aca="false">E69</f>
        <v>0.532878707116453</v>
      </c>
      <c r="F98" s="6" t="n">
        <f aca="false">1-E25*(1-(E11*E7/640*E65/1000*E15)/E14)</f>
        <v>0.494050805095794</v>
      </c>
      <c r="G98" s="9" t="s">
        <v>77</v>
      </c>
      <c r="H98" s="9" t="s">
        <v>77</v>
      </c>
      <c r="I98" s="2" t="s">
        <v>327</v>
      </c>
    </row>
    <row r="99" customFormat="false" ht="15" hidden="false" customHeight="false" outlineLevel="0" collapsed="false">
      <c r="A99" s="0" t="s">
        <v>328</v>
      </c>
      <c r="B99" s="0" t="s">
        <v>329</v>
      </c>
      <c r="C99" s="5" t="s">
        <v>316</v>
      </c>
      <c r="D99" s="6" t="n">
        <f aca="false">E77*D78</f>
        <v>0.304017857142857</v>
      </c>
      <c r="E99" s="6" t="n">
        <f aca="false">E79</f>
        <v>0.54047619047619</v>
      </c>
      <c r="F99" s="6" t="n">
        <f aca="false">E77*F78</f>
        <v>0.675595238095238</v>
      </c>
      <c r="G99" s="9" t="s">
        <v>77</v>
      </c>
      <c r="H99" s="9" t="s">
        <v>77</v>
      </c>
      <c r="I99" s="9"/>
    </row>
    <row r="100" customFormat="false" ht="15" hidden="false" customHeight="false" outlineLevel="0" collapsed="false">
      <c r="A100" s="0" t="s">
        <v>330</v>
      </c>
      <c r="B100" s="0" t="s">
        <v>331</v>
      </c>
      <c r="C100" s="5" t="s">
        <v>316</v>
      </c>
      <c r="D100" s="6" t="n">
        <f aca="false">D77*E78</f>
        <v>0.469979296066253</v>
      </c>
      <c r="E100" s="6" t="n">
        <f aca="false">E79</f>
        <v>0.54047619047619</v>
      </c>
      <c r="F100" s="6" t="n">
        <f aca="false">F77*E78</f>
        <v>0.600529100529101</v>
      </c>
      <c r="G100" s="9" t="s">
        <v>77</v>
      </c>
      <c r="H100" s="9" t="s">
        <v>77</v>
      </c>
      <c r="I100" s="9"/>
    </row>
    <row r="101" customFormat="false" ht="15" hidden="false" customHeight="false" outlineLevel="0" collapsed="false">
      <c r="A101" s="0" t="s">
        <v>332</v>
      </c>
      <c r="B101" s="0" t="s">
        <v>333</v>
      </c>
      <c r="C101" s="5" t="s">
        <v>324</v>
      </c>
      <c r="D101" s="6" t="n">
        <f aca="false">D85</f>
        <v>0.38948086963275</v>
      </c>
      <c r="E101" s="6" t="n">
        <f aca="false">E85</f>
        <v>0.487515184129354</v>
      </c>
      <c r="F101" s="6" t="n">
        <f aca="false">F85</f>
        <v>0.618227603458159</v>
      </c>
      <c r="G101" s="9" t="s">
        <v>77</v>
      </c>
      <c r="H101" s="9" t="s">
        <v>77</v>
      </c>
      <c r="I101" s="9"/>
    </row>
    <row r="102" customFormat="false" ht="15" hidden="false" customHeight="false" outlineLevel="0" collapsed="false">
      <c r="A102" s="0" t="s">
        <v>334</v>
      </c>
      <c r="B102" s="0" t="s">
        <v>335</v>
      </c>
      <c r="C102" s="5" t="s">
        <v>336</v>
      </c>
      <c r="D102" s="6" t="n">
        <f aca="false">D99/E85</f>
        <v>0.623606950183096</v>
      </c>
      <c r="E102" s="6" t="n">
        <f aca="false">E99/E85</f>
        <v>1.10863457810328</v>
      </c>
      <c r="F102" s="6" t="n">
        <f aca="false">F99/E85</f>
        <v>1.3857932226291</v>
      </c>
      <c r="G102" s="9" t="s">
        <v>77</v>
      </c>
      <c r="H102" s="9" t="s">
        <v>77</v>
      </c>
      <c r="I102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56"/>
    <col collapsed="false" customWidth="true" hidden="false" outlineLevel="0" max="7" min="7" style="0" width="18"/>
    <col collapsed="false" customWidth="true" hidden="false" outlineLevel="0" max="8" min="8" style="0" width="10"/>
    <col collapsed="false" customWidth="true" hidden="false" outlineLevel="0" max="9" min="9" style="0" width="24"/>
    <col collapsed="false" customWidth="true" hidden="false" outlineLevel="0" max="10" min="10" style="0" width="52"/>
    <col collapsed="false" customWidth="true" hidden="false" outlineLevel="0" max="11" min="11" style="0" width="10"/>
  </cols>
  <sheetData>
    <row r="1" customFormat="false" ht="15" hidden="false" customHeight="false" outlineLevel="0" collapsed="false">
      <c r="A1" s="3" t="s">
        <v>50</v>
      </c>
      <c r="B1" s="3" t="s">
        <v>337</v>
      </c>
      <c r="C1" s="3" t="s">
        <v>338</v>
      </c>
      <c r="D1" s="3" t="s">
        <v>52</v>
      </c>
      <c r="E1" s="3" t="s">
        <v>339</v>
      </c>
      <c r="F1" s="3" t="s">
        <v>340</v>
      </c>
      <c r="G1" s="3" t="s">
        <v>341</v>
      </c>
      <c r="H1" s="3" t="s">
        <v>342</v>
      </c>
      <c r="I1" s="3" t="s">
        <v>12</v>
      </c>
      <c r="J1" s="3" t="s">
        <v>343</v>
      </c>
      <c r="K1" s="3" t="s">
        <v>344</v>
      </c>
    </row>
    <row r="2" customFormat="false" ht="41.75" hidden="false" customHeight="false" outlineLevel="0" collapsed="false">
      <c r="A2" s="9" t="s">
        <v>345</v>
      </c>
      <c r="B2" s="9" t="s">
        <v>346</v>
      </c>
      <c r="C2" s="9" t="s">
        <v>347</v>
      </c>
      <c r="D2" s="9" t="s">
        <v>348</v>
      </c>
      <c r="E2" s="2" t="s">
        <v>349</v>
      </c>
      <c r="F2" s="9" t="s">
        <v>350</v>
      </c>
      <c r="G2" s="9" t="s">
        <v>351</v>
      </c>
      <c r="H2" s="2" t="s">
        <v>352</v>
      </c>
      <c r="I2" s="9" t="s">
        <v>353</v>
      </c>
      <c r="J2" s="2" t="s">
        <v>354</v>
      </c>
      <c r="K2" s="9" t="s">
        <v>257</v>
      </c>
    </row>
    <row r="3" customFormat="false" ht="41.75" hidden="false" customHeight="false" outlineLevel="0" collapsed="false">
      <c r="A3" s="9" t="s">
        <v>355</v>
      </c>
      <c r="B3" s="9" t="s">
        <v>356</v>
      </c>
      <c r="C3" s="9" t="s">
        <v>357</v>
      </c>
      <c r="D3" s="9" t="s">
        <v>358</v>
      </c>
      <c r="E3" s="2" t="s">
        <v>359</v>
      </c>
      <c r="F3" s="9" t="s">
        <v>360</v>
      </c>
      <c r="G3" s="9" t="s">
        <v>361</v>
      </c>
      <c r="H3" s="2" t="s">
        <v>362</v>
      </c>
      <c r="I3" s="9" t="s">
        <v>260</v>
      </c>
      <c r="J3" s="2" t="s">
        <v>363</v>
      </c>
      <c r="K3" s="9" t="s">
        <v>275</v>
      </c>
    </row>
    <row r="4" customFormat="false" ht="95.5" hidden="false" customHeight="false" outlineLevel="0" collapsed="false">
      <c r="A4" s="9" t="s">
        <v>364</v>
      </c>
      <c r="B4" s="9" t="s">
        <v>365</v>
      </c>
      <c r="C4" s="9" t="s">
        <v>366</v>
      </c>
      <c r="D4" s="9" t="s">
        <v>367</v>
      </c>
      <c r="E4" s="2" t="s">
        <v>368</v>
      </c>
      <c r="F4" s="9" t="s">
        <v>369</v>
      </c>
      <c r="G4" s="9" t="s">
        <v>370</v>
      </c>
      <c r="H4" s="2" t="s">
        <v>352</v>
      </c>
      <c r="I4" s="9" t="s">
        <v>371</v>
      </c>
      <c r="J4" s="2" t="s">
        <v>372</v>
      </c>
      <c r="K4" s="9" t="s">
        <v>373</v>
      </c>
    </row>
    <row r="5" customFormat="false" ht="55.2" hidden="false" customHeight="false" outlineLevel="0" collapsed="false">
      <c r="A5" s="9" t="s">
        <v>374</v>
      </c>
      <c r="B5" s="2" t="s">
        <v>375</v>
      </c>
      <c r="C5" s="9" t="s">
        <v>376</v>
      </c>
      <c r="D5" s="9" t="s">
        <v>377</v>
      </c>
      <c r="E5" s="9" t="s">
        <v>378</v>
      </c>
      <c r="F5" s="9" t="s">
        <v>379</v>
      </c>
      <c r="G5" s="9" t="s">
        <v>361</v>
      </c>
      <c r="H5" s="2" t="s">
        <v>380</v>
      </c>
      <c r="I5" s="9" t="s">
        <v>260</v>
      </c>
      <c r="J5" s="2" t="s">
        <v>381</v>
      </c>
      <c r="K5" s="9" t="s">
        <v>303</v>
      </c>
    </row>
    <row r="6" customFormat="false" ht="55.2" hidden="false" customHeight="false" outlineLevel="0" collapsed="false">
      <c r="A6" s="9" t="s">
        <v>382</v>
      </c>
      <c r="B6" s="2" t="s">
        <v>383</v>
      </c>
      <c r="C6" s="9" t="s">
        <v>384</v>
      </c>
      <c r="D6" s="2" t="s">
        <v>385</v>
      </c>
      <c r="E6" s="2" t="s">
        <v>386</v>
      </c>
      <c r="F6" s="9" t="s">
        <v>387</v>
      </c>
      <c r="G6" s="9" t="s">
        <v>388</v>
      </c>
      <c r="H6" s="2" t="s">
        <v>389</v>
      </c>
      <c r="I6" s="9" t="s">
        <v>260</v>
      </c>
      <c r="J6" s="2" t="s">
        <v>390</v>
      </c>
      <c r="K6" s="9" t="s">
        <v>294</v>
      </c>
    </row>
    <row r="7" customFormat="false" ht="55.2" hidden="false" customHeight="false" outlineLevel="0" collapsed="false">
      <c r="A7" s="9" t="s">
        <v>391</v>
      </c>
      <c r="B7" s="9" t="s">
        <v>392</v>
      </c>
      <c r="C7" s="2" t="s">
        <v>393</v>
      </c>
      <c r="D7" s="2" t="s">
        <v>72</v>
      </c>
      <c r="E7" s="9" t="s">
        <v>394</v>
      </c>
      <c r="F7" s="9" t="s">
        <v>395</v>
      </c>
      <c r="G7" s="9" t="s">
        <v>396</v>
      </c>
      <c r="H7" s="2" t="s">
        <v>397</v>
      </c>
      <c r="I7" s="9" t="s">
        <v>398</v>
      </c>
      <c r="J7" s="2" t="s">
        <v>399</v>
      </c>
      <c r="K7" s="9" t="s">
        <v>282</v>
      </c>
    </row>
    <row r="8" customFormat="false" ht="82.05" hidden="false" customHeight="false" outlineLevel="0" collapsed="false">
      <c r="A8" s="9" t="s">
        <v>400</v>
      </c>
      <c r="B8" s="2" t="s">
        <v>401</v>
      </c>
      <c r="C8" s="9" t="s">
        <v>402</v>
      </c>
      <c r="D8" s="9" t="s">
        <v>403</v>
      </c>
      <c r="E8" s="2" t="s">
        <v>404</v>
      </c>
      <c r="F8" s="9" t="s">
        <v>405</v>
      </c>
      <c r="G8" s="9" t="s">
        <v>396</v>
      </c>
      <c r="H8" s="2" t="s">
        <v>397</v>
      </c>
      <c r="I8" s="9" t="s">
        <v>406</v>
      </c>
      <c r="J8" s="2" t="s">
        <v>407</v>
      </c>
      <c r="K8" s="9" t="s">
        <v>282</v>
      </c>
    </row>
    <row r="9" customFormat="false" ht="55.2" hidden="false" customHeight="false" outlineLevel="0" collapsed="false">
      <c r="A9" s="9" t="s">
        <v>408</v>
      </c>
      <c r="B9" s="2" t="s">
        <v>409</v>
      </c>
      <c r="C9" s="9" t="s">
        <v>129</v>
      </c>
      <c r="D9" s="9" t="s">
        <v>129</v>
      </c>
      <c r="E9" s="9" t="s">
        <v>129</v>
      </c>
      <c r="F9" s="2" t="s">
        <v>410</v>
      </c>
      <c r="G9" s="9" t="s">
        <v>129</v>
      </c>
      <c r="H9" s="9" t="s">
        <v>129</v>
      </c>
      <c r="I9" s="2" t="s">
        <v>411</v>
      </c>
      <c r="J9" s="2" t="s">
        <v>412</v>
      </c>
      <c r="K9" s="9" t="s">
        <v>413</v>
      </c>
    </row>
    <row r="10" customFormat="false" ht="55.2" hidden="false" customHeight="false" outlineLevel="0" collapsed="false">
      <c r="A10" s="9" t="s">
        <v>414</v>
      </c>
      <c r="B10" s="9" t="s">
        <v>415</v>
      </c>
      <c r="C10" s="9" t="s">
        <v>129</v>
      </c>
      <c r="D10" s="9" t="s">
        <v>129</v>
      </c>
      <c r="E10" s="9" t="s">
        <v>129</v>
      </c>
      <c r="F10" s="9" t="s">
        <v>416</v>
      </c>
      <c r="G10" s="9" t="s">
        <v>361</v>
      </c>
      <c r="H10" s="2" t="s">
        <v>397</v>
      </c>
      <c r="I10" s="9" t="s">
        <v>96</v>
      </c>
      <c r="J10" s="2" t="s">
        <v>417</v>
      </c>
      <c r="K10" s="9" t="s">
        <v>275</v>
      </c>
    </row>
    <row r="11" customFormat="false" ht="55.2" hidden="false" customHeight="false" outlineLevel="0" collapsed="false">
      <c r="A11" s="9" t="s">
        <v>418</v>
      </c>
      <c r="B11" s="9" t="s">
        <v>419</v>
      </c>
      <c r="C11" s="9" t="s">
        <v>420</v>
      </c>
      <c r="D11" s="9" t="s">
        <v>421</v>
      </c>
      <c r="E11" s="2" t="s">
        <v>422</v>
      </c>
      <c r="F11" s="9" t="s">
        <v>423</v>
      </c>
      <c r="G11" s="9" t="s">
        <v>424</v>
      </c>
      <c r="H11" s="2" t="s">
        <v>352</v>
      </c>
      <c r="I11" s="9" t="s">
        <v>425</v>
      </c>
      <c r="J11" s="2" t="s">
        <v>426</v>
      </c>
      <c r="K11" s="9" t="s">
        <v>194</v>
      </c>
    </row>
    <row r="12" customFormat="false" ht="55.2" hidden="false" customHeight="false" outlineLevel="0" collapsed="false">
      <c r="A12" s="9" t="s">
        <v>206</v>
      </c>
      <c r="B12" s="9" t="s">
        <v>427</v>
      </c>
      <c r="C12" s="9" t="s">
        <v>428</v>
      </c>
      <c r="D12" s="2" t="s">
        <v>429</v>
      </c>
      <c r="E12" s="2" t="s">
        <v>430</v>
      </c>
      <c r="F12" s="9" t="s">
        <v>431</v>
      </c>
      <c r="G12" s="9" t="s">
        <v>432</v>
      </c>
      <c r="H12" s="2" t="s">
        <v>352</v>
      </c>
      <c r="I12" s="9" t="s">
        <v>433</v>
      </c>
      <c r="J12" s="2" t="s">
        <v>434</v>
      </c>
      <c r="K12" s="9" t="s">
        <v>204</v>
      </c>
    </row>
    <row r="13" customFormat="false" ht="95.5" hidden="false" customHeight="false" outlineLevel="0" collapsed="false">
      <c r="A13" s="9" t="s">
        <v>435</v>
      </c>
      <c r="B13" s="9" t="s">
        <v>436</v>
      </c>
      <c r="C13" s="9" t="s">
        <v>437</v>
      </c>
      <c r="D13" s="9" t="s">
        <v>67</v>
      </c>
      <c r="E13" s="2" t="s">
        <v>438</v>
      </c>
      <c r="F13" s="9" t="s">
        <v>439</v>
      </c>
      <c r="G13" s="9" t="s">
        <v>396</v>
      </c>
      <c r="H13" s="2" t="s">
        <v>440</v>
      </c>
      <c r="I13" s="9" t="s">
        <v>441</v>
      </c>
      <c r="J13" s="2" t="s">
        <v>442</v>
      </c>
      <c r="K13" s="9" t="s">
        <v>199</v>
      </c>
    </row>
    <row r="14" customFormat="false" ht="68.65" hidden="false" customHeight="false" outlineLevel="0" collapsed="false">
      <c r="A14" s="9" t="s">
        <v>443</v>
      </c>
      <c r="B14" s="9" t="s">
        <v>444</v>
      </c>
      <c r="C14" s="9" t="s">
        <v>445</v>
      </c>
      <c r="D14" s="9" t="s">
        <v>446</v>
      </c>
      <c r="E14" s="9" t="s">
        <v>447</v>
      </c>
      <c r="F14" s="9" t="s">
        <v>448</v>
      </c>
      <c r="G14" s="9" t="s">
        <v>449</v>
      </c>
      <c r="H14" s="2" t="s">
        <v>352</v>
      </c>
      <c r="I14" s="9" t="s">
        <v>450</v>
      </c>
      <c r="J14" s="2" t="s">
        <v>451</v>
      </c>
      <c r="K14" s="9" t="s">
        <v>452</v>
      </c>
    </row>
    <row r="15" customFormat="false" ht="82.05" hidden="false" customHeight="false" outlineLevel="0" collapsed="false">
      <c r="A15" s="9" t="s">
        <v>453</v>
      </c>
      <c r="B15" s="2" t="s">
        <v>454</v>
      </c>
      <c r="C15" s="9" t="s">
        <v>455</v>
      </c>
      <c r="D15" s="9" t="s">
        <v>456</v>
      </c>
      <c r="E15" s="9" t="s">
        <v>457</v>
      </c>
      <c r="F15" s="9" t="s">
        <v>458</v>
      </c>
      <c r="G15" s="9" t="s">
        <v>459</v>
      </c>
      <c r="H15" s="2" t="s">
        <v>460</v>
      </c>
      <c r="I15" s="9" t="s">
        <v>461</v>
      </c>
      <c r="J15" s="2" t="s">
        <v>462</v>
      </c>
      <c r="K15" s="9" t="s">
        <v>226</v>
      </c>
    </row>
    <row r="16" customFormat="false" ht="95.5" hidden="false" customHeight="false" outlineLevel="0" collapsed="false">
      <c r="A16" s="9" t="s">
        <v>463</v>
      </c>
      <c r="B16" s="9" t="s">
        <v>464</v>
      </c>
      <c r="C16" s="9" t="s">
        <v>465</v>
      </c>
      <c r="D16" s="9" t="s">
        <v>466</v>
      </c>
      <c r="E16" s="2" t="s">
        <v>467</v>
      </c>
      <c r="F16" s="9" t="s">
        <v>468</v>
      </c>
      <c r="G16" s="9" t="s">
        <v>396</v>
      </c>
      <c r="H16" s="2" t="s">
        <v>469</v>
      </c>
      <c r="I16" s="9" t="s">
        <v>470</v>
      </c>
      <c r="J16" s="2" t="s">
        <v>471</v>
      </c>
      <c r="K16" s="2" t="s">
        <v>472</v>
      </c>
    </row>
    <row r="17" customFormat="false" ht="68.65" hidden="false" customHeight="false" outlineLevel="0" collapsed="false">
      <c r="A17" s="9" t="s">
        <v>473</v>
      </c>
      <c r="B17" s="9" t="s">
        <v>474</v>
      </c>
      <c r="C17" s="9" t="s">
        <v>475</v>
      </c>
      <c r="D17" s="9" t="s">
        <v>476</v>
      </c>
      <c r="E17" s="2" t="s">
        <v>477</v>
      </c>
      <c r="F17" s="9" t="s">
        <v>478</v>
      </c>
      <c r="G17" s="9" t="s">
        <v>479</v>
      </c>
      <c r="H17" s="2" t="s">
        <v>352</v>
      </c>
      <c r="I17" s="9" t="s">
        <v>480</v>
      </c>
      <c r="J17" s="2" t="s">
        <v>481</v>
      </c>
      <c r="K17" s="9" t="s">
        <v>238</v>
      </c>
    </row>
    <row r="18" customFormat="false" ht="28.35" hidden="false" customHeight="false" outlineLevel="0" collapsed="false">
      <c r="A18" s="9" t="s">
        <v>482</v>
      </c>
      <c r="B18" s="9" t="s">
        <v>483</v>
      </c>
      <c r="C18" s="9" t="s">
        <v>484</v>
      </c>
      <c r="D18" s="9" t="s">
        <v>485</v>
      </c>
      <c r="E18" s="2" t="s">
        <v>486</v>
      </c>
      <c r="F18" s="9" t="s">
        <v>487</v>
      </c>
      <c r="G18" s="9" t="s">
        <v>488</v>
      </c>
      <c r="H18" s="2" t="s">
        <v>397</v>
      </c>
      <c r="I18" s="9" t="s">
        <v>20</v>
      </c>
      <c r="J18" s="2" t="s">
        <v>489</v>
      </c>
      <c r="K18" s="9" t="s">
        <v>238</v>
      </c>
    </row>
    <row r="19" customFormat="false" ht="82.05" hidden="false" customHeight="false" outlineLevel="0" collapsed="false">
      <c r="A19" s="9" t="s">
        <v>490</v>
      </c>
      <c r="B19" s="9" t="s">
        <v>491</v>
      </c>
      <c r="C19" s="9" t="s">
        <v>492</v>
      </c>
      <c r="D19" s="9" t="s">
        <v>493</v>
      </c>
      <c r="E19" s="2" t="s">
        <v>494</v>
      </c>
      <c r="F19" s="9" t="s">
        <v>495</v>
      </c>
      <c r="G19" s="9" t="s">
        <v>396</v>
      </c>
      <c r="H19" s="2" t="s">
        <v>397</v>
      </c>
      <c r="I19" s="9" t="s">
        <v>20</v>
      </c>
      <c r="J19" s="2" t="s">
        <v>496</v>
      </c>
      <c r="K19" s="2" t="s">
        <v>472</v>
      </c>
    </row>
    <row r="20" customFormat="false" ht="55.2" hidden="false" customHeight="false" outlineLevel="0" collapsed="false">
      <c r="A20" s="9" t="s">
        <v>497</v>
      </c>
      <c r="B20" s="2" t="s">
        <v>498</v>
      </c>
      <c r="C20" s="9" t="s">
        <v>499</v>
      </c>
      <c r="D20" s="9" t="s">
        <v>500</v>
      </c>
      <c r="E20" s="2" t="s">
        <v>501</v>
      </c>
      <c r="F20" s="9" t="s">
        <v>502</v>
      </c>
      <c r="G20" s="9" t="s">
        <v>503</v>
      </c>
      <c r="H20" s="2" t="s">
        <v>397</v>
      </c>
      <c r="I20" s="9" t="s">
        <v>96</v>
      </c>
      <c r="J20" s="2" t="s">
        <v>504</v>
      </c>
      <c r="K20" s="9" t="s">
        <v>505</v>
      </c>
    </row>
    <row r="21" customFormat="false" ht="82.05" hidden="false" customHeight="false" outlineLevel="0" collapsed="false">
      <c r="A21" s="9" t="s">
        <v>506</v>
      </c>
      <c r="B21" s="2" t="s">
        <v>507</v>
      </c>
      <c r="C21" s="9" t="s">
        <v>129</v>
      </c>
      <c r="D21" s="9" t="s">
        <v>129</v>
      </c>
      <c r="E21" s="9" t="s">
        <v>129</v>
      </c>
      <c r="F21" s="2" t="s">
        <v>508</v>
      </c>
      <c r="G21" s="9" t="s">
        <v>129</v>
      </c>
      <c r="H21" s="9" t="s">
        <v>129</v>
      </c>
      <c r="I21" s="2" t="s">
        <v>509</v>
      </c>
      <c r="J21" s="2" t="s">
        <v>510</v>
      </c>
      <c r="K21" s="9" t="s">
        <v>199</v>
      </c>
    </row>
    <row r="22" customFormat="false" ht="82.05" hidden="false" customHeight="false" outlineLevel="0" collapsed="false">
      <c r="A22" s="9" t="s">
        <v>511</v>
      </c>
      <c r="B22" s="2" t="s">
        <v>512</v>
      </c>
      <c r="C22" s="2" t="s">
        <v>513</v>
      </c>
      <c r="D22" s="9" t="s">
        <v>129</v>
      </c>
      <c r="E22" s="2" t="s">
        <v>514</v>
      </c>
      <c r="F22" s="9" t="s">
        <v>515</v>
      </c>
      <c r="G22" s="9" t="s">
        <v>516</v>
      </c>
      <c r="H22" s="9" t="s">
        <v>129</v>
      </c>
      <c r="I22" s="9" t="s">
        <v>517</v>
      </c>
      <c r="J22" s="2" t="s">
        <v>518</v>
      </c>
      <c r="K22" s="9" t="s">
        <v>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50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3" t="s">
        <v>50</v>
      </c>
      <c r="B1" s="3" t="s">
        <v>520</v>
      </c>
      <c r="C1" s="3" t="s">
        <v>521</v>
      </c>
      <c r="D1" s="3" t="s">
        <v>522</v>
      </c>
      <c r="E1" s="3" t="s">
        <v>523</v>
      </c>
    </row>
    <row r="2" customFormat="false" ht="55.2" hidden="false" customHeight="false" outlineLevel="0" collapsed="false">
      <c r="A2" s="9" t="s">
        <v>524</v>
      </c>
      <c r="B2" s="2" t="s">
        <v>525</v>
      </c>
      <c r="C2" s="9" t="s">
        <v>526</v>
      </c>
      <c r="D2" s="9" t="s">
        <v>527</v>
      </c>
      <c r="E2" s="2" t="s">
        <v>528</v>
      </c>
    </row>
    <row r="3" customFormat="false" ht="55.2" hidden="false" customHeight="false" outlineLevel="0" collapsed="false">
      <c r="A3" s="9" t="s">
        <v>529</v>
      </c>
      <c r="B3" s="2" t="s">
        <v>530</v>
      </c>
      <c r="C3" s="2" t="s">
        <v>531</v>
      </c>
      <c r="D3" s="9" t="s">
        <v>532</v>
      </c>
      <c r="E3" s="2" t="s">
        <v>533</v>
      </c>
    </row>
    <row r="4" customFormat="false" ht="55.2" hidden="false" customHeight="false" outlineLevel="0" collapsed="false">
      <c r="A4" s="9" t="s">
        <v>534</v>
      </c>
      <c r="B4" s="2" t="s">
        <v>535</v>
      </c>
      <c r="C4" s="2" t="s">
        <v>536</v>
      </c>
      <c r="D4" s="9" t="s">
        <v>537</v>
      </c>
      <c r="E4" s="2" t="s">
        <v>538</v>
      </c>
    </row>
    <row r="5" customFormat="false" ht="82.05" hidden="false" customHeight="false" outlineLevel="0" collapsed="false">
      <c r="A5" s="9" t="s">
        <v>539</v>
      </c>
      <c r="B5" s="9" t="s">
        <v>540</v>
      </c>
      <c r="C5" s="2" t="s">
        <v>541</v>
      </c>
      <c r="D5" s="9" t="s">
        <v>542</v>
      </c>
      <c r="E5" s="9" t="s">
        <v>543</v>
      </c>
    </row>
    <row r="6" customFormat="false" ht="41.75" hidden="false" customHeight="false" outlineLevel="0" collapsed="false">
      <c r="A6" s="9" t="s">
        <v>544</v>
      </c>
      <c r="B6" s="9" t="s">
        <v>545</v>
      </c>
      <c r="C6" s="2" t="s">
        <v>546</v>
      </c>
      <c r="D6" s="2" t="s">
        <v>547</v>
      </c>
      <c r="E6" s="2" t="s">
        <v>548</v>
      </c>
    </row>
    <row r="7" customFormat="false" ht="41.75" hidden="false" customHeight="false" outlineLevel="0" collapsed="false">
      <c r="A7" s="9" t="s">
        <v>549</v>
      </c>
      <c r="B7" s="2" t="s">
        <v>550</v>
      </c>
      <c r="C7" s="2" t="s">
        <v>551</v>
      </c>
      <c r="D7" s="9" t="s">
        <v>552</v>
      </c>
      <c r="E7" s="2" t="s">
        <v>553</v>
      </c>
    </row>
    <row r="8" customFormat="false" ht="55.2" hidden="false" customHeight="false" outlineLevel="0" collapsed="false">
      <c r="A8" s="9" t="s">
        <v>554</v>
      </c>
      <c r="B8" s="2" t="s">
        <v>555</v>
      </c>
      <c r="C8" s="2" t="s">
        <v>556</v>
      </c>
      <c r="D8" s="9" t="s">
        <v>557</v>
      </c>
      <c r="E8" s="2" t="s">
        <v>558</v>
      </c>
    </row>
    <row r="9" customFormat="false" ht="55.2" hidden="false" customHeight="false" outlineLevel="0" collapsed="false">
      <c r="A9" s="9" t="s">
        <v>559</v>
      </c>
      <c r="B9" s="2" t="s">
        <v>560</v>
      </c>
      <c r="C9" s="2" t="s">
        <v>561</v>
      </c>
      <c r="D9" s="2" t="s">
        <v>562</v>
      </c>
      <c r="E9" s="2" t="s">
        <v>563</v>
      </c>
    </row>
    <row r="10" customFormat="false" ht="41.75" hidden="false" customHeight="false" outlineLevel="0" collapsed="false">
      <c r="A10" s="9" t="s">
        <v>564</v>
      </c>
      <c r="B10" s="9" t="s">
        <v>565</v>
      </c>
      <c r="C10" s="2" t="s">
        <v>566</v>
      </c>
      <c r="D10" s="2" t="s">
        <v>567</v>
      </c>
      <c r="E10" s="2" t="s">
        <v>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2026-10-23T05:43:37Z</dcterms:created>
  <dc:creator>openpyxl</dc:creator>
  <dc:description/>
  <dc:language>en-US</dc:language>
  <cp:lastModifiedBy/>
  <dcterms:modified xsi:type="dcterms:W3CDTF">2026-10-23T05:43:37Z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